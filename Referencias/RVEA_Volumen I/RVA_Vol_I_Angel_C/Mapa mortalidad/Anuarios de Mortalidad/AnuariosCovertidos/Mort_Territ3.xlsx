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t Angel\Mapa mortalidad\Anuarios de Mortalidad\AnuariosCovertidos\"/>
    </mc:Choice>
  </mc:AlternateContent>
  <xr:revisionPtr revIDLastSave="0" documentId="13_ncr:1_{ED9D85BD-447D-4DC9-92BE-F9BDD0AF0104}" xr6:coauthVersionLast="47" xr6:coauthVersionMax="47" xr10:uidLastSave="{00000000-0000-0000-0000-000000000000}"/>
  <bookViews>
    <workbookView xWindow="-103" yWindow="-103" windowWidth="33120" windowHeight="18000" xr2:uid="{40936A0B-18FB-4AEE-9A19-B392D4505A4F}"/>
  </bookViews>
  <sheets>
    <sheet name="Hoja5" sheetId="5" r:id="rId1"/>
    <sheet name="Hoja1" sheetId="1" r:id="rId2"/>
    <sheet name="Hoja2" sheetId="2" r:id="rId3"/>
  </sheets>
  <definedNames>
    <definedName name="_xlnm._FilterDatabase" localSheetId="1" hidden="1">Hoja1!$Q$1:$V$332</definedName>
    <definedName name="_xlnm._FilterDatabase" localSheetId="0" hidden="1">Hoja5!$Z$4:$AT$29</definedName>
  </definedNames>
  <calcPr calcId="191029"/>
  <pivotCaches>
    <pivotCache cacheId="0" r:id="rId4"/>
    <pivotCache cacheId="1" r:id="rId5"/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14" i="2" l="1"/>
  <c r="A314" i="2" s="1"/>
  <c r="B315" i="2"/>
  <c r="A315" i="2" s="1"/>
  <c r="B316" i="2"/>
  <c r="A316" i="2" s="1"/>
  <c r="B317" i="2"/>
  <c r="A317" i="2" s="1"/>
  <c r="A318" i="2"/>
  <c r="B318" i="2"/>
  <c r="B319" i="2"/>
  <c r="A319" i="2" s="1"/>
  <c r="B320" i="2"/>
  <c r="A320" i="2" s="1"/>
  <c r="B321" i="2"/>
  <c r="A321" i="2" s="1"/>
  <c r="B322" i="2"/>
  <c r="A322" i="2" s="1"/>
  <c r="B323" i="2"/>
  <c r="A323" i="2" s="1"/>
  <c r="A324" i="2"/>
  <c r="B324" i="2"/>
  <c r="B325" i="2"/>
  <c r="A325" i="2" s="1"/>
  <c r="B326" i="2"/>
  <c r="A326" i="2" s="1"/>
  <c r="B327" i="2"/>
  <c r="A327" i="2" s="1"/>
  <c r="B328" i="2"/>
  <c r="A328" i="2" s="1"/>
  <c r="B329" i="2"/>
  <c r="A329" i="2" s="1"/>
  <c r="B330" i="2"/>
  <c r="A330" i="2" s="1"/>
  <c r="B331" i="2"/>
  <c r="A331" i="2" s="1"/>
  <c r="B332" i="2"/>
  <c r="A332" i="2" s="1"/>
  <c r="B333" i="2"/>
  <c r="A333" i="2" s="1"/>
  <c r="A334" i="2"/>
  <c r="B334" i="2"/>
  <c r="B335" i="2"/>
  <c r="A335" i="2" s="1"/>
  <c r="B336" i="2"/>
  <c r="A336" i="2" s="1"/>
  <c r="B337" i="2"/>
  <c r="A337" i="2" s="1"/>
  <c r="B338" i="2"/>
  <c r="A338" i="2" s="1"/>
  <c r="B339" i="2"/>
  <c r="A339" i="2" s="1"/>
  <c r="B340" i="2"/>
  <c r="A340" i="2" s="1"/>
  <c r="B341" i="2"/>
  <c r="A341" i="2" s="1"/>
  <c r="B342" i="2"/>
  <c r="A342" i="2" s="1"/>
  <c r="B343" i="2"/>
  <c r="A343" i="2" s="1"/>
  <c r="B344" i="2"/>
  <c r="A344" i="2" s="1"/>
  <c r="B345" i="2"/>
  <c r="A345" i="2" s="1"/>
  <c r="B346" i="2"/>
  <c r="A346" i="2" s="1"/>
  <c r="B347" i="2"/>
  <c r="A347" i="2" s="1"/>
  <c r="B348" i="2"/>
  <c r="A348" i="2" s="1"/>
  <c r="B349" i="2"/>
  <c r="A349" i="2" s="1"/>
  <c r="A350" i="2"/>
  <c r="B350" i="2"/>
  <c r="B351" i="2"/>
  <c r="A351" i="2" s="1"/>
  <c r="B352" i="2"/>
  <c r="A352" i="2" s="1"/>
  <c r="B353" i="2"/>
  <c r="A353" i="2" s="1"/>
  <c r="B354" i="2"/>
  <c r="A354" i="2" s="1"/>
  <c r="B355" i="2"/>
  <c r="A355" i="2" s="1"/>
  <c r="B356" i="2"/>
  <c r="A356" i="2" s="1"/>
  <c r="B357" i="2"/>
  <c r="A357" i="2" s="1"/>
  <c r="B358" i="2"/>
  <c r="A358" i="2" s="1"/>
  <c r="B359" i="2"/>
  <c r="A359" i="2" s="1"/>
  <c r="B360" i="2"/>
  <c r="A360" i="2" s="1"/>
  <c r="A361" i="2"/>
  <c r="B361" i="2"/>
  <c r="B362" i="2"/>
  <c r="A362" i="2" s="1"/>
  <c r="B363" i="2"/>
  <c r="A363" i="2" s="1"/>
  <c r="B364" i="2"/>
  <c r="A364" i="2" s="1"/>
  <c r="B365" i="2"/>
  <c r="A365" i="2" s="1"/>
  <c r="A366" i="2"/>
  <c r="B366" i="2"/>
  <c r="B367" i="2"/>
  <c r="A367" i="2" s="1"/>
  <c r="B368" i="2"/>
  <c r="A368" i="2" s="1"/>
  <c r="B369" i="2"/>
  <c r="A369" i="2" s="1"/>
  <c r="B370" i="2"/>
  <c r="A370" i="2" s="1"/>
  <c r="B371" i="2"/>
  <c r="A371" i="2" s="1"/>
  <c r="B372" i="2"/>
  <c r="A372" i="2" s="1"/>
  <c r="B373" i="2"/>
  <c r="A373" i="2" s="1"/>
  <c r="B374" i="2"/>
  <c r="A374" i="2" s="1"/>
  <c r="B375" i="2"/>
  <c r="A375" i="2" s="1"/>
  <c r="B376" i="2"/>
  <c r="A376" i="2" s="1"/>
  <c r="B377" i="2"/>
  <c r="A377" i="2" s="1"/>
  <c r="B378" i="2"/>
  <c r="A378" i="2" s="1"/>
  <c r="B379" i="2"/>
  <c r="A379" i="2" s="1"/>
  <c r="B380" i="2"/>
  <c r="A380" i="2" s="1"/>
  <c r="B381" i="2"/>
  <c r="A381" i="2" s="1"/>
  <c r="B382" i="2"/>
  <c r="A382" i="2" s="1"/>
  <c r="A383" i="2"/>
  <c r="B383" i="2"/>
  <c r="B384" i="2"/>
  <c r="A384" i="2" s="1"/>
  <c r="B385" i="2"/>
  <c r="A385" i="2" s="1"/>
  <c r="A386" i="2"/>
  <c r="B386" i="2"/>
  <c r="B387" i="2"/>
  <c r="A387" i="2" s="1"/>
  <c r="A388" i="2"/>
  <c r="B388" i="2"/>
  <c r="B389" i="2"/>
  <c r="A389" i="2" s="1"/>
  <c r="B390" i="2"/>
  <c r="A390" i="2" s="1"/>
  <c r="B391" i="2"/>
  <c r="A391" i="2" s="1"/>
  <c r="B392" i="2"/>
  <c r="A392" i="2" s="1"/>
  <c r="B393" i="2"/>
  <c r="A393" i="2" s="1"/>
  <c r="B394" i="2"/>
  <c r="A394" i="2" s="1"/>
  <c r="B395" i="2"/>
  <c r="A395" i="2" s="1"/>
  <c r="B396" i="2"/>
  <c r="A396" i="2" s="1"/>
  <c r="B397" i="2"/>
  <c r="A397" i="2" s="1"/>
  <c r="B398" i="2"/>
  <c r="A398" i="2" s="1"/>
  <c r="B399" i="2"/>
  <c r="A399" i="2" s="1"/>
  <c r="B400" i="2"/>
  <c r="A400" i="2" s="1"/>
  <c r="B401" i="2"/>
  <c r="A401" i="2" s="1"/>
  <c r="B402" i="2"/>
  <c r="A402" i="2" s="1"/>
  <c r="B403" i="2"/>
  <c r="A403" i="2" s="1"/>
  <c r="A404" i="2"/>
  <c r="B404" i="2"/>
  <c r="B405" i="2"/>
  <c r="A405" i="2" s="1"/>
  <c r="B406" i="2"/>
  <c r="A406" i="2" s="1"/>
  <c r="B407" i="2"/>
  <c r="A407" i="2" s="1"/>
  <c r="B408" i="2"/>
  <c r="A408" i="2" s="1"/>
  <c r="B409" i="2"/>
  <c r="A409" i="2" s="1"/>
  <c r="B410" i="2"/>
  <c r="A410" i="2" s="1"/>
  <c r="B411" i="2"/>
  <c r="A411" i="2" s="1"/>
  <c r="B412" i="2"/>
  <c r="A412" i="2" s="1"/>
  <c r="B413" i="2"/>
  <c r="A413" i="2" s="1"/>
  <c r="B414" i="2"/>
  <c r="A414" i="2" s="1"/>
  <c r="B415" i="2"/>
  <c r="A415" i="2" s="1"/>
  <c r="A416" i="2"/>
  <c r="B416" i="2"/>
  <c r="B417" i="2"/>
  <c r="A417" i="2" s="1"/>
  <c r="B418" i="2"/>
  <c r="A418" i="2" s="1"/>
  <c r="B419" i="2"/>
  <c r="A419" i="2" s="1"/>
  <c r="A420" i="2"/>
  <c r="B420" i="2"/>
  <c r="B421" i="2"/>
  <c r="A421" i="2" s="1"/>
  <c r="B422" i="2"/>
  <c r="A422" i="2" s="1"/>
  <c r="B423" i="2"/>
  <c r="A423" i="2" s="1"/>
  <c r="B424" i="2"/>
  <c r="A424" i="2" s="1"/>
  <c r="A425" i="2"/>
  <c r="B425" i="2"/>
  <c r="B426" i="2"/>
  <c r="A426" i="2" s="1"/>
  <c r="B427" i="2"/>
  <c r="A427" i="2" s="1"/>
  <c r="B428" i="2"/>
  <c r="A428" i="2" s="1"/>
  <c r="B429" i="2"/>
  <c r="A429" i="2" s="1"/>
  <c r="B430" i="2"/>
  <c r="A430" i="2" s="1"/>
  <c r="B431" i="2"/>
  <c r="A431" i="2" s="1"/>
  <c r="B432" i="2"/>
  <c r="A432" i="2" s="1"/>
  <c r="B433" i="2"/>
  <c r="A433" i="2" s="1"/>
  <c r="B434" i="2"/>
  <c r="A434" i="2" s="1"/>
  <c r="B435" i="2"/>
  <c r="A435" i="2" s="1"/>
  <c r="B436" i="2"/>
  <c r="A436" i="2" s="1"/>
  <c r="B437" i="2"/>
  <c r="A437" i="2" s="1"/>
  <c r="B438" i="2"/>
  <c r="A438" i="2" s="1"/>
  <c r="B439" i="2"/>
  <c r="A439" i="2" s="1"/>
  <c r="B440" i="2"/>
  <c r="A440" i="2" s="1"/>
  <c r="B441" i="2"/>
  <c r="A441" i="2" s="1"/>
  <c r="B442" i="2"/>
  <c r="A442" i="2" s="1"/>
  <c r="B443" i="2"/>
  <c r="A443" i="2" s="1"/>
  <c r="B444" i="2"/>
  <c r="A444" i="2" s="1"/>
  <c r="B445" i="2"/>
  <c r="A445" i="2" s="1"/>
  <c r="B446" i="2"/>
  <c r="A446" i="2" s="1"/>
  <c r="B447" i="2"/>
  <c r="A447" i="2" s="1"/>
  <c r="B448" i="2"/>
  <c r="A448" i="2" s="1"/>
  <c r="B449" i="2"/>
  <c r="A449" i="2" s="1"/>
  <c r="B450" i="2"/>
  <c r="A450" i="2" s="1"/>
  <c r="B451" i="2"/>
  <c r="A451" i="2" s="1"/>
  <c r="B452" i="2"/>
  <c r="A452" i="2" s="1"/>
  <c r="B453" i="2"/>
  <c r="A453" i="2" s="1"/>
  <c r="A454" i="2"/>
  <c r="B454" i="2"/>
  <c r="B455" i="2"/>
  <c r="A455" i="2" s="1"/>
  <c r="B456" i="2"/>
  <c r="A456" i="2" s="1"/>
  <c r="A457" i="2"/>
  <c r="B457" i="2"/>
  <c r="B458" i="2"/>
  <c r="A458" i="2" s="1"/>
  <c r="B459" i="2"/>
  <c r="A459" i="2" s="1"/>
  <c r="B460" i="2"/>
  <c r="A460" i="2" s="1"/>
  <c r="B461" i="2"/>
  <c r="A461" i="2" s="1"/>
  <c r="B462" i="2"/>
  <c r="A462" i="2" s="1"/>
  <c r="B463" i="2"/>
  <c r="A463" i="2" s="1"/>
  <c r="B464" i="2"/>
  <c r="A464" i="2" s="1"/>
  <c r="B465" i="2"/>
  <c r="A465" i="2" s="1"/>
  <c r="B466" i="2"/>
  <c r="A466" i="2" s="1"/>
  <c r="B467" i="2"/>
  <c r="A467" i="2" s="1"/>
  <c r="B468" i="2"/>
  <c r="A468" i="2" s="1"/>
  <c r="B469" i="2"/>
  <c r="A469" i="2" s="1"/>
  <c r="B470" i="2"/>
  <c r="A470" i="2" s="1"/>
  <c r="B471" i="2"/>
  <c r="A471" i="2" s="1"/>
  <c r="B472" i="2"/>
  <c r="A472" i="2" s="1"/>
  <c r="B473" i="2"/>
  <c r="A473" i="2" s="1"/>
  <c r="B474" i="2"/>
  <c r="A474" i="2" s="1"/>
  <c r="B475" i="2"/>
  <c r="A475" i="2" s="1"/>
  <c r="B476" i="2"/>
  <c r="A476" i="2" s="1"/>
  <c r="B477" i="2"/>
  <c r="A477" i="2" s="1"/>
  <c r="B478" i="2"/>
  <c r="A478" i="2" s="1"/>
  <c r="B479" i="2"/>
  <c r="A479" i="2" s="1"/>
  <c r="B480" i="2"/>
  <c r="A480" i="2" s="1"/>
  <c r="B481" i="2"/>
  <c r="A481" i="2" s="1"/>
  <c r="A482" i="2"/>
  <c r="B482" i="2"/>
  <c r="A483" i="2"/>
  <c r="B483" i="2"/>
  <c r="B484" i="2"/>
  <c r="A484" i="2" s="1"/>
  <c r="B485" i="2"/>
  <c r="A485" i="2" s="1"/>
  <c r="B486" i="2"/>
  <c r="A486" i="2" s="1"/>
  <c r="B487" i="2"/>
  <c r="A487" i="2" s="1"/>
  <c r="B488" i="2"/>
  <c r="A488" i="2" s="1"/>
  <c r="B489" i="2"/>
  <c r="A489" i="2" s="1"/>
  <c r="B490" i="2"/>
  <c r="A490" i="2" s="1"/>
  <c r="B491" i="2"/>
  <c r="A491" i="2" s="1"/>
  <c r="B492" i="2"/>
  <c r="A492" i="2" s="1"/>
  <c r="B493" i="2"/>
  <c r="A493" i="2" s="1"/>
  <c r="B494" i="2"/>
  <c r="A494" i="2" s="1"/>
  <c r="B495" i="2"/>
  <c r="A495" i="2" s="1"/>
  <c r="B496" i="2"/>
  <c r="A496" i="2" s="1"/>
  <c r="B497" i="2"/>
  <c r="A497" i="2" s="1"/>
  <c r="B498" i="2"/>
  <c r="A498" i="2" s="1"/>
  <c r="B499" i="2"/>
  <c r="A499" i="2" s="1"/>
  <c r="B500" i="2"/>
  <c r="A500" i="2" s="1"/>
  <c r="B501" i="2"/>
  <c r="A501" i="2" s="1"/>
  <c r="B502" i="2"/>
  <c r="A502" i="2" s="1"/>
  <c r="B503" i="2"/>
  <c r="A503" i="2" s="1"/>
  <c r="B504" i="2"/>
  <c r="A504" i="2" s="1"/>
  <c r="B505" i="2"/>
  <c r="A505" i="2" s="1"/>
  <c r="B506" i="2"/>
  <c r="A506" i="2" s="1"/>
  <c r="B507" i="2"/>
  <c r="A507" i="2" s="1"/>
  <c r="B508" i="2"/>
  <c r="A508" i="2" s="1"/>
  <c r="B509" i="2"/>
  <c r="A509" i="2" s="1"/>
  <c r="B510" i="2"/>
  <c r="A510" i="2" s="1"/>
  <c r="B511" i="2"/>
  <c r="A511" i="2" s="1"/>
  <c r="B512" i="2"/>
  <c r="A512" i="2" s="1"/>
  <c r="B513" i="2"/>
  <c r="A513" i="2" s="1"/>
  <c r="B514" i="2"/>
  <c r="A514" i="2" s="1"/>
  <c r="A515" i="2"/>
  <c r="B515" i="2"/>
  <c r="B516" i="2"/>
  <c r="A516" i="2" s="1"/>
  <c r="B517" i="2"/>
  <c r="A517" i="2" s="1"/>
  <c r="B518" i="2"/>
  <c r="A518" i="2" s="1"/>
  <c r="B519" i="2"/>
  <c r="A519" i="2" s="1"/>
  <c r="A520" i="2"/>
  <c r="B520" i="2"/>
  <c r="B521" i="2"/>
  <c r="A521" i="2" s="1"/>
  <c r="B522" i="2"/>
  <c r="A522" i="2" s="1"/>
  <c r="B523" i="2"/>
  <c r="A523" i="2" s="1"/>
  <c r="B524" i="2"/>
  <c r="A524" i="2" s="1"/>
  <c r="B525" i="2"/>
  <c r="A525" i="2" s="1"/>
  <c r="B526" i="2"/>
  <c r="A526" i="2" s="1"/>
  <c r="B527" i="2"/>
  <c r="A527" i="2" s="1"/>
  <c r="B528" i="2"/>
  <c r="A528" i="2" s="1"/>
  <c r="B529" i="2"/>
  <c r="A529" i="2" s="1"/>
  <c r="A530" i="2"/>
  <c r="B530" i="2"/>
  <c r="B531" i="2"/>
  <c r="A531" i="2" s="1"/>
  <c r="B532" i="2"/>
  <c r="A532" i="2" s="1"/>
  <c r="B533" i="2"/>
  <c r="A533" i="2" s="1"/>
  <c r="B534" i="2"/>
  <c r="A534" i="2" s="1"/>
  <c r="B535" i="2"/>
  <c r="A535" i="2" s="1"/>
  <c r="B536" i="2"/>
  <c r="A536" i="2" s="1"/>
  <c r="B537" i="2"/>
  <c r="A537" i="2" s="1"/>
  <c r="B538" i="2"/>
  <c r="A538" i="2" s="1"/>
  <c r="B539" i="2"/>
  <c r="A539" i="2" s="1"/>
  <c r="B540" i="2"/>
  <c r="A540" i="2" s="1"/>
  <c r="B541" i="2"/>
  <c r="A541" i="2" s="1"/>
  <c r="B542" i="2"/>
  <c r="A542" i="2" s="1"/>
  <c r="B543" i="2"/>
  <c r="A543" i="2" s="1"/>
  <c r="B544" i="2"/>
  <c r="A544" i="2" s="1"/>
  <c r="B545" i="2"/>
  <c r="A545" i="2" s="1"/>
  <c r="B546" i="2"/>
  <c r="A546" i="2" s="1"/>
  <c r="B547" i="2"/>
  <c r="A547" i="2" s="1"/>
  <c r="A548" i="2"/>
  <c r="B548" i="2"/>
  <c r="B549" i="2"/>
  <c r="A549" i="2" s="1"/>
  <c r="B550" i="2"/>
  <c r="A550" i="2" s="1"/>
  <c r="B551" i="2"/>
  <c r="A551" i="2" s="1"/>
  <c r="A552" i="2"/>
  <c r="B552" i="2"/>
  <c r="B553" i="2"/>
  <c r="A553" i="2" s="1"/>
  <c r="B554" i="2"/>
  <c r="A554" i="2" s="1"/>
  <c r="B555" i="2"/>
  <c r="A555" i="2" s="1"/>
  <c r="B556" i="2"/>
  <c r="A556" i="2" s="1"/>
  <c r="B557" i="2"/>
  <c r="A557" i="2" s="1"/>
  <c r="B558" i="2"/>
  <c r="A558" i="2" s="1"/>
  <c r="B559" i="2"/>
  <c r="A559" i="2" s="1"/>
  <c r="B560" i="2"/>
  <c r="A560" i="2" s="1"/>
  <c r="B561" i="2"/>
  <c r="A561" i="2" s="1"/>
  <c r="B562" i="2"/>
  <c r="A562" i="2" s="1"/>
  <c r="B563" i="2"/>
  <c r="A563" i="2" s="1"/>
  <c r="B564" i="2"/>
  <c r="A564" i="2" s="1"/>
  <c r="B565" i="2"/>
  <c r="A565" i="2" s="1"/>
  <c r="B566" i="2"/>
  <c r="A566" i="2" s="1"/>
  <c r="B567" i="2"/>
  <c r="A567" i="2" s="1"/>
  <c r="B568" i="2"/>
  <c r="A568" i="2" s="1"/>
  <c r="B569" i="2"/>
  <c r="A569" i="2" s="1"/>
  <c r="B570" i="2"/>
  <c r="A570" i="2" s="1"/>
  <c r="B571" i="2"/>
  <c r="A571" i="2" s="1"/>
  <c r="B572" i="2"/>
  <c r="A572" i="2" s="1"/>
  <c r="B573" i="2"/>
  <c r="A573" i="2" s="1"/>
  <c r="B574" i="2"/>
  <c r="A574" i="2" s="1"/>
  <c r="B575" i="2"/>
  <c r="A575" i="2" s="1"/>
  <c r="B576" i="2"/>
  <c r="A576" i="2" s="1"/>
  <c r="B577" i="2"/>
  <c r="A577" i="2" s="1"/>
  <c r="A578" i="2"/>
  <c r="B578" i="2"/>
  <c r="B579" i="2"/>
  <c r="A579" i="2" s="1"/>
  <c r="B580" i="2"/>
  <c r="A580" i="2" s="1"/>
  <c r="B581" i="2"/>
  <c r="A581" i="2" s="1"/>
  <c r="B582" i="2"/>
  <c r="A582" i="2" s="1"/>
  <c r="B583" i="2"/>
  <c r="A583" i="2" s="1"/>
  <c r="B584" i="2"/>
  <c r="A584" i="2" s="1"/>
  <c r="B585" i="2"/>
  <c r="A585" i="2" s="1"/>
  <c r="B586" i="2"/>
  <c r="A586" i="2" s="1"/>
  <c r="B587" i="2"/>
  <c r="A587" i="2" s="1"/>
  <c r="B588" i="2"/>
  <c r="A588" i="2" s="1"/>
  <c r="B589" i="2"/>
  <c r="A589" i="2" s="1"/>
  <c r="B590" i="2"/>
  <c r="A590" i="2" s="1"/>
  <c r="B591" i="2"/>
  <c r="A591" i="2" s="1"/>
  <c r="B592" i="2"/>
  <c r="A592" i="2" s="1"/>
  <c r="B593" i="2"/>
  <c r="A593" i="2" s="1"/>
  <c r="B594" i="2"/>
  <c r="A594" i="2" s="1"/>
  <c r="B595" i="2"/>
  <c r="A595" i="2" s="1"/>
  <c r="A596" i="2"/>
  <c r="B596" i="2"/>
  <c r="B597" i="2"/>
  <c r="A597" i="2" s="1"/>
  <c r="B598" i="2"/>
  <c r="A598" i="2" s="1"/>
  <c r="B599" i="2"/>
  <c r="A599" i="2" s="1"/>
  <c r="B600" i="2"/>
  <c r="A600" i="2" s="1"/>
  <c r="B601" i="2"/>
  <c r="A601" i="2" s="1"/>
  <c r="B602" i="2"/>
  <c r="A602" i="2" s="1"/>
  <c r="B603" i="2"/>
  <c r="A603" i="2" s="1"/>
  <c r="B604" i="2"/>
  <c r="A604" i="2" s="1"/>
  <c r="B605" i="2"/>
  <c r="A605" i="2" s="1"/>
  <c r="B606" i="2"/>
  <c r="A606" i="2" s="1"/>
  <c r="B607" i="2"/>
  <c r="A607" i="2" s="1"/>
  <c r="B608" i="2"/>
  <c r="A608" i="2" s="1"/>
  <c r="B609" i="2"/>
  <c r="A609" i="2" s="1"/>
  <c r="A610" i="2"/>
  <c r="B610" i="2"/>
  <c r="B611" i="2"/>
  <c r="A611" i="2" s="1"/>
  <c r="B612" i="2"/>
  <c r="A612" i="2" s="1"/>
  <c r="A613" i="2"/>
  <c r="B613" i="2"/>
  <c r="B614" i="2"/>
  <c r="A614" i="2" s="1"/>
  <c r="A615" i="2"/>
  <c r="B615" i="2"/>
  <c r="B616" i="2"/>
  <c r="A616" i="2" s="1"/>
  <c r="B617" i="2"/>
  <c r="A617" i="2" s="1"/>
  <c r="B618" i="2"/>
  <c r="A618" i="2" s="1"/>
  <c r="B619" i="2"/>
  <c r="A619" i="2" s="1"/>
  <c r="B620" i="2"/>
  <c r="A620" i="2" s="1"/>
  <c r="B621" i="2"/>
  <c r="A621" i="2" s="1"/>
  <c r="B622" i="2"/>
  <c r="A622" i="2" s="1"/>
  <c r="B623" i="2"/>
  <c r="A623" i="2" s="1"/>
  <c r="B624" i="2"/>
  <c r="A624" i="2" s="1"/>
  <c r="B625" i="2"/>
  <c r="A625" i="2" s="1"/>
  <c r="B626" i="2"/>
  <c r="A626" i="2" s="1"/>
  <c r="A627" i="2"/>
  <c r="B627" i="2"/>
  <c r="B628" i="2"/>
  <c r="A628" i="2" s="1"/>
  <c r="B629" i="2"/>
  <c r="A629" i="2" s="1"/>
  <c r="B630" i="2"/>
  <c r="A630" i="2" s="1"/>
  <c r="A631" i="2"/>
  <c r="B631" i="2"/>
  <c r="B632" i="2"/>
  <c r="A632" i="2" s="1"/>
  <c r="B633" i="2"/>
  <c r="A633" i="2" s="1"/>
  <c r="B634" i="2"/>
  <c r="A634" i="2" s="1"/>
  <c r="B635" i="2"/>
  <c r="A635" i="2" s="1"/>
  <c r="B636" i="2"/>
  <c r="A636" i="2" s="1"/>
  <c r="B637" i="2"/>
  <c r="A637" i="2" s="1"/>
  <c r="B638" i="2"/>
  <c r="A638" i="2" s="1"/>
  <c r="B639" i="2"/>
  <c r="A639" i="2" s="1"/>
  <c r="B640" i="2"/>
  <c r="A640" i="2" s="1"/>
  <c r="B641" i="2"/>
  <c r="A641" i="2" s="1"/>
  <c r="B642" i="2"/>
  <c r="A642" i="2" s="1"/>
  <c r="B643" i="2"/>
  <c r="A643" i="2" s="1"/>
  <c r="A644" i="2"/>
  <c r="B644" i="2"/>
  <c r="B645" i="2"/>
  <c r="A645" i="2" s="1"/>
  <c r="B646" i="2"/>
  <c r="A646" i="2" s="1"/>
  <c r="A647" i="2"/>
  <c r="B647" i="2"/>
  <c r="B648" i="2"/>
  <c r="A648" i="2" s="1"/>
  <c r="B649" i="2"/>
  <c r="A649" i="2" s="1"/>
  <c r="B650" i="2"/>
  <c r="A650" i="2" s="1"/>
  <c r="B651" i="2"/>
  <c r="A651" i="2" s="1"/>
  <c r="B652" i="2"/>
  <c r="A652" i="2" s="1"/>
  <c r="B653" i="2"/>
  <c r="A653" i="2" s="1"/>
  <c r="B654" i="2"/>
  <c r="A654" i="2" s="1"/>
  <c r="B655" i="2"/>
  <c r="A655" i="2" s="1"/>
  <c r="B656" i="2"/>
  <c r="A656" i="2" s="1"/>
  <c r="B657" i="2"/>
  <c r="A657" i="2" s="1"/>
  <c r="B658" i="2"/>
  <c r="A658" i="2" s="1"/>
  <c r="B659" i="2"/>
  <c r="A659" i="2" s="1"/>
  <c r="B660" i="2"/>
  <c r="A660" i="2" s="1"/>
  <c r="B661" i="2"/>
  <c r="A661" i="2" s="1"/>
  <c r="A662" i="2"/>
  <c r="B662" i="2"/>
  <c r="B663" i="2"/>
  <c r="A663" i="2" s="1"/>
  <c r="B664" i="2"/>
  <c r="A664" i="2" s="1"/>
  <c r="B665" i="2"/>
  <c r="A665" i="2" s="1"/>
  <c r="B666" i="2"/>
  <c r="A666" i="2" s="1"/>
  <c r="B667" i="2"/>
  <c r="A667" i="2" s="1"/>
  <c r="B668" i="2"/>
  <c r="A668" i="2" s="1"/>
  <c r="B669" i="2"/>
  <c r="A669" i="2" s="1"/>
  <c r="B670" i="2"/>
  <c r="A670" i="2" s="1"/>
  <c r="A671" i="2"/>
  <c r="B671" i="2"/>
  <c r="B672" i="2"/>
  <c r="A672" i="2" s="1"/>
  <c r="A673" i="2"/>
  <c r="B673" i="2"/>
  <c r="B674" i="2"/>
  <c r="A674" i="2" s="1"/>
  <c r="B675" i="2"/>
  <c r="A675" i="2" s="1"/>
  <c r="B676" i="2"/>
  <c r="A676" i="2" s="1"/>
  <c r="B677" i="2"/>
  <c r="A677" i="2" s="1"/>
  <c r="B678" i="2"/>
  <c r="A678" i="2" s="1"/>
  <c r="B679" i="2"/>
  <c r="A679" i="2" s="1"/>
  <c r="A680" i="2"/>
  <c r="B680" i="2"/>
  <c r="B681" i="2"/>
  <c r="A681" i="2" s="1"/>
  <c r="B682" i="2"/>
  <c r="A682" i="2" s="1"/>
  <c r="B683" i="2"/>
  <c r="A683" i="2" s="1"/>
  <c r="B684" i="2"/>
  <c r="A684" i="2" s="1"/>
  <c r="B685" i="2"/>
  <c r="A685" i="2" s="1"/>
  <c r="B686" i="2"/>
  <c r="A686" i="2" s="1"/>
  <c r="B687" i="2"/>
  <c r="A687" i="2" s="1"/>
  <c r="B688" i="2"/>
  <c r="A688" i="2" s="1"/>
  <c r="B689" i="2"/>
  <c r="A689" i="2" s="1"/>
  <c r="B690" i="2"/>
  <c r="A690" i="2" s="1"/>
  <c r="B691" i="2"/>
  <c r="A691" i="2" s="1"/>
  <c r="B692" i="2"/>
  <c r="A692" i="2" s="1"/>
  <c r="B693" i="2"/>
  <c r="A693" i="2" s="1"/>
  <c r="B694" i="2"/>
  <c r="A694" i="2" s="1"/>
  <c r="B695" i="2"/>
  <c r="A695" i="2" s="1"/>
  <c r="B696" i="2"/>
  <c r="A696" i="2" s="1"/>
  <c r="B697" i="2"/>
  <c r="A697" i="2" s="1"/>
  <c r="B698" i="2"/>
  <c r="A698" i="2" s="1"/>
  <c r="B699" i="2"/>
  <c r="A699" i="2" s="1"/>
  <c r="B700" i="2"/>
  <c r="A700" i="2" s="1"/>
  <c r="B701" i="2"/>
  <c r="A701" i="2" s="1"/>
  <c r="B702" i="2"/>
  <c r="A702" i="2" s="1"/>
  <c r="B703" i="2"/>
  <c r="A703" i="2" s="1"/>
  <c r="B704" i="2"/>
  <c r="A704" i="2" s="1"/>
  <c r="A705" i="2"/>
  <c r="B705" i="2"/>
  <c r="B706" i="2"/>
  <c r="A706" i="2" s="1"/>
  <c r="B707" i="2"/>
  <c r="A707" i="2" s="1"/>
  <c r="B708" i="2"/>
  <c r="A708" i="2" s="1"/>
  <c r="B709" i="2"/>
  <c r="A709" i="2" s="1"/>
  <c r="A710" i="2"/>
  <c r="B710" i="2"/>
  <c r="B711" i="2"/>
  <c r="A711" i="2" s="1"/>
  <c r="B712" i="2"/>
  <c r="A712" i="2" s="1"/>
  <c r="B713" i="2"/>
  <c r="A713" i="2" s="1"/>
  <c r="B714" i="2"/>
  <c r="A714" i="2" s="1"/>
  <c r="B715" i="2"/>
  <c r="A715" i="2" s="1"/>
  <c r="B716" i="2"/>
  <c r="A716" i="2" s="1"/>
  <c r="B717" i="2"/>
  <c r="A717" i="2" s="1"/>
  <c r="B718" i="2"/>
  <c r="A718" i="2" s="1"/>
  <c r="B719" i="2"/>
  <c r="A719" i="2" s="1"/>
  <c r="B720" i="2"/>
  <c r="A720" i="2" s="1"/>
  <c r="B721" i="2"/>
  <c r="A721" i="2" s="1"/>
  <c r="B722" i="2"/>
  <c r="A722" i="2" s="1"/>
  <c r="A723" i="2"/>
  <c r="B723" i="2"/>
  <c r="B724" i="2"/>
  <c r="A724" i="2" s="1"/>
  <c r="B725" i="2"/>
  <c r="A725" i="2" s="1"/>
  <c r="B726" i="2"/>
  <c r="A726" i="2" s="1"/>
  <c r="B727" i="2"/>
  <c r="A727" i="2" s="1"/>
  <c r="B728" i="2"/>
  <c r="A728" i="2" s="1"/>
  <c r="B729" i="2"/>
  <c r="A729" i="2" s="1"/>
  <c r="B730" i="2"/>
  <c r="A730" i="2" s="1"/>
  <c r="B731" i="2"/>
  <c r="A731" i="2" s="1"/>
  <c r="B732" i="2"/>
  <c r="A732" i="2" s="1"/>
  <c r="B733" i="2"/>
  <c r="A733" i="2" s="1"/>
  <c r="B734" i="2"/>
  <c r="A734" i="2" s="1"/>
  <c r="B735" i="2"/>
  <c r="A735" i="2" s="1"/>
  <c r="B736" i="2"/>
  <c r="A736" i="2" s="1"/>
  <c r="B737" i="2"/>
  <c r="A737" i="2" s="1"/>
  <c r="B738" i="2"/>
  <c r="A738" i="2" s="1"/>
  <c r="B739" i="2"/>
  <c r="A739" i="2" s="1"/>
  <c r="B740" i="2"/>
  <c r="A740" i="2" s="1"/>
  <c r="B741" i="2"/>
  <c r="A741" i="2" s="1"/>
  <c r="B742" i="2"/>
  <c r="A742" i="2" s="1"/>
  <c r="B743" i="2"/>
  <c r="A743" i="2" s="1"/>
  <c r="B744" i="2"/>
  <c r="A744" i="2" s="1"/>
  <c r="B745" i="2"/>
  <c r="A745" i="2" s="1"/>
  <c r="B746" i="2"/>
  <c r="A746" i="2" s="1"/>
  <c r="B747" i="2"/>
  <c r="A747" i="2" s="1"/>
  <c r="B748" i="2"/>
  <c r="A748" i="2" s="1"/>
  <c r="B749" i="2"/>
  <c r="A749" i="2" s="1"/>
  <c r="B750" i="2"/>
  <c r="A750" i="2" s="1"/>
  <c r="B751" i="2"/>
  <c r="A751" i="2" s="1"/>
  <c r="B752" i="2"/>
  <c r="A752" i="2" s="1"/>
  <c r="B753" i="2"/>
  <c r="A753" i="2" s="1"/>
  <c r="B754" i="2"/>
  <c r="A754" i="2" s="1"/>
  <c r="B755" i="2"/>
  <c r="A755" i="2" s="1"/>
  <c r="B756" i="2"/>
  <c r="A756" i="2" s="1"/>
  <c r="B757" i="2"/>
  <c r="A757" i="2" s="1"/>
  <c r="B758" i="2"/>
  <c r="A758" i="2" s="1"/>
  <c r="B759" i="2"/>
  <c r="A759" i="2" s="1"/>
  <c r="B760" i="2"/>
  <c r="A760" i="2" s="1"/>
  <c r="B761" i="2"/>
  <c r="A761" i="2" s="1"/>
  <c r="B762" i="2"/>
  <c r="A762" i="2" s="1"/>
  <c r="B763" i="2"/>
  <c r="A763" i="2" s="1"/>
  <c r="B764" i="2"/>
  <c r="A764" i="2" s="1"/>
  <c r="B765" i="2"/>
  <c r="A765" i="2" s="1"/>
  <c r="B766" i="2"/>
  <c r="A766" i="2" s="1"/>
  <c r="B767" i="2"/>
  <c r="A767" i="2" s="1"/>
  <c r="B768" i="2"/>
  <c r="A768" i="2" s="1"/>
  <c r="B769" i="2"/>
  <c r="A769" i="2" s="1"/>
  <c r="B770" i="2"/>
  <c r="A770" i="2" s="1"/>
  <c r="B771" i="2"/>
  <c r="A771" i="2" s="1"/>
  <c r="B772" i="2"/>
  <c r="A772" i="2" s="1"/>
  <c r="B773" i="2"/>
  <c r="A773" i="2" s="1"/>
  <c r="B774" i="2"/>
  <c r="A774" i="2" s="1"/>
  <c r="B775" i="2"/>
  <c r="A775" i="2" s="1"/>
  <c r="B776" i="2"/>
  <c r="A776" i="2" s="1"/>
  <c r="B777" i="2"/>
  <c r="A777" i="2" s="1"/>
  <c r="B778" i="2"/>
  <c r="A778" i="2" s="1"/>
  <c r="B779" i="2"/>
  <c r="A779" i="2" s="1"/>
  <c r="B780" i="2"/>
  <c r="A780" i="2" s="1"/>
  <c r="B781" i="2"/>
  <c r="A781" i="2" s="1"/>
  <c r="A782" i="2"/>
  <c r="B782" i="2"/>
  <c r="B783" i="2"/>
  <c r="A783" i="2" s="1"/>
  <c r="B784" i="2"/>
  <c r="A784" i="2" s="1"/>
  <c r="B785" i="2"/>
  <c r="A785" i="2" s="1"/>
  <c r="B786" i="2"/>
  <c r="A786" i="2" s="1"/>
  <c r="B787" i="2"/>
  <c r="A787" i="2" s="1"/>
  <c r="B788" i="2"/>
  <c r="A788" i="2" s="1"/>
  <c r="B789" i="2"/>
  <c r="A789" i="2" s="1"/>
  <c r="B790" i="2"/>
  <c r="A790" i="2" s="1"/>
  <c r="B791" i="2"/>
  <c r="A791" i="2" s="1"/>
  <c r="B792" i="2"/>
  <c r="A792" i="2" s="1"/>
  <c r="B793" i="2"/>
  <c r="A793" i="2" s="1"/>
  <c r="B794" i="2"/>
  <c r="A794" i="2" s="1"/>
  <c r="B795" i="2"/>
  <c r="A795" i="2" s="1"/>
  <c r="B796" i="2"/>
  <c r="A796" i="2" s="1"/>
  <c r="B797" i="2"/>
  <c r="A797" i="2" s="1"/>
  <c r="B798" i="2"/>
  <c r="A798" i="2" s="1"/>
  <c r="B799" i="2"/>
  <c r="A799" i="2" s="1"/>
  <c r="B800" i="2"/>
  <c r="A800" i="2" s="1"/>
  <c r="B801" i="2"/>
  <c r="A801" i="2" s="1"/>
  <c r="B802" i="2"/>
  <c r="A802" i="2" s="1"/>
  <c r="B803" i="2"/>
  <c r="A803" i="2" s="1"/>
  <c r="B804" i="2"/>
  <c r="A804" i="2" s="1"/>
  <c r="B805" i="2"/>
  <c r="A805" i="2" s="1"/>
  <c r="B806" i="2"/>
  <c r="A806" i="2" s="1"/>
  <c r="B807" i="2"/>
  <c r="A807" i="2" s="1"/>
  <c r="B808" i="2"/>
  <c r="A808" i="2" s="1"/>
  <c r="B809" i="2"/>
  <c r="A809" i="2" s="1"/>
  <c r="B810" i="2"/>
  <c r="A810" i="2" s="1"/>
  <c r="B811" i="2"/>
  <c r="A811" i="2" s="1"/>
  <c r="B812" i="2"/>
  <c r="A812" i="2" s="1"/>
  <c r="B813" i="2"/>
  <c r="A813" i="2" s="1"/>
  <c r="A814" i="2"/>
  <c r="B814" i="2"/>
  <c r="B815" i="2"/>
  <c r="A815" i="2" s="1"/>
  <c r="B816" i="2"/>
  <c r="A816" i="2" s="1"/>
  <c r="B817" i="2"/>
  <c r="A817" i="2" s="1"/>
  <c r="B818" i="2"/>
  <c r="A818" i="2" s="1"/>
  <c r="A819" i="2"/>
  <c r="B819" i="2"/>
  <c r="B820" i="2"/>
  <c r="A820" i="2" s="1"/>
  <c r="B821" i="2"/>
  <c r="A821" i="2" s="1"/>
  <c r="B822" i="2"/>
  <c r="A822" i="2" s="1"/>
  <c r="B823" i="2"/>
  <c r="A823" i="2" s="1"/>
  <c r="B824" i="2"/>
  <c r="A824" i="2" s="1"/>
  <c r="B825" i="2"/>
  <c r="A825" i="2" s="1"/>
  <c r="B826" i="2"/>
  <c r="A826" i="2" s="1"/>
  <c r="B827" i="2"/>
  <c r="A827" i="2" s="1"/>
  <c r="B828" i="2"/>
  <c r="A828" i="2" s="1"/>
  <c r="B829" i="2"/>
  <c r="A829" i="2" s="1"/>
  <c r="B830" i="2"/>
  <c r="A830" i="2" s="1"/>
  <c r="B831" i="2"/>
  <c r="A831" i="2" s="1"/>
  <c r="B832" i="2"/>
  <c r="A832" i="2" s="1"/>
  <c r="B833" i="2"/>
  <c r="A833" i="2" s="1"/>
  <c r="B834" i="2"/>
  <c r="A834" i="2" s="1"/>
  <c r="B835" i="2"/>
  <c r="A835" i="2" s="1"/>
  <c r="B836" i="2"/>
  <c r="A836" i="2" s="1"/>
  <c r="B837" i="2"/>
  <c r="A837" i="2" s="1"/>
  <c r="A838" i="2"/>
  <c r="B838" i="2"/>
  <c r="B839" i="2"/>
  <c r="A839" i="2" s="1"/>
  <c r="B840" i="2"/>
  <c r="A840" i="2" s="1"/>
  <c r="B841" i="2"/>
  <c r="A841" i="2" s="1"/>
  <c r="B842" i="2"/>
  <c r="A842" i="2" s="1"/>
  <c r="B843" i="2"/>
  <c r="A843" i="2" s="1"/>
  <c r="B844" i="2"/>
  <c r="A844" i="2" s="1"/>
  <c r="B845" i="2"/>
  <c r="A845" i="2" s="1"/>
  <c r="B846" i="2"/>
  <c r="A846" i="2" s="1"/>
  <c r="B847" i="2"/>
  <c r="A847" i="2" s="1"/>
  <c r="A848" i="2"/>
  <c r="B848" i="2"/>
  <c r="B849" i="2"/>
  <c r="A849" i="2" s="1"/>
  <c r="B850" i="2"/>
  <c r="A850" i="2" s="1"/>
  <c r="B851" i="2"/>
  <c r="A851" i="2" s="1"/>
  <c r="B852" i="2"/>
  <c r="A852" i="2" s="1"/>
  <c r="B853" i="2"/>
  <c r="A853" i="2" s="1"/>
  <c r="B854" i="2"/>
  <c r="A854" i="2" s="1"/>
  <c r="B855" i="2"/>
  <c r="A855" i="2" s="1"/>
  <c r="B856" i="2"/>
  <c r="A856" i="2" s="1"/>
  <c r="B857" i="2"/>
  <c r="A857" i="2" s="1"/>
  <c r="B858" i="2"/>
  <c r="A858" i="2" s="1"/>
  <c r="B859" i="2"/>
  <c r="A859" i="2" s="1"/>
  <c r="B860" i="2"/>
  <c r="A860" i="2" s="1"/>
  <c r="B861" i="2"/>
  <c r="A861" i="2" s="1"/>
  <c r="B862" i="2"/>
  <c r="A862" i="2" s="1"/>
  <c r="B863" i="2"/>
  <c r="A863" i="2" s="1"/>
  <c r="B864" i="2"/>
  <c r="A864" i="2" s="1"/>
  <c r="B865" i="2"/>
  <c r="A865" i="2" s="1"/>
  <c r="A866" i="2"/>
  <c r="B866" i="2"/>
  <c r="B867" i="2"/>
  <c r="A867" i="2" s="1"/>
  <c r="B868" i="2"/>
  <c r="A868" i="2" s="1"/>
  <c r="A869" i="2"/>
  <c r="B869" i="2"/>
  <c r="B870" i="2"/>
  <c r="A870" i="2" s="1"/>
  <c r="B871" i="2"/>
  <c r="A871" i="2" s="1"/>
  <c r="B872" i="2"/>
  <c r="A872" i="2" s="1"/>
  <c r="B873" i="2"/>
  <c r="A873" i="2" s="1"/>
  <c r="B874" i="2"/>
  <c r="A874" i="2" s="1"/>
  <c r="B875" i="2"/>
  <c r="A875" i="2" s="1"/>
  <c r="B876" i="2"/>
  <c r="A876" i="2" s="1"/>
  <c r="B877" i="2"/>
  <c r="A877" i="2" s="1"/>
  <c r="B878" i="2"/>
  <c r="A878" i="2" s="1"/>
  <c r="B879" i="2"/>
  <c r="A879" i="2" s="1"/>
  <c r="B880" i="2"/>
  <c r="A880" i="2" s="1"/>
  <c r="B881" i="2"/>
  <c r="A881" i="2" s="1"/>
  <c r="B882" i="2"/>
  <c r="A882" i="2" s="1"/>
  <c r="A883" i="2"/>
  <c r="B883" i="2"/>
  <c r="B884" i="2"/>
  <c r="A884" i="2" s="1"/>
  <c r="B885" i="2"/>
  <c r="A885" i="2" s="1"/>
  <c r="B886" i="2"/>
  <c r="A886" i="2" s="1"/>
  <c r="A887" i="2"/>
  <c r="B887" i="2"/>
  <c r="B888" i="2"/>
  <c r="A888" i="2" s="1"/>
  <c r="B889" i="2"/>
  <c r="A889" i="2" s="1"/>
  <c r="B890" i="2"/>
  <c r="A890" i="2" s="1"/>
  <c r="B891" i="2"/>
  <c r="A891" i="2" s="1"/>
  <c r="B892" i="2"/>
  <c r="A892" i="2" s="1"/>
  <c r="B893" i="2"/>
  <c r="A893" i="2" s="1"/>
  <c r="B894" i="2"/>
  <c r="A894" i="2" s="1"/>
  <c r="B895" i="2"/>
  <c r="A895" i="2" s="1"/>
  <c r="B896" i="2"/>
  <c r="A896" i="2" s="1"/>
  <c r="B897" i="2"/>
  <c r="A897" i="2" s="1"/>
  <c r="B898" i="2"/>
  <c r="A898" i="2" s="1"/>
  <c r="B899" i="2"/>
  <c r="A899" i="2" s="1"/>
  <c r="B900" i="2"/>
  <c r="A900" i="2" s="1"/>
  <c r="B901" i="2"/>
  <c r="A901" i="2" s="1"/>
  <c r="B902" i="2"/>
  <c r="A902" i="2" s="1"/>
  <c r="B903" i="2"/>
  <c r="A903" i="2" s="1"/>
  <c r="B904" i="2"/>
  <c r="A904" i="2" s="1"/>
  <c r="A905" i="2"/>
  <c r="B905" i="2"/>
  <c r="B906" i="2"/>
  <c r="A906" i="2" s="1"/>
  <c r="B907" i="2"/>
  <c r="A907" i="2" s="1"/>
  <c r="B908" i="2"/>
  <c r="A908" i="2" s="1"/>
  <c r="B909" i="2"/>
  <c r="A909" i="2" s="1"/>
  <c r="B910" i="2"/>
  <c r="A910" i="2" s="1"/>
  <c r="A911" i="2"/>
  <c r="B911" i="2"/>
  <c r="B912" i="2"/>
  <c r="A912" i="2" s="1"/>
  <c r="B913" i="2"/>
  <c r="A913" i="2" s="1"/>
  <c r="B914" i="2"/>
  <c r="A914" i="2" s="1"/>
  <c r="B915" i="2"/>
  <c r="A915" i="2" s="1"/>
  <c r="B916" i="2"/>
  <c r="A916" i="2" s="1"/>
  <c r="B917" i="2"/>
  <c r="A917" i="2" s="1"/>
  <c r="B918" i="2"/>
  <c r="A918" i="2" s="1"/>
  <c r="B919" i="2"/>
  <c r="A919" i="2" s="1"/>
  <c r="B297" i="2"/>
  <c r="A297" i="2" s="1"/>
  <c r="B298" i="2"/>
  <c r="A298" i="2" s="1"/>
  <c r="B299" i="2"/>
  <c r="A299" i="2" s="1"/>
  <c r="B300" i="2"/>
  <c r="A300" i="2" s="1"/>
  <c r="B301" i="2"/>
  <c r="A301" i="2" s="1"/>
  <c r="B302" i="2"/>
  <c r="A302" i="2" s="1"/>
  <c r="B303" i="2"/>
  <c r="A303" i="2" s="1"/>
  <c r="B304" i="2"/>
  <c r="A304" i="2" s="1"/>
  <c r="B305" i="2"/>
  <c r="A305" i="2" s="1"/>
  <c r="B306" i="2"/>
  <c r="A306" i="2" s="1"/>
  <c r="B307" i="2"/>
  <c r="A307" i="2" s="1"/>
  <c r="B308" i="2"/>
  <c r="A308" i="2" s="1"/>
  <c r="B309" i="2"/>
  <c r="A309" i="2" s="1"/>
  <c r="B310" i="2"/>
  <c r="A310" i="2" s="1"/>
  <c r="B311" i="2"/>
  <c r="A311" i="2" s="1"/>
  <c r="B312" i="2"/>
  <c r="A312" i="2" s="1"/>
  <c r="B313" i="2"/>
  <c r="A313" i="2" s="1"/>
  <c r="AU6" i="5"/>
  <c r="AU7" i="5"/>
  <c r="AU8" i="5"/>
  <c r="AU9" i="5"/>
  <c r="AU10" i="5"/>
  <c r="AU11" i="5"/>
  <c r="AU12" i="5"/>
  <c r="AU13" i="5"/>
  <c r="AU14" i="5"/>
  <c r="AU15" i="5"/>
  <c r="AU16" i="5"/>
  <c r="AU17" i="5"/>
  <c r="AU18" i="5"/>
  <c r="AU19" i="5"/>
  <c r="AU20" i="5"/>
  <c r="AU21" i="5"/>
  <c r="AU22" i="5"/>
  <c r="AU23" i="5"/>
  <c r="AU24" i="5"/>
  <c r="AU25" i="5"/>
  <c r="AU26" i="5"/>
  <c r="AU27" i="5"/>
  <c r="AU28" i="5"/>
  <c r="AU29" i="5"/>
  <c r="AU5" i="5"/>
  <c r="AE26" i="1"/>
  <c r="AE25" i="1"/>
  <c r="AE15" i="1"/>
  <c r="AE16" i="1"/>
  <c r="AE17" i="1"/>
  <c r="AE18" i="1"/>
  <c r="AE19" i="1"/>
  <c r="AE20" i="1"/>
  <c r="AE21" i="1"/>
  <c r="AE22" i="1"/>
  <c r="AE23" i="1"/>
  <c r="AE24" i="1"/>
  <c r="AE14" i="1"/>
  <c r="B278" i="2"/>
  <c r="A278" i="2" s="1"/>
  <c r="B279" i="2"/>
  <c r="A279" i="2" s="1"/>
  <c r="B280" i="2"/>
  <c r="A280" i="2" s="1"/>
  <c r="B281" i="2"/>
  <c r="A281" i="2" s="1"/>
  <c r="B282" i="2"/>
  <c r="A282" i="2" s="1"/>
  <c r="B283" i="2"/>
  <c r="A283" i="2" s="1"/>
  <c r="B284" i="2"/>
  <c r="A284" i="2" s="1"/>
  <c r="B285" i="2"/>
  <c r="A285" i="2" s="1"/>
  <c r="B286" i="2"/>
  <c r="A286" i="2" s="1"/>
  <c r="B287" i="2"/>
  <c r="A287" i="2" s="1"/>
  <c r="B288" i="2"/>
  <c r="A288" i="2" s="1"/>
  <c r="B289" i="2"/>
  <c r="A289" i="2" s="1"/>
  <c r="B290" i="2"/>
  <c r="A290" i="2" s="1"/>
  <c r="B291" i="2"/>
  <c r="A291" i="2" s="1"/>
  <c r="B292" i="2"/>
  <c r="A292" i="2" s="1"/>
  <c r="B293" i="2"/>
  <c r="A293" i="2" s="1"/>
  <c r="B294" i="2"/>
  <c r="A294" i="2" s="1"/>
  <c r="B295" i="2"/>
  <c r="A295" i="2" s="1"/>
  <c r="B296" i="2"/>
  <c r="A296" i="2" s="1"/>
  <c r="AE27" i="1"/>
  <c r="C3" i="1"/>
  <c r="B3" i="1" s="1"/>
  <c r="B260" i="2"/>
  <c r="A260" i="2" s="1"/>
  <c r="B261" i="2"/>
  <c r="A261" i="2" s="1"/>
  <c r="B262" i="2"/>
  <c r="A262" i="2" s="1"/>
  <c r="B263" i="2"/>
  <c r="A263" i="2" s="1"/>
  <c r="B264" i="2"/>
  <c r="A264" i="2" s="1"/>
  <c r="B265" i="2"/>
  <c r="A265" i="2" s="1"/>
  <c r="B266" i="2"/>
  <c r="A266" i="2" s="1"/>
  <c r="B267" i="2"/>
  <c r="A267" i="2" s="1"/>
  <c r="B268" i="2"/>
  <c r="A268" i="2" s="1"/>
  <c r="B269" i="2"/>
  <c r="A269" i="2" s="1"/>
  <c r="B270" i="2"/>
  <c r="A270" i="2" s="1"/>
  <c r="B271" i="2"/>
  <c r="A271" i="2" s="1"/>
  <c r="B272" i="2"/>
  <c r="A272" i="2" s="1"/>
  <c r="B273" i="2"/>
  <c r="A273" i="2" s="1"/>
  <c r="B274" i="2"/>
  <c r="A274" i="2" s="1"/>
  <c r="B275" i="2"/>
  <c r="A275" i="2" s="1"/>
  <c r="B276" i="2"/>
  <c r="A276" i="2" s="1"/>
  <c r="B277" i="2"/>
  <c r="A277" i="2" s="1"/>
  <c r="B239" i="2"/>
  <c r="A239" i="2" s="1"/>
  <c r="B240" i="2"/>
  <c r="A240" i="2" s="1"/>
  <c r="B241" i="2"/>
  <c r="A241" i="2" s="1"/>
  <c r="B242" i="2"/>
  <c r="A242" i="2" s="1"/>
  <c r="B243" i="2"/>
  <c r="A243" i="2" s="1"/>
  <c r="B244" i="2"/>
  <c r="A244" i="2" s="1"/>
  <c r="B245" i="2"/>
  <c r="A245" i="2" s="1"/>
  <c r="B246" i="2"/>
  <c r="A246" i="2" s="1"/>
  <c r="B247" i="2"/>
  <c r="A247" i="2" s="1"/>
  <c r="B248" i="2"/>
  <c r="A248" i="2" s="1"/>
  <c r="B249" i="2"/>
  <c r="A249" i="2" s="1"/>
  <c r="B250" i="2"/>
  <c r="A250" i="2" s="1"/>
  <c r="B251" i="2"/>
  <c r="A251" i="2" s="1"/>
  <c r="B252" i="2"/>
  <c r="A252" i="2" s="1"/>
  <c r="B253" i="2"/>
  <c r="A253" i="2" s="1"/>
  <c r="B254" i="2"/>
  <c r="A254" i="2" s="1"/>
  <c r="B255" i="2"/>
  <c r="A255" i="2" s="1"/>
  <c r="B256" i="2"/>
  <c r="A256" i="2" s="1"/>
  <c r="B257" i="2"/>
  <c r="A257" i="2" s="1"/>
  <c r="B258" i="2"/>
  <c r="A258" i="2" s="1"/>
  <c r="B259" i="2"/>
  <c r="A259" i="2" s="1"/>
  <c r="B1" i="2"/>
  <c r="A1" i="2" s="1"/>
  <c r="B2" i="2"/>
  <c r="A2" i="2" s="1"/>
  <c r="B3" i="2"/>
  <c r="A3" i="2" s="1"/>
  <c r="B4" i="2"/>
  <c r="A4" i="2" s="1"/>
  <c r="B5" i="2"/>
  <c r="A5" i="2" s="1"/>
  <c r="B6" i="2"/>
  <c r="A6" i="2" s="1"/>
  <c r="B7" i="2"/>
  <c r="A7" i="2" s="1"/>
  <c r="B8" i="2"/>
  <c r="A8" i="2" s="1"/>
  <c r="B9" i="2"/>
  <c r="A9" i="2" s="1"/>
  <c r="B10" i="2"/>
  <c r="A10" i="2" s="1"/>
  <c r="B11" i="2"/>
  <c r="A11" i="2" s="1"/>
  <c r="B12" i="2"/>
  <c r="A12" i="2" s="1"/>
  <c r="B13" i="2"/>
  <c r="A13" i="2" s="1"/>
  <c r="B14" i="2"/>
  <c r="A14" i="2" s="1"/>
  <c r="B15" i="2"/>
  <c r="A15" i="2" s="1"/>
  <c r="B16" i="2"/>
  <c r="A16" i="2" s="1"/>
  <c r="B17" i="2"/>
  <c r="A17" i="2" s="1"/>
  <c r="B18" i="2"/>
  <c r="A18" i="2" s="1"/>
  <c r="B19" i="2"/>
  <c r="A19" i="2" s="1"/>
  <c r="B20" i="2"/>
  <c r="A20" i="2" s="1"/>
  <c r="B21" i="2"/>
  <c r="A21" i="2" s="1"/>
  <c r="B22" i="2"/>
  <c r="A22" i="2" s="1"/>
  <c r="B23" i="2"/>
  <c r="A23" i="2" s="1"/>
  <c r="B24" i="2"/>
  <c r="A24" i="2" s="1"/>
  <c r="B25" i="2"/>
  <c r="A25" i="2" s="1"/>
  <c r="B26" i="2"/>
  <c r="A26" i="2" s="1"/>
  <c r="B27" i="2"/>
  <c r="A27" i="2" s="1"/>
  <c r="B28" i="2"/>
  <c r="A28" i="2" s="1"/>
  <c r="B29" i="2"/>
  <c r="A29" i="2" s="1"/>
  <c r="B30" i="2"/>
  <c r="A30" i="2" s="1"/>
  <c r="B31" i="2"/>
  <c r="A31" i="2" s="1"/>
  <c r="B32" i="2"/>
  <c r="A32" i="2" s="1"/>
  <c r="B33" i="2"/>
  <c r="A33" i="2" s="1"/>
  <c r="B34" i="2"/>
  <c r="A34" i="2" s="1"/>
  <c r="B35" i="2"/>
  <c r="A35" i="2" s="1"/>
  <c r="B36" i="2"/>
  <c r="A36" i="2" s="1"/>
  <c r="B37" i="2"/>
  <c r="A37" i="2" s="1"/>
  <c r="B38" i="2"/>
  <c r="A38" i="2" s="1"/>
  <c r="B39" i="2"/>
  <c r="A39" i="2" s="1"/>
  <c r="B40" i="2"/>
  <c r="A40" i="2" s="1"/>
  <c r="B41" i="2"/>
  <c r="A41" i="2" s="1"/>
  <c r="B42" i="2"/>
  <c r="A42" i="2" s="1"/>
  <c r="B43" i="2"/>
  <c r="A43" i="2" s="1"/>
  <c r="B44" i="2"/>
  <c r="A44" i="2" s="1"/>
  <c r="B45" i="2"/>
  <c r="A45" i="2" s="1"/>
  <c r="B46" i="2"/>
  <c r="A46" i="2" s="1"/>
  <c r="B47" i="2"/>
  <c r="A47" i="2" s="1"/>
  <c r="B48" i="2"/>
  <c r="A48" i="2" s="1"/>
  <c r="B49" i="2"/>
  <c r="A49" i="2" s="1"/>
  <c r="B50" i="2"/>
  <c r="A50" i="2" s="1"/>
  <c r="B51" i="2"/>
  <c r="A51" i="2" s="1"/>
  <c r="B52" i="2"/>
  <c r="A52" i="2" s="1"/>
  <c r="B53" i="2"/>
  <c r="A53" i="2" s="1"/>
  <c r="B54" i="2"/>
  <c r="A54" i="2" s="1"/>
  <c r="B55" i="2"/>
  <c r="A55" i="2" s="1"/>
  <c r="B56" i="2"/>
  <c r="A56" i="2" s="1"/>
  <c r="B57" i="2"/>
  <c r="A57" i="2" s="1"/>
  <c r="B58" i="2"/>
  <c r="A58" i="2" s="1"/>
  <c r="B59" i="2"/>
  <c r="A59" i="2" s="1"/>
  <c r="B60" i="2"/>
  <c r="A60" i="2" s="1"/>
  <c r="B61" i="2"/>
  <c r="A61" i="2" s="1"/>
  <c r="B62" i="2"/>
  <c r="A62" i="2" s="1"/>
  <c r="B63" i="2"/>
  <c r="A63" i="2" s="1"/>
  <c r="B64" i="2"/>
  <c r="A64" i="2" s="1"/>
  <c r="B65" i="2"/>
  <c r="A65" i="2" s="1"/>
  <c r="B66" i="2"/>
  <c r="A66" i="2" s="1"/>
  <c r="B67" i="2"/>
  <c r="A67" i="2" s="1"/>
  <c r="B68" i="2"/>
  <c r="A68" i="2" s="1"/>
  <c r="B69" i="2"/>
  <c r="A69" i="2" s="1"/>
  <c r="B70" i="2"/>
  <c r="A70" i="2" s="1"/>
  <c r="B71" i="2"/>
  <c r="A71" i="2" s="1"/>
  <c r="B72" i="2"/>
  <c r="A72" i="2" s="1"/>
  <c r="B73" i="2"/>
  <c r="A73" i="2" s="1"/>
  <c r="B74" i="2"/>
  <c r="A74" i="2" s="1"/>
  <c r="B75" i="2"/>
  <c r="A75" i="2" s="1"/>
  <c r="B76" i="2"/>
  <c r="A76" i="2" s="1"/>
  <c r="B77" i="2"/>
  <c r="A77" i="2" s="1"/>
  <c r="B78" i="2"/>
  <c r="A78" i="2" s="1"/>
  <c r="B79" i="2"/>
  <c r="A79" i="2" s="1"/>
  <c r="B80" i="2"/>
  <c r="A80" i="2" s="1"/>
  <c r="B81" i="2"/>
  <c r="A81" i="2" s="1"/>
  <c r="B82" i="2"/>
  <c r="A82" i="2" s="1"/>
  <c r="B83" i="2"/>
  <c r="A83" i="2" s="1"/>
  <c r="B84" i="2"/>
  <c r="A84" i="2" s="1"/>
  <c r="B85" i="2"/>
  <c r="A85" i="2" s="1"/>
  <c r="B86" i="2"/>
  <c r="A86" i="2" s="1"/>
  <c r="B87" i="2"/>
  <c r="A87" i="2" s="1"/>
  <c r="B88" i="2"/>
  <c r="A88" i="2" s="1"/>
  <c r="B89" i="2"/>
  <c r="A89" i="2" s="1"/>
  <c r="B90" i="2"/>
  <c r="A90" i="2" s="1"/>
  <c r="B91" i="2"/>
  <c r="A91" i="2" s="1"/>
  <c r="B92" i="2"/>
  <c r="A92" i="2" s="1"/>
  <c r="B93" i="2"/>
  <c r="A93" i="2" s="1"/>
  <c r="B94" i="2"/>
  <c r="A94" i="2" s="1"/>
  <c r="B95" i="2"/>
  <c r="A95" i="2" s="1"/>
  <c r="B96" i="2"/>
  <c r="A96" i="2" s="1"/>
  <c r="B97" i="2"/>
  <c r="A97" i="2" s="1"/>
  <c r="B98" i="2"/>
  <c r="A98" i="2" s="1"/>
  <c r="B99" i="2"/>
  <c r="A99" i="2" s="1"/>
  <c r="B100" i="2"/>
  <c r="A100" i="2" s="1"/>
  <c r="B101" i="2"/>
  <c r="A101" i="2" s="1"/>
  <c r="B102" i="2"/>
  <c r="A102" i="2" s="1"/>
  <c r="B103" i="2"/>
  <c r="A103" i="2" s="1"/>
  <c r="B104" i="2"/>
  <c r="A104" i="2" s="1"/>
  <c r="B105" i="2"/>
  <c r="A105" i="2" s="1"/>
  <c r="B106" i="2"/>
  <c r="A106" i="2" s="1"/>
  <c r="B107" i="2"/>
  <c r="A107" i="2" s="1"/>
  <c r="B108" i="2"/>
  <c r="A108" i="2" s="1"/>
  <c r="B109" i="2"/>
  <c r="A109" i="2" s="1"/>
  <c r="B110" i="2"/>
  <c r="A110" i="2" s="1"/>
  <c r="B111" i="2"/>
  <c r="A111" i="2" s="1"/>
  <c r="B112" i="2"/>
  <c r="A112" i="2" s="1"/>
  <c r="B113" i="2"/>
  <c r="A113" i="2" s="1"/>
  <c r="B114" i="2"/>
  <c r="A114" i="2" s="1"/>
  <c r="B115" i="2"/>
  <c r="A115" i="2" s="1"/>
  <c r="B116" i="2"/>
  <c r="A116" i="2" s="1"/>
  <c r="B117" i="2"/>
  <c r="A117" i="2" s="1"/>
  <c r="B118" i="2"/>
  <c r="A118" i="2" s="1"/>
  <c r="B119" i="2"/>
  <c r="A119" i="2" s="1"/>
  <c r="B120" i="2"/>
  <c r="A120" i="2" s="1"/>
  <c r="B121" i="2"/>
  <c r="A121" i="2" s="1"/>
  <c r="B122" i="2"/>
  <c r="A122" i="2" s="1"/>
  <c r="B123" i="2"/>
  <c r="A123" i="2" s="1"/>
  <c r="B124" i="2"/>
  <c r="A124" i="2" s="1"/>
  <c r="B125" i="2"/>
  <c r="A125" i="2" s="1"/>
  <c r="B126" i="2"/>
  <c r="A126" i="2" s="1"/>
  <c r="B127" i="2"/>
  <c r="A127" i="2" s="1"/>
  <c r="B128" i="2"/>
  <c r="A128" i="2" s="1"/>
  <c r="B129" i="2"/>
  <c r="A129" i="2" s="1"/>
  <c r="B130" i="2"/>
  <c r="A130" i="2" s="1"/>
  <c r="B131" i="2"/>
  <c r="A131" i="2" s="1"/>
  <c r="B132" i="2"/>
  <c r="A132" i="2" s="1"/>
  <c r="B133" i="2"/>
  <c r="A133" i="2" s="1"/>
  <c r="B134" i="2"/>
  <c r="A134" i="2" s="1"/>
  <c r="B135" i="2"/>
  <c r="A135" i="2" s="1"/>
  <c r="B136" i="2"/>
  <c r="A136" i="2" s="1"/>
  <c r="B137" i="2"/>
  <c r="A137" i="2" s="1"/>
  <c r="B138" i="2"/>
  <c r="A138" i="2" s="1"/>
  <c r="B139" i="2"/>
  <c r="A139" i="2" s="1"/>
  <c r="B140" i="2"/>
  <c r="A140" i="2" s="1"/>
  <c r="B141" i="2"/>
  <c r="A141" i="2" s="1"/>
  <c r="B142" i="2"/>
  <c r="A142" i="2" s="1"/>
  <c r="B143" i="2"/>
  <c r="A143" i="2" s="1"/>
  <c r="B144" i="2"/>
  <c r="A144" i="2" s="1"/>
  <c r="B145" i="2"/>
  <c r="A145" i="2" s="1"/>
  <c r="B146" i="2"/>
  <c r="A146" i="2" s="1"/>
  <c r="B147" i="2"/>
  <c r="A147" i="2" s="1"/>
  <c r="B148" i="2"/>
  <c r="A148" i="2" s="1"/>
  <c r="B149" i="2"/>
  <c r="A149" i="2" s="1"/>
  <c r="B150" i="2"/>
  <c r="A150" i="2" s="1"/>
  <c r="B151" i="2"/>
  <c r="A151" i="2" s="1"/>
  <c r="B152" i="2"/>
  <c r="A152" i="2" s="1"/>
  <c r="B153" i="2"/>
  <c r="A153" i="2" s="1"/>
  <c r="B154" i="2"/>
  <c r="A154" i="2" s="1"/>
  <c r="B155" i="2"/>
  <c r="A155" i="2" s="1"/>
  <c r="B156" i="2"/>
  <c r="A156" i="2" s="1"/>
  <c r="B157" i="2"/>
  <c r="A157" i="2" s="1"/>
  <c r="B158" i="2"/>
  <c r="A158" i="2" s="1"/>
  <c r="B159" i="2"/>
  <c r="A159" i="2" s="1"/>
  <c r="B160" i="2"/>
  <c r="A160" i="2" s="1"/>
  <c r="B161" i="2"/>
  <c r="A161" i="2" s="1"/>
  <c r="B162" i="2"/>
  <c r="A162" i="2" s="1"/>
  <c r="B163" i="2"/>
  <c r="A163" i="2" s="1"/>
  <c r="B164" i="2"/>
  <c r="A164" i="2" s="1"/>
  <c r="B165" i="2"/>
  <c r="A165" i="2" s="1"/>
  <c r="B166" i="2"/>
  <c r="A166" i="2" s="1"/>
  <c r="B167" i="2"/>
  <c r="A167" i="2" s="1"/>
  <c r="B168" i="2"/>
  <c r="A168" i="2" s="1"/>
  <c r="B169" i="2"/>
  <c r="A169" i="2" s="1"/>
  <c r="B170" i="2"/>
  <c r="A170" i="2" s="1"/>
  <c r="B171" i="2"/>
  <c r="A171" i="2" s="1"/>
  <c r="B172" i="2"/>
  <c r="A172" i="2" s="1"/>
  <c r="B173" i="2"/>
  <c r="A173" i="2" s="1"/>
  <c r="B174" i="2"/>
  <c r="A174" i="2" s="1"/>
  <c r="B175" i="2"/>
  <c r="A175" i="2" s="1"/>
  <c r="B176" i="2"/>
  <c r="A176" i="2" s="1"/>
  <c r="B177" i="2"/>
  <c r="A177" i="2" s="1"/>
  <c r="B178" i="2"/>
  <c r="A178" i="2" s="1"/>
  <c r="B179" i="2"/>
  <c r="A179" i="2" s="1"/>
  <c r="B180" i="2"/>
  <c r="A180" i="2" s="1"/>
  <c r="B181" i="2"/>
  <c r="A181" i="2" s="1"/>
  <c r="B182" i="2"/>
  <c r="A182" i="2" s="1"/>
  <c r="B183" i="2"/>
  <c r="A183" i="2" s="1"/>
  <c r="B184" i="2"/>
  <c r="A184" i="2" s="1"/>
  <c r="B185" i="2"/>
  <c r="A185" i="2" s="1"/>
  <c r="B186" i="2"/>
  <c r="A186" i="2" s="1"/>
  <c r="B187" i="2"/>
  <c r="A187" i="2" s="1"/>
  <c r="B188" i="2"/>
  <c r="A188" i="2" s="1"/>
  <c r="B189" i="2"/>
  <c r="A189" i="2" s="1"/>
  <c r="B190" i="2"/>
  <c r="A190" i="2" s="1"/>
  <c r="B191" i="2"/>
  <c r="A191" i="2" s="1"/>
  <c r="B192" i="2"/>
  <c r="A192" i="2" s="1"/>
  <c r="B193" i="2"/>
  <c r="A193" i="2" s="1"/>
  <c r="B194" i="2"/>
  <c r="A194" i="2" s="1"/>
  <c r="B195" i="2"/>
  <c r="A195" i="2" s="1"/>
  <c r="B196" i="2"/>
  <c r="A196" i="2" s="1"/>
  <c r="B197" i="2"/>
  <c r="A197" i="2" s="1"/>
  <c r="B198" i="2"/>
  <c r="A198" i="2" s="1"/>
  <c r="B199" i="2"/>
  <c r="A199" i="2" s="1"/>
  <c r="B200" i="2"/>
  <c r="A200" i="2" s="1"/>
  <c r="B201" i="2"/>
  <c r="A201" i="2" s="1"/>
  <c r="B202" i="2"/>
  <c r="A202" i="2" s="1"/>
  <c r="B203" i="2"/>
  <c r="A203" i="2" s="1"/>
  <c r="B204" i="2"/>
  <c r="A204" i="2" s="1"/>
  <c r="B205" i="2"/>
  <c r="A205" i="2" s="1"/>
  <c r="B206" i="2"/>
  <c r="A206" i="2" s="1"/>
  <c r="B207" i="2"/>
  <c r="A207" i="2" s="1"/>
  <c r="B208" i="2"/>
  <c r="A208" i="2" s="1"/>
  <c r="B209" i="2"/>
  <c r="A209" i="2" s="1"/>
  <c r="B210" i="2"/>
  <c r="A210" i="2" s="1"/>
  <c r="B211" i="2"/>
  <c r="A211" i="2" s="1"/>
  <c r="B212" i="2"/>
  <c r="A212" i="2" s="1"/>
  <c r="B213" i="2"/>
  <c r="A213" i="2" s="1"/>
  <c r="B214" i="2"/>
  <c r="A214" i="2" s="1"/>
  <c r="B215" i="2"/>
  <c r="A215" i="2" s="1"/>
  <c r="B216" i="2"/>
  <c r="A216" i="2" s="1"/>
  <c r="B217" i="2"/>
  <c r="A217" i="2" s="1"/>
  <c r="B218" i="2"/>
  <c r="A218" i="2" s="1"/>
  <c r="B219" i="2"/>
  <c r="A219" i="2" s="1"/>
  <c r="B220" i="2"/>
  <c r="A220" i="2" s="1"/>
  <c r="B221" i="2"/>
  <c r="A221" i="2" s="1"/>
  <c r="B222" i="2"/>
  <c r="A222" i="2" s="1"/>
  <c r="B223" i="2"/>
  <c r="A223" i="2" s="1"/>
  <c r="B224" i="2"/>
  <c r="A224" i="2" s="1"/>
  <c r="B225" i="2"/>
  <c r="A225" i="2" s="1"/>
  <c r="B226" i="2"/>
  <c r="A226" i="2" s="1"/>
  <c r="B227" i="2"/>
  <c r="A227" i="2" s="1"/>
  <c r="B228" i="2"/>
  <c r="A228" i="2" s="1"/>
  <c r="B229" i="2"/>
  <c r="A229" i="2" s="1"/>
  <c r="B230" i="2"/>
  <c r="A230" i="2" s="1"/>
  <c r="B231" i="2"/>
  <c r="A231" i="2" s="1"/>
  <c r="B232" i="2"/>
  <c r="A232" i="2" s="1"/>
  <c r="B233" i="2"/>
  <c r="A233" i="2" s="1"/>
  <c r="B234" i="2"/>
  <c r="A234" i="2" s="1"/>
  <c r="B235" i="2"/>
  <c r="A235" i="2" s="1"/>
  <c r="B236" i="2"/>
  <c r="A236" i="2" s="1"/>
  <c r="B237" i="2"/>
  <c r="A237" i="2" s="1"/>
  <c r="B238" i="2"/>
  <c r="A238" i="2" s="1"/>
  <c r="C5910" i="1"/>
  <c r="B5910" i="1" s="1"/>
  <c r="C5909" i="1"/>
  <c r="B5909" i="1"/>
  <c r="C5541" i="1"/>
  <c r="B5541" i="1" s="1"/>
  <c r="C5540" i="1"/>
  <c r="B5540" i="1" s="1"/>
  <c r="C5172" i="1"/>
  <c r="B5172" i="1" s="1"/>
  <c r="C5171" i="1"/>
  <c r="B5171" i="1" s="1"/>
  <c r="C4803" i="1"/>
  <c r="B4803" i="1" s="1"/>
  <c r="C4802" i="1"/>
  <c r="B4802" i="1" s="1"/>
  <c r="C4434" i="1"/>
  <c r="B4434" i="1" s="1"/>
  <c r="C4433" i="1"/>
  <c r="B4433" i="1" s="1"/>
  <c r="C4065" i="1"/>
  <c r="B4065" i="1" s="1"/>
  <c r="C4064" i="1"/>
  <c r="B4064" i="1" s="1"/>
  <c r="C3696" i="1"/>
  <c r="B3696" i="1" s="1"/>
  <c r="C3695" i="1"/>
  <c r="B3695" i="1" s="1"/>
  <c r="C3327" i="1"/>
  <c r="B3327" i="1" s="1"/>
  <c r="C3326" i="1"/>
  <c r="B3326" i="1" s="1"/>
  <c r="C2958" i="1"/>
  <c r="B2958" i="1" s="1"/>
  <c r="C2957" i="1"/>
  <c r="B2957" i="1" s="1"/>
  <c r="C2589" i="1"/>
  <c r="B2589" i="1" s="1"/>
  <c r="C2588" i="1"/>
  <c r="B2588" i="1" s="1"/>
  <c r="C2220" i="1"/>
  <c r="B2220" i="1" s="1"/>
  <c r="C2219" i="1"/>
  <c r="B2219" i="1" s="1"/>
  <c r="C1851" i="1"/>
  <c r="B1851" i="1" s="1"/>
  <c r="C1850" i="1"/>
  <c r="B1850" i="1" s="1"/>
  <c r="C1482" i="1"/>
  <c r="B1482" i="1" s="1"/>
  <c r="C1481" i="1"/>
  <c r="B1481" i="1" s="1"/>
  <c r="C1113" i="1"/>
  <c r="B1113" i="1" s="1"/>
  <c r="C1112" i="1"/>
  <c r="B1112" i="1" s="1"/>
  <c r="C744" i="1"/>
  <c r="B744" i="1" s="1"/>
  <c r="C743" i="1"/>
  <c r="B743" i="1" s="1"/>
  <c r="C375" i="1"/>
  <c r="B375" i="1" s="1"/>
  <c r="C374" i="1"/>
  <c r="B374" i="1" s="1"/>
  <c r="AE5" i="1"/>
  <c r="AE6" i="1"/>
  <c r="AE7" i="1"/>
  <c r="AE8" i="1"/>
  <c r="AE9" i="1"/>
  <c r="AE10" i="1"/>
  <c r="AE11" i="1"/>
  <c r="AE12" i="1"/>
  <c r="AE13" i="1"/>
  <c r="AE29" i="1"/>
  <c r="C2" i="1"/>
  <c r="B2" i="1" s="1"/>
  <c r="C4" i="1"/>
  <c r="B4" i="1" s="1"/>
  <c r="AM32" i="5"/>
  <c r="AL32" i="5"/>
  <c r="AO32" i="5"/>
  <c r="AP32" i="5"/>
  <c r="AQ32" i="5"/>
  <c r="AR32" i="5"/>
  <c r="AS32" i="5"/>
  <c r="AT32" i="5"/>
  <c r="AU32" i="5" s="1"/>
  <c r="AN32" i="5"/>
  <c r="AE30" i="1"/>
  <c r="AE4" i="1"/>
  <c r="I6" i="1" l="1"/>
  <c r="I3" i="1"/>
  <c r="I2" i="1"/>
  <c r="I26" i="1"/>
  <c r="I25" i="1"/>
  <c r="I24" i="1"/>
  <c r="I23" i="1"/>
  <c r="I20" i="1"/>
  <c r="I16" i="1"/>
  <c r="I22" i="1"/>
  <c r="I17" i="1"/>
  <c r="I13" i="1"/>
  <c r="I10" i="1"/>
  <c r="I8" i="1"/>
  <c r="I21" i="1"/>
  <c r="I19" i="1"/>
  <c r="I18" i="1"/>
  <c r="I15" i="1"/>
  <c r="I14" i="1"/>
  <c r="I12" i="1"/>
  <c r="I11" i="1"/>
  <c r="I9" i="1"/>
  <c r="I7" i="1"/>
  <c r="I5" i="1"/>
  <c r="I4" i="1"/>
  <c r="L3" i="1"/>
  <c r="F3" i="1" s="1"/>
  <c r="M3" i="1"/>
  <c r="G3" i="1" s="1"/>
  <c r="N3" i="1"/>
  <c r="H3" i="1" s="1"/>
  <c r="L2" i="1"/>
  <c r="F2" i="1" s="1"/>
  <c r="N2" i="1"/>
  <c r="H2" i="1" s="1"/>
  <c r="M2" i="1"/>
  <c r="G2" i="1" s="1"/>
  <c r="N4" i="1"/>
  <c r="H4" i="1" s="1"/>
  <c r="L4" i="1"/>
  <c r="F4" i="1" s="1"/>
  <c r="M4" i="1"/>
  <c r="G4" i="1" s="1"/>
  <c r="N253" i="1"/>
  <c r="H253" i="1" s="1"/>
  <c r="N252" i="1"/>
  <c r="H252" i="1" s="1"/>
  <c r="L253" i="1"/>
  <c r="F253" i="1" s="1"/>
  <c r="M252" i="1"/>
  <c r="G252" i="1" s="1"/>
  <c r="M253" i="1"/>
  <c r="G253" i="1" s="1"/>
  <c r="L252" i="1"/>
  <c r="F252" i="1" s="1"/>
  <c r="M25" i="1"/>
  <c r="G25" i="1" s="1"/>
  <c r="L34" i="1"/>
  <c r="F34" i="1" s="1"/>
  <c r="L37" i="1"/>
  <c r="F37" i="1" s="1"/>
  <c r="I244" i="1"/>
  <c r="N36" i="1"/>
  <c r="H36" i="1" s="1"/>
  <c r="L36" i="1"/>
  <c r="F36" i="1" s="1"/>
  <c r="N33" i="1"/>
  <c r="H33" i="1" s="1"/>
  <c r="N25" i="1"/>
  <c r="H25" i="1" s="1"/>
  <c r="L17" i="1"/>
  <c r="F17" i="1" s="1"/>
  <c r="L15" i="1"/>
  <c r="F15" i="1" s="1"/>
  <c r="N15" i="1"/>
  <c r="H15" i="1" s="1"/>
  <c r="N14" i="1"/>
  <c r="H14" i="1" s="1"/>
  <c r="N6" i="1"/>
  <c r="H6" i="1" s="1"/>
  <c r="M6" i="1"/>
  <c r="G6" i="1" s="1"/>
  <c r="I27" i="1"/>
  <c r="M36" i="1"/>
  <c r="G36" i="1" s="1"/>
  <c r="M15" i="1"/>
  <c r="G15" i="1" s="1"/>
  <c r="M34" i="1"/>
  <c r="G34" i="1" s="1"/>
  <c r="N16" i="1"/>
  <c r="H16" i="1" s="1"/>
  <c r="M9" i="1"/>
  <c r="G9" i="1" s="1"/>
  <c r="L6" i="1"/>
  <c r="F6" i="1" s="1"/>
  <c r="N7" i="1"/>
  <c r="H7" i="1" s="1"/>
  <c r="I28" i="1"/>
  <c r="I248" i="1"/>
  <c r="L144" i="1"/>
  <c r="F144" i="1" s="1"/>
  <c r="N101" i="1"/>
  <c r="H101" i="1" s="1"/>
  <c r="L189" i="1"/>
  <c r="F189" i="1" s="1"/>
  <c r="I161" i="1"/>
  <c r="L104" i="1"/>
  <c r="F104" i="1" s="1"/>
  <c r="I162" i="1"/>
  <c r="N191" i="1"/>
  <c r="H191" i="1" s="1"/>
  <c r="M122" i="1"/>
  <c r="G122" i="1" s="1"/>
  <c r="I90" i="1"/>
  <c r="N122" i="1"/>
  <c r="H122" i="1" s="1"/>
  <c r="I321" i="1"/>
  <c r="M58" i="1"/>
  <c r="G58" i="1" s="1"/>
  <c r="N308" i="1"/>
  <c r="H308" i="1" s="1"/>
  <c r="I306" i="1"/>
  <c r="L105" i="1"/>
  <c r="F105" i="1" s="1"/>
  <c r="I86" i="1"/>
  <c r="M241" i="1"/>
  <c r="G241" i="1" s="1"/>
  <c r="I216" i="1"/>
  <c r="N241" i="1"/>
  <c r="H241" i="1" s="1"/>
  <c r="I160" i="1"/>
  <c r="L223" i="1"/>
  <c r="F223" i="1" s="1"/>
  <c r="I215" i="1"/>
  <c r="L197" i="1"/>
  <c r="F197" i="1" s="1"/>
  <c r="I320" i="1"/>
  <c r="M197" i="1"/>
  <c r="G197" i="1" s="1"/>
  <c r="L123" i="1"/>
  <c r="F123" i="1" s="1"/>
  <c r="I299" i="1"/>
  <c r="N264" i="1"/>
  <c r="H264" i="1" s="1"/>
  <c r="L59" i="1"/>
  <c r="F59" i="1" s="1"/>
  <c r="N155" i="1"/>
  <c r="H155" i="1" s="1"/>
  <c r="N77" i="1"/>
  <c r="H77" i="1" s="1"/>
  <c r="I217" i="1"/>
  <c r="L309" i="1"/>
  <c r="F309" i="1" s="1"/>
  <c r="L349" i="1"/>
  <c r="F349" i="1" s="1"/>
  <c r="L284" i="1"/>
  <c r="F284" i="1" s="1"/>
  <c r="L145" i="1"/>
  <c r="F145" i="1" s="1"/>
  <c r="N348" i="1"/>
  <c r="H348" i="1" s="1"/>
  <c r="I319" i="1"/>
  <c r="L224" i="1"/>
  <c r="F224" i="1" s="1"/>
  <c r="M265" i="1"/>
  <c r="G265" i="1" s="1"/>
  <c r="M327" i="1"/>
  <c r="G327" i="1" s="1"/>
  <c r="M191" i="1"/>
  <c r="G191" i="1" s="1"/>
  <c r="M309" i="1"/>
  <c r="G309" i="1" s="1"/>
  <c r="N163" i="1"/>
  <c r="H163" i="1" s="1"/>
  <c r="M145" i="1"/>
  <c r="G145" i="1" s="1"/>
  <c r="N225" i="1"/>
  <c r="H225" i="1" s="1"/>
  <c r="L327" i="1"/>
  <c r="F327" i="1" s="1"/>
  <c r="M358" i="1"/>
  <c r="G358" i="1" s="1"/>
  <c r="L265" i="1"/>
  <c r="F265" i="1" s="1"/>
  <c r="N283" i="1"/>
  <c r="H283" i="1" s="1"/>
  <c r="L103" i="1"/>
  <c r="F103" i="1" s="1"/>
  <c r="N145" i="1"/>
  <c r="H145" i="1" s="1"/>
  <c r="N327" i="1"/>
  <c r="H327" i="1" s="1"/>
  <c r="N58" i="1"/>
  <c r="H58" i="1" s="1"/>
  <c r="M243" i="1"/>
  <c r="G243" i="1" s="1"/>
  <c r="M348" i="1"/>
  <c r="G348" i="1" s="1"/>
  <c r="I307" i="1"/>
  <c r="N197" i="1"/>
  <c r="H197" i="1" s="1"/>
  <c r="I84" i="1"/>
  <c r="I317" i="1"/>
  <c r="N76" i="1"/>
  <c r="H76" i="1" s="1"/>
  <c r="L155" i="1"/>
  <c r="F155" i="1" s="1"/>
  <c r="N240" i="1"/>
  <c r="H240" i="1" s="1"/>
  <c r="L315" i="1"/>
  <c r="F315" i="1" s="1"/>
  <c r="I318" i="1"/>
  <c r="L77" i="1"/>
  <c r="F77" i="1" s="1"/>
  <c r="N196" i="1"/>
  <c r="H196" i="1" s="1"/>
  <c r="L283" i="1"/>
  <c r="F283" i="1" s="1"/>
  <c r="I91" i="1"/>
  <c r="I189" i="1"/>
  <c r="N121" i="1"/>
  <c r="H121" i="1" s="1"/>
  <c r="M196" i="1"/>
  <c r="G196" i="1" s="1"/>
  <c r="N282" i="1"/>
  <c r="H282" i="1" s="1"/>
  <c r="L357" i="1"/>
  <c r="F357" i="1" s="1"/>
  <c r="I85" i="1"/>
  <c r="L122" i="1"/>
  <c r="F122" i="1" s="1"/>
  <c r="L241" i="1"/>
  <c r="F241" i="1" s="1"/>
  <c r="M315" i="1"/>
  <c r="G315" i="1" s="1"/>
  <c r="M77" i="1"/>
  <c r="G77" i="1" s="1"/>
  <c r="N357" i="1"/>
  <c r="H357" i="1" s="1"/>
  <c r="M163" i="1"/>
  <c r="G163" i="1" s="1"/>
  <c r="N78" i="1"/>
  <c r="H78" i="1" s="1"/>
  <c r="I214" i="1"/>
  <c r="M155" i="1"/>
  <c r="G155" i="1" s="1"/>
  <c r="M357" i="1"/>
  <c r="G357" i="1" s="1"/>
  <c r="M283" i="1"/>
  <c r="G283" i="1" s="1"/>
  <c r="N358" i="1"/>
  <c r="H358" i="1" s="1"/>
  <c r="M121" i="1"/>
  <c r="G121" i="1" s="1"/>
  <c r="L314" i="1"/>
  <c r="F314" i="1" s="1"/>
  <c r="N313" i="1"/>
  <c r="H313" i="1" s="1"/>
  <c r="I187" i="1"/>
  <c r="N356" i="1"/>
  <c r="H356" i="1" s="1"/>
  <c r="L281" i="1"/>
  <c r="F281" i="1" s="1"/>
  <c r="M240" i="1"/>
  <c r="G240" i="1" s="1"/>
  <c r="L196" i="1"/>
  <c r="F196" i="1" s="1"/>
  <c r="N154" i="1"/>
  <c r="H154" i="1" s="1"/>
  <c r="M76" i="1"/>
  <c r="G76" i="1" s="1"/>
  <c r="I316" i="1"/>
  <c r="I188" i="1"/>
  <c r="I83" i="1"/>
  <c r="M356" i="1"/>
  <c r="G356" i="1" s="1"/>
  <c r="N280" i="1"/>
  <c r="H280" i="1" s="1"/>
  <c r="L240" i="1"/>
  <c r="F240" i="1" s="1"/>
  <c r="L195" i="1"/>
  <c r="F195" i="1" s="1"/>
  <c r="M154" i="1"/>
  <c r="G154" i="1" s="1"/>
  <c r="L109" i="1"/>
  <c r="F109" i="1" s="1"/>
  <c r="N74" i="1"/>
  <c r="H74" i="1" s="1"/>
  <c r="I313" i="1"/>
  <c r="I64" i="1"/>
  <c r="M351" i="1"/>
  <c r="G351" i="1" s="1"/>
  <c r="M313" i="1"/>
  <c r="G313" i="1" s="1"/>
  <c r="M268" i="1"/>
  <c r="G268" i="1" s="1"/>
  <c r="N239" i="1"/>
  <c r="H239" i="1" s="1"/>
  <c r="N194" i="1"/>
  <c r="H194" i="1" s="1"/>
  <c r="M153" i="1"/>
  <c r="G153" i="1" s="1"/>
  <c r="N108" i="1"/>
  <c r="H108" i="1" s="1"/>
  <c r="M74" i="1"/>
  <c r="G74" i="1" s="1"/>
  <c r="L32" i="1"/>
  <c r="F32" i="1" s="1"/>
  <c r="I312" i="1"/>
  <c r="I174" i="1"/>
  <c r="I40" i="1"/>
  <c r="L351" i="1"/>
  <c r="F351" i="1" s="1"/>
  <c r="L313" i="1"/>
  <c r="F313" i="1" s="1"/>
  <c r="N266" i="1"/>
  <c r="H266" i="1" s="1"/>
  <c r="N238" i="1"/>
  <c r="H238" i="1" s="1"/>
  <c r="M194" i="1"/>
  <c r="G194" i="1" s="1"/>
  <c r="L153" i="1"/>
  <c r="F153" i="1" s="1"/>
  <c r="M106" i="1"/>
  <c r="G106" i="1" s="1"/>
  <c r="L74" i="1"/>
  <c r="F74" i="1" s="1"/>
  <c r="N31" i="1"/>
  <c r="H31" i="1" s="1"/>
  <c r="I311" i="1"/>
  <c r="I173" i="1"/>
  <c r="I32" i="1"/>
  <c r="L350" i="1"/>
  <c r="F350" i="1" s="1"/>
  <c r="N312" i="1"/>
  <c r="H312" i="1" s="1"/>
  <c r="M266" i="1"/>
  <c r="G266" i="1" s="1"/>
  <c r="L233" i="1"/>
  <c r="F233" i="1" s="1"/>
  <c r="L194" i="1"/>
  <c r="F194" i="1" s="1"/>
  <c r="N152" i="1"/>
  <c r="H152" i="1" s="1"/>
  <c r="L106" i="1"/>
  <c r="F106" i="1" s="1"/>
  <c r="M72" i="1"/>
  <c r="G72" i="1" s="1"/>
  <c r="N30" i="1"/>
  <c r="H30" i="1" s="1"/>
  <c r="I310" i="1"/>
  <c r="I172" i="1"/>
  <c r="I31" i="1"/>
  <c r="N349" i="1"/>
  <c r="H349" i="1" s="1"/>
  <c r="M312" i="1"/>
  <c r="G312" i="1" s="1"/>
  <c r="L266" i="1"/>
  <c r="F266" i="1" s="1"/>
  <c r="N232" i="1"/>
  <c r="H232" i="1" s="1"/>
  <c r="N193" i="1"/>
  <c r="H193" i="1" s="1"/>
  <c r="L147" i="1"/>
  <c r="F147" i="1" s="1"/>
  <c r="N105" i="1"/>
  <c r="H105" i="1" s="1"/>
  <c r="N59" i="1"/>
  <c r="H59" i="1" s="1"/>
  <c r="M30" i="1"/>
  <c r="G30" i="1" s="1"/>
  <c r="I309" i="1"/>
  <c r="I169" i="1"/>
  <c r="I30" i="1"/>
  <c r="M349" i="1"/>
  <c r="G349" i="1" s="1"/>
  <c r="M310" i="1"/>
  <c r="G310" i="1" s="1"/>
  <c r="N265" i="1"/>
  <c r="H265" i="1" s="1"/>
  <c r="M232" i="1"/>
  <c r="G232" i="1" s="1"/>
  <c r="L192" i="1"/>
  <c r="F192" i="1" s="1"/>
  <c r="N146" i="1"/>
  <c r="H146" i="1" s="1"/>
  <c r="M105" i="1"/>
  <c r="G105" i="1" s="1"/>
  <c r="M59" i="1"/>
  <c r="G59" i="1" s="1"/>
  <c r="N26" i="1"/>
  <c r="H26" i="1" s="1"/>
  <c r="I308" i="1"/>
  <c r="I168" i="1"/>
  <c r="I29" i="1"/>
  <c r="N188" i="1"/>
  <c r="H188" i="1" s="1"/>
  <c r="L347" i="1"/>
  <c r="F347" i="1" s="1"/>
  <c r="L308" i="1"/>
  <c r="F308" i="1" s="1"/>
  <c r="L264" i="1"/>
  <c r="F264" i="1" s="1"/>
  <c r="M222" i="1"/>
  <c r="G222" i="1" s="1"/>
  <c r="M176" i="1"/>
  <c r="G176" i="1" s="1"/>
  <c r="M144" i="1"/>
  <c r="G144" i="1" s="1"/>
  <c r="M102" i="1"/>
  <c r="G102" i="1" s="1"/>
  <c r="N57" i="1"/>
  <c r="H57" i="1" s="1"/>
  <c r="I297" i="1"/>
  <c r="I156" i="1"/>
  <c r="M57" i="1"/>
  <c r="G57" i="1" s="1"/>
  <c r="N142" i="1"/>
  <c r="H142" i="1" s="1"/>
  <c r="L58" i="1"/>
  <c r="F58" i="1" s="1"/>
  <c r="N102" i="1"/>
  <c r="H102" i="1" s="1"/>
  <c r="L222" i="1"/>
  <c r="F222" i="1" s="1"/>
  <c r="I254" i="1"/>
  <c r="I152" i="1"/>
  <c r="M264" i="1"/>
  <c r="G264" i="1" s="1"/>
  <c r="M262" i="1"/>
  <c r="G262" i="1" s="1"/>
  <c r="L262" i="1"/>
  <c r="F262" i="1" s="1"/>
  <c r="L335" i="1"/>
  <c r="F335" i="1" s="1"/>
  <c r="M221" i="1"/>
  <c r="G221" i="1" s="1"/>
  <c r="M347" i="1"/>
  <c r="G347" i="1" s="1"/>
  <c r="L176" i="1"/>
  <c r="F176" i="1" s="1"/>
  <c r="L216" i="1"/>
  <c r="F216" i="1" s="1"/>
  <c r="I109" i="1"/>
  <c r="M308" i="1"/>
  <c r="G308" i="1" s="1"/>
  <c r="I159" i="1"/>
  <c r="L102" i="1"/>
  <c r="F102" i="1" s="1"/>
  <c r="M175" i="1"/>
  <c r="G175" i="1" s="1"/>
  <c r="I151" i="1"/>
  <c r="N302" i="1"/>
  <c r="H302" i="1" s="1"/>
  <c r="L101" i="1"/>
  <c r="F101" i="1" s="1"/>
  <c r="I252" i="1"/>
  <c r="M293" i="1"/>
  <c r="G293" i="1" s="1"/>
  <c r="M53" i="1"/>
  <c r="G53" i="1" s="1"/>
  <c r="N52" i="1"/>
  <c r="H52" i="1" s="1"/>
  <c r="N222" i="1"/>
  <c r="H222" i="1" s="1"/>
  <c r="I298" i="1"/>
  <c r="M335" i="1"/>
  <c r="G335" i="1" s="1"/>
  <c r="I153" i="1"/>
  <c r="N175" i="1"/>
  <c r="H175" i="1" s="1"/>
  <c r="L303" i="1"/>
  <c r="F303" i="1" s="1"/>
  <c r="M101" i="1"/>
  <c r="G101" i="1" s="1"/>
  <c r="I253" i="1"/>
  <c r="L175" i="1"/>
  <c r="F175" i="1" s="1"/>
  <c r="N333" i="1"/>
  <c r="H333" i="1" s="1"/>
  <c r="N307" i="1"/>
  <c r="H307" i="1" s="1"/>
  <c r="I296" i="1"/>
  <c r="M307" i="1"/>
  <c r="G307" i="1" s="1"/>
  <c r="L143" i="1"/>
  <c r="F143" i="1" s="1"/>
  <c r="L57" i="1"/>
  <c r="F57" i="1" s="1"/>
  <c r="N261" i="1"/>
  <c r="H261" i="1" s="1"/>
  <c r="L56" i="1"/>
  <c r="F56" i="1" s="1"/>
  <c r="M261" i="1"/>
  <c r="G261" i="1" s="1"/>
  <c r="M130" i="1"/>
  <c r="G130" i="1" s="1"/>
  <c r="I150" i="1"/>
  <c r="L261" i="1"/>
  <c r="F261" i="1" s="1"/>
  <c r="L128" i="1"/>
  <c r="F128" i="1" s="1"/>
  <c r="N100" i="1"/>
  <c r="H100" i="1" s="1"/>
  <c r="I149" i="1"/>
  <c r="M333" i="1"/>
  <c r="G333" i="1" s="1"/>
  <c r="N260" i="1"/>
  <c r="H260" i="1" s="1"/>
  <c r="M174" i="1"/>
  <c r="G174" i="1" s="1"/>
  <c r="L95" i="1"/>
  <c r="F95" i="1" s="1"/>
  <c r="I250" i="1"/>
  <c r="N292" i="1"/>
  <c r="H292" i="1" s="1"/>
  <c r="M213" i="1"/>
  <c r="G213" i="1" s="1"/>
  <c r="M127" i="1"/>
  <c r="G127" i="1" s="1"/>
  <c r="M292" i="1"/>
  <c r="G292" i="1" s="1"/>
  <c r="I108" i="1"/>
  <c r="L292" i="1"/>
  <c r="F292" i="1" s="1"/>
  <c r="N212" i="1"/>
  <c r="H212" i="1" s="1"/>
  <c r="L85" i="1"/>
  <c r="F85" i="1" s="1"/>
  <c r="I98" i="1"/>
  <c r="N329" i="1"/>
  <c r="H329" i="1" s="1"/>
  <c r="N144" i="1"/>
  <c r="H144" i="1" s="1"/>
  <c r="N221" i="1"/>
  <c r="H221" i="1" s="1"/>
  <c r="M334" i="1"/>
  <c r="G334" i="1" s="1"/>
  <c r="L334" i="1"/>
  <c r="F334" i="1" s="1"/>
  <c r="M216" i="1"/>
  <c r="G216" i="1" s="1"/>
  <c r="L55" i="1"/>
  <c r="F55" i="1" s="1"/>
  <c r="N174" i="1"/>
  <c r="H174" i="1" s="1"/>
  <c r="I251" i="1"/>
  <c r="L293" i="1"/>
  <c r="F293" i="1" s="1"/>
  <c r="N215" i="1"/>
  <c r="H215" i="1" s="1"/>
  <c r="N127" i="1"/>
  <c r="H127" i="1" s="1"/>
  <c r="L53" i="1"/>
  <c r="F53" i="1" s="1"/>
  <c r="I110" i="1"/>
  <c r="L333" i="1"/>
  <c r="F333" i="1" s="1"/>
  <c r="N259" i="1"/>
  <c r="H259" i="1" s="1"/>
  <c r="L174" i="1"/>
  <c r="F174" i="1" s="1"/>
  <c r="N94" i="1"/>
  <c r="H94" i="1" s="1"/>
  <c r="I249" i="1"/>
  <c r="N332" i="1"/>
  <c r="H332" i="1" s="1"/>
  <c r="M259" i="1"/>
  <c r="G259" i="1" s="1"/>
  <c r="L213" i="1"/>
  <c r="F213" i="1" s="1"/>
  <c r="N173" i="1"/>
  <c r="H173" i="1" s="1"/>
  <c r="L127" i="1"/>
  <c r="F127" i="1" s="1"/>
  <c r="N87" i="1"/>
  <c r="H87" i="1" s="1"/>
  <c r="M52" i="1"/>
  <c r="G52" i="1" s="1"/>
  <c r="I35" i="1"/>
  <c r="I67" i="1"/>
  <c r="I99" i="1"/>
  <c r="I131" i="1"/>
  <c r="I163" i="1"/>
  <c r="I195" i="1"/>
  <c r="I227" i="1"/>
  <c r="I259" i="1"/>
  <c r="I291" i="1"/>
  <c r="I323" i="1"/>
  <c r="I355" i="1"/>
  <c r="L11" i="1"/>
  <c r="F11" i="1" s="1"/>
  <c r="N21" i="1"/>
  <c r="H21" i="1" s="1"/>
  <c r="M32" i="1"/>
  <c r="G32" i="1" s="1"/>
  <c r="L43" i="1"/>
  <c r="F43" i="1" s="1"/>
  <c r="N53" i="1"/>
  <c r="H53" i="1" s="1"/>
  <c r="M64" i="1"/>
  <c r="G64" i="1" s="1"/>
  <c r="L75" i="1"/>
  <c r="F75" i="1" s="1"/>
  <c r="N85" i="1"/>
  <c r="H85" i="1" s="1"/>
  <c r="M96" i="1"/>
  <c r="G96" i="1" s="1"/>
  <c r="L107" i="1"/>
  <c r="F107" i="1" s="1"/>
  <c r="N117" i="1"/>
  <c r="H117" i="1" s="1"/>
  <c r="M128" i="1"/>
  <c r="G128" i="1" s="1"/>
  <c r="L139" i="1"/>
  <c r="F139" i="1" s="1"/>
  <c r="N149" i="1"/>
  <c r="H149" i="1" s="1"/>
  <c r="M160" i="1"/>
  <c r="G160" i="1" s="1"/>
  <c r="L171" i="1"/>
  <c r="F171" i="1" s="1"/>
  <c r="N181" i="1"/>
  <c r="H181" i="1" s="1"/>
  <c r="M192" i="1"/>
  <c r="G192" i="1" s="1"/>
  <c r="L203" i="1"/>
  <c r="F203" i="1" s="1"/>
  <c r="N213" i="1"/>
  <c r="H213" i="1" s="1"/>
  <c r="M224" i="1"/>
  <c r="G224" i="1" s="1"/>
  <c r="L235" i="1"/>
  <c r="F235" i="1" s="1"/>
  <c r="N245" i="1"/>
  <c r="H245" i="1" s="1"/>
  <c r="M256" i="1"/>
  <c r="G256" i="1" s="1"/>
  <c r="L267" i="1"/>
  <c r="F267" i="1" s="1"/>
  <c r="N277" i="1"/>
  <c r="H277" i="1" s="1"/>
  <c r="M288" i="1"/>
  <c r="G288" i="1" s="1"/>
  <c r="L299" i="1"/>
  <c r="F299" i="1" s="1"/>
  <c r="N309" i="1"/>
  <c r="H309" i="1" s="1"/>
  <c r="M320" i="1"/>
  <c r="G320" i="1" s="1"/>
  <c r="L331" i="1"/>
  <c r="F331" i="1" s="1"/>
  <c r="N341" i="1"/>
  <c r="H341" i="1" s="1"/>
  <c r="M352" i="1"/>
  <c r="G352" i="1" s="1"/>
  <c r="L363" i="1"/>
  <c r="F363" i="1" s="1"/>
  <c r="I37" i="1"/>
  <c r="I101" i="1"/>
  <c r="I133" i="1"/>
  <c r="I165" i="1"/>
  <c r="I197" i="1"/>
  <c r="I261" i="1"/>
  <c r="I325" i="1"/>
  <c r="N11" i="1"/>
  <c r="H11" i="1" s="1"/>
  <c r="L33" i="1"/>
  <c r="F33" i="1" s="1"/>
  <c r="M54" i="1"/>
  <c r="G54" i="1" s="1"/>
  <c r="N75" i="1"/>
  <c r="H75" i="1" s="1"/>
  <c r="L97" i="1"/>
  <c r="F97" i="1" s="1"/>
  <c r="N107" i="1"/>
  <c r="H107" i="1" s="1"/>
  <c r="L129" i="1"/>
  <c r="F129" i="1" s="1"/>
  <c r="M150" i="1"/>
  <c r="G150" i="1" s="1"/>
  <c r="L161" i="1"/>
  <c r="F161" i="1" s="1"/>
  <c r="M182" i="1"/>
  <c r="G182" i="1" s="1"/>
  <c r="N203" i="1"/>
  <c r="H203" i="1" s="1"/>
  <c r="N235" i="1"/>
  <c r="H235" i="1" s="1"/>
  <c r="L257" i="1"/>
  <c r="F257" i="1" s="1"/>
  <c r="M278" i="1"/>
  <c r="G278" i="1" s="1"/>
  <c r="I36" i="1"/>
  <c r="I68" i="1"/>
  <c r="I100" i="1"/>
  <c r="I132" i="1"/>
  <c r="I164" i="1"/>
  <c r="I196" i="1"/>
  <c r="I228" i="1"/>
  <c r="I260" i="1"/>
  <c r="I292" i="1"/>
  <c r="I324" i="1"/>
  <c r="I356" i="1"/>
  <c r="M11" i="1"/>
  <c r="G11" i="1" s="1"/>
  <c r="L22" i="1"/>
  <c r="F22" i="1" s="1"/>
  <c r="N32" i="1"/>
  <c r="H32" i="1" s="1"/>
  <c r="M43" i="1"/>
  <c r="G43" i="1" s="1"/>
  <c r="L54" i="1"/>
  <c r="F54" i="1" s="1"/>
  <c r="N64" i="1"/>
  <c r="H64" i="1" s="1"/>
  <c r="M75" i="1"/>
  <c r="G75" i="1" s="1"/>
  <c r="L86" i="1"/>
  <c r="F86" i="1" s="1"/>
  <c r="N96" i="1"/>
  <c r="H96" i="1" s="1"/>
  <c r="M107" i="1"/>
  <c r="G107" i="1" s="1"/>
  <c r="L118" i="1"/>
  <c r="F118" i="1" s="1"/>
  <c r="N128" i="1"/>
  <c r="H128" i="1" s="1"/>
  <c r="M139" i="1"/>
  <c r="G139" i="1" s="1"/>
  <c r="L150" i="1"/>
  <c r="F150" i="1" s="1"/>
  <c r="N160" i="1"/>
  <c r="H160" i="1" s="1"/>
  <c r="M171" i="1"/>
  <c r="G171" i="1" s="1"/>
  <c r="L182" i="1"/>
  <c r="F182" i="1" s="1"/>
  <c r="N192" i="1"/>
  <c r="H192" i="1" s="1"/>
  <c r="M203" i="1"/>
  <c r="G203" i="1" s="1"/>
  <c r="L214" i="1"/>
  <c r="F214" i="1" s="1"/>
  <c r="N224" i="1"/>
  <c r="H224" i="1" s="1"/>
  <c r="M235" i="1"/>
  <c r="G235" i="1" s="1"/>
  <c r="L246" i="1"/>
  <c r="F246" i="1" s="1"/>
  <c r="N256" i="1"/>
  <c r="H256" i="1" s="1"/>
  <c r="M267" i="1"/>
  <c r="G267" i="1" s="1"/>
  <c r="L278" i="1"/>
  <c r="F278" i="1" s="1"/>
  <c r="N288" i="1"/>
  <c r="H288" i="1" s="1"/>
  <c r="M299" i="1"/>
  <c r="G299" i="1" s="1"/>
  <c r="L310" i="1"/>
  <c r="F310" i="1" s="1"/>
  <c r="N320" i="1"/>
  <c r="H320" i="1" s="1"/>
  <c r="M331" i="1"/>
  <c r="G331" i="1" s="1"/>
  <c r="L342" i="1"/>
  <c r="F342" i="1" s="1"/>
  <c r="N352" i="1"/>
  <c r="H352" i="1" s="1"/>
  <c r="M363" i="1"/>
  <c r="G363" i="1" s="1"/>
  <c r="I69" i="1"/>
  <c r="I229" i="1"/>
  <c r="I293" i="1"/>
  <c r="I357" i="1"/>
  <c r="M22" i="1"/>
  <c r="G22" i="1" s="1"/>
  <c r="N43" i="1"/>
  <c r="H43" i="1" s="1"/>
  <c r="L65" i="1"/>
  <c r="F65" i="1" s="1"/>
  <c r="M86" i="1"/>
  <c r="G86" i="1" s="1"/>
  <c r="M118" i="1"/>
  <c r="G118" i="1" s="1"/>
  <c r="N139" i="1"/>
  <c r="H139" i="1" s="1"/>
  <c r="N171" i="1"/>
  <c r="H171" i="1" s="1"/>
  <c r="L193" i="1"/>
  <c r="F193" i="1" s="1"/>
  <c r="M214" i="1"/>
  <c r="G214" i="1" s="1"/>
  <c r="L225" i="1"/>
  <c r="F225" i="1" s="1"/>
  <c r="M246" i="1"/>
  <c r="G246" i="1" s="1"/>
  <c r="N267" i="1"/>
  <c r="H267" i="1" s="1"/>
  <c r="I38" i="1"/>
  <c r="I70" i="1"/>
  <c r="I102" i="1"/>
  <c r="I134" i="1"/>
  <c r="I166" i="1"/>
  <c r="I198" i="1"/>
  <c r="I230" i="1"/>
  <c r="I262" i="1"/>
  <c r="I294" i="1"/>
  <c r="I326" i="1"/>
  <c r="I358" i="1"/>
  <c r="L12" i="1"/>
  <c r="F12" i="1" s="1"/>
  <c r="N22" i="1"/>
  <c r="H22" i="1" s="1"/>
  <c r="M33" i="1"/>
  <c r="G33" i="1" s="1"/>
  <c r="L44" i="1"/>
  <c r="F44" i="1" s="1"/>
  <c r="N54" i="1"/>
  <c r="H54" i="1" s="1"/>
  <c r="M65" i="1"/>
  <c r="G65" i="1" s="1"/>
  <c r="L76" i="1"/>
  <c r="F76" i="1" s="1"/>
  <c r="N86" i="1"/>
  <c r="H86" i="1" s="1"/>
  <c r="M97" i="1"/>
  <c r="G97" i="1" s="1"/>
  <c r="L108" i="1"/>
  <c r="F108" i="1" s="1"/>
  <c r="N118" i="1"/>
  <c r="H118" i="1" s="1"/>
  <c r="M129" i="1"/>
  <c r="G129" i="1" s="1"/>
  <c r="L140" i="1"/>
  <c r="F140" i="1" s="1"/>
  <c r="N150" i="1"/>
  <c r="H150" i="1" s="1"/>
  <c r="M161" i="1"/>
  <c r="G161" i="1" s="1"/>
  <c r="L172" i="1"/>
  <c r="F172" i="1" s="1"/>
  <c r="N182" i="1"/>
  <c r="H182" i="1" s="1"/>
  <c r="M193" i="1"/>
  <c r="G193" i="1" s="1"/>
  <c r="L204" i="1"/>
  <c r="F204" i="1" s="1"/>
  <c r="N214" i="1"/>
  <c r="H214" i="1" s="1"/>
  <c r="M225" i="1"/>
  <c r="G225" i="1" s="1"/>
  <c r="L236" i="1"/>
  <c r="F236" i="1" s="1"/>
  <c r="N246" i="1"/>
  <c r="H246" i="1" s="1"/>
  <c r="M257" i="1"/>
  <c r="G257" i="1" s="1"/>
  <c r="L268" i="1"/>
  <c r="F268" i="1" s="1"/>
  <c r="N278" i="1"/>
  <c r="H278" i="1" s="1"/>
  <c r="M289" i="1"/>
  <c r="G289" i="1" s="1"/>
  <c r="L300" i="1"/>
  <c r="F300" i="1" s="1"/>
  <c r="N310" i="1"/>
  <c r="H310" i="1" s="1"/>
  <c r="M321" i="1"/>
  <c r="G321" i="1" s="1"/>
  <c r="L332" i="1"/>
  <c r="F332" i="1" s="1"/>
  <c r="N342" i="1"/>
  <c r="H342" i="1" s="1"/>
  <c r="M353" i="1"/>
  <c r="G353" i="1" s="1"/>
  <c r="L364" i="1"/>
  <c r="F364" i="1" s="1"/>
  <c r="N5" i="1"/>
  <c r="H5" i="1" s="1"/>
  <c r="I71" i="1"/>
  <c r="I103" i="1"/>
  <c r="I135" i="1"/>
  <c r="I167" i="1"/>
  <c r="I39" i="1"/>
  <c r="I43" i="1"/>
  <c r="I80" i="1"/>
  <c r="I117" i="1"/>
  <c r="I154" i="1"/>
  <c r="I191" i="1"/>
  <c r="I231" i="1"/>
  <c r="I267" i="1"/>
  <c r="I303" i="1"/>
  <c r="I339" i="1"/>
  <c r="L7" i="1"/>
  <c r="F7" i="1" s="1"/>
  <c r="L19" i="1"/>
  <c r="F19" i="1" s="1"/>
  <c r="L31" i="1"/>
  <c r="F31" i="1" s="1"/>
  <c r="M44" i="1"/>
  <c r="G44" i="1" s="1"/>
  <c r="M56" i="1"/>
  <c r="G56" i="1" s="1"/>
  <c r="M68" i="1"/>
  <c r="G68" i="1" s="1"/>
  <c r="M80" i="1"/>
  <c r="G80" i="1" s="1"/>
  <c r="M92" i="1"/>
  <c r="G92" i="1" s="1"/>
  <c r="M104" i="1"/>
  <c r="G104" i="1" s="1"/>
  <c r="M116" i="1"/>
  <c r="G116" i="1" s="1"/>
  <c r="N129" i="1"/>
  <c r="H129" i="1" s="1"/>
  <c r="N141" i="1"/>
  <c r="H141" i="1" s="1"/>
  <c r="N153" i="1"/>
  <c r="H153" i="1" s="1"/>
  <c r="N165" i="1"/>
  <c r="H165" i="1" s="1"/>
  <c r="N177" i="1"/>
  <c r="H177" i="1" s="1"/>
  <c r="N189" i="1"/>
  <c r="H189" i="1" s="1"/>
  <c r="N201" i="1"/>
  <c r="H201" i="1" s="1"/>
  <c r="L215" i="1"/>
  <c r="F215" i="1" s="1"/>
  <c r="L227" i="1"/>
  <c r="F227" i="1" s="1"/>
  <c r="L239" i="1"/>
  <c r="F239" i="1" s="1"/>
  <c r="L251" i="1"/>
  <c r="F251" i="1" s="1"/>
  <c r="L263" i="1"/>
  <c r="F263" i="1" s="1"/>
  <c r="L275" i="1"/>
  <c r="F275" i="1" s="1"/>
  <c r="L287" i="1"/>
  <c r="F287" i="1" s="1"/>
  <c r="N298" i="1"/>
  <c r="H298" i="1" s="1"/>
  <c r="M311" i="1"/>
  <c r="G311" i="1" s="1"/>
  <c r="L323" i="1"/>
  <c r="F323" i="1" s="1"/>
  <c r="N334" i="1"/>
  <c r="H334" i="1" s="1"/>
  <c r="M346" i="1"/>
  <c r="G346" i="1" s="1"/>
  <c r="L358" i="1"/>
  <c r="F358" i="1" s="1"/>
  <c r="N369" i="1"/>
  <c r="H369" i="1" s="1"/>
  <c r="I44" i="1"/>
  <c r="I81" i="1"/>
  <c r="I118" i="1"/>
  <c r="I155" i="1"/>
  <c r="I192" i="1"/>
  <c r="I232" i="1"/>
  <c r="I268" i="1"/>
  <c r="I304" i="1"/>
  <c r="I340" i="1"/>
  <c r="M7" i="1"/>
  <c r="G7" i="1" s="1"/>
  <c r="M19" i="1"/>
  <c r="G19" i="1" s="1"/>
  <c r="M31" i="1"/>
  <c r="G31" i="1" s="1"/>
  <c r="N44" i="1"/>
  <c r="H44" i="1" s="1"/>
  <c r="N56" i="1"/>
  <c r="H56" i="1" s="1"/>
  <c r="N68" i="1"/>
  <c r="H68" i="1" s="1"/>
  <c r="N80" i="1"/>
  <c r="H80" i="1" s="1"/>
  <c r="N92" i="1"/>
  <c r="H92" i="1" s="1"/>
  <c r="N104" i="1"/>
  <c r="H104" i="1" s="1"/>
  <c r="N116" i="1"/>
  <c r="H116" i="1" s="1"/>
  <c r="L130" i="1"/>
  <c r="F130" i="1" s="1"/>
  <c r="L142" i="1"/>
  <c r="F142" i="1" s="1"/>
  <c r="L154" i="1"/>
  <c r="F154" i="1" s="1"/>
  <c r="L166" i="1"/>
  <c r="F166" i="1" s="1"/>
  <c r="L178" i="1"/>
  <c r="F178" i="1" s="1"/>
  <c r="L190" i="1"/>
  <c r="F190" i="1" s="1"/>
  <c r="L202" i="1"/>
  <c r="F202" i="1" s="1"/>
  <c r="M215" i="1"/>
  <c r="G215" i="1" s="1"/>
  <c r="M227" i="1"/>
  <c r="G227" i="1" s="1"/>
  <c r="M239" i="1"/>
  <c r="G239" i="1" s="1"/>
  <c r="M251" i="1"/>
  <c r="G251" i="1" s="1"/>
  <c r="M263" i="1"/>
  <c r="G263" i="1" s="1"/>
  <c r="M275" i="1"/>
  <c r="G275" i="1" s="1"/>
  <c r="M287" i="1"/>
  <c r="G287" i="1" s="1"/>
  <c r="N299" i="1"/>
  <c r="H299" i="1" s="1"/>
  <c r="N311" i="1"/>
  <c r="H311" i="1" s="1"/>
  <c r="I60" i="1"/>
  <c r="I104" i="1"/>
  <c r="I143" i="1"/>
  <c r="I182" i="1"/>
  <c r="I220" i="1"/>
  <c r="I258" i="1"/>
  <c r="I300" i="1"/>
  <c r="I338" i="1"/>
  <c r="L8" i="1"/>
  <c r="F8" i="1" s="1"/>
  <c r="N20" i="1"/>
  <c r="H20" i="1" s="1"/>
  <c r="N34" i="1"/>
  <c r="H34" i="1" s="1"/>
  <c r="M47" i="1"/>
  <c r="G47" i="1" s="1"/>
  <c r="L60" i="1"/>
  <c r="F60" i="1" s="1"/>
  <c r="N72" i="1"/>
  <c r="H72" i="1" s="1"/>
  <c r="M85" i="1"/>
  <c r="G85" i="1" s="1"/>
  <c r="M99" i="1"/>
  <c r="G99" i="1" s="1"/>
  <c r="L112" i="1"/>
  <c r="F112" i="1" s="1"/>
  <c r="N124" i="1"/>
  <c r="H124" i="1" s="1"/>
  <c r="M137" i="1"/>
  <c r="G137" i="1" s="1"/>
  <c r="M151" i="1"/>
  <c r="G151" i="1" s="1"/>
  <c r="L164" i="1"/>
  <c r="F164" i="1" s="1"/>
  <c r="N176" i="1"/>
  <c r="H176" i="1" s="1"/>
  <c r="M189" i="1"/>
  <c r="G189" i="1" s="1"/>
  <c r="N202" i="1"/>
  <c r="H202" i="1" s="1"/>
  <c r="N216" i="1"/>
  <c r="H216" i="1" s="1"/>
  <c r="M229" i="1"/>
  <c r="G229" i="1" s="1"/>
  <c r="L242" i="1"/>
  <c r="F242" i="1" s="1"/>
  <c r="N254" i="1"/>
  <c r="H254" i="1" s="1"/>
  <c r="N268" i="1"/>
  <c r="H268" i="1" s="1"/>
  <c r="M281" i="1"/>
  <c r="G281" i="1" s="1"/>
  <c r="N293" i="1"/>
  <c r="H293" i="1" s="1"/>
  <c r="L306" i="1"/>
  <c r="F306" i="1" s="1"/>
  <c r="M318" i="1"/>
  <c r="G318" i="1" s="1"/>
  <c r="M330" i="1"/>
  <c r="G330" i="1" s="1"/>
  <c r="M343" i="1"/>
  <c r="G343" i="1" s="1"/>
  <c r="M355" i="1"/>
  <c r="G355" i="1" s="1"/>
  <c r="M367" i="1"/>
  <c r="G367" i="1" s="1"/>
  <c r="I61" i="1"/>
  <c r="I105" i="1"/>
  <c r="I144" i="1"/>
  <c r="J144" i="1" s="1"/>
  <c r="I183" i="1"/>
  <c r="I221" i="1"/>
  <c r="I263" i="1"/>
  <c r="I301" i="1"/>
  <c r="I341" i="1"/>
  <c r="M8" i="1"/>
  <c r="G8" i="1" s="1"/>
  <c r="L21" i="1"/>
  <c r="F21" i="1" s="1"/>
  <c r="L35" i="1"/>
  <c r="F35" i="1" s="1"/>
  <c r="N47" i="1"/>
  <c r="H47" i="1" s="1"/>
  <c r="L73" i="1"/>
  <c r="F73" i="1" s="1"/>
  <c r="L87" i="1"/>
  <c r="F87" i="1" s="1"/>
  <c r="N99" i="1"/>
  <c r="H99" i="1" s="1"/>
  <c r="M112" i="1"/>
  <c r="G112" i="1" s="1"/>
  <c r="L125" i="1"/>
  <c r="F125" i="1" s="1"/>
  <c r="N137" i="1"/>
  <c r="H137" i="1" s="1"/>
  <c r="N151" i="1"/>
  <c r="H151" i="1" s="1"/>
  <c r="M164" i="1"/>
  <c r="G164" i="1" s="1"/>
  <c r="L177" i="1"/>
  <c r="F177" i="1" s="1"/>
  <c r="M190" i="1"/>
  <c r="G190" i="1" s="1"/>
  <c r="M204" i="1"/>
  <c r="G204" i="1" s="1"/>
  <c r="L217" i="1"/>
  <c r="F217" i="1" s="1"/>
  <c r="N229" i="1"/>
  <c r="H229" i="1" s="1"/>
  <c r="M242" i="1"/>
  <c r="G242" i="1" s="1"/>
  <c r="L255" i="1"/>
  <c r="F255" i="1" s="1"/>
  <c r="L269" i="1"/>
  <c r="F269" i="1" s="1"/>
  <c r="N281" i="1"/>
  <c r="H281" i="1" s="1"/>
  <c r="L294" i="1"/>
  <c r="F294" i="1" s="1"/>
  <c r="M306" i="1"/>
  <c r="G306" i="1" s="1"/>
  <c r="N318" i="1"/>
  <c r="H318" i="1" s="1"/>
  <c r="N330" i="1"/>
  <c r="H330" i="1" s="1"/>
  <c r="N343" i="1"/>
  <c r="H343" i="1" s="1"/>
  <c r="N355" i="1"/>
  <c r="H355" i="1" s="1"/>
  <c r="N367" i="1"/>
  <c r="H367" i="1" s="1"/>
  <c r="I62" i="1"/>
  <c r="I106" i="1"/>
  <c r="I145" i="1"/>
  <c r="I184" i="1"/>
  <c r="I222" i="1"/>
  <c r="I264" i="1"/>
  <c r="I302" i="1"/>
  <c r="I342" i="1"/>
  <c r="N8" i="1"/>
  <c r="H8" i="1" s="1"/>
  <c r="M21" i="1"/>
  <c r="G21" i="1" s="1"/>
  <c r="M35" i="1"/>
  <c r="G35" i="1" s="1"/>
  <c r="L48" i="1"/>
  <c r="F48" i="1" s="1"/>
  <c r="N60" i="1"/>
  <c r="H60" i="1" s="1"/>
  <c r="M73" i="1"/>
  <c r="G73" i="1" s="1"/>
  <c r="M87" i="1"/>
  <c r="G87" i="1" s="1"/>
  <c r="L100" i="1"/>
  <c r="F100" i="1" s="1"/>
  <c r="N112" i="1"/>
  <c r="H112" i="1" s="1"/>
  <c r="M125" i="1"/>
  <c r="G125" i="1" s="1"/>
  <c r="L138" i="1"/>
  <c r="F138" i="1" s="1"/>
  <c r="L152" i="1"/>
  <c r="F152" i="1" s="1"/>
  <c r="N164" i="1"/>
  <c r="H164" i="1" s="1"/>
  <c r="M177" i="1"/>
  <c r="G177" i="1" s="1"/>
  <c r="N190" i="1"/>
  <c r="H190" i="1" s="1"/>
  <c r="N204" i="1"/>
  <c r="H204" i="1" s="1"/>
  <c r="L230" i="1"/>
  <c r="F230" i="1" s="1"/>
  <c r="N242" i="1"/>
  <c r="H242" i="1" s="1"/>
  <c r="M255" i="1"/>
  <c r="G255" i="1" s="1"/>
  <c r="M269" i="1"/>
  <c r="G269" i="1" s="1"/>
  <c r="L282" i="1"/>
  <c r="F282" i="1" s="1"/>
  <c r="M294" i="1"/>
  <c r="G294" i="1" s="1"/>
  <c r="N306" i="1"/>
  <c r="H306" i="1" s="1"/>
  <c r="L319" i="1"/>
  <c r="F319" i="1" s="1"/>
  <c r="N331" i="1"/>
  <c r="H331" i="1" s="1"/>
  <c r="L344" i="1"/>
  <c r="F344" i="1" s="1"/>
  <c r="L356" i="1"/>
  <c r="F356" i="1" s="1"/>
  <c r="L368" i="1"/>
  <c r="F368" i="1" s="1"/>
  <c r="I63" i="1"/>
  <c r="I107" i="1"/>
  <c r="I146" i="1"/>
  <c r="I185" i="1"/>
  <c r="I223" i="1"/>
  <c r="I265" i="1"/>
  <c r="I305" i="1"/>
  <c r="I343" i="1"/>
  <c r="L9" i="1"/>
  <c r="F9" i="1" s="1"/>
  <c r="L23" i="1"/>
  <c r="F23" i="1" s="1"/>
  <c r="N35" i="1"/>
  <c r="H35" i="1" s="1"/>
  <c r="M48" i="1"/>
  <c r="G48" i="1" s="1"/>
  <c r="L61" i="1"/>
  <c r="F61" i="1" s="1"/>
  <c r="N73" i="1"/>
  <c r="H73" i="1" s="1"/>
  <c r="M100" i="1"/>
  <c r="G100" i="1" s="1"/>
  <c r="L113" i="1"/>
  <c r="F113" i="1" s="1"/>
  <c r="N125" i="1"/>
  <c r="H125" i="1" s="1"/>
  <c r="M138" i="1"/>
  <c r="G138" i="1" s="1"/>
  <c r="M152" i="1"/>
  <c r="G152" i="1" s="1"/>
  <c r="L165" i="1"/>
  <c r="F165" i="1" s="1"/>
  <c r="M178" i="1"/>
  <c r="G178" i="1" s="1"/>
  <c r="L191" i="1"/>
  <c r="F191" i="1" s="1"/>
  <c r="L205" i="1"/>
  <c r="F205" i="1" s="1"/>
  <c r="N217" i="1"/>
  <c r="H217" i="1" s="1"/>
  <c r="M230" i="1"/>
  <c r="G230" i="1" s="1"/>
  <c r="L243" i="1"/>
  <c r="F243" i="1" s="1"/>
  <c r="N255" i="1"/>
  <c r="H255" i="1" s="1"/>
  <c r="N269" i="1"/>
  <c r="H269" i="1" s="1"/>
  <c r="M282" i="1"/>
  <c r="G282" i="1" s="1"/>
  <c r="N294" i="1"/>
  <c r="H294" i="1" s="1"/>
  <c r="L307" i="1"/>
  <c r="F307" i="1" s="1"/>
  <c r="M319" i="1"/>
  <c r="G319" i="1" s="1"/>
  <c r="M332" i="1"/>
  <c r="G332" i="1" s="1"/>
  <c r="M344" i="1"/>
  <c r="G344" i="1" s="1"/>
  <c r="M60" i="1"/>
  <c r="G60" i="1" s="1"/>
  <c r="M217" i="1"/>
  <c r="G217" i="1" s="1"/>
  <c r="I33" i="1"/>
  <c r="I77" i="1"/>
  <c r="I116" i="1"/>
  <c r="I157" i="1"/>
  <c r="I200" i="1"/>
  <c r="I238" i="1"/>
  <c r="I276" i="1"/>
  <c r="I314" i="1"/>
  <c r="I352" i="1"/>
  <c r="M13" i="1"/>
  <c r="G13" i="1" s="1"/>
  <c r="L26" i="1"/>
  <c r="F26" i="1" s="1"/>
  <c r="N38" i="1"/>
  <c r="H38" i="1" s="1"/>
  <c r="M51" i="1"/>
  <c r="G51" i="1" s="1"/>
  <c r="L64" i="1"/>
  <c r="F64" i="1" s="1"/>
  <c r="L78" i="1"/>
  <c r="F78" i="1" s="1"/>
  <c r="N90" i="1"/>
  <c r="H90" i="1" s="1"/>
  <c r="M103" i="1"/>
  <c r="G103" i="1" s="1"/>
  <c r="L116" i="1"/>
  <c r="F116" i="1" s="1"/>
  <c r="N130" i="1"/>
  <c r="H130" i="1" s="1"/>
  <c r="M143" i="1"/>
  <c r="G143" i="1" s="1"/>
  <c r="L156" i="1"/>
  <c r="F156" i="1" s="1"/>
  <c r="N168" i="1"/>
  <c r="H168" i="1" s="1"/>
  <c r="M181" i="1"/>
  <c r="G181" i="1" s="1"/>
  <c r="M195" i="1"/>
  <c r="G195" i="1" s="1"/>
  <c r="L208" i="1"/>
  <c r="F208" i="1" s="1"/>
  <c r="N220" i="1"/>
  <c r="H220" i="1" s="1"/>
  <c r="M233" i="1"/>
  <c r="G233" i="1" s="1"/>
  <c r="M247" i="1"/>
  <c r="G247" i="1" s="1"/>
  <c r="L260" i="1"/>
  <c r="F260" i="1" s="1"/>
  <c r="N272" i="1"/>
  <c r="H272" i="1" s="1"/>
  <c r="M285" i="1"/>
  <c r="G285" i="1" s="1"/>
  <c r="N297" i="1"/>
  <c r="H297" i="1" s="1"/>
  <c r="L311" i="1"/>
  <c r="F311" i="1" s="1"/>
  <c r="N323" i="1"/>
  <c r="H323" i="1" s="1"/>
  <c r="N335" i="1"/>
  <c r="H335" i="1" s="1"/>
  <c r="N347" i="1"/>
  <c r="H347" i="1" s="1"/>
  <c r="N359" i="1"/>
  <c r="H359" i="1" s="1"/>
  <c r="N371" i="1"/>
  <c r="H371" i="1" s="1"/>
  <c r="I34" i="1"/>
  <c r="I78" i="1"/>
  <c r="I119" i="1"/>
  <c r="I158" i="1"/>
  <c r="I201" i="1"/>
  <c r="I239" i="1"/>
  <c r="I277" i="1"/>
  <c r="I315" i="1"/>
  <c r="I353" i="1"/>
  <c r="N13" i="1"/>
  <c r="H13" i="1" s="1"/>
  <c r="M26" i="1"/>
  <c r="G26" i="1" s="1"/>
  <c r="L39" i="1"/>
  <c r="F39" i="1" s="1"/>
  <c r="N51" i="1"/>
  <c r="H51" i="1" s="1"/>
  <c r="N65" i="1"/>
  <c r="H65" i="1" s="1"/>
  <c r="M78" i="1"/>
  <c r="G78" i="1" s="1"/>
  <c r="L91" i="1"/>
  <c r="F91" i="1" s="1"/>
  <c r="N103" i="1"/>
  <c r="H103" i="1" s="1"/>
  <c r="L117" i="1"/>
  <c r="F117" i="1" s="1"/>
  <c r="L131" i="1"/>
  <c r="F131" i="1" s="1"/>
  <c r="N143" i="1"/>
  <c r="H143" i="1" s="1"/>
  <c r="M156" i="1"/>
  <c r="G156" i="1" s="1"/>
  <c r="L169" i="1"/>
  <c r="F169" i="1" s="1"/>
  <c r="L183" i="1"/>
  <c r="F183" i="1" s="1"/>
  <c r="N195" i="1"/>
  <c r="H195" i="1" s="1"/>
  <c r="M208" i="1"/>
  <c r="G208" i="1" s="1"/>
  <c r="L221" i="1"/>
  <c r="F221" i="1" s="1"/>
  <c r="N233" i="1"/>
  <c r="H233" i="1" s="1"/>
  <c r="N247" i="1"/>
  <c r="H247" i="1" s="1"/>
  <c r="M260" i="1"/>
  <c r="G260" i="1" s="1"/>
  <c r="L273" i="1"/>
  <c r="F273" i="1" s="1"/>
  <c r="N285" i="1"/>
  <c r="H285" i="1" s="1"/>
  <c r="L298" i="1"/>
  <c r="F298" i="1" s="1"/>
  <c r="L312" i="1"/>
  <c r="F312" i="1" s="1"/>
  <c r="L324" i="1"/>
  <c r="F324" i="1" s="1"/>
  <c r="L336" i="1"/>
  <c r="F336" i="1" s="1"/>
  <c r="L348" i="1"/>
  <c r="F348" i="1" s="1"/>
  <c r="L360" i="1"/>
  <c r="F360" i="1" s="1"/>
  <c r="I48" i="1"/>
  <c r="I87" i="1"/>
  <c r="I126" i="1"/>
  <c r="I170" i="1"/>
  <c r="I208" i="1"/>
  <c r="I246" i="1"/>
  <c r="I284" i="1"/>
  <c r="I322" i="1"/>
  <c r="I364" i="1"/>
  <c r="L16" i="1"/>
  <c r="F16" i="1" s="1"/>
  <c r="N28" i="1"/>
  <c r="H28" i="1" s="1"/>
  <c r="M41" i="1"/>
  <c r="G41" i="1" s="1"/>
  <c r="M55" i="1"/>
  <c r="G55" i="1" s="1"/>
  <c r="L68" i="1"/>
  <c r="F68" i="1" s="1"/>
  <c r="M81" i="1"/>
  <c r="G81" i="1" s="1"/>
  <c r="L94" i="1"/>
  <c r="F94" i="1" s="1"/>
  <c r="N106" i="1"/>
  <c r="H106" i="1" s="1"/>
  <c r="N120" i="1"/>
  <c r="H120" i="1" s="1"/>
  <c r="M133" i="1"/>
  <c r="G133" i="1" s="1"/>
  <c r="L146" i="1"/>
  <c r="F146" i="1" s="1"/>
  <c r="N158" i="1"/>
  <c r="H158" i="1" s="1"/>
  <c r="N172" i="1"/>
  <c r="H172" i="1" s="1"/>
  <c r="M185" i="1"/>
  <c r="G185" i="1" s="1"/>
  <c r="L198" i="1"/>
  <c r="F198" i="1" s="1"/>
  <c r="N210" i="1"/>
  <c r="H210" i="1" s="1"/>
  <c r="M223" i="1"/>
  <c r="G223" i="1" s="1"/>
  <c r="M237" i="1"/>
  <c r="G237" i="1" s="1"/>
  <c r="L250" i="1"/>
  <c r="F250" i="1" s="1"/>
  <c r="N262" i="1"/>
  <c r="H262" i="1" s="1"/>
  <c r="L276" i="1"/>
  <c r="F276" i="1" s="1"/>
  <c r="N289" i="1"/>
  <c r="H289" i="1" s="1"/>
  <c r="L302" i="1"/>
  <c r="F302" i="1" s="1"/>
  <c r="M314" i="1"/>
  <c r="G314" i="1" s="1"/>
  <c r="M326" i="1"/>
  <c r="G326" i="1" s="1"/>
  <c r="M338" i="1"/>
  <c r="G338" i="1" s="1"/>
  <c r="M350" i="1"/>
  <c r="G350" i="1" s="1"/>
  <c r="M362" i="1"/>
  <c r="G362" i="1" s="1"/>
  <c r="I49" i="1"/>
  <c r="I88" i="1"/>
  <c r="I127" i="1"/>
  <c r="I171" i="1"/>
  <c r="I209" i="1"/>
  <c r="I247" i="1"/>
  <c r="I285" i="1"/>
  <c r="I327" i="1"/>
  <c r="I365" i="1"/>
  <c r="M16" i="1"/>
  <c r="G16" i="1" s="1"/>
  <c r="L29" i="1"/>
  <c r="F29" i="1" s="1"/>
  <c r="N41" i="1"/>
  <c r="H41" i="1" s="1"/>
  <c r="N55" i="1"/>
  <c r="H55" i="1" s="1"/>
  <c r="L69" i="1"/>
  <c r="F69" i="1" s="1"/>
  <c r="N81" i="1"/>
  <c r="H81" i="1" s="1"/>
  <c r="M94" i="1"/>
  <c r="G94" i="1" s="1"/>
  <c r="M108" i="1"/>
  <c r="G108" i="1" s="1"/>
  <c r="L121" i="1"/>
  <c r="F121" i="1" s="1"/>
  <c r="N133" i="1"/>
  <c r="H133" i="1" s="1"/>
  <c r="M146" i="1"/>
  <c r="G146" i="1" s="1"/>
  <c r="L159" i="1"/>
  <c r="F159" i="1" s="1"/>
  <c r="L173" i="1"/>
  <c r="F173" i="1" s="1"/>
  <c r="N185" i="1"/>
  <c r="H185" i="1" s="1"/>
  <c r="M198" i="1"/>
  <c r="G198" i="1" s="1"/>
  <c r="L211" i="1"/>
  <c r="F211" i="1" s="1"/>
  <c r="N223" i="1"/>
  <c r="H223" i="1" s="1"/>
  <c r="N237" i="1"/>
  <c r="H237" i="1" s="1"/>
  <c r="M250" i="1"/>
  <c r="G250" i="1" s="1"/>
  <c r="N263" i="1"/>
  <c r="H263" i="1" s="1"/>
  <c r="M276" i="1"/>
  <c r="G276" i="1" s="1"/>
  <c r="L290" i="1"/>
  <c r="F290" i="1" s="1"/>
  <c r="M302" i="1"/>
  <c r="G302" i="1" s="1"/>
  <c r="N314" i="1"/>
  <c r="H314" i="1" s="1"/>
  <c r="N326" i="1"/>
  <c r="H326" i="1" s="1"/>
  <c r="N338" i="1"/>
  <c r="H338" i="1" s="1"/>
  <c r="N350" i="1"/>
  <c r="H350" i="1" s="1"/>
  <c r="N362" i="1"/>
  <c r="H362" i="1" s="1"/>
  <c r="I50" i="1"/>
  <c r="I65" i="1"/>
  <c r="I121" i="1"/>
  <c r="I175" i="1"/>
  <c r="I225" i="1"/>
  <c r="I279" i="1"/>
  <c r="I331" i="1"/>
  <c r="N9" i="1"/>
  <c r="H9" i="1" s="1"/>
  <c r="L27" i="1"/>
  <c r="F27" i="1" s="1"/>
  <c r="L45" i="1"/>
  <c r="F45" i="1" s="1"/>
  <c r="N61" i="1"/>
  <c r="H61" i="1" s="1"/>
  <c r="L79" i="1"/>
  <c r="F79" i="1" s="1"/>
  <c r="M95" i="1"/>
  <c r="G95" i="1" s="1"/>
  <c r="M113" i="1"/>
  <c r="G113" i="1" s="1"/>
  <c r="M131" i="1"/>
  <c r="G131" i="1" s="1"/>
  <c r="M147" i="1"/>
  <c r="G147" i="1" s="1"/>
  <c r="M165" i="1"/>
  <c r="G165" i="1" s="1"/>
  <c r="M183" i="1"/>
  <c r="G183" i="1" s="1"/>
  <c r="M199" i="1"/>
  <c r="G199" i="1" s="1"/>
  <c r="L218" i="1"/>
  <c r="F218" i="1" s="1"/>
  <c r="L234" i="1"/>
  <c r="F234" i="1" s="1"/>
  <c r="L270" i="1"/>
  <c r="F270" i="1" s="1"/>
  <c r="L286" i="1"/>
  <c r="F286" i="1" s="1"/>
  <c r="M303" i="1"/>
  <c r="G303" i="1" s="1"/>
  <c r="N319" i="1"/>
  <c r="H319" i="1" s="1"/>
  <c r="M336" i="1"/>
  <c r="G336" i="1" s="1"/>
  <c r="N351" i="1"/>
  <c r="H351" i="1" s="1"/>
  <c r="L367" i="1"/>
  <c r="F367" i="1" s="1"/>
  <c r="I66" i="1"/>
  <c r="I122" i="1"/>
  <c r="I176" i="1"/>
  <c r="I226" i="1"/>
  <c r="I280" i="1"/>
  <c r="I332" i="1"/>
  <c r="L10" i="1"/>
  <c r="F10" i="1" s="1"/>
  <c r="M27" i="1"/>
  <c r="G27" i="1" s="1"/>
  <c r="M45" i="1"/>
  <c r="G45" i="1" s="1"/>
  <c r="L62" i="1"/>
  <c r="F62" i="1" s="1"/>
  <c r="M79" i="1"/>
  <c r="G79" i="1" s="1"/>
  <c r="N95" i="1"/>
  <c r="H95" i="1" s="1"/>
  <c r="N113" i="1"/>
  <c r="H113" i="1" s="1"/>
  <c r="N131" i="1"/>
  <c r="H131" i="1" s="1"/>
  <c r="N147" i="1"/>
  <c r="H147" i="1" s="1"/>
  <c r="M166" i="1"/>
  <c r="G166" i="1" s="1"/>
  <c r="N183" i="1"/>
  <c r="H183" i="1" s="1"/>
  <c r="N199" i="1"/>
  <c r="H199" i="1" s="1"/>
  <c r="M218" i="1"/>
  <c r="G218" i="1" s="1"/>
  <c r="M234" i="1"/>
  <c r="G234" i="1" s="1"/>
  <c r="M270" i="1"/>
  <c r="G270" i="1" s="1"/>
  <c r="M286" i="1"/>
  <c r="G286" i="1" s="1"/>
  <c r="N303" i="1"/>
  <c r="H303" i="1" s="1"/>
  <c r="L320" i="1"/>
  <c r="F320" i="1" s="1"/>
  <c r="N336" i="1"/>
  <c r="H336" i="1" s="1"/>
  <c r="L352" i="1"/>
  <c r="F352" i="1" s="1"/>
  <c r="M368" i="1"/>
  <c r="G368" i="1" s="1"/>
  <c r="I73" i="1"/>
  <c r="I282" i="1"/>
  <c r="L46" i="1"/>
  <c r="F46" i="1" s="1"/>
  <c r="M114" i="1"/>
  <c r="G114" i="1" s="1"/>
  <c r="L167" i="1"/>
  <c r="F167" i="1" s="1"/>
  <c r="L219" i="1"/>
  <c r="F219" i="1" s="1"/>
  <c r="L271" i="1"/>
  <c r="F271" i="1" s="1"/>
  <c r="N321" i="1"/>
  <c r="H321" i="1" s="1"/>
  <c r="N353" i="1"/>
  <c r="H353" i="1" s="1"/>
  <c r="I125" i="1"/>
  <c r="I283" i="1"/>
  <c r="M46" i="1"/>
  <c r="G46" i="1" s="1"/>
  <c r="N114" i="1"/>
  <c r="H114" i="1" s="1"/>
  <c r="N184" i="1"/>
  <c r="H184" i="1" s="1"/>
  <c r="N236" i="1"/>
  <c r="H236" i="1" s="1"/>
  <c r="L288" i="1"/>
  <c r="F288" i="1" s="1"/>
  <c r="N337" i="1"/>
  <c r="H337" i="1" s="1"/>
  <c r="I180" i="1"/>
  <c r="I236" i="1"/>
  <c r="I336" i="1"/>
  <c r="M29" i="1"/>
  <c r="G29" i="1" s="1"/>
  <c r="M63" i="1"/>
  <c r="G63" i="1" s="1"/>
  <c r="M98" i="1"/>
  <c r="G98" i="1" s="1"/>
  <c r="L133" i="1"/>
  <c r="F133" i="1" s="1"/>
  <c r="N167" i="1"/>
  <c r="H167" i="1" s="1"/>
  <c r="L237" i="1"/>
  <c r="F237" i="1" s="1"/>
  <c r="L289" i="1"/>
  <c r="F289" i="1" s="1"/>
  <c r="M322" i="1"/>
  <c r="G322" i="1" s="1"/>
  <c r="I76" i="1"/>
  <c r="I287" i="1"/>
  <c r="L13" i="1"/>
  <c r="F13" i="1" s="1"/>
  <c r="N63" i="1"/>
  <c r="H63" i="1" s="1"/>
  <c r="L134" i="1"/>
  <c r="F134" i="1" s="1"/>
  <c r="L186" i="1"/>
  <c r="F186" i="1" s="1"/>
  <c r="L272" i="1"/>
  <c r="F272" i="1" s="1"/>
  <c r="L339" i="1"/>
  <c r="F339" i="1" s="1"/>
  <c r="I79" i="1"/>
  <c r="I240" i="1"/>
  <c r="L14" i="1"/>
  <c r="F14" i="1" s="1"/>
  <c r="N48" i="1"/>
  <c r="H48" i="1" s="1"/>
  <c r="L66" i="1"/>
  <c r="F66" i="1" s="1"/>
  <c r="L99" i="1"/>
  <c r="F99" i="1" s="1"/>
  <c r="M134" i="1"/>
  <c r="G134" i="1" s="1"/>
  <c r="M168" i="1"/>
  <c r="G168" i="1" s="1"/>
  <c r="M220" i="1"/>
  <c r="G220" i="1" s="1"/>
  <c r="M254" i="1"/>
  <c r="G254" i="1" s="1"/>
  <c r="N305" i="1"/>
  <c r="H305" i="1" s="1"/>
  <c r="I136" i="1"/>
  <c r="I241" i="1"/>
  <c r="M14" i="1"/>
  <c r="G14" i="1" s="1"/>
  <c r="M66" i="1"/>
  <c r="G66" i="1" s="1"/>
  <c r="M186" i="1"/>
  <c r="G186" i="1" s="1"/>
  <c r="I72" i="1"/>
  <c r="I123" i="1"/>
  <c r="I177" i="1"/>
  <c r="I233" i="1"/>
  <c r="I281" i="1"/>
  <c r="I333" i="1"/>
  <c r="M10" i="1"/>
  <c r="G10" i="1" s="1"/>
  <c r="N27" i="1"/>
  <c r="H27" i="1" s="1"/>
  <c r="N45" i="1"/>
  <c r="H45" i="1" s="1"/>
  <c r="M62" i="1"/>
  <c r="G62" i="1" s="1"/>
  <c r="N79" i="1"/>
  <c r="H79" i="1" s="1"/>
  <c r="L96" i="1"/>
  <c r="F96" i="1" s="1"/>
  <c r="L114" i="1"/>
  <c r="F114" i="1" s="1"/>
  <c r="L132" i="1"/>
  <c r="F132" i="1" s="1"/>
  <c r="L148" i="1"/>
  <c r="F148" i="1" s="1"/>
  <c r="N166" i="1"/>
  <c r="H166" i="1" s="1"/>
  <c r="L184" i="1"/>
  <c r="F184" i="1" s="1"/>
  <c r="L200" i="1"/>
  <c r="F200" i="1" s="1"/>
  <c r="N218" i="1"/>
  <c r="H218" i="1" s="1"/>
  <c r="N234" i="1"/>
  <c r="H234" i="1" s="1"/>
  <c r="N270" i="1"/>
  <c r="H270" i="1" s="1"/>
  <c r="N286" i="1"/>
  <c r="H286" i="1" s="1"/>
  <c r="L304" i="1"/>
  <c r="F304" i="1" s="1"/>
  <c r="L321" i="1"/>
  <c r="F321" i="1" s="1"/>
  <c r="L337" i="1"/>
  <c r="F337" i="1" s="1"/>
  <c r="L353" i="1"/>
  <c r="F353" i="1" s="1"/>
  <c r="N368" i="1"/>
  <c r="H368" i="1" s="1"/>
  <c r="I124" i="1"/>
  <c r="I178" i="1"/>
  <c r="I334" i="1"/>
  <c r="N10" i="1"/>
  <c r="H10" i="1" s="1"/>
  <c r="N62" i="1"/>
  <c r="H62" i="1" s="1"/>
  <c r="L80" i="1"/>
  <c r="F80" i="1" s="1"/>
  <c r="M132" i="1"/>
  <c r="G132" i="1" s="1"/>
  <c r="M148" i="1"/>
  <c r="G148" i="1" s="1"/>
  <c r="M200" i="1"/>
  <c r="G200" i="1" s="1"/>
  <c r="M304" i="1"/>
  <c r="G304" i="1" s="1"/>
  <c r="M337" i="1"/>
  <c r="G337" i="1" s="1"/>
  <c r="I179" i="1"/>
  <c r="I335" i="1"/>
  <c r="M28" i="1"/>
  <c r="G28" i="1" s="1"/>
  <c r="L81" i="1"/>
  <c r="F81" i="1" s="1"/>
  <c r="N132" i="1"/>
  <c r="H132" i="1" s="1"/>
  <c r="M167" i="1"/>
  <c r="G167" i="1" s="1"/>
  <c r="M219" i="1"/>
  <c r="G219" i="1" s="1"/>
  <c r="M271" i="1"/>
  <c r="G271" i="1" s="1"/>
  <c r="L322" i="1"/>
  <c r="F322" i="1" s="1"/>
  <c r="M369" i="1"/>
  <c r="G369" i="1" s="1"/>
  <c r="I75" i="1"/>
  <c r="I286" i="1"/>
  <c r="N12" i="1"/>
  <c r="H12" i="1" s="1"/>
  <c r="N46" i="1"/>
  <c r="H46" i="1" s="1"/>
  <c r="L115" i="1"/>
  <c r="F115" i="1" s="1"/>
  <c r="L149" i="1"/>
  <c r="F149" i="1" s="1"/>
  <c r="N219" i="1"/>
  <c r="H219" i="1" s="1"/>
  <c r="L305" i="1"/>
  <c r="F305" i="1" s="1"/>
  <c r="L338" i="1"/>
  <c r="F338" i="1" s="1"/>
  <c r="L370" i="1"/>
  <c r="F370" i="1" s="1"/>
  <c r="I237" i="1"/>
  <c r="N29" i="1"/>
  <c r="H29" i="1" s="1"/>
  <c r="N98" i="1"/>
  <c r="H98" i="1" s="1"/>
  <c r="M149" i="1"/>
  <c r="G149" i="1" s="1"/>
  <c r="M201" i="1"/>
  <c r="G201" i="1" s="1"/>
  <c r="L254" i="1"/>
  <c r="F254" i="1" s="1"/>
  <c r="M305" i="1"/>
  <c r="G305" i="1" s="1"/>
  <c r="N354" i="1"/>
  <c r="H354" i="1" s="1"/>
  <c r="I186" i="1"/>
  <c r="L30" i="1"/>
  <c r="F30" i="1" s="1"/>
  <c r="N82" i="1"/>
  <c r="H82" i="1" s="1"/>
  <c r="L151" i="1"/>
  <c r="F151" i="1" s="1"/>
  <c r="M202" i="1"/>
  <c r="G202" i="1" s="1"/>
  <c r="M272" i="1"/>
  <c r="G272" i="1" s="1"/>
  <c r="M339" i="1"/>
  <c r="G339" i="1" s="1"/>
  <c r="I82" i="1"/>
  <c r="I289" i="1"/>
  <c r="I234" i="1"/>
  <c r="L28" i="1"/>
  <c r="F28" i="1" s="1"/>
  <c r="N97" i="1"/>
  <c r="H97" i="1" s="1"/>
  <c r="M184" i="1"/>
  <c r="G184" i="1" s="1"/>
  <c r="M236" i="1"/>
  <c r="G236" i="1" s="1"/>
  <c r="N287" i="1"/>
  <c r="H287" i="1" s="1"/>
  <c r="L369" i="1"/>
  <c r="F369" i="1" s="1"/>
  <c r="I74" i="1"/>
  <c r="I235" i="1"/>
  <c r="M12" i="1"/>
  <c r="G12" i="1" s="1"/>
  <c r="L63" i="1"/>
  <c r="F63" i="1" s="1"/>
  <c r="L98" i="1"/>
  <c r="F98" i="1" s="1"/>
  <c r="N148" i="1"/>
  <c r="H148" i="1" s="1"/>
  <c r="N200" i="1"/>
  <c r="H200" i="1" s="1"/>
  <c r="N304" i="1"/>
  <c r="H304" i="1" s="1"/>
  <c r="L354" i="1"/>
  <c r="F354" i="1" s="1"/>
  <c r="I128" i="1"/>
  <c r="L82" i="1"/>
  <c r="F82" i="1" s="1"/>
  <c r="L185" i="1"/>
  <c r="F185" i="1" s="1"/>
  <c r="N271" i="1"/>
  <c r="H271" i="1" s="1"/>
  <c r="M354" i="1"/>
  <c r="G354" i="1" s="1"/>
  <c r="I129" i="1"/>
  <c r="I337" i="1"/>
  <c r="L47" i="1"/>
  <c r="F47" i="1" s="1"/>
  <c r="M82" i="1"/>
  <c r="G82" i="1" s="1"/>
  <c r="M115" i="1"/>
  <c r="G115" i="1" s="1"/>
  <c r="L168" i="1"/>
  <c r="F168" i="1" s="1"/>
  <c r="L238" i="1"/>
  <c r="F238" i="1" s="1"/>
  <c r="M290" i="1"/>
  <c r="G290" i="1" s="1"/>
  <c r="N322" i="1"/>
  <c r="H322" i="1" s="1"/>
  <c r="I344" i="1"/>
  <c r="N115" i="1"/>
  <c r="H115" i="1" s="1"/>
  <c r="M238" i="1"/>
  <c r="G238" i="1" s="1"/>
  <c r="M323" i="1"/>
  <c r="G323" i="1" s="1"/>
  <c r="I345" i="1"/>
  <c r="L220" i="1"/>
  <c r="F220" i="1" s="1"/>
  <c r="L201" i="1"/>
  <c r="F201" i="1" s="1"/>
  <c r="M370" i="1"/>
  <c r="G370" i="1" s="1"/>
  <c r="N290" i="1"/>
  <c r="H290" i="1" s="1"/>
  <c r="I181" i="1"/>
  <c r="I288" i="1"/>
  <c r="L355" i="1"/>
  <c r="F355" i="1" s="1"/>
  <c r="I130" i="1"/>
  <c r="N370" i="1"/>
  <c r="H370" i="1" s="1"/>
  <c r="I41" i="1"/>
  <c r="I111" i="1"/>
  <c r="I190" i="1"/>
  <c r="I255" i="1"/>
  <c r="I328" i="1"/>
  <c r="M17" i="1"/>
  <c r="G17" i="1" s="1"/>
  <c r="M39" i="1"/>
  <c r="G39" i="1" s="1"/>
  <c r="M61" i="1"/>
  <c r="G61" i="1" s="1"/>
  <c r="L88" i="1"/>
  <c r="F88" i="1" s="1"/>
  <c r="M109" i="1"/>
  <c r="G109" i="1" s="1"/>
  <c r="N134" i="1"/>
  <c r="H134" i="1" s="1"/>
  <c r="N156" i="1"/>
  <c r="H156" i="1" s="1"/>
  <c r="N178" i="1"/>
  <c r="H178" i="1" s="1"/>
  <c r="M205" i="1"/>
  <c r="G205" i="1" s="1"/>
  <c r="L226" i="1"/>
  <c r="F226" i="1" s="1"/>
  <c r="L248" i="1"/>
  <c r="F248" i="1" s="1"/>
  <c r="M273" i="1"/>
  <c r="G273" i="1" s="1"/>
  <c r="L295" i="1"/>
  <c r="F295" i="1" s="1"/>
  <c r="N315" i="1"/>
  <c r="H315" i="1" s="1"/>
  <c r="N339" i="1"/>
  <c r="H339" i="1" s="1"/>
  <c r="M359" i="1"/>
  <c r="G359" i="1" s="1"/>
  <c r="I194" i="1"/>
  <c r="L110" i="1"/>
  <c r="F110" i="1" s="1"/>
  <c r="L274" i="1"/>
  <c r="F274" i="1" s="1"/>
  <c r="I46" i="1"/>
  <c r="I199" i="1"/>
  <c r="M18" i="1"/>
  <c r="G18" i="1" s="1"/>
  <c r="M67" i="1"/>
  <c r="G67" i="1" s="1"/>
  <c r="M110" i="1"/>
  <c r="G110" i="1" s="1"/>
  <c r="N157" i="1"/>
  <c r="H157" i="1" s="1"/>
  <c r="M206" i="1"/>
  <c r="G206" i="1" s="1"/>
  <c r="L249" i="1"/>
  <c r="F249" i="1" s="1"/>
  <c r="M274" i="1"/>
  <c r="G274" i="1" s="1"/>
  <c r="N316" i="1"/>
  <c r="H316" i="1" s="1"/>
  <c r="N340" i="1"/>
  <c r="H340" i="1" s="1"/>
  <c r="L361" i="1"/>
  <c r="F361" i="1" s="1"/>
  <c r="I115" i="1"/>
  <c r="I269" i="1"/>
  <c r="I347" i="1"/>
  <c r="N40" i="1"/>
  <c r="H40" i="1" s="1"/>
  <c r="M89" i="1"/>
  <c r="G89" i="1" s="1"/>
  <c r="L136" i="1"/>
  <c r="F136" i="1" s="1"/>
  <c r="L180" i="1"/>
  <c r="F180" i="1" s="1"/>
  <c r="L228" i="1"/>
  <c r="F228" i="1" s="1"/>
  <c r="N274" i="1"/>
  <c r="H274" i="1" s="1"/>
  <c r="L317" i="1"/>
  <c r="F317" i="1" s="1"/>
  <c r="M361" i="1"/>
  <c r="G361" i="1" s="1"/>
  <c r="I349" i="1"/>
  <c r="N180" i="1"/>
  <c r="H180" i="1" s="1"/>
  <c r="N317" i="1"/>
  <c r="H317" i="1" s="1"/>
  <c r="I205" i="1"/>
  <c r="M20" i="1"/>
  <c r="G20" i="1" s="1"/>
  <c r="M90" i="1"/>
  <c r="G90" i="1" s="1"/>
  <c r="N159" i="1"/>
  <c r="H159" i="1" s="1"/>
  <c r="L229" i="1"/>
  <c r="F229" i="1" s="1"/>
  <c r="M297" i="1"/>
  <c r="G297" i="1" s="1"/>
  <c r="N363" i="1"/>
  <c r="H363" i="1" s="1"/>
  <c r="I139" i="1"/>
  <c r="I351" i="1"/>
  <c r="M70" i="1"/>
  <c r="G70" i="1" s="1"/>
  <c r="M117" i="1"/>
  <c r="G117" i="1" s="1"/>
  <c r="L160" i="1"/>
  <c r="F160" i="1" s="1"/>
  <c r="N208" i="1"/>
  <c r="H208" i="1" s="1"/>
  <c r="L256" i="1"/>
  <c r="F256" i="1" s="1"/>
  <c r="M298" i="1"/>
  <c r="G298" i="1" s="1"/>
  <c r="N344" i="1"/>
  <c r="H344" i="1" s="1"/>
  <c r="I140" i="1"/>
  <c r="N23" i="1"/>
  <c r="H23" i="1" s="1"/>
  <c r="N91" i="1"/>
  <c r="H91" i="1" s="1"/>
  <c r="N161" i="1"/>
  <c r="H161" i="1" s="1"/>
  <c r="L231" i="1"/>
  <c r="F231" i="1" s="1"/>
  <c r="M300" i="1"/>
  <c r="G300" i="1" s="1"/>
  <c r="N364" i="1"/>
  <c r="H364" i="1" s="1"/>
  <c r="I56" i="1"/>
  <c r="I141" i="1"/>
  <c r="I359" i="1"/>
  <c r="L24" i="1"/>
  <c r="F24" i="1" s="1"/>
  <c r="L71" i="1"/>
  <c r="F71" i="1" s="1"/>
  <c r="M119" i="1"/>
  <c r="G119" i="1" s="1"/>
  <c r="L162" i="1"/>
  <c r="F162" i="1" s="1"/>
  <c r="M209" i="1"/>
  <c r="G209" i="1" s="1"/>
  <c r="M279" i="1"/>
  <c r="G279" i="1" s="1"/>
  <c r="M345" i="1"/>
  <c r="G345" i="1" s="1"/>
  <c r="I211" i="1"/>
  <c r="M24" i="1"/>
  <c r="G24" i="1" s="1"/>
  <c r="L93" i="1"/>
  <c r="F93" i="1" s="1"/>
  <c r="M162" i="1"/>
  <c r="G162" i="1" s="1"/>
  <c r="N231" i="1"/>
  <c r="H231" i="1" s="1"/>
  <c r="L301" i="1"/>
  <c r="F301" i="1" s="1"/>
  <c r="M365" i="1"/>
  <c r="G365" i="1" s="1"/>
  <c r="I58" i="1"/>
  <c r="I212" i="1"/>
  <c r="I290" i="1"/>
  <c r="I361" i="1"/>
  <c r="L50" i="1"/>
  <c r="F50" i="1" s="1"/>
  <c r="M93" i="1"/>
  <c r="G93" i="1" s="1"/>
  <c r="M141" i="1"/>
  <c r="G141" i="1" s="1"/>
  <c r="N162" i="1"/>
  <c r="H162" i="1" s="1"/>
  <c r="L210" i="1"/>
  <c r="F210" i="1" s="1"/>
  <c r="L280" i="1"/>
  <c r="F280" i="1" s="1"/>
  <c r="I59" i="1"/>
  <c r="I295" i="1"/>
  <c r="I362" i="1"/>
  <c r="L72" i="1"/>
  <c r="F72" i="1" s="1"/>
  <c r="N93" i="1"/>
  <c r="H93" i="1" s="1"/>
  <c r="M142" i="1"/>
  <c r="G142" i="1" s="1"/>
  <c r="M188" i="1"/>
  <c r="G188" i="1" s="1"/>
  <c r="L259" i="1"/>
  <c r="F259" i="1" s="1"/>
  <c r="N301" i="1"/>
  <c r="H301" i="1" s="1"/>
  <c r="N346" i="1"/>
  <c r="H346" i="1" s="1"/>
  <c r="L366" i="1"/>
  <c r="F366" i="1" s="1"/>
  <c r="I42" i="1"/>
  <c r="I112" i="1"/>
  <c r="I193" i="1"/>
  <c r="I256" i="1"/>
  <c r="I329" i="1"/>
  <c r="N17" i="1"/>
  <c r="H17" i="1" s="1"/>
  <c r="N39" i="1"/>
  <c r="H39" i="1" s="1"/>
  <c r="N66" i="1"/>
  <c r="H66" i="1" s="1"/>
  <c r="M88" i="1"/>
  <c r="G88" i="1" s="1"/>
  <c r="N109" i="1"/>
  <c r="H109" i="1" s="1"/>
  <c r="L135" i="1"/>
  <c r="F135" i="1" s="1"/>
  <c r="L157" i="1"/>
  <c r="F157" i="1" s="1"/>
  <c r="L179" i="1"/>
  <c r="F179" i="1" s="1"/>
  <c r="N205" i="1"/>
  <c r="H205" i="1" s="1"/>
  <c r="M226" i="1"/>
  <c r="G226" i="1" s="1"/>
  <c r="M248" i="1"/>
  <c r="G248" i="1" s="1"/>
  <c r="N273" i="1"/>
  <c r="H273" i="1" s="1"/>
  <c r="M295" i="1"/>
  <c r="G295" i="1" s="1"/>
  <c r="L316" i="1"/>
  <c r="F316" i="1" s="1"/>
  <c r="L340" i="1"/>
  <c r="F340" i="1" s="1"/>
  <c r="M360" i="1"/>
  <c r="G360" i="1" s="1"/>
  <c r="I45" i="1"/>
  <c r="I113" i="1"/>
  <c r="I257" i="1"/>
  <c r="I330" i="1"/>
  <c r="L18" i="1"/>
  <c r="F18" i="1" s="1"/>
  <c r="L40" i="1"/>
  <c r="F40" i="1" s="1"/>
  <c r="L67" i="1"/>
  <c r="F67" i="1" s="1"/>
  <c r="N88" i="1"/>
  <c r="H88" i="1" s="1"/>
  <c r="M135" i="1"/>
  <c r="G135" i="1" s="1"/>
  <c r="M157" i="1"/>
  <c r="G157" i="1" s="1"/>
  <c r="M179" i="1"/>
  <c r="G179" i="1" s="1"/>
  <c r="L206" i="1"/>
  <c r="F206" i="1" s="1"/>
  <c r="N226" i="1"/>
  <c r="H226" i="1" s="1"/>
  <c r="N248" i="1"/>
  <c r="H248" i="1" s="1"/>
  <c r="N295" i="1"/>
  <c r="H295" i="1" s="1"/>
  <c r="M316" i="1"/>
  <c r="G316" i="1" s="1"/>
  <c r="M340" i="1"/>
  <c r="G340" i="1" s="1"/>
  <c r="N360" i="1"/>
  <c r="H360" i="1" s="1"/>
  <c r="I114" i="1"/>
  <c r="I266" i="1"/>
  <c r="I346" i="1"/>
  <c r="M40" i="1"/>
  <c r="G40" i="1" s="1"/>
  <c r="L89" i="1"/>
  <c r="F89" i="1" s="1"/>
  <c r="N135" i="1"/>
  <c r="H135" i="1" s="1"/>
  <c r="N179" i="1"/>
  <c r="H179" i="1" s="1"/>
  <c r="N227" i="1"/>
  <c r="H227" i="1" s="1"/>
  <c r="L296" i="1"/>
  <c r="F296" i="1" s="1"/>
  <c r="I47" i="1"/>
  <c r="I202" i="1"/>
  <c r="N18" i="1"/>
  <c r="H18" i="1" s="1"/>
  <c r="N67" i="1"/>
  <c r="H67" i="1" s="1"/>
  <c r="N110" i="1"/>
  <c r="H110" i="1" s="1"/>
  <c r="L158" i="1"/>
  <c r="F158" i="1" s="1"/>
  <c r="N206" i="1"/>
  <c r="H206" i="1" s="1"/>
  <c r="M249" i="1"/>
  <c r="G249" i="1" s="1"/>
  <c r="M296" i="1"/>
  <c r="G296" i="1" s="1"/>
  <c r="L341" i="1"/>
  <c r="F341" i="1" s="1"/>
  <c r="I137" i="1"/>
  <c r="M111" i="1"/>
  <c r="G111" i="1" s="1"/>
  <c r="N276" i="1"/>
  <c r="H276" i="1" s="1"/>
  <c r="I53" i="1"/>
  <c r="I350" i="1"/>
  <c r="L70" i="1"/>
  <c r="F70" i="1" s="1"/>
  <c r="L137" i="1"/>
  <c r="F137" i="1" s="1"/>
  <c r="N207" i="1"/>
  <c r="H207" i="1" s="1"/>
  <c r="L277" i="1"/>
  <c r="F277" i="1" s="1"/>
  <c r="L343" i="1"/>
  <c r="F343" i="1" s="1"/>
  <c r="I206" i="1"/>
  <c r="N42" i="1"/>
  <c r="H42" i="1" s="1"/>
  <c r="N138" i="1"/>
  <c r="H138" i="1" s="1"/>
  <c r="N230" i="1"/>
  <c r="H230" i="1" s="1"/>
  <c r="M324" i="1"/>
  <c r="G324" i="1" s="1"/>
  <c r="I55" i="1"/>
  <c r="I274" i="1"/>
  <c r="L49" i="1"/>
  <c r="F49" i="1" s="1"/>
  <c r="L119" i="1"/>
  <c r="F119" i="1" s="1"/>
  <c r="L187" i="1"/>
  <c r="F187" i="1" s="1"/>
  <c r="N257" i="1"/>
  <c r="H257" i="1" s="1"/>
  <c r="N324" i="1"/>
  <c r="H324" i="1" s="1"/>
  <c r="I275" i="1"/>
  <c r="L92" i="1"/>
  <c r="F92" i="1" s="1"/>
  <c r="M231" i="1"/>
  <c r="G231" i="1" s="1"/>
  <c r="L325" i="1"/>
  <c r="F325" i="1" s="1"/>
  <c r="I57" i="1"/>
  <c r="I278" i="1"/>
  <c r="N49" i="1"/>
  <c r="H49" i="1" s="1"/>
  <c r="N119" i="1"/>
  <c r="H119" i="1" s="1"/>
  <c r="N187" i="1"/>
  <c r="H187" i="1" s="1"/>
  <c r="M258" i="1"/>
  <c r="G258" i="1" s="1"/>
  <c r="N345" i="1"/>
  <c r="H345" i="1" s="1"/>
  <c r="M5" i="1"/>
  <c r="G5" i="1" s="1"/>
  <c r="I147" i="1"/>
  <c r="N24" i="1"/>
  <c r="H24" i="1" s="1"/>
  <c r="L120" i="1"/>
  <c r="F120" i="1" s="1"/>
  <c r="L188" i="1"/>
  <c r="F188" i="1" s="1"/>
  <c r="L232" i="1"/>
  <c r="F232" i="1" s="1"/>
  <c r="N258" i="1"/>
  <c r="H258" i="1" s="1"/>
  <c r="M301" i="1"/>
  <c r="G301" i="1" s="1"/>
  <c r="L346" i="1"/>
  <c r="F346" i="1" s="1"/>
  <c r="L5" i="1"/>
  <c r="F5" i="1" s="1"/>
  <c r="I148" i="1"/>
  <c r="L25" i="1"/>
  <c r="F25" i="1" s="1"/>
  <c r="J25" i="1" s="1"/>
  <c r="L163" i="1"/>
  <c r="F163" i="1" s="1"/>
  <c r="M280" i="1"/>
  <c r="G280" i="1" s="1"/>
  <c r="N365" i="1"/>
  <c r="H365" i="1" s="1"/>
  <c r="I51" i="1"/>
  <c r="I120" i="1"/>
  <c r="I203" i="1"/>
  <c r="I270" i="1"/>
  <c r="I348" i="1"/>
  <c r="N19" i="1"/>
  <c r="H19" i="1" s="1"/>
  <c r="L41" i="1"/>
  <c r="F41" i="1" s="1"/>
  <c r="M69" i="1"/>
  <c r="G69" i="1" s="1"/>
  <c r="N89" i="1"/>
  <c r="H89" i="1" s="1"/>
  <c r="L111" i="1"/>
  <c r="F111" i="1" s="1"/>
  <c r="M136" i="1"/>
  <c r="G136" i="1" s="1"/>
  <c r="M158" i="1"/>
  <c r="G158" i="1" s="1"/>
  <c r="M180" i="1"/>
  <c r="G180" i="1" s="1"/>
  <c r="L207" i="1"/>
  <c r="F207" i="1" s="1"/>
  <c r="M228" i="1"/>
  <c r="G228" i="1" s="1"/>
  <c r="N249" i="1"/>
  <c r="H249" i="1" s="1"/>
  <c r="N275" i="1"/>
  <c r="H275" i="1" s="1"/>
  <c r="N296" i="1"/>
  <c r="H296" i="1" s="1"/>
  <c r="M317" i="1"/>
  <c r="G317" i="1" s="1"/>
  <c r="M341" i="1"/>
  <c r="G341" i="1" s="1"/>
  <c r="N361" i="1"/>
  <c r="H361" i="1" s="1"/>
  <c r="I52" i="1"/>
  <c r="I204" i="1"/>
  <c r="I271" i="1"/>
  <c r="L20" i="1"/>
  <c r="F20" i="1" s="1"/>
  <c r="L42" i="1"/>
  <c r="F42" i="1" s="1"/>
  <c r="N69" i="1"/>
  <c r="H69" i="1" s="1"/>
  <c r="L90" i="1"/>
  <c r="F90" i="1" s="1"/>
  <c r="N136" i="1"/>
  <c r="H136" i="1" s="1"/>
  <c r="M159" i="1"/>
  <c r="G159" i="1" s="1"/>
  <c r="M207" i="1"/>
  <c r="G207" i="1" s="1"/>
  <c r="N228" i="1"/>
  <c r="H228" i="1" s="1"/>
  <c r="N250" i="1"/>
  <c r="H250" i="1" s="1"/>
  <c r="L297" i="1"/>
  <c r="F297" i="1" s="1"/>
  <c r="M342" i="1"/>
  <c r="G342" i="1" s="1"/>
  <c r="L362" i="1"/>
  <c r="F362" i="1" s="1"/>
  <c r="I138" i="1"/>
  <c r="I272" i="1"/>
  <c r="M42" i="1"/>
  <c r="G42" i="1" s="1"/>
  <c r="N111" i="1"/>
  <c r="H111" i="1" s="1"/>
  <c r="L181" i="1"/>
  <c r="F181" i="1" s="1"/>
  <c r="N251" i="1"/>
  <c r="H251" i="1" s="1"/>
  <c r="L318" i="1"/>
  <c r="F318" i="1" s="1"/>
  <c r="I54" i="1"/>
  <c r="I273" i="1"/>
  <c r="M23" i="1"/>
  <c r="G23" i="1" s="1"/>
  <c r="M91" i="1"/>
  <c r="G91" i="1" s="1"/>
  <c r="N186" i="1"/>
  <c r="H186" i="1" s="1"/>
  <c r="M277" i="1"/>
  <c r="G277" i="1" s="1"/>
  <c r="M364" i="1"/>
  <c r="G364" i="1" s="1"/>
  <c r="I207" i="1"/>
  <c r="I354" i="1"/>
  <c r="N70" i="1"/>
  <c r="H70" i="1" s="1"/>
  <c r="M140" i="1"/>
  <c r="G140" i="1" s="1"/>
  <c r="L209" i="1"/>
  <c r="F209" i="1" s="1"/>
  <c r="L279" i="1"/>
  <c r="F279" i="1" s="1"/>
  <c r="L345" i="1"/>
  <c r="F345" i="1" s="1"/>
  <c r="I210" i="1"/>
  <c r="M49" i="1"/>
  <c r="G49" i="1" s="1"/>
  <c r="N140" i="1"/>
  <c r="H140" i="1" s="1"/>
  <c r="M187" i="1"/>
  <c r="G187" i="1" s="1"/>
  <c r="L258" i="1"/>
  <c r="F258" i="1" s="1"/>
  <c r="N300" i="1"/>
  <c r="H300" i="1" s="1"/>
  <c r="L365" i="1"/>
  <c r="F365" i="1" s="1"/>
  <c r="I142" i="1"/>
  <c r="I360" i="1"/>
  <c r="M71" i="1"/>
  <c r="G71" i="1" s="1"/>
  <c r="L141" i="1"/>
  <c r="F141" i="1" s="1"/>
  <c r="N209" i="1"/>
  <c r="H209" i="1" s="1"/>
  <c r="N279" i="1"/>
  <c r="H279" i="1" s="1"/>
  <c r="M325" i="1"/>
  <c r="G325" i="1" s="1"/>
  <c r="N71" i="1"/>
  <c r="H71" i="1" s="1"/>
  <c r="N325" i="1"/>
  <c r="H325" i="1" s="1"/>
  <c r="I213" i="1"/>
  <c r="M50" i="1"/>
  <c r="G50" i="1" s="1"/>
  <c r="M120" i="1"/>
  <c r="G120" i="1" s="1"/>
  <c r="M210" i="1"/>
  <c r="G210" i="1" s="1"/>
  <c r="L326" i="1"/>
  <c r="F326" i="1" s="1"/>
  <c r="I89" i="1"/>
  <c r="L330" i="1"/>
  <c r="F330" i="1" s="1"/>
  <c r="L247" i="1"/>
  <c r="F247" i="1" s="1"/>
  <c r="M173" i="1"/>
  <c r="G173" i="1" s="1"/>
  <c r="N126" i="1"/>
  <c r="H126" i="1" s="1"/>
  <c r="L52" i="1"/>
  <c r="F52" i="1" s="1"/>
  <c r="I371" i="1"/>
  <c r="I245" i="1"/>
  <c r="N291" i="1"/>
  <c r="H291" i="1" s="1"/>
  <c r="M245" i="1"/>
  <c r="G245" i="1" s="1"/>
  <c r="M212" i="1"/>
  <c r="G212" i="1" s="1"/>
  <c r="M172" i="1"/>
  <c r="G172" i="1" s="1"/>
  <c r="M126" i="1"/>
  <c r="G126" i="1" s="1"/>
  <c r="N84" i="1"/>
  <c r="H84" i="1" s="1"/>
  <c r="L51" i="1"/>
  <c r="F51" i="1" s="1"/>
  <c r="I370" i="1"/>
  <c r="I97" i="1"/>
  <c r="M371" i="1"/>
  <c r="G371" i="1" s="1"/>
  <c r="M329" i="1"/>
  <c r="G329" i="1" s="1"/>
  <c r="M291" i="1"/>
  <c r="G291" i="1" s="1"/>
  <c r="L245" i="1"/>
  <c r="F245" i="1" s="1"/>
  <c r="L212" i="1"/>
  <c r="F212" i="1" s="1"/>
  <c r="N170" i="1"/>
  <c r="H170" i="1" s="1"/>
  <c r="L126" i="1"/>
  <c r="F126" i="1" s="1"/>
  <c r="M84" i="1"/>
  <c r="G84" i="1" s="1"/>
  <c r="N50" i="1"/>
  <c r="H50" i="1" s="1"/>
  <c r="I369" i="1"/>
  <c r="I243" i="1"/>
  <c r="I96" i="1"/>
  <c r="L371" i="1"/>
  <c r="F371" i="1" s="1"/>
  <c r="L329" i="1"/>
  <c r="F329" i="1" s="1"/>
  <c r="L291" i="1"/>
  <c r="F291" i="1" s="1"/>
  <c r="N244" i="1"/>
  <c r="H244" i="1" s="1"/>
  <c r="N211" i="1"/>
  <c r="H211" i="1" s="1"/>
  <c r="M170" i="1"/>
  <c r="G170" i="1" s="1"/>
  <c r="M124" i="1"/>
  <c r="G124" i="1" s="1"/>
  <c r="L84" i="1"/>
  <c r="F84" i="1" s="1"/>
  <c r="M38" i="1"/>
  <c r="G38" i="1" s="1"/>
  <c r="I368" i="1"/>
  <c r="I242" i="1"/>
  <c r="I95" i="1"/>
  <c r="N366" i="1"/>
  <c r="H366" i="1" s="1"/>
  <c r="N328" i="1"/>
  <c r="H328" i="1" s="1"/>
  <c r="L285" i="1"/>
  <c r="F285" i="1" s="1"/>
  <c r="M244" i="1"/>
  <c r="G244" i="1" s="1"/>
  <c r="M211" i="1"/>
  <c r="G211" i="1" s="1"/>
  <c r="L170" i="1"/>
  <c r="F170" i="1" s="1"/>
  <c r="L124" i="1"/>
  <c r="F124" i="1" s="1"/>
  <c r="N83" i="1"/>
  <c r="H83" i="1" s="1"/>
  <c r="L38" i="1"/>
  <c r="F38" i="1" s="1"/>
  <c r="I367" i="1"/>
  <c r="J367" i="1" s="1"/>
  <c r="I224" i="1"/>
  <c r="J224" i="1" s="1"/>
  <c r="I94" i="1"/>
  <c r="M366" i="1"/>
  <c r="G366" i="1" s="1"/>
  <c r="M328" i="1"/>
  <c r="G328" i="1" s="1"/>
  <c r="N284" i="1"/>
  <c r="H284" i="1" s="1"/>
  <c r="L244" i="1"/>
  <c r="F244" i="1" s="1"/>
  <c r="L199" i="1"/>
  <c r="F199" i="1" s="1"/>
  <c r="N169" i="1"/>
  <c r="H169" i="1" s="1"/>
  <c r="N123" i="1"/>
  <c r="H123" i="1" s="1"/>
  <c r="M83" i="1"/>
  <c r="G83" i="1" s="1"/>
  <c r="N37" i="1"/>
  <c r="H37" i="1" s="1"/>
  <c r="I366" i="1"/>
  <c r="I219" i="1"/>
  <c r="I93" i="1"/>
  <c r="L359" i="1"/>
  <c r="F359" i="1" s="1"/>
  <c r="L328" i="1"/>
  <c r="F328" i="1" s="1"/>
  <c r="M284" i="1"/>
  <c r="G284" i="1" s="1"/>
  <c r="N243" i="1"/>
  <c r="H243" i="1" s="1"/>
  <c r="N198" i="1"/>
  <c r="H198" i="1" s="1"/>
  <c r="M169" i="1"/>
  <c r="G169" i="1" s="1"/>
  <c r="M123" i="1"/>
  <c r="G123" i="1" s="1"/>
  <c r="L83" i="1"/>
  <c r="F83" i="1" s="1"/>
  <c r="M37" i="1"/>
  <c r="G37" i="1" s="1"/>
  <c r="I363" i="1"/>
  <c r="I218" i="1"/>
  <c r="I92" i="1"/>
  <c r="J26" i="1" l="1"/>
  <c r="J176" i="1"/>
  <c r="J3" i="1"/>
  <c r="J6" i="1"/>
  <c r="J139" i="1"/>
  <c r="J240" i="1"/>
  <c r="J2" i="1"/>
  <c r="J21" i="1"/>
  <c r="J105" i="1"/>
  <c r="J333" i="1"/>
  <c r="J36" i="1"/>
  <c r="J75" i="1"/>
  <c r="J48" i="1"/>
  <c r="J11" i="1"/>
  <c r="J16" i="1"/>
  <c r="J274" i="1"/>
  <c r="J127" i="1"/>
  <c r="J195" i="1"/>
  <c r="J17" i="1"/>
  <c r="J118" i="1"/>
  <c r="J19" i="1"/>
  <c r="J252" i="1"/>
  <c r="J20" i="1"/>
  <c r="J95" i="1"/>
  <c r="J57" i="1"/>
  <c r="J214" i="1"/>
  <c r="J226" i="1"/>
  <c r="J51" i="1"/>
  <c r="J23" i="1"/>
  <c r="J18" i="1"/>
  <c r="J22" i="1"/>
  <c r="J59" i="1"/>
  <c r="J10" i="1"/>
  <c r="J327" i="1"/>
  <c r="J12" i="1"/>
  <c r="J8" i="1"/>
  <c r="J194" i="1"/>
  <c r="J218" i="1"/>
  <c r="J112" i="1"/>
  <c r="J13" i="1"/>
  <c r="J281" i="1"/>
  <c r="J24" i="1"/>
  <c r="J183" i="1"/>
  <c r="J221" i="1"/>
  <c r="J55" i="1"/>
  <c r="J143" i="1"/>
  <c r="J353" i="1"/>
  <c r="J14" i="1"/>
  <c r="J315" i="1"/>
  <c r="J250" i="1"/>
  <c r="J313" i="1"/>
  <c r="J153" i="1"/>
  <c r="J351" i="1"/>
  <c r="J7" i="1"/>
  <c r="J370" i="1"/>
  <c r="J5" i="1"/>
  <c r="J44" i="1"/>
  <c r="J142" i="1"/>
  <c r="J158" i="1"/>
  <c r="J210" i="1"/>
  <c r="J335" i="1"/>
  <c r="J364" i="1"/>
  <c r="J79" i="1"/>
  <c r="J76" i="1"/>
  <c r="J15" i="1"/>
  <c r="J363" i="1"/>
  <c r="J354" i="1"/>
  <c r="J9" i="1"/>
  <c r="J123" i="1"/>
  <c r="J4" i="1"/>
  <c r="J171" i="1"/>
  <c r="J134" i="1"/>
  <c r="J94" i="1"/>
  <c r="J182" i="1"/>
  <c r="J114" i="1"/>
  <c r="J266" i="1"/>
  <c r="J256" i="1"/>
  <c r="J233" i="1"/>
  <c r="J77" i="1"/>
  <c r="J199" i="1"/>
  <c r="J242" i="1"/>
  <c r="J350" i="1"/>
  <c r="J34" i="1"/>
  <c r="J193" i="1"/>
  <c r="J177" i="1"/>
  <c r="J265" i="1"/>
  <c r="J264" i="1"/>
  <c r="J344" i="1"/>
  <c r="J331" i="1"/>
  <c r="J222" i="1"/>
  <c r="J50" i="1"/>
  <c r="J60" i="1"/>
  <c r="J140" i="1"/>
  <c r="J174" i="1"/>
  <c r="J247" i="1"/>
  <c r="J97" i="1"/>
  <c r="J304" i="1"/>
  <c r="J102" i="1"/>
  <c r="J122" i="1"/>
  <c r="J35" i="1"/>
  <c r="J172" i="1"/>
  <c r="J86" i="1"/>
  <c r="J286" i="1"/>
  <c r="J131" i="1"/>
  <c r="J345" i="1"/>
  <c r="J148" i="1"/>
  <c r="J192" i="1"/>
  <c r="J68" i="1"/>
  <c r="J206" i="1"/>
  <c r="J211" i="1"/>
  <c r="J289" i="1"/>
  <c r="J357" i="1"/>
  <c r="J261" i="1"/>
  <c r="J293" i="1"/>
  <c r="J197" i="1"/>
  <c r="J347" i="1"/>
  <c r="J273" i="1"/>
  <c r="J33" i="1"/>
  <c r="J54" i="1"/>
  <c r="J115" i="1"/>
  <c r="J328" i="1"/>
  <c r="J128" i="1"/>
  <c r="J180" i="1"/>
  <c r="J342" i="1"/>
  <c r="J269" i="1"/>
  <c r="J241" i="1"/>
  <c r="J147" i="1"/>
  <c r="J202" i="1"/>
  <c r="J41" i="1"/>
  <c r="J213" i="1"/>
  <c r="J107" i="1"/>
  <c r="J46" i="1"/>
  <c r="J205" i="1"/>
  <c r="J282" i="1"/>
  <c r="J170" i="1"/>
  <c r="J277" i="1"/>
  <c r="J85" i="1"/>
  <c r="J207" i="1"/>
  <c r="J359" i="1"/>
  <c r="J352" i="1"/>
  <c r="J81" i="1"/>
  <c r="J303" i="1"/>
  <c r="J137" i="1"/>
  <c r="J56" i="1"/>
  <c r="J129" i="1"/>
  <c r="J72" i="1"/>
  <c r="J32" i="1"/>
  <c r="J366" i="1"/>
  <c r="J295" i="1"/>
  <c r="J109" i="1"/>
  <c r="J113" i="1"/>
  <c r="J278" i="1"/>
  <c r="J45" i="1"/>
  <c r="J116" i="1"/>
  <c r="J150" i="1"/>
  <c r="J219" i="1"/>
  <c r="J39" i="1"/>
  <c r="J300" i="1"/>
  <c r="J223" i="1"/>
  <c r="J146" i="1"/>
  <c r="J302" i="1"/>
  <c r="J71" i="1"/>
  <c r="J101" i="1"/>
  <c r="J251" i="1"/>
  <c r="J279" i="1"/>
  <c r="J37" i="1"/>
  <c r="J138" i="1"/>
  <c r="J348" i="1"/>
  <c r="J361" i="1"/>
  <c r="J225" i="1"/>
  <c r="J356" i="1"/>
  <c r="J290" i="1"/>
  <c r="J288" i="1"/>
  <c r="J175" i="1"/>
  <c r="J184" i="1"/>
  <c r="J203" i="1"/>
  <c r="J181" i="1"/>
  <c r="J74" i="1"/>
  <c r="J283" i="1"/>
  <c r="J332" i="1"/>
  <c r="J121" i="1"/>
  <c r="J145" i="1"/>
  <c r="J292" i="1"/>
  <c r="J254" i="1"/>
  <c r="J360" i="1"/>
  <c r="J120" i="1"/>
  <c r="J58" i="1"/>
  <c r="J125" i="1"/>
  <c r="J280" i="1"/>
  <c r="J65" i="1"/>
  <c r="J106" i="1"/>
  <c r="J358" i="1"/>
  <c r="J323" i="1"/>
  <c r="J141" i="1"/>
  <c r="J126" i="1"/>
  <c r="J268" i="1"/>
  <c r="J99" i="1"/>
  <c r="J216" i="1"/>
  <c r="J297" i="1"/>
  <c r="J337" i="1"/>
  <c r="J186" i="1"/>
  <c r="J87" i="1"/>
  <c r="J104" i="1"/>
  <c r="J232" i="1"/>
  <c r="J70" i="1"/>
  <c r="J67" i="1"/>
  <c r="J108" i="1"/>
  <c r="J298" i="1"/>
  <c r="J31" i="1"/>
  <c r="J38" i="1"/>
  <c r="J93" i="1"/>
  <c r="J89" i="1"/>
  <c r="J330" i="1"/>
  <c r="J239" i="1"/>
  <c r="J155" i="1"/>
  <c r="J310" i="1"/>
  <c r="J257" i="1"/>
  <c r="J362" i="1"/>
  <c r="J201" i="1"/>
  <c r="J306" i="1"/>
  <c r="J64" i="1"/>
  <c r="J119" i="1"/>
  <c r="J96" i="1"/>
  <c r="J255" i="1"/>
  <c r="J78" i="1"/>
  <c r="J314" i="1"/>
  <c r="J321" i="1"/>
  <c r="J243" i="1"/>
  <c r="J190" i="1"/>
  <c r="J334" i="1"/>
  <c r="J336" i="1"/>
  <c r="J276" i="1"/>
  <c r="J267" i="1"/>
  <c r="J339" i="1"/>
  <c r="J369" i="1"/>
  <c r="J111" i="1"/>
  <c r="J237" i="1"/>
  <c r="J178" i="1"/>
  <c r="J236" i="1"/>
  <c r="J238" i="1"/>
  <c r="J231" i="1"/>
  <c r="J151" i="1"/>
  <c r="J29" i="1"/>
  <c r="J90" i="1"/>
  <c r="J244" i="1"/>
  <c r="J200" i="1"/>
  <c r="J191" i="1"/>
  <c r="J249" i="1"/>
  <c r="J168" i="1"/>
  <c r="J124" i="1"/>
  <c r="J275" i="1"/>
  <c r="J47" i="1"/>
  <c r="J136" i="1"/>
  <c r="J157" i="1"/>
  <c r="J343" i="1"/>
  <c r="J154" i="1"/>
  <c r="J149" i="1"/>
  <c r="J308" i="1"/>
  <c r="J272" i="1"/>
  <c r="J130" i="1"/>
  <c r="J305" i="1"/>
  <c r="J117" i="1"/>
  <c r="J159" i="1"/>
  <c r="J189" i="1"/>
  <c r="J319" i="1"/>
  <c r="J162" i="1"/>
  <c r="J80" i="1"/>
  <c r="J91" i="1"/>
  <c r="J43" i="1"/>
  <c r="J173" i="1"/>
  <c r="J83" i="1"/>
  <c r="J161" i="1"/>
  <c r="J270" i="1"/>
  <c r="J212" i="1"/>
  <c r="J235" i="1"/>
  <c r="J185" i="1"/>
  <c r="J325" i="1"/>
  <c r="J110" i="1"/>
  <c r="J311" i="1"/>
  <c r="J188" i="1"/>
  <c r="J167" i="1"/>
  <c r="J316" i="1"/>
  <c r="J135" i="1"/>
  <c r="J318" i="1"/>
  <c r="J346" i="1"/>
  <c r="J63" i="1"/>
  <c r="J103" i="1"/>
  <c r="J229" i="1"/>
  <c r="J165" i="1"/>
  <c r="J217" i="1"/>
  <c r="J248" i="1"/>
  <c r="J365" i="1"/>
  <c r="J69" i="1"/>
  <c r="J133" i="1"/>
  <c r="J28" i="1"/>
  <c r="J285" i="1"/>
  <c r="J341" i="1"/>
  <c r="J30" i="1"/>
  <c r="J301" i="1"/>
  <c r="J169" i="1"/>
  <c r="J317" i="1"/>
  <c r="J92" i="1"/>
  <c r="J329" i="1"/>
  <c r="J234" i="1"/>
  <c r="J66" i="1"/>
  <c r="J209" i="1"/>
  <c r="J62" i="1"/>
  <c r="J263" i="1"/>
  <c r="J324" i="1"/>
  <c r="J296" i="1"/>
  <c r="J152" i="1"/>
  <c r="J309" i="1"/>
  <c r="J187" i="1"/>
  <c r="J84" i="1"/>
  <c r="J299" i="1"/>
  <c r="J355" i="1"/>
  <c r="J326" i="1"/>
  <c r="J260" i="1"/>
  <c r="J40" i="1"/>
  <c r="J307" i="1"/>
  <c r="J294" i="1"/>
  <c r="J228" i="1"/>
  <c r="J291" i="1"/>
  <c r="J320" i="1"/>
  <c r="J88" i="1"/>
  <c r="J204" i="1"/>
  <c r="J42" i="1"/>
  <c r="J349" i="1"/>
  <c r="J49" i="1"/>
  <c r="J322" i="1"/>
  <c r="J338" i="1"/>
  <c r="J262" i="1"/>
  <c r="J196" i="1"/>
  <c r="J259" i="1"/>
  <c r="J253" i="1"/>
  <c r="J312" i="1"/>
  <c r="J245" i="1"/>
  <c r="J52" i="1"/>
  <c r="J73" i="1"/>
  <c r="J284" i="1"/>
  <c r="J61" i="1"/>
  <c r="J230" i="1"/>
  <c r="J164" i="1"/>
  <c r="J227" i="1"/>
  <c r="J215" i="1"/>
  <c r="J271" i="1"/>
  <c r="J368" i="1"/>
  <c r="J246" i="1"/>
  <c r="J258" i="1"/>
  <c r="J198" i="1"/>
  <c r="J132" i="1"/>
  <c r="J98" i="1"/>
  <c r="J82" i="1"/>
  <c r="J371" i="1"/>
  <c r="J53" i="1"/>
  <c r="J179" i="1"/>
  <c r="J287" i="1"/>
  <c r="J208" i="1"/>
  <c r="J220" i="1"/>
  <c r="J340" i="1"/>
  <c r="J166" i="1"/>
  <c r="J100" i="1"/>
  <c r="J163" i="1"/>
  <c r="J156" i="1"/>
  <c r="J160" i="1"/>
  <c r="J27" i="1"/>
</calcChain>
</file>

<file path=xl/sharedStrings.xml><?xml version="1.0" encoding="utf-8"?>
<sst xmlns="http://schemas.openxmlformats.org/spreadsheetml/2006/main" count="33343" uniqueCount="1586">
  <si>
    <t>Municipio Autónomo Alto Orinoco</t>
  </si>
  <si>
    <t>AMAZONAS</t>
  </si>
  <si>
    <t>Municipio Autónomo Atabapo</t>
  </si>
  <si>
    <t>Municipio Autónomo Atures</t>
  </si>
  <si>
    <t>Municipio Autónomo Autana</t>
  </si>
  <si>
    <t>Municipio Autónomo Manapiare</t>
  </si>
  <si>
    <t>Municipio Anaco</t>
  </si>
  <si>
    <t>ANZOATEGUI</t>
  </si>
  <si>
    <t>Municipio Aragua</t>
  </si>
  <si>
    <t>Municipio Diego Bautista Urbaneja</t>
  </si>
  <si>
    <t>Municipio Fernando Peñalver</t>
  </si>
  <si>
    <t>Municipio Francisco de Miranda</t>
  </si>
  <si>
    <t>Municipio Francisco del Carmen Carvajal</t>
  </si>
  <si>
    <t>Municipio Guanta</t>
  </si>
  <si>
    <t>Municipio Independencia</t>
  </si>
  <si>
    <t>Municipio José Gregorio Monagas</t>
  </si>
  <si>
    <t>Municipio Juan Antonio Sotillo</t>
  </si>
  <si>
    <t>Municipio Juan Manuel Cajigal</t>
  </si>
  <si>
    <t>Municipio Libertad</t>
  </si>
  <si>
    <t>Municipio Manuel Ezequiel Bruzual</t>
  </si>
  <si>
    <t>Municipio Pedro María Freites</t>
  </si>
  <si>
    <t>Municipio Píritu</t>
  </si>
  <si>
    <t>Municipio San José de Guanipa</t>
  </si>
  <si>
    <t>Municipio San Juan de Capistrano</t>
  </si>
  <si>
    <t>Municipio Santa Ana</t>
  </si>
  <si>
    <t>Municipio Simón Bolívar</t>
  </si>
  <si>
    <t>Municipio Simón Rodríguez</t>
  </si>
  <si>
    <t>Municipio Sir Artur Mc. Gregor</t>
  </si>
  <si>
    <t>Municipio Achaguas</t>
  </si>
  <si>
    <t>APURE</t>
  </si>
  <si>
    <t>Municipio Biruaca</t>
  </si>
  <si>
    <t>Municipio Muños</t>
  </si>
  <si>
    <t>Municipio Páez</t>
  </si>
  <si>
    <t>Municipio Pedro Camejo</t>
  </si>
  <si>
    <t>Municipio Rómulo Gallegos</t>
  </si>
  <si>
    <t>Municipio San Fernando</t>
  </si>
  <si>
    <t>Municipio Bolívar</t>
  </si>
  <si>
    <t>ARAGUA</t>
  </si>
  <si>
    <t>Municipio Camatagua</t>
  </si>
  <si>
    <t>Municipio Francisco Linares Alcántara</t>
  </si>
  <si>
    <t>Municipio Girardot</t>
  </si>
  <si>
    <t>Municipio José Ángel Lamas</t>
  </si>
  <si>
    <t>Municipio José Félix Rivas</t>
  </si>
  <si>
    <t>Municipio José Rafael Revenga</t>
  </si>
  <si>
    <t>Municipio Libertador</t>
  </si>
  <si>
    <t>Municipio Mario Briceño Iragorry</t>
  </si>
  <si>
    <t>Municipio Ocumare de la Costa</t>
  </si>
  <si>
    <t>Municipio San Casimiro</t>
  </si>
  <si>
    <t>Municipio San Sebastián</t>
  </si>
  <si>
    <t>Municipio Santiago Mariño</t>
  </si>
  <si>
    <t>Municipio Santos Michelena</t>
  </si>
  <si>
    <t>Municipio Sucre</t>
  </si>
  <si>
    <t>Municipio Tovar</t>
  </si>
  <si>
    <t>Municipio Urdaneta</t>
  </si>
  <si>
    <t>Municipio Zamora</t>
  </si>
  <si>
    <t>Municipio Alberto Arvelo Torrealba</t>
  </si>
  <si>
    <t>BARINAS</t>
  </si>
  <si>
    <t>Municipio Andres Eloy Blanco</t>
  </si>
  <si>
    <t>Municipio Antonio José de Sucre</t>
  </si>
  <si>
    <t>Municipio Arismendi</t>
  </si>
  <si>
    <t>Municipio Barinas</t>
  </si>
  <si>
    <t>Municipio Cruz Paredes</t>
  </si>
  <si>
    <t>Municipio Ezequiel Zamora</t>
  </si>
  <si>
    <t>Municipio Obispos</t>
  </si>
  <si>
    <t>Municipio Pedraza</t>
  </si>
  <si>
    <t>Municipio Rojas</t>
  </si>
  <si>
    <t>Municipio Sosa</t>
  </si>
  <si>
    <t>Municipio Caroni</t>
  </si>
  <si>
    <t>BOLIVAR</t>
  </si>
  <si>
    <t>Municipio Cedeño</t>
  </si>
  <si>
    <t>Municipio El Callao</t>
  </si>
  <si>
    <t>Municipio Gran Sabana</t>
  </si>
  <si>
    <t>Municipio Heres</t>
  </si>
  <si>
    <t>Municipio Padre Pedro Chien</t>
  </si>
  <si>
    <t>Municipio Piar</t>
  </si>
  <si>
    <t>Municipio Raúl leoni</t>
  </si>
  <si>
    <t>Municipio Roscio</t>
  </si>
  <si>
    <t>Municipio Sifontes</t>
  </si>
  <si>
    <t>Municipio Bejuma</t>
  </si>
  <si>
    <t>CARABOBO</t>
  </si>
  <si>
    <t>Municipio Carlos Arvelo</t>
  </si>
  <si>
    <t>Municipio Diego Ibarra</t>
  </si>
  <si>
    <t>Municipio Guacara</t>
  </si>
  <si>
    <t>Municipio Juan José Mora</t>
  </si>
  <si>
    <t>Municipio Los Guayos</t>
  </si>
  <si>
    <t>Municipio Miranda</t>
  </si>
  <si>
    <t>Municipio Montalbán</t>
  </si>
  <si>
    <t>Municipio Naguanagua</t>
  </si>
  <si>
    <t>Municipio Puerto Cabello</t>
  </si>
  <si>
    <t>Municipio San Diego</t>
  </si>
  <si>
    <t>Municipio San Joaquín</t>
  </si>
  <si>
    <t>Municipio Valencia</t>
  </si>
  <si>
    <t>Municipio Anzoátegui</t>
  </si>
  <si>
    <t>COJEDES</t>
  </si>
  <si>
    <t>Municipio Falcón</t>
  </si>
  <si>
    <t>Municipio Lima Blanco</t>
  </si>
  <si>
    <t>Municipio Pao de San Juan  Bautista</t>
  </si>
  <si>
    <t>Municipio Ricaurte</t>
  </si>
  <si>
    <t>Municipio San Carlos</t>
  </si>
  <si>
    <t>Municipio Tinaco</t>
  </si>
  <si>
    <t>Municipio Antonio Díaz</t>
  </si>
  <si>
    <t>DELTA AMACURO</t>
  </si>
  <si>
    <t>Municipio Casacoima</t>
  </si>
  <si>
    <t>Municipio Pedernales</t>
  </si>
  <si>
    <t>Municipio Tucupita</t>
  </si>
  <si>
    <t>Parroquia Altagracia</t>
  </si>
  <si>
    <t>DISTRITO CAPITAL</t>
  </si>
  <si>
    <t>Parroquia Antímano</t>
  </si>
  <si>
    <t>Parroquia Candelaria</t>
  </si>
  <si>
    <t>Parroquia Caricuao</t>
  </si>
  <si>
    <t>Parroquia Catedral</t>
  </si>
  <si>
    <t>Parroquia Coche</t>
  </si>
  <si>
    <t>Parroquia El Junquito</t>
  </si>
  <si>
    <t>Parroquia El Paraíso</t>
  </si>
  <si>
    <t>Parroquia El Recreo</t>
  </si>
  <si>
    <t>Parroquia El Valle</t>
  </si>
  <si>
    <t>Parroquia La Pastora</t>
  </si>
  <si>
    <t>Parroquia La Vega</t>
  </si>
  <si>
    <t>Parroquia Macarao</t>
  </si>
  <si>
    <t>Parroquia San Agustín</t>
  </si>
  <si>
    <t>Parroquia San Bernardino</t>
  </si>
  <si>
    <t>Parroquia San José</t>
  </si>
  <si>
    <t>Parroquia San Juan</t>
  </si>
  <si>
    <t>Parroquia San Pedro</t>
  </si>
  <si>
    <t>Parroquia Santa Rosalía</t>
  </si>
  <si>
    <t>Parroquia Santa Teresa</t>
  </si>
  <si>
    <t>Parroquia Sucre</t>
  </si>
  <si>
    <t>Parroquia Veintitrés de Enero</t>
  </si>
  <si>
    <t>Municipio Acosta</t>
  </si>
  <si>
    <t>FALCON</t>
  </si>
  <si>
    <t>Municipio Buchivacoa</t>
  </si>
  <si>
    <t>Municipio Cacique Manaure</t>
  </si>
  <si>
    <t>Municipio Carirubana</t>
  </si>
  <si>
    <t>Municipio Colina</t>
  </si>
  <si>
    <t>Municipio Dabajuro</t>
  </si>
  <si>
    <t>Municipio Democracia</t>
  </si>
  <si>
    <t>Municipio Federación</t>
  </si>
  <si>
    <t>Municipio Jacura</t>
  </si>
  <si>
    <t>Municipio Los Taques</t>
  </si>
  <si>
    <t>Municipio Mauroa</t>
  </si>
  <si>
    <t>Municipio Monseñor Iturriza</t>
  </si>
  <si>
    <t>Municipio Palmasola</t>
  </si>
  <si>
    <t>-</t>
  </si>
  <si>
    <t>Municipio Petit</t>
  </si>
  <si>
    <t>Municipio San Francisco</t>
  </si>
  <si>
    <t>Municipio Silva</t>
  </si>
  <si>
    <t>Municipio Tocopero</t>
  </si>
  <si>
    <t>Municipio Unión</t>
  </si>
  <si>
    <t>Municipio Urumaco</t>
  </si>
  <si>
    <t>Municipio Camaguán</t>
  </si>
  <si>
    <t>GUARICO</t>
  </si>
  <si>
    <t>Municipio Chaguaramas</t>
  </si>
  <si>
    <t>Municipio El Socorro</t>
  </si>
  <si>
    <t>Municipio Guayabal</t>
  </si>
  <si>
    <t>Municipio Infante</t>
  </si>
  <si>
    <t>Municipio Las Mercedes</t>
  </si>
  <si>
    <t>Municipio Mellado</t>
  </si>
  <si>
    <t>Municipio Monagas</t>
  </si>
  <si>
    <t>Municipio Ortiz</t>
  </si>
  <si>
    <t>Municipio Ribas</t>
  </si>
  <si>
    <t>Municipio San José de Guaribe</t>
  </si>
  <si>
    <t>Municipio Santa Maria de Ipire</t>
  </si>
  <si>
    <t>Municipio Zaraza</t>
  </si>
  <si>
    <t>Municipio Andrés Eloy Blanco</t>
  </si>
  <si>
    <t>LARA</t>
  </si>
  <si>
    <t>Municipio Crespo</t>
  </si>
  <si>
    <t>Municipio Iribarren</t>
  </si>
  <si>
    <t>Municipio Jiménez</t>
  </si>
  <si>
    <t>Municipio Moran</t>
  </si>
  <si>
    <t>Municipio Palavecino</t>
  </si>
  <si>
    <t>Municipio Simón Planas</t>
  </si>
  <si>
    <t>Municipio Torres</t>
  </si>
  <si>
    <t>Municipio Alberto Adrián</t>
  </si>
  <si>
    <t>MERIDA</t>
  </si>
  <si>
    <t>Municipio Andrés Bello</t>
  </si>
  <si>
    <t>Municipio Antonio Pinto Salinas</t>
  </si>
  <si>
    <t>Municipio Aricagua</t>
  </si>
  <si>
    <t>Municipio Arzobispo Chacón</t>
  </si>
  <si>
    <t>Municipio Campo  Elías</t>
  </si>
  <si>
    <t>Municipio Cardenal Quintero</t>
  </si>
  <si>
    <t>Municipio Carracciolo Parra Olmedo</t>
  </si>
  <si>
    <t>Municipio Guaraque</t>
  </si>
  <si>
    <t>Municipio Julio Cesar Salas</t>
  </si>
  <si>
    <t>Municipio Justo Briceño</t>
  </si>
  <si>
    <t>Municipio Obispo Ramos de Lora</t>
  </si>
  <si>
    <t>Municipio Padre Noguera</t>
  </si>
  <si>
    <t>Municipio Pueblo Llano</t>
  </si>
  <si>
    <t>Municipio Rangel</t>
  </si>
  <si>
    <t>Municipio Rivas Dávila</t>
  </si>
  <si>
    <t>Municipio Santos Marquina</t>
  </si>
  <si>
    <t>Municipio Tulio Febres Cordero</t>
  </si>
  <si>
    <t>Municipio Zea</t>
  </si>
  <si>
    <t>Municipio Acevedo</t>
  </si>
  <si>
    <t>MIRANDA</t>
  </si>
  <si>
    <t>Municipio Baruta</t>
  </si>
  <si>
    <t>Municipio Brion</t>
  </si>
  <si>
    <t>Municipio Buroz</t>
  </si>
  <si>
    <t>Municipio Carrizal</t>
  </si>
  <si>
    <t>Municipio Chacao</t>
  </si>
  <si>
    <t>Municipio Cristóbal Rojas</t>
  </si>
  <si>
    <t>Municipio El Hatillo</t>
  </si>
  <si>
    <t>Municipio Guaicaipuro</t>
  </si>
  <si>
    <t>Municipio Lander</t>
  </si>
  <si>
    <t>Municipio Los Salías</t>
  </si>
  <si>
    <t>Municipio Paz Castillo</t>
  </si>
  <si>
    <t>Municipio Pedro Gual</t>
  </si>
  <si>
    <t>Municipio Plaza</t>
  </si>
  <si>
    <t>MONAGAS</t>
  </si>
  <si>
    <t>Municipio Aguasay</t>
  </si>
  <si>
    <t>Municipio Caripe</t>
  </si>
  <si>
    <t>Municipio Maturín</t>
  </si>
  <si>
    <t>Municipio Punceres</t>
  </si>
  <si>
    <t>Municipio Santa Bárbara</t>
  </si>
  <si>
    <t>Municipio Sotillo</t>
  </si>
  <si>
    <t>Municipio Uracoa</t>
  </si>
  <si>
    <t>Municipio Antolin del Campo</t>
  </si>
  <si>
    <t>NUEVA ESPARTA</t>
  </si>
  <si>
    <t>Municipio Díaz</t>
  </si>
  <si>
    <t>Municipio García</t>
  </si>
  <si>
    <t>Municipio Gómez</t>
  </si>
  <si>
    <t>Municipio Maneiro</t>
  </si>
  <si>
    <t>Municipio Marcano</t>
  </si>
  <si>
    <t>Municipio Mariño</t>
  </si>
  <si>
    <t>Municipio Península de Macanao</t>
  </si>
  <si>
    <t>Municipio Tubores</t>
  </si>
  <si>
    <t>Municipio Villalba</t>
  </si>
  <si>
    <t>Municipio Agua Blanca</t>
  </si>
  <si>
    <t>PORTUGUESA</t>
  </si>
  <si>
    <t>Municipio Araure</t>
  </si>
  <si>
    <t>Municipio Esteller</t>
  </si>
  <si>
    <t>Municipio Guanare</t>
  </si>
  <si>
    <t>Municipio Guanarito</t>
  </si>
  <si>
    <t>Municipio Monseñor José Vicente de Unda</t>
  </si>
  <si>
    <t>Municipio Ospino</t>
  </si>
  <si>
    <t>Municipio Papelón</t>
  </si>
  <si>
    <t>Municipio San Genaro de Boconoito</t>
  </si>
  <si>
    <t>Municipio San Rafael de Onoto</t>
  </si>
  <si>
    <t>Municipio Santa Rosalía</t>
  </si>
  <si>
    <t>Municipio Turen</t>
  </si>
  <si>
    <t>SUCRE</t>
  </si>
  <si>
    <t>Municipio Andrés Mata</t>
  </si>
  <si>
    <t>Municipio Benítez</t>
  </si>
  <si>
    <t>Municipio Bermúdez</t>
  </si>
  <si>
    <t>Municipio Cajigal</t>
  </si>
  <si>
    <t>Municipio Cruz Salmeron Acosta</t>
  </si>
  <si>
    <t>Municipio Mejia</t>
  </si>
  <si>
    <t>Municipio Montes</t>
  </si>
  <si>
    <t>Municipio Ribero</t>
  </si>
  <si>
    <t>Municipio Valdez</t>
  </si>
  <si>
    <t>TACHIRA</t>
  </si>
  <si>
    <t>Municipio Antonio Rómulo Acosta</t>
  </si>
  <si>
    <t>Municipio Ayacucho</t>
  </si>
  <si>
    <t>Municipio Cárdenas</t>
  </si>
  <si>
    <t>Municipio Córdoba</t>
  </si>
  <si>
    <t>Municipio Fernández Feo</t>
  </si>
  <si>
    <t>Municipio García de Hevia</t>
  </si>
  <si>
    <t>Municipio Guasimos</t>
  </si>
  <si>
    <t>Municipio Jáuregui</t>
  </si>
  <si>
    <t>Municipio José María Vargas</t>
  </si>
  <si>
    <t>Municipio Junín</t>
  </si>
  <si>
    <t>Municipio Lobatera</t>
  </si>
  <si>
    <t>Municipio Michelena</t>
  </si>
  <si>
    <t>Municipio Panamericano</t>
  </si>
  <si>
    <t>Municipio Pedro María Ureña</t>
  </si>
  <si>
    <t>Municipio Rafael Urdaneta</t>
  </si>
  <si>
    <t>Municipio Samuel Darío Maldonado</t>
  </si>
  <si>
    <t>Municipio San Cristóbal</t>
  </si>
  <si>
    <t>Municipio San Judas Tadeo</t>
  </si>
  <si>
    <t>Municipio Seboruco</t>
  </si>
  <si>
    <t>Municipio Torbes</t>
  </si>
  <si>
    <t>Municipio Uribante</t>
  </si>
  <si>
    <t>TRUJILLO</t>
  </si>
  <si>
    <t>Municipio Bocono</t>
  </si>
  <si>
    <t>Municipio Candelaria</t>
  </si>
  <si>
    <t>Municipio Carache</t>
  </si>
  <si>
    <t>Municipio Escuqué</t>
  </si>
  <si>
    <t>Municipio José Felipe Márquez Cañizales</t>
  </si>
  <si>
    <t>Municipio Juan Vicente Campo Elías</t>
  </si>
  <si>
    <t>Municipio La Ceiba</t>
  </si>
  <si>
    <t>Municipio Monte Carmelo</t>
  </si>
  <si>
    <t>Municipio Motatán</t>
  </si>
  <si>
    <t>Municipio Pampan</t>
  </si>
  <si>
    <t>Municipio Pampanito</t>
  </si>
  <si>
    <t>Municipio Rafael Rangel</t>
  </si>
  <si>
    <t>Municipio San Rafael de Carvajal</t>
  </si>
  <si>
    <t>Municipio Trujillo</t>
  </si>
  <si>
    <t>Municipio Varela</t>
  </si>
  <si>
    <t>Parroquia Caraballeda</t>
  </si>
  <si>
    <t>VARGAS</t>
  </si>
  <si>
    <t>Parroquia Carayaca</t>
  </si>
  <si>
    <t>Parroquia Carlos Soublette</t>
  </si>
  <si>
    <t>Parroquia Caruao</t>
  </si>
  <si>
    <t>Parroquia Catia La Mar</t>
  </si>
  <si>
    <t>Parroquia El Junko</t>
  </si>
  <si>
    <t>Parroquia La Guaira</t>
  </si>
  <si>
    <t>Parroquia Macuto</t>
  </si>
  <si>
    <t>Parroquia Maiquetía</t>
  </si>
  <si>
    <t>Parroquia Naiquatá</t>
  </si>
  <si>
    <t>Parroquia Raúl Leoni</t>
  </si>
  <si>
    <t>Municipio Arístides Bastidas</t>
  </si>
  <si>
    <t>YARACUY</t>
  </si>
  <si>
    <t>Municipio Bruzual</t>
  </si>
  <si>
    <t>Municipio Cocorote</t>
  </si>
  <si>
    <t>Municipio José Antonio Páez</t>
  </si>
  <si>
    <t>Municipio La Trinidad</t>
  </si>
  <si>
    <t>Municipio Manuel Monge</t>
  </si>
  <si>
    <t>Municipio Nirgua</t>
  </si>
  <si>
    <t>Municipio Peña</t>
  </si>
  <si>
    <t>Municipio San Felipe</t>
  </si>
  <si>
    <t>Municipio Urachiche</t>
  </si>
  <si>
    <t>Municipio Veroes</t>
  </si>
  <si>
    <t>Municipio Almirante Padilla</t>
  </si>
  <si>
    <t>ZULIA</t>
  </si>
  <si>
    <t>Municipio Baralt</t>
  </si>
  <si>
    <t>Municipio Cabimas</t>
  </si>
  <si>
    <t>Municipio Catatumbo</t>
  </si>
  <si>
    <t>Municipio Colon</t>
  </si>
  <si>
    <t>Municipio Francisco Javier Pulgar</t>
  </si>
  <si>
    <t>Municipio Jesús Enrique Losada</t>
  </si>
  <si>
    <t>Municipio Jesús Maria Semprun</t>
  </si>
  <si>
    <t>Municipio La Cañada de Urdaneta</t>
  </si>
  <si>
    <t>Municipio Lagunillas</t>
  </si>
  <si>
    <t>Municipio Machiques de Perija</t>
  </si>
  <si>
    <t>Municipio Mara</t>
  </si>
  <si>
    <t>Municipio Maracaibo</t>
  </si>
  <si>
    <t>Municipio Rosario de Perija</t>
  </si>
  <si>
    <t>Municipio Santa Rita</t>
  </si>
  <si>
    <t>Municipio Valmore Rodríguez</t>
  </si>
  <si>
    <t>Municipio Autónomo Río Negro</t>
  </si>
  <si>
    <t>Total</t>
  </si>
  <si>
    <t>Municipio Autónomo Maroa</t>
  </si>
  <si>
    <t>Etiquetas de fila</t>
  </si>
  <si>
    <t>Total general</t>
  </si>
  <si>
    <t>(en blanco)</t>
  </si>
  <si>
    <t>DISTRITO FEDERAL</t>
  </si>
  <si>
    <t>DI-Parroquia Altagracia</t>
  </si>
  <si>
    <t>DI-Parroquia Antímano</t>
  </si>
  <si>
    <t>DI-Parroquia Candelaria</t>
  </si>
  <si>
    <t>DI-Parroquia Caricuao</t>
  </si>
  <si>
    <t>DI-Parroquia Catedral</t>
  </si>
  <si>
    <t>DI-Parroquia Coche</t>
  </si>
  <si>
    <t>DI-Parroquia El Junquito</t>
  </si>
  <si>
    <t>DI-Parroquia El Paraíso</t>
  </si>
  <si>
    <t>DI-Parroquia El Recreo</t>
  </si>
  <si>
    <t>DI-Parroquia El Valle</t>
  </si>
  <si>
    <t>DI-Parroquia La Pastora</t>
  </si>
  <si>
    <t>DI-Parroquia La Vega</t>
  </si>
  <si>
    <t>DI-Parroquia Macarao</t>
  </si>
  <si>
    <t>DI-Parroquia San Agustín</t>
  </si>
  <si>
    <t>DI-Parroquia San Bernardino</t>
  </si>
  <si>
    <t>DI-Parroquia San José</t>
  </si>
  <si>
    <t>DI-Parroquia San Juan</t>
  </si>
  <si>
    <t>DI-Parroquia San Pedro</t>
  </si>
  <si>
    <t>DI-Parroquia Santa Rosalía</t>
  </si>
  <si>
    <t>DI-Parroquia Santa Teresa</t>
  </si>
  <si>
    <t>DI-Parroquia Sucre</t>
  </si>
  <si>
    <t>DI-Parroquia Veintitrés de Enero</t>
  </si>
  <si>
    <t>AM-Municipio Autónomo Alto Orinoco</t>
  </si>
  <si>
    <t>AM-Municipio Autónomo Atabapo</t>
  </si>
  <si>
    <t>AM-Municipio Autónomo Atures</t>
  </si>
  <si>
    <t>AM-Municipio Autónomo Autana</t>
  </si>
  <si>
    <t>AM-Municipio Autónomo Manapiare</t>
  </si>
  <si>
    <t>AN-Municipio Anaco</t>
  </si>
  <si>
    <t>AN-Municipio Aragua</t>
  </si>
  <si>
    <t>AN-Municipio Diego Bautista Urbaneja</t>
  </si>
  <si>
    <t>AN-Municipio Fernando Peñalver</t>
  </si>
  <si>
    <t>AN-Municipio Francisco de Miranda</t>
  </si>
  <si>
    <t>AN-Municipio Francisco del Carmen Carvajal</t>
  </si>
  <si>
    <t>AN-Municipio Guanta</t>
  </si>
  <si>
    <t>AN-Municipio Independencia</t>
  </si>
  <si>
    <t>AN-Municipio José Gregorio Monagas</t>
  </si>
  <si>
    <t>AN-Municipio Juan Antonio Sotillo</t>
  </si>
  <si>
    <t>AN-Municipio Juan Manuel Cajigal</t>
  </si>
  <si>
    <t>AN-Municipio Libertad</t>
  </si>
  <si>
    <t>AN-Municipio Manuel Ezequiel Bruzual</t>
  </si>
  <si>
    <t>AN-Municipio Pedro María Freites</t>
  </si>
  <si>
    <t>AN-Municipio Píritu</t>
  </si>
  <si>
    <t>AN-Municipio San José de Guanipa</t>
  </si>
  <si>
    <t>AN-Municipio San Juan de Capistrano</t>
  </si>
  <si>
    <t>AN-Municipio Santa Ana</t>
  </si>
  <si>
    <t>AN-Municipio Simón Bolívar</t>
  </si>
  <si>
    <t>AN-Municipio Simón Rodríguez</t>
  </si>
  <si>
    <t>AN-Municipio Sir Artur Mc. Gregor</t>
  </si>
  <si>
    <t>AP-Municipio Achaguas</t>
  </si>
  <si>
    <t>AP-Municipio Biruaca</t>
  </si>
  <si>
    <t>AP-Municipio Muños</t>
  </si>
  <si>
    <t>AP-Municipio Páez</t>
  </si>
  <si>
    <t>AP-Municipio Pedro Camejo</t>
  </si>
  <si>
    <t>AP-Municipio Rómulo Gallegos</t>
  </si>
  <si>
    <t>AP-Municipio San Fernando</t>
  </si>
  <si>
    <t>AR-Municipio Bolívar</t>
  </si>
  <si>
    <t>AR-Municipio Camatagua</t>
  </si>
  <si>
    <t>AR-Municipio Francisco Linares Alcántara</t>
  </si>
  <si>
    <t>AR-Municipio Girardot</t>
  </si>
  <si>
    <t>AR-Municipio José Ángel Lamas</t>
  </si>
  <si>
    <t>AR-Municipio José Félix Rivas</t>
  </si>
  <si>
    <t>AR-Municipio José Rafael Revenga</t>
  </si>
  <si>
    <t>AR-Municipio Libertador</t>
  </si>
  <si>
    <t>AR-Municipio Mario Briceño Iragorry</t>
  </si>
  <si>
    <t>AR-Municipio Ocumare de la Costa</t>
  </si>
  <si>
    <t>AR-Municipio San Casimiro</t>
  </si>
  <si>
    <t>AR-Municipio San Sebastián</t>
  </si>
  <si>
    <t>AR-Municipio Santiago Mariño</t>
  </si>
  <si>
    <t>AR-Municipio Santos Michelena</t>
  </si>
  <si>
    <t>AR-Municipio Sucre</t>
  </si>
  <si>
    <t>AR-Municipio Tovar</t>
  </si>
  <si>
    <t>AR-Municipio Urdaneta</t>
  </si>
  <si>
    <t>AR-Municipio Zamora</t>
  </si>
  <si>
    <t>BA-Municipio Alberto Arvelo Torrealba</t>
  </si>
  <si>
    <t>BA-Municipio Andres Eloy Blanco</t>
  </si>
  <si>
    <t>BA-Municipio Antonio José de Sucre</t>
  </si>
  <si>
    <t>BA-Municipio Arismendi</t>
  </si>
  <si>
    <t>BA-Municipio Barinas</t>
  </si>
  <si>
    <t>BA-Municipio Bolívar</t>
  </si>
  <si>
    <t>BA-Municipio Cruz Paredes</t>
  </si>
  <si>
    <t>BA-Municipio Ezequiel Zamora</t>
  </si>
  <si>
    <t>BA-Municipio Obispos</t>
  </si>
  <si>
    <t>BA-Municipio Pedraza</t>
  </si>
  <si>
    <t>BA-Municipio Rojas</t>
  </si>
  <si>
    <t>BA-Municipio Sosa</t>
  </si>
  <si>
    <t>BO-Municipio Caroni</t>
  </si>
  <si>
    <t>BO-Municipio Cedeño</t>
  </si>
  <si>
    <t>BO-Municipio El Callao</t>
  </si>
  <si>
    <t>BO-Municipio Gran Sabana</t>
  </si>
  <si>
    <t>BO-Municipio Heres</t>
  </si>
  <si>
    <t>BO-Municipio Padre Pedro Chien</t>
  </si>
  <si>
    <t>BO-Municipio Piar</t>
  </si>
  <si>
    <t>BO-Municipio Raúl leoni</t>
  </si>
  <si>
    <t>BO-Municipio Roscio</t>
  </si>
  <si>
    <t>BO-Municipio Sifontes</t>
  </si>
  <si>
    <t>BO-Municipio Sucre</t>
  </si>
  <si>
    <t>CA-Municipio Bejuma</t>
  </si>
  <si>
    <t>CA-Municipio Carlos Arvelo</t>
  </si>
  <si>
    <t>CA-Municipio Diego Ibarra</t>
  </si>
  <si>
    <t>CA-Municipio Guacara</t>
  </si>
  <si>
    <t>CA-Municipio Juan José Mora</t>
  </si>
  <si>
    <t>CA-Municipio Libertador</t>
  </si>
  <si>
    <t>CA-Municipio Los Guayos</t>
  </si>
  <si>
    <t>CA-Municipio Miranda</t>
  </si>
  <si>
    <t>CA-Municipio Montalbán</t>
  </si>
  <si>
    <t>CA-Municipio Naguanagua</t>
  </si>
  <si>
    <t>CA-Municipio Puerto Cabello</t>
  </si>
  <si>
    <t>CA-Municipio San Diego</t>
  </si>
  <si>
    <t>CA-Municipio San Joaquín</t>
  </si>
  <si>
    <t>CA-Municipio Valencia</t>
  </si>
  <si>
    <t>CO-Municipio Anzoátegui</t>
  </si>
  <si>
    <t>CO-Municipio Falcón</t>
  </si>
  <si>
    <t>CO-Municipio Girardot</t>
  </si>
  <si>
    <t>CO-Municipio Lima Blanco</t>
  </si>
  <si>
    <t>CO-Municipio Pao de San Juan  Bautista</t>
  </si>
  <si>
    <t>CO-Municipio Ricaurte</t>
  </si>
  <si>
    <t>CO-Municipio Rómulo Gallegos</t>
  </si>
  <si>
    <t>CO-Municipio San Carlos</t>
  </si>
  <si>
    <t>CO-Municipio Tinaco</t>
  </si>
  <si>
    <t>DE-Municipio Antonio Díaz</t>
  </si>
  <si>
    <t>DE-Municipio Casacoima</t>
  </si>
  <si>
    <t>DE-Municipio Pedernales</t>
  </si>
  <si>
    <t>DE-Municipio Tucupita</t>
  </si>
  <si>
    <t>FA-Municipio Acosta</t>
  </si>
  <si>
    <t>FA-Municipio Bolívar</t>
  </si>
  <si>
    <t>FA-Municipio Buchivacoa</t>
  </si>
  <si>
    <t>FA-Municipio Cacique Manaure</t>
  </si>
  <si>
    <t>FA-Municipio Carirubana</t>
  </si>
  <si>
    <t>FA-Municipio Colina</t>
  </si>
  <si>
    <t>FA-Municipio Dabajuro</t>
  </si>
  <si>
    <t>FA-Municipio Democracia</t>
  </si>
  <si>
    <t>FA-Municipio Falcón</t>
  </si>
  <si>
    <t>FA-Municipio Federación</t>
  </si>
  <si>
    <t>FA-Municipio Jacura</t>
  </si>
  <si>
    <t>FA-Municipio Los Taques</t>
  </si>
  <si>
    <t>FA-Municipio Mauroa</t>
  </si>
  <si>
    <t>FA-Municipio Miranda</t>
  </si>
  <si>
    <t>FA-Municipio Monseñor Iturriza</t>
  </si>
  <si>
    <t>FA-Municipio Palmasola</t>
  </si>
  <si>
    <t>FA-Municipio Petit</t>
  </si>
  <si>
    <t>FA-Municipio Píritu</t>
  </si>
  <si>
    <t>FA-Municipio San Francisco</t>
  </si>
  <si>
    <t>FA-Municipio Silva</t>
  </si>
  <si>
    <t>FA-Municipio Sucre</t>
  </si>
  <si>
    <t>FA-Municipio Tocopero</t>
  </si>
  <si>
    <t>FA-Municipio Unión</t>
  </si>
  <si>
    <t>FA-Municipio Urumaco</t>
  </si>
  <si>
    <t>FA-Municipio Zamora</t>
  </si>
  <si>
    <t>GU-Municipio Camaguán</t>
  </si>
  <si>
    <t>GU-Municipio Chaguaramas</t>
  </si>
  <si>
    <t>GU-Municipio El Socorro</t>
  </si>
  <si>
    <t>GU-Municipio Guayabal</t>
  </si>
  <si>
    <t>GU-Municipio Infante</t>
  </si>
  <si>
    <t>GU-Municipio Las Mercedes</t>
  </si>
  <si>
    <t>GU-Municipio Mellado</t>
  </si>
  <si>
    <t>GU-Municipio Miranda</t>
  </si>
  <si>
    <t>GU-Municipio Monagas</t>
  </si>
  <si>
    <t>GU-Municipio Ortiz</t>
  </si>
  <si>
    <t>GU-Municipio Ribas</t>
  </si>
  <si>
    <t>GU-Municipio Roscio</t>
  </si>
  <si>
    <t>GU-Municipio San José de Guaribe</t>
  </si>
  <si>
    <t>GU-Municipio Santa Maria de Ipire</t>
  </si>
  <si>
    <t>GU-Municipio Zaraza</t>
  </si>
  <si>
    <t>LA-Municipio Andrés Eloy Blanco</t>
  </si>
  <si>
    <t>LA-Municipio Crespo</t>
  </si>
  <si>
    <t>LA-Municipio Iribarren</t>
  </si>
  <si>
    <t>LA-Municipio Jiménez</t>
  </si>
  <si>
    <t>LA-Municipio Moran</t>
  </si>
  <si>
    <t>LA-Municipio Palavecino</t>
  </si>
  <si>
    <t>LA-Municipio Simón Planas</t>
  </si>
  <si>
    <t>LA-Municipio Torres</t>
  </si>
  <si>
    <t>LA-Municipio Urdaneta</t>
  </si>
  <si>
    <t>ME-Municipio Alberto Adrián</t>
  </si>
  <si>
    <t>ME-Municipio Andrés Bello</t>
  </si>
  <si>
    <t>ME-Municipio Antonio Pinto Salinas</t>
  </si>
  <si>
    <t>ME-Municipio Aricagua</t>
  </si>
  <si>
    <t>ME-Municipio Arzobispo Chacón</t>
  </si>
  <si>
    <t>ME-Municipio Campo  Elías</t>
  </si>
  <si>
    <t>ME-Municipio Cardenal Quintero</t>
  </si>
  <si>
    <t>ME-Municipio Carracciolo Parra Olmedo</t>
  </si>
  <si>
    <t>ME-Municipio Guaraque</t>
  </si>
  <si>
    <t>ME-Municipio Julio Cesar Salas</t>
  </si>
  <si>
    <t>ME-Municipio Justo Briceño</t>
  </si>
  <si>
    <t>ME-Municipio Libertador</t>
  </si>
  <si>
    <t>ME-Municipio Miranda</t>
  </si>
  <si>
    <t>ME-Municipio Obispo Ramos de Lora</t>
  </si>
  <si>
    <t>ME-Municipio Padre Noguera</t>
  </si>
  <si>
    <t>ME-Municipio Pueblo Llano</t>
  </si>
  <si>
    <t>ME-Municipio Rangel</t>
  </si>
  <si>
    <t>ME-Municipio Rivas Dávila</t>
  </si>
  <si>
    <t>ME-Municipio Santos Marquina</t>
  </si>
  <si>
    <t>ME-Municipio Sucre</t>
  </si>
  <si>
    <t>ME-Municipio Tovar</t>
  </si>
  <si>
    <t>ME-Municipio Tulio Febres Cordero</t>
  </si>
  <si>
    <t>ME-Municipio Zea</t>
  </si>
  <si>
    <t>MI-Municipio Acevedo</t>
  </si>
  <si>
    <t>MI-Municipio Andrés Bello</t>
  </si>
  <si>
    <t>MI-Municipio Baruta</t>
  </si>
  <si>
    <t>MI-Municipio Brion</t>
  </si>
  <si>
    <t>MI-Municipio Buroz</t>
  </si>
  <si>
    <t>MI-Municipio Carrizal</t>
  </si>
  <si>
    <t>MI-Municipio Chacao</t>
  </si>
  <si>
    <t>MI-Municipio Cristóbal Rojas</t>
  </si>
  <si>
    <t>MI-Municipio El Hatillo</t>
  </si>
  <si>
    <t>MI-Municipio Guaicaipuro</t>
  </si>
  <si>
    <t>MI-Municipio Independencia</t>
  </si>
  <si>
    <t>MI-Municipio Lander</t>
  </si>
  <si>
    <t>MI-Municipio Los Salías</t>
  </si>
  <si>
    <t>MI-Municipio Páez</t>
  </si>
  <si>
    <t>MI-Municipio Paz Castillo</t>
  </si>
  <si>
    <t>MI-Municipio Pedro Gual</t>
  </si>
  <si>
    <t>MI-Municipio Plaza</t>
  </si>
  <si>
    <t>MI-Municipio Simón Bolívar</t>
  </si>
  <si>
    <t>MI-Municipio Sucre</t>
  </si>
  <si>
    <t>MI-Municipio Urdaneta</t>
  </si>
  <si>
    <t>MI-Municipio Zamora</t>
  </si>
  <si>
    <t>MO-Municipio Acosta</t>
  </si>
  <si>
    <t>MO-Municipio Aguasay</t>
  </si>
  <si>
    <t>MO-Municipio Bolívar</t>
  </si>
  <si>
    <t>MO-Municipio Caripe</t>
  </si>
  <si>
    <t>MO-Municipio Cedeño</t>
  </si>
  <si>
    <t>MO-Municipio Ezequiel Zamora</t>
  </si>
  <si>
    <t>MO-Municipio Libertador</t>
  </si>
  <si>
    <t>MO-Municipio Maturín</t>
  </si>
  <si>
    <t>MO-Municipio Piar</t>
  </si>
  <si>
    <t>MO-Municipio Punceres</t>
  </si>
  <si>
    <t>MO-Municipio Santa Bárbara</t>
  </si>
  <si>
    <t>MO-Municipio Sotillo</t>
  </si>
  <si>
    <t>MO-Municipio Uracoa</t>
  </si>
  <si>
    <t>NU-Municipio Antolin del Campo</t>
  </si>
  <si>
    <t>NU-Municipio Arismendi</t>
  </si>
  <si>
    <t>NU-Municipio Díaz</t>
  </si>
  <si>
    <t>NU-Municipio García</t>
  </si>
  <si>
    <t>NU-Municipio Gómez</t>
  </si>
  <si>
    <t>NU-Municipio Maneiro</t>
  </si>
  <si>
    <t>NU-Municipio Marcano</t>
  </si>
  <si>
    <t>NU-Municipio Mariño</t>
  </si>
  <si>
    <t>NU-Municipio Península de Macanao</t>
  </si>
  <si>
    <t>NU-Municipio Tubores</t>
  </si>
  <si>
    <t>NU-Municipio Villalba</t>
  </si>
  <si>
    <t>PO-Municipio Agua Blanca</t>
  </si>
  <si>
    <t>PO-Municipio Araure</t>
  </si>
  <si>
    <t>PO-Municipio Esteller</t>
  </si>
  <si>
    <t>PO-Municipio Guanare</t>
  </si>
  <si>
    <t>PO-Municipio Guanarito</t>
  </si>
  <si>
    <t>PO-Municipio Monseñor José Vicente de Unda</t>
  </si>
  <si>
    <t>PO-Municipio Ospino</t>
  </si>
  <si>
    <t>PO-Municipio Páez</t>
  </si>
  <si>
    <t>PO-Municipio Papelón</t>
  </si>
  <si>
    <t>PO-Municipio San Genaro de Boconoito</t>
  </si>
  <si>
    <t>PO-Municipio San Rafael de Onoto</t>
  </si>
  <si>
    <t>PO-Municipio Santa Rosalía</t>
  </si>
  <si>
    <t>PO-Municipio Sucre</t>
  </si>
  <si>
    <t>PO-Municipio Turen</t>
  </si>
  <si>
    <t>SU-Municipio Andrés Eloy Blanco</t>
  </si>
  <si>
    <t>SU-Municipio Andrés Mata</t>
  </si>
  <si>
    <t>SU-Municipio Arismendi</t>
  </si>
  <si>
    <t>SU-Municipio Benítez</t>
  </si>
  <si>
    <t>SU-Municipio Bermúdez</t>
  </si>
  <si>
    <t>SU-Municipio Bolívar</t>
  </si>
  <si>
    <t>SU-Municipio Cajigal</t>
  </si>
  <si>
    <t>SU-Municipio Cruz Salmeron Acosta</t>
  </si>
  <si>
    <t>SU-Municipio Libertador</t>
  </si>
  <si>
    <t>SU-Municipio Mariño</t>
  </si>
  <si>
    <t>SU-Municipio Mejia</t>
  </si>
  <si>
    <t>SU-Municipio Montes</t>
  </si>
  <si>
    <t>SU-Municipio Ribero</t>
  </si>
  <si>
    <t>SU-Municipio Sucre</t>
  </si>
  <si>
    <t>SU-Municipio Valdez</t>
  </si>
  <si>
    <t>TA-Municipio Andrés Bello</t>
  </si>
  <si>
    <t>TA-Municipio Antonio Rómulo Acosta</t>
  </si>
  <si>
    <t>TA-Municipio Ayacucho</t>
  </si>
  <si>
    <t>TA-Municipio Bolívar</t>
  </si>
  <si>
    <t>TA-Municipio Cárdenas</t>
  </si>
  <si>
    <t>TA-Municipio Córdoba</t>
  </si>
  <si>
    <t>TA-Municipio Fernández Feo</t>
  </si>
  <si>
    <t>TA-Municipio Francisco de Miranda</t>
  </si>
  <si>
    <t>TA-Municipio García de Hevia</t>
  </si>
  <si>
    <t>TA-Municipio Guasimos</t>
  </si>
  <si>
    <t>TA-Municipio Independencia</t>
  </si>
  <si>
    <t>TA-Municipio Jáuregui</t>
  </si>
  <si>
    <t>TA-Municipio José María Vargas</t>
  </si>
  <si>
    <t>TA-Municipio Junín</t>
  </si>
  <si>
    <t>TA-Municipio Libertad</t>
  </si>
  <si>
    <t>TA-Municipio Libertador</t>
  </si>
  <si>
    <t>TA-Municipio Lobatera</t>
  </si>
  <si>
    <t>TA-Municipio Michelena</t>
  </si>
  <si>
    <t>TA-Municipio Panamericano</t>
  </si>
  <si>
    <t>TA-Municipio Pedro María Ureña</t>
  </si>
  <si>
    <t>TA-Municipio Rafael Urdaneta</t>
  </si>
  <si>
    <t>TA-Municipio Samuel Darío Maldonado</t>
  </si>
  <si>
    <t>TA-Municipio San Cristóbal</t>
  </si>
  <si>
    <t>TA-Municipio San Judas Tadeo</t>
  </si>
  <si>
    <t>TA-Municipio Seboruco</t>
  </si>
  <si>
    <t>TA-Municipio Simón Rodríguez</t>
  </si>
  <si>
    <t>TA-Municipio Sucre</t>
  </si>
  <si>
    <t>TA-Municipio Torbes</t>
  </si>
  <si>
    <t>TA-Municipio Uribante</t>
  </si>
  <si>
    <t>TR-Municipio Andrés Bello</t>
  </si>
  <si>
    <t>TR-Municipio Bocono</t>
  </si>
  <si>
    <t>TR-Municipio Bolívar</t>
  </si>
  <si>
    <t>TR-Municipio Candelaria</t>
  </si>
  <si>
    <t>TR-Municipio Carache</t>
  </si>
  <si>
    <t>TR-Municipio Escuqué</t>
  </si>
  <si>
    <t>TR-Municipio José Felipe Márquez Cañizales</t>
  </si>
  <si>
    <t>TR-Municipio Juan Vicente Campo Elías</t>
  </si>
  <si>
    <t>TR-Municipio La Ceiba</t>
  </si>
  <si>
    <t>TR-Municipio Miranda</t>
  </si>
  <si>
    <t>TR-Municipio Monte Carmelo</t>
  </si>
  <si>
    <t>TR-Municipio Motatán</t>
  </si>
  <si>
    <t>TR-Municipio Pampan</t>
  </si>
  <si>
    <t>TR-Municipio Pampanito</t>
  </si>
  <si>
    <t>TR-Municipio Rafael Rangel</t>
  </si>
  <si>
    <t>TR-Municipio San Rafael de Carvajal</t>
  </si>
  <si>
    <t>TR-Municipio Sucre</t>
  </si>
  <si>
    <t>TR-Municipio Trujillo</t>
  </si>
  <si>
    <t>TR-Municipio Urdaneta</t>
  </si>
  <si>
    <t>TR-Municipio Varela</t>
  </si>
  <si>
    <t>VA-Parroquia Caraballeda</t>
  </si>
  <si>
    <t>VA-Parroquia Carayaca</t>
  </si>
  <si>
    <t>VA-Parroquia Carlos Soublette</t>
  </si>
  <si>
    <t>VA-Parroquia Caruao</t>
  </si>
  <si>
    <t>VA-Parroquia Catia La Mar</t>
  </si>
  <si>
    <t>VA-Parroquia El Junko</t>
  </si>
  <si>
    <t>VA-Parroquia La Guaira</t>
  </si>
  <si>
    <t>VA-Parroquia Macuto</t>
  </si>
  <si>
    <t>VA-Parroquia Maiquetía</t>
  </si>
  <si>
    <t>VA-Parroquia Naiquatá</t>
  </si>
  <si>
    <t>VA-Parroquia Raúl Leoni</t>
  </si>
  <si>
    <t>YA-Municipio Arístides Bastidas</t>
  </si>
  <si>
    <t>YA-Municipio Bolívar</t>
  </si>
  <si>
    <t>YA-Municipio Bruzual</t>
  </si>
  <si>
    <t>YA-Municipio Cocorote</t>
  </si>
  <si>
    <t>YA-Municipio Independencia</t>
  </si>
  <si>
    <t>YA-Municipio José Antonio Páez</t>
  </si>
  <si>
    <t>YA-Municipio La Trinidad</t>
  </si>
  <si>
    <t>YA-Municipio Manuel Monge</t>
  </si>
  <si>
    <t>YA-Municipio Nirgua</t>
  </si>
  <si>
    <t>YA-Municipio Peña</t>
  </si>
  <si>
    <t>YA-Municipio San Felipe</t>
  </si>
  <si>
    <t>YA-Municipio Sucre</t>
  </si>
  <si>
    <t>YA-Municipio Urachiche</t>
  </si>
  <si>
    <t>YA-Municipio Veroes</t>
  </si>
  <si>
    <t>ZU-Municipio Almirante Padilla</t>
  </si>
  <si>
    <t>ZU-Municipio Baralt</t>
  </si>
  <si>
    <t>ZU-Municipio Cabimas</t>
  </si>
  <si>
    <t>ZU-Municipio Catatumbo</t>
  </si>
  <si>
    <t>ZU-Municipio Colon</t>
  </si>
  <si>
    <t>ZU-Municipio Francisco Javier Pulgar</t>
  </si>
  <si>
    <t>ZU-Municipio Jesús Enrique Losada</t>
  </si>
  <si>
    <t>ZU-Municipio Jesús Maria Semprun</t>
  </si>
  <si>
    <t>ZU-Municipio La Cañada de Urdaneta</t>
  </si>
  <si>
    <t>ZU-Municipio Lagunillas</t>
  </si>
  <si>
    <t>ZU-Municipio Machiques de Perija</t>
  </si>
  <si>
    <t>ZU-Municipio Mara</t>
  </si>
  <si>
    <t>ZU-Municipio Maracaibo</t>
  </si>
  <si>
    <t>ZU-Municipio Miranda</t>
  </si>
  <si>
    <t>ZU-Municipio Páez</t>
  </si>
  <si>
    <t>ZU-Municipio Rosario de Perija</t>
  </si>
  <si>
    <t>ZU-Municipio San Francisco</t>
  </si>
  <si>
    <t>ZU-Municipio Santa Rita</t>
  </si>
  <si>
    <t>ZU-Municipio Simón Bolívar</t>
  </si>
  <si>
    <t>ZU-Municipio Sucre</t>
  </si>
  <si>
    <t>ZU-Municipio Valmore Rodríguez</t>
  </si>
  <si>
    <t>Clave</t>
  </si>
  <si>
    <t>ES</t>
  </si>
  <si>
    <t>EST</t>
  </si>
  <si>
    <t>Muni</t>
  </si>
  <si>
    <t>H</t>
  </si>
  <si>
    <t>M</t>
  </si>
  <si>
    <t>Suma de Total</t>
  </si>
  <si>
    <t>DI</t>
  </si>
  <si>
    <t>AM</t>
  </si>
  <si>
    <t>AN</t>
  </si>
  <si>
    <t>AP</t>
  </si>
  <si>
    <t>AR</t>
  </si>
  <si>
    <t>BA</t>
  </si>
  <si>
    <t>BO</t>
  </si>
  <si>
    <t>CA</t>
  </si>
  <si>
    <t>CO</t>
  </si>
  <si>
    <t>DE</t>
  </si>
  <si>
    <t>FA</t>
  </si>
  <si>
    <t>GU</t>
  </si>
  <si>
    <t>LA</t>
  </si>
  <si>
    <t>ME</t>
  </si>
  <si>
    <t>MI</t>
  </si>
  <si>
    <t>MO</t>
  </si>
  <si>
    <t>NU</t>
  </si>
  <si>
    <t>PO</t>
  </si>
  <si>
    <t>SU</t>
  </si>
  <si>
    <t>TA</t>
  </si>
  <si>
    <t>TR</t>
  </si>
  <si>
    <t>VA</t>
  </si>
  <si>
    <t>YA</t>
  </si>
  <si>
    <t>ZU</t>
  </si>
  <si>
    <t>AM-Municipio Autónomo Río Negro</t>
  </si>
  <si>
    <t>ano</t>
  </si>
  <si>
    <t>AM-Municipio Autónomo Maroa</t>
  </si>
  <si>
    <t>DE-Parroquia Gran Roque</t>
  </si>
  <si>
    <t>DEPENDENCIAS FEDERALES</t>
  </si>
  <si>
    <t>Parroquia Gran Roque</t>
  </si>
  <si>
    <t>1,4</t>
  </si>
  <si>
    <t>1,28</t>
  </si>
  <si>
    <t>4,16</t>
  </si>
  <si>
    <t>Etiquetas de columna</t>
  </si>
  <si>
    <t>A2010</t>
  </si>
  <si>
    <t>A2011</t>
  </si>
  <si>
    <t>A2012</t>
  </si>
  <si>
    <t>A2013</t>
  </si>
  <si>
    <t>A2014</t>
  </si>
  <si>
    <t>1250</t>
  </si>
  <si>
    <t>A2016</t>
  </si>
  <si>
    <t>A2005</t>
  </si>
  <si>
    <t>A2006</t>
  </si>
  <si>
    <t>A2007</t>
  </si>
  <si>
    <t>A2008</t>
  </si>
  <si>
    <t>A2009</t>
  </si>
  <si>
    <t>A2004</t>
  </si>
  <si>
    <t>A2001</t>
  </si>
  <si>
    <t>A2002</t>
  </si>
  <si>
    <t>A2003</t>
  </si>
  <si>
    <t>Municipio Autónomo Libertador</t>
  </si>
  <si>
    <t>Municipio Autónomo Vargas</t>
  </si>
  <si>
    <t>A2000</t>
  </si>
  <si>
    <r>
      <rPr>
        <b/>
        <sz val="10"/>
        <rFont val="Arial"/>
        <family val="2"/>
      </rPr>
      <t>DISTRITO FEDERAL</t>
    </r>
  </si>
  <si>
    <t>VA-Municipio Autónomo Vargas</t>
  </si>
  <si>
    <t>DI-Municipio Autónomo Libertador</t>
  </si>
  <si>
    <t>A1999</t>
  </si>
  <si>
    <t>DI-Municipio Autónomo Vargas</t>
  </si>
  <si>
    <t>A1998</t>
  </si>
  <si>
    <t>A1997</t>
  </si>
  <si>
    <r>
      <rPr>
        <b/>
        <sz val="8.5"/>
        <rFont val="Arial"/>
        <family val="2"/>
      </rPr>
      <t>AMAZONAS</t>
    </r>
  </si>
  <si>
    <r>
      <rPr>
        <sz val="10"/>
        <rFont val="Arial"/>
        <family val="2"/>
      </rPr>
      <t>BOCA DE UCHIRE</t>
    </r>
  </si>
  <si>
    <r>
      <rPr>
        <sz val="10"/>
        <rFont val="Arial"/>
        <family val="2"/>
      </rPr>
      <t>SANTA ANA</t>
    </r>
  </si>
  <si>
    <r>
      <rPr>
        <b/>
        <sz val="8.5"/>
        <rFont val="Arial"/>
        <family val="2"/>
      </rPr>
      <t>ARAGUA</t>
    </r>
  </si>
  <si>
    <r>
      <rPr>
        <b/>
        <sz val="8.5"/>
        <rFont val="Arial"/>
        <family val="2"/>
      </rPr>
      <t>BARINAS</t>
    </r>
  </si>
  <si>
    <r>
      <rPr>
        <b/>
        <sz val="8.5"/>
        <rFont val="Arial"/>
        <family val="2"/>
      </rPr>
      <t>BOLIVAR</t>
    </r>
  </si>
  <si>
    <r>
      <rPr>
        <b/>
        <sz val="8.5"/>
        <rFont val="Arial"/>
        <family val="2"/>
      </rPr>
      <t>CARABOBO</t>
    </r>
  </si>
  <si>
    <r>
      <rPr>
        <b/>
        <sz val="8.5"/>
        <rFont val="Arial"/>
        <family val="2"/>
      </rPr>
      <t>COJEDES</t>
    </r>
  </si>
  <si>
    <r>
      <rPr>
        <b/>
        <sz val="8.5"/>
        <rFont val="Arial"/>
        <family val="2"/>
      </rPr>
      <t>DELTA AMACURO</t>
    </r>
  </si>
  <si>
    <r>
      <rPr>
        <b/>
        <sz val="8.5"/>
        <rFont val="Arial"/>
        <family val="2"/>
      </rPr>
      <t>LARA</t>
    </r>
  </si>
  <si>
    <r>
      <rPr>
        <b/>
        <sz val="8.5"/>
        <rFont val="Arial"/>
        <family val="2"/>
      </rPr>
      <t>MIRANDA</t>
    </r>
  </si>
  <si>
    <r>
      <rPr>
        <b/>
        <sz val="8.5"/>
        <rFont val="Arial"/>
        <family val="2"/>
      </rPr>
      <t>MONAGAS</t>
    </r>
  </si>
  <si>
    <r>
      <rPr>
        <b/>
        <sz val="8.5"/>
        <rFont val="Arial"/>
        <family val="2"/>
      </rPr>
      <t>NUEVA ESPARTA</t>
    </r>
  </si>
  <si>
    <r>
      <rPr>
        <b/>
        <sz val="8.5"/>
        <rFont val="Arial"/>
        <family val="2"/>
      </rPr>
      <t>PORTUGUESA</t>
    </r>
  </si>
  <si>
    <r>
      <rPr>
        <b/>
        <sz val="8.5"/>
        <rFont val="Arial"/>
        <family val="2"/>
      </rPr>
      <t>SUCRE</t>
    </r>
  </si>
  <si>
    <r>
      <rPr>
        <b/>
        <sz val="8.5"/>
        <rFont val="Arial"/>
        <family val="2"/>
      </rPr>
      <t>TRUJILLO</t>
    </r>
  </si>
  <si>
    <r>
      <rPr>
        <b/>
        <sz val="8.5"/>
        <rFont val="Arial"/>
        <family val="2"/>
      </rPr>
      <t>YARACUY</t>
    </r>
  </si>
  <si>
    <r>
      <rPr>
        <b/>
        <sz val="8.5"/>
        <rFont val="Arial"/>
        <family val="2"/>
      </rPr>
      <t>ZULIA</t>
    </r>
  </si>
  <si>
    <t>DTTO. FEDERAL</t>
  </si>
  <si>
    <t>FALCÓN</t>
  </si>
  <si>
    <t>GUÁRICO</t>
  </si>
  <si>
    <t>A1996</t>
  </si>
  <si>
    <r>
      <rPr>
        <sz val="10"/>
        <rFont val="Arial"/>
        <family val="2"/>
      </rPr>
      <t>ARAGUA DE BARCELONA</t>
    </r>
  </si>
  <si>
    <r>
      <rPr>
        <sz val="10"/>
        <rFont val="Arial"/>
        <family val="2"/>
      </rPr>
      <t>ATAPIRIRE</t>
    </r>
  </si>
  <si>
    <r>
      <rPr>
        <sz val="10"/>
        <rFont val="Arial"/>
        <family val="2"/>
      </rPr>
      <t>BERGANTIN</t>
    </r>
  </si>
  <si>
    <r>
      <rPr>
        <sz val="10"/>
        <rFont val="Arial"/>
        <family val="2"/>
      </rPr>
      <t>CACHIPO</t>
    </r>
  </si>
  <si>
    <r>
      <rPr>
        <sz val="10"/>
        <rFont val="Arial"/>
        <family val="2"/>
      </rPr>
      <t>CAIGUA</t>
    </r>
  </si>
  <si>
    <r>
      <rPr>
        <sz val="10"/>
        <rFont val="Arial"/>
        <family val="2"/>
      </rPr>
      <t>CANTAURA (FREITES)</t>
    </r>
  </si>
  <si>
    <r>
      <rPr>
        <sz val="10"/>
        <rFont val="Arial"/>
        <family val="2"/>
      </rPr>
      <t>CARVAJAL</t>
    </r>
  </si>
  <si>
    <r>
      <rPr>
        <sz val="10"/>
        <rFont val="Arial"/>
        <family val="2"/>
      </rPr>
      <t>CLARINES (BRUZUAL)</t>
    </r>
  </si>
  <si>
    <r>
      <rPr>
        <sz val="10"/>
        <rFont val="Arial"/>
        <family val="2"/>
      </rPr>
      <t>EL CARITO</t>
    </r>
  </si>
  <si>
    <r>
      <rPr>
        <sz val="10"/>
        <rFont val="Arial"/>
        <family val="2"/>
      </rPr>
      <t>EL CARMEN</t>
    </r>
  </si>
  <si>
    <r>
      <rPr>
        <sz val="10"/>
        <rFont val="Arial"/>
        <family val="2"/>
      </rPr>
      <t>EL PAO</t>
    </r>
  </si>
  <si>
    <r>
      <rPr>
        <sz val="10"/>
        <rFont val="Arial"/>
        <family val="2"/>
      </rPr>
      <t>EL PILAR</t>
    </r>
  </si>
  <si>
    <r>
      <rPr>
        <sz val="10"/>
        <rFont val="Arial"/>
        <family val="2"/>
      </rPr>
      <t>EL TIGRE</t>
    </r>
  </si>
  <si>
    <r>
      <rPr>
        <sz val="10"/>
        <rFont val="Arial"/>
        <family val="2"/>
      </rPr>
      <t>FEDERACION (PEÑALVER)</t>
    </r>
  </si>
  <si>
    <r>
      <rPr>
        <sz val="10"/>
        <rFont val="Arial"/>
        <family val="2"/>
      </rPr>
      <t>GUANAPE</t>
    </r>
  </si>
  <si>
    <r>
      <rPr>
        <sz val="10"/>
        <rFont val="Arial"/>
        <family val="2"/>
      </rPr>
      <t>GUANIPA</t>
    </r>
  </si>
  <si>
    <r>
      <rPr>
        <sz val="10"/>
        <rFont val="Arial"/>
        <family val="2"/>
      </rPr>
      <t>GUANTA</t>
    </r>
  </si>
  <si>
    <r>
      <rPr>
        <sz val="10"/>
        <rFont val="Arial"/>
        <family val="2"/>
      </rPr>
      <t>GUEVARA Y LIRA (ANACO)</t>
    </r>
  </si>
  <si>
    <r>
      <rPr>
        <sz val="10"/>
        <rFont val="Arial"/>
        <family val="2"/>
      </rPr>
      <t>LIBERTADOR</t>
    </r>
  </si>
  <si>
    <r>
      <rPr>
        <sz val="10"/>
        <rFont val="Arial"/>
        <family val="2"/>
      </rPr>
      <t>LICENCIADO URBANEJA</t>
    </r>
  </si>
  <si>
    <r>
      <rPr>
        <sz val="10"/>
        <rFont val="Arial"/>
        <family val="2"/>
      </rPr>
      <t>MAMO</t>
    </r>
  </si>
  <si>
    <r>
      <rPr>
        <sz val="10"/>
        <rFont val="Arial"/>
        <family val="2"/>
      </rPr>
      <t>MAPIRE (MONAGAS)</t>
    </r>
  </si>
  <si>
    <r>
      <rPr>
        <sz val="10"/>
        <rFont val="Arial"/>
        <family val="2"/>
      </rPr>
      <t>MCGREGOR</t>
    </r>
  </si>
  <si>
    <r>
      <rPr>
        <sz val="10"/>
        <rFont val="Arial"/>
        <family val="2"/>
      </rPr>
      <t>NARICUAL</t>
    </r>
  </si>
  <si>
    <r>
      <rPr>
        <sz val="10"/>
        <rFont val="Arial"/>
        <family val="2"/>
      </rPr>
      <t>ONOTO (CAJIGAL)</t>
    </r>
  </si>
  <si>
    <r>
      <rPr>
        <sz val="10"/>
        <rFont val="Arial"/>
        <family val="2"/>
      </rPr>
      <t>PARIGUIAN (MIRANDA)</t>
    </r>
  </si>
  <si>
    <r>
      <rPr>
        <sz val="10"/>
        <rFont val="Arial"/>
        <family val="2"/>
      </rPr>
      <t>PIAR</t>
    </r>
  </si>
  <si>
    <r>
      <rPr>
        <sz val="10"/>
        <rFont val="Arial"/>
        <family val="2"/>
      </rPr>
      <t>PIRITU</t>
    </r>
  </si>
  <si>
    <r>
      <rPr>
        <sz val="10"/>
        <rFont val="Arial"/>
        <family val="2"/>
      </rPr>
      <t>POZUELOS</t>
    </r>
  </si>
  <si>
    <r>
      <rPr>
        <sz val="10"/>
        <rFont val="Arial"/>
        <family val="2"/>
      </rPr>
      <t>PUERTO LA CRUZ (SOTILLO)</t>
    </r>
  </si>
  <si>
    <r>
      <rPr>
        <sz val="10"/>
        <rFont val="Arial"/>
        <family val="2"/>
      </rPr>
      <t>SABANA DE UCHIRE</t>
    </r>
  </si>
  <si>
    <r>
      <rPr>
        <sz val="10"/>
        <rFont val="Arial"/>
        <family val="2"/>
      </rPr>
      <t>SAN CRISTOBAL</t>
    </r>
  </si>
  <si>
    <r>
      <rPr>
        <sz val="10"/>
        <rFont val="Arial"/>
        <family val="2"/>
      </rPr>
      <t>SAN DIEGO DE CABRUTICA</t>
    </r>
  </si>
  <si>
    <r>
      <rPr>
        <sz val="10"/>
        <rFont val="Arial"/>
        <family val="2"/>
      </rPr>
      <t>SAN JOAQUIN</t>
    </r>
  </si>
  <si>
    <r>
      <rPr>
        <sz val="10"/>
        <rFont val="Arial"/>
        <family val="2"/>
      </rPr>
      <t>SAN MATEO (LIBERTAD)</t>
    </r>
  </si>
  <si>
    <r>
      <rPr>
        <sz val="10"/>
        <rFont val="Arial"/>
        <family val="2"/>
      </rPr>
      <t>SAN MIGUEL</t>
    </r>
  </si>
  <si>
    <r>
      <rPr>
        <sz val="10"/>
        <rFont val="Arial"/>
        <family val="2"/>
      </rPr>
      <t>SAN PABLO</t>
    </r>
  </si>
  <si>
    <r>
      <rPr>
        <sz val="10"/>
        <rFont val="Arial"/>
        <family val="2"/>
      </rPr>
      <t>SANTA CLARA</t>
    </r>
  </si>
  <si>
    <r>
      <rPr>
        <sz val="10"/>
        <rFont val="Arial"/>
        <family val="2"/>
      </rPr>
      <t>SANTA INES</t>
    </r>
  </si>
  <si>
    <r>
      <rPr>
        <sz val="10"/>
        <rFont val="Arial"/>
        <family val="2"/>
      </rPr>
      <t>SANTA ROSA</t>
    </r>
  </si>
  <si>
    <r>
      <rPr>
        <sz val="10"/>
        <rFont val="Arial"/>
        <family val="2"/>
      </rPr>
      <t>SOLEDAD</t>
    </r>
  </si>
  <si>
    <r>
      <rPr>
        <sz val="10"/>
        <rFont val="Arial"/>
        <family val="2"/>
      </rPr>
      <t>SUCRE</t>
    </r>
  </si>
  <si>
    <r>
      <rPr>
        <sz val="10"/>
        <rFont val="Arial"/>
        <family val="2"/>
      </rPr>
      <t>URICA</t>
    </r>
  </si>
  <si>
    <r>
      <rPr>
        <sz val="10"/>
        <rFont val="Arial"/>
        <family val="2"/>
      </rPr>
      <t>UVERITO</t>
    </r>
  </si>
  <si>
    <r>
      <rPr>
        <sz val="10"/>
        <rFont val="Arial"/>
        <family val="2"/>
      </rPr>
      <t>ZUATA</t>
    </r>
  </si>
  <si>
    <r>
      <rPr>
        <b/>
        <sz val="8.5"/>
        <rFont val="Arial"/>
        <family val="2"/>
      </rPr>
      <t>APURE</t>
    </r>
  </si>
  <si>
    <r>
      <rPr>
        <sz val="10"/>
        <rFont val="Arial"/>
        <family val="2"/>
      </rPr>
      <t>ACHAGUAS</t>
    </r>
  </si>
  <si>
    <r>
      <rPr>
        <sz val="10"/>
        <rFont val="Arial"/>
        <family val="2"/>
      </rPr>
      <t>APURITO</t>
    </r>
  </si>
  <si>
    <r>
      <rPr>
        <sz val="10"/>
        <rFont val="Arial"/>
        <family val="2"/>
      </rPr>
      <t>ARAMENDI</t>
    </r>
  </si>
  <si>
    <r>
      <rPr>
        <sz val="10"/>
        <rFont val="Arial"/>
        <family val="2"/>
      </rPr>
      <t>BIRUACA</t>
    </r>
  </si>
  <si>
    <r>
      <rPr>
        <b/>
        <sz val="6.5"/>
        <rFont val="Arial"/>
        <family val="2"/>
      </rPr>
      <t>LOCALIDAD</t>
    </r>
  </si>
  <si>
    <r>
      <rPr>
        <b/>
        <sz val="6.5"/>
        <rFont val="Arial"/>
        <family val="2"/>
      </rPr>
      <t>TOTAL</t>
    </r>
  </si>
  <si>
    <r>
      <rPr>
        <sz val="10"/>
        <rFont val="Arial"/>
        <family val="2"/>
      </rPr>
      <t>BRUZUAL</t>
    </r>
  </si>
  <si>
    <r>
      <rPr>
        <sz val="10"/>
        <rFont val="Arial"/>
        <family val="2"/>
      </rPr>
      <t>CODAZZI</t>
    </r>
  </si>
  <si>
    <r>
      <rPr>
        <sz val="10"/>
        <rFont val="Arial"/>
        <family val="2"/>
      </rPr>
      <t>CUNAVICHE</t>
    </r>
  </si>
  <si>
    <r>
      <rPr>
        <sz val="10"/>
        <rFont val="Arial"/>
        <family val="2"/>
      </rPr>
      <t>EL AMPARO</t>
    </r>
  </si>
  <si>
    <r>
      <rPr>
        <sz val="10"/>
        <rFont val="Arial"/>
        <family val="2"/>
      </rPr>
      <t>EL YAGUAL</t>
    </r>
  </si>
  <si>
    <r>
      <rPr>
        <sz val="10"/>
        <rFont val="Arial"/>
        <family val="2"/>
      </rPr>
      <t>ELORZA</t>
    </r>
  </si>
  <si>
    <r>
      <rPr>
        <sz val="10"/>
        <rFont val="Arial"/>
        <family val="2"/>
      </rPr>
      <t>GUACHARA</t>
    </r>
  </si>
  <si>
    <r>
      <rPr>
        <sz val="10"/>
        <rFont val="Arial"/>
        <family val="2"/>
      </rPr>
      <t>GUASDUALITO</t>
    </r>
  </si>
  <si>
    <r>
      <rPr>
        <sz val="10"/>
        <rFont val="Arial"/>
        <family val="2"/>
      </rPr>
      <t>LA TRINIDAD</t>
    </r>
  </si>
  <si>
    <r>
      <rPr>
        <sz val="10"/>
        <rFont val="Arial"/>
        <family val="2"/>
      </rPr>
      <t>MANTECAL</t>
    </r>
  </si>
  <si>
    <r>
      <rPr>
        <sz val="10"/>
        <rFont val="Arial"/>
        <family val="2"/>
      </rPr>
      <t>MUCURITAS</t>
    </r>
  </si>
  <si>
    <r>
      <rPr>
        <sz val="10"/>
        <rFont val="Arial"/>
        <family val="2"/>
      </rPr>
      <t>PEÑALVER</t>
    </r>
  </si>
  <si>
    <r>
      <rPr>
        <sz val="10"/>
        <rFont val="Arial"/>
        <family val="2"/>
      </rPr>
      <t>QUESERAS DEL MEDIO</t>
    </r>
  </si>
  <si>
    <r>
      <rPr>
        <sz val="10"/>
        <rFont val="Arial"/>
        <family val="2"/>
      </rPr>
      <t>QUINTERO</t>
    </r>
  </si>
  <si>
    <r>
      <rPr>
        <sz val="10"/>
        <rFont val="Arial"/>
        <family val="2"/>
      </rPr>
      <t>RINCON HONDO</t>
    </r>
  </si>
  <si>
    <r>
      <rPr>
        <sz val="10"/>
        <rFont val="Arial"/>
        <family val="2"/>
      </rPr>
      <t>SAN CAMILO</t>
    </r>
  </si>
  <si>
    <r>
      <rPr>
        <sz val="10"/>
        <rFont val="Arial"/>
        <family val="2"/>
      </rPr>
      <t>SAN FERNANDO</t>
    </r>
  </si>
  <si>
    <r>
      <rPr>
        <sz val="10"/>
        <rFont val="Arial"/>
        <family val="2"/>
      </rPr>
      <t>SAN JUAN DE PAYARA</t>
    </r>
  </si>
  <si>
    <r>
      <rPr>
        <sz val="10"/>
        <rFont val="Arial"/>
        <family val="2"/>
      </rPr>
      <t>SAN RAFAEL DE ATAMAICA</t>
    </r>
  </si>
  <si>
    <r>
      <rPr>
        <sz val="10"/>
        <rFont val="Arial"/>
        <family val="2"/>
      </rPr>
      <t>URDANETA</t>
    </r>
  </si>
  <si>
    <r>
      <rPr>
        <sz val="10"/>
        <rFont val="Arial"/>
        <family val="2"/>
      </rPr>
      <t>BARBACOAS</t>
    </r>
  </si>
  <si>
    <r>
      <rPr>
        <sz val="10"/>
        <rFont val="Arial"/>
        <family val="2"/>
      </rPr>
      <t>BELLA VISTA</t>
    </r>
  </si>
  <si>
    <r>
      <rPr>
        <sz val="10"/>
        <rFont val="Arial"/>
        <family val="2"/>
      </rPr>
      <t>CAGUA</t>
    </r>
  </si>
  <si>
    <r>
      <rPr>
        <sz val="10"/>
        <rFont val="Arial"/>
        <family val="2"/>
      </rPr>
      <t>CAMATAGUA</t>
    </r>
  </si>
  <si>
    <r>
      <rPr>
        <sz val="10"/>
        <rFont val="Arial"/>
        <family val="2"/>
      </rPr>
      <t>CARMEN DE CURA</t>
    </r>
  </si>
  <si>
    <r>
      <rPr>
        <sz val="10"/>
        <rFont val="Arial"/>
        <family val="2"/>
      </rPr>
      <t>CHORONI</t>
    </r>
  </si>
  <si>
    <r>
      <rPr>
        <sz val="10"/>
        <rFont val="Arial"/>
        <family val="2"/>
      </rPr>
      <t>COLONIA TOVAR</t>
    </r>
  </si>
  <si>
    <r>
      <rPr>
        <sz val="10"/>
        <rFont val="Arial"/>
        <family val="2"/>
      </rPr>
      <t>CRESPO</t>
    </r>
  </si>
  <si>
    <r>
      <rPr>
        <sz val="10"/>
        <rFont val="Arial"/>
        <family val="2"/>
      </rPr>
      <t>EL CONSEJO</t>
    </r>
  </si>
  <si>
    <r>
      <rPr>
        <sz val="10"/>
        <rFont val="Arial"/>
        <family val="2"/>
      </rPr>
      <t>GUIRIPA</t>
    </r>
  </si>
  <si>
    <r>
      <rPr>
        <sz val="10"/>
        <rFont val="Arial"/>
        <family val="2"/>
      </rPr>
      <t>LA VICTORIA</t>
    </r>
  </si>
  <si>
    <r>
      <rPr>
        <sz val="10"/>
        <rFont val="Arial"/>
        <family val="2"/>
      </rPr>
      <t>LAS PEÑITAS</t>
    </r>
  </si>
  <si>
    <r>
      <rPr>
        <sz val="10"/>
        <rFont val="Arial"/>
        <family val="2"/>
      </rPr>
      <t>LAS TEJERIAS</t>
    </r>
  </si>
  <si>
    <r>
      <rPr>
        <sz val="10"/>
        <rFont val="Arial"/>
        <family val="2"/>
      </rPr>
      <t>MAGDALENO</t>
    </r>
  </si>
  <si>
    <r>
      <rPr>
        <sz val="10"/>
        <rFont val="Arial"/>
        <family val="2"/>
      </rPr>
      <t>MARIO BRICEÑO IRAGORRY</t>
    </r>
  </si>
  <si>
    <r>
      <rPr>
        <sz val="10"/>
        <rFont val="Arial"/>
        <family val="2"/>
      </rPr>
      <t>OCUMARE DE LA COSTA</t>
    </r>
  </si>
  <si>
    <r>
      <rPr>
        <sz val="10"/>
        <rFont val="Arial"/>
        <family val="2"/>
      </rPr>
      <t>OLLA DE CARAMACATE</t>
    </r>
  </si>
  <si>
    <r>
      <rPr>
        <sz val="10"/>
        <rFont val="Arial"/>
        <family val="2"/>
      </rPr>
      <t>PAEZ</t>
    </r>
  </si>
  <si>
    <r>
      <rPr>
        <sz val="10"/>
        <rFont val="Arial"/>
        <family val="2"/>
      </rPr>
      <t>Palo negro (Libertador)</t>
    </r>
  </si>
  <si>
    <r>
      <rPr>
        <sz val="10"/>
        <rFont val="Arial"/>
        <family val="2"/>
      </rPr>
      <t>PAO DE ZARATE</t>
    </r>
  </si>
  <si>
    <r>
      <rPr>
        <sz val="10"/>
        <rFont val="Arial"/>
        <family val="2"/>
      </rPr>
      <t>SAMAN DE GUERE</t>
    </r>
  </si>
  <si>
    <r>
      <rPr>
        <sz val="10"/>
        <rFont val="Arial"/>
        <family val="2"/>
      </rPr>
      <t>SAN CASIMIRO</t>
    </r>
  </si>
  <si>
    <r>
      <rPr>
        <sz val="10"/>
        <rFont val="Arial"/>
        <family val="2"/>
      </rPr>
      <t>SAN FRANCISCO DE ASIS</t>
    </r>
  </si>
  <si>
    <r>
      <rPr>
        <sz val="10"/>
        <rFont val="Arial"/>
        <family val="2"/>
      </rPr>
      <t>SAN FRANCISCO DE CARA</t>
    </r>
  </si>
  <si>
    <r>
      <rPr>
        <sz val="10"/>
        <rFont val="Arial"/>
        <family val="2"/>
      </rPr>
      <t>SAN MATEO</t>
    </r>
  </si>
  <si>
    <r>
      <rPr>
        <sz val="10"/>
        <rFont val="Arial"/>
        <family val="2"/>
      </rPr>
      <t>SAN SEBASTIAN</t>
    </r>
  </si>
  <si>
    <r>
      <rPr>
        <sz val="10"/>
        <rFont val="Arial"/>
        <family val="2"/>
      </rPr>
      <t>SANTA CRUZ</t>
    </r>
  </si>
  <si>
    <r>
      <rPr>
        <sz val="10"/>
        <rFont val="Arial"/>
        <family val="2"/>
      </rPr>
      <t>SANTA RITA</t>
    </r>
  </si>
  <si>
    <r>
      <rPr>
        <sz val="10"/>
        <rFont val="Arial"/>
        <family val="2"/>
      </rPr>
      <t>TAGUAY</t>
    </r>
  </si>
  <si>
    <r>
      <rPr>
        <sz val="10"/>
        <rFont val="Arial"/>
        <family val="2"/>
      </rPr>
      <t>TIARA</t>
    </r>
  </si>
  <si>
    <r>
      <rPr>
        <sz val="10"/>
        <rFont val="Arial"/>
        <family val="2"/>
      </rPr>
      <t>TURMERO</t>
    </r>
  </si>
  <si>
    <r>
      <rPr>
        <sz val="10"/>
        <rFont val="Arial"/>
        <family val="2"/>
      </rPr>
      <t>VALLE DE MORIN</t>
    </r>
  </si>
  <si>
    <r>
      <rPr>
        <sz val="10"/>
        <rFont val="Arial"/>
        <family val="2"/>
      </rPr>
      <t>VILLA DE CURA</t>
    </r>
  </si>
  <si>
    <r>
      <rPr>
        <sz val="10"/>
        <rFont val="Arial"/>
        <family val="2"/>
      </rPr>
      <t>ALTAMIRA</t>
    </r>
  </si>
  <si>
    <r>
      <rPr>
        <sz val="10"/>
        <rFont val="Arial"/>
        <family val="2"/>
      </rPr>
      <t>ANDRES BELLO</t>
    </r>
  </si>
  <si>
    <r>
      <rPr>
        <sz val="10"/>
        <rFont val="Arial"/>
        <family val="2"/>
      </rPr>
      <t>ANDRES ELOY BLANCO</t>
    </r>
  </si>
  <si>
    <r>
      <rPr>
        <sz val="10"/>
        <rFont val="Arial"/>
        <family val="2"/>
      </rPr>
      <t xml:space="preserve">ANTONIO JOSE DE SUCRE
</t>
    </r>
    <r>
      <rPr>
        <sz val="10"/>
        <rFont val="Arial"/>
        <family val="2"/>
      </rPr>
      <t>(TICOPORO)</t>
    </r>
  </si>
  <si>
    <r>
      <rPr>
        <sz val="10"/>
        <rFont val="Arial"/>
        <family val="2"/>
      </rPr>
      <t>ARISMENDI</t>
    </r>
  </si>
  <si>
    <r>
      <rPr>
        <sz val="10"/>
        <rFont val="Arial"/>
        <family val="2"/>
      </rPr>
      <t>BARINITAS</t>
    </r>
  </si>
  <si>
    <r>
      <rPr>
        <sz val="10"/>
        <rFont val="Arial"/>
        <family val="2"/>
      </rPr>
      <t>CALDERAS</t>
    </r>
  </si>
  <si>
    <r>
      <rPr>
        <sz val="10"/>
        <rFont val="Arial"/>
        <family val="2"/>
      </rPr>
      <t>CATEDRAL (2)</t>
    </r>
  </si>
  <si>
    <r>
      <rPr>
        <sz val="10"/>
        <rFont val="Arial"/>
        <family val="2"/>
      </rPr>
      <t>CIUDAD BOLIVIA</t>
    </r>
  </si>
  <si>
    <r>
      <rPr>
        <sz val="10"/>
        <rFont val="Arial"/>
        <family val="2"/>
      </rPr>
      <t>CIUDAD DE NUTRIAS</t>
    </r>
  </si>
  <si>
    <r>
      <rPr>
        <sz val="10"/>
        <rFont val="Arial"/>
        <family val="2"/>
      </rPr>
      <t>CORAZON DE JESUS (2)</t>
    </r>
  </si>
  <si>
    <r>
      <rPr>
        <sz val="10"/>
        <rFont val="Arial"/>
        <family val="2"/>
      </rPr>
      <t>CRUZ PAREDES (BARRANCAS)</t>
    </r>
  </si>
  <si>
    <r>
      <rPr>
        <sz val="10"/>
        <rFont val="Arial"/>
        <family val="2"/>
      </rPr>
      <t>DOLORES</t>
    </r>
  </si>
  <si>
    <r>
      <rPr>
        <sz val="10"/>
        <rFont val="Arial"/>
        <family val="2"/>
      </rPr>
      <t>EL CARMEN (2)</t>
    </r>
  </si>
  <si>
    <r>
      <rPr>
        <sz val="10"/>
        <rFont val="Arial"/>
        <family val="2"/>
      </rPr>
      <t>EL REGALO</t>
    </r>
  </si>
  <si>
    <r>
      <rPr>
        <sz val="10"/>
        <rFont val="Arial"/>
        <family val="2"/>
      </rPr>
      <t>GUADARRAMA</t>
    </r>
  </si>
  <si>
    <r>
      <rPr>
        <sz val="10"/>
        <rFont val="Arial"/>
        <family val="2"/>
      </rPr>
      <t>IGNACIO BRICEÑO</t>
    </r>
  </si>
  <si>
    <r>
      <rPr>
        <sz val="10"/>
        <rFont val="Arial"/>
        <family val="2"/>
      </rPr>
      <t>JOSE FELIX RIVAS (3)</t>
    </r>
  </si>
  <si>
    <r>
      <rPr>
        <sz val="10"/>
        <rFont val="Arial"/>
        <family val="2"/>
      </rPr>
      <t>JOSE I. DEL PUMAR</t>
    </r>
  </si>
  <si>
    <r>
      <rPr>
        <sz val="10"/>
        <rFont val="Arial"/>
        <family val="2"/>
      </rPr>
      <t>LA LUZ</t>
    </r>
  </si>
  <si>
    <r>
      <rPr>
        <sz val="10"/>
        <rFont val="Arial"/>
        <family val="2"/>
      </rPr>
      <t>LA UNION</t>
    </r>
  </si>
  <si>
    <r>
      <rPr>
        <sz val="10"/>
        <rFont val="Arial"/>
        <family val="2"/>
      </rPr>
      <t>LIBERTAD</t>
    </r>
  </si>
  <si>
    <r>
      <rPr>
        <sz val="10"/>
        <rFont val="Arial"/>
        <family val="2"/>
      </rPr>
      <t>NICOLAS PULIDO</t>
    </r>
  </si>
  <si>
    <r>
      <rPr>
        <sz val="10"/>
        <rFont val="Arial"/>
        <family val="2"/>
      </rPr>
      <t>OBISPOS</t>
    </r>
  </si>
  <si>
    <r>
      <rPr>
        <sz val="10"/>
        <rFont val="Arial"/>
        <family val="2"/>
      </rPr>
      <t>PAEZ (CANAGUA)</t>
    </r>
  </si>
  <si>
    <r>
      <rPr>
        <sz val="10"/>
        <rFont val="Arial"/>
        <family val="2"/>
      </rPr>
      <t>PALCIOS FAJARDO</t>
    </r>
  </si>
  <si>
    <r>
      <rPr>
        <sz val="10"/>
        <rFont val="Arial"/>
        <family val="2"/>
      </rPr>
      <t>PEDRO BRICEÑO MENDEZ</t>
    </r>
  </si>
  <si>
    <r>
      <rPr>
        <sz val="10"/>
        <rFont val="Arial"/>
        <family val="2"/>
      </rPr>
      <t>PUERTO DE NUTRIAS</t>
    </r>
  </si>
  <si>
    <r>
      <rPr>
        <sz val="10"/>
        <rFont val="Arial"/>
        <family val="2"/>
      </rPr>
      <t>RAMON IGNACIO MENDEZ</t>
    </r>
  </si>
  <si>
    <r>
      <rPr>
        <sz val="10"/>
        <rFont val="Arial"/>
        <family val="2"/>
      </rPr>
      <t>RODRIGUEZ DOMINGUEZ</t>
    </r>
  </si>
  <si>
    <r>
      <rPr>
        <sz val="10"/>
        <rFont val="Arial"/>
        <family val="2"/>
      </rPr>
      <t>ROMULO BETANCOURT (2)</t>
    </r>
  </si>
  <si>
    <r>
      <rPr>
        <sz val="10"/>
        <rFont val="Arial"/>
        <family val="2"/>
      </rPr>
      <t>SABANETA</t>
    </r>
  </si>
  <si>
    <r>
      <rPr>
        <sz val="10"/>
        <rFont val="Arial"/>
        <family val="2"/>
      </rPr>
      <t>SAN ANTONIO</t>
    </r>
  </si>
  <si>
    <r>
      <rPr>
        <sz val="10"/>
        <rFont val="Arial"/>
        <family val="2"/>
      </rPr>
      <t>SAN SILVESTRE</t>
    </r>
  </si>
  <si>
    <r>
      <rPr>
        <sz val="10"/>
        <rFont val="Arial"/>
        <family val="2"/>
      </rPr>
      <t>SANTA BARBARA</t>
    </r>
  </si>
  <si>
    <r>
      <rPr>
        <sz val="10"/>
        <rFont val="Arial"/>
        <family val="2"/>
      </rPr>
      <t>SANTA CATALINA</t>
    </r>
  </si>
  <si>
    <r>
      <rPr>
        <sz val="10"/>
        <rFont val="Arial"/>
        <family val="2"/>
      </rPr>
      <t>SANTA LUCIA</t>
    </r>
  </si>
  <si>
    <r>
      <rPr>
        <sz val="10"/>
        <rFont val="Arial"/>
        <family val="2"/>
      </rPr>
      <t>TORUNOS</t>
    </r>
  </si>
  <si>
    <r>
      <rPr>
        <sz val="10"/>
        <rFont val="Arial"/>
        <family val="2"/>
      </rPr>
      <t>ASCENSION</t>
    </r>
  </si>
  <si>
    <r>
      <rPr>
        <sz val="10"/>
        <rFont val="Arial"/>
        <family val="2"/>
      </rPr>
      <t>BARCELONETA</t>
    </r>
  </si>
  <si>
    <r>
      <rPr>
        <sz val="10"/>
        <rFont val="Arial"/>
        <family val="2"/>
      </rPr>
      <t>CAICARA</t>
    </r>
  </si>
  <si>
    <r>
      <rPr>
        <sz val="10"/>
        <rFont val="Arial"/>
        <family val="2"/>
      </rPr>
      <t>CIUDAD BOLIVAR</t>
    </r>
  </si>
  <si>
    <r>
      <rPr>
        <sz val="10"/>
        <rFont val="Arial"/>
        <family val="2"/>
      </rPr>
      <t>DALLA COSTA</t>
    </r>
  </si>
  <si>
    <r>
      <rPr>
        <sz val="10"/>
        <rFont val="Arial"/>
        <family val="2"/>
      </rPr>
      <t>EL CALLAO</t>
    </r>
  </si>
  <si>
    <r>
      <rPr>
        <sz val="10"/>
        <rFont val="Arial"/>
        <family val="2"/>
      </rPr>
      <t>EL PALMAR</t>
    </r>
  </si>
  <si>
    <r>
      <rPr>
        <sz val="10"/>
        <rFont val="Arial"/>
        <family val="2"/>
      </rPr>
      <t>GUARATARO</t>
    </r>
  </si>
  <si>
    <r>
      <rPr>
        <sz val="10"/>
        <rFont val="Arial"/>
        <family val="2"/>
      </rPr>
      <t>GUASIPATI</t>
    </r>
  </si>
  <si>
    <r>
      <rPr>
        <sz val="10"/>
        <rFont val="Arial"/>
        <family val="2"/>
      </rPr>
      <t>LA URBANA</t>
    </r>
  </si>
  <si>
    <r>
      <rPr>
        <sz val="10"/>
        <rFont val="Arial"/>
        <family val="2"/>
      </rPr>
      <t>LAS BONITAS</t>
    </r>
  </si>
  <si>
    <r>
      <rPr>
        <sz val="10"/>
        <rFont val="Arial"/>
        <family val="2"/>
      </rPr>
      <t>MARIPA</t>
    </r>
  </si>
  <si>
    <r>
      <rPr>
        <sz val="10"/>
        <rFont val="Arial"/>
        <family val="2"/>
      </rPr>
      <t>MOITACO</t>
    </r>
  </si>
  <si>
    <r>
      <rPr>
        <sz val="10"/>
        <rFont val="Arial"/>
        <family val="2"/>
      </rPr>
      <t>PEDRO COVA</t>
    </r>
  </si>
  <si>
    <r>
      <rPr>
        <sz val="10"/>
        <rFont val="Arial"/>
        <family val="2"/>
      </rPr>
      <t>RAUL LEONI</t>
    </r>
  </si>
  <si>
    <r>
      <rPr>
        <sz val="10"/>
        <rFont val="Arial"/>
        <family val="2"/>
      </rPr>
      <t>SALOM</t>
    </r>
  </si>
  <si>
    <r>
      <rPr>
        <sz val="10"/>
        <rFont val="Arial"/>
        <family val="2"/>
      </rPr>
      <t>SAN FELIX</t>
    </r>
  </si>
  <si>
    <r>
      <rPr>
        <sz val="10"/>
        <rFont val="Arial"/>
        <family val="2"/>
      </rPr>
      <t>SAN FRANCISCO DE LA</t>
    </r>
  </si>
  <si>
    <r>
      <rPr>
        <sz val="10"/>
        <rFont val="Arial"/>
        <family val="2"/>
      </rPr>
      <t>SAN ISIDRO</t>
    </r>
  </si>
  <si>
    <r>
      <rPr>
        <sz val="10"/>
        <rFont val="Arial"/>
        <family val="2"/>
      </rPr>
      <t>TUMEREMO</t>
    </r>
  </si>
  <si>
    <r>
      <rPr>
        <sz val="10"/>
        <rFont val="Arial"/>
        <family val="2"/>
      </rPr>
      <t>UPATA</t>
    </r>
  </si>
  <si>
    <r>
      <rPr>
        <sz val="10"/>
        <rFont val="Arial"/>
        <family val="2"/>
      </rPr>
      <t>AGUA CALIENTE</t>
    </r>
  </si>
  <si>
    <r>
      <rPr>
        <sz val="10"/>
        <rFont val="Arial"/>
        <family val="2"/>
      </rPr>
      <t>BEJUMA</t>
    </r>
  </si>
  <si>
    <r>
      <rPr>
        <sz val="10"/>
        <rFont val="Arial"/>
        <family val="2"/>
      </rPr>
      <t>BELEN</t>
    </r>
  </si>
  <si>
    <r>
      <rPr>
        <sz val="10"/>
        <rFont val="Arial"/>
        <family val="2"/>
      </rPr>
      <t>BORBURATA</t>
    </r>
  </si>
  <si>
    <r>
      <rPr>
        <sz val="10"/>
        <rFont val="Arial"/>
        <family val="2"/>
      </rPr>
      <t>CANDELARIA</t>
    </r>
  </si>
  <si>
    <r>
      <rPr>
        <sz val="10"/>
        <rFont val="Arial"/>
        <family val="2"/>
      </rPr>
      <t>CANOABO</t>
    </r>
  </si>
  <si>
    <r>
      <rPr>
        <sz val="10"/>
        <rFont val="Arial"/>
        <family val="2"/>
      </rPr>
      <t>CATEDRAL</t>
    </r>
  </si>
  <si>
    <r>
      <rPr>
        <sz val="10"/>
        <rFont val="Arial"/>
        <family val="2"/>
      </rPr>
      <t>CENTRAL TACARIGUA</t>
    </r>
  </si>
  <si>
    <r>
      <rPr>
        <sz val="10"/>
        <rFont val="Arial"/>
        <family val="2"/>
      </rPr>
      <t>CIUDAD ALIANZA</t>
    </r>
  </si>
  <si>
    <r>
      <rPr>
        <sz val="10"/>
        <rFont val="Arial"/>
        <family val="2"/>
      </rPr>
      <t>DEMOCRACIA</t>
    </r>
  </si>
  <si>
    <r>
      <rPr>
        <sz val="10"/>
        <rFont val="Arial"/>
        <family val="2"/>
      </rPr>
      <t>DIEGO IBARRA</t>
    </r>
  </si>
  <si>
    <r>
      <rPr>
        <sz val="10"/>
        <rFont val="Arial"/>
        <family val="2"/>
      </rPr>
      <t>EL SOCORRO</t>
    </r>
  </si>
  <si>
    <r>
      <rPr>
        <sz val="10"/>
        <rFont val="Arial"/>
        <family val="2"/>
      </rPr>
      <t>FRATERNIDAD</t>
    </r>
  </si>
  <si>
    <r>
      <rPr>
        <sz val="10"/>
        <rFont val="Arial"/>
        <family val="2"/>
      </rPr>
      <t>GOAIGOAZA</t>
    </r>
  </si>
  <si>
    <r>
      <rPr>
        <sz val="10"/>
        <rFont val="Arial"/>
        <family val="2"/>
      </rPr>
      <t>GUACARA</t>
    </r>
  </si>
  <si>
    <r>
      <rPr>
        <sz val="10"/>
        <rFont val="Arial"/>
        <family val="2"/>
      </rPr>
      <t>GUIGUE</t>
    </r>
  </si>
  <si>
    <r>
      <rPr>
        <sz val="10"/>
        <rFont val="Arial"/>
        <family val="2"/>
      </rPr>
      <t>INDEPENDENCIA</t>
    </r>
  </si>
  <si>
    <r>
      <rPr>
        <sz val="10"/>
        <rFont val="Arial"/>
        <family val="2"/>
      </rPr>
      <t>JUAN JOSE FLORES</t>
    </r>
  </si>
  <si>
    <r>
      <rPr>
        <sz val="10"/>
        <rFont val="Arial"/>
        <family val="2"/>
      </rPr>
      <t>JUAN JOSE MORA</t>
    </r>
  </si>
  <si>
    <r>
      <rPr>
        <sz val="10"/>
        <rFont val="Arial"/>
        <family val="2"/>
      </rPr>
      <t>LOS GUAYOS</t>
    </r>
  </si>
  <si>
    <r>
      <rPr>
        <sz val="10"/>
        <rFont val="Arial"/>
        <family val="2"/>
      </rPr>
      <t>MIGUEL PEÑA</t>
    </r>
  </si>
  <si>
    <r>
      <rPr>
        <sz val="10"/>
        <rFont val="Arial"/>
        <family val="2"/>
      </rPr>
      <t>MIRANDA</t>
    </r>
  </si>
  <si>
    <r>
      <rPr>
        <sz val="10"/>
        <rFont val="Arial"/>
        <family val="2"/>
      </rPr>
      <t>MONTALBAN</t>
    </r>
  </si>
  <si>
    <r>
      <rPr>
        <sz val="10"/>
        <rFont val="Arial"/>
        <family val="2"/>
      </rPr>
      <t>NAGUANAGUA</t>
    </r>
  </si>
  <si>
    <r>
      <rPr>
        <sz val="10"/>
        <rFont val="Arial"/>
        <family val="2"/>
      </rPr>
      <t>NEGRO PRIMERO</t>
    </r>
  </si>
  <si>
    <r>
      <rPr>
        <sz val="10"/>
        <rFont val="Arial"/>
        <family val="2"/>
      </rPr>
      <t>PATANEMO</t>
    </r>
  </si>
  <si>
    <r>
      <rPr>
        <sz val="10"/>
        <rFont val="Arial"/>
        <family val="2"/>
      </rPr>
      <t>RAFAEL URDANETA</t>
    </r>
  </si>
  <si>
    <r>
      <rPr>
        <sz val="10"/>
        <rFont val="Arial"/>
        <family val="2"/>
      </rPr>
      <t>SAN BLAS</t>
    </r>
  </si>
  <si>
    <r>
      <rPr>
        <sz val="10"/>
        <rFont val="Arial"/>
        <family val="2"/>
      </rPr>
      <t>SAN DIEGO</t>
    </r>
  </si>
  <si>
    <r>
      <rPr>
        <sz val="10"/>
        <rFont val="Arial"/>
        <family val="2"/>
      </rPr>
      <t>SAN JOSE</t>
    </r>
  </si>
  <si>
    <r>
      <rPr>
        <sz val="10"/>
        <rFont val="Arial"/>
        <family val="2"/>
      </rPr>
      <t>SIMON BOLIVAR</t>
    </r>
  </si>
  <si>
    <r>
      <rPr>
        <sz val="10"/>
        <rFont val="Arial"/>
        <family val="2"/>
      </rPr>
      <t>TOCUYITO</t>
    </r>
  </si>
  <si>
    <r>
      <rPr>
        <sz val="10"/>
        <rFont val="Arial"/>
        <family val="2"/>
      </rPr>
      <t>UNION</t>
    </r>
  </si>
  <si>
    <r>
      <rPr>
        <sz val="10"/>
        <rFont val="Arial"/>
        <family val="2"/>
      </rPr>
      <t>URAMA</t>
    </r>
  </si>
  <si>
    <r>
      <rPr>
        <sz val="10"/>
        <rFont val="Arial"/>
        <family val="2"/>
      </rPr>
      <t>YAGUA</t>
    </r>
  </si>
  <si>
    <r>
      <rPr>
        <sz val="10"/>
        <rFont val="Arial"/>
        <family val="2"/>
      </rPr>
      <t>AMPARO</t>
    </r>
  </si>
  <si>
    <r>
      <rPr>
        <sz val="10"/>
        <rFont val="Arial"/>
        <family val="2"/>
      </rPr>
      <t>COJEDES</t>
    </r>
  </si>
  <si>
    <r>
      <rPr>
        <sz val="10"/>
        <rFont val="Arial"/>
        <family val="2"/>
      </rPr>
      <t>EL BAUL</t>
    </r>
  </si>
  <si>
    <r>
      <rPr>
        <sz val="10"/>
        <rFont val="Arial"/>
        <family val="2"/>
      </rPr>
      <t>JUAN DE MATA SUAREZ</t>
    </r>
  </si>
  <si>
    <r>
      <rPr>
        <sz val="10"/>
        <rFont val="Arial"/>
        <family val="2"/>
      </rPr>
      <t>JUAN MIGUEL BRAVO</t>
    </r>
  </si>
  <si>
    <r>
      <rPr>
        <sz val="10"/>
        <rFont val="Arial"/>
        <family val="2"/>
      </rPr>
      <t>LIMA BLANCO</t>
    </r>
  </si>
  <si>
    <r>
      <rPr>
        <sz val="10"/>
        <rFont val="Arial"/>
        <family val="2"/>
      </rPr>
      <t>MANRIQUE</t>
    </r>
  </si>
  <si>
    <r>
      <rPr>
        <sz val="10"/>
        <rFont val="Arial"/>
        <family val="2"/>
      </rPr>
      <t>PAO DE SAN JUAN BAUTISTA</t>
    </r>
  </si>
  <si>
    <r>
      <rPr>
        <sz val="10"/>
        <rFont val="Arial"/>
        <family val="2"/>
      </rPr>
      <t>ROMULO GALLEGOS</t>
    </r>
  </si>
  <si>
    <r>
      <rPr>
        <sz val="10"/>
        <rFont val="Arial"/>
        <family val="2"/>
      </rPr>
      <t>SAN CARLOS</t>
    </r>
  </si>
  <si>
    <r>
      <rPr>
        <sz val="10"/>
        <rFont val="Arial"/>
        <family val="2"/>
      </rPr>
      <t>TINACO</t>
    </r>
  </si>
  <si>
    <r>
      <rPr>
        <sz val="10"/>
        <rFont val="Arial"/>
        <family val="2"/>
      </rPr>
      <t>TINAQUILLO</t>
    </r>
  </si>
  <si>
    <r>
      <rPr>
        <b/>
        <sz val="8.5"/>
        <rFont val="Arial"/>
        <family val="2"/>
      </rPr>
      <t>DISTRITO FEDERAL</t>
    </r>
  </si>
  <si>
    <r>
      <rPr>
        <sz val="10"/>
        <rFont val="Arial"/>
        <family val="2"/>
      </rPr>
      <t>23 DE ENERO</t>
    </r>
  </si>
  <si>
    <r>
      <rPr>
        <sz val="10"/>
        <rFont val="Arial"/>
        <family val="2"/>
      </rPr>
      <t>ALTAGRACIA</t>
    </r>
  </si>
  <si>
    <r>
      <rPr>
        <sz val="10"/>
        <rFont val="Arial"/>
        <family val="2"/>
      </rPr>
      <t>ANTIMANO</t>
    </r>
  </si>
  <si>
    <r>
      <rPr>
        <sz val="10"/>
        <rFont val="Arial"/>
        <family val="2"/>
      </rPr>
      <t>CARABALLEDA</t>
    </r>
  </si>
  <si>
    <r>
      <rPr>
        <sz val="10"/>
        <rFont val="Arial"/>
        <family val="2"/>
      </rPr>
      <t>CARAYACA</t>
    </r>
  </si>
  <si>
    <r>
      <rPr>
        <sz val="10"/>
        <rFont val="Arial"/>
        <family val="2"/>
      </rPr>
      <t>CARICUAO</t>
    </r>
  </si>
  <si>
    <r>
      <rPr>
        <sz val="10"/>
        <rFont val="Arial"/>
        <family val="2"/>
      </rPr>
      <t>CAROAO</t>
    </r>
  </si>
  <si>
    <r>
      <rPr>
        <sz val="10"/>
        <rFont val="Arial"/>
        <family val="2"/>
      </rPr>
      <t>CATIA LA  MAR</t>
    </r>
  </si>
  <si>
    <r>
      <rPr>
        <sz val="10"/>
        <rFont val="Arial"/>
        <family val="2"/>
      </rPr>
      <t>COCHE</t>
    </r>
  </si>
  <si>
    <r>
      <rPr>
        <sz val="10"/>
        <rFont val="Arial"/>
        <family val="2"/>
      </rPr>
      <t>EL JUNKO</t>
    </r>
  </si>
  <si>
    <r>
      <rPr>
        <sz val="10"/>
        <rFont val="Arial"/>
        <family val="2"/>
      </rPr>
      <t>EL JUNQUITO</t>
    </r>
  </si>
  <si>
    <r>
      <rPr>
        <sz val="10"/>
        <rFont val="Arial"/>
        <family val="2"/>
      </rPr>
      <t>EL RECREO</t>
    </r>
  </si>
  <si>
    <r>
      <rPr>
        <sz val="10"/>
        <rFont val="Arial"/>
        <family val="2"/>
      </rPr>
      <t>EL VALLE</t>
    </r>
  </si>
  <si>
    <r>
      <rPr>
        <sz val="10"/>
        <rFont val="Arial"/>
        <family val="2"/>
      </rPr>
      <t>LA GUAIRA</t>
    </r>
  </si>
  <si>
    <r>
      <rPr>
        <sz val="10"/>
        <rFont val="Arial"/>
        <family val="2"/>
      </rPr>
      <t>LA PASTORA</t>
    </r>
  </si>
  <si>
    <r>
      <rPr>
        <sz val="10"/>
        <rFont val="Arial"/>
        <family val="2"/>
      </rPr>
      <t>LA VEGA</t>
    </r>
  </si>
  <si>
    <r>
      <rPr>
        <sz val="10"/>
        <rFont val="Arial"/>
        <family val="2"/>
      </rPr>
      <t>MACARAO</t>
    </r>
  </si>
  <si>
    <r>
      <rPr>
        <sz val="10"/>
        <rFont val="Arial"/>
        <family val="2"/>
      </rPr>
      <t>MACUTO</t>
    </r>
  </si>
  <si>
    <r>
      <rPr>
        <sz val="10"/>
        <rFont val="Arial"/>
        <family val="2"/>
      </rPr>
      <t>MAIQUETIA</t>
    </r>
  </si>
  <si>
    <r>
      <rPr>
        <sz val="10"/>
        <rFont val="Arial"/>
        <family val="2"/>
      </rPr>
      <t>NAIGUATA</t>
    </r>
  </si>
  <si>
    <r>
      <rPr>
        <sz val="10"/>
        <rFont val="Arial"/>
        <family val="2"/>
      </rPr>
      <t>SAN AGUSTIN</t>
    </r>
  </si>
  <si>
    <r>
      <rPr>
        <sz val="10"/>
        <rFont val="Arial"/>
        <family val="2"/>
      </rPr>
      <t>SAN JUAN</t>
    </r>
  </si>
  <si>
    <r>
      <rPr>
        <sz val="10"/>
        <rFont val="Arial"/>
        <family val="2"/>
      </rPr>
      <t>SANTA ROSALIA</t>
    </r>
  </si>
  <si>
    <r>
      <rPr>
        <sz val="10"/>
        <rFont val="Arial"/>
        <family val="2"/>
      </rPr>
      <t>SANTA TERESA</t>
    </r>
  </si>
  <si>
    <r>
      <rPr>
        <b/>
        <sz val="8.5"/>
        <rFont val="Arial"/>
        <family val="2"/>
      </rPr>
      <t>FALCON</t>
    </r>
  </si>
  <si>
    <r>
      <rPr>
        <sz val="10"/>
        <rFont val="Arial"/>
        <family val="2"/>
      </rPr>
      <t>ACURIGUA</t>
    </r>
  </si>
  <si>
    <r>
      <rPr>
        <sz val="10"/>
        <rFont val="Arial"/>
        <family val="2"/>
      </rPr>
      <t>ADICORA</t>
    </r>
  </si>
  <si>
    <r>
      <rPr>
        <sz val="10"/>
        <rFont val="Arial"/>
        <family val="2"/>
      </rPr>
      <t>AGUA LARGA</t>
    </r>
  </si>
  <si>
    <r>
      <rPr>
        <sz val="10"/>
        <rFont val="Arial"/>
        <family val="2"/>
      </rPr>
      <t>ARAUCA</t>
    </r>
  </si>
  <si>
    <r>
      <rPr>
        <sz val="10"/>
        <rFont val="Arial"/>
        <family val="2"/>
      </rPr>
      <t>ARAURIMA</t>
    </r>
  </si>
  <si>
    <r>
      <rPr>
        <sz val="10"/>
        <rFont val="Arial"/>
        <family val="2"/>
      </rPr>
      <t>BARAIVED</t>
    </r>
  </si>
  <si>
    <r>
      <rPr>
        <sz val="10"/>
        <rFont val="Arial"/>
        <family val="2"/>
      </rPr>
      <t>BARIRO</t>
    </r>
  </si>
  <si>
    <r>
      <rPr>
        <sz val="10"/>
        <rFont val="Arial"/>
        <family val="2"/>
      </rPr>
      <t>BOCA DE AROA</t>
    </r>
  </si>
  <si>
    <r>
      <rPr>
        <sz val="10"/>
        <rFont val="Arial"/>
        <family val="2"/>
      </rPr>
      <t>BOCA DE TOCUYO</t>
    </r>
  </si>
  <si>
    <r>
      <rPr>
        <sz val="10"/>
        <rFont val="Arial"/>
        <family val="2"/>
      </rPr>
      <t>BOLIVAR</t>
    </r>
  </si>
  <si>
    <r>
      <rPr>
        <sz val="10"/>
        <rFont val="Arial"/>
        <family val="2"/>
      </rPr>
      <t>BOROJO</t>
    </r>
  </si>
  <si>
    <r>
      <rPr>
        <sz val="10"/>
        <rFont val="Arial"/>
        <family val="2"/>
      </rPr>
      <t>BUENA VISTA</t>
    </r>
  </si>
  <si>
    <r>
      <rPr>
        <sz val="10"/>
        <rFont val="Arial"/>
        <family val="2"/>
      </rPr>
      <t>CABURE (PETIT)</t>
    </r>
  </si>
  <si>
    <r>
      <rPr>
        <sz val="10"/>
        <rFont val="Arial"/>
        <family val="2"/>
      </rPr>
      <t>CACIQUE MANAURE</t>
    </r>
  </si>
  <si>
    <r>
      <rPr>
        <sz val="10"/>
        <rFont val="Arial"/>
        <family val="2"/>
      </rPr>
      <t>CAPADARE</t>
    </r>
  </si>
  <si>
    <r>
      <rPr>
        <sz val="10"/>
        <rFont val="Arial"/>
        <family val="2"/>
      </rPr>
      <t>CAPATARIDA (BUCHIVACOA)</t>
    </r>
  </si>
  <si>
    <r>
      <rPr>
        <sz val="10"/>
        <rFont val="Arial"/>
        <family val="2"/>
      </rPr>
      <t>CARIRUBANA</t>
    </r>
  </si>
  <si>
    <r>
      <rPr>
        <sz val="10"/>
        <rFont val="Arial"/>
        <family val="2"/>
      </rPr>
      <t>CASIGUA</t>
    </r>
  </si>
  <si>
    <r>
      <rPr>
        <sz val="10"/>
        <rFont val="Arial"/>
        <family val="2"/>
      </rPr>
      <t>CHICHIRIVICHE</t>
    </r>
  </si>
  <si>
    <r>
      <rPr>
        <sz val="10"/>
        <rFont val="Arial"/>
        <family val="2"/>
      </rPr>
      <t>CHURUGUARA</t>
    </r>
  </si>
  <si>
    <r>
      <rPr>
        <sz val="10"/>
        <rFont val="Arial"/>
        <family val="2"/>
      </rPr>
      <t>COLINA</t>
    </r>
  </si>
  <si>
    <r>
      <rPr>
        <sz val="10"/>
        <rFont val="Arial"/>
        <family val="2"/>
      </rPr>
      <t>CURIMAGUA</t>
    </r>
  </si>
  <si>
    <r>
      <rPr>
        <sz val="10"/>
        <rFont val="Arial"/>
        <family val="2"/>
      </rPr>
      <t>DABAJURO</t>
    </r>
  </si>
  <si>
    <r>
      <rPr>
        <sz val="10"/>
        <rFont val="Arial"/>
        <family val="2"/>
      </rPr>
      <t>EL CHARAL</t>
    </r>
  </si>
  <si>
    <r>
      <rPr>
        <sz val="10"/>
        <rFont val="Arial"/>
        <family val="2"/>
      </rPr>
      <t>EL PAUJI</t>
    </r>
  </si>
  <si>
    <r>
      <rPr>
        <sz val="10"/>
        <rFont val="Arial"/>
        <family val="2"/>
      </rPr>
      <t>EL VINCULO</t>
    </r>
  </si>
  <si>
    <r>
      <rPr>
        <sz val="10"/>
        <rFont val="Arial"/>
        <family val="2"/>
      </rPr>
      <t>GUZMAN GUILLERMO</t>
    </r>
  </si>
  <si>
    <r>
      <rPr>
        <sz val="10"/>
        <rFont val="Arial"/>
        <family val="2"/>
      </rPr>
      <t>JACURA</t>
    </r>
  </si>
  <si>
    <r>
      <rPr>
        <sz val="10"/>
        <rFont val="Arial"/>
        <family val="2"/>
      </rPr>
      <t>JADACAQUIVA</t>
    </r>
  </si>
  <si>
    <r>
      <rPr>
        <sz val="10"/>
        <rFont val="Arial"/>
        <family val="2"/>
      </rPr>
      <t>LA CIENEGA</t>
    </r>
  </si>
  <si>
    <r>
      <rPr>
        <sz val="10"/>
        <rFont val="Arial"/>
        <family val="2"/>
      </rPr>
      <t>LA PEÑA</t>
    </r>
  </si>
  <si>
    <r>
      <rPr>
        <sz val="10"/>
        <rFont val="Arial"/>
        <family val="2"/>
      </rPr>
      <t>LA VELA DE CORO (COLINA)</t>
    </r>
  </si>
  <si>
    <r>
      <rPr>
        <sz val="10"/>
        <rFont val="Arial"/>
        <family val="2"/>
      </rPr>
      <t>LAS VEGAS DEL TUY</t>
    </r>
  </si>
  <si>
    <r>
      <rPr>
        <sz val="10"/>
        <rFont val="Arial"/>
        <family val="2"/>
      </rPr>
      <t>LOS TAQUES</t>
    </r>
  </si>
  <si>
    <r>
      <rPr>
        <sz val="10"/>
        <rFont val="Arial"/>
        <family val="2"/>
      </rPr>
      <t>MACORUCA</t>
    </r>
  </si>
  <si>
    <r>
      <rPr>
        <sz val="10"/>
        <rFont val="Arial"/>
        <family val="2"/>
      </rPr>
      <t>MAPARARI</t>
    </r>
  </si>
  <si>
    <r>
      <rPr>
        <sz val="10"/>
        <rFont val="Arial"/>
        <family val="2"/>
      </rPr>
      <t>MENE DE MAUROA (MAUROA)</t>
    </r>
  </si>
  <si>
    <r>
      <rPr>
        <sz val="10"/>
        <rFont val="Arial"/>
        <family val="2"/>
      </rPr>
      <t>MITARE</t>
    </r>
  </si>
  <si>
    <r>
      <rPr>
        <sz val="10"/>
        <rFont val="Arial"/>
        <family val="2"/>
      </rPr>
      <t>MORUY</t>
    </r>
  </si>
  <si>
    <r>
      <rPr>
        <sz val="10"/>
        <rFont val="Arial"/>
        <family val="2"/>
      </rPr>
      <t>PECAYA</t>
    </r>
  </si>
  <si>
    <r>
      <rPr>
        <sz val="10"/>
        <rFont val="Arial"/>
        <family val="2"/>
      </rPr>
      <t>PEDREGAL (DEMOCRACIA)</t>
    </r>
  </si>
  <si>
    <r>
      <rPr>
        <sz val="10"/>
        <rFont val="Arial"/>
        <family val="2"/>
      </rPr>
      <t>PIEDRA GRANDE</t>
    </r>
  </si>
  <si>
    <r>
      <rPr>
        <sz val="10"/>
        <rFont val="Arial"/>
        <family val="2"/>
      </rPr>
      <t>PUEBLO CUMAREBO</t>
    </r>
  </si>
  <si>
    <r>
      <rPr>
        <sz val="10"/>
        <rFont val="Arial"/>
        <family val="2"/>
      </rPr>
      <t>PUEBLO NUEVO</t>
    </r>
  </si>
  <si>
    <r>
      <rPr>
        <sz val="10"/>
        <rFont val="Arial"/>
        <family val="2"/>
      </rPr>
      <t>PUEBLO NUEVO (FALCON)</t>
    </r>
  </si>
  <si>
    <r>
      <rPr>
        <sz val="10"/>
        <rFont val="Arial"/>
        <family val="2"/>
      </rPr>
      <t>PUERTO CUMAREBO (ZAMORA)</t>
    </r>
  </si>
  <si>
    <r>
      <rPr>
        <sz val="10"/>
        <rFont val="Arial"/>
        <family val="2"/>
      </rPr>
      <t>PUNTA CARDON</t>
    </r>
  </si>
  <si>
    <r>
      <rPr>
        <sz val="10"/>
        <rFont val="Arial"/>
        <family val="2"/>
      </rPr>
      <t>PUNTO FIJO (CARIRURAMA)</t>
    </r>
  </si>
  <si>
    <r>
      <rPr>
        <sz val="10"/>
        <rFont val="Arial"/>
        <family val="2"/>
      </rPr>
      <t>SAN FRANCISCO</t>
    </r>
  </si>
  <si>
    <r>
      <rPr>
        <sz val="10"/>
        <rFont val="Arial"/>
        <family val="2"/>
      </rPr>
      <t>SAN GABRIEL</t>
    </r>
  </si>
  <si>
    <r>
      <rPr>
        <sz val="10"/>
        <rFont val="Arial"/>
        <family val="2"/>
      </rPr>
      <t>SAN JOSE DE LA COSTA</t>
    </r>
  </si>
  <si>
    <r>
      <rPr>
        <sz val="10"/>
        <rFont val="Arial"/>
        <family val="2"/>
      </rPr>
      <t>SAN JUAN DE LOS CAYOS</t>
    </r>
  </si>
  <si>
    <r>
      <rPr>
        <sz val="10"/>
        <rFont val="Arial"/>
        <family val="2"/>
      </rPr>
      <t>SAN LUIS (BOLIVAR)</t>
    </r>
  </si>
  <si>
    <r>
      <rPr>
        <sz val="10"/>
        <rFont val="Arial"/>
        <family val="2"/>
      </rPr>
      <t>SEQUE</t>
    </r>
  </si>
  <si>
    <r>
      <rPr>
        <sz val="10"/>
        <rFont val="Arial"/>
        <family val="2"/>
      </rPr>
      <t>TOCOPERO</t>
    </r>
  </si>
  <si>
    <r>
      <rPr>
        <sz val="10"/>
        <rFont val="Arial"/>
        <family val="2"/>
      </rPr>
      <t>TOCUYO DE LA COSTA</t>
    </r>
  </si>
  <si>
    <r>
      <rPr>
        <sz val="10"/>
        <rFont val="Arial"/>
        <family val="2"/>
      </rPr>
      <t>TUCACAS (SILVA)</t>
    </r>
  </si>
  <si>
    <r>
      <rPr>
        <sz val="10"/>
        <rFont val="Arial"/>
        <family val="2"/>
      </rPr>
      <t>URUMACO</t>
    </r>
  </si>
  <si>
    <r>
      <rPr>
        <sz val="10"/>
        <rFont val="Arial"/>
        <family val="2"/>
      </rPr>
      <t>ZAZARIDA</t>
    </r>
  </si>
  <si>
    <r>
      <rPr>
        <b/>
        <sz val="8.5"/>
        <rFont val="Arial"/>
        <family val="2"/>
      </rPr>
      <t>GUARICO</t>
    </r>
  </si>
  <si>
    <r>
      <rPr>
        <sz val="10"/>
        <rFont val="Arial"/>
        <family val="2"/>
      </rPr>
      <t xml:space="preserve">ALTAGRACIA DE ORITUCO
</t>
    </r>
    <r>
      <rPr>
        <sz val="10"/>
        <rFont val="Arial"/>
        <family val="2"/>
      </rPr>
      <t>(MONAGAS)</t>
    </r>
  </si>
  <si>
    <r>
      <rPr>
        <sz val="10"/>
        <rFont val="Arial"/>
        <family val="2"/>
      </rPr>
      <t>CABRUTA</t>
    </r>
  </si>
  <si>
    <r>
      <rPr>
        <sz val="10"/>
        <rFont val="Arial"/>
        <family val="2"/>
      </rPr>
      <t>CALABOZO (MIRANDA)</t>
    </r>
  </si>
  <si>
    <r>
      <rPr>
        <sz val="10"/>
        <rFont val="Arial"/>
        <family val="2"/>
      </rPr>
      <t>CAMAGUAN</t>
    </r>
  </si>
  <si>
    <r>
      <rPr>
        <sz val="10"/>
        <rFont val="Arial"/>
        <family val="2"/>
      </rPr>
      <t>CANTAGALLO</t>
    </r>
  </si>
  <si>
    <r>
      <rPr>
        <sz val="10"/>
        <rFont val="Arial"/>
        <family val="2"/>
      </rPr>
      <t>CHAGUARAMAS</t>
    </r>
  </si>
  <si>
    <r>
      <rPr>
        <sz val="10"/>
        <rFont val="Arial"/>
        <family val="2"/>
      </rPr>
      <t>EL RASTRO</t>
    </r>
  </si>
  <si>
    <r>
      <rPr>
        <sz val="10"/>
        <rFont val="Arial"/>
        <family val="2"/>
      </rPr>
      <t>EL SOMBRERO</t>
    </r>
  </si>
  <si>
    <r>
      <rPr>
        <sz val="10"/>
        <rFont val="Arial"/>
        <family val="2"/>
      </rPr>
      <t>ESPINO</t>
    </r>
  </si>
  <si>
    <r>
      <rPr>
        <sz val="10"/>
        <rFont val="Arial"/>
        <family val="2"/>
      </rPr>
      <t>GUARDATINAJAS</t>
    </r>
  </si>
  <si>
    <r>
      <rPr>
        <sz val="10"/>
        <rFont val="Arial"/>
        <family val="2"/>
      </rPr>
      <t>GUAYABAL</t>
    </r>
  </si>
  <si>
    <r>
      <rPr>
        <sz val="10"/>
        <rFont val="Arial"/>
        <family val="2"/>
      </rPr>
      <t>LAS MERCEDES</t>
    </r>
  </si>
  <si>
    <r>
      <rPr>
        <sz val="10"/>
        <rFont val="Arial"/>
        <family val="2"/>
      </rPr>
      <t>LEZAMA</t>
    </r>
  </si>
  <si>
    <r>
      <rPr>
        <sz val="10"/>
        <rFont val="Arial"/>
        <family val="2"/>
      </rPr>
      <t>LIBERTAD DE ORITUCO</t>
    </r>
  </si>
  <si>
    <r>
      <rPr>
        <sz val="10"/>
        <rFont val="Arial"/>
        <family val="2"/>
      </rPr>
      <t>ORTIZ</t>
    </r>
  </si>
  <si>
    <r>
      <rPr>
        <sz val="10"/>
        <rFont val="Arial"/>
        <family val="2"/>
      </rPr>
      <t>PARAPARA</t>
    </r>
  </si>
  <si>
    <r>
      <rPr>
        <sz val="10"/>
        <rFont val="Arial"/>
        <family val="2"/>
      </rPr>
      <t>PASO REAL DE MACAIRA</t>
    </r>
  </si>
  <si>
    <r>
      <rPr>
        <sz val="10"/>
        <rFont val="Arial"/>
        <family val="2"/>
      </rPr>
      <t>SAN FRANCISCO DE MACAIRA</t>
    </r>
  </si>
  <si>
    <r>
      <rPr>
        <sz val="10"/>
        <rFont val="Arial"/>
        <family val="2"/>
      </rPr>
      <t>SAN FRANCISCO DE TIZNADOS</t>
    </r>
  </si>
  <si>
    <r>
      <rPr>
        <sz val="10"/>
        <rFont val="Arial"/>
        <family val="2"/>
      </rPr>
      <t>SAN JOSE DE GUARIBE</t>
    </r>
  </si>
  <si>
    <r>
      <rPr>
        <sz val="10"/>
        <rFont val="Arial"/>
        <family val="2"/>
      </rPr>
      <t>SAN JOSE DE TIZNADOS</t>
    </r>
  </si>
  <si>
    <r>
      <rPr>
        <sz val="10"/>
        <rFont val="Arial"/>
        <family val="2"/>
      </rPr>
      <t>SAN JOSE DE UNARE</t>
    </r>
  </si>
  <si>
    <r>
      <rPr>
        <sz val="10"/>
        <rFont val="Arial"/>
        <family val="2"/>
      </rPr>
      <t xml:space="preserve">SAN JUAN DE LOS MORROS
</t>
    </r>
    <r>
      <rPr>
        <sz val="10"/>
        <rFont val="Arial"/>
        <family val="2"/>
      </rPr>
      <t>(ROSCIO)</t>
    </r>
  </si>
  <si>
    <r>
      <rPr>
        <sz val="10"/>
        <rFont val="Arial"/>
        <family val="2"/>
      </rPr>
      <t>SAN LORENZO DE TIZNADOS</t>
    </r>
  </si>
  <si>
    <r>
      <rPr>
        <sz val="10"/>
        <rFont val="Arial"/>
        <family val="2"/>
      </rPr>
      <t>SAN RAFAEL DE LAYA</t>
    </r>
  </si>
  <si>
    <r>
      <rPr>
        <sz val="10"/>
        <rFont val="Arial"/>
        <family val="2"/>
      </rPr>
      <t>SAN RAFAEL DE ORITUCO</t>
    </r>
  </si>
  <si>
    <r>
      <rPr>
        <sz val="10"/>
        <rFont val="Arial"/>
        <family val="2"/>
      </rPr>
      <t>SANTA MARIA DE IPIRE</t>
    </r>
  </si>
  <si>
    <r>
      <rPr>
        <sz val="10"/>
        <rFont val="Arial"/>
        <family val="2"/>
      </rPr>
      <t>SANTA RITA DE MANAPIRE</t>
    </r>
  </si>
  <si>
    <r>
      <rPr>
        <sz val="10"/>
        <rFont val="Arial"/>
        <family val="2"/>
      </rPr>
      <t>SOBLETTE</t>
    </r>
  </si>
  <si>
    <r>
      <rPr>
        <sz val="10"/>
        <rFont val="Arial"/>
        <family val="2"/>
      </rPr>
      <t>SOSA</t>
    </r>
  </si>
  <si>
    <r>
      <rPr>
        <sz val="10"/>
        <rFont val="Arial"/>
        <family val="2"/>
      </rPr>
      <t>TUCUPIDO (RIBAS)</t>
    </r>
  </si>
  <si>
    <r>
      <rPr>
        <sz val="10"/>
        <rFont val="Arial"/>
        <family val="2"/>
      </rPr>
      <t>VALLE DE LA PASCUA (INFANTE)</t>
    </r>
  </si>
  <si>
    <r>
      <rPr>
        <sz val="10"/>
        <rFont val="Arial"/>
        <family val="2"/>
      </rPr>
      <t>ZARAZA</t>
    </r>
  </si>
  <si>
    <r>
      <rPr>
        <sz val="10"/>
        <rFont val="Arial"/>
        <family val="2"/>
      </rPr>
      <t>AGUEDO F. ALVARADO</t>
    </r>
  </si>
  <si>
    <r>
      <rPr>
        <sz val="10"/>
        <rFont val="Arial"/>
        <family val="2"/>
      </rPr>
      <t>ANTONIO DIAZ</t>
    </r>
  </si>
  <si>
    <r>
      <rPr>
        <sz val="10"/>
        <rFont val="Arial"/>
        <family val="2"/>
      </rPr>
      <t>ANZOATEGUI</t>
    </r>
  </si>
  <si>
    <r>
      <rPr>
        <sz val="10"/>
        <rFont val="Arial"/>
        <family val="2"/>
      </rPr>
      <t>BURIO</t>
    </r>
  </si>
  <si>
    <r>
      <rPr>
        <sz val="10"/>
        <rFont val="Arial"/>
        <family val="2"/>
      </rPr>
      <t>CABUDARE</t>
    </r>
  </si>
  <si>
    <r>
      <rPr>
        <sz val="10"/>
        <rFont val="Arial"/>
        <family val="2"/>
      </rPr>
      <t>CAMACARO</t>
    </r>
  </si>
  <si>
    <r>
      <rPr>
        <sz val="10"/>
        <rFont val="Arial"/>
        <family val="2"/>
      </rPr>
      <t>CASTAÑEDA</t>
    </r>
  </si>
  <si>
    <r>
      <rPr>
        <sz val="10"/>
        <rFont val="Arial"/>
        <family val="2"/>
      </rPr>
      <t>CECILIO ZUBILLAGA</t>
    </r>
  </si>
  <si>
    <r>
      <rPr>
        <sz val="10"/>
        <rFont val="Arial"/>
        <family val="2"/>
      </rPr>
      <t>CHIQUINQUIRA</t>
    </r>
  </si>
  <si>
    <r>
      <rPr>
        <sz val="10"/>
        <rFont val="Arial"/>
        <family val="2"/>
      </rPr>
      <t>CONCEPCION</t>
    </r>
  </si>
  <si>
    <r>
      <rPr>
        <sz val="10"/>
        <rFont val="Arial"/>
        <family val="2"/>
      </rPr>
      <t>CUARA</t>
    </r>
  </si>
  <si>
    <r>
      <rPr>
        <sz val="10"/>
        <rFont val="Arial"/>
        <family val="2"/>
      </rPr>
      <t>EL BLANCO</t>
    </r>
  </si>
  <si>
    <r>
      <rPr>
        <sz val="10"/>
        <rFont val="Arial"/>
        <family val="2"/>
      </rPr>
      <t>EL CUJI</t>
    </r>
  </si>
  <si>
    <r>
      <rPr>
        <sz val="10"/>
        <rFont val="Arial"/>
        <family val="2"/>
      </rPr>
      <t>ESPINOZA DE LOS MONTEROS</t>
    </r>
  </si>
  <si>
    <r>
      <rPr>
        <sz val="10"/>
        <rFont val="Arial"/>
        <family val="2"/>
      </rPr>
      <t>FREITEZ</t>
    </r>
  </si>
  <si>
    <r>
      <rPr>
        <sz val="10"/>
        <rFont val="Arial"/>
        <family val="2"/>
      </rPr>
      <t>GUARICO</t>
    </r>
  </si>
  <si>
    <r>
      <rPr>
        <sz val="10"/>
        <rFont val="Arial"/>
        <family val="2"/>
      </rPr>
      <t>GUSTAVO VEGAS LEON</t>
    </r>
  </si>
  <si>
    <r>
      <rPr>
        <sz val="10"/>
        <rFont val="Arial"/>
        <family val="2"/>
      </rPr>
      <t>HILARIO LUNA Y LUNA</t>
    </r>
  </si>
  <si>
    <r>
      <rPr>
        <sz val="10"/>
        <rFont val="Arial"/>
        <family val="2"/>
      </rPr>
      <t>HUMOCARO ALTO</t>
    </r>
  </si>
  <si>
    <r>
      <rPr>
        <sz val="10"/>
        <rFont val="Arial"/>
        <family val="2"/>
      </rPr>
      <t>HUMOCARO BAJO</t>
    </r>
  </si>
  <si>
    <r>
      <rPr>
        <sz val="10"/>
        <rFont val="Arial"/>
        <family val="2"/>
      </rPr>
      <t>JOSE G. BASTIDAS</t>
    </r>
  </si>
  <si>
    <r>
      <rPr>
        <sz val="10"/>
        <rFont val="Arial"/>
        <family val="2"/>
      </rPr>
      <t>JOSE MARIA BLANCO</t>
    </r>
  </si>
  <si>
    <r>
      <rPr>
        <sz val="10"/>
        <rFont val="Arial"/>
        <family val="2"/>
      </rPr>
      <t>JUAN B. RODRIGUEZ</t>
    </r>
  </si>
  <si>
    <r>
      <rPr>
        <sz val="10"/>
        <rFont val="Arial"/>
        <family val="2"/>
      </rPr>
      <t>JUAN DE VILLEGAS</t>
    </r>
  </si>
  <si>
    <r>
      <rPr>
        <sz val="10"/>
        <rFont val="Arial"/>
        <family val="2"/>
      </rPr>
      <t>JUAREZ</t>
    </r>
  </si>
  <si>
    <r>
      <rPr>
        <sz val="10"/>
        <rFont val="Arial"/>
        <family val="2"/>
      </rPr>
      <t>LARA</t>
    </r>
  </si>
  <si>
    <r>
      <rPr>
        <sz val="10"/>
        <rFont val="Arial"/>
        <family val="2"/>
      </rPr>
      <t>MANUEL MORILLO</t>
    </r>
  </si>
  <si>
    <r>
      <rPr>
        <sz val="10"/>
        <rFont val="Arial"/>
        <family val="2"/>
      </rPr>
      <t>MONTAÑA VERDE</t>
    </r>
  </si>
  <si>
    <r>
      <rPr>
        <sz val="10"/>
        <rFont val="Arial"/>
        <family val="2"/>
      </rPr>
      <t>MONTES DE OCA</t>
    </r>
  </si>
  <si>
    <r>
      <rPr>
        <sz val="10"/>
        <rFont val="Arial"/>
        <family val="2"/>
      </rPr>
      <t>MORAN</t>
    </r>
  </si>
  <si>
    <r>
      <rPr>
        <sz val="10"/>
        <rFont val="Arial"/>
        <family val="2"/>
      </rPr>
      <t>MOROTURO</t>
    </r>
  </si>
  <si>
    <r>
      <rPr>
        <sz val="10"/>
        <rFont val="Arial"/>
        <family val="2"/>
      </rPr>
      <t>PIO TAMAYO</t>
    </r>
  </si>
  <si>
    <r>
      <rPr>
        <sz val="10"/>
        <rFont val="Arial"/>
        <family val="2"/>
      </rPr>
      <t>SAN DIEGO DE LOZADA</t>
    </r>
  </si>
  <si>
    <r>
      <rPr>
        <sz val="10"/>
        <rFont val="Arial"/>
        <family val="2"/>
      </rPr>
      <t>SIMON PLANAS</t>
    </r>
  </si>
  <si>
    <r>
      <rPr>
        <sz val="10"/>
        <rFont val="Arial"/>
        <family val="2"/>
      </rPr>
      <t>SIQUISIQUE</t>
    </r>
  </si>
  <si>
    <r>
      <rPr>
        <sz val="10"/>
        <rFont val="Arial"/>
        <family val="2"/>
      </rPr>
      <t>TORRES</t>
    </r>
  </si>
  <si>
    <r>
      <rPr>
        <sz val="10"/>
        <rFont val="Arial"/>
        <family val="2"/>
      </rPr>
      <t>TRINIDAD SAMUEL</t>
    </r>
  </si>
  <si>
    <r>
      <rPr>
        <sz val="10"/>
        <rFont val="Arial"/>
        <family val="2"/>
      </rPr>
      <t>YACAMBU</t>
    </r>
  </si>
  <si>
    <r>
      <rPr>
        <b/>
        <sz val="8.5"/>
        <rFont val="Arial"/>
        <family val="2"/>
      </rPr>
      <t>MERIDA</t>
    </r>
  </si>
  <si>
    <r>
      <rPr>
        <sz val="10"/>
        <rFont val="Arial"/>
        <family val="2"/>
      </rPr>
      <t>ACEQUIAS</t>
    </r>
  </si>
  <si>
    <r>
      <rPr>
        <sz val="10"/>
        <rFont val="Arial"/>
        <family val="2"/>
      </rPr>
      <t>ANTONIO ESPINETTI DINI</t>
    </r>
  </si>
  <si>
    <r>
      <rPr>
        <sz val="10"/>
        <rFont val="Arial"/>
        <family val="2"/>
      </rPr>
      <t>ARIAS</t>
    </r>
  </si>
  <si>
    <r>
      <rPr>
        <sz val="10"/>
        <rFont val="Arial"/>
        <family val="2"/>
      </rPr>
      <t>ARICAGUA</t>
    </r>
  </si>
  <si>
    <r>
      <rPr>
        <sz val="10"/>
        <rFont val="Arial"/>
        <family val="2"/>
      </rPr>
      <t>CACUTE</t>
    </r>
  </si>
  <si>
    <r>
      <rPr>
        <sz val="10"/>
        <rFont val="Arial"/>
        <family val="2"/>
      </rPr>
      <t>CANAGUA</t>
    </r>
  </si>
  <si>
    <r>
      <rPr>
        <sz val="10"/>
        <rFont val="Arial"/>
        <family val="2"/>
      </rPr>
      <t>CANAGUA (ARSOBISPO</t>
    </r>
  </si>
  <si>
    <r>
      <rPr>
        <sz val="10"/>
        <rFont val="Arial"/>
        <family val="2"/>
      </rPr>
      <t>CAÑO DE TIGRE</t>
    </r>
  </si>
  <si>
    <r>
      <rPr>
        <sz val="10"/>
        <rFont val="Arial"/>
        <family val="2"/>
      </rPr>
      <t>CAPURI</t>
    </r>
  </si>
  <si>
    <r>
      <rPr>
        <sz val="10"/>
        <rFont val="Arial"/>
        <family val="2"/>
      </rPr>
      <t>CARACCIOLLO PARRA OLMEDO</t>
    </r>
  </si>
  <si>
    <r>
      <rPr>
        <sz val="10"/>
        <rFont val="Arial"/>
        <family val="2"/>
      </rPr>
      <t>CARACCIOLO PARRA PEREZ</t>
    </r>
  </si>
  <si>
    <r>
      <rPr>
        <sz val="10"/>
        <rFont val="Arial"/>
        <family val="2"/>
      </rPr>
      <t>CARDENAL QUINTERO</t>
    </r>
  </si>
  <si>
    <r>
      <rPr>
        <sz val="10"/>
        <rFont val="Arial"/>
        <family val="2"/>
      </rPr>
      <t>CHACANTA</t>
    </r>
  </si>
  <si>
    <r>
      <rPr>
        <sz val="10"/>
        <rFont val="Arial"/>
        <family val="2"/>
      </rPr>
      <t>CHIGUARA</t>
    </r>
  </si>
  <si>
    <r>
      <rPr>
        <sz val="10"/>
        <rFont val="Arial"/>
        <family val="2"/>
      </rPr>
      <t>DOMINGO PEÑA</t>
    </r>
  </si>
  <si>
    <r>
      <rPr>
        <sz val="10"/>
        <rFont val="Arial"/>
        <family val="2"/>
      </rPr>
      <t>EL LLANO (LIBERTAD)</t>
    </r>
  </si>
  <si>
    <r>
      <rPr>
        <sz val="10"/>
        <rFont val="Arial"/>
        <family val="2"/>
      </rPr>
      <t>EL LLANO (TOVAR)</t>
    </r>
  </si>
  <si>
    <r>
      <rPr>
        <sz val="10"/>
        <rFont val="Arial"/>
        <family val="2"/>
      </rPr>
      <t>EL MOLINO</t>
    </r>
  </si>
  <si>
    <r>
      <rPr>
        <sz val="10"/>
        <rFont val="Arial"/>
        <family val="2"/>
      </rPr>
      <t>EL MORRO</t>
    </r>
  </si>
  <si>
    <r>
      <rPr>
        <sz val="10"/>
        <rFont val="Arial"/>
        <family val="2"/>
      </rPr>
      <t>ELOY PAREDES</t>
    </r>
  </si>
  <si>
    <r>
      <rPr>
        <sz val="10"/>
        <rFont val="Arial"/>
        <family val="2"/>
      </rPr>
      <t>ESTANQUES</t>
    </r>
  </si>
  <si>
    <r>
      <rPr>
        <sz val="10"/>
        <rFont val="Arial"/>
        <family val="2"/>
      </rPr>
      <t>FERNADEZ PEÑA</t>
    </r>
  </si>
  <si>
    <r>
      <rPr>
        <sz val="10"/>
        <rFont val="Arial"/>
        <family val="2"/>
      </rPr>
      <t>FLORENCIO RAMIREZ</t>
    </r>
  </si>
  <si>
    <r>
      <rPr>
        <sz val="10"/>
        <rFont val="Arial"/>
        <family val="2"/>
      </rPr>
      <t>GABRIEL PICON G.</t>
    </r>
  </si>
  <si>
    <r>
      <rPr>
        <sz val="10"/>
        <rFont val="Arial"/>
        <family val="2"/>
      </rPr>
      <t>GERONIMO MALDONADO</t>
    </r>
  </si>
  <si>
    <r>
      <rPr>
        <sz val="10"/>
        <rFont val="Arial"/>
        <family val="2"/>
      </rPr>
      <t>GONZALO PICON FEBREZ</t>
    </r>
  </si>
  <si>
    <r>
      <rPr>
        <sz val="10"/>
        <rFont val="Arial"/>
        <family val="2"/>
      </rPr>
      <t>GUAIMARAL</t>
    </r>
  </si>
  <si>
    <r>
      <rPr>
        <sz val="10"/>
        <rFont val="Arial"/>
        <family val="2"/>
      </rPr>
      <t>GUARAQUE</t>
    </r>
  </si>
  <si>
    <r>
      <rPr>
        <sz val="10"/>
        <rFont val="Arial"/>
        <family val="2"/>
      </rPr>
      <t>HECTOR AMABLE MORA</t>
    </r>
  </si>
  <si>
    <r>
      <rPr>
        <sz val="10"/>
        <rFont val="Arial"/>
        <family val="2"/>
      </rPr>
      <t>JACINTO PLAZA</t>
    </r>
  </si>
  <si>
    <r>
      <rPr>
        <sz val="10"/>
        <rFont val="Arial"/>
        <family val="2"/>
      </rPr>
      <t>JAJI</t>
    </r>
  </si>
  <si>
    <r>
      <rPr>
        <sz val="10"/>
        <rFont val="Arial"/>
        <family val="2"/>
      </rPr>
      <t>JOSE NUCETE SARDI</t>
    </r>
  </si>
  <si>
    <r>
      <rPr>
        <sz val="10"/>
        <rFont val="Arial"/>
        <family val="2"/>
      </rPr>
      <t>JUAN RODRIGUEZ SUAREZ</t>
    </r>
  </si>
  <si>
    <r>
      <rPr>
        <sz val="10"/>
        <rFont val="Arial"/>
        <family val="2"/>
      </rPr>
      <t>JULIO CESAR SALAS</t>
    </r>
  </si>
  <si>
    <r>
      <rPr>
        <sz val="10"/>
        <rFont val="Arial"/>
        <family val="2"/>
      </rPr>
      <t>LA MESA</t>
    </r>
  </si>
  <si>
    <r>
      <rPr>
        <sz val="10"/>
        <rFont val="Arial"/>
        <family val="2"/>
      </rPr>
      <t>LA TOMA</t>
    </r>
  </si>
  <si>
    <r>
      <rPr>
        <sz val="10"/>
        <rFont val="Arial"/>
        <family val="2"/>
      </rPr>
      <t>LA TRAMPA</t>
    </r>
  </si>
  <si>
    <r>
      <rPr>
        <sz val="10"/>
        <rFont val="Arial"/>
        <family val="2"/>
      </rPr>
      <t>LA VENTA</t>
    </r>
  </si>
  <si>
    <r>
      <rPr>
        <sz val="10"/>
        <rFont val="Arial"/>
        <family val="2"/>
      </rPr>
      <t>LAS PIEDRAS</t>
    </r>
  </si>
  <si>
    <r>
      <rPr>
        <sz val="10"/>
        <rFont val="Arial"/>
        <family val="2"/>
      </rPr>
      <t>LASSO DE LA VEGA</t>
    </r>
  </si>
  <si>
    <r>
      <rPr>
        <sz val="10"/>
        <rFont val="Arial"/>
        <family val="2"/>
      </rPr>
      <t>LOS NEVADOS</t>
    </r>
  </si>
  <si>
    <r>
      <rPr>
        <sz val="10"/>
        <rFont val="Arial"/>
        <family val="2"/>
      </rPr>
      <t>MARIA DE LA C. PALACIOS</t>
    </r>
  </si>
  <si>
    <r>
      <rPr>
        <sz val="10"/>
        <rFont val="Arial"/>
        <family val="2"/>
      </rPr>
      <t>MARIANO PICON SALAS</t>
    </r>
  </si>
  <si>
    <r>
      <rPr>
        <sz val="10"/>
        <rFont val="Arial"/>
        <family val="2"/>
      </rPr>
      <t>MATRIZ</t>
    </r>
  </si>
  <si>
    <r>
      <rPr>
        <sz val="10"/>
        <rFont val="Arial"/>
        <family val="2"/>
      </rPr>
      <t>MESA BOLIVAR</t>
    </r>
  </si>
  <si>
    <r>
      <rPr>
        <sz val="10"/>
        <rFont val="Arial"/>
        <family val="2"/>
      </rPr>
      <t>MESA DE LAS PALMAS</t>
    </r>
  </si>
  <si>
    <r>
      <rPr>
        <sz val="10"/>
        <rFont val="Arial"/>
        <family val="2"/>
      </rPr>
      <t>MESA DE QUINTERO</t>
    </r>
  </si>
  <si>
    <r>
      <rPr>
        <sz val="10"/>
        <rFont val="Arial"/>
        <family val="2"/>
      </rPr>
      <t>MILLA</t>
    </r>
  </si>
  <si>
    <r>
      <rPr>
        <sz val="10"/>
        <rFont val="Arial"/>
        <family val="2"/>
      </rPr>
      <t>MIRANDA (TIMOTES)</t>
    </r>
  </si>
  <si>
    <r>
      <rPr>
        <sz val="10"/>
        <rFont val="Arial"/>
        <family val="2"/>
      </rPr>
      <t>MUCHACHI</t>
    </r>
  </si>
  <si>
    <r>
      <rPr>
        <sz val="10"/>
        <rFont val="Arial"/>
        <family val="2"/>
      </rPr>
      <t>MUCURUBA</t>
    </r>
  </si>
  <si>
    <r>
      <rPr>
        <sz val="10"/>
        <rFont val="Arial"/>
        <family val="2"/>
      </rPr>
      <t>MUCUTUY</t>
    </r>
  </si>
  <si>
    <r>
      <rPr>
        <sz val="10"/>
        <rFont val="Arial"/>
        <family val="2"/>
      </rPr>
      <t>OBISPO RAMOS DE LORA</t>
    </r>
  </si>
  <si>
    <r>
      <rPr>
        <sz val="10"/>
        <rFont val="Arial"/>
        <family val="2"/>
      </rPr>
      <t>OSUNA RODRIGUEZ</t>
    </r>
  </si>
  <si>
    <r>
      <rPr>
        <sz val="10"/>
        <rFont val="Arial"/>
        <family val="2"/>
      </rPr>
      <t>PADRE NOGUERA</t>
    </r>
  </si>
  <si>
    <r>
      <rPr>
        <sz val="10"/>
        <rFont val="Arial"/>
        <family val="2"/>
      </rPr>
      <t>PALMIRA</t>
    </r>
  </si>
  <si>
    <r>
      <rPr>
        <sz val="10"/>
        <rFont val="Arial"/>
        <family val="2"/>
      </rPr>
      <t>PIÑANGO</t>
    </r>
  </si>
  <si>
    <r>
      <rPr>
        <sz val="10"/>
        <rFont val="Arial"/>
        <family val="2"/>
      </rPr>
      <t>PINTO SALIAS</t>
    </r>
  </si>
  <si>
    <r>
      <rPr>
        <sz val="10"/>
        <rFont val="Arial"/>
        <family val="2"/>
      </rPr>
      <t>PRESIDENTE BETANCOURT</t>
    </r>
  </si>
  <si>
    <r>
      <rPr>
        <sz val="10"/>
        <rFont val="Arial"/>
        <family val="2"/>
      </rPr>
      <t>PRESIDENTE GALLEGOS</t>
    </r>
  </si>
  <si>
    <r>
      <rPr>
        <sz val="10"/>
        <rFont val="Arial"/>
        <family val="2"/>
      </rPr>
      <t>PRESIDENTE PAEZ</t>
    </r>
  </si>
  <si>
    <r>
      <rPr>
        <sz val="10"/>
        <rFont val="Arial"/>
        <family val="2"/>
      </rPr>
      <t>PUEBLO LLANO</t>
    </r>
  </si>
  <si>
    <r>
      <rPr>
        <sz val="10"/>
        <rFont val="Arial"/>
        <family val="2"/>
      </rPr>
      <t>PUEBLO NUEVO DEL SUR</t>
    </r>
  </si>
  <si>
    <r>
      <rPr>
        <sz val="10"/>
        <rFont val="Arial"/>
        <family val="2"/>
      </rPr>
      <t>PULIDO MENDEZ</t>
    </r>
  </si>
  <si>
    <r>
      <rPr>
        <sz val="10"/>
        <rFont val="Arial"/>
        <family val="2"/>
      </rPr>
      <t>RANGEL (MUCUCHIES)</t>
    </r>
  </si>
  <si>
    <r>
      <rPr>
        <sz val="10"/>
        <rFont val="Arial"/>
        <family val="2"/>
      </rPr>
      <t>RIO NEGRO</t>
    </r>
  </si>
  <si>
    <r>
      <rPr>
        <sz val="10"/>
        <rFont val="Arial"/>
        <family val="2"/>
      </rPr>
      <t>RIVAS DAVILA</t>
    </r>
  </si>
  <si>
    <r>
      <rPr>
        <sz val="10"/>
        <rFont val="Arial"/>
        <family val="2"/>
      </rPr>
      <t>SAGRARIO</t>
    </r>
  </si>
  <si>
    <r>
      <rPr>
        <sz val="10"/>
        <rFont val="Arial"/>
        <family val="2"/>
      </rPr>
      <t>SAN CRISTOBAL DE TORONDOY</t>
    </r>
  </si>
  <si>
    <r>
      <rPr>
        <sz val="10"/>
        <rFont val="Arial"/>
        <family val="2"/>
      </rPr>
      <t>SAN RAFAEL</t>
    </r>
  </si>
  <si>
    <r>
      <rPr>
        <sz val="10"/>
        <rFont val="Arial"/>
        <family val="2"/>
      </rPr>
      <t>SANTA APOLONIA</t>
    </r>
  </si>
  <si>
    <r>
      <rPr>
        <sz val="10"/>
        <rFont val="Arial"/>
        <family val="2"/>
      </rPr>
      <t>SANTOS MARQUINA</t>
    </r>
  </si>
  <si>
    <r>
      <rPr>
        <sz val="10"/>
        <rFont val="Arial"/>
        <family val="2"/>
      </rPr>
      <t>SUCRE (LAGUNILLAS)</t>
    </r>
  </si>
  <si>
    <r>
      <rPr>
        <sz val="10"/>
        <rFont val="Arial"/>
        <family val="2"/>
      </rPr>
      <t>TORONTO (JURSTO BRICEÑO)</t>
    </r>
  </si>
  <si>
    <r>
      <rPr>
        <sz val="10"/>
        <rFont val="Arial"/>
        <family val="2"/>
      </rPr>
      <t>TOVAR</t>
    </r>
  </si>
  <si>
    <r>
      <rPr>
        <sz val="10"/>
        <rFont val="Arial"/>
        <family val="2"/>
      </rPr>
      <t>TULIO FEBRES CORDERO</t>
    </r>
  </si>
  <si>
    <r>
      <rPr>
        <sz val="10"/>
        <rFont val="Arial"/>
        <family val="2"/>
      </rPr>
      <t>ZEA</t>
    </r>
  </si>
  <si>
    <r>
      <rPr>
        <sz val="10"/>
        <rFont val="Arial"/>
        <family val="2"/>
      </rPr>
      <t>ALTAGRACIA DE LA MONTAÑA</t>
    </r>
  </si>
  <si>
    <r>
      <rPr>
        <sz val="10"/>
        <rFont val="Arial"/>
        <family val="2"/>
      </rPr>
      <t>ARAGUITA</t>
    </r>
  </si>
  <si>
    <r>
      <rPr>
        <sz val="10"/>
        <rFont val="Arial"/>
        <family val="2"/>
      </rPr>
      <t>AREVALO GONZALEZ</t>
    </r>
  </si>
  <si>
    <r>
      <rPr>
        <sz val="10"/>
        <rFont val="Arial"/>
        <family val="2"/>
      </rPr>
      <t>BARUTA</t>
    </r>
  </si>
  <si>
    <r>
      <rPr>
        <sz val="10"/>
        <rFont val="Arial"/>
        <family val="2"/>
      </rPr>
      <t>BUROZ</t>
    </r>
  </si>
  <si>
    <r>
      <rPr>
        <sz val="10"/>
        <rFont val="Arial"/>
        <family val="2"/>
      </rPr>
      <t>CAPAYA</t>
    </r>
  </si>
  <si>
    <r>
      <rPr>
        <sz val="10"/>
        <rFont val="Arial"/>
        <family val="2"/>
      </rPr>
      <t>CARRIZAL</t>
    </r>
  </si>
  <si>
    <r>
      <rPr>
        <sz val="10"/>
        <rFont val="Arial"/>
        <family val="2"/>
      </rPr>
      <t>CARTANAL</t>
    </r>
  </si>
  <si>
    <r>
      <rPr>
        <sz val="10"/>
        <rFont val="Arial"/>
        <family val="2"/>
      </rPr>
      <t>CAUCAGUA</t>
    </r>
  </si>
  <si>
    <r>
      <rPr>
        <sz val="10"/>
        <rFont val="Arial"/>
        <family val="2"/>
      </rPr>
      <t>CAUCAGUITA</t>
    </r>
  </si>
  <si>
    <r>
      <rPr>
        <sz val="10"/>
        <rFont val="Arial"/>
        <family val="2"/>
      </rPr>
      <t>CECILIO ACOSTA</t>
    </r>
  </si>
  <si>
    <r>
      <rPr>
        <sz val="10"/>
        <rFont val="Arial"/>
        <family val="2"/>
      </rPr>
      <t>CHACAO</t>
    </r>
  </si>
  <si>
    <r>
      <rPr>
        <sz val="10"/>
        <rFont val="Arial"/>
        <family val="2"/>
      </rPr>
      <t>CHARAVALLE</t>
    </r>
  </si>
  <si>
    <r>
      <rPr>
        <sz val="10"/>
        <rFont val="Arial"/>
        <family val="2"/>
      </rPr>
      <t>CUA</t>
    </r>
  </si>
  <si>
    <r>
      <rPr>
        <sz val="10"/>
        <rFont val="Arial"/>
        <family val="2"/>
      </rPr>
      <t>CUMBO</t>
    </r>
  </si>
  <si>
    <r>
      <rPr>
        <sz val="10"/>
        <rFont val="Arial"/>
        <family val="2"/>
      </rPr>
      <t>CURIEPE</t>
    </r>
  </si>
  <si>
    <r>
      <rPr>
        <sz val="10"/>
        <rFont val="Arial"/>
        <family val="2"/>
      </rPr>
      <t>EL CAFE</t>
    </r>
  </si>
  <si>
    <r>
      <rPr>
        <sz val="10"/>
        <rFont val="Arial"/>
        <family val="2"/>
      </rPr>
      <t>EL CAFETAL</t>
    </r>
  </si>
  <si>
    <r>
      <rPr>
        <sz val="10"/>
        <rFont val="Arial"/>
        <family val="2"/>
      </rPr>
      <t>EL GUAPO</t>
    </r>
  </si>
  <si>
    <r>
      <rPr>
        <sz val="10"/>
        <rFont val="Arial"/>
        <family val="2"/>
      </rPr>
      <t>EL HATILLO</t>
    </r>
  </si>
  <si>
    <r>
      <rPr>
        <sz val="10"/>
        <rFont val="Arial"/>
        <family val="2"/>
      </rPr>
      <t>EL JARILLO</t>
    </r>
  </si>
  <si>
    <r>
      <rPr>
        <sz val="10"/>
        <rFont val="Arial"/>
        <family val="2"/>
      </rPr>
      <t>FILA DE MARICHES</t>
    </r>
  </si>
  <si>
    <r>
      <rPr>
        <sz val="10"/>
        <rFont val="Arial"/>
        <family val="2"/>
      </rPr>
      <t>GUARENAS</t>
    </r>
  </si>
  <si>
    <r>
      <rPr>
        <sz val="10"/>
        <rFont val="Arial"/>
        <family val="2"/>
      </rPr>
      <t>GUATIRE</t>
    </r>
  </si>
  <si>
    <r>
      <rPr>
        <sz val="10"/>
        <rFont val="Arial"/>
        <family val="2"/>
      </rPr>
      <t>HIGUEROTE</t>
    </r>
  </si>
  <si>
    <r>
      <rPr>
        <sz val="10"/>
        <rFont val="Arial"/>
        <family val="2"/>
      </rPr>
      <t>LA DEMOCRACIA</t>
    </r>
  </si>
  <si>
    <r>
      <rPr>
        <sz val="10"/>
        <rFont val="Arial"/>
        <family val="2"/>
      </rPr>
      <t>LA DOLORITA</t>
    </r>
  </si>
  <si>
    <r>
      <rPr>
        <sz val="10"/>
        <rFont val="Arial"/>
        <family val="2"/>
      </rPr>
      <t>LAGUNA DE TACARIGUA</t>
    </r>
  </si>
  <si>
    <r>
      <rPr>
        <sz val="10"/>
        <rFont val="Arial"/>
        <family val="2"/>
      </rPr>
      <t>LAS BRISAS</t>
    </r>
  </si>
  <si>
    <r>
      <rPr>
        <sz val="10"/>
        <rFont val="Arial"/>
        <family val="2"/>
      </rPr>
      <t>LEONCIO MARTINEZ</t>
    </r>
  </si>
  <si>
    <r>
      <rPr>
        <sz val="10"/>
        <rFont val="Arial"/>
        <family val="2"/>
      </rPr>
      <t>LOS TEQUES</t>
    </r>
  </si>
  <si>
    <r>
      <rPr>
        <sz val="10"/>
        <rFont val="Arial"/>
        <family val="2"/>
      </rPr>
      <t>MARIZAPA</t>
    </r>
  </si>
  <si>
    <r>
      <rPr>
        <sz val="10"/>
        <rFont val="Arial"/>
        <family val="2"/>
      </rPr>
      <t>NUEVA CUA</t>
    </r>
  </si>
  <si>
    <r>
      <rPr>
        <sz val="10"/>
        <rFont val="Arial"/>
        <family val="2"/>
      </rPr>
      <t>OCUMARE DEL TUY</t>
    </r>
  </si>
  <si>
    <r>
      <rPr>
        <sz val="10"/>
        <rFont val="Arial"/>
        <family val="2"/>
      </rPr>
      <t>PANAQUIRE</t>
    </r>
  </si>
  <si>
    <r>
      <rPr>
        <sz val="10"/>
        <rFont val="Arial"/>
        <family val="2"/>
      </rPr>
      <t>PAPARO</t>
    </r>
  </si>
  <si>
    <r>
      <rPr>
        <sz val="10"/>
        <rFont val="Arial"/>
        <family val="2"/>
      </rPr>
      <t>PARACOTOS</t>
    </r>
  </si>
  <si>
    <r>
      <rPr>
        <sz val="10"/>
        <rFont val="Arial"/>
        <family val="2"/>
      </rPr>
      <t>PEDRO GUAL</t>
    </r>
  </si>
  <si>
    <r>
      <rPr>
        <sz val="10"/>
        <rFont val="Arial"/>
        <family val="2"/>
      </rPr>
      <t>PETARE</t>
    </r>
  </si>
  <si>
    <r>
      <rPr>
        <sz val="10"/>
        <rFont val="Arial"/>
        <family val="2"/>
      </rPr>
      <t>REYES CUETA</t>
    </r>
  </si>
  <si>
    <r>
      <rPr>
        <sz val="10"/>
        <rFont val="Arial"/>
        <family val="2"/>
      </rPr>
      <t>RIBAS</t>
    </r>
  </si>
  <si>
    <r>
      <rPr>
        <sz val="10"/>
        <rFont val="Arial"/>
        <family val="2"/>
      </rPr>
      <t>RIO CHICO</t>
    </r>
  </si>
  <si>
    <r>
      <rPr>
        <sz val="10"/>
        <rFont val="Arial"/>
        <family val="2"/>
      </rPr>
      <t>SAN ANTONIO DE YARE</t>
    </r>
  </si>
  <si>
    <r>
      <rPr>
        <sz val="10"/>
        <rFont val="Arial"/>
        <family val="2"/>
      </rPr>
      <t>SAN FRANCISCO DE YARE</t>
    </r>
  </si>
  <si>
    <r>
      <rPr>
        <sz val="10"/>
        <rFont val="Arial"/>
        <family val="2"/>
      </rPr>
      <t>SAN JOSE DE BARLOVENTO</t>
    </r>
  </si>
  <si>
    <r>
      <rPr>
        <sz val="10"/>
        <rFont val="Arial"/>
        <family val="2"/>
      </rPr>
      <t>SAN PEDRO</t>
    </r>
  </si>
  <si>
    <r>
      <rPr>
        <sz val="10"/>
        <rFont val="Arial"/>
        <family val="2"/>
      </rPr>
      <t>TACARIGUA</t>
    </r>
  </si>
  <si>
    <r>
      <rPr>
        <sz val="10"/>
        <rFont val="Arial"/>
        <family val="2"/>
      </rPr>
      <t>TACATA</t>
    </r>
  </si>
  <si>
    <r>
      <rPr>
        <sz val="10"/>
        <rFont val="Arial"/>
        <family val="2"/>
      </rPr>
      <t>AGUASAY</t>
    </r>
  </si>
  <si>
    <r>
      <rPr>
        <sz val="10"/>
        <rFont val="Arial"/>
        <family val="2"/>
      </rPr>
      <t>AREO</t>
    </r>
  </si>
  <si>
    <r>
      <rPr>
        <sz val="10"/>
        <rFont val="Arial"/>
        <family val="2"/>
      </rPr>
      <t>BOQUERON</t>
    </r>
  </si>
  <si>
    <r>
      <rPr>
        <sz val="10"/>
        <rFont val="Arial"/>
        <family val="2"/>
      </rPr>
      <t>BURRANCAS (SOTILLO)</t>
    </r>
  </si>
  <si>
    <r>
      <rPr>
        <sz val="10"/>
        <rFont val="Arial"/>
        <family val="2"/>
      </rPr>
      <t>CARIPE</t>
    </r>
  </si>
  <si>
    <r>
      <rPr>
        <sz val="10"/>
        <rFont val="Arial"/>
        <family val="2"/>
      </rPr>
      <t>CHAGUARAMAL</t>
    </r>
  </si>
  <si>
    <r>
      <rPr>
        <sz val="10"/>
        <rFont val="Arial"/>
        <family val="2"/>
      </rPr>
      <t>COLON</t>
    </r>
  </si>
  <si>
    <r>
      <rPr>
        <sz val="10"/>
        <rFont val="Arial"/>
        <family val="2"/>
      </rPr>
      <t>EL COROZO</t>
    </r>
  </si>
  <si>
    <r>
      <rPr>
        <sz val="10"/>
        <rFont val="Arial"/>
        <family val="2"/>
      </rPr>
      <t>EL GUACHARO</t>
    </r>
  </si>
  <si>
    <r>
      <rPr>
        <sz val="10"/>
        <rFont val="Arial"/>
        <family val="2"/>
      </rPr>
      <t>EL TEJERO</t>
    </r>
  </si>
  <si>
    <r>
      <rPr>
        <sz val="10"/>
        <rFont val="Arial"/>
        <family val="2"/>
      </rPr>
      <t>EZEQUIEL ZAMORA</t>
    </r>
  </si>
  <si>
    <r>
      <rPr>
        <sz val="10"/>
        <rFont val="Arial"/>
        <family val="2"/>
      </rPr>
      <t>GUANAGUANA</t>
    </r>
  </si>
  <si>
    <r>
      <rPr>
        <sz val="10"/>
        <rFont val="Arial"/>
        <family val="2"/>
      </rPr>
      <t>GUANOTO</t>
    </r>
  </si>
  <si>
    <r>
      <rPr>
        <sz val="10"/>
        <rFont val="Arial"/>
        <family val="2"/>
      </rPr>
      <t xml:space="preserve">JOSE TADEO MONAGAS (EL
</t>
    </r>
    <r>
      <rPr>
        <sz val="10"/>
        <rFont val="Arial"/>
        <family val="2"/>
      </rPr>
      <t>FURRIAL)</t>
    </r>
  </si>
  <si>
    <r>
      <rPr>
        <sz val="10"/>
        <rFont val="Arial"/>
        <family val="2"/>
      </rPr>
      <t>LA CRUZ</t>
    </r>
  </si>
  <si>
    <r>
      <rPr>
        <sz val="10"/>
        <rFont val="Arial"/>
        <family val="2"/>
      </rPr>
      <t>LA PICA (ARAGUA)</t>
    </r>
  </si>
  <si>
    <r>
      <rPr>
        <sz val="10"/>
        <rFont val="Arial"/>
        <family val="2"/>
      </rPr>
      <t>LA TOSCANA</t>
    </r>
  </si>
  <si>
    <r>
      <rPr>
        <sz val="10"/>
        <rFont val="Arial"/>
        <family val="2"/>
      </rPr>
      <t>LAS ALHUACAS</t>
    </r>
  </si>
  <si>
    <r>
      <rPr>
        <sz val="10"/>
        <rFont val="Arial"/>
        <family val="2"/>
      </rPr>
      <t>LAS COCUIZAS</t>
    </r>
  </si>
  <si>
    <r>
      <rPr>
        <sz val="10"/>
        <rFont val="Arial"/>
        <family val="2"/>
      </rPr>
      <t>LOS BARRANCOS DE FAJARDO</t>
    </r>
  </si>
  <si>
    <r>
      <rPr>
        <sz val="10"/>
        <rFont val="Arial"/>
        <family val="2"/>
      </rPr>
      <t>LOS GODOS</t>
    </r>
  </si>
  <si>
    <r>
      <rPr>
        <sz val="10"/>
        <rFont val="Arial"/>
        <family val="2"/>
      </rPr>
      <t>PUNCERES</t>
    </r>
  </si>
  <si>
    <r>
      <rPr>
        <sz val="10"/>
        <rFont val="Arial"/>
        <family val="2"/>
      </rPr>
      <t>SABANA DE PIEDRA</t>
    </r>
  </si>
  <si>
    <r>
      <rPr>
        <sz val="10"/>
        <rFont val="Arial"/>
        <family val="2"/>
      </rPr>
      <t>SAN ANTONIO (ACOSTA)</t>
    </r>
  </si>
  <si>
    <r>
      <rPr>
        <sz val="10"/>
        <rFont val="Arial"/>
        <family val="2"/>
      </rPr>
      <t>SAN SIMON (MATURIN)</t>
    </r>
  </si>
  <si>
    <r>
      <rPr>
        <sz val="10"/>
        <rFont val="Arial"/>
        <family val="2"/>
      </rPr>
      <t>SAN VICENTE</t>
    </r>
  </si>
  <si>
    <r>
      <rPr>
        <sz val="10"/>
        <rFont val="Arial"/>
        <family val="2"/>
      </rPr>
      <t>TABASCA</t>
    </r>
  </si>
  <si>
    <r>
      <rPr>
        <sz val="10"/>
        <rFont val="Arial"/>
        <family val="2"/>
      </rPr>
      <t>TAGUAYA</t>
    </r>
  </si>
  <si>
    <r>
      <rPr>
        <sz val="10"/>
        <rFont val="Arial"/>
        <family val="2"/>
      </rPr>
      <t>URACOA</t>
    </r>
  </si>
  <si>
    <r>
      <rPr>
        <sz val="10"/>
        <rFont val="Arial"/>
        <family val="2"/>
      </rPr>
      <t>VIENTO FRESCO</t>
    </r>
  </si>
  <si>
    <r>
      <rPr>
        <sz val="10"/>
        <rFont val="Arial"/>
        <family val="2"/>
      </rPr>
      <t>ADRIAN</t>
    </r>
  </si>
  <si>
    <r>
      <rPr>
        <sz val="10"/>
        <rFont val="Arial"/>
        <family val="2"/>
      </rPr>
      <t>AGUIRRE</t>
    </r>
  </si>
  <si>
    <r>
      <rPr>
        <sz val="10"/>
        <rFont val="Arial"/>
        <family val="2"/>
      </rPr>
      <t>ANTALIA DEL CAMPO</t>
    </r>
  </si>
  <si>
    <r>
      <rPr>
        <sz val="10"/>
        <rFont val="Arial"/>
        <family val="2"/>
      </rPr>
      <t>DIAZ</t>
    </r>
  </si>
  <si>
    <r>
      <rPr>
        <sz val="10"/>
        <rFont val="Arial"/>
        <family val="2"/>
      </rPr>
      <t>GARCIA</t>
    </r>
  </si>
  <si>
    <r>
      <rPr>
        <sz val="10"/>
        <rFont val="Arial"/>
        <family val="2"/>
      </rPr>
      <t>GOMEZ</t>
    </r>
  </si>
  <si>
    <r>
      <rPr>
        <sz val="10"/>
        <rFont val="Arial"/>
        <family val="2"/>
      </rPr>
      <t>GUEVARA</t>
    </r>
  </si>
  <si>
    <r>
      <rPr>
        <sz val="10"/>
        <rFont val="Arial"/>
        <family val="2"/>
      </rPr>
      <t>LOS BARALES</t>
    </r>
  </si>
  <si>
    <r>
      <rPr>
        <sz val="10"/>
        <rFont val="Arial"/>
        <family val="2"/>
      </rPr>
      <t>LUISA CACERES DE ARISMENDI</t>
    </r>
  </si>
  <si>
    <r>
      <rPr>
        <sz val="10"/>
        <rFont val="Arial"/>
        <family val="2"/>
      </rPr>
      <t>MANEIRO</t>
    </r>
  </si>
  <si>
    <r>
      <rPr>
        <sz val="10"/>
        <rFont val="Arial"/>
        <family val="2"/>
      </rPr>
      <t>MARCANO</t>
    </r>
  </si>
  <si>
    <r>
      <rPr>
        <sz val="10"/>
        <rFont val="Arial"/>
        <family val="2"/>
      </rPr>
      <t>MARIÑO</t>
    </r>
  </si>
  <si>
    <r>
      <rPr>
        <sz val="10"/>
        <rFont val="Arial"/>
        <family val="2"/>
      </rPr>
      <t>MATASIETE</t>
    </r>
  </si>
  <si>
    <r>
      <rPr>
        <sz val="10"/>
        <rFont val="Arial"/>
        <family val="2"/>
      </rPr>
      <t>PENINSULA MARCANO</t>
    </r>
  </si>
  <si>
    <r>
      <rPr>
        <sz val="10"/>
        <rFont val="Arial"/>
        <family val="2"/>
      </rPr>
      <t>SAN FRANCISCO FAJARDO</t>
    </r>
  </si>
  <si>
    <r>
      <rPr>
        <sz val="10"/>
        <rFont val="Arial"/>
        <family val="2"/>
      </rPr>
      <t>TUBARES</t>
    </r>
  </si>
  <si>
    <r>
      <rPr>
        <sz val="10"/>
        <rFont val="Arial"/>
        <family val="2"/>
      </rPr>
      <t>VICENTE FUENTES</t>
    </r>
  </si>
  <si>
    <r>
      <rPr>
        <sz val="10"/>
        <rFont val="Arial"/>
        <family val="2"/>
      </rPr>
      <t>VILLALBA</t>
    </r>
  </si>
  <si>
    <r>
      <rPr>
        <sz val="10"/>
        <rFont val="Arial"/>
        <family val="2"/>
      </rPr>
      <t>ZABALA</t>
    </r>
  </si>
  <si>
    <r>
      <rPr>
        <sz val="10"/>
        <rFont val="Arial"/>
        <family val="2"/>
      </rPr>
      <t>ACARIGUA (PAEZ)</t>
    </r>
  </si>
  <si>
    <r>
      <rPr>
        <sz val="10"/>
        <rFont val="Arial"/>
        <family val="2"/>
      </rPr>
      <t>AGUA BLANCA</t>
    </r>
  </si>
  <si>
    <r>
      <rPr>
        <sz val="10"/>
        <rFont val="Arial"/>
        <family val="2"/>
      </rPr>
      <t>ANTOLIN TOVAR</t>
    </r>
  </si>
  <si>
    <r>
      <rPr>
        <sz val="10"/>
        <rFont val="Arial"/>
        <family val="2"/>
      </rPr>
      <t>APARICION</t>
    </r>
  </si>
  <si>
    <r>
      <rPr>
        <sz val="10"/>
        <rFont val="Arial"/>
        <family val="2"/>
      </rPr>
      <t>ARAURE</t>
    </r>
  </si>
  <si>
    <r>
      <rPr>
        <sz val="10"/>
        <rFont val="Arial"/>
        <family val="2"/>
      </rPr>
      <t>BISCUCUY</t>
    </r>
  </si>
  <si>
    <r>
      <rPr>
        <sz val="10"/>
        <rFont val="Arial"/>
        <family val="2"/>
      </rPr>
      <t>CANELONES</t>
    </r>
  </si>
  <si>
    <r>
      <rPr>
        <sz val="10"/>
        <rFont val="Arial"/>
        <family val="2"/>
      </rPr>
      <t>CAÑO DELGADITO</t>
    </r>
  </si>
  <si>
    <r>
      <rPr>
        <sz val="10"/>
        <rFont val="Arial"/>
        <family val="2"/>
      </rPr>
      <t>CORDOVA</t>
    </r>
  </si>
  <si>
    <r>
      <rPr>
        <sz val="10"/>
        <rFont val="Arial"/>
        <family val="2"/>
      </rPr>
      <t>GUANARE</t>
    </r>
  </si>
  <si>
    <r>
      <rPr>
        <sz val="10"/>
        <rFont val="Arial"/>
        <family val="2"/>
      </rPr>
      <t>GUANARITO</t>
    </r>
  </si>
  <si>
    <r>
      <rPr>
        <sz val="10"/>
        <rFont val="Arial"/>
        <family val="2"/>
      </rPr>
      <t>NUEVA FLORIDA</t>
    </r>
  </si>
  <si>
    <r>
      <rPr>
        <sz val="10"/>
        <rFont val="Arial"/>
        <family val="2"/>
      </rPr>
      <t>OSPINO</t>
    </r>
  </si>
  <si>
    <r>
      <rPr>
        <sz val="10"/>
        <rFont val="Arial"/>
        <family val="2"/>
      </rPr>
      <t>PAPELON</t>
    </r>
  </si>
  <si>
    <r>
      <rPr>
        <sz val="10"/>
        <rFont val="Arial"/>
        <family val="2"/>
      </rPr>
      <t>PARAISO</t>
    </r>
  </si>
  <si>
    <r>
      <rPr>
        <sz val="10"/>
        <rFont val="Arial"/>
        <family val="2"/>
      </rPr>
      <t>PAYARA</t>
    </r>
  </si>
  <si>
    <r>
      <rPr>
        <sz val="10"/>
        <rFont val="Arial"/>
        <family val="2"/>
      </rPr>
      <t>PIMPINELA</t>
    </r>
  </si>
  <si>
    <r>
      <rPr>
        <sz val="10"/>
        <rFont val="Arial"/>
        <family val="2"/>
      </rPr>
      <t>PIRITU (STELLER)</t>
    </r>
  </si>
  <si>
    <r>
      <rPr>
        <sz val="10"/>
        <rFont val="Arial"/>
        <family val="2"/>
      </rPr>
      <t>RIO ACARIGUA</t>
    </r>
  </si>
  <si>
    <r>
      <rPr>
        <sz val="10"/>
        <rFont val="Arial"/>
        <family val="2"/>
      </rPr>
      <t>SAN  JUAN GUANAGUANARE</t>
    </r>
  </si>
  <si>
    <r>
      <rPr>
        <sz val="10"/>
        <rFont val="Arial"/>
        <family val="2"/>
      </rPr>
      <t>SAN GENARO</t>
    </r>
  </si>
  <si>
    <r>
      <rPr>
        <sz val="10"/>
        <rFont val="Arial"/>
        <family val="2"/>
      </rPr>
      <t>SAN ISIDRO LABRADOR</t>
    </r>
  </si>
  <si>
    <r>
      <rPr>
        <sz val="10"/>
        <rFont val="Arial"/>
        <family val="2"/>
      </rPr>
      <t>SAN JOSE DE LA MONTAÑA</t>
    </r>
  </si>
  <si>
    <r>
      <rPr>
        <sz val="10"/>
        <rFont val="Arial"/>
        <family val="2"/>
      </rPr>
      <t>SAN RAFAEL DE ONOTO</t>
    </r>
  </si>
  <si>
    <r>
      <rPr>
        <sz val="10"/>
        <rFont val="Arial"/>
        <family val="2"/>
      </rPr>
      <t>SAN RAFAEL DE PALO ALZADO</t>
    </r>
  </si>
  <si>
    <r>
      <rPr>
        <sz val="10"/>
        <rFont val="Arial"/>
        <family val="2"/>
      </rPr>
      <t>UBENCIO ANTONIO VELASQUEZ</t>
    </r>
  </si>
  <si>
    <r>
      <rPr>
        <sz val="10"/>
        <rFont val="Arial"/>
        <family val="2"/>
      </rPr>
      <t>UVERAL</t>
    </r>
  </si>
  <si>
    <r>
      <rPr>
        <sz val="10"/>
        <rFont val="Arial"/>
        <family val="2"/>
      </rPr>
      <t>VILLA BRUZUAL</t>
    </r>
  </si>
  <si>
    <r>
      <rPr>
        <sz val="10"/>
        <rFont val="Arial"/>
        <family val="2"/>
      </rPr>
      <t>VIRGEN DE LA COROMOTO</t>
    </r>
  </si>
  <si>
    <r>
      <rPr>
        <sz val="10"/>
        <rFont val="Arial"/>
        <family val="2"/>
      </rPr>
      <t>ARAYA (CRUZ SALMERON</t>
    </r>
  </si>
  <si>
    <r>
      <rPr>
        <sz val="10"/>
        <rFont val="Arial"/>
        <family val="2"/>
      </rPr>
      <t>ARENAS</t>
    </r>
  </si>
  <si>
    <r>
      <rPr>
        <sz val="10"/>
        <rFont val="Arial"/>
        <family val="2"/>
      </rPr>
      <t>AYACUCHO</t>
    </r>
  </si>
  <si>
    <r>
      <rPr>
        <sz val="10"/>
        <rFont val="Arial"/>
        <family val="2"/>
      </rPr>
      <t>BIDEAU</t>
    </r>
  </si>
  <si>
    <r>
      <rPr>
        <sz val="10"/>
        <rFont val="Arial"/>
        <family val="2"/>
      </rPr>
      <t>CAMPO CLARO</t>
    </r>
  </si>
  <si>
    <r>
      <rPr>
        <sz val="10"/>
        <rFont val="Arial"/>
        <family val="2"/>
      </rPr>
      <t>CAMPO ELIAS</t>
    </r>
  </si>
  <si>
    <r>
      <rPr>
        <sz val="10"/>
        <rFont val="Arial"/>
        <family val="2"/>
      </rPr>
      <t>CARIACO</t>
    </r>
  </si>
  <si>
    <r>
      <rPr>
        <sz val="10"/>
        <rFont val="Arial"/>
        <family val="2"/>
      </rPr>
      <t>CATUARO</t>
    </r>
  </si>
  <si>
    <r>
      <rPr>
        <sz val="10"/>
        <rFont val="Arial"/>
        <family val="2"/>
      </rPr>
      <t>CHACOPATA</t>
    </r>
  </si>
  <si>
    <r>
      <rPr>
        <sz val="10"/>
        <rFont val="Arial"/>
        <family val="2"/>
      </rPr>
      <t>COCOYAR</t>
    </r>
  </si>
  <si>
    <r>
      <rPr>
        <sz val="10"/>
        <rFont val="Arial"/>
        <family val="2"/>
      </rPr>
      <t>CUMANACOA (MONTES)</t>
    </r>
  </si>
  <si>
    <r>
      <rPr>
        <sz val="10"/>
        <rFont val="Arial"/>
        <family val="2"/>
      </rPr>
      <t>EL MORRO DE PUERTO SANTO</t>
    </r>
  </si>
  <si>
    <r>
      <rPr>
        <sz val="10"/>
        <rFont val="Arial"/>
        <family val="2"/>
      </rPr>
      <t>EL PAUJIL</t>
    </r>
  </si>
  <si>
    <r>
      <rPr>
        <sz val="10"/>
        <rFont val="Arial"/>
        <family val="2"/>
      </rPr>
      <t>EL PILAR (BENITEZ)</t>
    </r>
  </si>
  <si>
    <r>
      <rPr>
        <sz val="10"/>
        <rFont val="Arial"/>
        <family val="2"/>
      </rPr>
      <t>EL RINCON</t>
    </r>
  </si>
  <si>
    <r>
      <rPr>
        <sz val="10"/>
        <rFont val="Arial"/>
        <family val="2"/>
      </rPr>
      <t xml:space="preserve">GENERAL FRANCISCO ANTONIO
</t>
    </r>
    <r>
      <rPr>
        <sz val="10"/>
        <rFont val="Arial"/>
        <family val="2"/>
      </rPr>
      <t>VASQUEZ</t>
    </r>
  </si>
  <si>
    <r>
      <rPr>
        <sz val="10"/>
        <rFont val="Arial"/>
        <family val="2"/>
      </rPr>
      <t>GUARAUNOS</t>
    </r>
  </si>
  <si>
    <r>
      <rPr>
        <sz val="10"/>
        <rFont val="Arial"/>
        <family val="2"/>
      </rPr>
      <t>GUIRIA (VALDEZ)</t>
    </r>
  </si>
  <si>
    <r>
      <rPr>
        <sz val="10"/>
        <rFont val="Arial"/>
        <family val="2"/>
      </rPr>
      <t>IRAPA</t>
    </r>
  </si>
  <si>
    <r>
      <rPr>
        <sz val="10"/>
        <rFont val="Arial"/>
        <family val="2"/>
      </rPr>
      <t>MACARAPANA</t>
    </r>
  </si>
  <si>
    <r>
      <rPr>
        <sz val="10"/>
        <rFont val="Arial"/>
        <family val="2"/>
      </rPr>
      <t>MANICUARE</t>
    </r>
  </si>
  <si>
    <r>
      <rPr>
        <sz val="10"/>
        <rFont val="Arial"/>
        <family val="2"/>
      </rPr>
      <t>MARABAL</t>
    </r>
  </si>
  <si>
    <r>
      <rPr>
        <sz val="10"/>
        <rFont val="Arial"/>
        <family val="2"/>
      </rPr>
      <t>MARIGUITAR</t>
    </r>
  </si>
  <si>
    <r>
      <rPr>
        <sz val="10"/>
        <rFont val="Arial"/>
        <family val="2"/>
      </rPr>
      <t>MARIÑO (ANDRES ELOY</t>
    </r>
  </si>
  <si>
    <r>
      <rPr>
        <sz val="10"/>
        <rFont val="Arial"/>
        <family val="2"/>
      </rPr>
      <t>PUERTO SANTO</t>
    </r>
  </si>
  <si>
    <r>
      <rPr>
        <sz val="10"/>
        <rFont val="Arial"/>
        <family val="2"/>
      </rPr>
      <t>PUNTA DE PIEDRA</t>
    </r>
  </si>
  <si>
    <r>
      <rPr>
        <sz val="10"/>
        <rFont val="Arial"/>
        <family val="2"/>
      </rPr>
      <t>RIO CARIBE (ARISMENDI)</t>
    </r>
  </si>
  <si>
    <r>
      <rPr>
        <sz val="10"/>
        <rFont val="Arial"/>
        <family val="2"/>
      </rPr>
      <t>SAN  JUAN DE LAS GOLDONAS</t>
    </r>
  </si>
  <si>
    <r>
      <rPr>
        <sz val="10"/>
        <rFont val="Arial"/>
        <family val="2"/>
      </rPr>
      <t>SAN ANTONIO DE IRAPA</t>
    </r>
  </si>
  <si>
    <r>
      <rPr>
        <sz val="10"/>
        <rFont val="Arial"/>
        <family val="2"/>
      </rPr>
      <t>SAN ANTONIO DEL GOLFO</t>
    </r>
  </si>
  <si>
    <r>
      <rPr>
        <sz val="10"/>
        <rFont val="Arial"/>
        <family val="2"/>
      </rPr>
      <t>SAN JOSE DE AREOCUAR</t>
    </r>
  </si>
  <si>
    <r>
      <rPr>
        <sz val="10"/>
        <rFont val="Arial"/>
        <family val="2"/>
      </rPr>
      <t>SAN JUAN DE MACARAPANA</t>
    </r>
  </si>
  <si>
    <r>
      <rPr>
        <sz val="10"/>
        <rFont val="Arial"/>
        <family val="2"/>
      </rPr>
      <t>SAN LORENZO</t>
    </r>
  </si>
  <si>
    <r>
      <rPr>
        <sz val="10"/>
        <rFont val="Arial"/>
        <family val="2"/>
      </rPr>
      <t>SANTA FE</t>
    </r>
  </si>
  <si>
    <r>
      <rPr>
        <sz val="10"/>
        <rFont val="Arial"/>
        <family val="2"/>
      </rPr>
      <t>SORO</t>
    </r>
  </si>
  <si>
    <r>
      <rPr>
        <sz val="10"/>
        <rFont val="Arial"/>
        <family val="2"/>
      </rPr>
      <t>STA. CRUZ DE CARIACO</t>
    </r>
  </si>
  <si>
    <r>
      <rPr>
        <sz val="10"/>
        <rFont val="Arial"/>
        <family val="2"/>
      </rPr>
      <t>STA. MARIA DE CARIACO</t>
    </r>
  </si>
  <si>
    <r>
      <rPr>
        <sz val="10"/>
        <rFont val="Arial"/>
        <family val="2"/>
      </rPr>
      <t>SUCRE (SAN JUAN DE UNARE)</t>
    </r>
  </si>
  <si>
    <r>
      <rPr>
        <sz val="10"/>
        <rFont val="Arial"/>
        <family val="2"/>
      </rPr>
      <t>TAVERA ACOSTA</t>
    </r>
  </si>
  <si>
    <r>
      <rPr>
        <sz val="10"/>
        <rFont val="Arial"/>
        <family val="2"/>
      </rPr>
      <t>TUNAPUICITO</t>
    </r>
  </si>
  <si>
    <r>
      <rPr>
        <sz val="10"/>
        <rFont val="Arial"/>
        <family val="2"/>
      </rPr>
      <t>TUNAPUY</t>
    </r>
  </si>
  <si>
    <r>
      <rPr>
        <sz val="10"/>
        <rFont val="Arial"/>
        <family val="2"/>
      </rPr>
      <t>VALENTIN VALIENTE</t>
    </r>
  </si>
  <si>
    <r>
      <rPr>
        <sz val="10"/>
        <rFont val="Arial"/>
        <family val="2"/>
      </rPr>
      <t>YAGUARAPARO (CAJIGAL)</t>
    </r>
  </si>
  <si>
    <r>
      <rPr>
        <b/>
        <sz val="8.5"/>
        <rFont val="Arial"/>
        <family val="2"/>
      </rPr>
      <t>TACHIRA</t>
    </r>
  </si>
  <si>
    <r>
      <rPr>
        <sz val="10"/>
        <rFont val="Arial"/>
        <family val="2"/>
      </rPr>
      <t>ANTONIO ROMULO ACOSTA</t>
    </r>
  </si>
  <si>
    <r>
      <rPr>
        <sz val="10"/>
        <rFont val="Arial"/>
        <family val="2"/>
      </rPr>
      <t>AYACUCHO (SAN JUAN DE</t>
    </r>
  </si>
  <si>
    <r>
      <rPr>
        <sz val="10"/>
        <rFont val="Arial"/>
        <family val="2"/>
      </rPr>
      <t>BOCA DE GRITA</t>
    </r>
  </si>
  <si>
    <r>
      <rPr>
        <sz val="10"/>
        <rFont val="Arial"/>
        <family val="2"/>
      </rPr>
      <t>BOCONO</t>
    </r>
  </si>
  <si>
    <r>
      <rPr>
        <sz val="10"/>
        <rFont val="Arial"/>
        <family val="2"/>
      </rPr>
      <t xml:space="preserve">BOLIVAR (SAN ANTONIO DEL
</t>
    </r>
    <r>
      <rPr>
        <sz val="10"/>
        <rFont val="Arial"/>
        <family val="2"/>
      </rPr>
      <t>TACHIRA)</t>
    </r>
  </si>
  <si>
    <r>
      <rPr>
        <sz val="10"/>
        <rFont val="Arial"/>
        <family val="2"/>
      </rPr>
      <t>BRAMON</t>
    </r>
  </si>
  <si>
    <r>
      <rPr>
        <sz val="10"/>
        <rFont val="Arial"/>
        <family val="2"/>
      </rPr>
      <t>CARDENAS</t>
    </r>
  </si>
  <si>
    <r>
      <rPr>
        <sz val="10"/>
        <rFont val="Arial"/>
        <family val="2"/>
      </rPr>
      <t>CARDENAS (TARIBA)</t>
    </r>
  </si>
  <si>
    <r>
      <rPr>
        <sz val="10"/>
        <rFont val="Arial"/>
        <family val="2"/>
      </rPr>
      <t>CONSTITUCION</t>
    </r>
  </si>
  <si>
    <r>
      <rPr>
        <sz val="10"/>
        <rFont val="Arial"/>
        <family val="2"/>
      </rPr>
      <t>CORDOBA (MOSEÑOR BERNABE</t>
    </r>
  </si>
  <si>
    <r>
      <rPr>
        <sz val="10"/>
        <rFont val="Arial"/>
        <family val="2"/>
      </rPr>
      <t>DELICIAS</t>
    </r>
  </si>
  <si>
    <r>
      <rPr>
        <sz val="10"/>
        <rFont val="Arial"/>
        <family val="2"/>
      </rPr>
      <t>DORADAS</t>
    </r>
  </si>
  <si>
    <r>
      <rPr>
        <sz val="10"/>
        <rFont val="Arial"/>
        <family val="2"/>
      </rPr>
      <t>EL PALOTAL</t>
    </r>
  </si>
  <si>
    <r>
      <rPr>
        <sz val="10"/>
        <rFont val="Arial"/>
        <family val="2"/>
      </rPr>
      <t>EMILIO CONSTANTINO</t>
    </r>
  </si>
  <si>
    <r>
      <rPr>
        <sz val="10"/>
        <rFont val="Arial"/>
        <family val="2"/>
      </rPr>
      <t>GARCIA DE HEVIA</t>
    </r>
  </si>
  <si>
    <r>
      <rPr>
        <sz val="10"/>
        <rFont val="Arial"/>
        <family val="2"/>
      </rPr>
      <t>GUASIMOS (PALMIRA)</t>
    </r>
  </si>
  <si>
    <r>
      <rPr>
        <sz val="10"/>
        <rFont val="Arial"/>
        <family val="2"/>
      </rPr>
      <t>HERNANDEZ</t>
    </r>
  </si>
  <si>
    <r>
      <rPr>
        <sz val="10"/>
        <rFont val="Arial"/>
        <family val="2"/>
      </rPr>
      <t>INDEPENDENCIA (CAPACHO)</t>
    </r>
  </si>
  <si>
    <r>
      <rPr>
        <sz val="10"/>
        <rFont val="Arial"/>
        <family val="2"/>
      </rPr>
      <t>JAUREGUI (LA GRITA)</t>
    </r>
  </si>
  <si>
    <r>
      <rPr>
        <sz val="10"/>
        <rFont val="Arial"/>
        <family val="2"/>
      </rPr>
      <t>JOSE ANTONIO PAEZ</t>
    </r>
  </si>
  <si>
    <r>
      <rPr>
        <sz val="10"/>
        <rFont val="Arial"/>
        <family val="2"/>
      </rPr>
      <t>JOSE LUCIO BERERRA</t>
    </r>
  </si>
  <si>
    <r>
      <rPr>
        <sz val="10"/>
        <rFont val="Arial"/>
        <family val="2"/>
      </rPr>
      <t>JUNIN (RUBIO)</t>
    </r>
  </si>
  <si>
    <r>
      <rPr>
        <sz val="10"/>
        <rFont val="Arial"/>
        <family val="2"/>
      </rPr>
      <t>LA CONCORDIA</t>
    </r>
  </si>
  <si>
    <r>
      <rPr>
        <sz val="10"/>
        <rFont val="Arial"/>
        <family val="2"/>
      </rPr>
      <t>LA FLORIDA</t>
    </r>
  </si>
  <si>
    <r>
      <rPr>
        <sz val="10"/>
        <rFont val="Arial"/>
        <family val="2"/>
      </rPr>
      <t>LA PALMITA</t>
    </r>
  </si>
  <si>
    <r>
      <rPr>
        <sz val="10"/>
        <rFont val="Arial"/>
        <family val="2"/>
      </rPr>
      <t xml:space="preserve">LIBERTADOR (SAN ANTONIO DE
</t>
    </r>
    <r>
      <rPr>
        <sz val="10"/>
        <rFont val="Arial"/>
        <family val="2"/>
      </rPr>
      <t>CAPARO)</t>
    </r>
  </si>
  <si>
    <r>
      <rPr>
        <sz val="10"/>
        <rFont val="Arial"/>
        <family val="2"/>
      </rPr>
      <t>LOBATERA</t>
    </r>
  </si>
  <si>
    <r>
      <rPr>
        <sz val="10"/>
        <rFont val="Arial"/>
        <family val="2"/>
      </rPr>
      <t xml:space="preserve">MICHELENA (JOSE ARMANDO
</t>
    </r>
    <r>
      <rPr>
        <sz val="10"/>
        <rFont val="Arial"/>
        <family val="2"/>
      </rPr>
      <t>PEREZ)</t>
    </r>
  </si>
  <si>
    <r>
      <rPr>
        <sz val="10"/>
        <rFont val="Arial"/>
        <family val="2"/>
      </rPr>
      <t>MONSEÑOR FERNANDEZ FEO</t>
    </r>
  </si>
  <si>
    <r>
      <rPr>
        <sz val="10"/>
        <rFont val="Arial"/>
        <family val="2"/>
      </rPr>
      <t>NUEVA ARCADIA</t>
    </r>
  </si>
  <si>
    <r>
      <rPr>
        <sz val="10"/>
        <rFont val="Arial"/>
        <family val="2"/>
      </rPr>
      <t xml:space="preserve">PANAMERICANO (JOSE
</t>
    </r>
    <r>
      <rPr>
        <sz val="10"/>
        <rFont val="Arial"/>
        <family val="2"/>
      </rPr>
      <t>TRINIDAD COLMENARES)</t>
    </r>
  </si>
  <si>
    <r>
      <rPr>
        <sz val="10"/>
        <rFont val="Arial"/>
        <family val="2"/>
      </rPr>
      <t>PEDRO M. MORANTES</t>
    </r>
  </si>
  <si>
    <r>
      <rPr>
        <sz val="10"/>
        <rFont val="Arial"/>
        <family val="2"/>
      </rPr>
      <t xml:space="preserve">PEDRO MARIA UREÑA (SAN
</t>
    </r>
    <r>
      <rPr>
        <sz val="10"/>
        <rFont val="Arial"/>
        <family val="2"/>
      </rPr>
      <t>JUAN DE UREÑA)</t>
    </r>
  </si>
  <si>
    <r>
      <rPr>
        <sz val="10"/>
        <rFont val="Arial"/>
        <family val="2"/>
      </rPr>
      <t>POTOSI</t>
    </r>
  </si>
  <si>
    <r>
      <rPr>
        <sz val="10"/>
        <rFont val="Arial"/>
        <family val="2"/>
      </rPr>
      <t>QUINIQUEA (SUCRE)</t>
    </r>
  </si>
  <si>
    <r>
      <rPr>
        <sz val="10"/>
        <rFont val="Arial"/>
        <family val="2"/>
      </rPr>
      <t>RIVAS VERTI</t>
    </r>
  </si>
  <si>
    <r>
      <rPr>
        <sz val="10"/>
        <rFont val="Arial"/>
        <family val="2"/>
      </rPr>
      <t>SAMUEL DE MALDONADO</t>
    </r>
  </si>
  <si>
    <r>
      <rPr>
        <sz val="10"/>
        <rFont val="Arial"/>
        <family val="2"/>
      </rPr>
      <t>SAN JOAQUIN DE NAVAY</t>
    </r>
  </si>
  <si>
    <r>
      <rPr>
        <sz val="10"/>
        <rFont val="Arial"/>
        <family val="2"/>
      </rPr>
      <t>SAN JOSE DE BOLIVAR</t>
    </r>
  </si>
  <si>
    <r>
      <rPr>
        <sz val="10"/>
        <rFont val="Arial"/>
        <family val="2"/>
      </rPr>
      <t>SAN JUAN BAUTISTA</t>
    </r>
  </si>
  <si>
    <r>
      <rPr>
        <sz val="10"/>
        <rFont val="Arial"/>
        <family val="2"/>
      </rPr>
      <t>SAN PEDRO DE RIO</t>
    </r>
  </si>
  <si>
    <r>
      <rPr>
        <sz val="10"/>
        <rFont val="Arial"/>
        <family val="2"/>
      </rPr>
      <t>SAN SIMON</t>
    </r>
  </si>
  <si>
    <r>
      <rPr>
        <sz val="10"/>
        <rFont val="Arial"/>
        <family val="2"/>
      </rPr>
      <t>SANTO DOMINGO</t>
    </r>
  </si>
  <si>
    <r>
      <rPr>
        <sz val="10"/>
        <rFont val="Arial"/>
        <family val="2"/>
      </rPr>
      <t>SEBORUCO</t>
    </r>
  </si>
  <si>
    <r>
      <rPr>
        <sz val="10"/>
        <rFont val="Arial"/>
        <family val="2"/>
      </rPr>
      <t>TORBES</t>
    </r>
  </si>
  <si>
    <r>
      <rPr>
        <sz val="10"/>
        <rFont val="Arial"/>
        <family val="2"/>
      </rPr>
      <t>UMUQUENA (SAN JUDAS</t>
    </r>
  </si>
  <si>
    <r>
      <rPr>
        <sz val="10"/>
        <rFont val="Arial"/>
        <family val="2"/>
      </rPr>
      <t>URIBANTE (PREGONERO)</t>
    </r>
  </si>
  <si>
    <r>
      <rPr>
        <sz val="10"/>
        <rFont val="Arial"/>
        <family val="2"/>
      </rPr>
      <t>VARGAS</t>
    </r>
  </si>
  <si>
    <r>
      <rPr>
        <sz val="10"/>
        <rFont val="Arial"/>
        <family val="2"/>
      </rPr>
      <t>CASACOIMA</t>
    </r>
  </si>
  <si>
    <r>
      <rPr>
        <sz val="10"/>
        <rFont val="Arial"/>
        <family val="2"/>
      </rPr>
      <t>PEDERNALES</t>
    </r>
  </si>
  <si>
    <r>
      <rPr>
        <sz val="10"/>
        <rFont val="Arial"/>
        <family val="2"/>
      </rPr>
      <t>TUCUPITA</t>
    </r>
  </si>
  <si>
    <r>
      <rPr>
        <sz val="10"/>
        <rFont val="Arial"/>
        <family val="2"/>
      </rPr>
      <t>ALTO ORINOCO</t>
    </r>
  </si>
  <si>
    <r>
      <rPr>
        <sz val="10"/>
        <rFont val="Arial"/>
        <family val="2"/>
      </rPr>
      <t>ATABAPO</t>
    </r>
  </si>
  <si>
    <r>
      <rPr>
        <sz val="10"/>
        <rFont val="Arial"/>
        <family val="2"/>
      </rPr>
      <t>ATURES</t>
    </r>
  </si>
  <si>
    <r>
      <rPr>
        <sz val="10"/>
        <rFont val="Arial"/>
        <family val="2"/>
      </rPr>
      <t>CASIQUIARE</t>
    </r>
  </si>
  <si>
    <r>
      <rPr>
        <sz val="10"/>
        <rFont val="Arial"/>
        <family val="2"/>
      </rPr>
      <t>GUAINIA</t>
    </r>
  </si>
  <si>
    <r>
      <rPr>
        <sz val="10"/>
        <rFont val="Arial"/>
        <family val="2"/>
      </rPr>
      <t>AGUA SANTA</t>
    </r>
  </si>
  <si>
    <r>
      <rPr>
        <sz val="10"/>
        <rFont val="Arial"/>
        <family val="2"/>
      </rPr>
      <t>ANDRES LINARES</t>
    </r>
  </si>
  <si>
    <r>
      <rPr>
        <sz val="10"/>
        <rFont val="Arial"/>
        <family val="2"/>
      </rPr>
      <t>ANTONIO NICOLAS BRICEÑO</t>
    </r>
  </si>
  <si>
    <r>
      <rPr>
        <sz val="10"/>
        <rFont val="Arial"/>
        <family val="2"/>
      </rPr>
      <t>BETIJOQUE</t>
    </r>
  </si>
  <si>
    <r>
      <rPr>
        <sz val="10"/>
        <rFont val="Arial"/>
        <family val="2"/>
      </rPr>
      <t>BOLIVIA</t>
    </r>
  </si>
  <si>
    <r>
      <rPr>
        <sz val="10"/>
        <rFont val="Arial"/>
        <family val="2"/>
      </rPr>
      <t>BURBUSAY</t>
    </r>
  </si>
  <si>
    <r>
      <rPr>
        <sz val="10"/>
        <rFont val="Arial"/>
        <family val="2"/>
      </rPr>
      <t>CABIMBU</t>
    </r>
  </si>
  <si>
    <r>
      <rPr>
        <sz val="10"/>
        <rFont val="Arial"/>
        <family val="2"/>
      </rPr>
      <t>CARACHE</t>
    </r>
  </si>
  <si>
    <r>
      <rPr>
        <sz val="10"/>
        <rFont val="Arial"/>
        <family val="2"/>
      </rPr>
      <t>CARRILLO</t>
    </r>
  </si>
  <si>
    <r>
      <rPr>
        <sz val="10"/>
        <rFont val="Arial"/>
        <family val="2"/>
      </rPr>
      <t>CEGARRA</t>
    </r>
  </si>
  <si>
    <r>
      <rPr>
        <sz val="10"/>
        <rFont val="Arial"/>
        <family val="2"/>
      </rPr>
      <t>CHEJENDE (CANDELARIA)</t>
    </r>
  </si>
  <si>
    <r>
      <rPr>
        <sz val="10"/>
        <rFont val="Arial"/>
        <family val="2"/>
      </rPr>
      <t>CRISTOBAL DE MENDOZA</t>
    </r>
  </si>
  <si>
    <r>
      <rPr>
        <sz val="10"/>
        <rFont val="Arial"/>
        <family val="2"/>
      </rPr>
      <t>CRUZ CARRILLO</t>
    </r>
  </si>
  <si>
    <r>
      <rPr>
        <sz val="10"/>
        <rFont val="Arial"/>
        <family val="2"/>
      </rPr>
      <t>CUICAS</t>
    </r>
  </si>
  <si>
    <r>
      <rPr>
        <sz val="10"/>
        <rFont val="Arial"/>
        <family val="2"/>
      </rPr>
      <t>DIVIDIVE (MIRANDA)</t>
    </r>
  </si>
  <si>
    <r>
      <rPr>
        <sz val="10"/>
        <rFont val="Arial"/>
        <family val="2"/>
      </rPr>
      <t>EL BAÑO</t>
    </r>
  </si>
  <si>
    <r>
      <rPr>
        <sz val="10"/>
        <rFont val="Arial"/>
        <family val="2"/>
      </rPr>
      <t>EL CENIZO</t>
    </r>
  </si>
  <si>
    <r>
      <rPr>
        <sz val="10"/>
        <rFont val="Arial"/>
        <family val="2"/>
      </rPr>
      <t>ESCUQUE</t>
    </r>
  </si>
  <si>
    <r>
      <rPr>
        <sz val="10"/>
        <rFont val="Arial"/>
        <family val="2"/>
      </rPr>
      <t>FLOR DE PATRIA</t>
    </r>
  </si>
  <si>
    <r>
      <rPr>
        <sz val="10"/>
        <rFont val="Arial"/>
        <family val="2"/>
      </rPr>
      <t>GENERAL RIVAS</t>
    </r>
  </si>
  <si>
    <r>
      <rPr>
        <sz val="10"/>
        <rFont val="Arial"/>
        <family val="2"/>
      </rPr>
      <t>GUARAMACAL</t>
    </r>
  </si>
  <si>
    <r>
      <rPr>
        <sz val="10"/>
        <rFont val="Arial"/>
        <family val="2"/>
      </rPr>
      <t>JAJO</t>
    </r>
  </si>
  <si>
    <r>
      <rPr>
        <sz val="10"/>
        <rFont val="Arial"/>
        <family val="2"/>
      </rPr>
      <t>JALISCO</t>
    </r>
  </si>
  <si>
    <r>
      <rPr>
        <sz val="10"/>
        <rFont val="Arial"/>
        <family val="2"/>
      </rPr>
      <t>JOSE F. MARQUES C.</t>
    </r>
  </si>
  <si>
    <r>
      <rPr>
        <sz val="10"/>
        <rFont val="Arial"/>
        <family val="2"/>
      </rPr>
      <t>JOSE GREGORIO HERNANDEZ</t>
    </r>
  </si>
  <si>
    <r>
      <rPr>
        <sz val="10"/>
        <rFont val="Arial"/>
        <family val="2"/>
      </rPr>
      <t>JUAN IGNACIO MONTILLA</t>
    </r>
  </si>
  <si>
    <r>
      <rPr>
        <sz val="10"/>
        <rFont val="Arial"/>
        <family val="2"/>
      </rPr>
      <t>JUNIN (KM. 23)</t>
    </r>
  </si>
  <si>
    <r>
      <rPr>
        <sz val="10"/>
        <rFont val="Arial"/>
        <family val="2"/>
      </rPr>
      <t>LA CEIBA</t>
    </r>
  </si>
  <si>
    <r>
      <rPr>
        <sz val="10"/>
        <rFont val="Arial"/>
        <family val="2"/>
      </rPr>
      <t>LA CONCEPCION</t>
    </r>
  </si>
  <si>
    <r>
      <rPr>
        <sz val="10"/>
        <rFont val="Arial"/>
        <family val="2"/>
      </rPr>
      <t>LA PAZ</t>
    </r>
  </si>
  <si>
    <r>
      <rPr>
        <sz val="10"/>
        <rFont val="Arial"/>
        <family val="2"/>
      </rPr>
      <t>LA PUERTA</t>
    </r>
  </si>
  <si>
    <r>
      <rPr>
        <sz val="10"/>
        <rFont val="Arial"/>
        <family val="2"/>
      </rPr>
      <t>LA QUEBRADA</t>
    </r>
  </si>
  <si>
    <r>
      <rPr>
        <sz val="10"/>
        <rFont val="Arial"/>
        <family val="2"/>
      </rPr>
      <t>LAS BEATRICES</t>
    </r>
  </si>
  <si>
    <r>
      <rPr>
        <sz val="10"/>
        <rFont val="Arial"/>
        <family val="2"/>
      </rPr>
      <t>MENDOZA</t>
    </r>
  </si>
  <si>
    <r>
      <rPr>
        <sz val="10"/>
        <rFont val="Arial"/>
        <family val="2"/>
      </rPr>
      <t>MERCEDES DIAZ</t>
    </r>
  </si>
  <si>
    <r>
      <rPr>
        <sz val="10"/>
        <rFont val="Arial"/>
        <family val="2"/>
      </rPr>
      <t>MONSEÑOR CARRILLO</t>
    </r>
  </si>
  <si>
    <r>
      <rPr>
        <sz val="10"/>
        <rFont val="Arial"/>
        <family val="2"/>
      </rPr>
      <t>MONTE CARMELOS</t>
    </r>
  </si>
  <si>
    <r>
      <rPr>
        <sz val="10"/>
        <rFont val="Arial"/>
        <family val="2"/>
      </rPr>
      <t>MOSEÑOR JAUREGUI</t>
    </r>
  </si>
  <si>
    <r>
      <rPr>
        <sz val="10"/>
        <rFont val="Arial"/>
        <family val="2"/>
      </rPr>
      <t>MOSQUEY</t>
    </r>
  </si>
  <si>
    <r>
      <rPr>
        <sz val="10"/>
        <rFont val="Arial"/>
        <family val="2"/>
      </rPr>
      <t>MOTATAN</t>
    </r>
  </si>
  <si>
    <r>
      <rPr>
        <sz val="10"/>
        <rFont val="Arial"/>
        <family val="2"/>
      </rPr>
      <t>PAMPAN</t>
    </r>
  </si>
  <si>
    <r>
      <rPr>
        <sz val="10"/>
        <rFont val="Arial"/>
        <family val="2"/>
      </rPr>
      <t>PAMPANITO</t>
    </r>
  </si>
  <si>
    <r>
      <rPr>
        <sz val="10"/>
        <rFont val="Arial"/>
        <family val="2"/>
      </rPr>
      <t>RAFAEL RANGEL</t>
    </r>
  </si>
  <si>
    <r>
      <rPr>
        <sz val="10"/>
        <rFont val="Arial"/>
        <family val="2"/>
      </rPr>
      <t>SABANA DE MENDOZA (SUCRE)</t>
    </r>
  </si>
  <si>
    <r>
      <rPr>
        <sz val="10"/>
        <rFont val="Arial"/>
        <family val="2"/>
      </rPr>
      <t>SABANA LIBRE</t>
    </r>
  </si>
  <si>
    <r>
      <rPr>
        <sz val="10"/>
        <rFont val="Arial"/>
        <family val="2"/>
      </rPr>
      <t>SAN RAFAEL DE CARVAJAL</t>
    </r>
  </si>
  <si>
    <r>
      <rPr>
        <sz val="10"/>
        <rFont val="Arial"/>
        <family val="2"/>
      </rPr>
      <t>SANTA ISABEL</t>
    </r>
  </si>
  <si>
    <r>
      <rPr>
        <sz val="10"/>
        <rFont val="Arial"/>
        <family val="2"/>
      </rPr>
      <t>SANTIAGO DE TRUJILLO</t>
    </r>
  </si>
  <si>
    <r>
      <rPr>
        <sz val="10"/>
        <rFont val="Arial"/>
        <family val="2"/>
      </rPr>
      <t>TUÑAME</t>
    </r>
  </si>
  <si>
    <r>
      <rPr>
        <sz val="10"/>
        <rFont val="Arial"/>
        <family val="2"/>
      </rPr>
      <t>ALBARICO</t>
    </r>
  </si>
  <si>
    <r>
      <rPr>
        <sz val="10"/>
        <rFont val="Arial"/>
        <family val="2"/>
      </rPr>
      <t>AROA (BOLIVAR)</t>
    </r>
  </si>
  <si>
    <r>
      <rPr>
        <sz val="10"/>
        <rFont val="Arial"/>
        <family val="2"/>
      </rPr>
      <t>CHIVACOA (BRUZUAL)</t>
    </r>
  </si>
  <si>
    <r>
      <rPr>
        <sz val="10"/>
        <rFont val="Arial"/>
        <family val="2"/>
      </rPr>
      <t>COCOROTE</t>
    </r>
  </si>
  <si>
    <r>
      <rPr>
        <sz val="10"/>
        <rFont val="Arial"/>
        <family val="2"/>
      </rPr>
      <t>GUAMA (SUCRE)</t>
    </r>
  </si>
  <si>
    <r>
      <rPr>
        <sz val="10"/>
        <rFont val="Arial"/>
        <family val="2"/>
      </rPr>
      <t>NIRGUA</t>
    </r>
  </si>
  <si>
    <r>
      <rPr>
        <sz val="10"/>
        <rFont val="Arial"/>
        <family val="2"/>
      </rPr>
      <t>PAEZ (SABANA DE PARRA)</t>
    </r>
  </si>
  <si>
    <r>
      <rPr>
        <sz val="10"/>
        <rFont val="Arial"/>
        <family val="2"/>
      </rPr>
      <t>PEÑA</t>
    </r>
  </si>
  <si>
    <r>
      <rPr>
        <sz val="10"/>
        <rFont val="Arial"/>
        <family val="2"/>
      </rPr>
      <t>SAN ANDRES</t>
    </r>
  </si>
  <si>
    <r>
      <rPr>
        <sz val="10"/>
        <rFont val="Arial"/>
        <family val="2"/>
      </rPr>
      <t>SAN FELIPE</t>
    </r>
  </si>
  <si>
    <r>
      <rPr>
        <sz val="10"/>
        <rFont val="Arial"/>
        <family val="2"/>
      </rPr>
      <t>SAN JAVIER</t>
    </r>
  </si>
  <si>
    <r>
      <rPr>
        <sz val="10"/>
        <rFont val="Arial"/>
        <family val="2"/>
      </rPr>
      <t>TEMERLA</t>
    </r>
  </si>
  <si>
    <r>
      <rPr>
        <sz val="10"/>
        <rFont val="Arial"/>
        <family val="2"/>
      </rPr>
      <t>URACHICHE</t>
    </r>
  </si>
  <si>
    <r>
      <rPr>
        <sz val="10"/>
        <rFont val="Arial"/>
        <family val="2"/>
      </rPr>
      <t>VEROES</t>
    </r>
  </si>
  <si>
    <r>
      <rPr>
        <sz val="10"/>
        <rFont val="Arial"/>
        <family val="2"/>
      </rPr>
      <t>YUMARE</t>
    </r>
  </si>
  <si>
    <r>
      <rPr>
        <sz val="10"/>
        <rFont val="Arial"/>
        <family val="2"/>
      </rPr>
      <t>ALONZO DE OJEDA</t>
    </r>
  </si>
  <si>
    <r>
      <rPr>
        <sz val="10"/>
        <rFont val="Arial"/>
        <family val="2"/>
      </rPr>
      <t>AMBROSIO</t>
    </r>
  </si>
  <si>
    <r>
      <rPr>
        <sz val="10"/>
        <rFont val="Arial"/>
        <family val="2"/>
      </rPr>
      <t>ANA MARIA CAMPOS</t>
    </r>
  </si>
  <si>
    <r>
      <rPr>
        <sz val="10"/>
        <rFont val="Arial"/>
        <family val="2"/>
      </rPr>
      <t>BARTOLOME DE LAS CASAS</t>
    </r>
  </si>
  <si>
    <r>
      <rPr>
        <sz val="10"/>
        <rFont val="Arial"/>
        <family val="2"/>
      </rPr>
      <t>BOBURES</t>
    </r>
  </si>
  <si>
    <r>
      <rPr>
        <sz val="10"/>
        <rFont val="Arial"/>
        <family val="2"/>
      </rPr>
      <t>CACIQUE MARA</t>
    </r>
  </si>
  <si>
    <r>
      <rPr>
        <sz val="10"/>
        <rFont val="Arial"/>
        <family val="2"/>
      </rPr>
      <t>CAMPO LARA (CIUDAD OJEDA)</t>
    </r>
  </si>
  <si>
    <r>
      <rPr>
        <sz val="10"/>
        <rFont val="Arial"/>
        <family val="2"/>
      </rPr>
      <t>CARACCIOLO PARRA</t>
    </r>
  </si>
  <si>
    <r>
      <rPr>
        <sz val="10"/>
        <rFont val="Arial"/>
        <family val="2"/>
      </rPr>
      <t>CARLOS QUEVEDO</t>
    </r>
  </si>
  <si>
    <r>
      <rPr>
        <sz val="10"/>
        <rFont val="Arial"/>
        <family val="2"/>
      </rPr>
      <t>CARMELO</t>
    </r>
  </si>
  <si>
    <r>
      <rPr>
        <sz val="10"/>
        <rFont val="Arial"/>
        <family val="2"/>
      </rPr>
      <t>COQUIVACOA</t>
    </r>
  </si>
  <si>
    <r>
      <rPr>
        <sz val="10"/>
        <rFont val="Arial"/>
        <family val="2"/>
      </rPr>
      <t>CRISTO DE ARANZA</t>
    </r>
  </si>
  <si>
    <r>
      <rPr>
        <sz val="10"/>
        <rFont val="Arial"/>
        <family val="2"/>
      </rPr>
      <t>DOMITILA FLORES</t>
    </r>
  </si>
  <si>
    <r>
      <rPr>
        <sz val="10"/>
        <rFont val="Arial"/>
        <family val="2"/>
      </rPr>
      <t>DONALDO GARCIA</t>
    </r>
  </si>
  <si>
    <r>
      <rPr>
        <sz val="10"/>
        <rFont val="Arial"/>
        <family val="2"/>
      </rPr>
      <t>ELEAZAR LOPEZ CONTRERAS</t>
    </r>
  </si>
  <si>
    <r>
      <rPr>
        <sz val="10"/>
        <rFont val="Arial"/>
        <family val="2"/>
      </rPr>
      <t>ELIAS SANCHEZ RUBIO</t>
    </r>
  </si>
  <si>
    <r>
      <rPr>
        <sz val="10"/>
        <rFont val="Arial"/>
        <family val="2"/>
      </rPr>
      <t>ENCONTRADOS</t>
    </r>
  </si>
  <si>
    <r>
      <rPr>
        <sz val="10"/>
        <rFont val="Arial"/>
        <family val="2"/>
      </rPr>
      <t>FARIA</t>
    </r>
  </si>
  <si>
    <r>
      <rPr>
        <sz val="10"/>
        <rFont val="Arial"/>
        <family val="2"/>
      </rPr>
      <t>FRANCISCO BUSTAMANTE</t>
    </r>
  </si>
  <si>
    <r>
      <rPr>
        <sz val="10"/>
        <rFont val="Arial"/>
        <family val="2"/>
      </rPr>
      <t>FRANCISCO J. PULGAR</t>
    </r>
  </si>
  <si>
    <r>
      <rPr>
        <sz val="10"/>
        <rFont val="Arial"/>
        <family val="2"/>
      </rPr>
      <t>FRANCISCO OCHOA</t>
    </r>
  </si>
  <si>
    <r>
      <rPr>
        <sz val="10"/>
        <rFont val="Arial"/>
        <family val="2"/>
      </rPr>
      <t>GENERAL URDANETA</t>
    </r>
  </si>
  <si>
    <r>
      <rPr>
        <sz val="10"/>
        <rFont val="Arial"/>
        <family val="2"/>
      </rPr>
      <t>GERMAN RIOS LINARES</t>
    </r>
  </si>
  <si>
    <r>
      <rPr>
        <sz val="10"/>
        <rFont val="Arial"/>
        <family val="2"/>
      </rPr>
      <t>GIBRALTAR</t>
    </r>
  </si>
  <si>
    <r>
      <rPr>
        <sz val="10"/>
        <rFont val="Arial"/>
        <family val="2"/>
      </rPr>
      <t>GOAJIRA</t>
    </r>
  </si>
  <si>
    <r>
      <rPr>
        <sz val="10"/>
        <rFont val="Arial"/>
        <family val="2"/>
      </rPr>
      <t>GUANIPA MATOS</t>
    </r>
  </si>
  <si>
    <r>
      <rPr>
        <sz val="10"/>
        <rFont val="Arial"/>
        <family val="2"/>
      </rPr>
      <t>HERAS</t>
    </r>
  </si>
  <si>
    <r>
      <rPr>
        <sz val="10"/>
        <rFont val="Arial"/>
        <family val="2"/>
      </rPr>
      <t>IDELFONZO VASQUEZ</t>
    </r>
  </si>
  <si>
    <r>
      <rPr>
        <sz val="10"/>
        <rFont val="Arial"/>
        <family val="2"/>
      </rPr>
      <t>JESUS ENRIQUE LOZADA</t>
    </r>
  </si>
  <si>
    <r>
      <rPr>
        <sz val="10"/>
        <rFont val="Arial"/>
        <family val="2"/>
      </rPr>
      <t>JESUS MARIA SEMPRUM</t>
    </r>
  </si>
  <si>
    <r>
      <rPr>
        <sz val="10"/>
        <rFont val="Arial"/>
        <family val="2"/>
      </rPr>
      <t>JORGE HERNANDEZ</t>
    </r>
  </si>
  <si>
    <r>
      <rPr>
        <sz val="10"/>
        <rFont val="Arial"/>
        <family val="2"/>
      </rPr>
      <t>JOSE RAMON YEPEZ</t>
    </r>
  </si>
  <si>
    <r>
      <rPr>
        <sz val="10"/>
        <rFont val="Arial"/>
        <family val="2"/>
      </rPr>
      <t>JUANA DE AVILA</t>
    </r>
  </si>
  <si>
    <r>
      <rPr>
        <sz val="10"/>
        <rFont val="Arial"/>
        <family val="2"/>
      </rPr>
      <t>LA ROSA</t>
    </r>
  </si>
  <si>
    <r>
      <rPr>
        <sz val="10"/>
        <rFont val="Arial"/>
        <family val="2"/>
      </rPr>
      <t>LUIS DE VICENTE</t>
    </r>
  </si>
  <si>
    <r>
      <rPr>
        <sz val="10"/>
        <rFont val="Arial"/>
        <family val="2"/>
      </rPr>
      <t>LUIS HURTADO HIGUERA</t>
    </r>
  </si>
  <si>
    <r>
      <rPr>
        <sz val="10"/>
        <rFont val="Arial"/>
        <family val="2"/>
      </rPr>
      <t>MANUEL DAGNINO</t>
    </r>
  </si>
  <si>
    <r>
      <rPr>
        <sz val="10"/>
        <rFont val="Arial"/>
        <family val="2"/>
      </rPr>
      <t>MANUEL MANRIQUE</t>
    </r>
  </si>
  <si>
    <r>
      <rPr>
        <sz val="10"/>
        <rFont val="Arial"/>
        <family val="2"/>
      </rPr>
      <t>MARCELINA BRICEÑO</t>
    </r>
  </si>
  <si>
    <r>
      <rPr>
        <sz val="10"/>
        <rFont val="Arial"/>
        <family val="2"/>
      </rPr>
      <t>MARCIAL HERNANDEZ</t>
    </r>
  </si>
  <si>
    <r>
      <rPr>
        <sz val="10"/>
        <rFont val="Arial"/>
        <family val="2"/>
      </rPr>
      <t>MONAGAS</t>
    </r>
  </si>
  <si>
    <r>
      <rPr>
        <sz val="10"/>
        <rFont val="Arial"/>
        <family val="2"/>
      </rPr>
      <t>MONSEÑOR ALVAREZ</t>
    </r>
  </si>
  <si>
    <r>
      <rPr>
        <sz val="10"/>
        <rFont val="Arial"/>
        <family val="2"/>
      </rPr>
      <t>MONSEÑOR MARCOS GODOY</t>
    </r>
  </si>
  <si>
    <r>
      <rPr>
        <sz val="10"/>
        <rFont val="Arial"/>
        <family val="2"/>
      </rPr>
      <t>MORALITO</t>
    </r>
  </si>
  <si>
    <r>
      <rPr>
        <sz val="10"/>
        <rFont val="Arial"/>
        <family val="2"/>
      </rPr>
      <t>OLEGARIO VILLALOBOS</t>
    </r>
  </si>
  <si>
    <r>
      <rPr>
        <sz val="10"/>
        <rFont val="Arial"/>
        <family val="2"/>
      </rPr>
      <t>PADILLA (ISLA DE TOAS)</t>
    </r>
  </si>
  <si>
    <r>
      <rPr>
        <sz val="10"/>
        <rFont val="Arial"/>
        <family val="2"/>
      </rPr>
      <t>PEDRO LUCAS URRIBARRI</t>
    </r>
  </si>
  <si>
    <r>
      <rPr>
        <sz val="10"/>
        <rFont val="Arial"/>
        <family val="2"/>
      </rPr>
      <t>POTRERITOS</t>
    </r>
  </si>
  <si>
    <r>
      <rPr>
        <sz val="10"/>
        <rFont val="Arial"/>
        <family val="2"/>
      </rPr>
      <t>PUNTA GORDA</t>
    </r>
  </si>
  <si>
    <r>
      <rPr>
        <sz val="10"/>
        <rFont val="Arial"/>
        <family val="2"/>
      </rPr>
      <t>RAUL CUENCA</t>
    </r>
  </si>
  <si>
    <r>
      <rPr>
        <sz val="10"/>
        <rFont val="Arial"/>
        <family val="2"/>
      </rPr>
      <t>RICAURTE</t>
    </r>
  </si>
  <si>
    <r>
      <rPr>
        <sz val="10"/>
        <rFont val="Arial"/>
        <family val="2"/>
      </rPr>
      <t>ROSARIO</t>
    </r>
  </si>
  <si>
    <r>
      <rPr>
        <sz val="10"/>
        <rFont val="Arial"/>
        <family val="2"/>
      </rPr>
      <t>SAN CARLOS DE ZULIA</t>
    </r>
  </si>
  <si>
    <r>
      <rPr>
        <sz val="10"/>
        <rFont val="Arial"/>
        <family val="2"/>
      </rPr>
      <t>SAN TIMOTEO</t>
    </r>
  </si>
  <si>
    <r>
      <rPr>
        <sz val="10"/>
        <rFont val="Arial"/>
        <family val="2"/>
      </rPr>
      <t>SANTA CRUZ DEL ZULIA</t>
    </r>
  </si>
  <si>
    <r>
      <rPr>
        <sz val="10"/>
        <rFont val="Arial"/>
        <family val="2"/>
      </rPr>
      <t>SIMON RODRIGUEZ</t>
    </r>
  </si>
  <si>
    <r>
      <rPr>
        <sz val="10"/>
        <rFont val="Arial"/>
        <family val="2"/>
      </rPr>
      <t>SINAMAICA</t>
    </r>
  </si>
  <si>
    <r>
      <rPr>
        <sz val="10"/>
        <rFont val="Arial"/>
        <family val="2"/>
      </rPr>
      <t>SIXTO ZAMBRANO</t>
    </r>
  </si>
  <si>
    <r>
      <rPr>
        <sz val="10"/>
        <rFont val="Arial"/>
        <family val="2"/>
      </rPr>
      <t>UDON PEREZ</t>
    </r>
  </si>
  <si>
    <r>
      <rPr>
        <sz val="10"/>
        <rFont val="Arial"/>
        <family val="2"/>
      </rPr>
      <t>URRIBARRI</t>
    </r>
  </si>
  <si>
    <r>
      <rPr>
        <sz val="10"/>
        <rFont val="Arial"/>
        <family val="2"/>
      </rPr>
      <t>VALMORE RODRIGUEZ</t>
    </r>
  </si>
  <si>
    <r>
      <rPr>
        <sz val="10"/>
        <rFont val="Arial"/>
        <family val="2"/>
      </rPr>
      <t>VENEZUELA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</si>
</sst>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7"/>
      <name val="Arial"/>
    </font>
    <font>
      <sz val="7"/>
      <name val="Arial"/>
    </font>
    <font>
      <sz val="7"/>
      <color rgb="FF000000"/>
      <name val="Arial"/>
      <family val="2"/>
    </font>
    <font>
      <sz val="11"/>
      <color theme="1"/>
      <name val="Arial"/>
      <family val="2"/>
    </font>
    <font>
      <b/>
      <sz val="8"/>
      <name val="Arial"/>
      <family val="2"/>
    </font>
    <font>
      <sz val="8"/>
      <color rgb="FF000000"/>
      <name val="Arial"/>
      <family val="2"/>
    </font>
    <font>
      <sz val="8"/>
      <name val="Calibri"/>
      <family val="2"/>
      <scheme val="minor"/>
    </font>
    <font>
      <b/>
      <sz val="9.5"/>
      <name val="Arial"/>
      <family val="2"/>
    </font>
    <font>
      <sz val="9.5"/>
      <name val="Arial"/>
      <family val="2"/>
    </font>
    <font>
      <sz val="9.5"/>
      <color rgb="FF000000"/>
      <name val="Arial"/>
      <family val="2"/>
    </font>
    <font>
      <b/>
      <sz val="10"/>
      <name val="Arial"/>
    </font>
    <font>
      <b/>
      <sz val="8.5"/>
      <name val="Arial"/>
    </font>
    <font>
      <b/>
      <sz val="8.5"/>
      <name val="Arial"/>
      <family val="2"/>
    </font>
    <font>
      <sz val="8.5"/>
      <color rgb="FF000000"/>
      <name val="Arial"/>
      <family val="2"/>
    </font>
    <font>
      <sz val="8.5"/>
      <color theme="1"/>
      <name val="Arial"/>
      <family val="2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9"/>
      <color rgb="FF000000"/>
      <name val="Arial"/>
      <family val="2"/>
    </font>
    <font>
      <b/>
      <sz val="6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thin">
        <color rgb="FFBFBFBF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 style="thin">
        <color rgb="FF000000"/>
      </right>
      <top style="thin">
        <color rgb="FF000000"/>
      </top>
      <bottom style="thin">
        <color rgb="FFBFBFBF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4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0" fillId="0" borderId="0" xfId="0" applyFont="1"/>
    <xf numFmtId="43" fontId="0" fillId="0" borderId="0" xfId="1" applyFont="1"/>
    <xf numFmtId="164" fontId="1" fillId="0" borderId="0" xfId="1" applyNumberFormat="1" applyFont="1" applyBorder="1" applyAlignment="1">
      <alignment vertical="top" wrapText="1"/>
    </xf>
    <xf numFmtId="164" fontId="3" fillId="0" borderId="0" xfId="1" applyNumberFormat="1" applyFont="1" applyBorder="1" applyAlignment="1">
      <alignment vertical="top" shrinkToFit="1"/>
    </xf>
    <xf numFmtId="164" fontId="2" fillId="0" borderId="0" xfId="1" applyNumberFormat="1" applyFont="1" applyBorder="1" applyAlignment="1">
      <alignment vertical="top" wrapText="1"/>
    </xf>
    <xf numFmtId="164" fontId="0" fillId="0" borderId="0" xfId="1" applyNumberFormat="1" applyFont="1"/>
    <xf numFmtId="0" fontId="6" fillId="0" borderId="0" xfId="0" applyFont="1" applyAlignment="1">
      <alignment vertical="top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/>
    <xf numFmtId="165" fontId="0" fillId="0" borderId="0" xfId="1" applyNumberFormat="1" applyFont="1" applyAlignment="1">
      <alignment horizontal="left"/>
    </xf>
    <xf numFmtId="165" fontId="2" fillId="0" borderId="0" xfId="1" applyNumberFormat="1" applyFont="1" applyBorder="1" applyAlignment="1">
      <alignment vertical="top" wrapText="1"/>
    </xf>
    <xf numFmtId="165" fontId="4" fillId="0" borderId="0" xfId="1" applyNumberFormat="1" applyFont="1"/>
    <xf numFmtId="0" fontId="0" fillId="0" borderId="0" xfId="0" pivotButton="1"/>
    <xf numFmtId="0" fontId="0" fillId="0" borderId="0" xfId="0" applyNumberFormat="1"/>
    <xf numFmtId="0" fontId="9" fillId="2" borderId="2" xfId="0" applyFont="1" applyFill="1" applyBorder="1"/>
    <xf numFmtId="0" fontId="12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43" fontId="0" fillId="0" borderId="0" xfId="1" applyFont="1" applyAlignment="1">
      <alignment vertical="center" wrapText="1"/>
    </xf>
    <xf numFmtId="43" fontId="14" fillId="0" borderId="0" xfId="1" applyFont="1"/>
    <xf numFmtId="164" fontId="8" fillId="0" borderId="0" xfId="1" applyNumberFormat="1" applyFont="1" applyAlignment="1">
      <alignment vertical="center" wrapText="1"/>
    </xf>
    <xf numFmtId="164" fontId="8" fillId="0" borderId="0" xfId="1" applyNumberFormat="1" applyFont="1"/>
    <xf numFmtId="164" fontId="3" fillId="0" borderId="0" xfId="1" applyNumberFormat="1" applyFont="1" applyAlignment="1">
      <alignment horizontal="left" vertical="top" shrinkToFit="1"/>
    </xf>
    <xf numFmtId="164" fontId="3" fillId="0" borderId="1" xfId="1" applyNumberFormat="1" applyFont="1" applyBorder="1" applyAlignment="1">
      <alignment horizontal="left" vertical="top" shrinkToFit="1"/>
    </xf>
    <xf numFmtId="164" fontId="2" fillId="0" borderId="0" xfId="1" applyNumberFormat="1" applyFont="1" applyAlignment="1">
      <alignment horizontal="left" vertical="top" wrapText="1"/>
    </xf>
    <xf numFmtId="164" fontId="2" fillId="0" borderId="0" xfId="1" applyNumberFormat="1" applyFont="1" applyFill="1" applyBorder="1" applyAlignment="1">
      <alignment vertical="top" wrapText="1"/>
    </xf>
    <xf numFmtId="164" fontId="2" fillId="0" borderId="0" xfId="0" applyNumberFormat="1" applyFont="1" applyBorder="1" applyAlignment="1">
      <alignment vertical="top" wrapText="1"/>
    </xf>
    <xf numFmtId="164" fontId="0" fillId="0" borderId="0" xfId="0" applyNumberFormat="1"/>
    <xf numFmtId="164" fontId="3" fillId="0" borderId="0" xfId="1" applyNumberFormat="1" applyFont="1" applyBorder="1" applyAlignment="1">
      <alignment horizontal="left" vertical="top" shrinkToFit="1"/>
    </xf>
    <xf numFmtId="0" fontId="15" fillId="0" borderId="0" xfId="0" applyFont="1" applyAlignment="1">
      <alignment horizontal="left" vertical="top" wrapText="1"/>
    </xf>
    <xf numFmtId="164" fontId="14" fillId="0" borderId="0" xfId="1" applyNumberFormat="1" applyFont="1" applyAlignment="1">
      <alignment horizontal="right"/>
    </xf>
    <xf numFmtId="164" fontId="13" fillId="0" borderId="1" xfId="1" applyNumberFormat="1" applyFont="1" applyBorder="1" applyAlignment="1">
      <alignment horizontal="right" vertical="top" shrinkToFit="1"/>
    </xf>
    <xf numFmtId="164" fontId="13" fillId="0" borderId="0" xfId="1" applyNumberFormat="1" applyFont="1" applyBorder="1" applyAlignment="1">
      <alignment horizontal="right" vertical="top" shrinkToFit="1"/>
    </xf>
    <xf numFmtId="49" fontId="14" fillId="0" borderId="0" xfId="1" applyNumberFormat="1" applyFont="1"/>
    <xf numFmtId="164" fontId="0" fillId="0" borderId="0" xfId="0" pivotButton="1" applyNumberFormat="1"/>
    <xf numFmtId="164" fontId="9" fillId="2" borderId="3" xfId="0" applyNumberFormat="1" applyFont="1" applyFill="1" applyBorder="1"/>
    <xf numFmtId="164" fontId="9" fillId="2" borderId="2" xfId="1" applyNumberFormat="1" applyFont="1" applyFill="1" applyBorder="1" applyAlignment="1"/>
    <xf numFmtId="0" fontId="18" fillId="0" borderId="0" xfId="0" applyFont="1" applyAlignment="1">
      <alignment horizontal="left" vertical="top" wrapText="1"/>
    </xf>
    <xf numFmtId="164" fontId="20" fillId="0" borderId="0" xfId="0" applyNumberFormat="1" applyFont="1" applyAlignment="1">
      <alignment horizontal="left" vertical="top" shrinkToFit="1"/>
    </xf>
    <xf numFmtId="164" fontId="16" fillId="0" borderId="0" xfId="1" applyNumberFormat="1" applyFont="1" applyAlignment="1">
      <alignment horizontal="right" vertical="top" shrinkToFit="1"/>
    </xf>
    <xf numFmtId="164" fontId="20" fillId="0" borderId="0" xfId="1" applyNumberFormat="1" applyFont="1" applyAlignment="1">
      <alignment horizontal="left" vertical="top" shrinkToFit="1"/>
    </xf>
    <xf numFmtId="164" fontId="19" fillId="0" borderId="0" xfId="1" applyNumberFormat="1" applyFont="1" applyAlignment="1">
      <alignment horizontal="left" vertical="top" wrapText="1"/>
    </xf>
    <xf numFmtId="164" fontId="18" fillId="0" borderId="0" xfId="1" applyNumberFormat="1" applyFont="1" applyAlignment="1">
      <alignment horizontal="left" vertical="center" wrapText="1"/>
    </xf>
    <xf numFmtId="164" fontId="20" fillId="0" borderId="1" xfId="1" applyNumberFormat="1" applyFont="1" applyBorder="1" applyAlignment="1">
      <alignment horizontal="left" vertical="top" shrinkToFit="1"/>
    </xf>
    <xf numFmtId="43" fontId="0" fillId="0" borderId="0" xfId="0" applyNumberFormat="1"/>
    <xf numFmtId="0" fontId="2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2" fillId="0" borderId="0" xfId="0" applyFont="1" applyBorder="1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22" fillId="0" borderId="0" xfId="0" applyFont="1" applyAlignment="1">
      <alignment horizontal="left" vertical="top" wrapText="1"/>
    </xf>
    <xf numFmtId="0" fontId="25" fillId="0" borderId="0" xfId="0" applyFont="1" applyAlignment="1">
      <alignment vertical="center"/>
    </xf>
    <xf numFmtId="165" fontId="26" fillId="0" borderId="0" xfId="1" applyNumberFormat="1" applyFont="1" applyAlignment="1">
      <alignment horizontal="left"/>
    </xf>
    <xf numFmtId="0" fontId="27" fillId="0" borderId="0" xfId="0" applyFont="1" applyAlignment="1">
      <alignment horizontal="left" vertical="top" wrapText="1"/>
    </xf>
    <xf numFmtId="0" fontId="27" fillId="0" borderId="1" xfId="0" applyFont="1" applyBorder="1" applyAlignment="1">
      <alignment horizontal="left" vertical="top" wrapText="1"/>
    </xf>
    <xf numFmtId="0" fontId="27" fillId="0" borderId="0" xfId="0" applyFont="1" applyBorder="1" applyAlignment="1">
      <alignment horizontal="left" vertical="top" wrapText="1"/>
    </xf>
    <xf numFmtId="164" fontId="27" fillId="0" borderId="0" xfId="1" applyNumberFormat="1" applyFont="1" applyBorder="1" applyAlignment="1">
      <alignment vertical="top" wrapText="1"/>
    </xf>
    <xf numFmtId="164" fontId="26" fillId="0" borderId="0" xfId="1" applyNumberFormat="1" applyFont="1" applyAlignment="1">
      <alignment vertical="center" wrapText="1"/>
    </xf>
    <xf numFmtId="164" fontId="28" fillId="0" borderId="0" xfId="1" applyNumberFormat="1" applyFont="1" applyBorder="1" applyAlignment="1">
      <alignment vertical="top" shrinkToFit="1"/>
    </xf>
    <xf numFmtId="164" fontId="26" fillId="0" borderId="0" xfId="1" applyNumberFormat="1" applyFont="1"/>
    <xf numFmtId="43" fontId="14" fillId="0" borderId="0" xfId="1" applyFont="1" applyAlignment="1">
      <alignment horizontal="right"/>
    </xf>
    <xf numFmtId="43" fontId="24" fillId="0" borderId="0" xfId="1" applyFont="1" applyAlignment="1">
      <alignment horizontal="left" vertical="top" shrinkToFit="1"/>
    </xf>
    <xf numFmtId="43" fontId="3" fillId="0" borderId="0" xfId="1" applyFont="1" applyAlignment="1">
      <alignment horizontal="left" vertical="top" shrinkToFit="1"/>
    </xf>
    <xf numFmtId="43" fontId="8" fillId="0" borderId="0" xfId="1" applyFont="1" applyAlignment="1">
      <alignment horizontal="left" vertical="center"/>
    </xf>
    <xf numFmtId="43" fontId="8" fillId="0" borderId="0" xfId="1" applyFont="1" applyAlignment="1">
      <alignment horizontal="left"/>
    </xf>
    <xf numFmtId="43" fontId="20" fillId="0" borderId="0" xfId="1" applyFont="1" applyAlignment="1">
      <alignment horizontal="left" vertical="top" shrinkToFit="1"/>
    </xf>
    <xf numFmtId="43" fontId="20" fillId="0" borderId="1" xfId="1" applyFont="1" applyBorder="1" applyAlignment="1">
      <alignment horizontal="left" vertical="top" shrinkToFit="1"/>
    </xf>
    <xf numFmtId="43" fontId="16" fillId="0" borderId="0" xfId="1" applyFont="1" applyAlignment="1">
      <alignment horizontal="right" vertical="top" shrinkToFit="1"/>
    </xf>
    <xf numFmtId="43" fontId="13" fillId="0" borderId="1" xfId="1" applyFont="1" applyBorder="1" applyAlignment="1">
      <alignment horizontal="right" vertical="top" shrinkToFit="1"/>
    </xf>
    <xf numFmtId="43" fontId="13" fillId="0" borderId="0" xfId="1" applyFont="1" applyBorder="1" applyAlignment="1">
      <alignment horizontal="right" vertical="top" shrinkToFit="1"/>
    </xf>
    <xf numFmtId="0" fontId="0" fillId="0" borderId="0" xfId="0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1" fontId="3" fillId="0" borderId="4" xfId="0" applyNumberFormat="1" applyFont="1" applyBorder="1" applyAlignment="1">
      <alignment horizontal="left" vertical="top" shrinkToFit="1"/>
    </xf>
    <xf numFmtId="1" fontId="3" fillId="0" borderId="5" xfId="0" applyNumberFormat="1" applyFont="1" applyBorder="1" applyAlignment="1">
      <alignment horizontal="left" vertical="top" shrinkToFit="1"/>
    </xf>
    <xf numFmtId="1" fontId="3" fillId="0" borderId="6" xfId="0" applyNumberFormat="1" applyFont="1" applyBorder="1" applyAlignment="1">
      <alignment horizontal="left" vertical="top" shrinkToFit="1"/>
    </xf>
    <xf numFmtId="0" fontId="29" fillId="0" borderId="7" xfId="0" applyFont="1" applyBorder="1" applyAlignment="1">
      <alignment horizontal="left" vertical="top" wrapText="1"/>
    </xf>
    <xf numFmtId="0" fontId="29" fillId="0" borderId="8" xfId="0" applyFont="1" applyBorder="1" applyAlignment="1">
      <alignment horizontal="left" vertical="top" wrapText="1"/>
    </xf>
    <xf numFmtId="0" fontId="29" fillId="0" borderId="9" xfId="0" applyFont="1" applyBorder="1" applyAlignment="1">
      <alignment horizontal="left" vertical="top" wrapText="1"/>
    </xf>
  </cellXfs>
  <cellStyles count="2">
    <cellStyle name="Millares" xfId="1" builtinId="3"/>
    <cellStyle name="Normal" xfId="0" builtinId="0"/>
  </cellStyles>
  <dxfs count="32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 Colmenares" refreshedDate="46026.724872106483" createdVersion="7" refreshedVersion="7" minRefreshableVersion="3" recordCount="370" xr:uid="{2D36DC0B-DE0E-464C-9FCB-A68C349AE0FA}">
  <cacheSource type="worksheet">
    <worksheetSource ref="B1:H371" sheet="Hoja1"/>
  </cacheSource>
  <cacheFields count="7">
    <cacheField name="Clave" numFmtId="0">
      <sharedItems/>
    </cacheField>
    <cacheField name="ES" numFmtId="0">
      <sharedItems/>
    </cacheField>
    <cacheField name="EST" numFmtId="0">
      <sharedItems count="27">
        <s v="VARGAS"/>
        <s v="DISTRITO FEDERAL"/>
        <s v="DISTRITO CAPITAL"/>
        <s v="AMAZONAS"/>
        <s v="ANZOATEGUI"/>
        <s v="APURE"/>
        <s v="ARAGUA"/>
        <s v="BARINAS"/>
        <s v="BOLIVAR"/>
        <s v="CARABOBO"/>
        <s v="COJEDES"/>
        <s v="DELTA AMACURO"/>
        <s v="FALCON"/>
        <s v="GUARICO"/>
        <s v="LARA"/>
        <s v="MERIDA"/>
        <s v="MIRANDA"/>
        <s v="MONAGAS"/>
        <s v="NUEVA ESPARTA"/>
        <s v="PORTUGUESA"/>
        <s v="SUCRE"/>
        <s v="TACHIRA"/>
        <s v="TRUJILLO"/>
        <s v="YARACUY"/>
        <s v="ZULIA"/>
        <s v="DEPENDENCIAS FEDERALES"/>
        <s v="º" u="1"/>
      </sharedItems>
    </cacheField>
    <cacheField name="Muni" numFmtId="0">
      <sharedItems/>
    </cacheField>
    <cacheField name="Total" numFmtId="0">
      <sharedItems containsSemiMixedTypes="0" containsString="0" containsNumber="1" containsInteger="1" minValue="0" maxValue="13512"/>
    </cacheField>
    <cacheField name="H" numFmtId="0">
      <sharedItems containsSemiMixedTypes="0" containsString="0" containsNumber="1" containsInteger="1" minValue="0" maxValue="0"/>
    </cacheField>
    <cacheField name="M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 Colmenares" refreshedDate="46026.724935532409" createdVersion="7" refreshedVersion="7" minRefreshableVersion="3" recordCount="7386" xr:uid="{81893219-1D43-4AC4-9C9A-7A1C5D3993A9}">
  <cacheSource type="worksheet">
    <worksheetSource ref="Q1:W1048576" sheet="Hoja1"/>
  </cacheSource>
  <cacheFields count="7">
    <cacheField name="Clave" numFmtId="0">
      <sharedItems containsBlank="1"/>
    </cacheField>
    <cacheField name="ES" numFmtId="0">
      <sharedItems containsBlank="1"/>
    </cacheField>
    <cacheField name="EST" numFmtId="0">
      <sharedItems containsBlank="1" count="35">
        <s v="DTTO. FEDERAL"/>
        <s v="AMAZONAS"/>
        <s v="ANZOATEGUI"/>
        <s v="APURE"/>
        <s v="ARAGUA"/>
        <s v="BARINAS"/>
        <s v="BOLIVAR"/>
        <s v="CARABOBO"/>
        <s v="COJEDES"/>
        <s v="DELTA AMACURO"/>
        <s v="FALCÓN"/>
        <s v="GUÁRICO"/>
        <s v="LARA"/>
        <s v="MERIDA"/>
        <s v="MIRANDA"/>
        <s v="MONAGAS"/>
        <s v="NUEVA ESPARTA"/>
        <s v="PORTUGUESA"/>
        <s v="SUCRE"/>
        <s v="TACHIRA"/>
        <s v="TRUJILLO"/>
        <s v="YARACUY"/>
        <s v="ZULIA"/>
        <m/>
        <s v="VARGAS" u="1"/>
        <s v="GUARICO" u="1"/>
        <s v="FALCON" u="1"/>
        <s v="BOLÍVAR" u="1"/>
        <s v="DISTRITO FEDERAL" u="1"/>
        <s v="ANZOÁTEGUI" u="1"/>
        <s v="DEPENDENCIAS FEDERALES" u="1"/>
        <s v="DISTRITO CAPITAL" u="1"/>
        <s v="MÉRIDA" u="1"/>
        <s v="TÁCHIRA" u="1"/>
        <s v="DELTA AMCURO" u="1"/>
      </sharedItems>
    </cacheField>
    <cacheField name="Muni" numFmtId="0">
      <sharedItems containsBlank="1"/>
    </cacheField>
    <cacheField name="Total" numFmtId="43">
      <sharedItems containsString="0" containsBlank="1" containsNumber="1" containsInteger="1" minValue="1" maxValue="13512"/>
    </cacheField>
    <cacheField name="H" numFmtId="164">
      <sharedItems containsNonDate="0" containsString="0" containsBlank="1"/>
    </cacheField>
    <cacheField name="M" numFmtId="16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 Colmenares" refreshedDate="46026.725694444445" createdVersion="7" refreshedVersion="7" minRefreshableVersion="3" recordCount="7384" xr:uid="{006AE90C-EB00-42A5-B440-B1C4B7EA63F1}">
  <cacheSource type="worksheet">
    <worksheetSource ref="A373:H1048576" sheet="Hoja1"/>
  </cacheSource>
  <cacheFields count="8">
    <cacheField name="ano" numFmtId="0">
      <sharedItems containsString="0" containsBlank="1" containsNumber="1" containsInteger="1" minValue="1996" maxValue="2016" count="21">
        <n v="2016"/>
        <n v="2014"/>
        <n v="2013"/>
        <n v="2012"/>
        <n v="2011"/>
        <n v="2010"/>
        <n v="2009"/>
        <n v="2008"/>
        <n v="2007"/>
        <n v="2006"/>
        <n v="2005"/>
        <n v="2004"/>
        <n v="2003"/>
        <n v="2002"/>
        <n v="2001"/>
        <n v="2000"/>
        <n v="1999"/>
        <n v="1998"/>
        <n v="1997"/>
        <n v="1996"/>
        <m/>
      </sharedItems>
    </cacheField>
    <cacheField name="Clave" numFmtId="0">
      <sharedItems containsBlank="1" count="371">
        <s v="VA-Municipio Autónomo Vargas"/>
        <s v="DI-Municipio Autónomo Libertador"/>
        <s v="DI-Parroquia Altagracia"/>
        <s v="DI-Parroquia Antímano"/>
        <s v="DI-Parroquia Candelaria"/>
        <s v="DI-Parroquia Caricuao"/>
        <s v="DI-Parroquia Catedral"/>
        <s v="DI-Parroquia Coche"/>
        <s v="DI-Parroquia El Junquito"/>
        <s v="DI-Parroquia El Paraíso"/>
        <s v="DI-Parroquia El Recreo"/>
        <s v="DI-Parroquia El Valle"/>
        <s v="DI-Parroquia La Pastora"/>
        <s v="DI-Parroquia La Vega"/>
        <s v="DI-Parroquia Macarao"/>
        <s v="DI-Parroquia San Agustín"/>
        <s v="DI-Parroquia San Bernardino"/>
        <s v="DI-Parroquia San José"/>
        <s v="DI-Parroquia San Juan"/>
        <s v="DI-Parroquia San Pedro"/>
        <s v="DI-Parroquia Santa Rosalía"/>
        <s v="DI-Parroquia Santa Teresa"/>
        <s v="DI-Parroquia Sucre"/>
        <s v="DI-Parroquia Veintitrés de Enero"/>
        <s v="AM-Municipio Autónomo Alto Orinoco"/>
        <s v="AM-Municipio Autónomo Atabapo"/>
        <s v="AM-Municipio Autónomo Atures"/>
        <s v="AM-Municipio Autónomo Autana"/>
        <s v="AM-Municipio Autónomo Manapiare"/>
        <s v="AM-Municipio Autónomo Maroa"/>
        <s v="AM-Municipio Autónomo Río Negro"/>
        <s v="AN-Municipio Anaco"/>
        <s v="AN-Municipio Aragua"/>
        <s v="AN-Municipio Diego Bautista Urbaneja"/>
        <s v="AN-Municipio Fernando Peñalver"/>
        <s v="AN-Municipio Francisco de Miranda"/>
        <s v="AN-Municipio Francisco del Carmen Carvajal"/>
        <s v="AN-Municipio Guanta"/>
        <s v="AN-Municipio Independencia"/>
        <s v="AN-Municipio José Gregorio Monagas"/>
        <s v="AN-Municipio Juan Antonio Sotillo"/>
        <s v="AN-Municipio Juan Manuel Cajigal"/>
        <s v="AN-Municipio Libertad"/>
        <s v="AN-Municipio Manuel Ezequiel Bruzual"/>
        <s v="AN-Municipio Pedro María Freites"/>
        <s v="AN-Municipio Píritu"/>
        <s v="AN-Municipio San José de Guanipa"/>
        <s v="AN-Municipio San Juan de Capistrano"/>
        <s v="AN-Municipio Santa Ana"/>
        <s v="AN-Municipio Simón Bolívar"/>
        <s v="AN-Municipio Simón Rodríguez"/>
        <s v="AN-Municipio Sir Artur Mc. Gregor"/>
        <s v="AP-Municipio Achaguas"/>
        <s v="AP-Municipio Biruaca"/>
        <s v="AP-Municipio Muños"/>
        <s v="AP-Municipio Páez"/>
        <s v="AP-Municipio Pedro Camejo"/>
        <s v="AP-Municipio Rómulo Gallegos"/>
        <s v="AP-Municipio San Fernando"/>
        <s v="AR-Municipio Bolívar"/>
        <s v="AR-Municipio Camatagua"/>
        <s v="AR-Municipio Francisco Linares Alcántara"/>
        <s v="AR-Municipio Girardot"/>
        <s v="AR-Municipio José Ángel Lamas"/>
        <s v="AR-Municipio José Félix Rivas"/>
        <s v="AR-Municipio José Rafael Revenga"/>
        <s v="AR-Municipio Libertador"/>
        <s v="AR-Municipio Mario Briceño Iragorry"/>
        <s v="AR-Municipio Ocumare de la Costa"/>
        <s v="AR-Municipio San Casimiro"/>
        <s v="AR-Municipio San Sebastián"/>
        <s v="AR-Municipio Santiago Mariño"/>
        <s v="AR-Municipio Santos Michelena"/>
        <s v="AR-Municipio Sucre"/>
        <s v="AR-Municipio Tovar"/>
        <s v="AR-Municipio Urdaneta"/>
        <s v="AR-Municipio Zamora"/>
        <s v="BA-Municipio Alberto Arvelo Torrealba"/>
        <s v="BA-Municipio Andres Eloy Blanco"/>
        <s v="BA-Municipio Antonio José de Sucre"/>
        <s v="BA-Municipio Arismendi"/>
        <s v="BA-Municipio Barinas"/>
        <s v="BA-Municipio Bolívar"/>
        <s v="BA-Municipio Cruz Paredes"/>
        <s v="BA-Municipio Ezequiel Zamora"/>
        <s v="BA-Municipio Obispos"/>
        <s v="BA-Municipio Pedraza"/>
        <s v="BA-Municipio Rojas"/>
        <s v="BA-Municipio Sosa"/>
        <s v="BO-Municipio Caroni"/>
        <s v="BO-Municipio Cedeño"/>
        <s v="BO-Municipio El Callao"/>
        <s v="BO-Municipio Gran Sabana"/>
        <s v="BO-Municipio Heres"/>
        <s v="BO-Municipio Padre Pedro Chien"/>
        <s v="BO-Municipio Piar"/>
        <s v="BO-Municipio Raúl leoni"/>
        <s v="BO-Municipio Roscio"/>
        <s v="BO-Municipio Sifontes"/>
        <s v="BO-Municipio Sucre"/>
        <s v="CA-Municipio Bejuma"/>
        <s v="CA-Municipio Carlos Arvelo"/>
        <s v="CA-Municipio Diego Ibarra"/>
        <s v="CA-Municipio Guacara"/>
        <s v="CA-Municipio Juan José Mora"/>
        <s v="CA-Municipio Libertador"/>
        <s v="CA-Municipio Los Guayos"/>
        <s v="CA-Municipio Miranda"/>
        <s v="CA-Municipio Montalbán"/>
        <s v="CA-Municipio Naguanagua"/>
        <s v="CA-Municipio Puerto Cabello"/>
        <s v="CA-Municipio San Diego"/>
        <s v="CA-Municipio San Joaquín"/>
        <s v="CA-Municipio Valencia"/>
        <s v="CO-Municipio Anzoátegui"/>
        <s v="CO-Municipio Falcón"/>
        <s v="CO-Municipio Girardot"/>
        <s v="CO-Municipio Lima Blanco"/>
        <s v="CO-Municipio Pao de San Juan  Bautista"/>
        <s v="CO-Municipio Ricaurte"/>
        <s v="CO-Municipio Rómulo Gallegos"/>
        <s v="CO-Municipio San Carlos"/>
        <s v="CO-Municipio Tinaco"/>
        <s v="DE-Municipio Antonio Díaz"/>
        <s v="DE-Municipio Casacoima"/>
        <s v="DE-Municipio Pedernales"/>
        <s v="DE-Municipio Tucupita"/>
        <s v="FA-Municipio Acosta"/>
        <s v="FA-Municipio Bolívar"/>
        <s v="FA-Municipio Buchivacoa"/>
        <s v="FA-Municipio Cacique Manaure"/>
        <s v="FA-Municipio Carirubana"/>
        <s v="FA-Municipio Colina"/>
        <s v="FA-Municipio Dabajuro"/>
        <s v="FA-Municipio Democracia"/>
        <s v="FA-Municipio Falcón"/>
        <s v="FA-Municipio Federación"/>
        <s v="FA-Municipio Jacura"/>
        <s v="FA-Municipio Los Taques"/>
        <s v="FA-Municipio Mauroa"/>
        <s v="FA-Municipio Miranda"/>
        <s v="FA-Municipio Monseñor Iturriza"/>
        <s v="FA-Municipio Palmasola"/>
        <s v="FA-Municipio Petit"/>
        <s v="FA-Municipio Píritu"/>
        <s v="FA-Municipio San Francisco"/>
        <s v="FA-Municipio Silva"/>
        <s v="FA-Municipio Sucre"/>
        <s v="FA-Municipio Tocopero"/>
        <s v="FA-Municipio Unión"/>
        <s v="FA-Municipio Urumaco"/>
        <s v="FA-Municipio Zamora"/>
        <s v="GU-Municipio Camaguán"/>
        <s v="GU-Municipio Chaguaramas"/>
        <s v="GU-Municipio El Socorro"/>
        <s v="GU-Municipio Guayabal"/>
        <s v="GU-Municipio Infante"/>
        <s v="GU-Municipio Las Mercedes"/>
        <s v="GU-Municipio Mellado"/>
        <s v="GU-Municipio Miranda"/>
        <s v="GU-Municipio Monagas"/>
        <s v="GU-Municipio Ortiz"/>
        <s v="GU-Municipio Ribas"/>
        <s v="GU-Municipio Roscio"/>
        <s v="GU-Municipio San José de Guaribe"/>
        <s v="GU-Municipio Santa Maria de Ipire"/>
        <s v="GU-Municipio Zaraza"/>
        <s v="LA-Municipio Andrés Eloy Blanco"/>
        <s v="LA-Municipio Crespo"/>
        <s v="LA-Municipio Iribarren"/>
        <s v="LA-Municipio Jiménez"/>
        <s v="LA-Municipio Moran"/>
        <s v="LA-Municipio Palavecino"/>
        <s v="LA-Municipio Simón Planas"/>
        <s v="LA-Municipio Torres"/>
        <s v="LA-Municipio Urdaneta"/>
        <s v="ME-Municipio Alberto Adrián"/>
        <s v="ME-Municipio Andrés Bello"/>
        <s v="ME-Municipio Antonio Pinto Salinas"/>
        <s v="ME-Municipio Aricagua"/>
        <s v="ME-Municipio Arzobispo Chacón"/>
        <s v="ME-Municipio Campo  Elías"/>
        <s v="ME-Municipio Cardenal Quintero"/>
        <s v="ME-Municipio Carracciolo Parra Olmedo"/>
        <s v="ME-Municipio Guaraque"/>
        <s v="ME-Municipio Julio Cesar Salas"/>
        <s v="ME-Municipio Justo Briceño"/>
        <s v="ME-Municipio Libertador"/>
        <s v="ME-Municipio Miranda"/>
        <s v="ME-Municipio Obispo Ramos de Lora"/>
        <s v="ME-Municipio Padre Noguera"/>
        <s v="ME-Municipio Pueblo Llano"/>
        <s v="ME-Municipio Rangel"/>
        <s v="ME-Municipio Rivas Dávila"/>
        <s v="ME-Municipio Santos Marquina"/>
        <s v="ME-Municipio Sucre"/>
        <s v="ME-Municipio Tovar"/>
        <s v="ME-Municipio Tulio Febres Cordero"/>
        <s v="ME-Municipio Zea"/>
        <s v="MI-Municipio Acevedo"/>
        <s v="MI-Municipio Andrés Bello"/>
        <s v="MI-Municipio Baruta"/>
        <s v="MI-Municipio Brion"/>
        <s v="MI-Municipio Buroz"/>
        <s v="MI-Municipio Carrizal"/>
        <s v="MI-Municipio Chacao"/>
        <s v="MI-Municipio Cristóbal Rojas"/>
        <s v="MI-Municipio El Hatillo"/>
        <s v="MI-Municipio Guaicaipuro"/>
        <s v="MI-Municipio Independencia"/>
        <s v="MI-Municipio Lander"/>
        <s v="MI-Municipio Los Salías"/>
        <s v="MI-Municipio Páez"/>
        <s v="MI-Municipio Paz Castillo"/>
        <s v="MI-Municipio Pedro Gual"/>
        <s v="MI-Municipio Plaza"/>
        <s v="MI-Municipio Simón Bolívar"/>
        <s v="MI-Municipio Sucre"/>
        <s v="MI-Municipio Urdaneta"/>
        <s v="MI-Municipio Zamora"/>
        <s v="MO-Municipio Acosta"/>
        <s v="MO-Municipio Aguasay"/>
        <s v="MO-Municipio Bolívar"/>
        <s v="MO-Municipio Caripe"/>
        <s v="MO-Municipio Cedeño"/>
        <s v="MO-Municipio Ezequiel Zamora"/>
        <s v="MO-Municipio Libertador"/>
        <s v="MO-Municipio Maturín"/>
        <s v="MO-Municipio Piar"/>
        <s v="MO-Municipio Punceres"/>
        <s v="MO-Municipio Santa Bárbara"/>
        <s v="MO-Municipio Sotillo"/>
        <s v="MO-Municipio Uracoa"/>
        <s v="NU-Municipio Antolin del Campo"/>
        <s v="NU-Municipio Arismendi"/>
        <s v="NU-Municipio Díaz"/>
        <s v="NU-Municipio García"/>
        <s v="NU-Municipio Gómez"/>
        <s v="NU-Municipio Maneiro"/>
        <s v="NU-Municipio Marcano"/>
        <s v="NU-Municipio Mariño"/>
        <s v="NU-Municipio Península de Macanao"/>
        <s v="NU-Municipio Tubores"/>
        <s v="NU-Municipio Villalba"/>
        <s v="PO-Municipio Agua Blanca"/>
        <s v="PO-Municipio Araure"/>
        <s v="PO-Municipio Esteller"/>
        <s v="PO-Municipio Guanare"/>
        <s v="PO-Municipio Guanarito"/>
        <s v="PO-Municipio Monseñor José Vicente de Unda"/>
        <s v="PO-Municipio Ospino"/>
        <s v="PO-Municipio Páez"/>
        <s v="PO-Municipio Papelón"/>
        <s v="PO-Municipio San Genaro de Boconoito"/>
        <s v="PO-Municipio San Rafael de Onoto"/>
        <s v="PO-Municipio Santa Rosalía"/>
        <s v="PO-Municipio Sucre"/>
        <s v="PO-Municipio Turen"/>
        <s v="SU-Municipio Andrés Eloy Blanco"/>
        <s v="SU-Municipio Andrés Mata"/>
        <s v="SU-Municipio Arismendi"/>
        <s v="SU-Municipio Benítez"/>
        <s v="SU-Municipio Bermúdez"/>
        <s v="SU-Municipio Bolívar"/>
        <s v="SU-Municipio Cajigal"/>
        <s v="SU-Municipio Cruz Salmeron Acosta"/>
        <s v="SU-Municipio Libertador"/>
        <s v="SU-Municipio Mariño"/>
        <s v="SU-Municipio Mejia"/>
        <s v="SU-Municipio Montes"/>
        <s v="SU-Municipio Ribero"/>
        <s v="SU-Municipio Sucre"/>
        <s v="SU-Municipio Valdez"/>
        <s v="TA-Municipio Andrés Bello"/>
        <s v="TA-Municipio Antonio Rómulo Acosta"/>
        <s v="TA-Municipio Ayacucho"/>
        <s v="TA-Municipio Bolívar"/>
        <s v="TA-Municipio Cárdenas"/>
        <s v="TA-Municipio Córdoba"/>
        <s v="TA-Municipio Fernández Feo"/>
        <s v="TA-Municipio Francisco de Miranda"/>
        <s v="TA-Municipio García de Hevia"/>
        <s v="TA-Municipio Guasimos"/>
        <s v="TA-Municipio Independencia"/>
        <s v="TA-Municipio Jáuregui"/>
        <s v="TA-Municipio José María Vargas"/>
        <s v="TA-Municipio Junín"/>
        <s v="TA-Municipio Libertad"/>
        <s v="TA-Municipio Libertador"/>
        <s v="TA-Municipio Lobatera"/>
        <s v="TA-Municipio Michelena"/>
        <s v="TA-Municipio Panamericano"/>
        <s v="TA-Municipio Pedro María Ureña"/>
        <s v="TA-Municipio Rafael Urdaneta"/>
        <s v="TA-Municipio Samuel Darío Maldonado"/>
        <s v="TA-Municipio San Cristóbal"/>
        <s v="TA-Municipio San Judas Tadeo"/>
        <s v="TA-Municipio Seboruco"/>
        <s v="TA-Municipio Simón Rodríguez"/>
        <s v="TA-Municipio Sucre"/>
        <s v="TA-Municipio Torbes"/>
        <s v="TA-Municipio Uribante"/>
        <s v="TR-Municipio Andrés Bello"/>
        <s v="TR-Municipio Bocono"/>
        <s v="TR-Municipio Bolívar"/>
        <s v="TR-Municipio Candelaria"/>
        <s v="TR-Municipio Carache"/>
        <s v="TR-Municipio Escuqué"/>
        <s v="TR-Municipio José Felipe Márquez Cañizales"/>
        <s v="TR-Municipio Juan Vicente Campo Elías"/>
        <s v="TR-Municipio La Ceiba"/>
        <s v="TR-Municipio Miranda"/>
        <s v="TR-Municipio Monte Carmelo"/>
        <s v="TR-Municipio Motatán"/>
        <s v="TR-Municipio Pampan"/>
        <s v="TR-Municipio Pampanito"/>
        <s v="TR-Municipio Rafael Rangel"/>
        <s v="TR-Municipio San Rafael de Carvajal"/>
        <s v="TR-Municipio Sucre"/>
        <s v="TR-Municipio Trujillo"/>
        <s v="TR-Municipio Urdaneta"/>
        <s v="TR-Municipio Varela"/>
        <s v="VA-Parroquia Caraballeda"/>
        <s v="VA-Parroquia Carayaca"/>
        <s v="VA-Parroquia Carlos Soublette"/>
        <s v="VA-Parroquia Caruao"/>
        <s v="VA-Parroquia Catia La Mar"/>
        <s v="VA-Parroquia El Junko"/>
        <s v="VA-Parroquia La Guaira"/>
        <s v="VA-Parroquia Macuto"/>
        <s v="VA-Parroquia Maiquetía"/>
        <s v="VA-Parroquia Naiquatá"/>
        <s v="VA-Parroquia Raúl Leoni"/>
        <s v="YA-Municipio Arístides Bastidas"/>
        <s v="YA-Municipio Bolívar"/>
        <s v="YA-Municipio Bruzual"/>
        <s v="YA-Municipio Cocorote"/>
        <s v="YA-Municipio Independencia"/>
        <s v="YA-Municipio José Antonio Páez"/>
        <s v="YA-Municipio La Trinidad"/>
        <s v="YA-Municipio Manuel Monge"/>
        <s v="YA-Municipio Nirgua"/>
        <s v="YA-Municipio Peña"/>
        <s v="YA-Municipio San Felipe"/>
        <s v="YA-Municipio Sucre"/>
        <s v="YA-Municipio Urachiche"/>
        <s v="YA-Municipio Veroes"/>
        <s v="ZU-Municipio Almirante Padilla"/>
        <s v="ZU-Municipio Baralt"/>
        <s v="ZU-Municipio Cabimas"/>
        <s v="ZU-Municipio Catatumbo"/>
        <s v="ZU-Municipio Colon"/>
        <s v="ZU-Municipio Francisco Javier Pulgar"/>
        <s v="ZU-Municipio Jesús Enrique Losada"/>
        <s v="ZU-Municipio Jesús Maria Semprun"/>
        <s v="ZU-Municipio La Cañada de Urdaneta"/>
        <s v="ZU-Municipio Lagunillas"/>
        <s v="ZU-Municipio Machiques de Perija"/>
        <s v="ZU-Municipio Mara"/>
        <s v="ZU-Municipio Maracaibo"/>
        <s v="ZU-Municipio Miranda"/>
        <s v="ZU-Municipio Páez"/>
        <s v="ZU-Municipio Rosario de Perija"/>
        <s v="ZU-Municipio San Francisco"/>
        <s v="ZU-Municipio Santa Rita"/>
        <s v="ZU-Municipio Simón Bolívar"/>
        <s v="ZU-Municipio Sucre"/>
        <s v="ZU-Municipio Valmore Rodríguez"/>
        <s v="DE-Parroquia Gran Roque"/>
        <s v="DI-Municipio Autónomo Vargas"/>
        <m/>
      </sharedItems>
    </cacheField>
    <cacheField name="ES" numFmtId="0">
      <sharedItems containsBlank="1"/>
    </cacheField>
    <cacheField name="EST" numFmtId="0">
      <sharedItems containsBlank="1" count="27">
        <s v="VARGAS"/>
        <s v="DISTRITO CAPITAL"/>
        <s v="AMAZONAS"/>
        <s v="ANZOATEGUI"/>
        <s v="APURE"/>
        <s v="ARAGUA"/>
        <s v="BARINAS"/>
        <s v="BOLIVAR"/>
        <s v="CARABOBO"/>
        <s v="COJEDES"/>
        <s v="DELTA AMACURO"/>
        <s v="FALCON"/>
        <s v="GUARICO"/>
        <s v="LARA"/>
        <s v="MERIDA"/>
        <s v="MIRANDA"/>
        <s v="MONAGAS"/>
        <s v="NUEVA ESPARTA"/>
        <s v="PORTUGUESA"/>
        <s v="SUCRE"/>
        <s v="TACHIRA"/>
        <s v="TRUJILLO"/>
        <s v="YARACUY"/>
        <s v="ZULIA"/>
        <s v="DEPENDENCIAS FEDERALES"/>
        <s v="DISTRITO FEDERAL"/>
        <m/>
      </sharedItems>
    </cacheField>
    <cacheField name="Muni" numFmtId="0">
      <sharedItems containsBlank="1" count="309">
        <s v="Municipio Autónomo Vargas"/>
        <s v="Municipio Autónomo Libertador"/>
        <s v="Parroquia Altagracia"/>
        <s v="Parroquia Antímano"/>
        <s v="Parroquia Candelaria"/>
        <s v="Parroquia Caricuao"/>
        <s v="Parroquia Catedral"/>
        <s v="Parroquia Coche"/>
        <s v="Parroquia El Junquito"/>
        <s v="Parroquia El Paraíso"/>
        <s v="Parroquia El Recreo"/>
        <s v="Parroquia El Valle"/>
        <s v="Parroquia La Pastora"/>
        <s v="Parroquia La Vega"/>
        <s v="Parroquia Macarao"/>
        <s v="Parroquia San Agustín"/>
        <s v="Parroquia San Bernardino"/>
        <s v="Parroquia San José"/>
        <s v="Parroquia San Juan"/>
        <s v="Parroquia San Pedro"/>
        <s v="Parroquia Santa Rosalía"/>
        <s v="Parroquia Santa Teresa"/>
        <s v="Parroquia Sucre"/>
        <s v="Parroquia Veintitrés de Enero"/>
        <s v="Municipio Autónomo Alto Orinoco"/>
        <s v="Municipio Autónomo Atabapo"/>
        <s v="Municipio Autónomo Atures"/>
        <s v="Municipio Autónomo Autana"/>
        <s v="Municipio Autónomo Manapiare"/>
        <s v="Municipio Autónomo Maroa"/>
        <s v="Municipio Autónomo Río Negro"/>
        <s v="Municipio Anaco"/>
        <s v="Municipio Aragua"/>
        <s v="Municipio Diego Bautista Urbaneja"/>
        <s v="Municipio Fernando Peñalver"/>
        <s v="Municipio Francisco de Miranda"/>
        <s v="Municipio Francisco del Carmen Carvajal"/>
        <s v="Municipio Guanta"/>
        <s v="Municipio Independencia"/>
        <s v="Municipio José Gregorio Monagas"/>
        <s v="Municipio Juan Antonio Sotillo"/>
        <s v="Municipio Juan Manuel Cajigal"/>
        <s v="Municipio Libertad"/>
        <s v="Municipio Manuel Ezequiel Bruzual"/>
        <s v="Municipio Pedro María Freites"/>
        <s v="Municipio Píritu"/>
        <s v="Municipio San José de Guanipa"/>
        <s v="Municipio San Juan de Capistrano"/>
        <s v="Municipio Santa Ana"/>
        <s v="Municipio Simón Bolívar"/>
        <s v="Municipio Simón Rodríguez"/>
        <s v="Municipio Sir Artur Mc. Gregor"/>
        <s v="Municipio Achaguas"/>
        <s v="Municipio Biruaca"/>
        <s v="Municipio Muños"/>
        <s v="Municipio Páez"/>
        <s v="Municipio Pedro Camejo"/>
        <s v="Municipio Rómulo Gallegos"/>
        <s v="Municipio San Fernando"/>
        <s v="Municipio Bolívar"/>
        <s v="Municipio Camatagua"/>
        <s v="Municipio Francisco Linares Alcántara"/>
        <s v="Municipio Girardot"/>
        <s v="Municipio José Ángel Lamas"/>
        <s v="Municipio José Félix Rivas"/>
        <s v="Municipio José Rafael Revenga"/>
        <s v="Municipio Libertador"/>
        <s v="Municipio Mario Briceño Iragorry"/>
        <s v="Municipio Ocumare de la Costa"/>
        <s v="Municipio San Casimiro"/>
        <s v="Municipio San Sebastián"/>
        <s v="Municipio Santiago Mariño"/>
        <s v="Municipio Santos Michelena"/>
        <s v="Municipio Sucre"/>
        <s v="Municipio Tovar"/>
        <s v="Municipio Urdaneta"/>
        <s v="Municipio Zamora"/>
        <s v="Municipio Alberto Arvelo Torrealba"/>
        <s v="Municipio Andres Eloy Blanco"/>
        <s v="Municipio Antonio José de Sucre"/>
        <s v="Municipio Arismendi"/>
        <s v="Municipio Barinas"/>
        <s v="Municipio Cruz Paredes"/>
        <s v="Municipio Ezequiel Zamora"/>
        <s v="Municipio Obispos"/>
        <s v="Municipio Pedraza"/>
        <s v="Municipio Rojas"/>
        <s v="Municipio Sosa"/>
        <s v="Municipio Caroni"/>
        <s v="Municipio Cedeño"/>
        <s v="Municipio El Callao"/>
        <s v="Municipio Gran Sabana"/>
        <s v="Municipio Heres"/>
        <s v="Municipio Padre Pedro Chien"/>
        <s v="Municipio Piar"/>
        <s v="Municipio Raúl leoni"/>
        <s v="Municipio Roscio"/>
        <s v="Municipio Sifontes"/>
        <s v="Municipio Bejuma"/>
        <s v="Municipio Carlos Arvelo"/>
        <s v="Municipio Diego Ibarra"/>
        <s v="Municipio Guacara"/>
        <s v="Municipio Juan José Mora"/>
        <s v="Municipio Los Guayos"/>
        <s v="Municipio Miranda"/>
        <s v="Municipio Montalbán"/>
        <s v="Municipio Naguanagua"/>
        <s v="Municipio Puerto Cabello"/>
        <s v="Municipio San Diego"/>
        <s v="Municipio San Joaquín"/>
        <s v="Municipio Valencia"/>
        <s v="Municipio Anzoátegui"/>
        <s v="Municipio Falcón"/>
        <s v="Municipio Lima Blanco"/>
        <s v="Municipio Pao de San Juan  Bautista"/>
        <s v="Municipio Ricaurte"/>
        <s v="Municipio San Carlos"/>
        <s v="Municipio Tinaco"/>
        <s v="Municipio Antonio Díaz"/>
        <s v="Municipio Casacoima"/>
        <s v="Municipio Pedernales"/>
        <s v="Municipio Tucupita"/>
        <s v="Municipio Acosta"/>
        <s v="Municipio Buchivacoa"/>
        <s v="Municipio Cacique Manaure"/>
        <s v="Municipio Carirubana"/>
        <s v="Municipio Colina"/>
        <s v="Municipio Dabajuro"/>
        <s v="Municipio Democracia"/>
        <s v="Municipio Federación"/>
        <s v="Municipio Jacura"/>
        <s v="Municipio Los Taques"/>
        <s v="Municipio Mauroa"/>
        <s v="Municipio Monseñor Iturriza"/>
        <s v="Municipio Palmasola"/>
        <s v="Municipio Petit"/>
        <s v="Municipio San Francisco"/>
        <s v="Municipio Silva"/>
        <s v="Municipio Tocopero"/>
        <s v="Municipio Unión"/>
        <s v="Municipio Urumaco"/>
        <s v="Municipio Camaguán"/>
        <s v="Municipio Chaguaramas"/>
        <s v="Municipio El Socorro"/>
        <s v="Municipio Guayabal"/>
        <s v="Municipio Infante"/>
        <s v="Municipio Las Mercedes"/>
        <s v="Municipio Mellado"/>
        <s v="Municipio Monagas"/>
        <s v="Municipio Ortiz"/>
        <s v="Municipio Ribas"/>
        <s v="Municipio San José de Guaribe"/>
        <s v="Municipio Santa Maria de Ipire"/>
        <s v="Municipio Zaraza"/>
        <s v="Municipio Andrés Eloy Blanco"/>
        <s v="Municipio Crespo"/>
        <s v="Municipio Iribarren"/>
        <s v="Municipio Jiménez"/>
        <s v="Municipio Moran"/>
        <s v="Municipio Palavecino"/>
        <s v="Municipio Simón Planas"/>
        <s v="Municipio Torres"/>
        <s v="Municipio Alberto Adrián"/>
        <s v="Municipio Andrés Bello"/>
        <s v="Municipio Antonio Pinto Salinas"/>
        <s v="Municipio Aricagua"/>
        <s v="Municipio Arzobispo Chacón"/>
        <s v="Municipio Campo  Elías"/>
        <s v="Municipio Cardenal Quintero"/>
        <s v="Municipio Carracciolo Parra Olmedo"/>
        <s v="Municipio Guaraque"/>
        <s v="Municipio Julio Cesar Salas"/>
        <s v="Municipio Justo Briceño"/>
        <s v="Municipio Obispo Ramos de Lora"/>
        <s v="Municipio Padre Noguera"/>
        <s v="Municipio Pueblo Llano"/>
        <s v="Municipio Rangel"/>
        <s v="Municipio Rivas Dávila"/>
        <s v="Municipio Santos Marquina"/>
        <s v="Municipio Tulio Febres Cordero"/>
        <s v="Municipio Zea"/>
        <s v="Municipio Acevedo"/>
        <s v="Municipio Baruta"/>
        <s v="Municipio Brion"/>
        <s v="Municipio Buroz"/>
        <s v="Municipio Carrizal"/>
        <s v="Municipio Chacao"/>
        <s v="Municipio Cristóbal Rojas"/>
        <s v="Municipio El Hatillo"/>
        <s v="Municipio Guaicaipuro"/>
        <s v="Municipio Lander"/>
        <s v="Municipio Los Salías"/>
        <s v="Municipio Paz Castillo"/>
        <s v="Municipio Pedro Gual"/>
        <s v="Municipio Plaza"/>
        <s v="Municipio Aguasay"/>
        <s v="Municipio Caripe"/>
        <s v="Municipio Maturín"/>
        <s v="Municipio Punceres"/>
        <s v="Municipio Santa Bárbara"/>
        <s v="Municipio Sotillo"/>
        <s v="Municipio Uracoa"/>
        <s v="Municipio Antolin del Campo"/>
        <s v="Municipio Díaz"/>
        <s v="Municipio García"/>
        <s v="Municipio Gómez"/>
        <s v="Municipio Maneiro"/>
        <s v="Municipio Marcano"/>
        <s v="Municipio Mariño"/>
        <s v="Municipio Península de Macanao"/>
        <s v="Municipio Tubores"/>
        <s v="Municipio Villalba"/>
        <s v="Municipio Agua Blanca"/>
        <s v="Municipio Araure"/>
        <s v="Municipio Esteller"/>
        <s v="Municipio Guanare"/>
        <s v="Municipio Guanarito"/>
        <s v="Municipio Monseñor José Vicente de Unda"/>
        <s v="Municipio Ospino"/>
        <s v="Municipio Papelón"/>
        <s v="Municipio San Genaro de Boconoito"/>
        <s v="Municipio San Rafael de Onoto"/>
        <s v="Municipio Santa Rosalía"/>
        <s v="Municipio Turen"/>
        <s v="Municipio Andrés Mata"/>
        <s v="Municipio Benítez"/>
        <s v="Municipio Bermúdez"/>
        <s v="Municipio Cajigal"/>
        <s v="Municipio Cruz Salmeron Acosta"/>
        <s v="Municipio Mejia"/>
        <s v="Municipio Montes"/>
        <s v="Municipio Ribero"/>
        <s v="Municipio Valdez"/>
        <s v="Municipio Antonio Rómulo Acosta"/>
        <s v="Municipio Ayacucho"/>
        <s v="Municipio Cárdenas"/>
        <s v="Municipio Córdoba"/>
        <s v="Municipio Fernández Feo"/>
        <s v="Municipio García de Hevia"/>
        <s v="Municipio Guasimos"/>
        <s v="Municipio Jáuregui"/>
        <s v="Municipio José María Vargas"/>
        <s v="Municipio Junín"/>
        <s v="Municipio Lobatera"/>
        <s v="Municipio Michelena"/>
        <s v="Municipio Panamericano"/>
        <s v="Municipio Pedro María Ureña"/>
        <s v="Municipio Rafael Urdaneta"/>
        <s v="Municipio Samuel Darío Maldonado"/>
        <s v="Municipio San Cristóbal"/>
        <s v="Municipio San Judas Tadeo"/>
        <s v="Municipio Seboruco"/>
        <s v="Municipio Torbes"/>
        <s v="Municipio Uribante"/>
        <s v="Municipio Bocono"/>
        <s v="Municipio Candelaria"/>
        <s v="Municipio Carache"/>
        <s v="Municipio Escuqué"/>
        <s v="Municipio José Felipe Márquez Cañizales"/>
        <s v="Municipio Juan Vicente Campo Elías"/>
        <s v="Municipio La Ceiba"/>
        <s v="Municipio Monte Carmelo"/>
        <s v="Municipio Motatán"/>
        <s v="Municipio Pampan"/>
        <s v="Municipio Pampanito"/>
        <s v="Municipio Rafael Rangel"/>
        <s v="Municipio San Rafael de Carvajal"/>
        <s v="Municipio Trujillo"/>
        <s v="Municipio Varela"/>
        <s v="Parroquia Caraballeda"/>
        <s v="Parroquia Carayaca"/>
        <s v="Parroquia Carlos Soublette"/>
        <s v="Parroquia Caruao"/>
        <s v="Parroquia Catia La Mar"/>
        <s v="Parroquia El Junko"/>
        <s v="Parroquia La Guaira"/>
        <s v="Parroquia Macuto"/>
        <s v="Parroquia Maiquetía"/>
        <s v="Parroquia Naiquatá"/>
        <s v="Parroquia Raúl Leoni"/>
        <s v="Municipio Arístides Bastidas"/>
        <s v="Municipio Bruzual"/>
        <s v="Municipio Cocorote"/>
        <s v="Municipio José Antonio Páez"/>
        <s v="Municipio La Trinidad"/>
        <s v="Municipio Manuel Monge"/>
        <s v="Municipio Nirgua"/>
        <s v="Municipio Peña"/>
        <s v="Municipio San Felipe"/>
        <s v="Municipio Urachiche"/>
        <s v="Municipio Veroes"/>
        <s v="Municipio Almirante Padilla"/>
        <s v="Municipio Baralt"/>
        <s v="Municipio Cabimas"/>
        <s v="Municipio Catatumbo"/>
        <s v="Municipio Colon"/>
        <s v="Municipio Francisco Javier Pulgar"/>
        <s v="Municipio Jesús Enrique Losada"/>
        <s v="Municipio Jesús Maria Semprun"/>
        <s v="Municipio La Cañada de Urdaneta"/>
        <s v="Municipio Lagunillas"/>
        <s v="Municipio Machiques de Perija"/>
        <s v="Municipio Mara"/>
        <s v="Municipio Maracaibo"/>
        <s v="Municipio Rosario de Perija"/>
        <s v="Municipio Santa Rita"/>
        <s v="Municipio Valmore Rodríguez"/>
        <s v="Parroquia Gran Roque"/>
        <m/>
      </sharedItems>
    </cacheField>
    <cacheField name="Total" numFmtId="0">
      <sharedItems containsString="0" containsBlank="1" containsNumber="1" containsInteger="1" minValue="0" maxValue="14475"/>
    </cacheField>
    <cacheField name="H" numFmtId="0">
      <sharedItems containsBlank="1" containsMixedTypes="1" containsNumber="1" minValue="0" maxValue="6736"/>
    </cacheField>
    <cacheField name="M" numFmtId="0">
      <sharedItems containsBlank="1" containsMixedTypes="1" containsNumber="1" minValue="0" maxValue="52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0">
  <r>
    <s v="VA-Municipio Autónomo Vargas"/>
    <s v="VA"/>
    <x v="0"/>
    <s v="Municipio Autónomo Vargas"/>
    <n v="0"/>
    <n v="0"/>
    <n v="0"/>
  </r>
  <r>
    <s v="DI-Municipio Autónomo Vargas"/>
    <s v="DI"/>
    <x v="1"/>
    <s v="Municipio Autónomo Vargas"/>
    <n v="1354"/>
    <n v="0"/>
    <n v="0"/>
  </r>
  <r>
    <s v="DI-Municipio Autónomo Libertador"/>
    <s v="DI"/>
    <x v="2"/>
    <s v="Municipio Autónomo Libertador"/>
    <n v="13512"/>
    <n v="0"/>
    <n v="0"/>
  </r>
  <r>
    <s v="DI-Parroquia Altagracia"/>
    <s v="DI"/>
    <x v="2"/>
    <s v="Parroquia Altagracia"/>
    <n v="0"/>
    <n v="0"/>
    <n v="0"/>
  </r>
  <r>
    <s v="DI-Parroquia Antímano"/>
    <s v="DI"/>
    <x v="2"/>
    <s v="Parroquia Antímano"/>
    <n v="0"/>
    <n v="0"/>
    <n v="0"/>
  </r>
  <r>
    <s v="DI-Parroquia Candelaria"/>
    <s v="DI"/>
    <x v="2"/>
    <s v="Parroquia Candelaria"/>
    <n v="0"/>
    <n v="0"/>
    <n v="0"/>
  </r>
  <r>
    <s v="DI-Parroquia Caricuao"/>
    <s v="DI"/>
    <x v="2"/>
    <s v="Parroquia Caricuao"/>
    <n v="0"/>
    <n v="0"/>
    <n v="0"/>
  </r>
  <r>
    <s v="DI-Parroquia Catedral"/>
    <s v="DI"/>
    <x v="2"/>
    <s v="Parroquia Catedral"/>
    <n v="0"/>
    <n v="0"/>
    <n v="0"/>
  </r>
  <r>
    <s v="DI-Parroquia Coche"/>
    <s v="DI"/>
    <x v="2"/>
    <s v="Parroquia Coche"/>
    <n v="0"/>
    <n v="0"/>
    <n v="0"/>
  </r>
  <r>
    <s v="DI-Parroquia El Junquito"/>
    <s v="DI"/>
    <x v="2"/>
    <s v="Parroquia El Junquito"/>
    <n v="0"/>
    <n v="0"/>
    <n v="0"/>
  </r>
  <r>
    <s v="DI-Parroquia El Paraíso"/>
    <s v="DI"/>
    <x v="2"/>
    <s v="Parroquia El Paraíso"/>
    <n v="0"/>
    <n v="0"/>
    <n v="0"/>
  </r>
  <r>
    <s v="DI-Parroquia El Recreo"/>
    <s v="DI"/>
    <x v="2"/>
    <s v="Parroquia El Recreo"/>
    <n v="0"/>
    <n v="0"/>
    <n v="0"/>
  </r>
  <r>
    <s v="DI-Parroquia El Valle"/>
    <s v="DI"/>
    <x v="2"/>
    <s v="Parroquia El Valle"/>
    <n v="0"/>
    <n v="0"/>
    <n v="0"/>
  </r>
  <r>
    <s v="DI-Parroquia La Pastora"/>
    <s v="DI"/>
    <x v="2"/>
    <s v="Parroquia La Pastora"/>
    <n v="0"/>
    <n v="0"/>
    <n v="0"/>
  </r>
  <r>
    <s v="DI-Parroquia La Vega"/>
    <s v="DI"/>
    <x v="2"/>
    <s v="Parroquia La Vega"/>
    <n v="0"/>
    <n v="0"/>
    <n v="0"/>
  </r>
  <r>
    <s v="DI-Parroquia Macarao"/>
    <s v="DI"/>
    <x v="2"/>
    <s v="Parroquia Macarao"/>
    <n v="0"/>
    <n v="0"/>
    <n v="0"/>
  </r>
  <r>
    <s v="DI-Parroquia San Agustín"/>
    <s v="DI"/>
    <x v="2"/>
    <s v="Parroquia San Agustín"/>
    <n v="0"/>
    <n v="0"/>
    <n v="0"/>
  </r>
  <r>
    <s v="DI-Parroquia San Bernardino"/>
    <s v="DI"/>
    <x v="2"/>
    <s v="Parroquia San Bernardino"/>
    <n v="0"/>
    <n v="0"/>
    <n v="0"/>
  </r>
  <r>
    <s v="DI-Parroquia San José"/>
    <s v="DI"/>
    <x v="2"/>
    <s v="Parroquia San José"/>
    <n v="0"/>
    <n v="0"/>
    <n v="0"/>
  </r>
  <r>
    <s v="DI-Parroquia San Juan"/>
    <s v="DI"/>
    <x v="2"/>
    <s v="Parroquia San Juan"/>
    <n v="0"/>
    <n v="0"/>
    <n v="0"/>
  </r>
  <r>
    <s v="DI-Parroquia San Pedro"/>
    <s v="DI"/>
    <x v="2"/>
    <s v="Parroquia San Pedro"/>
    <n v="0"/>
    <n v="0"/>
    <n v="0"/>
  </r>
  <r>
    <s v="DI-Parroquia Santa Rosalía"/>
    <s v="DI"/>
    <x v="2"/>
    <s v="Parroquia Santa Rosalía"/>
    <n v="0"/>
    <n v="0"/>
    <n v="0"/>
  </r>
  <r>
    <s v="DI-Parroquia Santa Teresa"/>
    <s v="DI"/>
    <x v="2"/>
    <s v="Parroquia Santa Teresa"/>
    <n v="0"/>
    <n v="0"/>
    <n v="0"/>
  </r>
  <r>
    <s v="DI-Parroquia Sucre"/>
    <s v="DI"/>
    <x v="2"/>
    <s v="Parroquia Sucre"/>
    <n v="0"/>
    <n v="0"/>
    <n v="0"/>
  </r>
  <r>
    <s v="DI-Parroquia Veintitrés de Enero"/>
    <s v="DI"/>
    <x v="2"/>
    <s v="Parroquia Veintitrés de Enero"/>
    <n v="0"/>
    <n v="0"/>
    <n v="0"/>
  </r>
  <r>
    <s v="AM-Municipio Autónomo Alto Orinoco"/>
    <s v="AM"/>
    <x v="3"/>
    <s v="Municipio Autónomo Alto Orinoco"/>
    <n v="59"/>
    <n v="0"/>
    <n v="0"/>
  </r>
  <r>
    <s v="AM-Municipio Autónomo Atabapo"/>
    <s v="AM"/>
    <x v="3"/>
    <s v="Municipio Autónomo Atabapo"/>
    <n v="4"/>
    <n v="0"/>
    <n v="0"/>
  </r>
  <r>
    <s v="AM-Municipio Autónomo Atures"/>
    <s v="AM"/>
    <x v="3"/>
    <s v="Municipio Autónomo Atures"/>
    <n v="316"/>
    <n v="0"/>
    <n v="0"/>
  </r>
  <r>
    <s v="AM-Municipio Autónomo Autana"/>
    <s v="AM"/>
    <x v="3"/>
    <s v="Municipio Autónomo Autana"/>
    <n v="1"/>
    <n v="0"/>
    <n v="0"/>
  </r>
  <r>
    <s v="AM-Municipio Autónomo Manapiare"/>
    <s v="AM"/>
    <x v="3"/>
    <s v="Municipio Autónomo Manapiare"/>
    <n v="4"/>
    <n v="0"/>
    <n v="0"/>
  </r>
  <r>
    <s v="AM-Municipio Autónomo Maroa"/>
    <s v="AM"/>
    <x v="3"/>
    <s v="Municipio Autónomo Maroa"/>
    <n v="6"/>
    <n v="0"/>
    <n v="0"/>
  </r>
  <r>
    <s v="AM-Municipio Autónomo Río Negro"/>
    <s v="AM"/>
    <x v="3"/>
    <s v="Municipio Autónomo Río Negro"/>
    <n v="6"/>
    <n v="0"/>
    <n v="0"/>
  </r>
  <r>
    <s v="AN-Municipio Anaco"/>
    <s v="AN"/>
    <x v="4"/>
    <s v="Municipio Anaco"/>
    <n v="212"/>
    <n v="0"/>
    <n v="0"/>
  </r>
  <r>
    <s v="AN-Municipio Aragua"/>
    <s v="AN"/>
    <x v="4"/>
    <s v="Municipio Aragua"/>
    <n v="91"/>
    <n v="0"/>
    <n v="0"/>
  </r>
  <r>
    <s v="AN-Municipio Diego Bautista Urbaneja"/>
    <s v="AN"/>
    <x v="4"/>
    <s v="Municipio Diego Bautista Urbaneja"/>
    <n v="67"/>
    <n v="0"/>
    <n v="0"/>
  </r>
  <r>
    <s v="AN-Municipio Fernando Peñalver"/>
    <s v="AN"/>
    <x v="4"/>
    <s v="Municipio Fernando Peñalver"/>
    <n v="34"/>
    <n v="0"/>
    <n v="0"/>
  </r>
  <r>
    <s v="AN-Municipio Francisco de Miranda"/>
    <s v="AN"/>
    <x v="4"/>
    <s v="Municipio Francisco de Miranda"/>
    <n v="65"/>
    <n v="0"/>
    <n v="0"/>
  </r>
  <r>
    <s v="AN-Municipio Francisco del Carmen Carvajal"/>
    <s v="AN"/>
    <x v="4"/>
    <s v="Municipio Francisco del Carmen Carvajal"/>
    <n v="36"/>
    <n v="0"/>
    <n v="0"/>
  </r>
  <r>
    <s v="AN-Municipio Guanta"/>
    <s v="AN"/>
    <x v="4"/>
    <s v="Municipio Guanta"/>
    <n v="42"/>
    <n v="0"/>
    <n v="0"/>
  </r>
  <r>
    <s v="AN-Municipio Independencia"/>
    <s v="AN"/>
    <x v="4"/>
    <s v="Municipio Independencia"/>
    <n v="66"/>
    <n v="0"/>
    <n v="0"/>
  </r>
  <r>
    <s v="AN-Municipio José Gregorio Monagas"/>
    <s v="AN"/>
    <x v="4"/>
    <s v="Municipio José Gregorio Monagas"/>
    <n v="26"/>
    <n v="0"/>
    <n v="0"/>
  </r>
  <r>
    <s v="AN-Municipio Juan Antonio Sotillo"/>
    <s v="AN"/>
    <x v="4"/>
    <s v="Municipio Juan Antonio Sotillo"/>
    <n v="497"/>
    <n v="0"/>
    <n v="0"/>
  </r>
  <r>
    <s v="AN-Municipio Juan Manuel Cajigal"/>
    <s v="AN"/>
    <x v="4"/>
    <s v="Municipio Juan Manuel Cajigal"/>
    <n v="24"/>
    <n v="0"/>
    <n v="0"/>
  </r>
  <r>
    <s v="AN-Municipio Libertad"/>
    <s v="AN"/>
    <x v="4"/>
    <s v="Municipio Libertad"/>
    <n v="29"/>
    <n v="0"/>
    <n v="0"/>
  </r>
  <r>
    <s v="AN-Municipio Manuel Ezequiel Bruzual"/>
    <s v="AN"/>
    <x v="4"/>
    <s v="Municipio Manuel Ezequiel Bruzual"/>
    <n v="70"/>
    <n v="0"/>
    <n v="0"/>
  </r>
  <r>
    <s v="AN-Municipio Pedro María Freites"/>
    <s v="AN"/>
    <x v="4"/>
    <s v="Municipio Pedro María Freites"/>
    <n v="183"/>
    <n v="0"/>
    <n v="0"/>
  </r>
  <r>
    <s v="AN-Municipio Píritu"/>
    <s v="AN"/>
    <x v="4"/>
    <s v="Municipio Píritu"/>
    <n v="35"/>
    <n v="0"/>
    <n v="0"/>
  </r>
  <r>
    <s v="AN-Municipio San José de Guanipa"/>
    <s v="AN"/>
    <x v="4"/>
    <s v="Municipio San José de Guanipa"/>
    <n v="108"/>
    <n v="0"/>
    <n v="0"/>
  </r>
  <r>
    <s v="AN-Municipio San Juan de Capistrano"/>
    <s v="AN"/>
    <x v="4"/>
    <s v="Municipio San Juan de Capistrano"/>
    <n v="42"/>
    <n v="0"/>
    <n v="0"/>
  </r>
  <r>
    <s v="AN-Municipio Santa Ana"/>
    <s v="AN"/>
    <x v="4"/>
    <s v="Municipio Santa Ana"/>
    <n v="22"/>
    <n v="0"/>
    <n v="0"/>
  </r>
  <r>
    <s v="AN-Municipio Simón Bolívar"/>
    <s v="AN"/>
    <x v="4"/>
    <s v="Municipio Simón Bolívar"/>
    <n v="1057"/>
    <n v="0"/>
    <n v="0"/>
  </r>
  <r>
    <s v="AN-Municipio Simón Rodríguez"/>
    <s v="AN"/>
    <x v="4"/>
    <s v="Municipio Simón Rodríguez"/>
    <n v="532"/>
    <n v="0"/>
    <n v="0"/>
  </r>
  <r>
    <s v="AN-Municipio Sir Artur Mc. Gregor"/>
    <s v="AN"/>
    <x v="4"/>
    <s v="Municipio Sir Artur Mc. Gregor"/>
    <n v="24"/>
    <n v="0"/>
    <n v="0"/>
  </r>
  <r>
    <s v="AP-Municipio Achaguas"/>
    <s v="AP"/>
    <x v="5"/>
    <s v="Municipio Achaguas"/>
    <n v="126"/>
    <n v="0"/>
    <n v="0"/>
  </r>
  <r>
    <s v="AP-Municipio Biruaca"/>
    <s v="AP"/>
    <x v="5"/>
    <s v="Municipio Biruaca"/>
    <n v="47"/>
    <n v="0"/>
    <n v="0"/>
  </r>
  <r>
    <s v="AP-Municipio Muños"/>
    <s v="AP"/>
    <x v="5"/>
    <s v="Municipio Muños"/>
    <n v="33"/>
    <n v="0"/>
    <n v="0"/>
  </r>
  <r>
    <s v="AP-Municipio Páez"/>
    <s v="AP"/>
    <x v="5"/>
    <s v="Municipio Páez"/>
    <n v="201"/>
    <n v="0"/>
    <n v="0"/>
  </r>
  <r>
    <s v="AP-Municipio Pedro Camejo"/>
    <s v="AP"/>
    <x v="5"/>
    <s v="Municipio Pedro Camejo"/>
    <n v="25"/>
    <n v="0"/>
    <n v="0"/>
  </r>
  <r>
    <s v="AP-Municipio Rómulo Gallegos"/>
    <s v="AP"/>
    <x v="5"/>
    <s v="Municipio Rómulo Gallegos"/>
    <n v="30"/>
    <n v="0"/>
    <n v="0"/>
  </r>
  <r>
    <s v="AP-Municipio San Fernando"/>
    <s v="AP"/>
    <x v="5"/>
    <s v="Municipio San Fernando"/>
    <n v="761"/>
    <n v="0"/>
    <n v="0"/>
  </r>
  <r>
    <s v="AR-Municipio Bolívar"/>
    <s v="AR"/>
    <x v="6"/>
    <s v="Municipio Bolívar"/>
    <n v="90"/>
    <n v="0"/>
    <n v="0"/>
  </r>
  <r>
    <s v="AR-Municipio Camatagua"/>
    <s v="AR"/>
    <x v="6"/>
    <s v="Municipio Camatagua"/>
    <n v="51"/>
    <n v="0"/>
    <n v="0"/>
  </r>
  <r>
    <s v="AR-Municipio Francisco Linares Alcántara"/>
    <s v="AR"/>
    <x v="6"/>
    <s v="Municipio Francisco Linares Alcántara"/>
    <n v="0"/>
    <n v="0"/>
    <n v="0"/>
  </r>
  <r>
    <s v="AR-Municipio Girardot"/>
    <s v="AR"/>
    <x v="6"/>
    <s v="Municipio Girardot"/>
    <n v="2996"/>
    <n v="0"/>
    <n v="0"/>
  </r>
  <r>
    <s v="AR-Municipio José Ángel Lamas"/>
    <s v="AR"/>
    <x v="6"/>
    <s v="Municipio José Ángel Lamas"/>
    <n v="65"/>
    <n v="0"/>
    <n v="0"/>
  </r>
  <r>
    <s v="AR-Municipio José Félix Rivas"/>
    <s v="AR"/>
    <x v="6"/>
    <s v="Municipio José Félix Rivas"/>
    <n v="721"/>
    <n v="0"/>
    <n v="0"/>
  </r>
  <r>
    <s v="AR-Municipio José Rafael Revenga"/>
    <s v="AR"/>
    <x v="6"/>
    <s v="Municipio José Rafael Revenga"/>
    <n v="98"/>
    <n v="0"/>
    <n v="0"/>
  </r>
  <r>
    <s v="AR-Municipio Libertador"/>
    <s v="AR"/>
    <x v="6"/>
    <s v="Municipio Libertador"/>
    <n v="308"/>
    <n v="0"/>
    <n v="0"/>
  </r>
  <r>
    <s v="AR-Municipio Mario Briceño Iragorry"/>
    <s v="AR"/>
    <x v="6"/>
    <s v="Municipio Mario Briceño Iragorry"/>
    <n v="237"/>
    <n v="0"/>
    <n v="0"/>
  </r>
  <r>
    <s v="AR-Municipio Ocumare de la Costa"/>
    <s v="AR"/>
    <x v="6"/>
    <s v="Municipio Ocumare de la Costa"/>
    <n v="0"/>
    <n v="0"/>
    <n v="0"/>
  </r>
  <r>
    <s v="AR-Municipio San Casimiro"/>
    <s v="AR"/>
    <x v="6"/>
    <s v="Municipio San Casimiro"/>
    <n v="84"/>
    <n v="0"/>
    <n v="0"/>
  </r>
  <r>
    <s v="AR-Municipio San Sebastián"/>
    <s v="AR"/>
    <x v="6"/>
    <s v="Municipio San Sebastián"/>
    <n v="82"/>
    <n v="0"/>
    <n v="0"/>
  </r>
  <r>
    <s v="AR-Municipio Santiago Mariño"/>
    <s v="AR"/>
    <x v="6"/>
    <s v="Municipio Santiago Mariño"/>
    <n v="434"/>
    <n v="0"/>
    <n v="0"/>
  </r>
  <r>
    <s v="AR-Municipio Santos Michelena"/>
    <s v="AR"/>
    <x v="6"/>
    <s v="Municipio Santos Michelena"/>
    <n v="73"/>
    <n v="0"/>
    <n v="0"/>
  </r>
  <r>
    <s v="AR-Municipio Sucre"/>
    <s v="AR"/>
    <x v="6"/>
    <s v="Municipio Sucre"/>
    <n v="294"/>
    <n v="0"/>
    <n v="0"/>
  </r>
  <r>
    <s v="AR-Municipio Tovar"/>
    <s v="AR"/>
    <x v="6"/>
    <s v="Municipio Tovar"/>
    <n v="36"/>
    <n v="0"/>
    <n v="0"/>
  </r>
  <r>
    <s v="AR-Municipio Urdaneta"/>
    <s v="AR"/>
    <x v="6"/>
    <s v="Municipio Urdaneta"/>
    <n v="70"/>
    <n v="0"/>
    <n v="0"/>
  </r>
  <r>
    <s v="AR-Municipio Zamora"/>
    <s v="AR"/>
    <x v="6"/>
    <s v="Municipio Zamora"/>
    <n v="419"/>
    <n v="0"/>
    <n v="0"/>
  </r>
  <r>
    <s v="BA-Municipio Alberto Arvelo Torrealba"/>
    <s v="BA"/>
    <x v="7"/>
    <s v="Municipio Alberto Arvelo Torrealba"/>
    <n v="129"/>
    <n v="0"/>
    <n v="0"/>
  </r>
  <r>
    <s v="BA-Municipio Andres Eloy Blanco"/>
    <s v="BA"/>
    <x v="7"/>
    <s v="Municipio Andres Eloy Blanco"/>
    <n v="0"/>
    <n v="0"/>
    <n v="0"/>
  </r>
  <r>
    <s v="BA-Municipio Antonio José de Sucre"/>
    <s v="BA"/>
    <x v="7"/>
    <s v="Municipio Antonio José de Sucre"/>
    <n v="160"/>
    <n v="0"/>
    <n v="0"/>
  </r>
  <r>
    <s v="BA-Municipio Arismendi"/>
    <s v="BA"/>
    <x v="7"/>
    <s v="Municipio Arismendi"/>
    <n v="38"/>
    <n v="0"/>
    <n v="0"/>
  </r>
  <r>
    <s v="BA-Municipio Barinas"/>
    <s v="BA"/>
    <x v="7"/>
    <s v="Municipio Barinas"/>
    <n v="1281"/>
    <n v="0"/>
    <n v="0"/>
  </r>
  <r>
    <s v="BA-Municipio Bolívar"/>
    <s v="BA"/>
    <x v="7"/>
    <s v="Municipio Bolívar"/>
    <n v="135"/>
    <n v="0"/>
    <n v="0"/>
  </r>
  <r>
    <s v="BA-Municipio Cruz Paredes"/>
    <s v="BA"/>
    <x v="7"/>
    <s v="Municipio Cruz Paredes"/>
    <n v="58"/>
    <n v="0"/>
    <n v="0"/>
  </r>
  <r>
    <s v="BA-Municipio Ezequiel Zamora"/>
    <s v="BA"/>
    <x v="7"/>
    <s v="Municipio Ezequiel Zamora"/>
    <n v="193"/>
    <n v="0"/>
    <n v="0"/>
  </r>
  <r>
    <s v="BA-Municipio Obispos"/>
    <s v="BA"/>
    <x v="7"/>
    <s v="Municipio Obispos"/>
    <n v="54"/>
    <n v="0"/>
    <n v="0"/>
  </r>
  <r>
    <s v="BA-Municipio Pedraza"/>
    <s v="BA"/>
    <x v="7"/>
    <s v="Municipio Pedraza"/>
    <n v="149"/>
    <n v="0"/>
    <n v="0"/>
  </r>
  <r>
    <s v="BA-Municipio Rojas"/>
    <s v="BA"/>
    <x v="7"/>
    <s v="Municipio Rojas"/>
    <n v="88"/>
    <n v="0"/>
    <n v="0"/>
  </r>
  <r>
    <s v="BA-Municipio Sosa"/>
    <s v="BA"/>
    <x v="7"/>
    <s v="Municipio Sosa"/>
    <n v="36"/>
    <n v="0"/>
    <n v="0"/>
  </r>
  <r>
    <s v="BO-Municipio Caroni"/>
    <s v="BO"/>
    <x v="8"/>
    <s v="Municipio Caroni"/>
    <n v="2491"/>
    <n v="0"/>
    <n v="0"/>
  </r>
  <r>
    <s v="BO-Municipio Cedeño"/>
    <s v="BO"/>
    <x v="8"/>
    <s v="Municipio Cedeño"/>
    <n v="187"/>
    <n v="0"/>
    <n v="0"/>
  </r>
  <r>
    <s v="BO-Municipio El Callao"/>
    <s v="BO"/>
    <x v="8"/>
    <s v="Municipio El Callao"/>
    <n v="70"/>
    <n v="0"/>
    <n v="0"/>
  </r>
  <r>
    <s v="BO-Municipio Gran Sabana"/>
    <s v="BO"/>
    <x v="8"/>
    <s v="Municipio Gran Sabana"/>
    <n v="24"/>
    <n v="0"/>
    <n v="0"/>
  </r>
  <r>
    <s v="BO-Municipio Heres"/>
    <s v="BO"/>
    <x v="8"/>
    <s v="Municipio Heres"/>
    <n v="1691"/>
    <n v="0"/>
    <n v="0"/>
  </r>
  <r>
    <s v="BO-Municipio Padre Pedro Chien"/>
    <s v="BO"/>
    <x v="8"/>
    <s v="Municipio Padre Pedro Chien"/>
    <n v="0"/>
    <n v="0"/>
    <n v="0"/>
  </r>
  <r>
    <s v="BO-Municipio Piar"/>
    <s v="BO"/>
    <x v="8"/>
    <s v="Municipio Piar"/>
    <n v="354"/>
    <n v="0"/>
    <n v="0"/>
  </r>
  <r>
    <s v="BO-Municipio Raúl leoni"/>
    <s v="BO"/>
    <x v="8"/>
    <s v="Municipio Raúl leoni"/>
    <n v="24"/>
    <n v="0"/>
    <n v="0"/>
  </r>
  <r>
    <s v="BO-Municipio Roscio"/>
    <s v="BO"/>
    <x v="8"/>
    <s v="Municipio Roscio"/>
    <n v="53"/>
    <n v="0"/>
    <n v="0"/>
  </r>
  <r>
    <s v="BO-Municipio Sifontes"/>
    <s v="BO"/>
    <x v="8"/>
    <s v="Municipio Sifontes"/>
    <n v="149"/>
    <n v="0"/>
    <n v="0"/>
  </r>
  <r>
    <s v="BO-Municipio Sucre"/>
    <s v="BO"/>
    <x v="8"/>
    <s v="Municipio Sucre"/>
    <n v="4"/>
    <n v="0"/>
    <n v="0"/>
  </r>
  <r>
    <s v="CA-Municipio Bejuma"/>
    <s v="CA"/>
    <x v="9"/>
    <s v="Municipio Bejuma"/>
    <n v="255"/>
    <n v="0"/>
    <n v="0"/>
  </r>
  <r>
    <s v="CA-Municipio Carlos Arvelo"/>
    <s v="CA"/>
    <x v="9"/>
    <s v="Municipio Carlos Arvelo"/>
    <n v="365"/>
    <n v="0"/>
    <n v="0"/>
  </r>
  <r>
    <s v="CA-Municipio Diego Ibarra"/>
    <s v="CA"/>
    <x v="9"/>
    <s v="Municipio Diego Ibarra"/>
    <n v="232"/>
    <n v="0"/>
    <n v="0"/>
  </r>
  <r>
    <s v="CA-Municipio Guacara"/>
    <s v="CA"/>
    <x v="9"/>
    <s v="Municipio Guacara"/>
    <n v="356"/>
    <n v="0"/>
    <n v="0"/>
  </r>
  <r>
    <s v="CA-Municipio Juan José Mora"/>
    <s v="CA"/>
    <x v="9"/>
    <s v="Municipio Juan José Mora"/>
    <n v="144"/>
    <n v="0"/>
    <n v="0"/>
  </r>
  <r>
    <s v="CA-Municipio Libertador"/>
    <s v="CA"/>
    <x v="9"/>
    <s v="Municipio Libertador"/>
    <n v="351"/>
    <n v="0"/>
    <n v="0"/>
  </r>
  <r>
    <s v="CA-Municipio Los Guayos"/>
    <s v="CA"/>
    <x v="9"/>
    <s v="Municipio Los Guayos"/>
    <n v="192"/>
    <n v="0"/>
    <n v="0"/>
  </r>
  <r>
    <s v="CA-Municipio Miranda"/>
    <s v="CA"/>
    <x v="9"/>
    <s v="Municipio Miranda"/>
    <n v="71"/>
    <n v="0"/>
    <n v="0"/>
  </r>
  <r>
    <s v="CA-Municipio Montalbán"/>
    <s v="CA"/>
    <x v="9"/>
    <s v="Municipio Montalbán"/>
    <n v="37"/>
    <n v="0"/>
    <n v="0"/>
  </r>
  <r>
    <s v="CA-Municipio Naguanagua"/>
    <s v="CA"/>
    <x v="9"/>
    <s v="Municipio Naguanagua"/>
    <n v="856"/>
    <n v="0"/>
    <n v="0"/>
  </r>
  <r>
    <s v="CA-Municipio Puerto Cabello"/>
    <s v="CA"/>
    <x v="9"/>
    <s v="Municipio Puerto Cabello"/>
    <n v="923"/>
    <n v="0"/>
    <n v="0"/>
  </r>
  <r>
    <s v="CA-Municipio San Diego"/>
    <s v="CA"/>
    <x v="9"/>
    <s v="Municipio San Diego"/>
    <n v="88"/>
    <n v="0"/>
    <n v="0"/>
  </r>
  <r>
    <s v="CA-Municipio San Joaquín"/>
    <s v="CA"/>
    <x v="9"/>
    <s v="Municipio San Joaquín"/>
    <n v="83"/>
    <n v="0"/>
    <n v="0"/>
  </r>
  <r>
    <s v="CA-Municipio Valencia"/>
    <s v="CA"/>
    <x v="9"/>
    <s v="Municipio Valencia"/>
    <n v="4007"/>
    <n v="0"/>
    <n v="0"/>
  </r>
  <r>
    <s v="CO-Municipio Anzoátegui"/>
    <s v="CO"/>
    <x v="10"/>
    <s v="Municipio Anzoátegui"/>
    <n v="25"/>
    <n v="0"/>
    <n v="0"/>
  </r>
  <r>
    <s v="CO-Municipio Falcón"/>
    <s v="CO"/>
    <x v="10"/>
    <s v="Municipio Falcón"/>
    <n v="254"/>
    <n v="0"/>
    <n v="0"/>
  </r>
  <r>
    <s v="CO-Municipio Girardot"/>
    <s v="CO"/>
    <x v="10"/>
    <s v="Municipio Girardot"/>
    <n v="26"/>
    <n v="0"/>
    <n v="0"/>
  </r>
  <r>
    <s v="CO-Municipio Lima Blanco"/>
    <s v="CO"/>
    <x v="10"/>
    <s v="Municipio Lima Blanco"/>
    <n v="32"/>
    <n v="0"/>
    <n v="0"/>
  </r>
  <r>
    <s v="CO-Municipio Pao de San Juan  Bautista"/>
    <s v="CO"/>
    <x v="10"/>
    <s v="Municipio Pao de San Juan  Bautista"/>
    <n v="32"/>
    <n v="0"/>
    <n v="0"/>
  </r>
  <r>
    <s v="CO-Municipio Ricaurte"/>
    <s v="CO"/>
    <x v="10"/>
    <s v="Municipio Ricaurte"/>
    <n v="27"/>
    <n v="0"/>
    <n v="0"/>
  </r>
  <r>
    <s v="CO-Municipio Rómulo Gallegos"/>
    <s v="CO"/>
    <x v="10"/>
    <s v="Municipio Rómulo Gallegos"/>
    <n v="15"/>
    <n v="0"/>
    <n v="0"/>
  </r>
  <r>
    <s v="CO-Municipio San Carlos"/>
    <s v="CO"/>
    <x v="10"/>
    <s v="Municipio San Carlos"/>
    <n v="520"/>
    <n v="0"/>
    <n v="0"/>
  </r>
  <r>
    <s v="CO-Municipio Tinaco"/>
    <s v="CO"/>
    <x v="10"/>
    <s v="Municipio Tinaco"/>
    <n v="96"/>
    <n v="0"/>
    <n v="0"/>
  </r>
  <r>
    <s v="DE-Municipio Antonio Díaz"/>
    <s v="DE"/>
    <x v="11"/>
    <s v="Municipio Antonio Díaz"/>
    <n v="21"/>
    <n v="0"/>
    <n v="0"/>
  </r>
  <r>
    <s v="DE-Municipio Casacoima"/>
    <s v="DE"/>
    <x v="11"/>
    <s v="Municipio Casacoima"/>
    <n v="19"/>
    <n v="0"/>
    <n v="0"/>
  </r>
  <r>
    <s v="DE-Municipio Pedernales"/>
    <s v="DE"/>
    <x v="11"/>
    <s v="Municipio Pedernales"/>
    <n v="13"/>
    <n v="0"/>
    <n v="0"/>
  </r>
  <r>
    <s v="DE-Municipio Tucupita"/>
    <s v="DE"/>
    <x v="11"/>
    <s v="Municipio Tucupita"/>
    <n v="340"/>
    <n v="0"/>
    <n v="0"/>
  </r>
  <r>
    <s v="FA-Municipio Acosta"/>
    <s v="FA"/>
    <x v="12"/>
    <s v="Municipio Acosta"/>
    <n v="122"/>
    <n v="0"/>
    <n v="0"/>
  </r>
  <r>
    <s v="FA-Municipio Bolívar"/>
    <s v="FA"/>
    <x v="12"/>
    <s v="Municipio Bolívar"/>
    <n v="27"/>
    <n v="0"/>
    <n v="0"/>
  </r>
  <r>
    <s v="FA-Municipio Buchivacoa"/>
    <s v="FA"/>
    <x v="12"/>
    <s v="Municipio Buchivacoa"/>
    <n v="48"/>
    <n v="0"/>
    <n v="0"/>
  </r>
  <r>
    <s v="FA-Municipio Cacique Manaure"/>
    <s v="FA"/>
    <x v="12"/>
    <s v="Municipio Cacique Manaure"/>
    <n v="20"/>
    <n v="0"/>
    <n v="0"/>
  </r>
  <r>
    <s v="FA-Municipio Carirubana"/>
    <s v="FA"/>
    <x v="12"/>
    <s v="Municipio Carirubana"/>
    <n v="609"/>
    <n v="0"/>
    <n v="0"/>
  </r>
  <r>
    <s v="FA-Municipio Colina"/>
    <s v="FA"/>
    <x v="12"/>
    <s v="Municipio Colina"/>
    <n v="47"/>
    <n v="0"/>
    <n v="0"/>
  </r>
  <r>
    <s v="FA-Municipio Dabajuro"/>
    <s v="FA"/>
    <x v="12"/>
    <s v="Municipio Dabajuro"/>
    <n v="59"/>
    <n v="0"/>
    <n v="0"/>
  </r>
  <r>
    <s v="FA-Municipio Democracia"/>
    <s v="FA"/>
    <x v="12"/>
    <s v="Municipio Democracia"/>
    <n v="19"/>
    <n v="0"/>
    <n v="0"/>
  </r>
  <r>
    <s v="FA-Municipio Falcón"/>
    <s v="FA"/>
    <x v="12"/>
    <s v="Municipio Falcón"/>
    <n v="58"/>
    <n v="0"/>
    <n v="0"/>
  </r>
  <r>
    <s v="FA-Municipio Federación"/>
    <s v="FA"/>
    <x v="12"/>
    <s v="Municipio Federación"/>
    <n v="110"/>
    <n v="0"/>
    <n v="0"/>
  </r>
  <r>
    <s v="FA-Municipio Jacura"/>
    <s v="FA"/>
    <x v="12"/>
    <s v="Municipio Jacura"/>
    <n v="25"/>
    <n v="0"/>
    <n v="0"/>
  </r>
  <r>
    <s v="FA-Municipio Los Taques"/>
    <s v="FA"/>
    <x v="12"/>
    <s v="Municipio Los Taques"/>
    <n v="66"/>
    <n v="0"/>
    <n v="0"/>
  </r>
  <r>
    <s v="FA-Municipio Mauroa"/>
    <s v="FA"/>
    <x v="12"/>
    <s v="Municipio Mauroa"/>
    <n v="56"/>
    <n v="0"/>
    <n v="0"/>
  </r>
  <r>
    <s v="FA-Municipio Miranda"/>
    <s v="FA"/>
    <x v="12"/>
    <s v="Municipio Miranda"/>
    <n v="852"/>
    <n v="0"/>
    <n v="0"/>
  </r>
  <r>
    <s v="FA-Municipio Monseñor Iturriza"/>
    <s v="FA"/>
    <x v="12"/>
    <s v="Municipio Monseñor Iturriza"/>
    <n v="60"/>
    <n v="0"/>
    <n v="0"/>
  </r>
  <r>
    <s v="FA-Municipio Palmasola"/>
    <s v="FA"/>
    <x v="12"/>
    <s v="Municipio Palmasola"/>
    <n v="3"/>
    <n v="0"/>
    <n v="0"/>
  </r>
  <r>
    <s v="FA-Municipio Petit"/>
    <s v="FA"/>
    <x v="12"/>
    <s v="Municipio Petit"/>
    <n v="33"/>
    <n v="0"/>
    <n v="0"/>
  </r>
  <r>
    <s v="FA-Municipio Píritu"/>
    <s v="FA"/>
    <x v="12"/>
    <s v="Municipio Píritu"/>
    <n v="23"/>
    <n v="0"/>
    <n v="0"/>
  </r>
  <r>
    <s v="FA-Municipio San Francisco"/>
    <s v="FA"/>
    <x v="12"/>
    <s v="Municipio San Francisco"/>
    <n v="33"/>
    <n v="0"/>
    <n v="0"/>
  </r>
  <r>
    <s v="FA-Municipio Silva"/>
    <s v="FA"/>
    <x v="12"/>
    <s v="Municipio Silva"/>
    <n v="85"/>
    <n v="0"/>
    <n v="0"/>
  </r>
  <r>
    <s v="FA-Municipio Sucre"/>
    <s v="FA"/>
    <x v="12"/>
    <s v="Municipio Sucre"/>
    <n v="21"/>
    <n v="0"/>
    <n v="0"/>
  </r>
  <r>
    <s v="FA-Municipio Tocopero"/>
    <s v="FA"/>
    <x v="12"/>
    <s v="Municipio Tocopero"/>
    <n v="19"/>
    <n v="0"/>
    <n v="0"/>
  </r>
  <r>
    <s v="FA-Municipio Unión"/>
    <s v="FA"/>
    <x v="12"/>
    <s v="Municipio Unión"/>
    <n v="41"/>
    <n v="0"/>
    <n v="0"/>
  </r>
  <r>
    <s v="FA-Municipio Urumaco"/>
    <s v="FA"/>
    <x v="12"/>
    <s v="Municipio Urumaco"/>
    <n v="25"/>
    <n v="0"/>
    <n v="0"/>
  </r>
  <r>
    <s v="FA-Municipio Zamora"/>
    <s v="FA"/>
    <x v="12"/>
    <s v="Municipio Zamora"/>
    <n v="82"/>
    <n v="0"/>
    <n v="0"/>
  </r>
  <r>
    <s v="GU-Municipio Camaguán"/>
    <s v="GU"/>
    <x v="13"/>
    <s v="Municipio Camaguán"/>
    <n v="55"/>
    <n v="0"/>
    <n v="0"/>
  </r>
  <r>
    <s v="GU-Municipio Chaguaramas"/>
    <s v="GU"/>
    <x v="13"/>
    <s v="Municipio Chaguaramas"/>
    <n v="32"/>
    <n v="0"/>
    <n v="0"/>
  </r>
  <r>
    <s v="GU-Municipio El Socorro"/>
    <s v="GU"/>
    <x v="13"/>
    <s v="Municipio El Socorro"/>
    <n v="41"/>
    <n v="0"/>
    <n v="0"/>
  </r>
  <r>
    <s v="GU-Municipio Guayabal"/>
    <s v="GU"/>
    <x v="13"/>
    <s v="Municipio Guayabal"/>
    <n v="24"/>
    <n v="0"/>
    <n v="0"/>
  </r>
  <r>
    <s v="GU-Municipio Infante"/>
    <s v="GU"/>
    <x v="13"/>
    <s v="Municipio Infante"/>
    <n v="548"/>
    <n v="0"/>
    <n v="0"/>
  </r>
  <r>
    <s v="GU-Municipio Las Mercedes"/>
    <s v="GU"/>
    <x v="13"/>
    <s v="Municipio Las Mercedes"/>
    <n v="90"/>
    <n v="0"/>
    <n v="0"/>
  </r>
  <r>
    <s v="GU-Municipio Mellado"/>
    <s v="GU"/>
    <x v="13"/>
    <s v="Municipio Mellado"/>
    <n v="110"/>
    <n v="0"/>
    <n v="0"/>
  </r>
  <r>
    <s v="GU-Municipio Miranda"/>
    <s v="GU"/>
    <x v="13"/>
    <s v="Municipio Miranda"/>
    <n v="562"/>
    <n v="0"/>
    <n v="0"/>
  </r>
  <r>
    <s v="GU-Municipio Monagas"/>
    <s v="GU"/>
    <x v="13"/>
    <s v="Municipio Monagas"/>
    <n v="294"/>
    <n v="0"/>
    <n v="0"/>
  </r>
  <r>
    <s v="GU-Municipio Ortiz"/>
    <s v="GU"/>
    <x v="13"/>
    <s v="Municipio Ortiz"/>
    <n v="36"/>
    <n v="0"/>
    <n v="0"/>
  </r>
  <r>
    <s v="GU-Municipio Ribas"/>
    <s v="GU"/>
    <x v="13"/>
    <s v="Municipio Ribas"/>
    <n v="113"/>
    <n v="0"/>
    <n v="0"/>
  </r>
  <r>
    <s v="GU-Municipio Roscio"/>
    <s v="GU"/>
    <x v="13"/>
    <s v="Municipio Roscio"/>
    <n v="581"/>
    <n v="0"/>
    <n v="0"/>
  </r>
  <r>
    <s v="GU-Municipio San José de Guaribe"/>
    <s v="GU"/>
    <x v="13"/>
    <s v="Municipio San José de Guaribe"/>
    <n v="25"/>
    <n v="0"/>
    <n v="0"/>
  </r>
  <r>
    <s v="GU-Municipio Santa Maria de Ipire"/>
    <s v="GU"/>
    <x v="13"/>
    <s v="Municipio Santa Maria de Ipire"/>
    <n v="47"/>
    <n v="0"/>
    <n v="0"/>
  </r>
  <r>
    <s v="GU-Municipio Zaraza"/>
    <s v="GU"/>
    <x v="13"/>
    <s v="Municipio Zaraza"/>
    <n v="240"/>
    <n v="0"/>
    <n v="0"/>
  </r>
  <r>
    <s v="LA-Municipio Andrés Eloy Blanco"/>
    <s v="LA"/>
    <x v="14"/>
    <s v="Municipio Andrés Eloy Blanco"/>
    <n v="161"/>
    <n v="0"/>
    <n v="0"/>
  </r>
  <r>
    <s v="LA-Municipio Crespo"/>
    <s v="LA"/>
    <x v="14"/>
    <s v="Municipio Crespo"/>
    <n v="140"/>
    <n v="0"/>
    <n v="0"/>
  </r>
  <r>
    <s v="LA-Municipio Iribarren"/>
    <s v="LA"/>
    <x v="14"/>
    <s v="Municipio Iribarren"/>
    <n v="4666"/>
    <n v="0"/>
    <n v="0"/>
  </r>
  <r>
    <s v="LA-Municipio Jiménez"/>
    <s v="LA"/>
    <x v="14"/>
    <s v="Municipio Jiménez"/>
    <n v="239"/>
    <n v="0"/>
    <n v="0"/>
  </r>
  <r>
    <s v="LA-Municipio Moran"/>
    <s v="LA"/>
    <x v="14"/>
    <s v="Municipio Moran"/>
    <n v="445"/>
    <n v="0"/>
    <n v="0"/>
  </r>
  <r>
    <s v="LA-Municipio Palavecino"/>
    <s v="LA"/>
    <x v="14"/>
    <s v="Municipio Palavecino"/>
    <n v="214"/>
    <n v="0"/>
    <n v="0"/>
  </r>
  <r>
    <s v="LA-Municipio Simón Planas"/>
    <s v="LA"/>
    <x v="14"/>
    <s v="Municipio Simón Planas"/>
    <n v="73"/>
    <n v="0"/>
    <n v="0"/>
  </r>
  <r>
    <s v="LA-Municipio Torres"/>
    <s v="LA"/>
    <x v="14"/>
    <s v="Municipio Torres"/>
    <n v="692"/>
    <n v="0"/>
    <n v="0"/>
  </r>
  <r>
    <s v="LA-Municipio Urdaneta"/>
    <s v="LA"/>
    <x v="14"/>
    <s v="Municipio Urdaneta"/>
    <n v="117"/>
    <n v="0"/>
    <n v="0"/>
  </r>
  <r>
    <s v="ME-Municipio Alberto Adrián"/>
    <s v="ME"/>
    <x v="15"/>
    <s v="Municipio Alberto Adrián"/>
    <n v="539"/>
    <n v="0"/>
    <n v="0"/>
  </r>
  <r>
    <s v="ME-Municipio Andrés Bello"/>
    <s v="ME"/>
    <x v="15"/>
    <s v="Municipio Andrés Bello"/>
    <n v="46"/>
    <n v="0"/>
    <n v="0"/>
  </r>
  <r>
    <s v="ME-Municipio Antonio Pinto Salinas"/>
    <s v="ME"/>
    <x v="15"/>
    <s v="Municipio Antonio Pinto Salinas"/>
    <n v="96"/>
    <n v="0"/>
    <n v="0"/>
  </r>
  <r>
    <s v="ME-Municipio Aricagua"/>
    <s v="ME"/>
    <x v="15"/>
    <s v="Municipio Aricagua"/>
    <n v="29"/>
    <n v="0"/>
    <n v="0"/>
  </r>
  <r>
    <s v="ME-Municipio Arzobispo Chacón"/>
    <s v="ME"/>
    <x v="15"/>
    <s v="Municipio Arzobispo Chacón"/>
    <n v="84"/>
    <n v="0"/>
    <n v="0"/>
  </r>
  <r>
    <s v="ME-Municipio Campo  Elías"/>
    <s v="ME"/>
    <x v="15"/>
    <s v="Municipio Campo  Elías"/>
    <n v="224"/>
    <n v="0"/>
    <n v="0"/>
  </r>
  <r>
    <s v="ME-Municipio Cardenal Quintero"/>
    <s v="ME"/>
    <x v="15"/>
    <s v="Municipio Cardenal Quintero"/>
    <n v="20"/>
    <n v="0"/>
    <n v="0"/>
  </r>
  <r>
    <s v="ME-Municipio Carracciolo Parra Olmedo"/>
    <s v="ME"/>
    <x v="15"/>
    <s v="Municipio Carracciolo Parra Olmedo"/>
    <n v="104"/>
    <n v="0"/>
    <n v="0"/>
  </r>
  <r>
    <s v="ME-Municipio Guaraque"/>
    <s v="ME"/>
    <x v="15"/>
    <s v="Municipio Guaraque"/>
    <n v="47"/>
    <n v="0"/>
    <n v="0"/>
  </r>
  <r>
    <s v="ME-Municipio Julio Cesar Salas"/>
    <s v="ME"/>
    <x v="15"/>
    <s v="Municipio Julio Cesar Salas"/>
    <n v="57"/>
    <n v="0"/>
    <n v="0"/>
  </r>
  <r>
    <s v="ME-Municipio Justo Briceño"/>
    <s v="ME"/>
    <x v="15"/>
    <s v="Municipio Justo Briceño"/>
    <n v="21"/>
    <n v="0"/>
    <n v="0"/>
  </r>
  <r>
    <s v="ME-Municipio Libertador"/>
    <s v="ME"/>
    <x v="15"/>
    <s v="Municipio Libertador"/>
    <n v="1410"/>
    <n v="0"/>
    <n v="0"/>
  </r>
  <r>
    <s v="ME-Municipio Miranda"/>
    <s v="ME"/>
    <x v="15"/>
    <s v="Municipio Miranda"/>
    <n v="87"/>
    <n v="0"/>
    <n v="0"/>
  </r>
  <r>
    <s v="ME-Municipio Obispo Ramos de Lora"/>
    <s v="ME"/>
    <x v="15"/>
    <s v="Municipio Obispo Ramos de Lora"/>
    <n v="79"/>
    <n v="0"/>
    <n v="0"/>
  </r>
  <r>
    <s v="ME-Municipio Padre Noguera"/>
    <s v="ME"/>
    <x v="15"/>
    <s v="Municipio Padre Noguera"/>
    <n v="6"/>
    <n v="0"/>
    <n v="0"/>
  </r>
  <r>
    <s v="ME-Municipio Pueblo Llano"/>
    <s v="ME"/>
    <x v="15"/>
    <s v="Municipio Pueblo Llano"/>
    <n v="55"/>
    <n v="0"/>
    <n v="0"/>
  </r>
  <r>
    <s v="ME-Municipio Rangel"/>
    <s v="ME"/>
    <x v="15"/>
    <s v="Municipio Rangel"/>
    <n v="76"/>
    <n v="0"/>
    <n v="0"/>
  </r>
  <r>
    <s v="ME-Municipio Rivas Dávila"/>
    <s v="ME"/>
    <x v="15"/>
    <s v="Municipio Rivas Dávila"/>
    <n v="54"/>
    <n v="0"/>
    <n v="0"/>
  </r>
  <r>
    <s v="ME-Municipio Santos Marquina"/>
    <s v="ME"/>
    <x v="15"/>
    <s v="Municipio Santos Marquina"/>
    <n v="47"/>
    <n v="0"/>
    <n v="0"/>
  </r>
  <r>
    <s v="ME-Municipio Sucre"/>
    <s v="ME"/>
    <x v="15"/>
    <s v="Municipio Sucre"/>
    <n v="169"/>
    <n v="0"/>
    <n v="0"/>
  </r>
  <r>
    <s v="ME-Municipio Tovar"/>
    <s v="ME"/>
    <x v="15"/>
    <s v="Municipio Tovar"/>
    <n v="183"/>
    <n v="0"/>
    <n v="0"/>
  </r>
  <r>
    <s v="ME-Municipio Tulio Febres Cordero"/>
    <s v="ME"/>
    <x v="15"/>
    <s v="Municipio Tulio Febres Cordero"/>
    <n v="78"/>
    <n v="0"/>
    <n v="0"/>
  </r>
  <r>
    <s v="ME-Municipio Zea"/>
    <s v="ME"/>
    <x v="15"/>
    <s v="Municipio Zea"/>
    <n v="41"/>
    <n v="0"/>
    <n v="0"/>
  </r>
  <r>
    <s v="MI-Municipio Acevedo"/>
    <s v="MI"/>
    <x v="16"/>
    <s v="Municipio Acevedo"/>
    <n v="302"/>
    <n v="0"/>
    <n v="0"/>
  </r>
  <r>
    <s v="MI-Municipio Andrés Bello"/>
    <s v="MI"/>
    <x v="16"/>
    <s v="Municipio Andrés Bello"/>
    <n v="57"/>
    <n v="0"/>
    <n v="0"/>
  </r>
  <r>
    <s v="MI-Municipio Baruta"/>
    <s v="MI"/>
    <x v="16"/>
    <s v="Municipio Baruta"/>
    <n v="1051"/>
    <n v="0"/>
    <n v="0"/>
  </r>
  <r>
    <s v="MI-Municipio Brion"/>
    <s v="MI"/>
    <x v="16"/>
    <s v="Municipio Brion"/>
    <n v="151"/>
    <n v="0"/>
    <n v="0"/>
  </r>
  <r>
    <s v="MI-Municipio Buroz"/>
    <s v="MI"/>
    <x v="16"/>
    <s v="Municipio Buroz"/>
    <n v="54"/>
    <n v="0"/>
    <n v="0"/>
  </r>
  <r>
    <s v="MI-Municipio Carrizal"/>
    <s v="MI"/>
    <x v="16"/>
    <s v="Municipio Carrizal"/>
    <n v="64"/>
    <n v="0"/>
    <n v="0"/>
  </r>
  <r>
    <s v="MI-Municipio Chacao"/>
    <s v="MI"/>
    <x v="16"/>
    <s v="Municipio Chacao"/>
    <n v="654"/>
    <n v="0"/>
    <n v="0"/>
  </r>
  <r>
    <s v="MI-Municipio Cristóbal Rojas"/>
    <s v="MI"/>
    <x v="16"/>
    <s v="Municipio Cristóbal Rojas"/>
    <n v="221"/>
    <n v="0"/>
    <n v="0"/>
  </r>
  <r>
    <s v="MI-Municipio El Hatillo"/>
    <s v="MI"/>
    <x v="16"/>
    <s v="Municipio El Hatillo"/>
    <n v="110"/>
    <n v="0"/>
    <n v="0"/>
  </r>
  <r>
    <s v="MI-Municipio Guaicaipuro"/>
    <s v="MI"/>
    <x v="16"/>
    <s v="Municipio Guaicaipuro"/>
    <n v="1028"/>
    <n v="0"/>
    <n v="0"/>
  </r>
  <r>
    <s v="MI-Municipio Independencia"/>
    <s v="MI"/>
    <x v="16"/>
    <s v="Municipio Independencia"/>
    <n v="295"/>
    <n v="0"/>
    <n v="0"/>
  </r>
  <r>
    <s v="MI-Municipio Lander"/>
    <s v="MI"/>
    <x v="16"/>
    <s v="Municipio Lander"/>
    <n v="810"/>
    <n v="0"/>
    <n v="0"/>
  </r>
  <r>
    <s v="MI-Municipio Los Salías"/>
    <s v="MI"/>
    <x v="16"/>
    <s v="Municipio Los Salías"/>
    <n v="150"/>
    <n v="0"/>
    <n v="0"/>
  </r>
  <r>
    <s v="MI-Municipio Páez"/>
    <s v="MI"/>
    <x v="16"/>
    <s v="Municipio Páez"/>
    <n v="169"/>
    <n v="0"/>
    <n v="0"/>
  </r>
  <r>
    <s v="MI-Municipio Paz Castillo"/>
    <s v="MI"/>
    <x v="16"/>
    <s v="Municipio Paz Castillo"/>
    <n v="160"/>
    <n v="0"/>
    <n v="0"/>
  </r>
  <r>
    <s v="MI-Municipio Pedro Gual"/>
    <s v="MI"/>
    <x v="16"/>
    <s v="Municipio Pedro Gual"/>
    <n v="71"/>
    <n v="0"/>
    <n v="0"/>
  </r>
  <r>
    <s v="MI-Municipio Plaza"/>
    <s v="MI"/>
    <x v="16"/>
    <s v="Municipio Plaza"/>
    <n v="421"/>
    <n v="0"/>
    <n v="0"/>
  </r>
  <r>
    <s v="MI-Municipio Simón Bolívar"/>
    <s v="MI"/>
    <x v="16"/>
    <s v="Municipio Simón Bolívar"/>
    <n v="77"/>
    <n v="0"/>
    <n v="0"/>
  </r>
  <r>
    <s v="MI-Municipio Sucre"/>
    <s v="MI"/>
    <x v="16"/>
    <s v="Municipio Sucre"/>
    <n v="2469"/>
    <n v="0"/>
    <n v="0"/>
  </r>
  <r>
    <s v="MI-Municipio Urdaneta"/>
    <s v="MI"/>
    <x v="16"/>
    <s v="Municipio Urdaneta"/>
    <n v="280"/>
    <n v="0"/>
    <n v="0"/>
  </r>
  <r>
    <s v="MI-Municipio Zamora"/>
    <s v="MI"/>
    <x v="16"/>
    <s v="Municipio Zamora"/>
    <n v="427"/>
    <n v="0"/>
    <n v="0"/>
  </r>
  <r>
    <s v="MO-Municipio Acosta"/>
    <s v="MO"/>
    <x v="17"/>
    <s v="Municipio Acosta"/>
    <n v="69"/>
    <n v="0"/>
    <n v="0"/>
  </r>
  <r>
    <s v="MO-Municipio Aguasay"/>
    <s v="MO"/>
    <x v="17"/>
    <s v="Municipio Aguasay"/>
    <n v="21"/>
    <n v="0"/>
    <n v="0"/>
  </r>
  <r>
    <s v="MO-Municipio Bolívar"/>
    <s v="MO"/>
    <x v="17"/>
    <s v="Municipio Bolívar"/>
    <n v="86"/>
    <n v="0"/>
    <n v="0"/>
  </r>
  <r>
    <s v="MO-Municipio Caripe"/>
    <s v="MO"/>
    <x v="17"/>
    <s v="Municipio Caripe"/>
    <n v="99"/>
    <n v="0"/>
    <n v="0"/>
  </r>
  <r>
    <s v="MO-Municipio Cedeño"/>
    <s v="MO"/>
    <x v="17"/>
    <s v="Municipio Cedeño"/>
    <n v="70"/>
    <n v="0"/>
    <n v="0"/>
  </r>
  <r>
    <s v="MO-Municipio Ezequiel Zamora"/>
    <s v="MO"/>
    <x v="17"/>
    <s v="Municipio Ezequiel Zamora"/>
    <n v="96"/>
    <n v="0"/>
    <n v="0"/>
  </r>
  <r>
    <s v="MO-Municipio Libertador"/>
    <s v="MO"/>
    <x v="17"/>
    <s v="Municipio Libertador"/>
    <n v="68"/>
    <n v="0"/>
    <n v="0"/>
  </r>
  <r>
    <s v="MO-Municipio Maturín"/>
    <s v="MO"/>
    <x v="17"/>
    <s v="Municipio Maturín"/>
    <n v="1745"/>
    <n v="0"/>
    <n v="0"/>
  </r>
  <r>
    <s v="MO-Municipio Piar"/>
    <s v="MO"/>
    <x v="17"/>
    <s v="Municipio Piar"/>
    <n v="83"/>
    <n v="0"/>
    <n v="0"/>
  </r>
  <r>
    <s v="MO-Municipio Punceres"/>
    <s v="MO"/>
    <x v="17"/>
    <s v="Municipio Punceres"/>
    <n v="39"/>
    <n v="0"/>
    <n v="0"/>
  </r>
  <r>
    <s v="MO-Municipio Santa Bárbara"/>
    <s v="MO"/>
    <x v="17"/>
    <s v="Municipio Santa Bárbara"/>
    <n v="12"/>
    <n v="0"/>
    <n v="0"/>
  </r>
  <r>
    <s v="MO-Municipio Sotillo"/>
    <s v="MO"/>
    <x v="17"/>
    <s v="Municipio Sotillo"/>
    <n v="74"/>
    <n v="0"/>
    <n v="0"/>
  </r>
  <r>
    <s v="MO-Municipio Uracoa"/>
    <s v="MO"/>
    <x v="17"/>
    <s v="Municipio Uracoa"/>
    <n v="21"/>
    <n v="0"/>
    <n v="0"/>
  </r>
  <r>
    <s v="NU-Municipio Antolin del Campo"/>
    <s v="NU"/>
    <x v="18"/>
    <s v="Municipio Antolin del Campo"/>
    <n v="72"/>
    <n v="0"/>
    <n v="0"/>
  </r>
  <r>
    <s v="NU-Municipio Arismendi"/>
    <s v="NU"/>
    <x v="18"/>
    <s v="Municipio Arismendi"/>
    <n v="88"/>
    <n v="0"/>
    <n v="0"/>
  </r>
  <r>
    <s v="NU-Municipio Díaz"/>
    <s v="NU"/>
    <x v="18"/>
    <s v="Municipio Díaz"/>
    <n v="77"/>
    <n v="0"/>
    <n v="0"/>
  </r>
  <r>
    <s v="NU-Municipio García"/>
    <s v="NU"/>
    <x v="18"/>
    <s v="Municipio García"/>
    <n v="51"/>
    <n v="0"/>
    <n v="0"/>
  </r>
  <r>
    <s v="NU-Municipio Gómez"/>
    <s v="NU"/>
    <x v="18"/>
    <s v="Municipio Gómez"/>
    <n v="70"/>
    <n v="0"/>
    <n v="0"/>
  </r>
  <r>
    <s v="NU-Municipio Maneiro"/>
    <s v="NU"/>
    <x v="18"/>
    <s v="Municipio Maneiro"/>
    <n v="66"/>
    <n v="0"/>
    <n v="0"/>
  </r>
  <r>
    <s v="NU-Municipio Marcano"/>
    <s v="NU"/>
    <x v="18"/>
    <s v="Municipio Marcano"/>
    <n v="74"/>
    <n v="0"/>
    <n v="0"/>
  </r>
  <r>
    <s v="NU-Municipio Mariño"/>
    <s v="NU"/>
    <x v="18"/>
    <s v="Municipio Mariño"/>
    <n v="923"/>
    <n v="0"/>
    <n v="0"/>
  </r>
  <r>
    <s v="NU-Municipio Península de Macanao"/>
    <s v="NU"/>
    <x v="18"/>
    <s v="Municipio Península de Macanao"/>
    <n v="48"/>
    <n v="0"/>
    <n v="0"/>
  </r>
  <r>
    <s v="NU-Municipio Tubores"/>
    <s v="NU"/>
    <x v="18"/>
    <s v="Municipio Tubores"/>
    <n v="53"/>
    <n v="0"/>
    <n v="0"/>
  </r>
  <r>
    <s v="NU-Municipio Villalba"/>
    <s v="NU"/>
    <x v="18"/>
    <s v="Municipio Villalba"/>
    <n v="0"/>
    <n v="0"/>
    <n v="0"/>
  </r>
  <r>
    <s v="PO-Municipio Agua Blanca"/>
    <s v="PO"/>
    <x v="19"/>
    <s v="Municipio Agua Blanca"/>
    <n v="53"/>
    <n v="0"/>
    <n v="0"/>
  </r>
  <r>
    <s v="PO-Municipio Araure"/>
    <s v="PO"/>
    <x v="19"/>
    <s v="Municipio Araure"/>
    <n v="947"/>
    <n v="0"/>
    <n v="0"/>
  </r>
  <r>
    <s v="PO-Municipio Esteller"/>
    <s v="PO"/>
    <x v="19"/>
    <s v="Municipio Esteller"/>
    <n v="122"/>
    <n v="0"/>
    <n v="0"/>
  </r>
  <r>
    <s v="PO-Municipio Guanare"/>
    <s v="PO"/>
    <x v="19"/>
    <s v="Municipio Guanare"/>
    <n v="683"/>
    <n v="0"/>
    <n v="0"/>
  </r>
  <r>
    <s v="PO-Municipio Guanarito"/>
    <s v="PO"/>
    <x v="19"/>
    <s v="Municipio Guanarito"/>
    <n v="81"/>
    <n v="0"/>
    <n v="0"/>
  </r>
  <r>
    <s v="PO-Municipio Monseñor José Vicente de Unda"/>
    <s v="PO"/>
    <x v="19"/>
    <s v="Municipio Monseñor José Vicente de Unda"/>
    <n v="61"/>
    <n v="0"/>
    <n v="0"/>
  </r>
  <r>
    <s v="PO-Municipio Ospino"/>
    <s v="PO"/>
    <x v="19"/>
    <s v="Municipio Ospino"/>
    <n v="120"/>
    <n v="0"/>
    <n v="0"/>
  </r>
  <r>
    <s v="PO-Municipio Páez"/>
    <s v="PO"/>
    <x v="19"/>
    <s v="Municipio Páez"/>
    <n v="389"/>
    <n v="0"/>
    <n v="0"/>
  </r>
  <r>
    <s v="PO-Municipio Papelón"/>
    <s v="PO"/>
    <x v="19"/>
    <s v="Municipio Papelón"/>
    <n v="27"/>
    <n v="0"/>
    <n v="0"/>
  </r>
  <r>
    <s v="PO-Municipio San Genaro de Boconoito"/>
    <s v="PO"/>
    <x v="19"/>
    <s v="Municipio San Genaro de Boconoito"/>
    <n v="63"/>
    <n v="0"/>
    <n v="0"/>
  </r>
  <r>
    <s v="PO-Municipio San Rafael de Onoto"/>
    <s v="PO"/>
    <x v="19"/>
    <s v="Municipio San Rafael de Onoto"/>
    <n v="37"/>
    <n v="0"/>
    <n v="0"/>
  </r>
  <r>
    <s v="PO-Municipio Santa Rosalía"/>
    <s v="PO"/>
    <x v="19"/>
    <s v="Municipio Santa Rosalía"/>
    <n v="25"/>
    <n v="0"/>
    <n v="0"/>
  </r>
  <r>
    <s v="PO-Municipio Sucre"/>
    <s v="PO"/>
    <x v="19"/>
    <s v="Municipio Sucre"/>
    <n v="140"/>
    <n v="0"/>
    <n v="0"/>
  </r>
  <r>
    <s v="PO-Municipio Turen"/>
    <s v="PO"/>
    <x v="19"/>
    <s v="Municipio Turen"/>
    <n v="151"/>
    <n v="0"/>
    <n v="0"/>
  </r>
  <r>
    <s v="SU-Municipio Andrés Eloy Blanco"/>
    <s v="SU"/>
    <x v="20"/>
    <s v="Municipio Andrés Eloy Blanco"/>
    <n v="55"/>
    <n v="0"/>
    <n v="0"/>
  </r>
  <r>
    <s v="SU-Municipio Andrés Mata"/>
    <s v="SU"/>
    <x v="20"/>
    <s v="Municipio Andrés Mata"/>
    <n v="39"/>
    <n v="0"/>
    <n v="0"/>
  </r>
  <r>
    <s v="SU-Municipio Arismendi"/>
    <s v="SU"/>
    <x v="20"/>
    <s v="Municipio Arismendi"/>
    <n v="155"/>
    <n v="0"/>
    <n v="0"/>
  </r>
  <r>
    <s v="SU-Municipio Benítez"/>
    <s v="SU"/>
    <x v="20"/>
    <s v="Municipio Benítez"/>
    <n v="93"/>
    <n v="0"/>
    <n v="0"/>
  </r>
  <r>
    <s v="SU-Municipio Bermúdez"/>
    <s v="SU"/>
    <x v="20"/>
    <s v="Municipio Bermúdez"/>
    <n v="635"/>
    <n v="0"/>
    <n v="0"/>
  </r>
  <r>
    <s v="SU-Municipio Bolívar"/>
    <s v="SU"/>
    <x v="20"/>
    <s v="Municipio Bolívar"/>
    <n v="46"/>
    <n v="0"/>
    <n v="0"/>
  </r>
  <r>
    <s v="SU-Municipio Cajigal"/>
    <s v="SU"/>
    <x v="20"/>
    <s v="Municipio Cajigal"/>
    <n v="46"/>
    <n v="0"/>
    <n v="0"/>
  </r>
  <r>
    <s v="SU-Municipio Cruz Salmeron Acosta"/>
    <s v="SU"/>
    <x v="20"/>
    <s v="Municipio Cruz Salmeron Acosta"/>
    <n v="27"/>
    <n v="0"/>
    <n v="0"/>
  </r>
  <r>
    <s v="SU-Municipio Libertador"/>
    <s v="SU"/>
    <x v="20"/>
    <s v="Municipio Libertador"/>
    <n v="31"/>
    <n v="0"/>
    <n v="0"/>
  </r>
  <r>
    <s v="SU-Municipio Mariño"/>
    <s v="SU"/>
    <x v="20"/>
    <s v="Municipio Mariño"/>
    <n v="75"/>
    <n v="0"/>
    <n v="0"/>
  </r>
  <r>
    <s v="SU-Municipio Mejia"/>
    <s v="SU"/>
    <x v="20"/>
    <s v="Municipio Mejia"/>
    <n v="19"/>
    <n v="0"/>
    <n v="0"/>
  </r>
  <r>
    <s v="SU-Municipio Montes"/>
    <s v="SU"/>
    <x v="20"/>
    <s v="Municipio Montes"/>
    <n v="178"/>
    <n v="0"/>
    <n v="0"/>
  </r>
  <r>
    <s v="SU-Municipio Ribero"/>
    <s v="SU"/>
    <x v="20"/>
    <s v="Municipio Ribero"/>
    <n v="106"/>
    <n v="0"/>
    <n v="0"/>
  </r>
  <r>
    <s v="SU-Municipio Sucre"/>
    <s v="SU"/>
    <x v="20"/>
    <s v="Municipio Sucre"/>
    <n v="1195"/>
    <n v="0"/>
    <n v="0"/>
  </r>
  <r>
    <s v="SU-Municipio Valdez"/>
    <s v="SU"/>
    <x v="20"/>
    <s v="Municipio Valdez"/>
    <n v="82"/>
    <n v="0"/>
    <n v="0"/>
  </r>
  <r>
    <s v="TA-Municipio Andrés Bello"/>
    <s v="TA"/>
    <x v="21"/>
    <s v="Municipio Andrés Bello"/>
    <n v="70"/>
    <n v="0"/>
    <n v="0"/>
  </r>
  <r>
    <s v="TA-Municipio Antonio Rómulo Acosta"/>
    <s v="TA"/>
    <x v="21"/>
    <s v="Municipio Antonio Rómulo Acosta"/>
    <n v="25"/>
    <n v="0"/>
    <n v="0"/>
  </r>
  <r>
    <s v="TA-Municipio Ayacucho"/>
    <s v="TA"/>
    <x v="21"/>
    <s v="Municipio Ayacucho"/>
    <n v="220"/>
    <n v="0"/>
    <n v="0"/>
  </r>
  <r>
    <s v="TA-Municipio Bolívar"/>
    <s v="TA"/>
    <x v="21"/>
    <s v="Municipio Bolívar"/>
    <n v="220"/>
    <n v="0"/>
    <n v="0"/>
  </r>
  <r>
    <s v="TA-Municipio Cárdenas"/>
    <s v="TA"/>
    <x v="21"/>
    <s v="Municipio Cárdenas"/>
    <n v="277"/>
    <n v="0"/>
    <n v="0"/>
  </r>
  <r>
    <s v="TA-Municipio Córdoba"/>
    <s v="TA"/>
    <x v="21"/>
    <s v="Municipio Córdoba"/>
    <n v="73"/>
    <n v="0"/>
    <n v="0"/>
  </r>
  <r>
    <s v="TA-Municipio Fernández Feo"/>
    <s v="TA"/>
    <x v="21"/>
    <s v="Municipio Fernández Feo"/>
    <n v="123"/>
    <n v="0"/>
    <n v="0"/>
  </r>
  <r>
    <s v="TA-Municipio Francisco de Miranda"/>
    <s v="TA"/>
    <x v="21"/>
    <s v="Municipio Francisco de Miranda"/>
    <n v="15"/>
    <n v="0"/>
    <n v="0"/>
  </r>
  <r>
    <s v="TA-Municipio García de Hevia"/>
    <s v="TA"/>
    <x v="21"/>
    <s v="Municipio García de Hevia"/>
    <n v="146"/>
    <n v="0"/>
    <n v="0"/>
  </r>
  <r>
    <s v="TA-Municipio Guasimos"/>
    <s v="TA"/>
    <x v="21"/>
    <s v="Municipio Guasimos"/>
    <n v="76"/>
    <n v="0"/>
    <n v="0"/>
  </r>
  <r>
    <s v="TA-Municipio Independencia"/>
    <s v="TA"/>
    <x v="21"/>
    <s v="Municipio Independencia"/>
    <n v="97"/>
    <n v="0"/>
    <n v="0"/>
  </r>
  <r>
    <s v="TA-Municipio Jáuregui"/>
    <s v="TA"/>
    <x v="21"/>
    <s v="Municipio Jáuregui"/>
    <n v="226"/>
    <n v="0"/>
    <n v="0"/>
  </r>
  <r>
    <s v="TA-Municipio José María Vargas"/>
    <s v="TA"/>
    <x v="21"/>
    <s v="Municipio José María Vargas"/>
    <n v="26"/>
    <n v="0"/>
    <n v="0"/>
  </r>
  <r>
    <s v="TA-Municipio Junín"/>
    <s v="TA"/>
    <x v="21"/>
    <s v="Municipio Junín"/>
    <n v="271"/>
    <n v="0"/>
    <n v="0"/>
  </r>
  <r>
    <s v="TA-Municipio Libertad"/>
    <s v="TA"/>
    <x v="21"/>
    <s v="Municipio Libertad"/>
    <n v="62"/>
    <n v="0"/>
    <n v="0"/>
  </r>
  <r>
    <s v="TA-Municipio Libertador"/>
    <s v="TA"/>
    <x v="21"/>
    <s v="Municipio Libertador"/>
    <n v="55"/>
    <n v="0"/>
    <n v="0"/>
  </r>
  <r>
    <s v="TA-Municipio Lobatera"/>
    <s v="TA"/>
    <x v="21"/>
    <s v="Municipio Lobatera"/>
    <n v="35"/>
    <n v="0"/>
    <n v="0"/>
  </r>
  <r>
    <s v="TA-Municipio Michelena"/>
    <s v="TA"/>
    <x v="21"/>
    <s v="Municipio Michelena"/>
    <n v="70"/>
    <n v="0"/>
    <n v="0"/>
  </r>
  <r>
    <s v="TA-Municipio Panamericano"/>
    <s v="TA"/>
    <x v="21"/>
    <s v="Municipio Panamericano"/>
    <n v="136"/>
    <n v="0"/>
    <n v="0"/>
  </r>
  <r>
    <s v="TA-Municipio Pedro María Ureña"/>
    <s v="TA"/>
    <x v="21"/>
    <s v="Municipio Pedro María Ureña"/>
    <n v="87"/>
    <n v="0"/>
    <n v="0"/>
  </r>
  <r>
    <s v="TA-Municipio Rafael Urdaneta"/>
    <s v="TA"/>
    <x v="21"/>
    <s v="Municipio Rafael Urdaneta"/>
    <n v="19"/>
    <n v="0"/>
    <n v="0"/>
  </r>
  <r>
    <s v="TA-Municipio Samuel Darío Maldonado"/>
    <s v="TA"/>
    <x v="21"/>
    <s v="Municipio Samuel Darío Maldonado"/>
    <n v="34"/>
    <n v="0"/>
    <n v="0"/>
  </r>
  <r>
    <s v="TA-Municipio San Cristóbal"/>
    <s v="TA"/>
    <x v="21"/>
    <s v="Municipio San Cristóbal"/>
    <n v="2143"/>
    <n v="0"/>
    <n v="0"/>
  </r>
  <r>
    <s v="TA-Municipio San Judas Tadeo"/>
    <s v="TA"/>
    <x v="21"/>
    <s v="Municipio San Judas Tadeo"/>
    <n v="0"/>
    <n v="0"/>
    <n v="0"/>
  </r>
  <r>
    <s v="TA-Municipio Seboruco"/>
    <s v="TA"/>
    <x v="21"/>
    <s v="Municipio Seboruco"/>
    <n v="34"/>
    <n v="0"/>
    <n v="0"/>
  </r>
  <r>
    <s v="TA-Municipio Simón Rodríguez"/>
    <s v="TA"/>
    <x v="21"/>
    <s v="Municipio Simón Rodríguez"/>
    <n v="10"/>
    <n v="0"/>
    <n v="0"/>
  </r>
  <r>
    <s v="TA-Municipio Sucre"/>
    <s v="TA"/>
    <x v="21"/>
    <s v="Municipio Sucre"/>
    <n v="44"/>
    <n v="0"/>
    <n v="0"/>
  </r>
  <r>
    <s v="TA-Municipio Torbes"/>
    <s v="TA"/>
    <x v="21"/>
    <s v="Municipio Torbes"/>
    <n v="64"/>
    <n v="0"/>
    <n v="0"/>
  </r>
  <r>
    <s v="TA-Municipio Uribante"/>
    <s v="TA"/>
    <x v="21"/>
    <s v="Municipio Uribante"/>
    <n v="88"/>
    <n v="0"/>
    <n v="0"/>
  </r>
  <r>
    <s v="TR-Municipio Andrés Bello"/>
    <s v="TR"/>
    <x v="22"/>
    <s v="Municipio Andrés Bello"/>
    <n v="0"/>
    <n v="0"/>
    <n v="0"/>
  </r>
  <r>
    <s v="TR-Municipio Bocono"/>
    <s v="TR"/>
    <x v="22"/>
    <s v="Municipio Bocono"/>
    <n v="581"/>
    <n v="0"/>
    <n v="0"/>
  </r>
  <r>
    <s v="TR-Municipio Bolívar"/>
    <s v="TR"/>
    <x v="22"/>
    <s v="Municipio Bolívar"/>
    <n v="0"/>
    <n v="0"/>
    <n v="0"/>
  </r>
  <r>
    <s v="TR-Municipio Candelaria"/>
    <s v="TR"/>
    <x v="22"/>
    <s v="Municipio Candelaria"/>
    <n v="92"/>
    <n v="0"/>
    <n v="0"/>
  </r>
  <r>
    <s v="TR-Municipio Carache"/>
    <s v="TR"/>
    <x v="22"/>
    <s v="Municipio Carache"/>
    <n v="163"/>
    <n v="0"/>
    <n v="0"/>
  </r>
  <r>
    <s v="TR-Municipio Escuqué"/>
    <s v="TR"/>
    <x v="22"/>
    <s v="Municipio Escuqué"/>
    <n v="62"/>
    <n v="0"/>
    <n v="0"/>
  </r>
  <r>
    <s v="TR-Municipio José Felipe Márquez Cañizales"/>
    <s v="TR"/>
    <x v="22"/>
    <s v="Municipio José Felipe Márquez Cañizales"/>
    <n v="0"/>
    <n v="0"/>
    <n v="0"/>
  </r>
  <r>
    <s v="TR-Municipio Juan Vicente Campo Elías"/>
    <s v="TR"/>
    <x v="22"/>
    <s v="Municipio Juan Vicente Campo Elías"/>
    <n v="0"/>
    <n v="0"/>
    <n v="0"/>
  </r>
  <r>
    <s v="TR-Municipio La Ceiba"/>
    <s v="TR"/>
    <x v="22"/>
    <s v="Municipio La Ceiba"/>
    <n v="0"/>
    <n v="0"/>
    <n v="0"/>
  </r>
  <r>
    <s v="TR-Municipio Miranda"/>
    <s v="TR"/>
    <x v="22"/>
    <s v="Municipio Miranda"/>
    <n v="71"/>
    <n v="0"/>
    <n v="0"/>
  </r>
  <r>
    <s v="TR-Municipio Monte Carmelo"/>
    <s v="TR"/>
    <x v="22"/>
    <s v="Municipio Monte Carmelo"/>
    <n v="50"/>
    <n v="0"/>
    <n v="0"/>
  </r>
  <r>
    <s v="TR-Municipio Motatán"/>
    <s v="TR"/>
    <x v="22"/>
    <s v="Municipio Motatán"/>
    <n v="36"/>
    <n v="0"/>
    <n v="0"/>
  </r>
  <r>
    <s v="TR-Municipio Pampan"/>
    <s v="TR"/>
    <x v="22"/>
    <s v="Municipio Pampan"/>
    <n v="158"/>
    <n v="0"/>
    <n v="0"/>
  </r>
  <r>
    <s v="TR-Municipio Pampanito"/>
    <s v="TR"/>
    <x v="22"/>
    <s v="Municipio Pampanito"/>
    <n v="0"/>
    <n v="0"/>
    <n v="0"/>
  </r>
  <r>
    <s v="TR-Municipio Rafael Rangel"/>
    <s v="TR"/>
    <x v="22"/>
    <s v="Municipio Rafael Rangel"/>
    <n v="73"/>
    <n v="0"/>
    <n v="0"/>
  </r>
  <r>
    <s v="TR-Municipio San Rafael de Carvajal"/>
    <s v="TR"/>
    <x v="22"/>
    <s v="Municipio San Rafael de Carvajal"/>
    <n v="103"/>
    <n v="0"/>
    <n v="0"/>
  </r>
  <r>
    <s v="TR-Municipio Sucre"/>
    <s v="TR"/>
    <x v="22"/>
    <s v="Municipio Sucre"/>
    <n v="109"/>
    <n v="0"/>
    <n v="0"/>
  </r>
  <r>
    <s v="TR-Municipio Trujillo"/>
    <s v="TR"/>
    <x v="22"/>
    <s v="Municipio Trujillo"/>
    <n v="477"/>
    <n v="0"/>
    <n v="0"/>
  </r>
  <r>
    <s v="TR-Municipio Urdaneta"/>
    <s v="TR"/>
    <x v="22"/>
    <s v="Municipio Urdaneta"/>
    <n v="147"/>
    <n v="0"/>
    <n v="0"/>
  </r>
  <r>
    <s v="TR-Municipio Varela"/>
    <s v="TR"/>
    <x v="22"/>
    <s v="Municipio Varela"/>
    <n v="1227"/>
    <n v="0"/>
    <n v="0"/>
  </r>
  <r>
    <s v="VA-Parroquia Caraballeda"/>
    <s v="VA"/>
    <x v="0"/>
    <s v="Parroquia Caraballeda"/>
    <n v="0"/>
    <n v="0"/>
    <n v="0"/>
  </r>
  <r>
    <s v="VA-Parroquia Carayaca"/>
    <s v="VA"/>
    <x v="0"/>
    <s v="Parroquia Carayaca"/>
    <n v="0"/>
    <n v="0"/>
    <n v="0"/>
  </r>
  <r>
    <s v="VA-Parroquia Carlos Soublette"/>
    <s v="VA"/>
    <x v="0"/>
    <s v="Parroquia Carlos Soublette"/>
    <n v="0"/>
    <n v="0"/>
    <n v="0"/>
  </r>
  <r>
    <s v="VA-Parroquia Caruao"/>
    <s v="VA"/>
    <x v="0"/>
    <s v="Parroquia Caruao"/>
    <n v="0"/>
    <n v="0"/>
    <n v="0"/>
  </r>
  <r>
    <s v="VA-Parroquia Catia La Mar"/>
    <s v="VA"/>
    <x v="0"/>
    <s v="Parroquia Catia La Mar"/>
    <n v="0"/>
    <n v="0"/>
    <n v="0"/>
  </r>
  <r>
    <s v="VA-Parroquia El Junko"/>
    <s v="VA"/>
    <x v="0"/>
    <s v="Parroquia El Junko"/>
    <n v="0"/>
    <n v="0"/>
    <n v="0"/>
  </r>
  <r>
    <s v="VA-Parroquia La Guaira"/>
    <s v="VA"/>
    <x v="0"/>
    <s v="Parroquia La Guaira"/>
    <n v="0"/>
    <n v="0"/>
    <n v="0"/>
  </r>
  <r>
    <s v="VA-Parroquia Macuto"/>
    <s v="VA"/>
    <x v="0"/>
    <s v="Parroquia Macuto"/>
    <n v="0"/>
    <n v="0"/>
    <n v="0"/>
  </r>
  <r>
    <s v="VA-Parroquia Maiquetía"/>
    <s v="VA"/>
    <x v="0"/>
    <s v="Parroquia Maiquetía"/>
    <n v="0"/>
    <n v="0"/>
    <n v="0"/>
  </r>
  <r>
    <s v="VA-Parroquia Naiquatá"/>
    <s v="VA"/>
    <x v="0"/>
    <s v="Parroquia Naiquatá"/>
    <n v="0"/>
    <n v="0"/>
    <n v="0"/>
  </r>
  <r>
    <s v="VA-Parroquia Raúl Leoni"/>
    <s v="VA"/>
    <x v="0"/>
    <s v="Parroquia Raúl Leoni"/>
    <n v="0"/>
    <n v="0"/>
    <n v="0"/>
  </r>
  <r>
    <s v="YA-Municipio Arístides Bastidas"/>
    <s v="YA"/>
    <x v="23"/>
    <s v="Municipio Arístides Bastidas"/>
    <n v="39"/>
    <n v="0"/>
    <n v="0"/>
  </r>
  <r>
    <s v="YA-Municipio Bolívar"/>
    <s v="YA"/>
    <x v="23"/>
    <s v="Municipio Bolívar"/>
    <n v="73"/>
    <n v="0"/>
    <n v="0"/>
  </r>
  <r>
    <s v="YA-Municipio Bruzual"/>
    <s v="YA"/>
    <x v="23"/>
    <s v="Municipio Bruzual"/>
    <n v="173"/>
    <n v="0"/>
    <n v="0"/>
  </r>
  <r>
    <s v="YA-Municipio Cocorote"/>
    <s v="YA"/>
    <x v="23"/>
    <s v="Municipio Cocorote"/>
    <n v="68"/>
    <n v="0"/>
    <n v="0"/>
  </r>
  <r>
    <s v="YA-Municipio Independencia"/>
    <s v="YA"/>
    <x v="23"/>
    <s v="Municipio Independencia"/>
    <n v="65"/>
    <n v="0"/>
    <n v="0"/>
  </r>
  <r>
    <s v="YA-Municipio José Antonio Páez"/>
    <s v="YA"/>
    <x v="23"/>
    <s v="Municipio José Antonio Páez"/>
    <n v="28"/>
    <n v="0"/>
    <n v="0"/>
  </r>
  <r>
    <s v="YA-Municipio La Trinidad"/>
    <s v="YA"/>
    <x v="23"/>
    <s v="Municipio La Trinidad"/>
    <n v="20"/>
    <n v="0"/>
    <n v="0"/>
  </r>
  <r>
    <s v="YA-Municipio Manuel Monge"/>
    <s v="YA"/>
    <x v="23"/>
    <s v="Municipio Manuel Monge"/>
    <n v="31"/>
    <n v="0"/>
    <n v="0"/>
  </r>
  <r>
    <s v="YA-Municipio Nirgua"/>
    <s v="YA"/>
    <x v="23"/>
    <s v="Municipio Nirgua"/>
    <n v="239"/>
    <n v="0"/>
    <n v="0"/>
  </r>
  <r>
    <s v="YA-Municipio Peña"/>
    <s v="YA"/>
    <x v="23"/>
    <s v="Municipio Peña"/>
    <n v="240"/>
    <n v="0"/>
    <n v="0"/>
  </r>
  <r>
    <s v="YA-Municipio San Felipe"/>
    <s v="YA"/>
    <x v="23"/>
    <s v="Municipio San Felipe"/>
    <n v="885"/>
    <n v="0"/>
    <n v="0"/>
  </r>
  <r>
    <s v="YA-Municipio Sucre"/>
    <s v="YA"/>
    <x v="23"/>
    <s v="Municipio Sucre"/>
    <n v="45"/>
    <n v="0"/>
    <n v="0"/>
  </r>
  <r>
    <s v="YA-Municipio Urachiche"/>
    <s v="YA"/>
    <x v="23"/>
    <s v="Municipio Urachiche"/>
    <n v="65"/>
    <n v="0"/>
    <n v="0"/>
  </r>
  <r>
    <s v="YA-Municipio Veroes"/>
    <s v="YA"/>
    <x v="23"/>
    <s v="Municipio Veroes"/>
    <n v="50"/>
    <n v="0"/>
    <n v="0"/>
  </r>
  <r>
    <s v="ZU-Municipio Almirante Padilla"/>
    <s v="ZU"/>
    <x v="24"/>
    <s v="Municipio Almirante Padilla"/>
    <n v="32"/>
    <n v="0"/>
    <n v="0"/>
  </r>
  <r>
    <s v="ZU-Municipio Baralt"/>
    <s v="ZU"/>
    <x v="24"/>
    <s v="Municipio Baralt"/>
    <n v="221"/>
    <n v="0"/>
    <n v="0"/>
  </r>
  <r>
    <s v="ZU-Municipio Cabimas"/>
    <s v="ZU"/>
    <x v="24"/>
    <s v="Municipio Cabimas"/>
    <n v="1026"/>
    <n v="0"/>
    <n v="0"/>
  </r>
  <r>
    <s v="ZU-Municipio Catatumbo"/>
    <s v="ZU"/>
    <x v="24"/>
    <s v="Municipio Catatumbo"/>
    <n v="130"/>
    <n v="0"/>
    <n v="0"/>
  </r>
  <r>
    <s v="ZU-Municipio Colon"/>
    <s v="ZU"/>
    <x v="24"/>
    <s v="Municipio Colon"/>
    <n v="485"/>
    <n v="0"/>
    <n v="0"/>
  </r>
  <r>
    <s v="ZU-Municipio Francisco Javier Pulgar"/>
    <s v="ZU"/>
    <x v="24"/>
    <s v="Municipio Francisco Javier Pulgar"/>
    <n v="0"/>
    <n v="0"/>
    <n v="0"/>
  </r>
  <r>
    <s v="ZU-Municipio Jesús Enrique Losada"/>
    <s v="ZU"/>
    <x v="24"/>
    <s v="Municipio Jesús Enrique Losada"/>
    <n v="330"/>
    <n v="0"/>
    <n v="0"/>
  </r>
  <r>
    <s v="ZU-Municipio Jesús Maria Semprun"/>
    <s v="ZU"/>
    <x v="24"/>
    <s v="Municipio Jesús Maria Semprun"/>
    <n v="9"/>
    <n v="0"/>
    <n v="0"/>
  </r>
  <r>
    <s v="ZU-Municipio La Cañada de Urdaneta"/>
    <s v="ZU"/>
    <x v="24"/>
    <s v="Municipio La Cañada de Urdaneta"/>
    <n v="164"/>
    <n v="0"/>
    <n v="0"/>
  </r>
  <r>
    <s v="ZU-Municipio Lagunillas"/>
    <s v="ZU"/>
    <x v="24"/>
    <s v="Municipio Lagunillas"/>
    <n v="617"/>
    <n v="0"/>
    <n v="0"/>
  </r>
  <r>
    <s v="ZU-Municipio Machiques de Perija"/>
    <s v="ZU"/>
    <x v="24"/>
    <s v="Municipio Machiques de Perija"/>
    <n v="347"/>
    <n v="0"/>
    <n v="0"/>
  </r>
  <r>
    <s v="ZU-Municipio Mara"/>
    <s v="ZU"/>
    <x v="24"/>
    <s v="Municipio Mara"/>
    <n v="605"/>
    <n v="0"/>
    <n v="0"/>
  </r>
  <r>
    <s v="ZU-Municipio Maracaibo"/>
    <s v="ZU"/>
    <x v="24"/>
    <s v="Municipio Maracaibo"/>
    <n v="8092"/>
    <n v="0"/>
    <n v="0"/>
  </r>
  <r>
    <s v="ZU-Municipio Miranda"/>
    <s v="ZU"/>
    <x v="24"/>
    <s v="Municipio Miranda"/>
    <n v="183"/>
    <n v="0"/>
    <n v="0"/>
  </r>
  <r>
    <s v="ZU-Municipio Páez"/>
    <s v="ZU"/>
    <x v="24"/>
    <s v="Municipio Páez"/>
    <n v="102"/>
    <n v="0"/>
    <n v="0"/>
  </r>
  <r>
    <s v="ZU-Municipio Rosario de Perija"/>
    <s v="ZU"/>
    <x v="24"/>
    <s v="Municipio Rosario de Perija"/>
    <n v="212"/>
    <n v="0"/>
    <n v="0"/>
  </r>
  <r>
    <s v="ZU-Municipio San Francisco"/>
    <s v="ZU"/>
    <x v="24"/>
    <s v="Municipio San Francisco"/>
    <n v="23"/>
    <n v="0"/>
    <n v="0"/>
  </r>
  <r>
    <s v="ZU-Municipio Santa Rita"/>
    <s v="ZU"/>
    <x v="24"/>
    <s v="Municipio Santa Rita"/>
    <n v="105"/>
    <n v="0"/>
    <n v="0"/>
  </r>
  <r>
    <s v="ZU-Municipio Simón Bolívar"/>
    <s v="ZU"/>
    <x v="24"/>
    <s v="Municipio Simón Bolívar"/>
    <n v="17"/>
    <n v="0"/>
    <n v="0"/>
  </r>
  <r>
    <s v="ZU-Municipio Sucre"/>
    <s v="ZU"/>
    <x v="24"/>
    <s v="Municipio Sucre"/>
    <n v="231"/>
    <n v="0"/>
    <n v="0"/>
  </r>
  <r>
    <s v="ZU-Municipio Valmore Rodríguez"/>
    <s v="ZU"/>
    <x v="24"/>
    <s v="Municipio Valmore Rodríguez"/>
    <n v="98"/>
    <n v="0"/>
    <n v="0"/>
  </r>
  <r>
    <s v="DE-Parroquia Gran Roque"/>
    <s v="DE"/>
    <x v="25"/>
    <s v="Parroquia Gran Roque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86">
  <r>
    <s v="DI-Municipio Autónomo Libertador"/>
    <s v="DT"/>
    <x v="0"/>
    <s v="Libertador (Caracas)"/>
    <n v="13512"/>
    <m/>
    <m/>
  </r>
  <r>
    <s v="DI-Municipio Autónomo Vargas"/>
    <s v="DT"/>
    <x v="0"/>
    <s v="Vargas (La Guaira)"/>
    <n v="1354"/>
    <m/>
    <m/>
  </r>
  <r>
    <s v="AM-Municipio Autónomo Alto Orinoco"/>
    <s v="AM"/>
    <x v="1"/>
    <s v="Municipio Autónomo Alto Orinoco"/>
    <n v="59"/>
    <m/>
    <m/>
  </r>
  <r>
    <s v="AM-Municipio Autónomo Atabapo"/>
    <s v="AM"/>
    <x v="1"/>
    <s v="Municipio Autónomo Atabapo"/>
    <n v="4"/>
    <m/>
    <m/>
  </r>
  <r>
    <s v="AM-Municipio Autónomo Atures"/>
    <s v="AM"/>
    <x v="1"/>
    <s v="Municipio Autónomo Atures"/>
    <n v="316"/>
    <m/>
    <m/>
  </r>
  <r>
    <s v="AM-Municipio Autónomo Autana"/>
    <s v="AM"/>
    <x v="1"/>
    <s v="Municipio Autónomo Autana"/>
    <n v="1"/>
    <m/>
    <m/>
  </r>
  <r>
    <s v="AM-Municipio Autónomo Maroa"/>
    <s v="AM"/>
    <x v="1"/>
    <s v="Municipio Autónomo Maroa"/>
    <n v="6"/>
    <m/>
    <m/>
  </r>
  <r>
    <s v="AM-Municipio Autónomo Manapiare"/>
    <s v="AM"/>
    <x v="1"/>
    <s v="Municipio Autónomo Manapiare"/>
    <n v="4"/>
    <m/>
    <m/>
  </r>
  <r>
    <s v="AM-Municipio Autónomo Río Negro"/>
    <s v="AM"/>
    <x v="1"/>
    <s v="Municipio Autónomo Río Negro"/>
    <n v="6"/>
    <m/>
    <m/>
  </r>
  <r>
    <s v="AN-Municipio Anaco"/>
    <s v="AN"/>
    <x v="2"/>
    <s v="Municipio Anaco"/>
    <n v="212"/>
    <m/>
    <m/>
  </r>
  <r>
    <s v="AN-Municipio Aragua"/>
    <s v="AN"/>
    <x v="2"/>
    <s v="Municipio Aragua"/>
    <n v="91"/>
    <m/>
    <m/>
  </r>
  <r>
    <s v="AN-Municipio San Juan de Capistrano"/>
    <s v="AN"/>
    <x v="2"/>
    <s v="Municipio San Juan de Capistrano"/>
    <n v="42"/>
    <m/>
    <m/>
  </r>
  <r>
    <s v="AN-Municipio Simón Bolívar"/>
    <s v="AN"/>
    <x v="2"/>
    <s v="Municipio Simón Bolívar"/>
    <n v="1057"/>
    <m/>
    <m/>
  </r>
  <r>
    <s v="AN-Municipio Manuel Ezequiel Bruzual"/>
    <s v="AN"/>
    <x v="2"/>
    <s v="Municipio Manuel Ezequiel Bruzual"/>
    <n v="70"/>
    <m/>
    <m/>
  </r>
  <r>
    <s v="AN-Municipio Juan Manuel Cajigal"/>
    <s v="AN"/>
    <x v="2"/>
    <s v="Municipio Juan Manuel Cajigal"/>
    <n v="24"/>
    <m/>
    <m/>
  </r>
  <r>
    <s v="AN-Municipio Francisco del Carmen Carvajal"/>
    <s v="AN"/>
    <x v="2"/>
    <s v="Municipio Francisco del Carmen Carvajal"/>
    <n v="36"/>
    <m/>
    <m/>
  </r>
  <r>
    <s v="AN-Municipio Pedro María Freites"/>
    <s v="AN"/>
    <x v="2"/>
    <s v="Municipio Pedro María Freites"/>
    <n v="183"/>
    <m/>
    <m/>
  </r>
  <r>
    <s v="AN-Municipio Sir Artur Mc. Gregor"/>
    <s v="AN"/>
    <x v="2"/>
    <s v="Municipio Sir Artur Mc. Gregor"/>
    <n v="24"/>
    <m/>
    <m/>
  </r>
  <r>
    <s v="AN-Municipio San José de Guanipa"/>
    <s v="AN"/>
    <x v="2"/>
    <s v="Municipio San José de Guanipa"/>
    <n v="108"/>
    <m/>
    <m/>
  </r>
  <r>
    <s v="AN-Municipio Guanta"/>
    <s v="AN"/>
    <x v="2"/>
    <s v="Municipio Guanta"/>
    <n v="42"/>
    <m/>
    <m/>
  </r>
  <r>
    <s v="AN-Municipio Independencia"/>
    <s v="AN"/>
    <x v="2"/>
    <s v="Municipio Independencia"/>
    <n v="66"/>
    <m/>
    <m/>
  </r>
  <r>
    <s v="AN-Municipio Libertad"/>
    <s v="AN"/>
    <x v="2"/>
    <s v="Municipio Libertad"/>
    <n v="29"/>
    <m/>
    <m/>
  </r>
  <r>
    <s v="AN-Municipio Diego Bautista Urbaneja"/>
    <s v="AN"/>
    <x v="2"/>
    <s v="Municipio Diego Bautista Urbaneja"/>
    <n v="67"/>
    <m/>
    <m/>
  </r>
  <r>
    <s v="AN-Municipio Francisco de Miranda"/>
    <s v="AN"/>
    <x v="2"/>
    <s v="Municipio Francisco de Miranda"/>
    <n v="65"/>
    <m/>
    <m/>
  </r>
  <r>
    <s v="AN-Municipio José Gregorio Monagas"/>
    <s v="AN"/>
    <x v="2"/>
    <s v="Municipio José Gregorio Monagas"/>
    <n v="26"/>
    <m/>
    <m/>
  </r>
  <r>
    <s v="AN-Municipio Fernando Peñalver"/>
    <s v="AN"/>
    <x v="2"/>
    <s v="Municipio Fernando Peñalver"/>
    <n v="34"/>
    <m/>
    <m/>
  </r>
  <r>
    <s v="AN-Municipio Píritu"/>
    <s v="AN"/>
    <x v="2"/>
    <s v="Municipio Píritu"/>
    <n v="35"/>
    <m/>
    <m/>
  </r>
  <r>
    <s v="AN-Municipio Santa Ana"/>
    <s v="AN"/>
    <x v="2"/>
    <s v="Municipio Santa Ana"/>
    <n v="22"/>
    <m/>
    <m/>
  </r>
  <r>
    <s v="AN-Municipio Simón Rodríguez"/>
    <s v="AN"/>
    <x v="2"/>
    <s v="Municipio Simón Rodríguez"/>
    <n v="532"/>
    <m/>
    <m/>
  </r>
  <r>
    <s v="AN-Municipio Juan Antonio Sotillo"/>
    <s v="AN"/>
    <x v="2"/>
    <s v="Municipio Juan Antonio Sotillo"/>
    <n v="497"/>
    <m/>
    <m/>
  </r>
  <r>
    <s v="AP-Municipio Achaguas"/>
    <s v="AP"/>
    <x v="3"/>
    <s v="Municipio Achaguas"/>
    <n v="126"/>
    <m/>
    <m/>
  </r>
  <r>
    <s v="AP-Municipio Biruaca"/>
    <s v="AP"/>
    <x v="3"/>
    <s v="Municipio Biruaca"/>
    <n v="47"/>
    <m/>
    <m/>
  </r>
  <r>
    <s v="AP-Municipio Muños"/>
    <s v="AP"/>
    <x v="3"/>
    <s v="Municipio Muños"/>
    <n v="33"/>
    <m/>
    <m/>
  </r>
  <r>
    <s v="AP-Municipio Páez"/>
    <s v="AP"/>
    <x v="3"/>
    <s v="Municipio Páez"/>
    <n v="201"/>
    <m/>
    <m/>
  </r>
  <r>
    <s v="AP-Municipio Pedro Camejo"/>
    <s v="AP"/>
    <x v="3"/>
    <s v="Municipio Pedro Camejo"/>
    <n v="25"/>
    <m/>
    <m/>
  </r>
  <r>
    <s v="AP-Municipio Rómulo Gallegos"/>
    <s v="AP"/>
    <x v="3"/>
    <s v="Municipio Rómulo Gallegos"/>
    <n v="30"/>
    <m/>
    <m/>
  </r>
  <r>
    <s v="AP-Municipio San Fernando"/>
    <s v="AP"/>
    <x v="3"/>
    <s v="Municipio San Fernando"/>
    <n v="761"/>
    <m/>
    <m/>
  </r>
  <r>
    <s v="AR-Municipio Bolívar"/>
    <s v="AR"/>
    <x v="4"/>
    <s v="Municipio Bolívar"/>
    <n v="90"/>
    <m/>
    <m/>
  </r>
  <r>
    <s v="AR-Municipio Camatagua"/>
    <s v="AR"/>
    <x v="4"/>
    <s v="Municipio Camatagua"/>
    <n v="51"/>
    <m/>
    <m/>
  </r>
  <r>
    <s v="AR-Municipio Girardot"/>
    <s v="AR"/>
    <x v="4"/>
    <s v="Municipio Girardot"/>
    <n v="2996"/>
    <m/>
    <m/>
  </r>
  <r>
    <s v="AR-Municipio José Ángel Lamas"/>
    <s v="AR"/>
    <x v="4"/>
    <s v="Municipio José Ángel Lamas"/>
    <n v="65"/>
    <m/>
    <m/>
  </r>
  <r>
    <s v="AR-Municipio José Félix Rivas"/>
    <s v="AR"/>
    <x v="4"/>
    <s v="Municipio José Félix Rivas"/>
    <n v="721"/>
    <m/>
    <m/>
  </r>
  <r>
    <s v="AR-Municipio José Rafael Revenga"/>
    <s v="AR"/>
    <x v="4"/>
    <s v="Municipio José Rafael Revenga"/>
    <n v="98"/>
    <m/>
    <m/>
  </r>
  <r>
    <s v="AR-Municipio Libertador"/>
    <s v="AR"/>
    <x v="4"/>
    <s v="Municipio Libertador"/>
    <n v="308"/>
    <m/>
    <m/>
  </r>
  <r>
    <s v="AR-Municipio Mario Briceño Iragorry"/>
    <s v="AR"/>
    <x v="4"/>
    <s v="Municipio Mario Briceño Iragorry"/>
    <n v="237"/>
    <m/>
    <m/>
  </r>
  <r>
    <s v="AR-Municipio San Casimiro"/>
    <s v="AR"/>
    <x v="4"/>
    <s v="Municipio San Casimiro"/>
    <n v="84"/>
    <m/>
    <m/>
  </r>
  <r>
    <s v="AR-Municipio San Sebastián"/>
    <s v="AR"/>
    <x v="4"/>
    <s v="Municipio San Sebastián"/>
    <n v="82"/>
    <m/>
    <m/>
  </r>
  <r>
    <s v="AR-Municipio Santiago Mariño"/>
    <s v="AR"/>
    <x v="4"/>
    <s v="Municipio Santiago Mariño"/>
    <n v="434"/>
    <m/>
    <m/>
  </r>
  <r>
    <s v="AR-Municipio Santos Michelena"/>
    <s v="AR"/>
    <x v="4"/>
    <s v="Municipio Santos Michelena"/>
    <n v="73"/>
    <m/>
    <m/>
  </r>
  <r>
    <s v="AR-Municipio Sucre"/>
    <s v="AR"/>
    <x v="4"/>
    <s v="Municipio Sucre"/>
    <n v="294"/>
    <m/>
    <m/>
  </r>
  <r>
    <s v="AR-Municipio Tovar"/>
    <s v="AR"/>
    <x v="4"/>
    <s v="Municipio Tovar"/>
    <n v="36"/>
    <m/>
    <m/>
  </r>
  <r>
    <s v="AR-Municipio Urdaneta"/>
    <s v="AR"/>
    <x v="4"/>
    <s v="Municipio Urdaneta"/>
    <n v="70"/>
    <m/>
    <m/>
  </r>
  <r>
    <s v="AR-Municipio Zamora"/>
    <s v="AR"/>
    <x v="4"/>
    <s v="Municipio Zamora"/>
    <n v="419"/>
    <m/>
    <m/>
  </r>
  <r>
    <s v="BA-Municipio Alberto Arvelo Torrealba"/>
    <s v="BA"/>
    <x v="5"/>
    <s v="Municipio Alberto Arvelo Torrealba"/>
    <n v="129"/>
    <m/>
    <m/>
  </r>
  <r>
    <s v="BA-Municipio Antonio José de Sucre"/>
    <s v="BA"/>
    <x v="5"/>
    <s v="Municipio Antonio José de Sucre"/>
    <n v="160"/>
    <m/>
    <m/>
  </r>
  <r>
    <s v="BA-Municipio Arismendi"/>
    <s v="BA"/>
    <x v="5"/>
    <s v="Municipio Arismendi"/>
    <n v="38"/>
    <m/>
    <m/>
  </r>
  <r>
    <s v="BA-Municipio Barinas"/>
    <s v="BA"/>
    <x v="5"/>
    <s v="Municipio Barinas"/>
    <n v="1281"/>
    <m/>
    <m/>
  </r>
  <r>
    <s v="BA-Municipio Bolívar"/>
    <s v="BA"/>
    <x v="5"/>
    <s v="Municipio Bolívar"/>
    <n v="135"/>
    <m/>
    <m/>
  </r>
  <r>
    <s v="BA-Municipio Cruz Paredes"/>
    <s v="BA"/>
    <x v="5"/>
    <s v="Municipio Cruz Paredes"/>
    <n v="58"/>
    <m/>
    <m/>
  </r>
  <r>
    <s v="BA-Municipio Ezequiel Zamora"/>
    <s v="BA"/>
    <x v="5"/>
    <s v="Municipio Ezequiel Zamora"/>
    <n v="193"/>
    <m/>
    <m/>
  </r>
  <r>
    <s v="BA-Municipio Obispos"/>
    <s v="BA"/>
    <x v="5"/>
    <s v="Municipio Obispos"/>
    <n v="54"/>
    <m/>
    <m/>
  </r>
  <r>
    <s v="BA-Municipio Pedraza"/>
    <s v="BA"/>
    <x v="5"/>
    <s v="Municipio Pedraza"/>
    <n v="149"/>
    <m/>
    <m/>
  </r>
  <r>
    <s v="BA-Municipio Rojas"/>
    <s v="BA"/>
    <x v="5"/>
    <s v="Municipio Rojas"/>
    <n v="88"/>
    <m/>
    <m/>
  </r>
  <r>
    <s v="BA-Municipio Sosa"/>
    <s v="BA"/>
    <x v="5"/>
    <s v="Municipio Sosa"/>
    <n v="36"/>
    <m/>
    <m/>
  </r>
  <r>
    <s v="BO-Municipio Caroni"/>
    <s v="BO"/>
    <x v="6"/>
    <s v="Municipio Caroni"/>
    <n v="2491"/>
    <m/>
    <m/>
  </r>
  <r>
    <s v="BO-Municipio Cedeño"/>
    <s v="BO"/>
    <x v="6"/>
    <s v="Municipio Cedeño"/>
    <n v="187"/>
    <m/>
    <m/>
  </r>
  <r>
    <s v="BO-Municipio El Callao"/>
    <s v="BO"/>
    <x v="6"/>
    <s v="Municipio El Callao"/>
    <n v="70"/>
    <m/>
    <m/>
  </r>
  <r>
    <s v="BO-Municipio Gran Sabana"/>
    <s v="BO"/>
    <x v="6"/>
    <s v="Municipio Gran Sabana"/>
    <n v="24"/>
    <m/>
    <m/>
  </r>
  <r>
    <s v="BO-Municipio Heres"/>
    <s v="BO"/>
    <x v="6"/>
    <s v="Municipio Heres"/>
    <n v="1691"/>
    <m/>
    <m/>
  </r>
  <r>
    <s v="BO-Municipio Piar"/>
    <s v="BO"/>
    <x v="6"/>
    <s v="Municipio Piar"/>
    <n v="354"/>
    <m/>
    <m/>
  </r>
  <r>
    <s v="BO-Municipio Raúl leoni"/>
    <s v="BO"/>
    <x v="6"/>
    <s v="Municipio Raúl leoni"/>
    <n v="24"/>
    <m/>
    <m/>
  </r>
  <r>
    <s v="BO-Municipio Roscio"/>
    <s v="BO"/>
    <x v="6"/>
    <s v="Municipio Roscio"/>
    <n v="53"/>
    <m/>
    <m/>
  </r>
  <r>
    <s v="BO-Municipio Sifontes"/>
    <s v="BO"/>
    <x v="6"/>
    <s v="Municipio Sifontes"/>
    <n v="149"/>
    <m/>
    <m/>
  </r>
  <r>
    <s v="BO-Municipio Sucre"/>
    <s v="BO"/>
    <x v="6"/>
    <s v="Municipio Sucre"/>
    <n v="4"/>
    <m/>
    <m/>
  </r>
  <r>
    <s v="CA-Municipio Bejuma"/>
    <s v="CA"/>
    <x v="7"/>
    <s v="Municipio Bejuma"/>
    <n v="255"/>
    <m/>
    <m/>
  </r>
  <r>
    <s v="CA-Municipio Carlos Arvelo"/>
    <s v="CA"/>
    <x v="7"/>
    <s v="Municipio Carlos Arvelo"/>
    <n v="365"/>
    <m/>
    <m/>
  </r>
  <r>
    <s v="CA-Municipio Diego Ibarra"/>
    <s v="CA"/>
    <x v="7"/>
    <s v="Municipio Diego Ibarra"/>
    <n v="232"/>
    <m/>
    <m/>
  </r>
  <r>
    <s v="CA-Municipio Guacara"/>
    <s v="CA"/>
    <x v="7"/>
    <s v="Municipio Guacara"/>
    <n v="356"/>
    <m/>
    <m/>
  </r>
  <r>
    <s v="CA-Municipio Juan José Mora"/>
    <s v="CA"/>
    <x v="7"/>
    <s v="Municipio Juan José Mora"/>
    <n v="144"/>
    <m/>
    <m/>
  </r>
  <r>
    <s v="CA-Municipio Libertador"/>
    <s v="CA"/>
    <x v="7"/>
    <s v="Municipio Libertador"/>
    <n v="351"/>
    <m/>
    <m/>
  </r>
  <r>
    <s v="CA-Municipio Los Guayos"/>
    <s v="CA"/>
    <x v="7"/>
    <s v="Municipio Los Guayos"/>
    <n v="192"/>
    <m/>
    <m/>
  </r>
  <r>
    <s v="CA-Municipio Miranda"/>
    <s v="CA"/>
    <x v="7"/>
    <s v="Municipio Miranda"/>
    <n v="71"/>
    <m/>
    <m/>
  </r>
  <r>
    <s v="CA-Municipio Montalbán"/>
    <s v="CA"/>
    <x v="7"/>
    <s v="Municipio Montalbán"/>
    <n v="37"/>
    <m/>
    <m/>
  </r>
  <r>
    <s v="CA-Municipio Naguanagua"/>
    <s v="CA"/>
    <x v="7"/>
    <s v="Municipio Naguanagua"/>
    <n v="856"/>
    <m/>
    <m/>
  </r>
  <r>
    <s v="CA-Municipio Puerto Cabello"/>
    <s v="CA"/>
    <x v="7"/>
    <s v="Municipio Puerto Cabello"/>
    <n v="923"/>
    <m/>
    <m/>
  </r>
  <r>
    <s v="CA-Municipio San Diego"/>
    <s v="CA"/>
    <x v="7"/>
    <s v="Municipio San Diego"/>
    <n v="88"/>
    <m/>
    <m/>
  </r>
  <r>
    <s v="CA-Municipio San Joaquín"/>
    <s v="CA"/>
    <x v="7"/>
    <s v="Municipio San Joaquín"/>
    <n v="83"/>
    <m/>
    <m/>
  </r>
  <r>
    <s v="CA-Municipio Valencia"/>
    <s v="CA"/>
    <x v="7"/>
    <s v="Municipio Valencia"/>
    <n v="4007"/>
    <m/>
    <m/>
  </r>
  <r>
    <s v="CO-Municipio Anzoátegui"/>
    <s v="CO"/>
    <x v="8"/>
    <s v="Municipio Anzoátegui"/>
    <n v="25"/>
    <m/>
    <m/>
  </r>
  <r>
    <s v="CO-Municipio Falcón"/>
    <s v="CO"/>
    <x v="8"/>
    <s v="Municipio Falcón"/>
    <n v="254"/>
    <m/>
    <m/>
  </r>
  <r>
    <s v="CO-Municipio Girardot"/>
    <s v="CO"/>
    <x v="8"/>
    <s v="Municipio Girardot"/>
    <n v="26"/>
    <m/>
    <m/>
  </r>
  <r>
    <s v="CO-Municipio Lima Blanco"/>
    <s v="CO"/>
    <x v="8"/>
    <s v="Municipio Lima Blanco"/>
    <n v="32"/>
    <m/>
    <m/>
  </r>
  <r>
    <s v="CO-Municipio Pao de San Juan  Bautista"/>
    <s v="CO"/>
    <x v="8"/>
    <s v="Municipio Pao de San Juan  Bautista"/>
    <n v="32"/>
    <m/>
    <m/>
  </r>
  <r>
    <s v="CO-Municipio Ricaurte"/>
    <s v="CO"/>
    <x v="8"/>
    <s v="Municipio Ricaurte"/>
    <n v="27"/>
    <m/>
    <m/>
  </r>
  <r>
    <s v="CO-Municipio Rómulo Gallegos"/>
    <s v="CO"/>
    <x v="8"/>
    <s v="Municipio Rómulo Gallegos"/>
    <n v="15"/>
    <m/>
    <m/>
  </r>
  <r>
    <s v="CO-Municipio San Carlos"/>
    <s v="CO"/>
    <x v="8"/>
    <s v="Municipio San Carlos"/>
    <n v="520"/>
    <m/>
    <m/>
  </r>
  <r>
    <s v="CO-Municipio Tinaco"/>
    <s v="CO"/>
    <x v="8"/>
    <s v="Municipio Tinaco"/>
    <n v="96"/>
    <m/>
    <m/>
  </r>
  <r>
    <s v="DE-Municipio Antonio Díaz"/>
    <s v="DE"/>
    <x v="9"/>
    <s v="Municipio Antonio Díaz"/>
    <n v="21"/>
    <m/>
    <m/>
  </r>
  <r>
    <s v="DE-Municipio Casacoima"/>
    <s v="DE"/>
    <x v="9"/>
    <s v="Municipio Casacoima"/>
    <n v="19"/>
    <m/>
    <m/>
  </r>
  <r>
    <s v="DE-Municipio Pedernales"/>
    <s v="DE"/>
    <x v="9"/>
    <s v="Municipio Pedernales"/>
    <n v="13"/>
    <m/>
    <m/>
  </r>
  <r>
    <s v="DE-Municipio Tucupita"/>
    <s v="DE"/>
    <x v="9"/>
    <s v="Municipio Tucupita"/>
    <n v="340"/>
    <m/>
    <m/>
  </r>
  <r>
    <s v="FA-Municipio Falcón"/>
    <s v="FA"/>
    <x v="10"/>
    <s v="Municipio Falcón"/>
    <n v="58"/>
    <m/>
    <m/>
  </r>
  <r>
    <s v="FA-Municipio Bolívar"/>
    <s v="FA"/>
    <x v="10"/>
    <s v="Municipio Bolívar"/>
    <n v="27"/>
    <m/>
    <m/>
  </r>
  <r>
    <s v="FA-Municipio Buchivacoa"/>
    <s v="FA"/>
    <x v="10"/>
    <s v="Municipio Buchivacoa"/>
    <n v="48"/>
    <m/>
    <m/>
  </r>
  <r>
    <s v="FA-Municipio Cacique Manaure"/>
    <s v="FA"/>
    <x v="10"/>
    <s v="Municipio Cacique Manaure"/>
    <n v="20"/>
    <m/>
    <m/>
  </r>
  <r>
    <s v="FA-Municipio Carirubana"/>
    <s v="FA"/>
    <x v="10"/>
    <s v="Municipio Carirubana"/>
    <n v="609"/>
    <m/>
    <m/>
  </r>
  <r>
    <s v="FA-Municipio Colina"/>
    <s v="FA"/>
    <x v="10"/>
    <s v="Municipio Colina"/>
    <n v="47"/>
    <m/>
    <m/>
  </r>
  <r>
    <s v="FA-Municipio Dabajuro"/>
    <s v="FA"/>
    <x v="10"/>
    <s v="Municipio Dabajuro"/>
    <n v="59"/>
    <m/>
    <m/>
  </r>
  <r>
    <s v="FA-Municipio Democracia"/>
    <s v="FA"/>
    <x v="10"/>
    <s v="Municipio Democracia"/>
    <n v="19"/>
    <m/>
    <m/>
  </r>
  <r>
    <s v="FA-Municipio Acosta"/>
    <s v="FA"/>
    <x v="10"/>
    <s v="Municipio Acosta"/>
    <n v="122"/>
    <m/>
    <m/>
  </r>
  <r>
    <s v="FA-Municipio Federación"/>
    <s v="FA"/>
    <x v="10"/>
    <s v="Municipio Federación"/>
    <n v="110"/>
    <m/>
    <m/>
  </r>
  <r>
    <s v="FA-Municipio Jacura"/>
    <s v="FA"/>
    <x v="10"/>
    <s v="Municipio Jacura"/>
    <n v="25"/>
    <m/>
    <m/>
  </r>
  <r>
    <s v="FA-Municipio Los Taques"/>
    <s v="FA"/>
    <x v="10"/>
    <s v="Municipio Los Taques"/>
    <n v="66"/>
    <m/>
    <m/>
  </r>
  <r>
    <s v="FA-Municipio Mauroa"/>
    <s v="FA"/>
    <x v="10"/>
    <s v="Municipio Mauroa"/>
    <n v="56"/>
    <m/>
    <m/>
  </r>
  <r>
    <s v="FA-Municipio Miranda"/>
    <s v="FA"/>
    <x v="10"/>
    <s v="Municipio Miranda"/>
    <n v="852"/>
    <m/>
    <m/>
  </r>
  <r>
    <s v="FA-Municipio Monseñor Iturriza"/>
    <s v="FA"/>
    <x v="10"/>
    <s v="Municipio Monseñor Iturriza"/>
    <n v="60"/>
    <m/>
    <m/>
  </r>
  <r>
    <s v="FA-Municipio Palmasola"/>
    <s v="FA"/>
    <x v="10"/>
    <s v="Municipio Palmasola"/>
    <n v="3"/>
    <m/>
    <m/>
  </r>
  <r>
    <s v="FA-Municipio Petit"/>
    <s v="FA"/>
    <x v="10"/>
    <s v="Municipio Petit"/>
    <n v="33"/>
    <m/>
    <m/>
  </r>
  <r>
    <s v="FA-Municipio Píritu"/>
    <s v="FA"/>
    <x v="10"/>
    <s v="Municipio Píritu"/>
    <n v="23"/>
    <m/>
    <m/>
  </r>
  <r>
    <s v="FA-Municipio San Francisco"/>
    <s v="FA"/>
    <x v="10"/>
    <s v="Municipio San Francisco"/>
    <n v="33"/>
    <m/>
    <m/>
  </r>
  <r>
    <s v="FA-Municipio Silva"/>
    <s v="FA"/>
    <x v="10"/>
    <s v="Municipio Silva"/>
    <n v="85"/>
    <m/>
    <m/>
  </r>
  <r>
    <s v="FA-Municipio Sucre"/>
    <s v="FA"/>
    <x v="10"/>
    <s v="Municipio Sucre"/>
    <n v="21"/>
    <m/>
    <m/>
  </r>
  <r>
    <s v="FA-Municipio Tocopero"/>
    <s v="FA"/>
    <x v="10"/>
    <s v="Municipio Tocopero"/>
    <n v="19"/>
    <m/>
    <m/>
  </r>
  <r>
    <s v="FA-Municipio Unión"/>
    <s v="FA"/>
    <x v="10"/>
    <s v="Municipio Unión"/>
    <n v="41"/>
    <m/>
    <m/>
  </r>
  <r>
    <s v="FA-Municipio Urumaco"/>
    <s v="FA"/>
    <x v="10"/>
    <s v="Municipio Urumaco"/>
    <n v="25"/>
    <m/>
    <m/>
  </r>
  <r>
    <s v="FA-Municipio Zamora"/>
    <s v="FA"/>
    <x v="10"/>
    <s v="Municipio Zamora"/>
    <n v="82"/>
    <m/>
    <m/>
  </r>
  <r>
    <s v="GU-Municipio Camaguán"/>
    <s v="GU"/>
    <x v="11"/>
    <s v="Municipio Camaguán"/>
    <n v="55"/>
    <m/>
    <m/>
  </r>
  <r>
    <s v="GU-Municipio Chaguaramas"/>
    <s v="GU"/>
    <x v="11"/>
    <s v="Municipio Chaguaramas"/>
    <n v="32"/>
    <m/>
    <m/>
  </r>
  <r>
    <s v="GU-Municipio El Socorro"/>
    <s v="GU"/>
    <x v="11"/>
    <s v="Municipio El Socorro"/>
    <n v="41"/>
    <m/>
    <m/>
  </r>
  <r>
    <s v="GU-Municipio Guayabal"/>
    <s v="GU"/>
    <x v="11"/>
    <s v="Municipio Guayabal"/>
    <n v="24"/>
    <m/>
    <m/>
  </r>
  <r>
    <s v="GU-Municipio Infante"/>
    <s v="GU"/>
    <x v="11"/>
    <s v="Municipio Infante"/>
    <n v="548"/>
    <m/>
    <m/>
  </r>
  <r>
    <s v="GU-Municipio Las Mercedes"/>
    <s v="GU"/>
    <x v="11"/>
    <s v="Municipio Las Mercedes"/>
    <n v="90"/>
    <m/>
    <m/>
  </r>
  <r>
    <s v="GU-Municipio Mellado"/>
    <s v="GU"/>
    <x v="11"/>
    <s v="Municipio Mellado"/>
    <n v="110"/>
    <m/>
    <m/>
  </r>
  <r>
    <s v="GU-Municipio Miranda"/>
    <s v="GU"/>
    <x v="11"/>
    <s v="Municipio Miranda"/>
    <n v="562"/>
    <m/>
    <m/>
  </r>
  <r>
    <s v="GU-Municipio Monagas"/>
    <s v="GU"/>
    <x v="11"/>
    <s v="Municipio Monagas"/>
    <n v="294"/>
    <m/>
    <m/>
  </r>
  <r>
    <s v="GU-Municipio Ortiz"/>
    <s v="GU"/>
    <x v="11"/>
    <s v="Municipio Ortiz"/>
    <n v="36"/>
    <m/>
    <m/>
  </r>
  <r>
    <s v="GU-Municipio Ribas"/>
    <s v="GU"/>
    <x v="11"/>
    <s v="Municipio Ribas"/>
    <n v="113"/>
    <m/>
    <m/>
  </r>
  <r>
    <s v="GU-Municipio Roscio"/>
    <s v="GU"/>
    <x v="11"/>
    <s v="Municipio Roscio"/>
    <n v="581"/>
    <m/>
    <m/>
  </r>
  <r>
    <s v="GU-Municipio San José de Guaribe"/>
    <s v="GU"/>
    <x v="11"/>
    <s v="Municipio San José de Guaribe"/>
    <n v="25"/>
    <m/>
    <m/>
  </r>
  <r>
    <s v="GU-Municipio Santa Maria de Ipire"/>
    <s v="GU"/>
    <x v="11"/>
    <s v="Municipio Santa Maria de Ipire"/>
    <n v="47"/>
    <m/>
    <m/>
  </r>
  <r>
    <s v="GU-Municipio Zaraza"/>
    <s v="GU"/>
    <x v="11"/>
    <s v="Municipio Zaraza"/>
    <n v="240"/>
    <m/>
    <m/>
  </r>
  <r>
    <s v="LA-Municipio Andrés Eloy Blanco"/>
    <s v="LA"/>
    <x v="12"/>
    <s v="Municipio Andrés Eloy Blanco"/>
    <n v="161"/>
    <m/>
    <m/>
  </r>
  <r>
    <s v="LA-Municipio Crespo"/>
    <s v="LA"/>
    <x v="12"/>
    <s v="Municipio Crespo"/>
    <n v="140"/>
    <m/>
    <m/>
  </r>
  <r>
    <s v="LA-Municipio Iribarren"/>
    <s v="LA"/>
    <x v="12"/>
    <s v="Municipio Iribarren"/>
    <n v="4666"/>
    <m/>
    <m/>
  </r>
  <r>
    <s v="LA-Municipio Jiménez"/>
    <s v="LA"/>
    <x v="12"/>
    <s v="Municipio Jiménez"/>
    <n v="239"/>
    <m/>
    <m/>
  </r>
  <r>
    <s v="LA-Municipio Moran"/>
    <s v="LA"/>
    <x v="12"/>
    <s v="Municipio Moran"/>
    <n v="445"/>
    <m/>
    <m/>
  </r>
  <r>
    <s v="LA-Municipio Palavecino"/>
    <s v="LA"/>
    <x v="12"/>
    <s v="Municipio Palavecino"/>
    <n v="214"/>
    <m/>
    <m/>
  </r>
  <r>
    <s v="LA-Municipio Simón Planas"/>
    <s v="LA"/>
    <x v="12"/>
    <s v="Municipio Simón Planas"/>
    <n v="73"/>
    <m/>
    <m/>
  </r>
  <r>
    <s v="LA-Municipio Torres"/>
    <s v="LA"/>
    <x v="12"/>
    <s v="Municipio Torres"/>
    <n v="692"/>
    <m/>
    <m/>
  </r>
  <r>
    <s v="LA-Municipio Urdaneta"/>
    <s v="LA"/>
    <x v="12"/>
    <s v="Municipio Urdaneta"/>
    <n v="117"/>
    <m/>
    <m/>
  </r>
  <r>
    <s v="ME-Municipio Alberto Adrián"/>
    <s v="ME"/>
    <x v="13"/>
    <s v="Municipio Alberto Adrián"/>
    <n v="539"/>
    <m/>
    <m/>
  </r>
  <r>
    <s v="ME-Municipio Andrés Bello"/>
    <s v="ME"/>
    <x v="13"/>
    <s v="Municipio Andrés Bello"/>
    <n v="46"/>
    <m/>
    <m/>
  </r>
  <r>
    <s v="ME-Municipio Antonio Pinto Salinas"/>
    <s v="ME"/>
    <x v="13"/>
    <s v="Municipio Antonio Pinto Salinas"/>
    <n v="96"/>
    <m/>
    <m/>
  </r>
  <r>
    <s v="ME-Municipio Aricagua"/>
    <s v="ME"/>
    <x v="13"/>
    <s v="Municipio Aricagua"/>
    <n v="29"/>
    <m/>
    <m/>
  </r>
  <r>
    <s v="ME-Municipio Arzobispo Chacón"/>
    <s v="ME"/>
    <x v="13"/>
    <s v="Municipio Arzobispo Chacón"/>
    <n v="84"/>
    <m/>
    <m/>
  </r>
  <r>
    <s v="ME-Municipio Campo  Elías"/>
    <s v="ME"/>
    <x v="13"/>
    <s v="Municipio Campo  Elías"/>
    <n v="224"/>
    <m/>
    <m/>
  </r>
  <r>
    <s v="ME-Municipio Carracciolo Parra Olmedo"/>
    <s v="ME"/>
    <x v="13"/>
    <s v="Municipio Carracciolo Parra Olmedo"/>
    <n v="104"/>
    <m/>
    <m/>
  </r>
  <r>
    <s v="ME-Municipio Cardenal Quintero"/>
    <s v="ME"/>
    <x v="13"/>
    <s v="Municipio Cardenal Quintero"/>
    <n v="20"/>
    <m/>
    <m/>
  </r>
  <r>
    <s v="ME-Municipio Guaraque"/>
    <s v="ME"/>
    <x v="13"/>
    <s v="Municipio Guaraque"/>
    <n v="47"/>
    <m/>
    <m/>
  </r>
  <r>
    <s v="ME-Municipio Julio Cesar Salas"/>
    <s v="ME"/>
    <x v="13"/>
    <s v="Municipio Julio Cesar Salas"/>
    <n v="57"/>
    <m/>
    <m/>
  </r>
  <r>
    <s v="ME-Municipio Justo Briceño"/>
    <s v="ME"/>
    <x v="13"/>
    <s v="Municipio Justo Briceño"/>
    <n v="21"/>
    <m/>
    <m/>
  </r>
  <r>
    <s v="ME-Municipio Libertador"/>
    <s v="ME"/>
    <x v="13"/>
    <s v="Municipio Libertador"/>
    <n v="1410"/>
    <m/>
    <m/>
  </r>
  <r>
    <s v="ME-Municipio Miranda"/>
    <s v="ME"/>
    <x v="13"/>
    <s v="Municipio Miranda"/>
    <n v="87"/>
    <m/>
    <m/>
  </r>
  <r>
    <s v="ME-Municipio Obispo Ramos de Lora"/>
    <s v="ME"/>
    <x v="13"/>
    <s v="Municipio Obispo Ramos de Lora"/>
    <n v="79"/>
    <m/>
    <m/>
  </r>
  <r>
    <s v="ME-Municipio Padre Noguera"/>
    <s v="ME"/>
    <x v="13"/>
    <s v="Municipio Padre Noguera"/>
    <n v="6"/>
    <m/>
    <m/>
  </r>
  <r>
    <s v="ME-Municipio Pueblo Llano"/>
    <s v="ME"/>
    <x v="13"/>
    <s v="Municipio Pueblo Llano"/>
    <n v="55"/>
    <m/>
    <m/>
  </r>
  <r>
    <s v="ME-Municipio Rangel"/>
    <s v="ME"/>
    <x v="13"/>
    <s v="Municipio Rangel"/>
    <n v="76"/>
    <m/>
    <m/>
  </r>
  <r>
    <s v="ME-Municipio Rivas Dávila"/>
    <s v="ME"/>
    <x v="13"/>
    <s v="Municipio Rivas Dávila"/>
    <n v="54"/>
    <m/>
    <m/>
  </r>
  <r>
    <s v="ME-Municipio Santos Marquina"/>
    <s v="ME"/>
    <x v="13"/>
    <s v="Municipio Santos Marquina"/>
    <n v="47"/>
    <m/>
    <m/>
  </r>
  <r>
    <s v="ME-Municipio Sucre"/>
    <s v="ME"/>
    <x v="13"/>
    <s v="Municipio Sucre"/>
    <n v="169"/>
    <m/>
    <m/>
  </r>
  <r>
    <s v="ME-Municipio Tovar"/>
    <s v="ME"/>
    <x v="13"/>
    <s v="Municipio Tovar"/>
    <n v="183"/>
    <m/>
    <m/>
  </r>
  <r>
    <s v="ME-Municipio Tulio Febres Cordero"/>
    <s v="ME"/>
    <x v="13"/>
    <s v="Municipio Tulio Febres Cordero"/>
    <n v="78"/>
    <m/>
    <m/>
  </r>
  <r>
    <s v="ME-Municipio Zea"/>
    <s v="ME"/>
    <x v="13"/>
    <s v="Municipio Zea"/>
    <n v="41"/>
    <m/>
    <m/>
  </r>
  <r>
    <s v="MI-Municipio Acevedo"/>
    <s v="MI"/>
    <x v="14"/>
    <s v="Municipio Acevedo"/>
    <n v="302"/>
    <m/>
    <m/>
  </r>
  <r>
    <s v="MI-Municipio Andrés Bello"/>
    <s v="MI"/>
    <x v="14"/>
    <s v="Municipio Andrés Bello"/>
    <n v="57"/>
    <m/>
    <m/>
  </r>
  <r>
    <s v="MI-Municipio Baruta"/>
    <s v="MI"/>
    <x v="14"/>
    <s v="Municipio Baruta"/>
    <n v="1051"/>
    <m/>
    <m/>
  </r>
  <r>
    <s v="MI-Municipio Brion"/>
    <s v="MI"/>
    <x v="14"/>
    <s v="Municipio Brion"/>
    <n v="151"/>
    <m/>
    <m/>
  </r>
  <r>
    <s v="MI-Municipio Buroz"/>
    <s v="MI"/>
    <x v="14"/>
    <s v="Municipio Buroz"/>
    <n v="54"/>
    <m/>
    <m/>
  </r>
  <r>
    <s v="MI-Municipio Carrizal"/>
    <s v="MI"/>
    <x v="14"/>
    <s v="Municipio Carrizal"/>
    <n v="64"/>
    <m/>
    <m/>
  </r>
  <r>
    <s v="MI-Municipio Chacao"/>
    <s v="MI"/>
    <x v="14"/>
    <s v="Municipio Chacao"/>
    <n v="654"/>
    <m/>
    <m/>
  </r>
  <r>
    <s v="MI-Municipio Cristóbal Rojas"/>
    <s v="MI"/>
    <x v="14"/>
    <s v="Municipio Cristóbal Rojas"/>
    <n v="221"/>
    <m/>
    <m/>
  </r>
  <r>
    <s v="MI-Municipio El Hatillo"/>
    <s v="MI"/>
    <x v="14"/>
    <s v="Municipio El Hatillo"/>
    <n v="110"/>
    <m/>
    <m/>
  </r>
  <r>
    <s v="MI-Municipio Guaicaipuro"/>
    <s v="MI"/>
    <x v="14"/>
    <s v="Municipio Guaicaipuro"/>
    <n v="1028"/>
    <m/>
    <m/>
  </r>
  <r>
    <s v="MI-Municipio Independencia"/>
    <s v="MI"/>
    <x v="14"/>
    <s v="Municipio Independencia"/>
    <n v="295"/>
    <m/>
    <m/>
  </r>
  <r>
    <s v="MI-Municipio Lander"/>
    <s v="MI"/>
    <x v="14"/>
    <s v="Municipio Lander"/>
    <n v="810"/>
    <m/>
    <m/>
  </r>
  <r>
    <s v="MI-Municipio Los Salías"/>
    <s v="MI"/>
    <x v="14"/>
    <s v="Municipio Los Salías"/>
    <n v="150"/>
    <m/>
    <m/>
  </r>
  <r>
    <s v="MI-Municipio Páez"/>
    <s v="MI"/>
    <x v="14"/>
    <s v="Municipio Páez"/>
    <n v="169"/>
    <m/>
    <m/>
  </r>
  <r>
    <s v="MI-Municipio Paz Castillo"/>
    <s v="MI"/>
    <x v="14"/>
    <s v="Municipio Paz Castillo"/>
    <n v="160"/>
    <m/>
    <m/>
  </r>
  <r>
    <s v="MI-Municipio Pedro Gual"/>
    <s v="MI"/>
    <x v="14"/>
    <s v="Municipio Pedro Gual"/>
    <n v="71"/>
    <m/>
    <m/>
  </r>
  <r>
    <s v="MI-Municipio Plaza"/>
    <s v="MI"/>
    <x v="14"/>
    <s v="Municipio Plaza"/>
    <n v="421"/>
    <m/>
    <m/>
  </r>
  <r>
    <s v="MI-Municipio Simón Bolívar"/>
    <s v="MI"/>
    <x v="14"/>
    <s v="Municipio Simón Bolívar"/>
    <n v="77"/>
    <m/>
    <m/>
  </r>
  <r>
    <s v="MI-Municipio Sucre"/>
    <s v="MI"/>
    <x v="14"/>
    <s v="Municipio Sucre"/>
    <n v="2469"/>
    <m/>
    <m/>
  </r>
  <r>
    <s v="MI-Municipio Urdaneta"/>
    <s v="MI"/>
    <x v="14"/>
    <s v="Municipio Urdaneta"/>
    <n v="280"/>
    <m/>
    <m/>
  </r>
  <r>
    <s v="MI-Municipio Zamora"/>
    <s v="MI"/>
    <x v="14"/>
    <s v="Municipio Zamora"/>
    <n v="427"/>
    <m/>
    <m/>
  </r>
  <r>
    <s v="MO-Municipio Acosta"/>
    <s v="MO"/>
    <x v="15"/>
    <s v="Municipio Acosta"/>
    <n v="69"/>
    <m/>
    <m/>
  </r>
  <r>
    <s v="MO-Municipio Aguasay"/>
    <s v="MO"/>
    <x v="15"/>
    <s v="Municipio Aguasay"/>
    <n v="21"/>
    <m/>
    <m/>
  </r>
  <r>
    <s v="MO-Municipio Bolívar"/>
    <s v="MO"/>
    <x v="15"/>
    <s v="Municipio Bolívar"/>
    <n v="86"/>
    <m/>
    <m/>
  </r>
  <r>
    <s v="MO-Municipio Caripe"/>
    <s v="MO"/>
    <x v="15"/>
    <s v="Municipio Caripe"/>
    <n v="99"/>
    <m/>
    <m/>
  </r>
  <r>
    <s v="MO-Municipio Cedeño"/>
    <s v="MO"/>
    <x v="15"/>
    <s v="Municipio Cedeño"/>
    <n v="70"/>
    <m/>
    <m/>
  </r>
  <r>
    <s v="MO-Municipio Ezequiel Zamora"/>
    <s v="MO"/>
    <x v="15"/>
    <s v="Municipio Ezequiel Zamora"/>
    <n v="96"/>
    <m/>
    <m/>
  </r>
  <r>
    <s v="MO-Municipio Libertador"/>
    <s v="MO"/>
    <x v="15"/>
    <s v="Municipio Libertador"/>
    <n v="68"/>
    <m/>
    <m/>
  </r>
  <r>
    <s v="MO-Municipio Maturín"/>
    <s v="MO"/>
    <x v="15"/>
    <s v="Municipio Maturín"/>
    <n v="1745"/>
    <m/>
    <m/>
  </r>
  <r>
    <s v="MO-Municipio Piar"/>
    <s v="MO"/>
    <x v="15"/>
    <s v="Municipio Piar"/>
    <n v="83"/>
    <m/>
    <m/>
  </r>
  <r>
    <s v="MO-Municipio Punceres"/>
    <s v="MO"/>
    <x v="15"/>
    <s v="Municipio Punceres"/>
    <n v="39"/>
    <m/>
    <m/>
  </r>
  <r>
    <s v="MO-Municipio Santa Bárbara"/>
    <s v="MO"/>
    <x v="15"/>
    <s v="Municipio Santa Bárbara"/>
    <n v="12"/>
    <m/>
    <m/>
  </r>
  <r>
    <s v="MO-Municipio Sotillo"/>
    <s v="MO"/>
    <x v="15"/>
    <s v="Municipio Sotillo"/>
    <n v="74"/>
    <m/>
    <m/>
  </r>
  <r>
    <s v="MO-Municipio Uracoa"/>
    <s v="MO"/>
    <x v="15"/>
    <s v="Municipio Uracoa"/>
    <n v="21"/>
    <m/>
    <m/>
  </r>
  <r>
    <s v="NU-Municipio Antolin del Campo"/>
    <s v="NU"/>
    <x v="16"/>
    <s v="Municipio Antolin del Campo"/>
    <n v="72"/>
    <m/>
    <m/>
  </r>
  <r>
    <s v="NU-Municipio Arismendi"/>
    <s v="NU"/>
    <x v="16"/>
    <s v="Municipio Arismendi"/>
    <n v="88"/>
    <m/>
    <m/>
  </r>
  <r>
    <s v="NU-Municipio Díaz"/>
    <s v="NU"/>
    <x v="16"/>
    <s v="Municipio Díaz"/>
    <n v="77"/>
    <m/>
    <m/>
  </r>
  <r>
    <s v="NU-Municipio García"/>
    <s v="NU"/>
    <x v="16"/>
    <s v="Municipio García"/>
    <n v="51"/>
    <m/>
    <m/>
  </r>
  <r>
    <s v="NU-Municipio Gómez"/>
    <s v="NU"/>
    <x v="16"/>
    <s v="Municipio Gómez"/>
    <n v="70"/>
    <m/>
    <m/>
  </r>
  <r>
    <s v="NU-Municipio Maneiro"/>
    <s v="NU"/>
    <x v="16"/>
    <s v="Municipio Maneiro"/>
    <n v="66"/>
    <m/>
    <m/>
  </r>
  <r>
    <s v="NU-Municipio Marcano"/>
    <s v="NU"/>
    <x v="16"/>
    <s v="Municipio Marcano"/>
    <n v="74"/>
    <m/>
    <m/>
  </r>
  <r>
    <s v="NU-Municipio Mariño"/>
    <s v="NU"/>
    <x v="16"/>
    <s v="Municipio Mariño"/>
    <n v="923"/>
    <m/>
    <m/>
  </r>
  <r>
    <s v="NU-Municipio Península de Macanao"/>
    <s v="NU"/>
    <x v="16"/>
    <s v="Municipio Península de Macanao"/>
    <n v="48"/>
    <m/>
    <m/>
  </r>
  <r>
    <s v="NU-Municipio Tubores"/>
    <s v="NU"/>
    <x v="16"/>
    <s v="Municipio Tubores"/>
    <n v="53"/>
    <m/>
    <m/>
  </r>
  <r>
    <s v="PO-Municipio Agua Blanca"/>
    <s v="PO"/>
    <x v="17"/>
    <s v="Municipio Agua Blanca"/>
    <n v="53"/>
    <m/>
    <m/>
  </r>
  <r>
    <s v="PO-Municipio Araure"/>
    <s v="PO"/>
    <x v="17"/>
    <s v="Municipio Araure"/>
    <n v="947"/>
    <m/>
    <m/>
  </r>
  <r>
    <s v="PO-Municipio Esteller"/>
    <s v="PO"/>
    <x v="17"/>
    <s v="Municipio Esteller"/>
    <n v="122"/>
    <m/>
    <m/>
  </r>
  <r>
    <s v="PO-Municipio Guanare"/>
    <s v="PO"/>
    <x v="17"/>
    <s v="Municipio Guanare"/>
    <n v="683"/>
    <m/>
    <m/>
  </r>
  <r>
    <s v="PO-Municipio Guanarito"/>
    <s v="PO"/>
    <x v="17"/>
    <s v="Municipio Guanarito"/>
    <n v="81"/>
    <m/>
    <m/>
  </r>
  <r>
    <s v="PO-Municipio Monseñor José Vicente de Unda"/>
    <s v="PO"/>
    <x v="17"/>
    <s v="Municipio Monseñor José Vicente de Unda"/>
    <n v="61"/>
    <m/>
    <m/>
  </r>
  <r>
    <s v="PO-Municipio Ospino"/>
    <s v="PO"/>
    <x v="17"/>
    <s v="Municipio Ospino"/>
    <n v="120"/>
    <m/>
    <m/>
  </r>
  <r>
    <s v="PO-Municipio Páez"/>
    <s v="PO"/>
    <x v="17"/>
    <s v="Municipio Páez"/>
    <n v="389"/>
    <m/>
    <m/>
  </r>
  <r>
    <s v="PO-Municipio Papelón"/>
    <s v="PO"/>
    <x v="17"/>
    <s v="Municipio Papelón"/>
    <n v="27"/>
    <m/>
    <m/>
  </r>
  <r>
    <s v="PO-Municipio San Genaro de Boconoito"/>
    <s v="PO"/>
    <x v="17"/>
    <s v="Municipio San Genaro de Boconoito"/>
    <n v="63"/>
    <m/>
    <m/>
  </r>
  <r>
    <s v="PO-Municipio San Rafael de Onoto"/>
    <s v="PO"/>
    <x v="17"/>
    <s v="Municipio San Rafael de Onoto"/>
    <n v="37"/>
    <m/>
    <m/>
  </r>
  <r>
    <s v="PO-Municipio Santa Rosalía"/>
    <s v="PO"/>
    <x v="17"/>
    <s v="Municipio Santa Rosalía"/>
    <n v="25"/>
    <m/>
    <m/>
  </r>
  <r>
    <s v="PO-Municipio Sucre"/>
    <s v="PO"/>
    <x v="17"/>
    <s v="Municipio Sucre"/>
    <n v="140"/>
    <m/>
    <m/>
  </r>
  <r>
    <s v="PO-Municipio Turen"/>
    <s v="PO"/>
    <x v="17"/>
    <s v="Municipio Turen"/>
    <n v="151"/>
    <m/>
    <m/>
  </r>
  <r>
    <s v="SU-Municipio Andrés Eloy Blanco"/>
    <s v="SU"/>
    <x v="18"/>
    <s v="Municipio Andrés Eloy Blanco"/>
    <n v="55"/>
    <m/>
    <m/>
  </r>
  <r>
    <s v="SU-Municipio Andrés Mata"/>
    <s v="SU"/>
    <x v="18"/>
    <s v="Municipio Andrés Mata"/>
    <n v="39"/>
    <m/>
    <m/>
  </r>
  <r>
    <s v="SU-Municipio Arismendi"/>
    <s v="SU"/>
    <x v="18"/>
    <s v="Municipio Arismendi"/>
    <n v="155"/>
    <m/>
    <m/>
  </r>
  <r>
    <s v="SU-Municipio Benítez"/>
    <s v="SU"/>
    <x v="18"/>
    <s v="Municipio Benítez"/>
    <n v="93"/>
    <m/>
    <m/>
  </r>
  <r>
    <s v="SU-Municipio Bermúdez"/>
    <s v="SU"/>
    <x v="18"/>
    <s v="Municipio Bermúdez"/>
    <n v="635"/>
    <m/>
    <m/>
  </r>
  <r>
    <s v="SU-Municipio Bolívar"/>
    <s v="SU"/>
    <x v="18"/>
    <s v="Municipio Bolívar"/>
    <n v="46"/>
    <m/>
    <m/>
  </r>
  <r>
    <s v="SU-Municipio Cajigal"/>
    <s v="SU"/>
    <x v="18"/>
    <s v="Municipio Cajigal"/>
    <n v="46"/>
    <m/>
    <m/>
  </r>
  <r>
    <s v="SU-Municipio Cruz Salmeron Acosta"/>
    <s v="SU"/>
    <x v="18"/>
    <s v="Municipio Cruz Salmeron Acosta"/>
    <n v="27"/>
    <m/>
    <m/>
  </r>
  <r>
    <s v="SU-Municipio Libertador"/>
    <s v="SU"/>
    <x v="18"/>
    <s v="Municipio Libertador"/>
    <n v="31"/>
    <m/>
    <m/>
  </r>
  <r>
    <s v="SU-Municipio Mariño"/>
    <s v="SU"/>
    <x v="18"/>
    <s v="Municipio Mariño"/>
    <n v="75"/>
    <m/>
    <m/>
  </r>
  <r>
    <s v="SU-Municipio Mejia"/>
    <s v="SU"/>
    <x v="18"/>
    <s v="Municipio Mejia"/>
    <n v="19"/>
    <m/>
    <m/>
  </r>
  <r>
    <s v="SU-Municipio Montes"/>
    <s v="SU"/>
    <x v="18"/>
    <s v="Municipio Montes"/>
    <n v="178"/>
    <m/>
    <m/>
  </r>
  <r>
    <s v="SU-Municipio Ribero"/>
    <s v="SU"/>
    <x v="18"/>
    <s v="Municipio Ribero"/>
    <n v="106"/>
    <m/>
    <m/>
  </r>
  <r>
    <s v="SU-Municipio Sucre"/>
    <s v="SU"/>
    <x v="18"/>
    <s v="Municipio Sucre"/>
    <n v="1195"/>
    <m/>
    <m/>
  </r>
  <r>
    <s v="SU-Municipio Valdez"/>
    <s v="SU"/>
    <x v="18"/>
    <s v="Municipio Valdez"/>
    <n v="82"/>
    <m/>
    <m/>
  </r>
  <r>
    <s v="TA-Municipio Andrés Bello"/>
    <s v="TA"/>
    <x v="19"/>
    <s v="Municipio Andrés Bello"/>
    <n v="70"/>
    <m/>
    <m/>
  </r>
  <r>
    <s v="TA-Municipio Antonio Rómulo Acosta"/>
    <s v="TA"/>
    <x v="19"/>
    <s v="Municipio Antonio Rómulo Acosta"/>
    <n v="25"/>
    <m/>
    <m/>
  </r>
  <r>
    <s v="TA-Municipio Ayacucho"/>
    <s v="TA"/>
    <x v="19"/>
    <s v="Municipio Ayacucho"/>
    <n v="220"/>
    <m/>
    <m/>
  </r>
  <r>
    <s v="TA-Municipio Bolívar"/>
    <s v="TA"/>
    <x v="19"/>
    <s v="Municipio Bolívar"/>
    <n v="220"/>
    <m/>
    <m/>
  </r>
  <r>
    <s v="TA-Municipio Cárdenas"/>
    <s v="TA"/>
    <x v="19"/>
    <s v="Municipio Cárdenas"/>
    <n v="277"/>
    <m/>
    <m/>
  </r>
  <r>
    <s v="TA-Municipio Córdoba"/>
    <s v="TA"/>
    <x v="19"/>
    <s v="Municipio Córdoba"/>
    <n v="73"/>
    <m/>
    <m/>
  </r>
  <r>
    <s v="TA-Municipio Fernández Feo"/>
    <s v="TA"/>
    <x v="19"/>
    <s v="Municipio Fernández Feo"/>
    <n v="123"/>
    <m/>
    <m/>
  </r>
  <r>
    <s v="TA-Municipio Francisco de Miranda"/>
    <s v="TA"/>
    <x v="19"/>
    <s v="Municipio Francisco de Miranda"/>
    <n v="15"/>
    <m/>
    <m/>
  </r>
  <r>
    <s v="TA-Municipio García de Hevia"/>
    <s v="TA"/>
    <x v="19"/>
    <s v="Municipio García de Hevia"/>
    <n v="146"/>
    <m/>
    <m/>
  </r>
  <r>
    <s v="TA-Municipio Guasimos"/>
    <s v="TA"/>
    <x v="19"/>
    <s v="Municipio Guasimos"/>
    <n v="76"/>
    <m/>
    <m/>
  </r>
  <r>
    <s v="TA-Municipio Independencia"/>
    <s v="TA"/>
    <x v="19"/>
    <s v="Municipio Independencia"/>
    <n v="97"/>
    <m/>
    <m/>
  </r>
  <r>
    <s v="TA-Municipio Jáuregui"/>
    <s v="TA"/>
    <x v="19"/>
    <s v="Municipio Jáuregui"/>
    <n v="226"/>
    <m/>
    <m/>
  </r>
  <r>
    <s v="TA-Municipio José María Vargas"/>
    <s v="TA"/>
    <x v="19"/>
    <s v="Municipio José María Vargas"/>
    <n v="26"/>
    <m/>
    <m/>
  </r>
  <r>
    <s v="TA-Municipio Junín"/>
    <s v="TA"/>
    <x v="19"/>
    <s v="Municipio Junín"/>
    <n v="271"/>
    <m/>
    <m/>
  </r>
  <r>
    <s v="TA-Municipio Libertad"/>
    <s v="TA"/>
    <x v="19"/>
    <s v="Municipio Libertad"/>
    <n v="62"/>
    <m/>
    <m/>
  </r>
  <r>
    <s v="TA-Municipio Libertador"/>
    <s v="TA"/>
    <x v="19"/>
    <s v="Municipio Libertador"/>
    <n v="55"/>
    <m/>
    <m/>
  </r>
  <r>
    <s v="TA-Municipio Lobatera"/>
    <s v="TA"/>
    <x v="19"/>
    <s v="Municipio Lobatera"/>
    <n v="35"/>
    <m/>
    <m/>
  </r>
  <r>
    <s v="TA-Municipio Michelena"/>
    <s v="TA"/>
    <x v="19"/>
    <s v="Municipio Michelena"/>
    <n v="70"/>
    <m/>
    <m/>
  </r>
  <r>
    <s v="TA-Municipio Panamericano"/>
    <s v="TA"/>
    <x v="19"/>
    <s v="Municipio Panamericano"/>
    <n v="136"/>
    <m/>
    <m/>
  </r>
  <r>
    <s v="TA-Municipio Pedro María Ureña"/>
    <s v="TA"/>
    <x v="19"/>
    <s v="Municipio Pedro María Ureña"/>
    <n v="87"/>
    <m/>
    <m/>
  </r>
  <r>
    <s v="TA-Municipio Rafael Urdaneta"/>
    <s v="TA"/>
    <x v="19"/>
    <s v="Municipio Rafael Urdaneta"/>
    <n v="19"/>
    <m/>
    <m/>
  </r>
  <r>
    <s v="TA-Municipio Samuel Darío Maldonado"/>
    <s v="TA"/>
    <x v="19"/>
    <s v="Municipio Samuel Darío Maldonado"/>
    <n v="34"/>
    <m/>
    <m/>
  </r>
  <r>
    <s v="TA-Municipio San Cristóbal"/>
    <s v="TA"/>
    <x v="19"/>
    <s v="Municipio San Cristóbal"/>
    <n v="2143"/>
    <m/>
    <m/>
  </r>
  <r>
    <s v="TA-Municipio Seboruco"/>
    <s v="TA"/>
    <x v="19"/>
    <s v="Municipio Seboruco"/>
    <n v="34"/>
    <m/>
    <m/>
  </r>
  <r>
    <s v="TA-Municipio Simón Rodríguez"/>
    <s v="TA"/>
    <x v="19"/>
    <s v="Municipio Simón Rodríguez"/>
    <n v="10"/>
    <m/>
    <m/>
  </r>
  <r>
    <s v="TA-Municipio Sucre"/>
    <s v="TA"/>
    <x v="19"/>
    <s v="Municipio Sucre"/>
    <n v="44"/>
    <m/>
    <m/>
  </r>
  <r>
    <s v="TA-Municipio Torbes"/>
    <s v="TA"/>
    <x v="19"/>
    <s v="Municipio Torbes"/>
    <n v="64"/>
    <m/>
    <m/>
  </r>
  <r>
    <s v="TA-Municipio Uribante"/>
    <s v="TA"/>
    <x v="19"/>
    <s v="Municipio Uribante"/>
    <n v="88"/>
    <m/>
    <m/>
  </r>
  <r>
    <s v="TR-Municipio Bocono"/>
    <s v="TR"/>
    <x v="20"/>
    <s v="Municipio Bocono"/>
    <n v="581"/>
    <m/>
    <m/>
  </r>
  <r>
    <s v="TR-Municipio Candelaria"/>
    <s v="TR"/>
    <x v="20"/>
    <s v="Municipio Candelaria"/>
    <n v="92"/>
    <m/>
    <m/>
  </r>
  <r>
    <s v="TR-Municipio Carache"/>
    <s v="TR"/>
    <x v="20"/>
    <s v="Municipio Carache"/>
    <n v="163"/>
    <m/>
    <m/>
  </r>
  <r>
    <s v="TR-Municipio Escuqué"/>
    <s v="TR"/>
    <x v="20"/>
    <s v="Municipio Escuqué"/>
    <n v="62"/>
    <m/>
    <m/>
  </r>
  <r>
    <s v="TR-Municipio Miranda"/>
    <s v="TR"/>
    <x v="20"/>
    <s v="Municipio Miranda"/>
    <n v="71"/>
    <m/>
    <m/>
  </r>
  <r>
    <s v="TR-Municipio Monte Carmelo"/>
    <s v="TR"/>
    <x v="20"/>
    <s v="Municipio Monte Carmelo"/>
    <n v="50"/>
    <m/>
    <m/>
  </r>
  <r>
    <s v="TR-Municipio Motatán"/>
    <s v="TR"/>
    <x v="20"/>
    <s v="Municipio Motatán"/>
    <n v="36"/>
    <m/>
    <m/>
  </r>
  <r>
    <s v="TR-Municipio Pampan"/>
    <s v="TR"/>
    <x v="20"/>
    <s v="Municipio Pampan"/>
    <n v="158"/>
    <m/>
    <m/>
  </r>
  <r>
    <s v="TR-Municipio Rafael Rangel"/>
    <s v="TR"/>
    <x v="20"/>
    <s v="Municipio Rafael Rangel"/>
    <n v="73"/>
    <m/>
    <m/>
  </r>
  <r>
    <s v="TR-Municipio San Rafael de Carvajal"/>
    <s v="TR"/>
    <x v="20"/>
    <s v="Municipio San Rafael de Carvajal"/>
    <n v="103"/>
    <m/>
    <m/>
  </r>
  <r>
    <s v="TR-Municipio Sucre"/>
    <s v="TR"/>
    <x v="20"/>
    <s v="Municipio Sucre"/>
    <n v="109"/>
    <m/>
    <m/>
  </r>
  <r>
    <s v="TR-Municipio Trujillo"/>
    <s v="TR"/>
    <x v="20"/>
    <s v="Municipio Trujillo"/>
    <n v="477"/>
    <m/>
    <m/>
  </r>
  <r>
    <s v="TR-Municipio Urdaneta"/>
    <s v="TR"/>
    <x v="20"/>
    <s v="Municipio Urdaneta"/>
    <n v="147"/>
    <m/>
    <m/>
  </r>
  <r>
    <s v="TR-Municipio Varela"/>
    <s v="TR"/>
    <x v="20"/>
    <s v="Municipio Varela"/>
    <n v="1227"/>
    <m/>
    <m/>
  </r>
  <r>
    <s v="YA-Municipio Arístides Bastidas"/>
    <s v="YA"/>
    <x v="21"/>
    <s v="Municipio Arístides Bastidas"/>
    <n v="39"/>
    <m/>
    <m/>
  </r>
  <r>
    <s v="YA-Municipio Bolívar"/>
    <s v="YA"/>
    <x v="21"/>
    <s v="Municipio Bolívar"/>
    <n v="73"/>
    <m/>
    <m/>
  </r>
  <r>
    <s v="YA-Municipio Bruzual"/>
    <s v="YA"/>
    <x v="21"/>
    <s v="Municipio Bruzual"/>
    <n v="173"/>
    <m/>
    <m/>
  </r>
  <r>
    <s v="YA-Municipio Cocorote"/>
    <s v="YA"/>
    <x v="21"/>
    <s v="Municipio Cocorote"/>
    <n v="68"/>
    <m/>
    <m/>
  </r>
  <r>
    <s v="YA-Municipio Independencia"/>
    <s v="YA"/>
    <x v="21"/>
    <s v="Municipio Independencia"/>
    <n v="65"/>
    <m/>
    <m/>
  </r>
  <r>
    <s v="YA-Municipio José Antonio Páez"/>
    <s v="YA"/>
    <x v="21"/>
    <s v="Municipio José Antonio Páez"/>
    <n v="28"/>
    <m/>
    <m/>
  </r>
  <r>
    <s v="YA-Municipio La Trinidad"/>
    <s v="YA"/>
    <x v="21"/>
    <s v="Municipio La Trinidad"/>
    <n v="20"/>
    <m/>
    <m/>
  </r>
  <r>
    <s v="YA-Municipio Manuel Monge"/>
    <s v="YA"/>
    <x v="21"/>
    <s v="Municipio Manuel Monge"/>
    <n v="31"/>
    <m/>
    <m/>
  </r>
  <r>
    <s v="YA-Municipio Nirgua"/>
    <s v="YA"/>
    <x v="21"/>
    <s v="Municipio Nirgua"/>
    <n v="239"/>
    <m/>
    <m/>
  </r>
  <r>
    <s v="YA-Municipio Peña"/>
    <s v="YA"/>
    <x v="21"/>
    <s v="Municipio Peña"/>
    <n v="240"/>
    <m/>
    <m/>
  </r>
  <r>
    <s v="YA-Municipio San Felipe"/>
    <s v="YA"/>
    <x v="21"/>
    <s v="Municipio San Felipe"/>
    <n v="885"/>
    <m/>
    <m/>
  </r>
  <r>
    <s v="YA-Municipio Sucre"/>
    <s v="YA"/>
    <x v="21"/>
    <s v="Municipio Sucre"/>
    <n v="45"/>
    <m/>
    <m/>
  </r>
  <r>
    <s v="YA-Municipio Urachiche"/>
    <s v="YA"/>
    <x v="21"/>
    <s v="Municipio Urachiche"/>
    <n v="65"/>
    <m/>
    <m/>
  </r>
  <r>
    <s v="YA-Municipio Veroes"/>
    <s v="YA"/>
    <x v="21"/>
    <s v="Municipio Veroes"/>
    <n v="50"/>
    <m/>
    <m/>
  </r>
  <r>
    <s v="ZU-Municipio Almirante Padilla"/>
    <s v="ZU"/>
    <x v="22"/>
    <s v="Municipio Almirante Padilla"/>
    <n v="32"/>
    <m/>
    <m/>
  </r>
  <r>
    <s v="ZU-Municipio Baralt"/>
    <s v="ZU"/>
    <x v="22"/>
    <s v="Municipio Baralt"/>
    <n v="221"/>
    <m/>
    <m/>
  </r>
  <r>
    <s v="ZU-Municipio Cabimas"/>
    <s v="ZU"/>
    <x v="22"/>
    <s v="Municipio Cabimas"/>
    <n v="1026"/>
    <m/>
    <m/>
  </r>
  <r>
    <s v="ZU-Municipio Catatumbo"/>
    <s v="ZU"/>
    <x v="22"/>
    <s v="Municipio Catatumbo"/>
    <n v="130"/>
    <m/>
    <m/>
  </r>
  <r>
    <s v="ZU-Municipio Colon"/>
    <s v="ZU"/>
    <x v="22"/>
    <s v="Municipio Colon"/>
    <n v="485"/>
    <m/>
    <m/>
  </r>
  <r>
    <s v="ZU-Municipio Jesús Enrique Losada"/>
    <s v="ZU"/>
    <x v="22"/>
    <s v="Municipio Jesús Enrique Losada"/>
    <n v="330"/>
    <m/>
    <m/>
  </r>
  <r>
    <s v="ZU-Municipio La Cañada de Urdaneta"/>
    <s v="ZU"/>
    <x v="22"/>
    <s v="Municipio La Cañada de Urdaneta"/>
    <n v="164"/>
    <m/>
    <m/>
  </r>
  <r>
    <s v="ZU-Municipio Lagunillas"/>
    <s v="ZU"/>
    <x v="22"/>
    <s v="Municipio Lagunillas"/>
    <n v="617"/>
    <m/>
    <m/>
  </r>
  <r>
    <s v="ZU-Municipio Machiques de Perija"/>
    <s v="ZU"/>
    <x v="22"/>
    <s v="Municipio Machiques de Perija"/>
    <n v="347"/>
    <m/>
    <m/>
  </r>
  <r>
    <s v="ZU-Municipio Mara"/>
    <s v="ZU"/>
    <x v="22"/>
    <s v="Municipio Mara"/>
    <n v="605"/>
    <m/>
    <m/>
  </r>
  <r>
    <s v="ZU-Municipio Maracaibo"/>
    <s v="ZU"/>
    <x v="22"/>
    <s v="Municipio Maracaibo"/>
    <n v="8092"/>
    <m/>
    <m/>
  </r>
  <r>
    <s v="ZU-Municipio Miranda"/>
    <s v="ZU"/>
    <x v="22"/>
    <s v="Municipio Miranda"/>
    <n v="183"/>
    <m/>
    <m/>
  </r>
  <r>
    <s v="ZU-Municipio Páez"/>
    <s v="ZU"/>
    <x v="22"/>
    <s v="Municipio Páez"/>
    <n v="102"/>
    <m/>
    <m/>
  </r>
  <r>
    <s v="ZU-Municipio Rosario de Perija"/>
    <s v="ZU"/>
    <x v="22"/>
    <s v="Municipio Rosario de Perija"/>
    <n v="212"/>
    <m/>
    <m/>
  </r>
  <r>
    <s v="ZU-Municipio Santa Rita"/>
    <s v="ZU"/>
    <x v="22"/>
    <s v="Municipio Santa Rita"/>
    <n v="105"/>
    <m/>
    <m/>
  </r>
  <r>
    <s v="ZU-Municipio Sucre"/>
    <s v="ZU"/>
    <x v="22"/>
    <s v="Municipio Sucre"/>
    <n v="231"/>
    <m/>
    <m/>
  </r>
  <r>
    <s v="ZU-Municipio Valmore Rodríguez"/>
    <s v="ZU"/>
    <x v="22"/>
    <s v="Municipio Valmore Rodríguez"/>
    <n v="98"/>
    <m/>
    <m/>
  </r>
  <r>
    <s v="ZU-Municipio San Francisco"/>
    <s v="ZU"/>
    <x v="22"/>
    <s v="Municipio San Francisco"/>
    <n v="23"/>
    <m/>
    <m/>
  </r>
  <r>
    <s v="ZU-Municipio Simón Bolívar"/>
    <s v="ZU"/>
    <x v="22"/>
    <s v="Municipio Simón Bolívar"/>
    <n v="17"/>
    <m/>
    <m/>
  </r>
  <r>
    <s v="ZU-Municipio Jesús Maria Semprun"/>
    <s v="ZU"/>
    <x v="22"/>
    <s v="Municipio Jesús Maria Semprun"/>
    <n v="9"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  <r>
    <m/>
    <m/>
    <x v="23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84">
  <r>
    <x v="0"/>
    <x v="0"/>
    <s v="VA"/>
    <x v="0"/>
    <x v="0"/>
    <n v="0"/>
    <n v="0"/>
    <n v="0"/>
  </r>
  <r>
    <x v="0"/>
    <x v="1"/>
    <s v="DI"/>
    <x v="1"/>
    <x v="1"/>
    <n v="0"/>
    <n v="0"/>
    <n v="0"/>
  </r>
  <r>
    <x v="0"/>
    <x v="2"/>
    <s v="DI"/>
    <x v="1"/>
    <x v="2"/>
    <n v="165"/>
    <n v="91"/>
    <n v="74"/>
  </r>
  <r>
    <x v="0"/>
    <x v="3"/>
    <s v="DI"/>
    <x v="1"/>
    <x v="3"/>
    <n v="697"/>
    <n v="465"/>
    <n v="232"/>
  </r>
  <r>
    <x v="0"/>
    <x v="4"/>
    <s v="DI"/>
    <x v="1"/>
    <x v="4"/>
    <n v="312"/>
    <n v="159"/>
    <n v="153"/>
  </r>
  <r>
    <x v="0"/>
    <x v="5"/>
    <s v="DI"/>
    <x v="1"/>
    <x v="5"/>
    <n v="546"/>
    <n v="294"/>
    <n v="252"/>
  </r>
  <r>
    <x v="0"/>
    <x v="6"/>
    <s v="DI"/>
    <x v="1"/>
    <x v="6"/>
    <n v="35"/>
    <n v="24"/>
    <n v="11"/>
  </r>
  <r>
    <x v="0"/>
    <x v="7"/>
    <s v="DI"/>
    <x v="1"/>
    <x v="7"/>
    <n v="603"/>
    <n v="448"/>
    <n v="155"/>
  </r>
  <r>
    <x v="0"/>
    <x v="8"/>
    <s v="DI"/>
    <x v="1"/>
    <x v="8"/>
    <n v="185"/>
    <n v="120"/>
    <n v="65"/>
  </r>
  <r>
    <x v="0"/>
    <x v="9"/>
    <s v="DI"/>
    <x v="1"/>
    <x v="9"/>
    <n v="4300"/>
    <n v="2.6219999999999999"/>
    <n v="1.6779999999999999"/>
  </r>
  <r>
    <x v="0"/>
    <x v="10"/>
    <s v="DI"/>
    <x v="1"/>
    <x v="10"/>
    <n v="1020"/>
    <n v="509"/>
    <n v="511"/>
  </r>
  <r>
    <x v="0"/>
    <x v="11"/>
    <s v="DI"/>
    <x v="1"/>
    <x v="11"/>
    <n v="516"/>
    <n v="311"/>
    <n v="205"/>
  </r>
  <r>
    <x v="0"/>
    <x v="12"/>
    <s v="DI"/>
    <x v="1"/>
    <x v="12"/>
    <n v="539"/>
    <n v="319"/>
    <n v="220"/>
  </r>
  <r>
    <x v="0"/>
    <x v="13"/>
    <s v="DI"/>
    <x v="1"/>
    <x v="13"/>
    <n v="477"/>
    <n v="293"/>
    <n v="184"/>
  </r>
  <r>
    <x v="0"/>
    <x v="14"/>
    <s v="DI"/>
    <x v="1"/>
    <x v="14"/>
    <n v="210"/>
    <n v="147"/>
    <n v="63"/>
  </r>
  <r>
    <x v="0"/>
    <x v="15"/>
    <s v="DI"/>
    <x v="1"/>
    <x v="15"/>
    <n v="153"/>
    <n v="100"/>
    <n v="53"/>
  </r>
  <r>
    <x v="0"/>
    <x v="16"/>
    <s v="DI"/>
    <x v="1"/>
    <x v="16"/>
    <n v="1344"/>
    <n v="718"/>
    <n v="626"/>
  </r>
  <r>
    <x v="0"/>
    <x v="17"/>
    <s v="DI"/>
    <x v="1"/>
    <x v="17"/>
    <n v="1704"/>
    <n v="902"/>
    <n v="802"/>
  </r>
  <r>
    <x v="0"/>
    <x v="18"/>
    <s v="DI"/>
    <x v="1"/>
    <x v="18"/>
    <n v="1761"/>
    <n v="1.0169999999999999"/>
    <n v="744"/>
  </r>
  <r>
    <x v="0"/>
    <x v="19"/>
    <s v="DI"/>
    <x v="1"/>
    <x v="19"/>
    <n v="2621"/>
    <n v="1.4079999999999999"/>
    <n v="1.2130000000000001"/>
  </r>
  <r>
    <x v="0"/>
    <x v="20"/>
    <s v="DI"/>
    <x v="1"/>
    <x v="20"/>
    <n v="892"/>
    <n v="462"/>
    <n v="430"/>
  </r>
  <r>
    <x v="0"/>
    <x v="21"/>
    <s v="DI"/>
    <x v="1"/>
    <x v="21"/>
    <n v="74"/>
    <n v="45"/>
    <n v="29"/>
  </r>
  <r>
    <x v="0"/>
    <x v="22"/>
    <s v="DI"/>
    <x v="1"/>
    <x v="22"/>
    <n v="1935"/>
    <n v="1.2430000000000001"/>
    <n v="692"/>
  </r>
  <r>
    <x v="0"/>
    <x v="23"/>
    <s v="DI"/>
    <x v="1"/>
    <x v="23"/>
    <n v="406"/>
    <n v="254"/>
    <n v="152"/>
  </r>
  <r>
    <x v="0"/>
    <x v="24"/>
    <s v="AM"/>
    <x v="2"/>
    <x v="24"/>
    <n v="5"/>
    <n v="2"/>
    <n v="3"/>
  </r>
  <r>
    <x v="0"/>
    <x v="25"/>
    <s v="AM"/>
    <x v="2"/>
    <x v="25"/>
    <n v="35"/>
    <n v="19"/>
    <n v="16"/>
  </r>
  <r>
    <x v="0"/>
    <x v="26"/>
    <s v="AM"/>
    <x v="2"/>
    <x v="26"/>
    <n v="547"/>
    <n v="388"/>
    <n v="159"/>
  </r>
  <r>
    <x v="0"/>
    <x v="27"/>
    <s v="AM"/>
    <x v="2"/>
    <x v="27"/>
    <n v="19"/>
    <n v="16"/>
    <n v="3"/>
  </r>
  <r>
    <x v="0"/>
    <x v="28"/>
    <s v="AM"/>
    <x v="2"/>
    <x v="28"/>
    <n v="7"/>
    <n v="5"/>
    <n v="2"/>
  </r>
  <r>
    <x v="0"/>
    <x v="29"/>
    <s v="AM"/>
    <x v="2"/>
    <x v="29"/>
    <n v="0"/>
    <n v="0"/>
    <n v="0"/>
  </r>
  <r>
    <x v="0"/>
    <x v="30"/>
    <s v="AM"/>
    <x v="2"/>
    <x v="30"/>
    <n v="0"/>
    <n v="0"/>
    <n v="0"/>
  </r>
  <r>
    <x v="0"/>
    <x v="31"/>
    <s v="AN"/>
    <x v="3"/>
    <x v="31"/>
    <n v="499"/>
    <n v="326"/>
    <n v="173"/>
  </r>
  <r>
    <x v="0"/>
    <x v="32"/>
    <s v="AN"/>
    <x v="3"/>
    <x v="32"/>
    <n v="98"/>
    <n v="63"/>
    <n v="35"/>
  </r>
  <r>
    <x v="0"/>
    <x v="33"/>
    <s v="AN"/>
    <x v="3"/>
    <x v="33"/>
    <n v="291"/>
    <n v="169"/>
    <n v="122"/>
  </r>
  <r>
    <x v="0"/>
    <x v="34"/>
    <s v="AN"/>
    <x v="3"/>
    <x v="34"/>
    <n v="84"/>
    <n v="58"/>
    <n v="26"/>
  </r>
  <r>
    <x v="0"/>
    <x v="35"/>
    <s v="AN"/>
    <x v="3"/>
    <x v="35"/>
    <n v="156"/>
    <n v="102"/>
    <n v="54"/>
  </r>
  <r>
    <x v="0"/>
    <x v="36"/>
    <s v="AN"/>
    <x v="3"/>
    <x v="36"/>
    <n v="71"/>
    <n v="41"/>
    <n v="30"/>
  </r>
  <r>
    <x v="0"/>
    <x v="37"/>
    <s v="AN"/>
    <x v="3"/>
    <x v="37"/>
    <n v="85"/>
    <n v="52"/>
    <n v="33"/>
  </r>
  <r>
    <x v="0"/>
    <x v="38"/>
    <s v="AN"/>
    <x v="3"/>
    <x v="38"/>
    <n v="88"/>
    <n v="59"/>
    <n v="29"/>
  </r>
  <r>
    <x v="0"/>
    <x v="39"/>
    <s v="AN"/>
    <x v="3"/>
    <x v="39"/>
    <n v="72"/>
    <n v="48"/>
    <n v="24"/>
  </r>
  <r>
    <x v="0"/>
    <x v="40"/>
    <s v="AN"/>
    <x v="3"/>
    <x v="40"/>
    <n v="989"/>
    <n v="586"/>
    <n v="403"/>
  </r>
  <r>
    <x v="0"/>
    <x v="41"/>
    <s v="AN"/>
    <x v="3"/>
    <x v="41"/>
    <n v="45"/>
    <n v="28"/>
    <n v="17"/>
  </r>
  <r>
    <x v="0"/>
    <x v="42"/>
    <s v="AN"/>
    <x v="3"/>
    <x v="42"/>
    <n v="60"/>
    <n v="42"/>
    <n v="18"/>
  </r>
  <r>
    <x v="0"/>
    <x v="43"/>
    <s v="AN"/>
    <x v="3"/>
    <x v="43"/>
    <n v="131"/>
    <n v="82"/>
    <n v="49"/>
  </r>
  <r>
    <x v="0"/>
    <x v="44"/>
    <s v="AN"/>
    <x v="3"/>
    <x v="44"/>
    <n v="442"/>
    <n v="260"/>
    <n v="182"/>
  </r>
  <r>
    <x v="0"/>
    <x v="45"/>
    <s v="AN"/>
    <x v="3"/>
    <x v="45"/>
    <n v="107"/>
    <n v="58"/>
    <n v="49"/>
  </r>
  <r>
    <x v="0"/>
    <x v="46"/>
    <s v="AN"/>
    <x v="3"/>
    <x v="46"/>
    <n v="266"/>
    <n v="168"/>
    <n v="98"/>
  </r>
  <r>
    <x v="0"/>
    <x v="47"/>
    <s v="AN"/>
    <x v="3"/>
    <x v="47"/>
    <n v="45"/>
    <n v="29"/>
    <n v="16"/>
  </r>
  <r>
    <x v="0"/>
    <x v="48"/>
    <s v="AN"/>
    <x v="3"/>
    <x v="48"/>
    <n v="24"/>
    <n v="14"/>
    <n v="10"/>
  </r>
  <r>
    <x v="0"/>
    <x v="49"/>
    <s v="AN"/>
    <x v="3"/>
    <x v="49"/>
    <n v="3248"/>
    <n v="1.9"/>
    <n v="1.3480000000000001"/>
  </r>
  <r>
    <x v="0"/>
    <x v="50"/>
    <s v="AN"/>
    <x v="3"/>
    <x v="50"/>
    <n v="1171"/>
    <n v="703"/>
    <n v="468"/>
  </r>
  <r>
    <x v="0"/>
    <x v="51"/>
    <s v="AN"/>
    <x v="3"/>
    <x v="51"/>
    <n v="30"/>
    <n v="22"/>
    <n v="8"/>
  </r>
  <r>
    <x v="0"/>
    <x v="52"/>
    <s v="AP"/>
    <x v="4"/>
    <x v="52"/>
    <n v="225"/>
    <n v="144"/>
    <n v="81"/>
  </r>
  <r>
    <x v="0"/>
    <x v="53"/>
    <s v="AP"/>
    <x v="4"/>
    <x v="53"/>
    <n v="156"/>
    <n v="115"/>
    <n v="41"/>
  </r>
  <r>
    <x v="0"/>
    <x v="54"/>
    <s v="AP"/>
    <x v="4"/>
    <x v="54"/>
    <n v="69"/>
    <n v="42"/>
    <n v="27"/>
  </r>
  <r>
    <x v="0"/>
    <x v="55"/>
    <s v="AP"/>
    <x v="4"/>
    <x v="55"/>
    <n v="259"/>
    <n v="176"/>
    <n v="83"/>
  </r>
  <r>
    <x v="0"/>
    <x v="56"/>
    <s v="AP"/>
    <x v="4"/>
    <x v="56"/>
    <n v="92"/>
    <n v="69"/>
    <n v="23"/>
  </r>
  <r>
    <x v="0"/>
    <x v="57"/>
    <s v="AP"/>
    <x v="4"/>
    <x v="57"/>
    <n v="85"/>
    <n v="50"/>
    <n v="35"/>
  </r>
  <r>
    <x v="0"/>
    <x v="58"/>
    <s v="AP"/>
    <x v="4"/>
    <x v="58"/>
    <n v="1769"/>
    <n v="1.0189999999999999"/>
    <n v="750"/>
  </r>
  <r>
    <x v="0"/>
    <x v="59"/>
    <s v="AR"/>
    <x v="5"/>
    <x v="59"/>
    <n v="281"/>
    <n v="204"/>
    <n v="77"/>
  </r>
  <r>
    <x v="0"/>
    <x v="60"/>
    <s v="AR"/>
    <x v="5"/>
    <x v="60"/>
    <n v="137"/>
    <n v="102"/>
    <n v="35"/>
  </r>
  <r>
    <x v="0"/>
    <x v="61"/>
    <s v="AR"/>
    <x v="5"/>
    <x v="61"/>
    <n v="425"/>
    <n v="299"/>
    <n v="126"/>
  </r>
  <r>
    <x v="0"/>
    <x v="62"/>
    <s v="AR"/>
    <x v="5"/>
    <x v="62"/>
    <n v="6109"/>
    <n v="3.5430000000000001"/>
    <n v="2.5659999999999998"/>
  </r>
  <r>
    <x v="0"/>
    <x v="63"/>
    <s v="AR"/>
    <x v="5"/>
    <x v="63"/>
    <n v="152"/>
    <n v="111"/>
    <n v="41"/>
  </r>
  <r>
    <x v="0"/>
    <x v="64"/>
    <s v="AR"/>
    <x v="5"/>
    <x v="64"/>
    <n v="1262"/>
    <n v="799"/>
    <n v="463"/>
  </r>
  <r>
    <x v="0"/>
    <x v="65"/>
    <s v="AR"/>
    <x v="5"/>
    <x v="65"/>
    <n v="254"/>
    <n v="202"/>
    <n v="52"/>
  </r>
  <r>
    <x v="0"/>
    <x v="66"/>
    <s v="AR"/>
    <x v="5"/>
    <x v="66"/>
    <n v="947"/>
    <n v="572"/>
    <n v="375"/>
  </r>
  <r>
    <x v="0"/>
    <x v="67"/>
    <s v="AR"/>
    <x v="5"/>
    <x v="67"/>
    <n v="415"/>
    <n v="238"/>
    <n v="177"/>
  </r>
  <r>
    <x v="0"/>
    <x v="68"/>
    <s v="AR"/>
    <x v="5"/>
    <x v="68"/>
    <n v="70"/>
    <n v="47"/>
    <n v="23"/>
  </r>
  <r>
    <x v="0"/>
    <x v="69"/>
    <s v="AR"/>
    <x v="5"/>
    <x v="69"/>
    <n v="176"/>
    <n v="126"/>
    <n v="50"/>
  </r>
  <r>
    <x v="0"/>
    <x v="70"/>
    <s v="AR"/>
    <x v="5"/>
    <x v="70"/>
    <n v="129"/>
    <n v="99"/>
    <n v="30"/>
  </r>
  <r>
    <x v="0"/>
    <x v="71"/>
    <s v="AR"/>
    <x v="5"/>
    <x v="71"/>
    <n v="937"/>
    <n v="658"/>
    <n v="279"/>
  </r>
  <r>
    <x v="0"/>
    <x v="72"/>
    <s v="AR"/>
    <x v="5"/>
    <x v="72"/>
    <n v="191"/>
    <n v="158"/>
    <n v="33"/>
  </r>
  <r>
    <x v="0"/>
    <x v="73"/>
    <s v="AR"/>
    <x v="5"/>
    <x v="73"/>
    <n v="728"/>
    <n v="431"/>
    <n v="297"/>
  </r>
  <r>
    <x v="0"/>
    <x v="74"/>
    <s v="AR"/>
    <x v="5"/>
    <x v="74"/>
    <n v="72"/>
    <n v="56"/>
    <n v="16"/>
  </r>
  <r>
    <x v="0"/>
    <x v="75"/>
    <s v="AR"/>
    <x v="5"/>
    <x v="75"/>
    <n v="89"/>
    <n v="62"/>
    <n v="27"/>
  </r>
  <r>
    <x v="0"/>
    <x v="76"/>
    <s v="AR"/>
    <x v="5"/>
    <x v="76"/>
    <n v="938"/>
    <n v="657"/>
    <n v="281"/>
  </r>
  <r>
    <x v="0"/>
    <x v="77"/>
    <s v="BA"/>
    <x v="6"/>
    <x v="77"/>
    <n v="177"/>
    <n v="122"/>
    <n v="55"/>
  </r>
  <r>
    <x v="0"/>
    <x v="78"/>
    <s v="BA"/>
    <x v="6"/>
    <x v="78"/>
    <n v="38"/>
    <n v="25"/>
    <n v="13"/>
  </r>
  <r>
    <x v="0"/>
    <x v="79"/>
    <s v="BA"/>
    <x v="6"/>
    <x v="79"/>
    <n v="309"/>
    <n v="212"/>
    <n v="97"/>
  </r>
  <r>
    <x v="0"/>
    <x v="80"/>
    <s v="BA"/>
    <x v="6"/>
    <x v="80"/>
    <n v="29"/>
    <n v="23"/>
    <n v="6"/>
  </r>
  <r>
    <x v="0"/>
    <x v="81"/>
    <s v="BA"/>
    <x v="6"/>
    <x v="81"/>
    <n v="3127"/>
    <n v="1.954"/>
    <n v="1.173"/>
  </r>
  <r>
    <x v="0"/>
    <x v="82"/>
    <s v="BA"/>
    <x v="6"/>
    <x v="59"/>
    <n v="203"/>
    <n v="123"/>
    <n v="80"/>
  </r>
  <r>
    <x v="0"/>
    <x v="83"/>
    <s v="BA"/>
    <x v="6"/>
    <x v="82"/>
    <n v="89"/>
    <n v="57"/>
    <n v="32"/>
  </r>
  <r>
    <x v="0"/>
    <x v="84"/>
    <s v="BA"/>
    <x v="6"/>
    <x v="83"/>
    <n v="212"/>
    <n v="130"/>
    <n v="82"/>
  </r>
  <r>
    <x v="0"/>
    <x v="85"/>
    <s v="BA"/>
    <x v="6"/>
    <x v="84"/>
    <n v="117"/>
    <n v="84"/>
    <n v="33"/>
  </r>
  <r>
    <x v="0"/>
    <x v="86"/>
    <s v="BA"/>
    <x v="6"/>
    <x v="85"/>
    <n v="219"/>
    <n v="137"/>
    <n v="82"/>
  </r>
  <r>
    <x v="0"/>
    <x v="87"/>
    <s v="BA"/>
    <x v="6"/>
    <x v="86"/>
    <n v="106"/>
    <n v="79"/>
    <n v="27"/>
  </r>
  <r>
    <x v="0"/>
    <x v="88"/>
    <s v="BA"/>
    <x v="6"/>
    <x v="87"/>
    <n v="43"/>
    <n v="26"/>
    <n v="17"/>
  </r>
  <r>
    <x v="0"/>
    <x v="89"/>
    <s v="BO"/>
    <x v="7"/>
    <x v="88"/>
    <n v="5313"/>
    <n v="3.3180000000000001"/>
    <n v="1.9950000000000001"/>
  </r>
  <r>
    <x v="0"/>
    <x v="90"/>
    <s v="BO"/>
    <x v="7"/>
    <x v="89"/>
    <n v="190"/>
    <n v="109"/>
    <n v="81"/>
  </r>
  <r>
    <x v="0"/>
    <x v="91"/>
    <s v="BO"/>
    <x v="7"/>
    <x v="90"/>
    <n v="161"/>
    <n v="126"/>
    <n v="35"/>
  </r>
  <r>
    <x v="0"/>
    <x v="92"/>
    <s v="BO"/>
    <x v="7"/>
    <x v="91"/>
    <n v="109"/>
    <n v="72"/>
    <n v="37"/>
  </r>
  <r>
    <x v="0"/>
    <x v="93"/>
    <s v="BO"/>
    <x v="7"/>
    <x v="92"/>
    <n v="2945"/>
    <n v="1.7989999999999999"/>
    <n v="1.1459999999999999"/>
  </r>
  <r>
    <x v="0"/>
    <x v="94"/>
    <s v="BO"/>
    <x v="7"/>
    <x v="93"/>
    <n v="37"/>
    <n v="18"/>
    <n v="19"/>
  </r>
  <r>
    <x v="0"/>
    <x v="95"/>
    <s v="BO"/>
    <x v="7"/>
    <x v="94"/>
    <n v="606"/>
    <n v="369"/>
    <n v="237"/>
  </r>
  <r>
    <x v="0"/>
    <x v="96"/>
    <s v="BO"/>
    <x v="7"/>
    <x v="95"/>
    <n v="83"/>
    <n v="59"/>
    <n v="24"/>
  </r>
  <r>
    <x v="0"/>
    <x v="97"/>
    <s v="BO"/>
    <x v="7"/>
    <x v="96"/>
    <n v="196"/>
    <n v="141"/>
    <n v="55"/>
  </r>
  <r>
    <x v="0"/>
    <x v="98"/>
    <s v="BO"/>
    <x v="7"/>
    <x v="97"/>
    <n v="327"/>
    <n v="257"/>
    <n v="70"/>
  </r>
  <r>
    <x v="0"/>
    <x v="99"/>
    <s v="BO"/>
    <x v="7"/>
    <x v="73"/>
    <n v="20"/>
    <n v="14"/>
    <n v="6"/>
  </r>
  <r>
    <x v="0"/>
    <x v="100"/>
    <s v="CA"/>
    <x v="8"/>
    <x v="98"/>
    <n v="435"/>
    <n v="264"/>
    <n v="171"/>
  </r>
  <r>
    <x v="0"/>
    <x v="101"/>
    <s v="CA"/>
    <x v="8"/>
    <x v="99"/>
    <n v="755"/>
    <n v="551"/>
    <n v="204"/>
  </r>
  <r>
    <x v="0"/>
    <x v="102"/>
    <s v="CA"/>
    <x v="8"/>
    <x v="100"/>
    <n v="681"/>
    <n v="459"/>
    <n v="222"/>
  </r>
  <r>
    <x v="0"/>
    <x v="103"/>
    <s v="CA"/>
    <x v="8"/>
    <x v="101"/>
    <n v="1006"/>
    <n v="670"/>
    <n v="336"/>
  </r>
  <r>
    <x v="0"/>
    <x v="104"/>
    <s v="CA"/>
    <x v="8"/>
    <x v="102"/>
    <n v="270"/>
    <n v="180"/>
    <n v="90"/>
  </r>
  <r>
    <x v="0"/>
    <x v="105"/>
    <s v="CA"/>
    <x v="8"/>
    <x v="66"/>
    <n v="751"/>
    <n v="543"/>
    <n v="208"/>
  </r>
  <r>
    <x v="0"/>
    <x v="106"/>
    <s v="CA"/>
    <x v="8"/>
    <x v="103"/>
    <n v="509"/>
    <n v="346"/>
    <n v="163"/>
  </r>
  <r>
    <x v="0"/>
    <x v="107"/>
    <s v="CA"/>
    <x v="8"/>
    <x v="104"/>
    <n v="127"/>
    <n v="84"/>
    <n v="43"/>
  </r>
  <r>
    <x v="0"/>
    <x v="108"/>
    <s v="CA"/>
    <x v="8"/>
    <x v="105"/>
    <n v="82"/>
    <n v="44"/>
    <n v="38"/>
  </r>
  <r>
    <x v="0"/>
    <x v="109"/>
    <s v="CA"/>
    <x v="8"/>
    <x v="106"/>
    <n v="2477"/>
    <n v="1.3320000000000001"/>
    <n v="1.145"/>
  </r>
  <r>
    <x v="0"/>
    <x v="110"/>
    <s v="CA"/>
    <x v="8"/>
    <x v="107"/>
    <n v="1744"/>
    <n v="1.0609999999999999"/>
    <n v="683"/>
  </r>
  <r>
    <x v="0"/>
    <x v="111"/>
    <s v="CA"/>
    <x v="8"/>
    <x v="108"/>
    <n v="454"/>
    <n v="235"/>
    <n v="219"/>
  </r>
  <r>
    <x v="0"/>
    <x v="112"/>
    <s v="CA"/>
    <x v="8"/>
    <x v="109"/>
    <n v="249"/>
    <n v="167"/>
    <n v="82"/>
  </r>
  <r>
    <x v="0"/>
    <x v="113"/>
    <s v="CA"/>
    <x v="8"/>
    <x v="110"/>
    <n v="7257"/>
    <n v="4.4429999999999996"/>
    <n v="2.8140000000000001"/>
  </r>
  <r>
    <x v="0"/>
    <x v="114"/>
    <s v="CO"/>
    <x v="9"/>
    <x v="111"/>
    <n v="37"/>
    <n v="19"/>
    <n v="18"/>
  </r>
  <r>
    <x v="0"/>
    <x v="115"/>
    <s v="CO"/>
    <x v="9"/>
    <x v="112"/>
    <n v="590"/>
    <n v="384"/>
    <n v="206"/>
  </r>
  <r>
    <x v="0"/>
    <x v="116"/>
    <s v="CO"/>
    <x v="9"/>
    <x v="62"/>
    <n v="44"/>
    <n v="29"/>
    <n v="15"/>
  </r>
  <r>
    <x v="0"/>
    <x v="117"/>
    <s v="CO"/>
    <x v="9"/>
    <x v="113"/>
    <n v="33"/>
    <n v="19"/>
    <n v="14"/>
  </r>
  <r>
    <x v="0"/>
    <x v="118"/>
    <s v="CO"/>
    <x v="9"/>
    <x v="114"/>
    <n v="53"/>
    <n v="42"/>
    <n v="11"/>
  </r>
  <r>
    <x v="0"/>
    <x v="119"/>
    <s v="CO"/>
    <x v="9"/>
    <x v="115"/>
    <n v="43"/>
    <n v="29"/>
    <n v="14"/>
  </r>
  <r>
    <x v="0"/>
    <x v="120"/>
    <s v="CO"/>
    <x v="9"/>
    <x v="57"/>
    <n v="67"/>
    <n v="46"/>
    <n v="21"/>
  </r>
  <r>
    <x v="0"/>
    <x v="121"/>
    <s v="CO"/>
    <x v="9"/>
    <x v="116"/>
    <n v="1068"/>
    <n v="644"/>
    <n v="424"/>
  </r>
  <r>
    <x v="0"/>
    <x v="122"/>
    <s v="CO"/>
    <x v="9"/>
    <x v="117"/>
    <n v="113"/>
    <n v="86"/>
    <n v="27"/>
  </r>
  <r>
    <x v="0"/>
    <x v="123"/>
    <s v="DE"/>
    <x v="10"/>
    <x v="118"/>
    <n v="19"/>
    <n v="15"/>
    <n v="4"/>
  </r>
  <r>
    <x v="0"/>
    <x v="124"/>
    <s v="DE"/>
    <x v="10"/>
    <x v="119"/>
    <n v="110"/>
    <n v="76"/>
    <n v="34"/>
  </r>
  <r>
    <x v="0"/>
    <x v="125"/>
    <s v="DE"/>
    <x v="10"/>
    <x v="120"/>
    <n v="23"/>
    <n v="8"/>
    <n v="15"/>
  </r>
  <r>
    <x v="0"/>
    <x v="126"/>
    <s v="DE"/>
    <x v="10"/>
    <x v="121"/>
    <n v="637"/>
    <n v="375"/>
    <n v="262"/>
  </r>
  <r>
    <x v="0"/>
    <x v="127"/>
    <s v="FA"/>
    <x v="11"/>
    <x v="122"/>
    <n v="76"/>
    <n v="42"/>
    <n v="34"/>
  </r>
  <r>
    <x v="0"/>
    <x v="128"/>
    <s v="FA"/>
    <x v="11"/>
    <x v="59"/>
    <n v="33"/>
    <n v="24"/>
    <n v="9"/>
  </r>
  <r>
    <x v="0"/>
    <x v="129"/>
    <s v="FA"/>
    <x v="11"/>
    <x v="123"/>
    <n v="77"/>
    <n v="51"/>
    <n v="26"/>
  </r>
  <r>
    <x v="0"/>
    <x v="130"/>
    <s v="FA"/>
    <x v="11"/>
    <x v="124"/>
    <n v="36"/>
    <n v="21"/>
    <n v="15"/>
  </r>
  <r>
    <x v="0"/>
    <x v="131"/>
    <s v="FA"/>
    <x v="11"/>
    <x v="125"/>
    <n v="1837"/>
    <n v="1.0880000000000001"/>
    <n v="749"/>
  </r>
  <r>
    <x v="0"/>
    <x v="132"/>
    <s v="FA"/>
    <x v="11"/>
    <x v="126"/>
    <n v="136"/>
    <n v="87"/>
    <n v="49"/>
  </r>
  <r>
    <x v="0"/>
    <x v="133"/>
    <s v="FA"/>
    <x v="11"/>
    <x v="127"/>
    <n v="70"/>
    <n v="37"/>
    <n v="33"/>
  </r>
  <r>
    <x v="0"/>
    <x v="134"/>
    <s v="FA"/>
    <x v="11"/>
    <x v="128"/>
    <n v="37"/>
    <n v="20"/>
    <n v="17"/>
  </r>
  <r>
    <x v="0"/>
    <x v="135"/>
    <s v="FA"/>
    <x v="11"/>
    <x v="112"/>
    <n v="212"/>
    <n v="131"/>
    <n v="81"/>
  </r>
  <r>
    <x v="0"/>
    <x v="136"/>
    <s v="FA"/>
    <x v="11"/>
    <x v="129"/>
    <n v="139"/>
    <n v="84"/>
    <n v="55"/>
  </r>
  <r>
    <x v="0"/>
    <x v="137"/>
    <s v="FA"/>
    <x v="11"/>
    <x v="130"/>
    <n v="23"/>
    <n v="19"/>
    <n v="4"/>
  </r>
  <r>
    <x v="0"/>
    <x v="138"/>
    <s v="FA"/>
    <x v="11"/>
    <x v="131"/>
    <n v="140"/>
    <n v="78"/>
    <n v="62"/>
  </r>
  <r>
    <x v="0"/>
    <x v="139"/>
    <s v="FA"/>
    <x v="11"/>
    <x v="132"/>
    <n v="120"/>
    <n v="68"/>
    <n v="52"/>
  </r>
  <r>
    <x v="0"/>
    <x v="140"/>
    <s v="FA"/>
    <x v="11"/>
    <x v="104"/>
    <n v="1912"/>
    <n v="1.091"/>
    <n v="821"/>
  </r>
  <r>
    <x v="0"/>
    <x v="141"/>
    <s v="FA"/>
    <x v="11"/>
    <x v="133"/>
    <n v="76"/>
    <n v="52"/>
    <n v="24"/>
  </r>
  <r>
    <x v="0"/>
    <x v="142"/>
    <s v="FA"/>
    <x v="11"/>
    <x v="134"/>
    <n v="4"/>
    <n v="4"/>
    <s v="-"/>
  </r>
  <r>
    <x v="0"/>
    <x v="143"/>
    <s v="FA"/>
    <x v="11"/>
    <x v="135"/>
    <n v="53"/>
    <n v="28"/>
    <n v="25"/>
  </r>
  <r>
    <x v="0"/>
    <x v="144"/>
    <s v="FA"/>
    <x v="11"/>
    <x v="45"/>
    <n v="46"/>
    <n v="28"/>
    <n v="18"/>
  </r>
  <r>
    <x v="0"/>
    <x v="145"/>
    <s v="FA"/>
    <x v="11"/>
    <x v="136"/>
    <n v="41"/>
    <n v="25"/>
    <n v="16"/>
  </r>
  <r>
    <x v="0"/>
    <x v="146"/>
    <s v="FA"/>
    <x v="11"/>
    <x v="137"/>
    <n v="165"/>
    <n v="114"/>
    <n v="51"/>
  </r>
  <r>
    <x v="0"/>
    <x v="147"/>
    <s v="FA"/>
    <x v="11"/>
    <x v="73"/>
    <n v="30"/>
    <n v="21"/>
    <n v="9"/>
  </r>
  <r>
    <x v="0"/>
    <x v="148"/>
    <s v="FA"/>
    <x v="11"/>
    <x v="138"/>
    <n v="32"/>
    <n v="22"/>
    <n v="10"/>
  </r>
  <r>
    <x v="0"/>
    <x v="149"/>
    <s v="FA"/>
    <x v="11"/>
    <x v="139"/>
    <n v="54"/>
    <n v="33"/>
    <n v="21"/>
  </r>
  <r>
    <x v="0"/>
    <x v="150"/>
    <s v="FA"/>
    <x v="11"/>
    <x v="140"/>
    <n v="35"/>
    <n v="20"/>
    <n v="15"/>
  </r>
  <r>
    <x v="0"/>
    <x v="151"/>
    <s v="FA"/>
    <x v="11"/>
    <x v="76"/>
    <n v="99"/>
    <n v="59"/>
    <n v="40"/>
  </r>
  <r>
    <x v="0"/>
    <x v="152"/>
    <s v="GU"/>
    <x v="12"/>
    <x v="141"/>
    <n v="82"/>
    <n v="54"/>
    <n v="28"/>
  </r>
  <r>
    <x v="0"/>
    <x v="153"/>
    <s v="GU"/>
    <x v="12"/>
    <x v="142"/>
    <n v="51"/>
    <n v="36"/>
    <n v="15"/>
  </r>
  <r>
    <x v="0"/>
    <x v="154"/>
    <s v="GU"/>
    <x v="12"/>
    <x v="143"/>
    <n v="69"/>
    <n v="51"/>
    <n v="18"/>
  </r>
  <r>
    <x v="0"/>
    <x v="155"/>
    <s v="GU"/>
    <x v="12"/>
    <x v="144"/>
    <n v="80"/>
    <n v="56"/>
    <n v="24"/>
  </r>
  <r>
    <x v="0"/>
    <x v="156"/>
    <s v="GU"/>
    <x v="12"/>
    <x v="145"/>
    <n v="1037"/>
    <n v="651"/>
    <n v="386"/>
  </r>
  <r>
    <x v="0"/>
    <x v="157"/>
    <s v="GU"/>
    <x v="12"/>
    <x v="146"/>
    <n v="127"/>
    <n v="85"/>
    <n v="42"/>
  </r>
  <r>
    <x v="0"/>
    <x v="158"/>
    <s v="GU"/>
    <x v="12"/>
    <x v="147"/>
    <n v="161"/>
    <n v="117"/>
    <n v="44"/>
  </r>
  <r>
    <x v="0"/>
    <x v="159"/>
    <s v="GU"/>
    <x v="12"/>
    <x v="104"/>
    <n v="608"/>
    <n v="403"/>
    <n v="205"/>
  </r>
  <r>
    <x v="0"/>
    <x v="160"/>
    <s v="GU"/>
    <x v="12"/>
    <x v="148"/>
    <n v="540"/>
    <n v="353"/>
    <n v="187"/>
  </r>
  <r>
    <x v="0"/>
    <x v="161"/>
    <s v="GU"/>
    <x v="12"/>
    <x v="149"/>
    <n v="76"/>
    <n v="53"/>
    <n v="23"/>
  </r>
  <r>
    <x v="0"/>
    <x v="162"/>
    <s v="GU"/>
    <x v="12"/>
    <x v="150"/>
    <n v="147"/>
    <n v="104"/>
    <n v="43"/>
  </r>
  <r>
    <x v="0"/>
    <x v="163"/>
    <s v="GU"/>
    <x v="12"/>
    <x v="96"/>
    <n v="1453"/>
    <n v="906"/>
    <n v="547"/>
  </r>
  <r>
    <x v="0"/>
    <x v="164"/>
    <s v="GU"/>
    <x v="12"/>
    <x v="151"/>
    <n v="34"/>
    <n v="26"/>
    <n v="8"/>
  </r>
  <r>
    <x v="0"/>
    <x v="165"/>
    <s v="GU"/>
    <x v="12"/>
    <x v="152"/>
    <n v="74"/>
    <n v="49"/>
    <n v="25"/>
  </r>
  <r>
    <x v="0"/>
    <x v="166"/>
    <s v="GU"/>
    <x v="12"/>
    <x v="153"/>
    <n v="384"/>
    <n v="233"/>
    <n v="151"/>
  </r>
  <r>
    <x v="0"/>
    <x v="167"/>
    <s v="LA"/>
    <x v="13"/>
    <x v="154"/>
    <n v="190"/>
    <n v="120"/>
    <n v="70"/>
  </r>
  <r>
    <x v="0"/>
    <x v="168"/>
    <s v="LA"/>
    <x v="13"/>
    <x v="155"/>
    <n v="244"/>
    <n v="164"/>
    <n v="80"/>
  </r>
  <r>
    <x v="0"/>
    <x v="169"/>
    <s v="LA"/>
    <x v="13"/>
    <x v="156"/>
    <n v="9362"/>
    <n v="5.4909999999999997"/>
    <n v="3.871"/>
  </r>
  <r>
    <x v="0"/>
    <x v="170"/>
    <s v="LA"/>
    <x v="13"/>
    <x v="157"/>
    <n v="485"/>
    <n v="300"/>
    <n v="185"/>
  </r>
  <r>
    <x v="0"/>
    <x v="171"/>
    <s v="LA"/>
    <x v="13"/>
    <x v="158"/>
    <n v="715"/>
    <n v="427"/>
    <n v="288"/>
  </r>
  <r>
    <x v="0"/>
    <x v="172"/>
    <s v="LA"/>
    <x v="13"/>
    <x v="159"/>
    <n v="585"/>
    <n v="349"/>
    <n v="236"/>
  </r>
  <r>
    <x v="0"/>
    <x v="173"/>
    <s v="LA"/>
    <x v="13"/>
    <x v="160"/>
    <n v="126"/>
    <n v="86"/>
    <n v="40"/>
  </r>
  <r>
    <x v="0"/>
    <x v="174"/>
    <s v="LA"/>
    <x v="13"/>
    <x v="161"/>
    <n v="1175"/>
    <n v="686"/>
    <n v="489"/>
  </r>
  <r>
    <x v="0"/>
    <x v="175"/>
    <s v="LA"/>
    <x v="13"/>
    <x v="75"/>
    <n v="259"/>
    <n v="171"/>
    <n v="88"/>
  </r>
  <r>
    <x v="0"/>
    <x v="176"/>
    <s v="ME"/>
    <x v="14"/>
    <x v="162"/>
    <n v="698"/>
    <n v="447"/>
    <n v="251"/>
  </r>
  <r>
    <x v="0"/>
    <x v="177"/>
    <s v="ME"/>
    <x v="14"/>
    <x v="163"/>
    <n v="62"/>
    <n v="37"/>
    <n v="25"/>
  </r>
  <r>
    <x v="0"/>
    <x v="178"/>
    <s v="ME"/>
    <x v="14"/>
    <x v="164"/>
    <n v="98"/>
    <n v="65"/>
    <n v="33"/>
  </r>
  <r>
    <x v="0"/>
    <x v="179"/>
    <s v="ME"/>
    <x v="14"/>
    <x v="165"/>
    <n v="13"/>
    <n v="9"/>
    <n v="4"/>
  </r>
  <r>
    <x v="0"/>
    <x v="180"/>
    <s v="ME"/>
    <x v="14"/>
    <x v="166"/>
    <n v="66"/>
    <n v="43"/>
    <n v="23"/>
  </r>
  <r>
    <x v="0"/>
    <x v="181"/>
    <s v="ME"/>
    <x v="14"/>
    <x v="167"/>
    <n v="375"/>
    <n v="224"/>
    <n v="151"/>
  </r>
  <r>
    <x v="0"/>
    <x v="182"/>
    <s v="ME"/>
    <x v="14"/>
    <x v="168"/>
    <n v="60"/>
    <n v="35"/>
    <n v="25"/>
  </r>
  <r>
    <x v="0"/>
    <x v="183"/>
    <s v="ME"/>
    <x v="14"/>
    <x v="169"/>
    <n v="151"/>
    <n v="91"/>
    <n v="60"/>
  </r>
  <r>
    <x v="0"/>
    <x v="184"/>
    <s v="ME"/>
    <x v="14"/>
    <x v="170"/>
    <n v="39"/>
    <n v="25"/>
    <n v="14"/>
  </r>
  <r>
    <x v="0"/>
    <x v="185"/>
    <s v="ME"/>
    <x v="14"/>
    <x v="171"/>
    <n v="69"/>
    <n v="39"/>
    <n v="30"/>
  </r>
  <r>
    <x v="0"/>
    <x v="186"/>
    <s v="ME"/>
    <x v="14"/>
    <x v="172"/>
    <n v="18"/>
    <n v="12"/>
    <n v="6"/>
  </r>
  <r>
    <x v="0"/>
    <x v="187"/>
    <s v="ME"/>
    <x v="14"/>
    <x v="66"/>
    <n v="3037"/>
    <n v="1.6679999999999999"/>
    <n v="1.369"/>
  </r>
  <r>
    <x v="0"/>
    <x v="188"/>
    <s v="ME"/>
    <x v="14"/>
    <x v="104"/>
    <n v="73"/>
    <n v="43"/>
    <n v="30"/>
  </r>
  <r>
    <x v="0"/>
    <x v="189"/>
    <s v="ME"/>
    <x v="14"/>
    <x v="173"/>
    <n v="107"/>
    <n v="69"/>
    <n v="38"/>
  </r>
  <r>
    <x v="0"/>
    <x v="190"/>
    <s v="ME"/>
    <x v="14"/>
    <x v="174"/>
    <n v="6"/>
    <n v="2"/>
    <n v="4"/>
  </r>
  <r>
    <x v="0"/>
    <x v="191"/>
    <s v="ME"/>
    <x v="14"/>
    <x v="175"/>
    <n v="46"/>
    <n v="24"/>
    <n v="22"/>
  </r>
  <r>
    <x v="0"/>
    <x v="192"/>
    <s v="ME"/>
    <x v="14"/>
    <x v="176"/>
    <n v="55"/>
    <n v="37"/>
    <n v="18"/>
  </r>
  <r>
    <x v="0"/>
    <x v="193"/>
    <s v="ME"/>
    <x v="14"/>
    <x v="177"/>
    <n v="72"/>
    <n v="39"/>
    <n v="33"/>
  </r>
  <r>
    <x v="0"/>
    <x v="194"/>
    <s v="ME"/>
    <x v="14"/>
    <x v="178"/>
    <n v="64"/>
    <n v="38"/>
    <n v="26"/>
  </r>
  <r>
    <x v="0"/>
    <x v="195"/>
    <s v="ME"/>
    <x v="14"/>
    <x v="73"/>
    <n v="261"/>
    <n v="156"/>
    <n v="105"/>
  </r>
  <r>
    <x v="0"/>
    <x v="196"/>
    <s v="ME"/>
    <x v="14"/>
    <x v="74"/>
    <n v="220"/>
    <n v="134"/>
    <n v="86"/>
  </r>
  <r>
    <x v="0"/>
    <x v="197"/>
    <s v="ME"/>
    <x v="14"/>
    <x v="179"/>
    <n v="136"/>
    <n v="95"/>
    <n v="41"/>
  </r>
  <r>
    <x v="0"/>
    <x v="198"/>
    <s v="ME"/>
    <x v="14"/>
    <x v="180"/>
    <n v="50"/>
    <n v="31"/>
    <n v="19"/>
  </r>
  <r>
    <x v="0"/>
    <x v="199"/>
    <s v="MI"/>
    <x v="15"/>
    <x v="181"/>
    <n v="561"/>
    <n v="435"/>
    <n v="126"/>
  </r>
  <r>
    <x v="0"/>
    <x v="200"/>
    <s v="MI"/>
    <x v="15"/>
    <x v="163"/>
    <n v="188"/>
    <n v="140"/>
    <n v="48"/>
  </r>
  <r>
    <x v="0"/>
    <x v="201"/>
    <s v="MI"/>
    <x v="15"/>
    <x v="182"/>
    <n v="2969"/>
    <n v="1.526"/>
    <n v="1.4430000000000001"/>
  </r>
  <r>
    <x v="0"/>
    <x v="202"/>
    <s v="MI"/>
    <x v="15"/>
    <x v="183"/>
    <n v="469"/>
    <n v="344"/>
    <n v="125"/>
  </r>
  <r>
    <x v="0"/>
    <x v="203"/>
    <s v="MI"/>
    <x v="15"/>
    <x v="184"/>
    <n v="179"/>
    <n v="131"/>
    <n v="48"/>
  </r>
  <r>
    <x v="0"/>
    <x v="204"/>
    <s v="MI"/>
    <x v="15"/>
    <x v="185"/>
    <n v="232"/>
    <n v="117"/>
    <n v="115"/>
  </r>
  <r>
    <x v="0"/>
    <x v="205"/>
    <s v="MI"/>
    <x v="15"/>
    <x v="186"/>
    <n v="905"/>
    <n v="440"/>
    <n v="465"/>
  </r>
  <r>
    <x v="0"/>
    <x v="206"/>
    <s v="MI"/>
    <x v="15"/>
    <x v="187"/>
    <n v="769"/>
    <n v="578"/>
    <n v="191"/>
  </r>
  <r>
    <x v="0"/>
    <x v="207"/>
    <s v="MI"/>
    <x v="15"/>
    <x v="188"/>
    <n v="260"/>
    <n v="147"/>
    <n v="113"/>
  </r>
  <r>
    <x v="0"/>
    <x v="208"/>
    <s v="MI"/>
    <x v="15"/>
    <x v="189"/>
    <n v="1918"/>
    <n v="1.226"/>
    <n v="692"/>
  </r>
  <r>
    <x v="0"/>
    <x v="209"/>
    <s v="MI"/>
    <x v="15"/>
    <x v="38"/>
    <n v="1080"/>
    <n v="778"/>
    <n v="302"/>
  </r>
  <r>
    <x v="0"/>
    <x v="210"/>
    <s v="MI"/>
    <x v="15"/>
    <x v="190"/>
    <n v="1187"/>
    <n v="836"/>
    <n v="351"/>
  </r>
  <r>
    <x v="0"/>
    <x v="211"/>
    <s v="MI"/>
    <x v="15"/>
    <x v="191"/>
    <n v="316"/>
    <n v="148"/>
    <n v="168"/>
  </r>
  <r>
    <x v="0"/>
    <x v="212"/>
    <s v="MI"/>
    <x v="15"/>
    <x v="55"/>
    <n v="293"/>
    <n v="202"/>
    <n v="91"/>
  </r>
  <r>
    <x v="0"/>
    <x v="213"/>
    <s v="MI"/>
    <x v="15"/>
    <x v="192"/>
    <n v="577"/>
    <n v="451"/>
    <n v="126"/>
  </r>
  <r>
    <x v="0"/>
    <x v="214"/>
    <s v="MI"/>
    <x v="15"/>
    <x v="193"/>
    <n v="80"/>
    <n v="54"/>
    <n v="26"/>
  </r>
  <r>
    <x v="0"/>
    <x v="215"/>
    <s v="MI"/>
    <x v="15"/>
    <x v="194"/>
    <n v="940"/>
    <n v="666"/>
    <n v="274"/>
  </r>
  <r>
    <x v="0"/>
    <x v="216"/>
    <s v="MI"/>
    <x v="15"/>
    <x v="49"/>
    <n v="188"/>
    <n v="139"/>
    <n v="49"/>
  </r>
  <r>
    <x v="0"/>
    <x v="217"/>
    <s v="MI"/>
    <x v="15"/>
    <x v="73"/>
    <n v="5849"/>
    <n v="3.7109999999999999"/>
    <n v="2.1379999999999999"/>
  </r>
  <r>
    <x v="0"/>
    <x v="218"/>
    <s v="MI"/>
    <x v="15"/>
    <x v="75"/>
    <n v="820"/>
    <n v="556"/>
    <n v="264"/>
  </r>
  <r>
    <x v="0"/>
    <x v="219"/>
    <s v="MI"/>
    <x v="15"/>
    <x v="76"/>
    <n v="1081"/>
    <n v="737"/>
    <n v="344"/>
  </r>
  <r>
    <x v="0"/>
    <x v="220"/>
    <s v="MO"/>
    <x v="16"/>
    <x v="122"/>
    <n v="69"/>
    <n v="43"/>
    <n v="26"/>
  </r>
  <r>
    <x v="0"/>
    <x v="221"/>
    <s v="MO"/>
    <x v="16"/>
    <x v="195"/>
    <n v="33"/>
    <n v="24"/>
    <n v="9"/>
  </r>
  <r>
    <x v="0"/>
    <x v="222"/>
    <s v="MO"/>
    <x v="16"/>
    <x v="59"/>
    <n v="187"/>
    <n v="121"/>
    <n v="66"/>
  </r>
  <r>
    <x v="0"/>
    <x v="223"/>
    <s v="MO"/>
    <x v="16"/>
    <x v="196"/>
    <n v="155"/>
    <n v="89"/>
    <n v="66"/>
  </r>
  <r>
    <x v="0"/>
    <x v="224"/>
    <s v="MO"/>
    <x v="16"/>
    <x v="89"/>
    <n v="138"/>
    <n v="95"/>
    <n v="43"/>
  </r>
  <r>
    <x v="0"/>
    <x v="225"/>
    <s v="MO"/>
    <x v="16"/>
    <x v="83"/>
    <n v="299"/>
    <n v="207"/>
    <n v="92"/>
  </r>
  <r>
    <x v="0"/>
    <x v="226"/>
    <s v="MO"/>
    <x v="16"/>
    <x v="66"/>
    <n v="116"/>
    <n v="87"/>
    <n v="29"/>
  </r>
  <r>
    <x v="0"/>
    <x v="227"/>
    <s v="MO"/>
    <x v="16"/>
    <x v="197"/>
    <n v="3917"/>
    <n v="2.3719999999999999"/>
    <n v="1.5449999999999999"/>
  </r>
  <r>
    <x v="0"/>
    <x v="228"/>
    <s v="MO"/>
    <x v="16"/>
    <x v="94"/>
    <n v="179"/>
    <n v="118"/>
    <n v="61"/>
  </r>
  <r>
    <x v="0"/>
    <x v="229"/>
    <s v="MO"/>
    <x v="16"/>
    <x v="198"/>
    <n v="121"/>
    <n v="71"/>
    <n v="50"/>
  </r>
  <r>
    <x v="0"/>
    <x v="230"/>
    <s v="MO"/>
    <x v="16"/>
    <x v="199"/>
    <n v="32"/>
    <n v="23"/>
    <n v="9"/>
  </r>
  <r>
    <x v="0"/>
    <x v="231"/>
    <s v="MO"/>
    <x v="16"/>
    <x v="200"/>
    <n v="91"/>
    <n v="64"/>
    <n v="27"/>
  </r>
  <r>
    <x v="0"/>
    <x v="232"/>
    <s v="MO"/>
    <x v="16"/>
    <x v="201"/>
    <n v="31"/>
    <n v="20"/>
    <n v="11"/>
  </r>
  <r>
    <x v="0"/>
    <x v="233"/>
    <s v="NU"/>
    <x v="17"/>
    <x v="202"/>
    <n v="103"/>
    <n v="62"/>
    <n v="41"/>
  </r>
  <r>
    <x v="0"/>
    <x v="234"/>
    <s v="NU"/>
    <x v="17"/>
    <x v="80"/>
    <n v="134"/>
    <n v="70"/>
    <n v="64"/>
  </r>
  <r>
    <x v="0"/>
    <x v="235"/>
    <s v="NU"/>
    <x v="17"/>
    <x v="203"/>
    <n v="165"/>
    <n v="105"/>
    <n v="60"/>
  </r>
  <r>
    <x v="0"/>
    <x v="236"/>
    <s v="NU"/>
    <x v="17"/>
    <x v="204"/>
    <n v="262"/>
    <n v="145"/>
    <n v="117"/>
  </r>
  <r>
    <x v="0"/>
    <x v="237"/>
    <s v="NU"/>
    <x v="17"/>
    <x v="205"/>
    <n v="121"/>
    <n v="66"/>
    <n v="55"/>
  </r>
  <r>
    <x v="0"/>
    <x v="238"/>
    <s v="NU"/>
    <x v="17"/>
    <x v="206"/>
    <n v="192"/>
    <n v="107"/>
    <n v="85"/>
  </r>
  <r>
    <x v="0"/>
    <x v="239"/>
    <s v="NU"/>
    <x v="17"/>
    <x v="207"/>
    <n v="183"/>
    <n v="105"/>
    <n v="78"/>
  </r>
  <r>
    <x v="0"/>
    <x v="240"/>
    <s v="NU"/>
    <x v="17"/>
    <x v="208"/>
    <n v="1050"/>
    <n v="624"/>
    <n v="426"/>
  </r>
  <r>
    <x v="0"/>
    <x v="241"/>
    <s v="NU"/>
    <x v="17"/>
    <x v="209"/>
    <n v="70"/>
    <n v="36"/>
    <n v="34"/>
  </r>
  <r>
    <x v="0"/>
    <x v="242"/>
    <s v="NU"/>
    <x v="17"/>
    <x v="210"/>
    <n v="133"/>
    <n v="85"/>
    <n v="48"/>
  </r>
  <r>
    <x v="0"/>
    <x v="243"/>
    <s v="NU"/>
    <x v="17"/>
    <x v="211"/>
    <n v="35"/>
    <n v="20"/>
    <n v="15"/>
  </r>
  <r>
    <x v="0"/>
    <x v="244"/>
    <s v="PO"/>
    <x v="18"/>
    <x v="212"/>
    <n v="101"/>
    <n v="68"/>
    <n v="33"/>
  </r>
  <r>
    <x v="0"/>
    <x v="245"/>
    <s v="PO"/>
    <x v="18"/>
    <x v="213"/>
    <n v="1744"/>
    <n v="1.052"/>
    <n v="692"/>
  </r>
  <r>
    <x v="0"/>
    <x v="246"/>
    <s v="PO"/>
    <x v="18"/>
    <x v="214"/>
    <n v="204"/>
    <n v="121"/>
    <n v="83"/>
  </r>
  <r>
    <x v="0"/>
    <x v="247"/>
    <s v="PO"/>
    <x v="18"/>
    <x v="215"/>
    <n v="1447"/>
    <n v="849"/>
    <n v="598"/>
  </r>
  <r>
    <x v="0"/>
    <x v="248"/>
    <s v="PO"/>
    <x v="18"/>
    <x v="216"/>
    <n v="101"/>
    <n v="61"/>
    <n v="40"/>
  </r>
  <r>
    <x v="0"/>
    <x v="249"/>
    <s v="PO"/>
    <x v="18"/>
    <x v="217"/>
    <n v="93"/>
    <n v="58"/>
    <n v="35"/>
  </r>
  <r>
    <x v="0"/>
    <x v="250"/>
    <s v="PO"/>
    <x v="18"/>
    <x v="218"/>
    <n v="193"/>
    <n v="135"/>
    <n v="58"/>
  </r>
  <r>
    <x v="0"/>
    <x v="251"/>
    <s v="PO"/>
    <x v="18"/>
    <x v="55"/>
    <n v="718"/>
    <n v="432"/>
    <n v="286"/>
  </r>
  <r>
    <x v="0"/>
    <x v="252"/>
    <s v="PO"/>
    <x v="18"/>
    <x v="219"/>
    <n v="39"/>
    <n v="32"/>
    <n v="7"/>
  </r>
  <r>
    <x v="0"/>
    <x v="253"/>
    <s v="PO"/>
    <x v="18"/>
    <x v="220"/>
    <n v="73"/>
    <n v="47"/>
    <n v="26"/>
  </r>
  <r>
    <x v="0"/>
    <x v="254"/>
    <s v="PO"/>
    <x v="18"/>
    <x v="221"/>
    <n v="57"/>
    <n v="43"/>
    <n v="14"/>
  </r>
  <r>
    <x v="0"/>
    <x v="255"/>
    <s v="PO"/>
    <x v="18"/>
    <x v="222"/>
    <n v="37"/>
    <n v="22"/>
    <n v="15"/>
  </r>
  <r>
    <x v="0"/>
    <x v="256"/>
    <s v="PO"/>
    <x v="18"/>
    <x v="73"/>
    <n v="142"/>
    <n v="88"/>
    <n v="54"/>
  </r>
  <r>
    <x v="0"/>
    <x v="257"/>
    <s v="PO"/>
    <x v="18"/>
    <x v="223"/>
    <n v="273"/>
    <n v="171"/>
    <n v="102"/>
  </r>
  <r>
    <x v="0"/>
    <x v="258"/>
    <s v="SU"/>
    <x v="19"/>
    <x v="154"/>
    <n v="137"/>
    <n v="85"/>
    <n v="52"/>
  </r>
  <r>
    <x v="0"/>
    <x v="259"/>
    <s v="SU"/>
    <x v="19"/>
    <x v="224"/>
    <n v="82"/>
    <n v="54"/>
    <n v="28"/>
  </r>
  <r>
    <x v="0"/>
    <x v="260"/>
    <s v="SU"/>
    <x v="19"/>
    <x v="80"/>
    <n v="235"/>
    <n v="140"/>
    <n v="95"/>
  </r>
  <r>
    <x v="0"/>
    <x v="261"/>
    <s v="SU"/>
    <x v="19"/>
    <x v="225"/>
    <n v="108"/>
    <n v="66"/>
    <n v="42"/>
  </r>
  <r>
    <x v="0"/>
    <x v="262"/>
    <s v="SU"/>
    <x v="19"/>
    <x v="226"/>
    <n v="1575"/>
    <n v="932"/>
    <n v="643"/>
  </r>
  <r>
    <x v="0"/>
    <x v="263"/>
    <s v="SU"/>
    <x v="19"/>
    <x v="59"/>
    <n v="80"/>
    <n v="46"/>
    <n v="34"/>
  </r>
  <r>
    <x v="0"/>
    <x v="264"/>
    <s v="SU"/>
    <x v="19"/>
    <x v="227"/>
    <n v="93"/>
    <n v="56"/>
    <n v="37"/>
  </r>
  <r>
    <x v="0"/>
    <x v="265"/>
    <s v="SU"/>
    <x v="19"/>
    <x v="228"/>
    <n v="114"/>
    <n v="70"/>
    <n v="44"/>
  </r>
  <r>
    <x v="0"/>
    <x v="266"/>
    <s v="SU"/>
    <x v="19"/>
    <x v="66"/>
    <n v="39"/>
    <n v="25"/>
    <n v="14"/>
  </r>
  <r>
    <x v="0"/>
    <x v="267"/>
    <s v="SU"/>
    <x v="19"/>
    <x v="208"/>
    <n v="106"/>
    <n v="61"/>
    <n v="45"/>
  </r>
  <r>
    <x v="0"/>
    <x v="268"/>
    <s v="SU"/>
    <x v="19"/>
    <x v="229"/>
    <n v="40"/>
    <n v="26"/>
    <n v="14"/>
  </r>
  <r>
    <x v="0"/>
    <x v="269"/>
    <s v="SU"/>
    <x v="19"/>
    <x v="230"/>
    <n v="246"/>
    <n v="153"/>
    <n v="93"/>
  </r>
  <r>
    <x v="0"/>
    <x v="270"/>
    <s v="SU"/>
    <x v="19"/>
    <x v="231"/>
    <n v="267"/>
    <n v="181"/>
    <n v="86"/>
  </r>
  <r>
    <x v="0"/>
    <x v="271"/>
    <s v="SU"/>
    <x v="19"/>
    <x v="73"/>
    <n v="3001"/>
    <n v="1.7849999999999999"/>
    <n v="1.216"/>
  </r>
  <r>
    <x v="0"/>
    <x v="272"/>
    <s v="SU"/>
    <x v="19"/>
    <x v="232"/>
    <n v="208"/>
    <n v="122"/>
    <n v="86"/>
  </r>
  <r>
    <x v="0"/>
    <x v="273"/>
    <s v="TA"/>
    <x v="20"/>
    <x v="163"/>
    <n v="88"/>
    <n v="52"/>
    <n v="36"/>
  </r>
  <r>
    <x v="0"/>
    <x v="274"/>
    <s v="TA"/>
    <x v="20"/>
    <x v="233"/>
    <n v="47"/>
    <n v="30"/>
    <n v="17"/>
  </r>
  <r>
    <x v="0"/>
    <x v="275"/>
    <s v="TA"/>
    <x v="20"/>
    <x v="234"/>
    <n v="348"/>
    <n v="228"/>
    <n v="120"/>
  </r>
  <r>
    <x v="0"/>
    <x v="276"/>
    <s v="TA"/>
    <x v="20"/>
    <x v="59"/>
    <n v="194"/>
    <n v="106"/>
    <n v="88"/>
  </r>
  <r>
    <x v="0"/>
    <x v="277"/>
    <s v="TA"/>
    <x v="20"/>
    <x v="235"/>
    <n v="295"/>
    <n v="166"/>
    <n v="129"/>
  </r>
  <r>
    <x v="0"/>
    <x v="278"/>
    <s v="TA"/>
    <x v="20"/>
    <x v="236"/>
    <n v="112"/>
    <n v="69"/>
    <n v="43"/>
  </r>
  <r>
    <x v="0"/>
    <x v="279"/>
    <s v="TA"/>
    <x v="20"/>
    <x v="237"/>
    <n v="194"/>
    <n v="138"/>
    <n v="56"/>
  </r>
  <r>
    <x v="0"/>
    <x v="280"/>
    <s v="TA"/>
    <x v="20"/>
    <x v="35"/>
    <n v="36"/>
    <n v="17"/>
    <n v="19"/>
  </r>
  <r>
    <x v="0"/>
    <x v="281"/>
    <s v="TA"/>
    <x v="20"/>
    <x v="238"/>
    <n v="236"/>
    <n v="149"/>
    <n v="87"/>
  </r>
  <r>
    <x v="0"/>
    <x v="282"/>
    <s v="TA"/>
    <x v="20"/>
    <x v="239"/>
    <n v="111"/>
    <n v="67"/>
    <n v="44"/>
  </r>
  <r>
    <x v="0"/>
    <x v="283"/>
    <s v="TA"/>
    <x v="20"/>
    <x v="38"/>
    <n v="145"/>
    <n v="91"/>
    <n v="54"/>
  </r>
  <r>
    <x v="0"/>
    <x v="284"/>
    <s v="TA"/>
    <x v="20"/>
    <x v="240"/>
    <n v="224"/>
    <n v="136"/>
    <n v="88"/>
  </r>
  <r>
    <x v="0"/>
    <x v="285"/>
    <s v="TA"/>
    <x v="20"/>
    <x v="241"/>
    <n v="42"/>
    <n v="30"/>
    <n v="12"/>
  </r>
  <r>
    <x v="0"/>
    <x v="286"/>
    <s v="TA"/>
    <x v="20"/>
    <x v="242"/>
    <n v="414"/>
    <n v="232"/>
    <n v="182"/>
  </r>
  <r>
    <x v="0"/>
    <x v="287"/>
    <s v="TA"/>
    <x v="20"/>
    <x v="42"/>
    <n v="67"/>
    <n v="46"/>
    <n v="21"/>
  </r>
  <r>
    <x v="0"/>
    <x v="288"/>
    <s v="TA"/>
    <x v="20"/>
    <x v="66"/>
    <n v="106"/>
    <n v="80"/>
    <n v="26"/>
  </r>
  <r>
    <x v="0"/>
    <x v="289"/>
    <s v="TA"/>
    <x v="20"/>
    <x v="243"/>
    <n v="59"/>
    <n v="31"/>
    <n v="28"/>
  </r>
  <r>
    <x v="0"/>
    <x v="290"/>
    <s v="TA"/>
    <x v="20"/>
    <x v="244"/>
    <n v="93"/>
    <n v="61"/>
    <n v="32"/>
  </r>
  <r>
    <x v="0"/>
    <x v="291"/>
    <s v="TA"/>
    <x v="20"/>
    <x v="245"/>
    <n v="138"/>
    <n v="87"/>
    <n v="51"/>
  </r>
  <r>
    <x v="0"/>
    <x v="292"/>
    <s v="TA"/>
    <x v="20"/>
    <x v="246"/>
    <n v="153"/>
    <n v="115"/>
    <n v="38"/>
  </r>
  <r>
    <x v="0"/>
    <x v="293"/>
    <s v="TA"/>
    <x v="20"/>
    <x v="247"/>
    <n v="14"/>
    <n v="12"/>
    <n v="2"/>
  </r>
  <r>
    <x v="0"/>
    <x v="294"/>
    <s v="TA"/>
    <x v="20"/>
    <x v="248"/>
    <n v="81"/>
    <n v="54"/>
    <n v="27"/>
  </r>
  <r>
    <x v="0"/>
    <x v="295"/>
    <s v="TA"/>
    <x v="20"/>
    <x v="249"/>
    <n v="4341"/>
    <n v="2.3929999999999998"/>
    <n v="1.948"/>
  </r>
  <r>
    <x v="0"/>
    <x v="296"/>
    <s v="TA"/>
    <x v="20"/>
    <x v="250"/>
    <n v="21"/>
    <n v="11"/>
    <n v="10"/>
  </r>
  <r>
    <x v="0"/>
    <x v="297"/>
    <s v="TA"/>
    <x v="20"/>
    <x v="251"/>
    <n v="33"/>
    <n v="18"/>
    <n v="15"/>
  </r>
  <r>
    <x v="0"/>
    <x v="298"/>
    <s v="TA"/>
    <x v="20"/>
    <x v="50"/>
    <n v="1"/>
    <n v="1"/>
    <s v="-"/>
  </r>
  <r>
    <x v="0"/>
    <x v="299"/>
    <s v="TA"/>
    <x v="20"/>
    <x v="73"/>
    <n v="26"/>
    <n v="20"/>
    <n v="6"/>
  </r>
  <r>
    <x v="0"/>
    <x v="300"/>
    <s v="TA"/>
    <x v="20"/>
    <x v="252"/>
    <n v="105"/>
    <n v="68"/>
    <n v="37"/>
  </r>
  <r>
    <x v="0"/>
    <x v="301"/>
    <s v="TA"/>
    <x v="20"/>
    <x v="253"/>
    <n v="79"/>
    <n v="45"/>
    <n v="34"/>
  </r>
  <r>
    <x v="0"/>
    <x v="302"/>
    <s v="TR"/>
    <x v="21"/>
    <x v="163"/>
    <n v="120"/>
    <n v="97"/>
    <n v="23"/>
  </r>
  <r>
    <x v="0"/>
    <x v="303"/>
    <s v="TR"/>
    <x v="21"/>
    <x v="254"/>
    <n v="591"/>
    <n v="348"/>
    <n v="243"/>
  </r>
  <r>
    <x v="0"/>
    <x v="304"/>
    <s v="TR"/>
    <x v="21"/>
    <x v="59"/>
    <n v="40"/>
    <n v="25"/>
    <n v="15"/>
  </r>
  <r>
    <x v="0"/>
    <x v="305"/>
    <s v="TR"/>
    <x v="21"/>
    <x v="255"/>
    <n v="129"/>
    <n v="97"/>
    <n v="32"/>
  </r>
  <r>
    <x v="0"/>
    <x v="306"/>
    <s v="TR"/>
    <x v="21"/>
    <x v="256"/>
    <n v="174"/>
    <n v="116"/>
    <n v="58"/>
  </r>
  <r>
    <x v="0"/>
    <x v="307"/>
    <s v="TR"/>
    <x v="21"/>
    <x v="257"/>
    <n v="80"/>
    <n v="60"/>
    <n v="20"/>
  </r>
  <r>
    <x v="0"/>
    <x v="308"/>
    <s v="TR"/>
    <x v="21"/>
    <x v="258"/>
    <n v="9"/>
    <n v="6"/>
    <n v="3"/>
  </r>
  <r>
    <x v="0"/>
    <x v="309"/>
    <s v="TR"/>
    <x v="21"/>
    <x v="259"/>
    <n v="20"/>
    <n v="14"/>
    <n v="6"/>
  </r>
  <r>
    <x v="0"/>
    <x v="310"/>
    <s v="TR"/>
    <x v="21"/>
    <x v="260"/>
    <n v="57"/>
    <n v="48"/>
    <n v="9"/>
  </r>
  <r>
    <x v="0"/>
    <x v="311"/>
    <s v="TR"/>
    <x v="21"/>
    <x v="104"/>
    <n v="59"/>
    <n v="43"/>
    <n v="16"/>
  </r>
  <r>
    <x v="0"/>
    <x v="312"/>
    <s v="TR"/>
    <x v="21"/>
    <x v="261"/>
    <n v="40"/>
    <n v="28"/>
    <n v="12"/>
  </r>
  <r>
    <x v="0"/>
    <x v="313"/>
    <s v="TR"/>
    <x v="21"/>
    <x v="262"/>
    <n v="73"/>
    <n v="50"/>
    <n v="23"/>
  </r>
  <r>
    <x v="0"/>
    <x v="314"/>
    <s v="TR"/>
    <x v="21"/>
    <x v="263"/>
    <n v="182"/>
    <n v="111"/>
    <n v="71"/>
  </r>
  <r>
    <x v="0"/>
    <x v="315"/>
    <s v="TR"/>
    <x v="21"/>
    <x v="264"/>
    <n v="65"/>
    <n v="44"/>
    <n v="21"/>
  </r>
  <r>
    <x v="0"/>
    <x v="316"/>
    <s v="TR"/>
    <x v="21"/>
    <x v="265"/>
    <n v="55"/>
    <n v="34"/>
    <n v="21"/>
  </r>
  <r>
    <x v="0"/>
    <x v="317"/>
    <s v="TR"/>
    <x v="21"/>
    <x v="266"/>
    <n v="136"/>
    <n v="90"/>
    <n v="46"/>
  </r>
  <r>
    <x v="0"/>
    <x v="318"/>
    <s v="TR"/>
    <x v="21"/>
    <x v="73"/>
    <n v="99"/>
    <n v="68"/>
    <n v="31"/>
  </r>
  <r>
    <x v="0"/>
    <x v="319"/>
    <s v="TR"/>
    <x v="21"/>
    <x v="267"/>
    <n v="580"/>
    <n v="351"/>
    <n v="229"/>
  </r>
  <r>
    <x v="0"/>
    <x v="320"/>
    <s v="TR"/>
    <x v="21"/>
    <x v="75"/>
    <n v="153"/>
    <n v="84"/>
    <n v="69"/>
  </r>
  <r>
    <x v="0"/>
    <x v="321"/>
    <s v="TR"/>
    <x v="21"/>
    <x v="268"/>
    <n v="1459"/>
    <n v="859"/>
    <n v="600"/>
  </r>
  <r>
    <x v="0"/>
    <x v="322"/>
    <s v="VA"/>
    <x v="0"/>
    <x v="269"/>
    <n v="179"/>
    <n v="109"/>
    <n v="70"/>
  </r>
  <r>
    <x v="0"/>
    <x v="323"/>
    <s v="VA"/>
    <x v="0"/>
    <x v="270"/>
    <n v="209"/>
    <n v="139"/>
    <n v="70"/>
  </r>
  <r>
    <x v="0"/>
    <x v="324"/>
    <s v="VA"/>
    <x v="0"/>
    <x v="271"/>
    <n v="164"/>
    <n v="91"/>
    <n v="73"/>
  </r>
  <r>
    <x v="0"/>
    <x v="325"/>
    <s v="VA"/>
    <x v="0"/>
    <x v="272"/>
    <n v="43"/>
    <n v="30"/>
    <n v="13"/>
  </r>
  <r>
    <x v="0"/>
    <x v="326"/>
    <s v="VA"/>
    <x v="0"/>
    <x v="273"/>
    <n v="371"/>
    <n v="244"/>
    <n v="127"/>
  </r>
  <r>
    <x v="0"/>
    <x v="327"/>
    <s v="VA"/>
    <x v="0"/>
    <x v="274"/>
    <n v="48"/>
    <n v="27"/>
    <n v="21"/>
  </r>
  <r>
    <x v="0"/>
    <x v="328"/>
    <s v="VA"/>
    <x v="0"/>
    <x v="275"/>
    <n v="653"/>
    <n v="373"/>
    <n v="280"/>
  </r>
  <r>
    <x v="0"/>
    <x v="329"/>
    <s v="VA"/>
    <x v="0"/>
    <x v="276"/>
    <n v="141"/>
    <n v="72"/>
    <n v="69"/>
  </r>
  <r>
    <x v="0"/>
    <x v="330"/>
    <s v="VA"/>
    <x v="0"/>
    <x v="277"/>
    <n v="620"/>
    <n v="365"/>
    <n v="255"/>
  </r>
  <r>
    <x v="0"/>
    <x v="331"/>
    <s v="VA"/>
    <x v="0"/>
    <x v="278"/>
    <n v="82"/>
    <n v="49"/>
    <n v="33"/>
  </r>
  <r>
    <x v="0"/>
    <x v="332"/>
    <s v="VA"/>
    <x v="0"/>
    <x v="279"/>
    <n v="163"/>
    <n v="100"/>
    <n v="63"/>
  </r>
  <r>
    <x v="0"/>
    <x v="333"/>
    <s v="YA"/>
    <x v="22"/>
    <x v="280"/>
    <n v="61"/>
    <n v="36"/>
    <n v="25"/>
  </r>
  <r>
    <x v="0"/>
    <x v="334"/>
    <s v="YA"/>
    <x v="22"/>
    <x v="59"/>
    <n v="118"/>
    <n v="76"/>
    <n v="42"/>
  </r>
  <r>
    <x v="0"/>
    <x v="335"/>
    <s v="YA"/>
    <x v="22"/>
    <x v="281"/>
    <n v="274"/>
    <n v="184"/>
    <n v="90"/>
  </r>
  <r>
    <x v="0"/>
    <x v="336"/>
    <s v="YA"/>
    <x v="22"/>
    <x v="282"/>
    <n v="103"/>
    <n v="75"/>
    <n v="28"/>
  </r>
  <r>
    <x v="0"/>
    <x v="337"/>
    <s v="YA"/>
    <x v="22"/>
    <x v="38"/>
    <n v="171"/>
    <n v="103"/>
    <n v="68"/>
  </r>
  <r>
    <x v="0"/>
    <x v="338"/>
    <s v="YA"/>
    <x v="22"/>
    <x v="283"/>
    <n v="82"/>
    <n v="55"/>
    <n v="27"/>
  </r>
  <r>
    <x v="0"/>
    <x v="339"/>
    <s v="YA"/>
    <x v="22"/>
    <x v="284"/>
    <n v="39"/>
    <n v="29"/>
    <n v="10"/>
  </r>
  <r>
    <x v="0"/>
    <x v="340"/>
    <s v="YA"/>
    <x v="22"/>
    <x v="285"/>
    <n v="43"/>
    <n v="27"/>
    <n v="16"/>
  </r>
  <r>
    <x v="0"/>
    <x v="341"/>
    <s v="YA"/>
    <x v="22"/>
    <x v="286"/>
    <n v="400"/>
    <n v="263"/>
    <n v="137"/>
  </r>
  <r>
    <x v="0"/>
    <x v="342"/>
    <s v="YA"/>
    <x v="22"/>
    <x v="287"/>
    <n v="396"/>
    <n v="263"/>
    <n v="133"/>
  </r>
  <r>
    <x v="0"/>
    <x v="343"/>
    <s v="YA"/>
    <x v="22"/>
    <x v="288"/>
    <n v="1913"/>
    <n v="1.1100000000000001"/>
    <n v="803"/>
  </r>
  <r>
    <x v="0"/>
    <x v="344"/>
    <s v="YA"/>
    <x v="22"/>
    <x v="73"/>
    <n v="65"/>
    <n v="39"/>
    <n v="26"/>
  </r>
  <r>
    <x v="0"/>
    <x v="345"/>
    <s v="YA"/>
    <x v="22"/>
    <x v="289"/>
    <n v="63"/>
    <n v="40"/>
    <n v="23"/>
  </r>
  <r>
    <x v="0"/>
    <x v="346"/>
    <s v="YA"/>
    <x v="22"/>
    <x v="290"/>
    <n v="83"/>
    <n v="62"/>
    <n v="21"/>
  </r>
  <r>
    <x v="0"/>
    <x v="347"/>
    <s v="ZU"/>
    <x v="23"/>
    <x v="291"/>
    <n v="68"/>
    <n v="42"/>
    <n v="26"/>
  </r>
  <r>
    <x v="0"/>
    <x v="348"/>
    <s v="ZU"/>
    <x v="23"/>
    <x v="292"/>
    <n v="265"/>
    <n v="190"/>
    <n v="75"/>
  </r>
  <r>
    <x v="0"/>
    <x v="349"/>
    <s v="ZU"/>
    <x v="23"/>
    <x v="293"/>
    <n v="1598"/>
    <n v="949"/>
    <n v="649"/>
  </r>
  <r>
    <x v="0"/>
    <x v="350"/>
    <s v="ZU"/>
    <x v="23"/>
    <x v="294"/>
    <n v="82"/>
    <n v="63"/>
    <n v="19"/>
  </r>
  <r>
    <x v="0"/>
    <x v="351"/>
    <s v="ZU"/>
    <x v="23"/>
    <x v="295"/>
    <n v="524"/>
    <n v="334"/>
    <n v="190"/>
  </r>
  <r>
    <x v="0"/>
    <x v="352"/>
    <s v="ZU"/>
    <x v="23"/>
    <x v="296"/>
    <n v="102"/>
    <n v="71"/>
    <n v="31"/>
  </r>
  <r>
    <x v="0"/>
    <x v="353"/>
    <s v="ZU"/>
    <x v="23"/>
    <x v="297"/>
    <n v="530"/>
    <n v="348"/>
    <n v="182"/>
  </r>
  <r>
    <x v="0"/>
    <x v="354"/>
    <s v="ZU"/>
    <x v="23"/>
    <x v="298"/>
    <n v="102"/>
    <n v="69"/>
    <n v="33"/>
  </r>
  <r>
    <x v="0"/>
    <x v="355"/>
    <s v="ZU"/>
    <x v="23"/>
    <x v="299"/>
    <n v="366"/>
    <n v="252"/>
    <n v="114"/>
  </r>
  <r>
    <x v="0"/>
    <x v="356"/>
    <s v="ZU"/>
    <x v="23"/>
    <x v="300"/>
    <n v="1090"/>
    <n v="681"/>
    <n v="409"/>
  </r>
  <r>
    <x v="0"/>
    <x v="357"/>
    <s v="ZU"/>
    <x v="23"/>
    <x v="301"/>
    <n v="449"/>
    <n v="273"/>
    <n v="176"/>
  </r>
  <r>
    <x v="0"/>
    <x v="358"/>
    <s v="ZU"/>
    <x v="23"/>
    <x v="302"/>
    <n v="1044"/>
    <n v="672"/>
    <n v="372"/>
  </r>
  <r>
    <x v="0"/>
    <x v="359"/>
    <s v="ZU"/>
    <x v="23"/>
    <x v="303"/>
    <n v="13789"/>
    <n v="7.7519999999999998"/>
    <n v="6.0369999999999999"/>
  </r>
  <r>
    <x v="0"/>
    <x v="360"/>
    <s v="ZU"/>
    <x v="23"/>
    <x v="104"/>
    <n v="383"/>
    <n v="263"/>
    <n v="120"/>
  </r>
  <r>
    <x v="0"/>
    <x v="361"/>
    <s v="ZU"/>
    <x v="23"/>
    <x v="55"/>
    <n v="139"/>
    <n v="78"/>
    <n v="61"/>
  </r>
  <r>
    <x v="0"/>
    <x v="362"/>
    <s v="ZU"/>
    <x v="23"/>
    <x v="304"/>
    <n v="403"/>
    <n v="246"/>
    <n v="157"/>
  </r>
  <r>
    <x v="0"/>
    <x v="363"/>
    <s v="ZU"/>
    <x v="23"/>
    <x v="136"/>
    <n v="1536"/>
    <n v="949"/>
    <n v="587"/>
  </r>
  <r>
    <x v="0"/>
    <x v="364"/>
    <s v="ZU"/>
    <x v="23"/>
    <x v="305"/>
    <n v="198"/>
    <n v="141"/>
    <n v="57"/>
  </r>
  <r>
    <x v="0"/>
    <x v="365"/>
    <s v="ZU"/>
    <x v="23"/>
    <x v="49"/>
    <n v="119"/>
    <n v="90"/>
    <n v="29"/>
  </r>
  <r>
    <x v="0"/>
    <x v="366"/>
    <s v="ZU"/>
    <x v="23"/>
    <x v="73"/>
    <n v="252"/>
    <n v="165"/>
    <n v="87"/>
  </r>
  <r>
    <x v="0"/>
    <x v="367"/>
    <s v="ZU"/>
    <x v="23"/>
    <x v="306"/>
    <n v="107"/>
    <n v="87"/>
    <n v="20"/>
  </r>
  <r>
    <x v="0"/>
    <x v="368"/>
    <s v="DE"/>
    <x v="24"/>
    <x v="307"/>
    <n v="0"/>
    <n v="0"/>
    <n v="0"/>
  </r>
  <r>
    <x v="1"/>
    <x v="0"/>
    <s v="VA"/>
    <x v="0"/>
    <x v="0"/>
    <n v="0"/>
    <n v="0"/>
    <n v="0"/>
  </r>
  <r>
    <x v="1"/>
    <x v="1"/>
    <s v="DI"/>
    <x v="1"/>
    <x v="1"/>
    <n v="0"/>
    <n v="0"/>
    <n v="0"/>
  </r>
  <r>
    <x v="1"/>
    <x v="2"/>
    <s v="DI"/>
    <x v="1"/>
    <x v="2"/>
    <n v="170"/>
    <n v="123"/>
    <n v="47"/>
  </r>
  <r>
    <x v="1"/>
    <x v="3"/>
    <s v="DI"/>
    <x v="1"/>
    <x v="3"/>
    <n v="553"/>
    <n v="356"/>
    <n v="197"/>
  </r>
  <r>
    <x v="1"/>
    <x v="4"/>
    <s v="DI"/>
    <x v="1"/>
    <x v="4"/>
    <n v="191"/>
    <n v="94"/>
    <n v="97"/>
  </r>
  <r>
    <x v="1"/>
    <x v="5"/>
    <s v="DI"/>
    <x v="1"/>
    <x v="5"/>
    <n v="429"/>
    <n v="247"/>
    <n v="182"/>
  </r>
  <r>
    <x v="1"/>
    <x v="6"/>
    <s v="DI"/>
    <x v="1"/>
    <x v="6"/>
    <n v="57"/>
    <n v="38"/>
    <n v="19"/>
  </r>
  <r>
    <x v="1"/>
    <x v="7"/>
    <s v="DI"/>
    <x v="1"/>
    <x v="7"/>
    <n v="441"/>
    <n v="327"/>
    <n v="114"/>
  </r>
  <r>
    <x v="1"/>
    <x v="8"/>
    <s v="DI"/>
    <x v="1"/>
    <x v="8"/>
    <n v="142"/>
    <n v="100"/>
    <n v="42"/>
  </r>
  <r>
    <x v="1"/>
    <x v="9"/>
    <s v="DI"/>
    <x v="1"/>
    <x v="9"/>
    <n v="3076"/>
    <n v="1896"/>
    <n v="1180"/>
  </r>
  <r>
    <x v="1"/>
    <x v="10"/>
    <s v="DI"/>
    <x v="1"/>
    <x v="10"/>
    <n v="777"/>
    <n v="403"/>
    <n v="374"/>
  </r>
  <r>
    <x v="1"/>
    <x v="11"/>
    <s v="DI"/>
    <x v="1"/>
    <x v="11"/>
    <n v="465"/>
    <n v="272"/>
    <n v="193"/>
  </r>
  <r>
    <x v="1"/>
    <x v="12"/>
    <s v="DI"/>
    <x v="1"/>
    <x v="12"/>
    <n v="392"/>
    <n v="222"/>
    <n v="170"/>
  </r>
  <r>
    <x v="1"/>
    <x v="13"/>
    <s v="DI"/>
    <x v="1"/>
    <x v="13"/>
    <n v="518"/>
    <n v="316"/>
    <n v="202"/>
  </r>
  <r>
    <x v="1"/>
    <x v="14"/>
    <s v="DI"/>
    <x v="1"/>
    <x v="14"/>
    <n v="153"/>
    <n v="96"/>
    <n v="57"/>
  </r>
  <r>
    <x v="1"/>
    <x v="15"/>
    <s v="DI"/>
    <x v="1"/>
    <x v="15"/>
    <n v="146"/>
    <n v="98"/>
    <n v="48"/>
  </r>
  <r>
    <x v="1"/>
    <x v="16"/>
    <s v="DI"/>
    <x v="1"/>
    <x v="16"/>
    <n v="1372"/>
    <n v="712"/>
    <n v="660"/>
  </r>
  <r>
    <x v="1"/>
    <x v="17"/>
    <s v="DI"/>
    <x v="1"/>
    <x v="17"/>
    <n v="1521"/>
    <n v="787"/>
    <n v="734"/>
  </r>
  <r>
    <x v="1"/>
    <x v="18"/>
    <s v="DI"/>
    <x v="1"/>
    <x v="18"/>
    <n v="2097"/>
    <n v="1186"/>
    <n v="911"/>
  </r>
  <r>
    <x v="1"/>
    <x v="19"/>
    <s v="DI"/>
    <x v="1"/>
    <x v="19"/>
    <n v="2085"/>
    <n v="1086"/>
    <n v="999"/>
  </r>
  <r>
    <x v="1"/>
    <x v="20"/>
    <s v="DI"/>
    <x v="1"/>
    <x v="20"/>
    <n v="757"/>
    <n v="401"/>
    <n v="356"/>
  </r>
  <r>
    <x v="1"/>
    <x v="21"/>
    <s v="DI"/>
    <x v="1"/>
    <x v="21"/>
    <n v="69"/>
    <n v="43"/>
    <n v="26"/>
  </r>
  <r>
    <x v="1"/>
    <x v="22"/>
    <s v="DI"/>
    <x v="1"/>
    <x v="22"/>
    <n v="1593"/>
    <n v="982"/>
    <n v="611"/>
  </r>
  <r>
    <x v="1"/>
    <x v="23"/>
    <s v="DI"/>
    <x v="1"/>
    <x v="23"/>
    <n v="348"/>
    <n v="222"/>
    <n v="126"/>
  </r>
  <r>
    <x v="1"/>
    <x v="24"/>
    <s v="AM"/>
    <x v="2"/>
    <x v="24"/>
    <n v="0"/>
    <n v="0"/>
    <n v="0"/>
  </r>
  <r>
    <x v="1"/>
    <x v="25"/>
    <s v="AM"/>
    <x v="2"/>
    <x v="25"/>
    <n v="12"/>
    <n v="6"/>
    <n v="6"/>
  </r>
  <r>
    <x v="1"/>
    <x v="26"/>
    <s v="AM"/>
    <x v="2"/>
    <x v="26"/>
    <n v="555"/>
    <n v="357"/>
    <n v="198"/>
  </r>
  <r>
    <x v="1"/>
    <x v="27"/>
    <s v="AM"/>
    <x v="2"/>
    <x v="27"/>
    <n v="4"/>
    <n v="3"/>
    <n v="1"/>
  </r>
  <r>
    <x v="1"/>
    <x v="28"/>
    <s v="AM"/>
    <x v="2"/>
    <x v="28"/>
    <n v="1"/>
    <n v="1"/>
    <s v="-"/>
  </r>
  <r>
    <x v="1"/>
    <x v="29"/>
    <s v="AM"/>
    <x v="2"/>
    <x v="29"/>
    <n v="0"/>
    <n v="0"/>
    <n v="0"/>
  </r>
  <r>
    <x v="1"/>
    <x v="30"/>
    <s v="AM"/>
    <x v="2"/>
    <x v="30"/>
    <n v="2"/>
    <n v="2"/>
    <s v="-"/>
  </r>
  <r>
    <x v="1"/>
    <x v="31"/>
    <s v="AN"/>
    <x v="3"/>
    <x v="31"/>
    <n v="464"/>
    <n v="281"/>
    <n v="183"/>
  </r>
  <r>
    <x v="1"/>
    <x v="32"/>
    <s v="AN"/>
    <x v="3"/>
    <x v="32"/>
    <n v="95"/>
    <n v="57"/>
    <n v="38"/>
  </r>
  <r>
    <x v="1"/>
    <x v="33"/>
    <s v="AN"/>
    <x v="3"/>
    <x v="33"/>
    <n v="226"/>
    <n v="114"/>
    <n v="112"/>
  </r>
  <r>
    <x v="1"/>
    <x v="34"/>
    <s v="AN"/>
    <x v="3"/>
    <x v="34"/>
    <n v="68"/>
    <n v="46"/>
    <n v="22"/>
  </r>
  <r>
    <x v="1"/>
    <x v="35"/>
    <s v="AN"/>
    <x v="3"/>
    <x v="35"/>
    <n v="133"/>
    <n v="80"/>
    <n v="53"/>
  </r>
  <r>
    <x v="1"/>
    <x v="36"/>
    <s v="AN"/>
    <x v="3"/>
    <x v="36"/>
    <n v="45"/>
    <n v="29"/>
    <n v="16"/>
  </r>
  <r>
    <x v="1"/>
    <x v="37"/>
    <s v="AN"/>
    <x v="3"/>
    <x v="37"/>
    <n v="59"/>
    <n v="43"/>
    <n v="16"/>
  </r>
  <r>
    <x v="1"/>
    <x v="38"/>
    <s v="AN"/>
    <x v="3"/>
    <x v="38"/>
    <n v="78"/>
    <n v="54"/>
    <n v="24"/>
  </r>
  <r>
    <x v="1"/>
    <x v="39"/>
    <s v="AN"/>
    <x v="3"/>
    <x v="39"/>
    <n v="47"/>
    <n v="33"/>
    <n v="14"/>
  </r>
  <r>
    <x v="1"/>
    <x v="40"/>
    <s v="AN"/>
    <x v="3"/>
    <x v="40"/>
    <n v="811"/>
    <n v="484"/>
    <n v="327"/>
  </r>
  <r>
    <x v="1"/>
    <x v="41"/>
    <s v="AN"/>
    <x v="3"/>
    <x v="41"/>
    <n v="34"/>
    <n v="14"/>
    <n v="20"/>
  </r>
  <r>
    <x v="1"/>
    <x v="42"/>
    <s v="AN"/>
    <x v="3"/>
    <x v="42"/>
    <n v="1"/>
    <s v="-"/>
    <n v="1"/>
  </r>
  <r>
    <x v="1"/>
    <x v="43"/>
    <s v="AN"/>
    <x v="3"/>
    <x v="43"/>
    <n v="105"/>
    <n v="72"/>
    <n v="33"/>
  </r>
  <r>
    <x v="1"/>
    <x v="44"/>
    <s v="AN"/>
    <x v="3"/>
    <x v="44"/>
    <n v="435"/>
    <n v="269"/>
    <n v="166"/>
  </r>
  <r>
    <x v="1"/>
    <x v="45"/>
    <s v="AN"/>
    <x v="3"/>
    <x v="45"/>
    <n v="89"/>
    <n v="50"/>
    <n v="39"/>
  </r>
  <r>
    <x v="1"/>
    <x v="46"/>
    <s v="AN"/>
    <x v="3"/>
    <x v="46"/>
    <n v="203"/>
    <n v="131"/>
    <n v="72"/>
  </r>
  <r>
    <x v="1"/>
    <x v="47"/>
    <s v="AN"/>
    <x v="3"/>
    <x v="47"/>
    <n v="27"/>
    <n v="17"/>
    <n v="10"/>
  </r>
  <r>
    <x v="1"/>
    <x v="48"/>
    <s v="AN"/>
    <x v="3"/>
    <x v="48"/>
    <n v="26"/>
    <n v="18"/>
    <n v="8"/>
  </r>
  <r>
    <x v="1"/>
    <x v="49"/>
    <s v="AN"/>
    <x v="3"/>
    <x v="49"/>
    <n v="2619"/>
    <n v="1581"/>
    <n v="1038"/>
  </r>
  <r>
    <x v="1"/>
    <x v="50"/>
    <s v="AN"/>
    <x v="3"/>
    <x v="50"/>
    <n v="934"/>
    <n v="580"/>
    <n v="354"/>
  </r>
  <r>
    <x v="1"/>
    <x v="51"/>
    <s v="AN"/>
    <x v="3"/>
    <x v="51"/>
    <n v="28"/>
    <n v="16"/>
    <n v="12"/>
  </r>
  <r>
    <x v="1"/>
    <x v="52"/>
    <s v="AP"/>
    <x v="4"/>
    <x v="52"/>
    <n v="207"/>
    <n v="123"/>
    <n v="84"/>
  </r>
  <r>
    <x v="1"/>
    <x v="53"/>
    <s v="AP"/>
    <x v="4"/>
    <x v="53"/>
    <n v="131"/>
    <n v="96"/>
    <n v="35"/>
  </r>
  <r>
    <x v="1"/>
    <x v="54"/>
    <s v="AP"/>
    <x v="4"/>
    <x v="54"/>
    <n v="51"/>
    <n v="37"/>
    <n v="14"/>
  </r>
  <r>
    <x v="1"/>
    <x v="55"/>
    <s v="AP"/>
    <x v="4"/>
    <x v="55"/>
    <n v="274"/>
    <n v="177"/>
    <n v="97"/>
  </r>
  <r>
    <x v="1"/>
    <x v="56"/>
    <s v="AP"/>
    <x v="4"/>
    <x v="56"/>
    <n v="39"/>
    <n v="30"/>
    <n v="9"/>
  </r>
  <r>
    <x v="1"/>
    <x v="57"/>
    <s v="AP"/>
    <x v="4"/>
    <x v="57"/>
    <n v="50"/>
    <n v="30"/>
    <n v="20"/>
  </r>
  <r>
    <x v="1"/>
    <x v="58"/>
    <s v="AP"/>
    <x v="4"/>
    <x v="58"/>
    <n v="1266"/>
    <n v="747"/>
    <n v="519"/>
  </r>
  <r>
    <x v="1"/>
    <x v="59"/>
    <s v="AR"/>
    <x v="5"/>
    <x v="59"/>
    <n v="197"/>
    <n v="133"/>
    <n v="64"/>
  </r>
  <r>
    <x v="1"/>
    <x v="60"/>
    <s v="AR"/>
    <x v="5"/>
    <x v="60"/>
    <n v="95"/>
    <n v="70"/>
    <n v="25"/>
  </r>
  <r>
    <x v="1"/>
    <x v="61"/>
    <s v="AR"/>
    <x v="5"/>
    <x v="61"/>
    <n v="373"/>
    <n v="245"/>
    <n v="128"/>
  </r>
  <r>
    <x v="1"/>
    <x v="62"/>
    <s v="AR"/>
    <x v="5"/>
    <x v="62"/>
    <n v="5350"/>
    <n v="3165"/>
    <n v="2185"/>
  </r>
  <r>
    <x v="1"/>
    <x v="63"/>
    <s v="AR"/>
    <x v="5"/>
    <x v="63"/>
    <n v="123"/>
    <n v="81"/>
    <n v="42"/>
  </r>
  <r>
    <x v="1"/>
    <x v="64"/>
    <s v="AR"/>
    <x v="5"/>
    <x v="64"/>
    <n v="959"/>
    <n v="563"/>
    <n v="396"/>
  </r>
  <r>
    <x v="1"/>
    <x v="65"/>
    <s v="AR"/>
    <x v="5"/>
    <x v="65"/>
    <n v="150"/>
    <n v="101"/>
    <n v="49"/>
  </r>
  <r>
    <x v="1"/>
    <x v="66"/>
    <s v="AR"/>
    <x v="5"/>
    <x v="66"/>
    <n v="660"/>
    <n v="403"/>
    <n v="257"/>
  </r>
  <r>
    <x v="1"/>
    <x v="67"/>
    <s v="AR"/>
    <x v="5"/>
    <x v="67"/>
    <n v="355"/>
    <n v="199"/>
    <n v="156"/>
  </r>
  <r>
    <x v="1"/>
    <x v="68"/>
    <s v="AR"/>
    <x v="5"/>
    <x v="68"/>
    <n v="66"/>
    <n v="44"/>
    <n v="22"/>
  </r>
  <r>
    <x v="1"/>
    <x v="69"/>
    <s v="AR"/>
    <x v="5"/>
    <x v="69"/>
    <n v="115"/>
    <n v="77"/>
    <n v="38"/>
  </r>
  <r>
    <x v="1"/>
    <x v="70"/>
    <s v="AR"/>
    <x v="5"/>
    <x v="70"/>
    <n v="100"/>
    <n v="73"/>
    <n v="27"/>
  </r>
  <r>
    <x v="1"/>
    <x v="71"/>
    <s v="AR"/>
    <x v="5"/>
    <x v="71"/>
    <n v="713"/>
    <n v="451"/>
    <n v="262"/>
  </r>
  <r>
    <x v="1"/>
    <x v="72"/>
    <s v="AR"/>
    <x v="5"/>
    <x v="72"/>
    <n v="124"/>
    <n v="91"/>
    <n v="33"/>
  </r>
  <r>
    <x v="1"/>
    <x v="73"/>
    <s v="AR"/>
    <x v="5"/>
    <x v="73"/>
    <n v="641"/>
    <n v="400"/>
    <n v="241"/>
  </r>
  <r>
    <x v="1"/>
    <x v="74"/>
    <s v="AR"/>
    <x v="5"/>
    <x v="74"/>
    <n v="49"/>
    <n v="29"/>
    <n v="20"/>
  </r>
  <r>
    <x v="1"/>
    <x v="75"/>
    <s v="AR"/>
    <x v="5"/>
    <x v="75"/>
    <n v="68"/>
    <n v="43"/>
    <n v="25"/>
  </r>
  <r>
    <x v="1"/>
    <x v="76"/>
    <s v="AR"/>
    <x v="5"/>
    <x v="76"/>
    <n v="677"/>
    <n v="450"/>
    <n v="227"/>
  </r>
  <r>
    <x v="1"/>
    <x v="77"/>
    <s v="BA"/>
    <x v="6"/>
    <x v="77"/>
    <n v="134"/>
    <n v="98"/>
    <n v="36"/>
  </r>
  <r>
    <x v="1"/>
    <x v="78"/>
    <s v="BA"/>
    <x v="6"/>
    <x v="78"/>
    <n v="37"/>
    <n v="24"/>
    <n v="13"/>
  </r>
  <r>
    <x v="1"/>
    <x v="79"/>
    <s v="BA"/>
    <x v="6"/>
    <x v="79"/>
    <n v="268"/>
    <n v="188"/>
    <n v="80"/>
  </r>
  <r>
    <x v="1"/>
    <x v="80"/>
    <s v="BA"/>
    <x v="6"/>
    <x v="80"/>
    <n v="47"/>
    <n v="28"/>
    <n v="19"/>
  </r>
  <r>
    <x v="1"/>
    <x v="81"/>
    <s v="BA"/>
    <x v="6"/>
    <x v="81"/>
    <n v="2756"/>
    <n v="1702"/>
    <n v="1054"/>
  </r>
  <r>
    <x v="1"/>
    <x v="82"/>
    <s v="BA"/>
    <x v="6"/>
    <x v="59"/>
    <n v="170"/>
    <n v="105"/>
    <n v="65"/>
  </r>
  <r>
    <x v="1"/>
    <x v="83"/>
    <s v="BA"/>
    <x v="6"/>
    <x v="82"/>
    <n v="74"/>
    <n v="48"/>
    <n v="26"/>
  </r>
  <r>
    <x v="1"/>
    <x v="84"/>
    <s v="BA"/>
    <x v="6"/>
    <x v="83"/>
    <n v="188"/>
    <n v="129"/>
    <n v="59"/>
  </r>
  <r>
    <x v="1"/>
    <x v="85"/>
    <s v="BA"/>
    <x v="6"/>
    <x v="84"/>
    <n v="104"/>
    <n v="74"/>
    <n v="30"/>
  </r>
  <r>
    <x v="1"/>
    <x v="86"/>
    <s v="BA"/>
    <x v="6"/>
    <x v="85"/>
    <n v="204"/>
    <n v="138"/>
    <n v="66"/>
  </r>
  <r>
    <x v="1"/>
    <x v="87"/>
    <s v="BA"/>
    <x v="6"/>
    <x v="86"/>
    <n v="100"/>
    <n v="66"/>
    <n v="34"/>
  </r>
  <r>
    <x v="1"/>
    <x v="88"/>
    <s v="BA"/>
    <x v="6"/>
    <x v="87"/>
    <n v="46"/>
    <n v="25"/>
    <n v="21"/>
  </r>
  <r>
    <x v="1"/>
    <x v="89"/>
    <s v="BO"/>
    <x v="7"/>
    <x v="88"/>
    <n v="4191"/>
    <n v="2577"/>
    <n v="1614"/>
  </r>
  <r>
    <x v="1"/>
    <x v="90"/>
    <s v="BO"/>
    <x v="7"/>
    <x v="89"/>
    <n v="223"/>
    <n v="130"/>
    <n v="93"/>
  </r>
  <r>
    <x v="1"/>
    <x v="91"/>
    <s v="BO"/>
    <x v="7"/>
    <x v="90"/>
    <n v="127"/>
    <n v="100"/>
    <n v="27"/>
  </r>
  <r>
    <x v="1"/>
    <x v="92"/>
    <s v="BO"/>
    <x v="7"/>
    <x v="91"/>
    <n v="81"/>
    <n v="55"/>
    <n v="26"/>
  </r>
  <r>
    <x v="1"/>
    <x v="93"/>
    <s v="BO"/>
    <x v="7"/>
    <x v="92"/>
    <n v="2264"/>
    <n v="1341"/>
    <n v="923"/>
  </r>
  <r>
    <x v="1"/>
    <x v="94"/>
    <s v="BO"/>
    <x v="7"/>
    <x v="93"/>
    <n v="30"/>
    <n v="12"/>
    <n v="18"/>
  </r>
  <r>
    <x v="1"/>
    <x v="95"/>
    <s v="BO"/>
    <x v="7"/>
    <x v="94"/>
    <n v="508"/>
    <n v="338"/>
    <n v="170"/>
  </r>
  <r>
    <x v="1"/>
    <x v="96"/>
    <s v="BO"/>
    <x v="7"/>
    <x v="95"/>
    <n v="45"/>
    <n v="29"/>
    <n v="16"/>
  </r>
  <r>
    <x v="1"/>
    <x v="97"/>
    <s v="BO"/>
    <x v="7"/>
    <x v="96"/>
    <n v="91"/>
    <n v="69"/>
    <n v="22"/>
  </r>
  <r>
    <x v="1"/>
    <x v="98"/>
    <s v="BO"/>
    <x v="7"/>
    <x v="97"/>
    <n v="214"/>
    <n v="171"/>
    <n v="43"/>
  </r>
  <r>
    <x v="1"/>
    <x v="99"/>
    <s v="BO"/>
    <x v="7"/>
    <x v="73"/>
    <n v="8"/>
    <n v="5"/>
    <n v="3"/>
  </r>
  <r>
    <x v="1"/>
    <x v="100"/>
    <s v="CA"/>
    <x v="8"/>
    <x v="98"/>
    <n v="340"/>
    <n v="195"/>
    <n v="145"/>
  </r>
  <r>
    <x v="1"/>
    <x v="101"/>
    <s v="CA"/>
    <x v="8"/>
    <x v="99"/>
    <n v="590"/>
    <n v="398"/>
    <n v="192"/>
  </r>
  <r>
    <x v="1"/>
    <x v="102"/>
    <s v="CA"/>
    <x v="8"/>
    <x v="100"/>
    <n v="594"/>
    <n v="410"/>
    <n v="184"/>
  </r>
  <r>
    <x v="1"/>
    <x v="103"/>
    <s v="CA"/>
    <x v="8"/>
    <x v="101"/>
    <n v="764"/>
    <n v="465"/>
    <n v="299"/>
  </r>
  <r>
    <x v="1"/>
    <x v="104"/>
    <s v="CA"/>
    <x v="8"/>
    <x v="102"/>
    <n v="275"/>
    <n v="185"/>
    <n v="90"/>
  </r>
  <r>
    <x v="1"/>
    <x v="105"/>
    <s v="CA"/>
    <x v="8"/>
    <x v="66"/>
    <n v="617"/>
    <n v="434"/>
    <n v="183"/>
  </r>
  <r>
    <x v="1"/>
    <x v="106"/>
    <s v="CA"/>
    <x v="8"/>
    <x v="103"/>
    <n v="405"/>
    <n v="267"/>
    <n v="138"/>
  </r>
  <r>
    <x v="1"/>
    <x v="107"/>
    <s v="CA"/>
    <x v="8"/>
    <x v="104"/>
    <n v="102"/>
    <n v="60"/>
    <n v="42"/>
  </r>
  <r>
    <x v="1"/>
    <x v="108"/>
    <s v="CA"/>
    <x v="8"/>
    <x v="105"/>
    <n v="100"/>
    <n v="69"/>
    <n v="31"/>
  </r>
  <r>
    <x v="1"/>
    <x v="109"/>
    <s v="CA"/>
    <x v="8"/>
    <x v="106"/>
    <n v="1858"/>
    <n v="1008"/>
    <n v="850"/>
  </r>
  <r>
    <x v="1"/>
    <x v="110"/>
    <s v="CA"/>
    <x v="8"/>
    <x v="107"/>
    <n v="1429"/>
    <n v="836"/>
    <n v="593"/>
  </r>
  <r>
    <x v="1"/>
    <x v="111"/>
    <s v="CA"/>
    <x v="8"/>
    <x v="108"/>
    <n v="426"/>
    <n v="241"/>
    <n v="185"/>
  </r>
  <r>
    <x v="1"/>
    <x v="112"/>
    <s v="CA"/>
    <x v="8"/>
    <x v="109"/>
    <n v="193"/>
    <n v="119"/>
    <n v="74"/>
  </r>
  <r>
    <x v="1"/>
    <x v="113"/>
    <s v="CA"/>
    <x v="8"/>
    <x v="110"/>
    <n v="6405"/>
    <n v="3863"/>
    <n v="2542"/>
  </r>
  <r>
    <x v="1"/>
    <x v="114"/>
    <s v="CO"/>
    <x v="9"/>
    <x v="111"/>
    <n v="42"/>
    <n v="33"/>
    <n v="9"/>
  </r>
  <r>
    <x v="1"/>
    <x v="115"/>
    <s v="CO"/>
    <x v="9"/>
    <x v="112"/>
    <n v="470"/>
    <n v="301"/>
    <n v="169"/>
  </r>
  <r>
    <x v="1"/>
    <x v="116"/>
    <s v="CO"/>
    <x v="9"/>
    <x v="62"/>
    <n v="45"/>
    <n v="24"/>
    <n v="21"/>
  </r>
  <r>
    <x v="1"/>
    <x v="117"/>
    <s v="CO"/>
    <x v="9"/>
    <x v="113"/>
    <n v="34"/>
    <n v="21"/>
    <n v="13"/>
  </r>
  <r>
    <x v="1"/>
    <x v="118"/>
    <s v="CO"/>
    <x v="9"/>
    <x v="114"/>
    <n v="36"/>
    <n v="23"/>
    <n v="13"/>
  </r>
  <r>
    <x v="1"/>
    <x v="119"/>
    <s v="CO"/>
    <x v="9"/>
    <x v="115"/>
    <n v="40"/>
    <n v="25"/>
    <n v="15"/>
  </r>
  <r>
    <x v="1"/>
    <x v="120"/>
    <s v="CO"/>
    <x v="9"/>
    <x v="57"/>
    <n v="56"/>
    <n v="36"/>
    <n v="20"/>
  </r>
  <r>
    <x v="1"/>
    <x v="121"/>
    <s v="CO"/>
    <x v="9"/>
    <x v="116"/>
    <n v="854"/>
    <n v="525"/>
    <n v="329"/>
  </r>
  <r>
    <x v="1"/>
    <x v="122"/>
    <s v="CO"/>
    <x v="9"/>
    <x v="117"/>
    <n v="96"/>
    <n v="73"/>
    <n v="23"/>
  </r>
  <r>
    <x v="1"/>
    <x v="123"/>
    <s v="DE"/>
    <x v="10"/>
    <x v="118"/>
    <n v="37"/>
    <n v="24"/>
    <n v="13"/>
  </r>
  <r>
    <x v="1"/>
    <x v="124"/>
    <s v="DE"/>
    <x v="10"/>
    <x v="119"/>
    <n v="57"/>
    <n v="40"/>
    <n v="17"/>
  </r>
  <r>
    <x v="1"/>
    <x v="125"/>
    <s v="DE"/>
    <x v="10"/>
    <x v="120"/>
    <n v="28"/>
    <n v="14"/>
    <n v="14"/>
  </r>
  <r>
    <x v="1"/>
    <x v="126"/>
    <s v="DE"/>
    <x v="10"/>
    <x v="121"/>
    <n v="572"/>
    <n v="361"/>
    <n v="211"/>
  </r>
  <r>
    <x v="1"/>
    <x v="127"/>
    <s v="FA"/>
    <x v="11"/>
    <x v="122"/>
    <n v="55"/>
    <n v="28"/>
    <n v="27"/>
  </r>
  <r>
    <x v="1"/>
    <x v="128"/>
    <s v="FA"/>
    <x v="11"/>
    <x v="59"/>
    <n v="28"/>
    <n v="16"/>
    <n v="12"/>
  </r>
  <r>
    <x v="1"/>
    <x v="129"/>
    <s v="FA"/>
    <x v="11"/>
    <x v="123"/>
    <n v="70"/>
    <n v="45"/>
    <n v="25"/>
  </r>
  <r>
    <x v="1"/>
    <x v="130"/>
    <s v="FA"/>
    <x v="11"/>
    <x v="124"/>
    <n v="29"/>
    <n v="21"/>
    <n v="8"/>
  </r>
  <r>
    <x v="1"/>
    <x v="131"/>
    <s v="FA"/>
    <x v="11"/>
    <x v="125"/>
    <n v="1115"/>
    <n v="658"/>
    <n v="457"/>
  </r>
  <r>
    <x v="1"/>
    <x v="132"/>
    <s v="FA"/>
    <x v="11"/>
    <x v="126"/>
    <n v="84"/>
    <n v="51"/>
    <n v="33"/>
  </r>
  <r>
    <x v="1"/>
    <x v="133"/>
    <s v="FA"/>
    <x v="11"/>
    <x v="127"/>
    <n v="78"/>
    <n v="40"/>
    <n v="38"/>
  </r>
  <r>
    <x v="1"/>
    <x v="134"/>
    <s v="FA"/>
    <x v="11"/>
    <x v="128"/>
    <n v="25"/>
    <n v="17"/>
    <n v="8"/>
  </r>
  <r>
    <x v="1"/>
    <x v="135"/>
    <s v="FA"/>
    <x v="11"/>
    <x v="112"/>
    <n v="136"/>
    <n v="84"/>
    <n v="52"/>
  </r>
  <r>
    <x v="1"/>
    <x v="136"/>
    <s v="FA"/>
    <x v="11"/>
    <x v="129"/>
    <n v="98"/>
    <n v="53"/>
    <n v="45"/>
  </r>
  <r>
    <x v="1"/>
    <x v="137"/>
    <s v="FA"/>
    <x v="11"/>
    <x v="130"/>
    <n v="19"/>
    <n v="9"/>
    <n v="10"/>
  </r>
  <r>
    <x v="1"/>
    <x v="138"/>
    <s v="FA"/>
    <x v="11"/>
    <x v="131"/>
    <n v="69"/>
    <n v="47"/>
    <n v="22"/>
  </r>
  <r>
    <x v="1"/>
    <x v="139"/>
    <s v="FA"/>
    <x v="11"/>
    <x v="132"/>
    <n v="59"/>
    <n v="42"/>
    <n v="17"/>
  </r>
  <r>
    <x v="1"/>
    <x v="140"/>
    <s v="FA"/>
    <x v="11"/>
    <x v="104"/>
    <n v="1710"/>
    <n v="968"/>
    <n v="742"/>
  </r>
  <r>
    <x v="1"/>
    <x v="141"/>
    <s v="FA"/>
    <x v="11"/>
    <x v="133"/>
    <n v="90"/>
    <n v="58"/>
    <n v="32"/>
  </r>
  <r>
    <x v="1"/>
    <x v="142"/>
    <s v="FA"/>
    <x v="11"/>
    <x v="134"/>
    <n v="9"/>
    <n v="7"/>
    <n v="2"/>
  </r>
  <r>
    <x v="1"/>
    <x v="143"/>
    <s v="FA"/>
    <x v="11"/>
    <x v="135"/>
    <n v="45"/>
    <n v="31"/>
    <n v="14"/>
  </r>
  <r>
    <x v="1"/>
    <x v="144"/>
    <s v="FA"/>
    <x v="11"/>
    <x v="45"/>
    <n v="42"/>
    <n v="20"/>
    <n v="22"/>
  </r>
  <r>
    <x v="1"/>
    <x v="145"/>
    <s v="FA"/>
    <x v="11"/>
    <x v="136"/>
    <n v="52"/>
    <n v="31"/>
    <n v="21"/>
  </r>
  <r>
    <x v="1"/>
    <x v="146"/>
    <s v="FA"/>
    <x v="11"/>
    <x v="137"/>
    <n v="150"/>
    <n v="97"/>
    <n v="53"/>
  </r>
  <r>
    <x v="1"/>
    <x v="147"/>
    <s v="FA"/>
    <x v="11"/>
    <x v="73"/>
    <n v="23"/>
    <n v="18"/>
    <n v="5"/>
  </r>
  <r>
    <x v="1"/>
    <x v="148"/>
    <s v="FA"/>
    <x v="11"/>
    <x v="138"/>
    <n v="22"/>
    <n v="12"/>
    <n v="10"/>
  </r>
  <r>
    <x v="1"/>
    <x v="149"/>
    <s v="FA"/>
    <x v="11"/>
    <x v="139"/>
    <n v="46"/>
    <n v="27"/>
    <n v="19"/>
  </r>
  <r>
    <x v="1"/>
    <x v="150"/>
    <s v="FA"/>
    <x v="11"/>
    <x v="140"/>
    <n v="11"/>
    <n v="5"/>
    <n v="6"/>
  </r>
  <r>
    <x v="1"/>
    <x v="151"/>
    <s v="FA"/>
    <x v="11"/>
    <x v="76"/>
    <n v="22"/>
    <n v="13"/>
    <n v="9"/>
  </r>
  <r>
    <x v="1"/>
    <x v="152"/>
    <s v="GU"/>
    <x v="12"/>
    <x v="141"/>
    <n v="78"/>
    <n v="50"/>
    <n v="28"/>
  </r>
  <r>
    <x v="1"/>
    <x v="153"/>
    <s v="GU"/>
    <x v="12"/>
    <x v="142"/>
    <n v="48"/>
    <n v="33"/>
    <n v="15"/>
  </r>
  <r>
    <x v="1"/>
    <x v="154"/>
    <s v="GU"/>
    <x v="12"/>
    <x v="143"/>
    <n v="57"/>
    <n v="34"/>
    <n v="23"/>
  </r>
  <r>
    <x v="1"/>
    <x v="155"/>
    <s v="GU"/>
    <x v="12"/>
    <x v="144"/>
    <n v="50"/>
    <n v="28"/>
    <n v="22"/>
  </r>
  <r>
    <x v="1"/>
    <x v="156"/>
    <s v="GU"/>
    <x v="12"/>
    <x v="145"/>
    <n v="1009"/>
    <n v="604"/>
    <n v="405"/>
  </r>
  <r>
    <x v="1"/>
    <x v="157"/>
    <s v="GU"/>
    <x v="12"/>
    <x v="146"/>
    <n v="120"/>
    <n v="70"/>
    <n v="50"/>
  </r>
  <r>
    <x v="1"/>
    <x v="158"/>
    <s v="GU"/>
    <x v="12"/>
    <x v="147"/>
    <n v="123"/>
    <n v="86"/>
    <n v="37"/>
  </r>
  <r>
    <x v="1"/>
    <x v="159"/>
    <s v="GU"/>
    <x v="12"/>
    <x v="104"/>
    <n v="644"/>
    <n v="419"/>
    <n v="225"/>
  </r>
  <r>
    <x v="1"/>
    <x v="160"/>
    <s v="GU"/>
    <x v="12"/>
    <x v="148"/>
    <n v="444"/>
    <n v="283"/>
    <n v="161"/>
  </r>
  <r>
    <x v="1"/>
    <x v="161"/>
    <s v="GU"/>
    <x v="12"/>
    <x v="149"/>
    <n v="64"/>
    <n v="45"/>
    <n v="19"/>
  </r>
  <r>
    <x v="1"/>
    <x v="162"/>
    <s v="GU"/>
    <x v="12"/>
    <x v="150"/>
    <n v="120"/>
    <n v="80"/>
    <n v="40"/>
  </r>
  <r>
    <x v="1"/>
    <x v="163"/>
    <s v="GU"/>
    <x v="12"/>
    <x v="96"/>
    <n v="1320"/>
    <n v="819"/>
    <n v="501"/>
  </r>
  <r>
    <x v="1"/>
    <x v="164"/>
    <s v="GU"/>
    <x v="12"/>
    <x v="151"/>
    <n v="16"/>
    <n v="12"/>
    <n v="4"/>
  </r>
  <r>
    <x v="1"/>
    <x v="165"/>
    <s v="GU"/>
    <x v="12"/>
    <x v="152"/>
    <n v="49"/>
    <n v="30"/>
    <n v="19"/>
  </r>
  <r>
    <x v="1"/>
    <x v="166"/>
    <s v="GU"/>
    <x v="12"/>
    <x v="153"/>
    <n v="323"/>
    <n v="190"/>
    <n v="133"/>
  </r>
  <r>
    <x v="1"/>
    <x v="167"/>
    <s v="LA"/>
    <x v="13"/>
    <x v="154"/>
    <n v="124"/>
    <n v="86"/>
    <n v="38"/>
  </r>
  <r>
    <x v="1"/>
    <x v="168"/>
    <s v="LA"/>
    <x v="13"/>
    <x v="155"/>
    <n v="162"/>
    <n v="93"/>
    <n v="69"/>
  </r>
  <r>
    <x v="1"/>
    <x v="169"/>
    <s v="LA"/>
    <x v="13"/>
    <x v="156"/>
    <n v="7917"/>
    <n v="4577"/>
    <n v="3340"/>
  </r>
  <r>
    <x v="1"/>
    <x v="170"/>
    <s v="LA"/>
    <x v="13"/>
    <x v="157"/>
    <n v="316"/>
    <n v="206"/>
    <n v="110"/>
  </r>
  <r>
    <x v="1"/>
    <x v="171"/>
    <s v="LA"/>
    <x v="13"/>
    <x v="158"/>
    <n v="470"/>
    <n v="284"/>
    <n v="186"/>
  </r>
  <r>
    <x v="1"/>
    <x v="172"/>
    <s v="LA"/>
    <x v="13"/>
    <x v="159"/>
    <n v="494"/>
    <n v="308"/>
    <n v="186"/>
  </r>
  <r>
    <x v="1"/>
    <x v="173"/>
    <s v="LA"/>
    <x v="13"/>
    <x v="160"/>
    <n v="111"/>
    <n v="79"/>
    <n v="32"/>
  </r>
  <r>
    <x v="1"/>
    <x v="174"/>
    <s v="LA"/>
    <x v="13"/>
    <x v="161"/>
    <n v="876"/>
    <n v="499"/>
    <n v="377"/>
  </r>
  <r>
    <x v="1"/>
    <x v="175"/>
    <s v="LA"/>
    <x v="13"/>
    <x v="75"/>
    <n v="195"/>
    <n v="111"/>
    <n v="84"/>
  </r>
  <r>
    <x v="1"/>
    <x v="176"/>
    <s v="ME"/>
    <x v="14"/>
    <x v="162"/>
    <n v="690"/>
    <n v="432"/>
    <n v="258"/>
  </r>
  <r>
    <x v="1"/>
    <x v="177"/>
    <s v="ME"/>
    <x v="14"/>
    <x v="163"/>
    <n v="46"/>
    <n v="29"/>
    <n v="17"/>
  </r>
  <r>
    <x v="1"/>
    <x v="178"/>
    <s v="ME"/>
    <x v="14"/>
    <x v="164"/>
    <n v="87"/>
    <n v="48"/>
    <n v="39"/>
  </r>
  <r>
    <x v="1"/>
    <x v="179"/>
    <s v="ME"/>
    <x v="14"/>
    <x v="165"/>
    <n v="10"/>
    <n v="6"/>
    <n v="4"/>
  </r>
  <r>
    <x v="1"/>
    <x v="180"/>
    <s v="ME"/>
    <x v="14"/>
    <x v="166"/>
    <n v="51"/>
    <n v="32"/>
    <n v="19"/>
  </r>
  <r>
    <x v="1"/>
    <x v="181"/>
    <s v="ME"/>
    <x v="14"/>
    <x v="167"/>
    <n v="288"/>
    <n v="185"/>
    <n v="103"/>
  </r>
  <r>
    <x v="1"/>
    <x v="182"/>
    <s v="ME"/>
    <x v="14"/>
    <x v="168"/>
    <n v="41"/>
    <n v="27"/>
    <n v="14"/>
  </r>
  <r>
    <x v="1"/>
    <x v="183"/>
    <s v="ME"/>
    <x v="14"/>
    <x v="169"/>
    <n v="103"/>
    <n v="65"/>
    <n v="38"/>
  </r>
  <r>
    <x v="1"/>
    <x v="184"/>
    <s v="ME"/>
    <x v="14"/>
    <x v="170"/>
    <n v="41"/>
    <n v="24"/>
    <n v="17"/>
  </r>
  <r>
    <x v="1"/>
    <x v="185"/>
    <s v="ME"/>
    <x v="14"/>
    <x v="171"/>
    <n v="64"/>
    <n v="38"/>
    <n v="26"/>
  </r>
  <r>
    <x v="1"/>
    <x v="186"/>
    <s v="ME"/>
    <x v="14"/>
    <x v="172"/>
    <n v="23"/>
    <n v="9"/>
    <n v="14"/>
  </r>
  <r>
    <x v="1"/>
    <x v="187"/>
    <s v="ME"/>
    <x v="14"/>
    <x v="66"/>
    <n v="2691"/>
    <n v="1504"/>
    <n v="1187"/>
  </r>
  <r>
    <x v="1"/>
    <x v="188"/>
    <s v="ME"/>
    <x v="14"/>
    <x v="104"/>
    <n v="81"/>
    <n v="51"/>
    <n v="30"/>
  </r>
  <r>
    <x v="1"/>
    <x v="189"/>
    <s v="ME"/>
    <x v="14"/>
    <x v="173"/>
    <n v="115"/>
    <n v="76"/>
    <n v="39"/>
  </r>
  <r>
    <x v="1"/>
    <x v="190"/>
    <s v="ME"/>
    <x v="14"/>
    <x v="174"/>
    <n v="5"/>
    <n v="4"/>
    <n v="1"/>
  </r>
  <r>
    <x v="1"/>
    <x v="191"/>
    <s v="ME"/>
    <x v="14"/>
    <x v="175"/>
    <n v="48"/>
    <n v="32"/>
    <n v="16"/>
  </r>
  <r>
    <x v="1"/>
    <x v="192"/>
    <s v="ME"/>
    <x v="14"/>
    <x v="176"/>
    <n v="78"/>
    <n v="45"/>
    <n v="33"/>
  </r>
  <r>
    <x v="1"/>
    <x v="193"/>
    <s v="ME"/>
    <x v="14"/>
    <x v="177"/>
    <n v="90"/>
    <n v="51"/>
    <n v="39"/>
  </r>
  <r>
    <x v="1"/>
    <x v="194"/>
    <s v="ME"/>
    <x v="14"/>
    <x v="178"/>
    <n v="60"/>
    <n v="29"/>
    <n v="31"/>
  </r>
  <r>
    <x v="1"/>
    <x v="195"/>
    <s v="ME"/>
    <x v="14"/>
    <x v="73"/>
    <n v="207"/>
    <n v="132"/>
    <n v="75"/>
  </r>
  <r>
    <x v="1"/>
    <x v="196"/>
    <s v="ME"/>
    <x v="14"/>
    <x v="74"/>
    <n v="222"/>
    <n v="123"/>
    <n v="99"/>
  </r>
  <r>
    <x v="1"/>
    <x v="197"/>
    <s v="ME"/>
    <x v="14"/>
    <x v="179"/>
    <n v="111"/>
    <n v="76"/>
    <n v="35"/>
  </r>
  <r>
    <x v="1"/>
    <x v="198"/>
    <s v="ME"/>
    <x v="14"/>
    <x v="180"/>
    <n v="47"/>
    <n v="26"/>
    <n v="21"/>
  </r>
  <r>
    <x v="1"/>
    <x v="199"/>
    <s v="MI"/>
    <x v="15"/>
    <x v="181"/>
    <n v="493"/>
    <n v="358"/>
    <n v="135"/>
  </r>
  <r>
    <x v="1"/>
    <x v="200"/>
    <s v="MI"/>
    <x v="15"/>
    <x v="163"/>
    <n v="117"/>
    <n v="80"/>
    <n v="37"/>
  </r>
  <r>
    <x v="1"/>
    <x v="201"/>
    <s v="MI"/>
    <x v="15"/>
    <x v="182"/>
    <n v="2591"/>
    <n v="1262"/>
    <n v="1329"/>
  </r>
  <r>
    <x v="1"/>
    <x v="202"/>
    <s v="MI"/>
    <x v="15"/>
    <x v="183"/>
    <n v="379"/>
    <n v="235"/>
    <n v="144"/>
  </r>
  <r>
    <x v="1"/>
    <x v="203"/>
    <s v="MI"/>
    <x v="15"/>
    <x v="184"/>
    <n v="125"/>
    <n v="99"/>
    <n v="26"/>
  </r>
  <r>
    <x v="1"/>
    <x v="204"/>
    <s v="MI"/>
    <x v="15"/>
    <x v="185"/>
    <n v="220"/>
    <n v="123"/>
    <n v="97"/>
  </r>
  <r>
    <x v="1"/>
    <x v="205"/>
    <s v="MI"/>
    <x v="15"/>
    <x v="186"/>
    <n v="928"/>
    <n v="473"/>
    <n v="455"/>
  </r>
  <r>
    <x v="1"/>
    <x v="206"/>
    <s v="MI"/>
    <x v="15"/>
    <x v="187"/>
    <n v="628"/>
    <n v="428"/>
    <n v="200"/>
  </r>
  <r>
    <x v="1"/>
    <x v="207"/>
    <s v="MI"/>
    <x v="15"/>
    <x v="188"/>
    <n v="198"/>
    <n v="104"/>
    <n v="94"/>
  </r>
  <r>
    <x v="1"/>
    <x v="208"/>
    <s v="MI"/>
    <x v="15"/>
    <x v="189"/>
    <n v="1657"/>
    <n v="1044"/>
    <n v="613"/>
  </r>
  <r>
    <x v="1"/>
    <x v="209"/>
    <s v="MI"/>
    <x v="15"/>
    <x v="38"/>
    <n v="698"/>
    <n v="458"/>
    <n v="240"/>
  </r>
  <r>
    <x v="1"/>
    <x v="210"/>
    <s v="MI"/>
    <x v="15"/>
    <x v="190"/>
    <n v="865"/>
    <n v="615"/>
    <n v="250"/>
  </r>
  <r>
    <x v="1"/>
    <x v="211"/>
    <s v="MI"/>
    <x v="15"/>
    <x v="191"/>
    <n v="224"/>
    <n v="126"/>
    <n v="98"/>
  </r>
  <r>
    <x v="1"/>
    <x v="212"/>
    <s v="MI"/>
    <x v="15"/>
    <x v="55"/>
    <n v="205"/>
    <n v="132"/>
    <n v="73"/>
  </r>
  <r>
    <x v="1"/>
    <x v="213"/>
    <s v="MI"/>
    <x v="15"/>
    <x v="192"/>
    <n v="438"/>
    <n v="298"/>
    <n v="140"/>
  </r>
  <r>
    <x v="1"/>
    <x v="214"/>
    <s v="MI"/>
    <x v="15"/>
    <x v="193"/>
    <n v="65"/>
    <n v="48"/>
    <n v="17"/>
  </r>
  <r>
    <x v="1"/>
    <x v="215"/>
    <s v="MI"/>
    <x v="15"/>
    <x v="194"/>
    <n v="792"/>
    <n v="542"/>
    <n v="250"/>
  </r>
  <r>
    <x v="1"/>
    <x v="216"/>
    <s v="MI"/>
    <x v="15"/>
    <x v="49"/>
    <n v="159"/>
    <n v="116"/>
    <n v="43"/>
  </r>
  <r>
    <x v="1"/>
    <x v="217"/>
    <s v="MI"/>
    <x v="15"/>
    <x v="73"/>
    <n v="4660"/>
    <n v="2884"/>
    <n v="1776"/>
  </r>
  <r>
    <x v="1"/>
    <x v="218"/>
    <s v="MI"/>
    <x v="15"/>
    <x v="75"/>
    <n v="615"/>
    <n v="396"/>
    <n v="219"/>
  </r>
  <r>
    <x v="1"/>
    <x v="219"/>
    <s v="MI"/>
    <x v="15"/>
    <x v="76"/>
    <n v="863"/>
    <n v="529"/>
    <n v="334"/>
  </r>
  <r>
    <x v="1"/>
    <x v="220"/>
    <s v="MO"/>
    <x v="16"/>
    <x v="122"/>
    <n v="62"/>
    <n v="35"/>
    <n v="27"/>
  </r>
  <r>
    <x v="1"/>
    <x v="221"/>
    <s v="MO"/>
    <x v="16"/>
    <x v="195"/>
    <n v="36"/>
    <n v="27"/>
    <n v="9"/>
  </r>
  <r>
    <x v="1"/>
    <x v="222"/>
    <s v="MO"/>
    <x v="16"/>
    <x v="59"/>
    <n v="168"/>
    <n v="97"/>
    <n v="71"/>
  </r>
  <r>
    <x v="1"/>
    <x v="223"/>
    <s v="MO"/>
    <x v="16"/>
    <x v="196"/>
    <n v="104"/>
    <n v="60"/>
    <n v="44"/>
  </r>
  <r>
    <x v="1"/>
    <x v="224"/>
    <s v="MO"/>
    <x v="16"/>
    <x v="89"/>
    <n v="98"/>
    <n v="74"/>
    <n v="24"/>
  </r>
  <r>
    <x v="1"/>
    <x v="225"/>
    <s v="MO"/>
    <x v="16"/>
    <x v="83"/>
    <n v="231"/>
    <n v="158"/>
    <n v="73"/>
  </r>
  <r>
    <x v="1"/>
    <x v="226"/>
    <s v="MO"/>
    <x v="16"/>
    <x v="66"/>
    <n v="57"/>
    <n v="44"/>
    <n v="13"/>
  </r>
  <r>
    <x v="1"/>
    <x v="227"/>
    <s v="MO"/>
    <x v="16"/>
    <x v="197"/>
    <n v="3796"/>
    <n v="2342"/>
    <n v="1454"/>
  </r>
  <r>
    <x v="1"/>
    <x v="228"/>
    <s v="MO"/>
    <x v="16"/>
    <x v="94"/>
    <n v="149"/>
    <n v="99"/>
    <n v="50"/>
  </r>
  <r>
    <x v="1"/>
    <x v="229"/>
    <s v="MO"/>
    <x v="16"/>
    <x v="198"/>
    <n v="82"/>
    <n v="48"/>
    <n v="34"/>
  </r>
  <r>
    <x v="1"/>
    <x v="230"/>
    <s v="MO"/>
    <x v="16"/>
    <x v="199"/>
    <n v="22"/>
    <n v="15"/>
    <n v="7"/>
  </r>
  <r>
    <x v="1"/>
    <x v="231"/>
    <s v="MO"/>
    <x v="16"/>
    <x v="200"/>
    <n v="65"/>
    <n v="46"/>
    <n v="19"/>
  </r>
  <r>
    <x v="1"/>
    <x v="232"/>
    <s v="MO"/>
    <x v="16"/>
    <x v="201"/>
    <n v="23"/>
    <n v="14"/>
    <n v="9"/>
  </r>
  <r>
    <x v="1"/>
    <x v="233"/>
    <s v="NU"/>
    <x v="17"/>
    <x v="202"/>
    <n v="100"/>
    <n v="59"/>
    <n v="41"/>
  </r>
  <r>
    <x v="1"/>
    <x v="234"/>
    <s v="NU"/>
    <x v="17"/>
    <x v="80"/>
    <n v="129"/>
    <n v="82"/>
    <n v="47"/>
  </r>
  <r>
    <x v="1"/>
    <x v="235"/>
    <s v="NU"/>
    <x v="17"/>
    <x v="203"/>
    <n v="135"/>
    <n v="85"/>
    <n v="50"/>
  </r>
  <r>
    <x v="1"/>
    <x v="236"/>
    <s v="NU"/>
    <x v="17"/>
    <x v="204"/>
    <n v="275"/>
    <n v="175"/>
    <n v="100"/>
  </r>
  <r>
    <x v="1"/>
    <x v="237"/>
    <s v="NU"/>
    <x v="17"/>
    <x v="205"/>
    <n v="108"/>
    <n v="62"/>
    <n v="46"/>
  </r>
  <r>
    <x v="1"/>
    <x v="238"/>
    <s v="NU"/>
    <x v="17"/>
    <x v="206"/>
    <n v="201"/>
    <n v="116"/>
    <n v="85"/>
  </r>
  <r>
    <x v="1"/>
    <x v="239"/>
    <s v="NU"/>
    <x v="17"/>
    <x v="207"/>
    <n v="223"/>
    <n v="133"/>
    <n v="90"/>
  </r>
  <r>
    <x v="1"/>
    <x v="240"/>
    <s v="NU"/>
    <x v="17"/>
    <x v="208"/>
    <n v="1205"/>
    <n v="748"/>
    <n v="457"/>
  </r>
  <r>
    <x v="1"/>
    <x v="241"/>
    <s v="NU"/>
    <x v="17"/>
    <x v="209"/>
    <n v="87"/>
    <n v="56"/>
    <n v="31"/>
  </r>
  <r>
    <x v="1"/>
    <x v="242"/>
    <s v="NU"/>
    <x v="17"/>
    <x v="210"/>
    <n v="117"/>
    <n v="76"/>
    <n v="41"/>
  </r>
  <r>
    <x v="1"/>
    <x v="243"/>
    <s v="NU"/>
    <x v="17"/>
    <x v="211"/>
    <n v="39"/>
    <n v="25"/>
    <n v="14"/>
  </r>
  <r>
    <x v="1"/>
    <x v="244"/>
    <s v="PO"/>
    <x v="18"/>
    <x v="212"/>
    <n v="86"/>
    <n v="54"/>
    <n v="32"/>
  </r>
  <r>
    <x v="1"/>
    <x v="245"/>
    <s v="PO"/>
    <x v="18"/>
    <x v="213"/>
    <n v="1513"/>
    <n v="926"/>
    <n v="587"/>
  </r>
  <r>
    <x v="1"/>
    <x v="246"/>
    <s v="PO"/>
    <x v="18"/>
    <x v="214"/>
    <n v="171"/>
    <n v="110"/>
    <n v="61"/>
  </r>
  <r>
    <x v="1"/>
    <x v="247"/>
    <s v="PO"/>
    <x v="18"/>
    <x v="215"/>
    <n v="1139"/>
    <n v="690"/>
    <n v="449"/>
  </r>
  <r>
    <x v="1"/>
    <x v="248"/>
    <s v="PO"/>
    <x v="18"/>
    <x v="216"/>
    <n v="103"/>
    <n v="78"/>
    <n v="25"/>
  </r>
  <r>
    <x v="1"/>
    <x v="249"/>
    <s v="PO"/>
    <x v="18"/>
    <x v="217"/>
    <n v="76"/>
    <n v="55"/>
    <n v="21"/>
  </r>
  <r>
    <x v="1"/>
    <x v="250"/>
    <s v="PO"/>
    <x v="18"/>
    <x v="218"/>
    <n v="160"/>
    <n v="107"/>
    <n v="53"/>
  </r>
  <r>
    <x v="1"/>
    <x v="251"/>
    <s v="PO"/>
    <x v="18"/>
    <x v="55"/>
    <n v="604"/>
    <n v="379"/>
    <n v="225"/>
  </r>
  <r>
    <x v="1"/>
    <x v="252"/>
    <s v="PO"/>
    <x v="18"/>
    <x v="219"/>
    <n v="18"/>
    <n v="12"/>
    <n v="6"/>
  </r>
  <r>
    <x v="1"/>
    <x v="253"/>
    <s v="PO"/>
    <x v="18"/>
    <x v="220"/>
    <n v="86"/>
    <n v="62"/>
    <n v="24"/>
  </r>
  <r>
    <x v="1"/>
    <x v="254"/>
    <s v="PO"/>
    <x v="18"/>
    <x v="221"/>
    <n v="43"/>
    <n v="31"/>
    <n v="12"/>
  </r>
  <r>
    <x v="1"/>
    <x v="255"/>
    <s v="PO"/>
    <x v="18"/>
    <x v="222"/>
    <n v="59"/>
    <n v="39"/>
    <n v="20"/>
  </r>
  <r>
    <x v="1"/>
    <x v="256"/>
    <s v="PO"/>
    <x v="18"/>
    <x v="73"/>
    <n v="131"/>
    <n v="71"/>
    <n v="60"/>
  </r>
  <r>
    <x v="1"/>
    <x v="257"/>
    <s v="PO"/>
    <x v="18"/>
    <x v="223"/>
    <n v="258"/>
    <n v="159"/>
    <n v="99"/>
  </r>
  <r>
    <x v="1"/>
    <x v="258"/>
    <s v="SU"/>
    <x v="19"/>
    <x v="154"/>
    <n v="105"/>
    <n v="56"/>
    <n v="49"/>
  </r>
  <r>
    <x v="1"/>
    <x v="259"/>
    <s v="SU"/>
    <x v="19"/>
    <x v="224"/>
    <n v="75"/>
    <n v="44"/>
    <n v="31"/>
  </r>
  <r>
    <x v="1"/>
    <x v="260"/>
    <s v="SU"/>
    <x v="19"/>
    <x v="80"/>
    <n v="173"/>
    <n v="107"/>
    <n v="66"/>
  </r>
  <r>
    <x v="1"/>
    <x v="261"/>
    <s v="SU"/>
    <x v="19"/>
    <x v="225"/>
    <n v="68"/>
    <n v="38"/>
    <n v="30"/>
  </r>
  <r>
    <x v="1"/>
    <x v="262"/>
    <s v="SU"/>
    <x v="19"/>
    <x v="226"/>
    <n v="1250"/>
    <n v="764"/>
    <n v="486"/>
  </r>
  <r>
    <x v="1"/>
    <x v="263"/>
    <s v="SU"/>
    <x v="19"/>
    <x v="59"/>
    <n v="67"/>
    <n v="44"/>
    <n v="23"/>
  </r>
  <r>
    <x v="1"/>
    <x v="264"/>
    <s v="SU"/>
    <x v="19"/>
    <x v="227"/>
    <n v="86"/>
    <n v="48"/>
    <n v="38"/>
  </r>
  <r>
    <x v="1"/>
    <x v="265"/>
    <s v="SU"/>
    <x v="19"/>
    <x v="228"/>
    <n v="99"/>
    <n v="65"/>
    <n v="34"/>
  </r>
  <r>
    <x v="1"/>
    <x v="266"/>
    <s v="SU"/>
    <x v="19"/>
    <x v="66"/>
    <n v="44"/>
    <n v="21"/>
    <n v="23"/>
  </r>
  <r>
    <x v="1"/>
    <x v="267"/>
    <s v="SU"/>
    <x v="19"/>
    <x v="208"/>
    <n v="117"/>
    <n v="82"/>
    <n v="35"/>
  </r>
  <r>
    <x v="1"/>
    <x v="268"/>
    <s v="SU"/>
    <x v="19"/>
    <x v="229"/>
    <n v="48"/>
    <n v="26"/>
    <n v="22"/>
  </r>
  <r>
    <x v="1"/>
    <x v="269"/>
    <s v="SU"/>
    <x v="19"/>
    <x v="230"/>
    <n v="193"/>
    <n v="115"/>
    <n v="78"/>
  </r>
  <r>
    <x v="1"/>
    <x v="270"/>
    <s v="SU"/>
    <x v="19"/>
    <x v="231"/>
    <n v="224"/>
    <n v="154"/>
    <n v="70"/>
  </r>
  <r>
    <x v="1"/>
    <x v="271"/>
    <s v="SU"/>
    <x v="19"/>
    <x v="73"/>
    <n v="2474"/>
    <n v="1485"/>
    <n v="989"/>
  </r>
  <r>
    <x v="1"/>
    <x v="272"/>
    <s v="SU"/>
    <x v="19"/>
    <x v="232"/>
    <n v="207"/>
    <n v="130"/>
    <n v="77"/>
  </r>
  <r>
    <x v="1"/>
    <x v="273"/>
    <s v="TA"/>
    <x v="20"/>
    <x v="163"/>
    <n v="104"/>
    <n v="66"/>
    <n v="38"/>
  </r>
  <r>
    <x v="1"/>
    <x v="274"/>
    <s v="TA"/>
    <x v="20"/>
    <x v="233"/>
    <n v="35"/>
    <n v="23"/>
    <n v="12"/>
  </r>
  <r>
    <x v="1"/>
    <x v="275"/>
    <s v="TA"/>
    <x v="20"/>
    <x v="234"/>
    <n v="315"/>
    <n v="191"/>
    <n v="124"/>
  </r>
  <r>
    <x v="1"/>
    <x v="276"/>
    <s v="TA"/>
    <x v="20"/>
    <x v="59"/>
    <n v="207"/>
    <n v="119"/>
    <n v="88"/>
  </r>
  <r>
    <x v="1"/>
    <x v="277"/>
    <s v="TA"/>
    <x v="20"/>
    <x v="235"/>
    <n v="257"/>
    <n v="144"/>
    <n v="113"/>
  </r>
  <r>
    <x v="1"/>
    <x v="278"/>
    <s v="TA"/>
    <x v="20"/>
    <x v="236"/>
    <n v="120"/>
    <n v="73"/>
    <n v="47"/>
  </r>
  <r>
    <x v="1"/>
    <x v="279"/>
    <s v="TA"/>
    <x v="20"/>
    <x v="237"/>
    <n v="163"/>
    <n v="112"/>
    <n v="51"/>
  </r>
  <r>
    <x v="1"/>
    <x v="280"/>
    <s v="TA"/>
    <x v="20"/>
    <x v="35"/>
    <n v="20"/>
    <n v="13"/>
    <n v="7"/>
  </r>
  <r>
    <x v="1"/>
    <x v="281"/>
    <s v="TA"/>
    <x v="20"/>
    <x v="238"/>
    <n v="220"/>
    <n v="150"/>
    <n v="70"/>
  </r>
  <r>
    <x v="1"/>
    <x v="282"/>
    <s v="TA"/>
    <x v="20"/>
    <x v="239"/>
    <n v="130"/>
    <n v="82"/>
    <n v="48"/>
  </r>
  <r>
    <x v="1"/>
    <x v="283"/>
    <s v="TA"/>
    <x v="20"/>
    <x v="38"/>
    <n v="119"/>
    <n v="77"/>
    <n v="42"/>
  </r>
  <r>
    <x v="1"/>
    <x v="284"/>
    <s v="TA"/>
    <x v="20"/>
    <x v="240"/>
    <n v="235"/>
    <n v="129"/>
    <n v="106"/>
  </r>
  <r>
    <x v="1"/>
    <x v="285"/>
    <s v="TA"/>
    <x v="20"/>
    <x v="241"/>
    <n v="33"/>
    <n v="26"/>
    <n v="7"/>
  </r>
  <r>
    <x v="1"/>
    <x v="286"/>
    <s v="TA"/>
    <x v="20"/>
    <x v="242"/>
    <n v="322"/>
    <n v="191"/>
    <n v="131"/>
  </r>
  <r>
    <x v="1"/>
    <x v="287"/>
    <s v="TA"/>
    <x v="20"/>
    <x v="42"/>
    <n v="47"/>
    <n v="26"/>
    <n v="21"/>
  </r>
  <r>
    <x v="1"/>
    <x v="288"/>
    <s v="TA"/>
    <x v="20"/>
    <x v="66"/>
    <n v="109"/>
    <n v="71"/>
    <n v="38"/>
  </r>
  <r>
    <x v="1"/>
    <x v="289"/>
    <s v="TA"/>
    <x v="20"/>
    <x v="243"/>
    <n v="39"/>
    <n v="29"/>
    <n v="10"/>
  </r>
  <r>
    <x v="1"/>
    <x v="290"/>
    <s v="TA"/>
    <x v="20"/>
    <x v="244"/>
    <n v="89"/>
    <n v="52"/>
    <n v="37"/>
  </r>
  <r>
    <x v="1"/>
    <x v="291"/>
    <s v="TA"/>
    <x v="20"/>
    <x v="245"/>
    <n v="135"/>
    <n v="85"/>
    <n v="50"/>
  </r>
  <r>
    <x v="1"/>
    <x v="292"/>
    <s v="TA"/>
    <x v="20"/>
    <x v="246"/>
    <n v="113"/>
    <n v="76"/>
    <n v="37"/>
  </r>
  <r>
    <x v="1"/>
    <x v="293"/>
    <s v="TA"/>
    <x v="20"/>
    <x v="247"/>
    <n v="16"/>
    <n v="10"/>
    <n v="6"/>
  </r>
  <r>
    <x v="1"/>
    <x v="294"/>
    <s v="TA"/>
    <x v="20"/>
    <x v="248"/>
    <n v="63"/>
    <n v="39"/>
    <n v="24"/>
  </r>
  <r>
    <x v="1"/>
    <x v="295"/>
    <s v="TA"/>
    <x v="20"/>
    <x v="249"/>
    <n v="3821"/>
    <n v="2220"/>
    <n v="1601"/>
  </r>
  <r>
    <x v="1"/>
    <x v="296"/>
    <s v="TA"/>
    <x v="20"/>
    <x v="250"/>
    <n v="23"/>
    <n v="13"/>
    <n v="10"/>
  </r>
  <r>
    <x v="1"/>
    <x v="297"/>
    <s v="TA"/>
    <x v="20"/>
    <x v="251"/>
    <n v="32"/>
    <n v="22"/>
    <n v="10"/>
  </r>
  <r>
    <x v="1"/>
    <x v="298"/>
    <s v="TA"/>
    <x v="20"/>
    <x v="50"/>
    <n v="11"/>
    <n v="10"/>
    <n v="1"/>
  </r>
  <r>
    <x v="1"/>
    <x v="299"/>
    <s v="TA"/>
    <x v="20"/>
    <x v="73"/>
    <n v="30"/>
    <n v="16"/>
    <n v="14"/>
  </r>
  <r>
    <x v="1"/>
    <x v="300"/>
    <s v="TA"/>
    <x v="20"/>
    <x v="252"/>
    <n v="112"/>
    <n v="78"/>
    <n v="34"/>
  </r>
  <r>
    <x v="1"/>
    <x v="301"/>
    <s v="TA"/>
    <x v="20"/>
    <x v="253"/>
    <n v="86"/>
    <n v="47"/>
    <n v="39"/>
  </r>
  <r>
    <x v="1"/>
    <x v="302"/>
    <s v="TR"/>
    <x v="21"/>
    <x v="163"/>
    <n v="66"/>
    <n v="49"/>
    <n v="17"/>
  </r>
  <r>
    <x v="1"/>
    <x v="303"/>
    <s v="TR"/>
    <x v="21"/>
    <x v="254"/>
    <n v="499"/>
    <n v="290"/>
    <n v="209"/>
  </r>
  <r>
    <x v="1"/>
    <x v="304"/>
    <s v="TR"/>
    <x v="21"/>
    <x v="59"/>
    <n v="40"/>
    <n v="28"/>
    <n v="12"/>
  </r>
  <r>
    <x v="1"/>
    <x v="305"/>
    <s v="TR"/>
    <x v="21"/>
    <x v="255"/>
    <n v="67"/>
    <n v="47"/>
    <n v="20"/>
  </r>
  <r>
    <x v="1"/>
    <x v="306"/>
    <s v="TR"/>
    <x v="21"/>
    <x v="256"/>
    <n v="168"/>
    <n v="96"/>
    <n v="72"/>
  </r>
  <r>
    <x v="1"/>
    <x v="307"/>
    <s v="TR"/>
    <x v="21"/>
    <x v="257"/>
    <n v="73"/>
    <n v="45"/>
    <n v="28"/>
  </r>
  <r>
    <x v="1"/>
    <x v="308"/>
    <s v="TR"/>
    <x v="21"/>
    <x v="258"/>
    <n v="11"/>
    <n v="6"/>
    <n v="5"/>
  </r>
  <r>
    <x v="1"/>
    <x v="309"/>
    <s v="TR"/>
    <x v="21"/>
    <x v="259"/>
    <n v="31"/>
    <n v="15"/>
    <n v="16"/>
  </r>
  <r>
    <x v="1"/>
    <x v="310"/>
    <s v="TR"/>
    <x v="21"/>
    <x v="260"/>
    <n v="56"/>
    <n v="42"/>
    <n v="14"/>
  </r>
  <r>
    <x v="1"/>
    <x v="311"/>
    <s v="TR"/>
    <x v="21"/>
    <x v="104"/>
    <n v="60"/>
    <n v="44"/>
    <n v="16"/>
  </r>
  <r>
    <x v="1"/>
    <x v="312"/>
    <s v="TR"/>
    <x v="21"/>
    <x v="261"/>
    <n v="51"/>
    <n v="35"/>
    <n v="16"/>
  </r>
  <r>
    <x v="1"/>
    <x v="313"/>
    <s v="TR"/>
    <x v="21"/>
    <x v="262"/>
    <n v="49"/>
    <n v="33"/>
    <n v="16"/>
  </r>
  <r>
    <x v="1"/>
    <x v="314"/>
    <s v="TR"/>
    <x v="21"/>
    <x v="263"/>
    <n v="157"/>
    <n v="94"/>
    <n v="63"/>
  </r>
  <r>
    <x v="1"/>
    <x v="315"/>
    <s v="TR"/>
    <x v="21"/>
    <x v="264"/>
    <n v="59"/>
    <n v="35"/>
    <n v="24"/>
  </r>
  <r>
    <x v="1"/>
    <x v="316"/>
    <s v="TR"/>
    <x v="21"/>
    <x v="265"/>
    <n v="52"/>
    <n v="32"/>
    <n v="20"/>
  </r>
  <r>
    <x v="1"/>
    <x v="317"/>
    <s v="TR"/>
    <x v="21"/>
    <x v="266"/>
    <n v="51"/>
    <n v="32"/>
    <n v="19"/>
  </r>
  <r>
    <x v="1"/>
    <x v="318"/>
    <s v="TR"/>
    <x v="21"/>
    <x v="73"/>
    <n v="109"/>
    <n v="71"/>
    <n v="38"/>
  </r>
  <r>
    <x v="1"/>
    <x v="319"/>
    <s v="TR"/>
    <x v="21"/>
    <x v="267"/>
    <n v="541"/>
    <n v="310"/>
    <n v="231"/>
  </r>
  <r>
    <x v="1"/>
    <x v="320"/>
    <s v="TR"/>
    <x v="21"/>
    <x v="75"/>
    <n v="122"/>
    <n v="81"/>
    <n v="41"/>
  </r>
  <r>
    <x v="1"/>
    <x v="321"/>
    <s v="TR"/>
    <x v="21"/>
    <x v="268"/>
    <n v="1617"/>
    <n v="985"/>
    <n v="632"/>
  </r>
  <r>
    <x v="1"/>
    <x v="322"/>
    <s v="VA"/>
    <x v="0"/>
    <x v="269"/>
    <n v="159"/>
    <n v="111"/>
    <n v="48"/>
  </r>
  <r>
    <x v="1"/>
    <x v="323"/>
    <s v="VA"/>
    <x v="0"/>
    <x v="270"/>
    <n v="176"/>
    <n v="125"/>
    <n v="51"/>
  </r>
  <r>
    <x v="1"/>
    <x v="324"/>
    <s v="VA"/>
    <x v="0"/>
    <x v="271"/>
    <n v="526"/>
    <n v="326"/>
    <n v="200"/>
  </r>
  <r>
    <x v="1"/>
    <x v="325"/>
    <s v="VA"/>
    <x v="0"/>
    <x v="272"/>
    <n v="27"/>
    <n v="16"/>
    <n v="11"/>
  </r>
  <r>
    <x v="1"/>
    <x v="326"/>
    <s v="VA"/>
    <x v="0"/>
    <x v="273"/>
    <n v="310"/>
    <n v="199"/>
    <n v="111"/>
  </r>
  <r>
    <x v="1"/>
    <x v="327"/>
    <s v="VA"/>
    <x v="0"/>
    <x v="274"/>
    <n v="16"/>
    <n v="10"/>
    <n v="6"/>
  </r>
  <r>
    <x v="1"/>
    <x v="328"/>
    <s v="VA"/>
    <x v="0"/>
    <x v="275"/>
    <n v="675"/>
    <n v="378"/>
    <n v="297"/>
  </r>
  <r>
    <x v="1"/>
    <x v="329"/>
    <s v="VA"/>
    <x v="0"/>
    <x v="276"/>
    <n v="132"/>
    <n v="69"/>
    <n v="63"/>
  </r>
  <r>
    <x v="1"/>
    <x v="330"/>
    <s v="VA"/>
    <x v="0"/>
    <x v="277"/>
    <n v="157"/>
    <n v="111"/>
    <n v="46"/>
  </r>
  <r>
    <x v="1"/>
    <x v="331"/>
    <s v="VA"/>
    <x v="0"/>
    <x v="278"/>
    <n v="82"/>
    <n v="59"/>
    <n v="23"/>
  </r>
  <r>
    <x v="1"/>
    <x v="332"/>
    <s v="VA"/>
    <x v="0"/>
    <x v="279"/>
    <n v="194"/>
    <n v="115"/>
    <n v="79"/>
  </r>
  <r>
    <x v="1"/>
    <x v="333"/>
    <s v="YA"/>
    <x v="22"/>
    <x v="280"/>
    <n v="59"/>
    <n v="34"/>
    <n v="25"/>
  </r>
  <r>
    <x v="1"/>
    <x v="334"/>
    <s v="YA"/>
    <x v="22"/>
    <x v="59"/>
    <n v="94"/>
    <n v="60"/>
    <n v="34"/>
  </r>
  <r>
    <x v="1"/>
    <x v="335"/>
    <s v="YA"/>
    <x v="22"/>
    <x v="281"/>
    <n v="213"/>
    <n v="136"/>
    <n v="77"/>
  </r>
  <r>
    <x v="1"/>
    <x v="336"/>
    <s v="YA"/>
    <x v="22"/>
    <x v="282"/>
    <n v="100"/>
    <n v="72"/>
    <n v="28"/>
  </r>
  <r>
    <x v="1"/>
    <x v="337"/>
    <s v="YA"/>
    <x v="22"/>
    <x v="38"/>
    <n v="151"/>
    <n v="84"/>
    <n v="67"/>
  </r>
  <r>
    <x v="1"/>
    <x v="338"/>
    <s v="YA"/>
    <x v="22"/>
    <x v="283"/>
    <n v="52"/>
    <n v="33"/>
    <n v="19"/>
  </r>
  <r>
    <x v="1"/>
    <x v="339"/>
    <s v="YA"/>
    <x v="22"/>
    <x v="284"/>
    <n v="38"/>
    <n v="23"/>
    <n v="15"/>
  </r>
  <r>
    <x v="1"/>
    <x v="340"/>
    <s v="YA"/>
    <x v="22"/>
    <x v="285"/>
    <n v="35"/>
    <n v="24"/>
    <n v="11"/>
  </r>
  <r>
    <x v="1"/>
    <x v="341"/>
    <s v="YA"/>
    <x v="22"/>
    <x v="286"/>
    <n v="249"/>
    <n v="159"/>
    <n v="90"/>
  </r>
  <r>
    <x v="1"/>
    <x v="342"/>
    <s v="YA"/>
    <x v="22"/>
    <x v="287"/>
    <n v="298"/>
    <n v="197"/>
    <n v="101"/>
  </r>
  <r>
    <x v="1"/>
    <x v="343"/>
    <s v="YA"/>
    <x v="22"/>
    <x v="288"/>
    <n v="1763"/>
    <n v="1"/>
    <n v="763"/>
  </r>
  <r>
    <x v="1"/>
    <x v="344"/>
    <s v="YA"/>
    <x v="22"/>
    <x v="73"/>
    <n v="54"/>
    <n v="37"/>
    <n v="17"/>
  </r>
  <r>
    <x v="1"/>
    <x v="345"/>
    <s v="YA"/>
    <x v="22"/>
    <x v="289"/>
    <n v="58"/>
    <n v="40"/>
    <n v="18"/>
  </r>
  <r>
    <x v="1"/>
    <x v="346"/>
    <s v="YA"/>
    <x v="22"/>
    <x v="290"/>
    <n v="97"/>
    <n v="73"/>
    <n v="24"/>
  </r>
  <r>
    <x v="1"/>
    <x v="347"/>
    <s v="ZU"/>
    <x v="23"/>
    <x v="291"/>
    <n v="48"/>
    <n v="30"/>
    <n v="18"/>
  </r>
  <r>
    <x v="1"/>
    <x v="348"/>
    <s v="ZU"/>
    <x v="23"/>
    <x v="292"/>
    <n v="270"/>
    <n v="179"/>
    <n v="91"/>
  </r>
  <r>
    <x v="1"/>
    <x v="349"/>
    <s v="ZU"/>
    <x v="23"/>
    <x v="293"/>
    <n v="1673"/>
    <n v="933"/>
    <n v="740"/>
  </r>
  <r>
    <x v="1"/>
    <x v="350"/>
    <s v="ZU"/>
    <x v="23"/>
    <x v="294"/>
    <n v="109"/>
    <n v="74"/>
    <n v="35"/>
  </r>
  <r>
    <x v="1"/>
    <x v="351"/>
    <s v="ZU"/>
    <x v="23"/>
    <x v="295"/>
    <n v="600"/>
    <n v="399"/>
    <n v="201"/>
  </r>
  <r>
    <x v="1"/>
    <x v="352"/>
    <s v="ZU"/>
    <x v="23"/>
    <x v="296"/>
    <n v="78"/>
    <n v="61"/>
    <n v="17"/>
  </r>
  <r>
    <x v="1"/>
    <x v="353"/>
    <s v="ZU"/>
    <x v="23"/>
    <x v="297"/>
    <n v="418"/>
    <n v="277"/>
    <n v="141"/>
  </r>
  <r>
    <x v="1"/>
    <x v="354"/>
    <s v="ZU"/>
    <x v="23"/>
    <x v="298"/>
    <n v="123"/>
    <n v="84"/>
    <n v="39"/>
  </r>
  <r>
    <x v="1"/>
    <x v="355"/>
    <s v="ZU"/>
    <x v="23"/>
    <x v="299"/>
    <n v="326"/>
    <n v="217"/>
    <n v="109"/>
  </r>
  <r>
    <x v="1"/>
    <x v="356"/>
    <s v="ZU"/>
    <x v="23"/>
    <x v="300"/>
    <n v="1219"/>
    <n v="705"/>
    <n v="514"/>
  </r>
  <r>
    <x v="1"/>
    <x v="357"/>
    <s v="ZU"/>
    <x v="23"/>
    <x v="301"/>
    <n v="493"/>
    <n v="315"/>
    <n v="178"/>
  </r>
  <r>
    <x v="1"/>
    <x v="358"/>
    <s v="ZU"/>
    <x v="23"/>
    <x v="302"/>
    <n v="868"/>
    <n v="546"/>
    <n v="322"/>
  </r>
  <r>
    <x v="1"/>
    <x v="359"/>
    <s v="ZU"/>
    <x v="23"/>
    <x v="303"/>
    <n v="12006"/>
    <n v="6736"/>
    <n v="5270"/>
  </r>
  <r>
    <x v="1"/>
    <x v="360"/>
    <s v="ZU"/>
    <x v="23"/>
    <x v="104"/>
    <n v="384"/>
    <n v="262"/>
    <n v="122"/>
  </r>
  <r>
    <x v="1"/>
    <x v="361"/>
    <s v="ZU"/>
    <x v="23"/>
    <x v="55"/>
    <n v="133"/>
    <n v="91"/>
    <n v="42"/>
  </r>
  <r>
    <x v="1"/>
    <x v="362"/>
    <s v="ZU"/>
    <x v="23"/>
    <x v="304"/>
    <n v="354"/>
    <n v="213"/>
    <n v="141"/>
  </r>
  <r>
    <x v="1"/>
    <x v="363"/>
    <s v="ZU"/>
    <x v="23"/>
    <x v="136"/>
    <n v="1593"/>
    <n v="938"/>
    <n v="655"/>
  </r>
  <r>
    <x v="1"/>
    <x v="364"/>
    <s v="ZU"/>
    <x v="23"/>
    <x v="305"/>
    <n v="206"/>
    <n v="135"/>
    <n v="71"/>
  </r>
  <r>
    <x v="1"/>
    <x v="365"/>
    <s v="ZU"/>
    <x v="23"/>
    <x v="49"/>
    <n v="91"/>
    <n v="62"/>
    <n v="29"/>
  </r>
  <r>
    <x v="1"/>
    <x v="366"/>
    <s v="ZU"/>
    <x v="23"/>
    <x v="73"/>
    <n v="224"/>
    <n v="159"/>
    <n v="65"/>
  </r>
  <r>
    <x v="1"/>
    <x v="367"/>
    <s v="ZU"/>
    <x v="23"/>
    <x v="306"/>
    <n v="123"/>
    <n v="83"/>
    <n v="40"/>
  </r>
  <r>
    <x v="1"/>
    <x v="368"/>
    <s v="DE"/>
    <x v="24"/>
    <x v="307"/>
    <n v="0"/>
    <n v="0"/>
    <n v="0"/>
  </r>
  <r>
    <x v="2"/>
    <x v="0"/>
    <s v="VA"/>
    <x v="0"/>
    <x v="0"/>
    <n v="0"/>
    <n v="0"/>
    <n v="0"/>
  </r>
  <r>
    <x v="2"/>
    <x v="1"/>
    <s v="DI"/>
    <x v="1"/>
    <x v="1"/>
    <n v="0"/>
    <n v="0"/>
    <n v="0"/>
  </r>
  <r>
    <x v="2"/>
    <x v="2"/>
    <s v="DI"/>
    <x v="1"/>
    <x v="2"/>
    <n v="126"/>
    <n v="73"/>
    <n v="53"/>
  </r>
  <r>
    <x v="2"/>
    <x v="3"/>
    <s v="DI"/>
    <x v="1"/>
    <x v="3"/>
    <n v="475"/>
    <n v="301"/>
    <n v="174"/>
  </r>
  <r>
    <x v="2"/>
    <x v="4"/>
    <s v="DI"/>
    <x v="1"/>
    <x v="4"/>
    <n v="204"/>
    <n v="106"/>
    <n v="98"/>
  </r>
  <r>
    <x v="2"/>
    <x v="5"/>
    <s v="DI"/>
    <x v="1"/>
    <x v="5"/>
    <n v="453"/>
    <n v="269"/>
    <n v="184"/>
  </r>
  <r>
    <x v="2"/>
    <x v="6"/>
    <s v="DI"/>
    <x v="1"/>
    <x v="6"/>
    <n v="73"/>
    <n v="45"/>
    <n v="28"/>
  </r>
  <r>
    <x v="2"/>
    <x v="7"/>
    <s v="DI"/>
    <x v="1"/>
    <x v="7"/>
    <n v="440"/>
    <n v="321"/>
    <n v="119"/>
  </r>
  <r>
    <x v="2"/>
    <x v="8"/>
    <s v="DI"/>
    <x v="1"/>
    <x v="8"/>
    <n v="188"/>
    <n v="131"/>
    <n v="57"/>
  </r>
  <r>
    <x v="2"/>
    <x v="9"/>
    <s v="DI"/>
    <x v="1"/>
    <x v="9"/>
    <n v="2732"/>
    <n v="1716"/>
    <n v="1016"/>
  </r>
  <r>
    <x v="2"/>
    <x v="10"/>
    <s v="DI"/>
    <x v="1"/>
    <x v="10"/>
    <n v="704"/>
    <n v="386"/>
    <n v="318"/>
  </r>
  <r>
    <x v="2"/>
    <x v="11"/>
    <s v="DI"/>
    <x v="1"/>
    <x v="11"/>
    <n v="437"/>
    <n v="277"/>
    <n v="160"/>
  </r>
  <r>
    <x v="2"/>
    <x v="12"/>
    <s v="DI"/>
    <x v="1"/>
    <x v="12"/>
    <n v="375"/>
    <n v="221"/>
    <n v="154"/>
  </r>
  <r>
    <x v="2"/>
    <x v="13"/>
    <s v="DI"/>
    <x v="1"/>
    <x v="13"/>
    <n v="1070"/>
    <n v="629"/>
    <n v="441"/>
  </r>
  <r>
    <x v="2"/>
    <x v="14"/>
    <s v="DI"/>
    <x v="1"/>
    <x v="14"/>
    <n v="137"/>
    <n v="95"/>
    <n v="42"/>
  </r>
  <r>
    <x v="2"/>
    <x v="15"/>
    <s v="DI"/>
    <x v="1"/>
    <x v="15"/>
    <n v="127"/>
    <n v="86"/>
    <n v="41"/>
  </r>
  <r>
    <x v="2"/>
    <x v="16"/>
    <s v="DI"/>
    <x v="1"/>
    <x v="16"/>
    <n v="1091"/>
    <n v="578"/>
    <n v="513"/>
  </r>
  <r>
    <x v="2"/>
    <x v="17"/>
    <s v="DI"/>
    <x v="1"/>
    <x v="17"/>
    <n v="656"/>
    <n v="316"/>
    <n v="340"/>
  </r>
  <r>
    <x v="2"/>
    <x v="18"/>
    <s v="DI"/>
    <x v="1"/>
    <x v="18"/>
    <n v="2344"/>
    <n v="1341"/>
    <n v="1003"/>
  </r>
  <r>
    <x v="2"/>
    <x v="19"/>
    <s v="DI"/>
    <x v="1"/>
    <x v="19"/>
    <n v="2167"/>
    <n v="1199"/>
    <n v="968"/>
  </r>
  <r>
    <x v="2"/>
    <x v="20"/>
    <s v="DI"/>
    <x v="1"/>
    <x v="20"/>
    <n v="694"/>
    <n v="378"/>
    <n v="316"/>
  </r>
  <r>
    <x v="2"/>
    <x v="21"/>
    <s v="DI"/>
    <x v="1"/>
    <x v="21"/>
    <n v="59"/>
    <n v="45"/>
    <n v="14"/>
  </r>
  <r>
    <x v="2"/>
    <x v="22"/>
    <s v="DI"/>
    <x v="1"/>
    <x v="22"/>
    <n v="1493"/>
    <n v="977"/>
    <n v="516"/>
  </r>
  <r>
    <x v="2"/>
    <x v="23"/>
    <s v="DI"/>
    <x v="1"/>
    <x v="23"/>
    <n v="459"/>
    <n v="274"/>
    <n v="185"/>
  </r>
  <r>
    <x v="2"/>
    <x v="24"/>
    <s v="AM"/>
    <x v="2"/>
    <x v="24"/>
    <n v="4"/>
    <n v="1"/>
    <n v="3"/>
  </r>
  <r>
    <x v="2"/>
    <x v="25"/>
    <s v="AM"/>
    <x v="2"/>
    <x v="25"/>
    <n v="11"/>
    <n v="6"/>
    <n v="5"/>
  </r>
  <r>
    <x v="2"/>
    <x v="26"/>
    <s v="AM"/>
    <x v="2"/>
    <x v="26"/>
    <n v="584"/>
    <n v="356"/>
    <n v="228"/>
  </r>
  <r>
    <x v="2"/>
    <x v="27"/>
    <s v="AM"/>
    <x v="2"/>
    <x v="27"/>
    <n v="7"/>
    <n v="4"/>
    <n v="3"/>
  </r>
  <r>
    <x v="2"/>
    <x v="28"/>
    <s v="AM"/>
    <x v="2"/>
    <x v="28"/>
    <n v="7"/>
    <n v="5"/>
    <n v="2"/>
  </r>
  <r>
    <x v="2"/>
    <x v="29"/>
    <s v="AM"/>
    <x v="2"/>
    <x v="29"/>
    <n v="3"/>
    <s v="-"/>
    <n v="3"/>
  </r>
  <r>
    <x v="2"/>
    <x v="30"/>
    <s v="AM"/>
    <x v="2"/>
    <x v="30"/>
    <n v="0"/>
    <n v="0"/>
    <n v="0"/>
  </r>
  <r>
    <x v="2"/>
    <x v="31"/>
    <s v="AN"/>
    <x v="3"/>
    <x v="31"/>
    <n v="364"/>
    <n v="212"/>
    <n v="152"/>
  </r>
  <r>
    <x v="2"/>
    <x v="32"/>
    <s v="AN"/>
    <x v="3"/>
    <x v="32"/>
    <n v="64"/>
    <n v="38"/>
    <n v="26"/>
  </r>
  <r>
    <x v="2"/>
    <x v="33"/>
    <s v="AN"/>
    <x v="3"/>
    <x v="33"/>
    <n v="197"/>
    <n v="109"/>
    <n v="88"/>
  </r>
  <r>
    <x v="2"/>
    <x v="34"/>
    <s v="AN"/>
    <x v="3"/>
    <x v="34"/>
    <n v="72"/>
    <n v="47"/>
    <n v="25"/>
  </r>
  <r>
    <x v="2"/>
    <x v="35"/>
    <s v="AN"/>
    <x v="3"/>
    <x v="35"/>
    <n v="142"/>
    <n v="91"/>
    <n v="51"/>
  </r>
  <r>
    <x v="2"/>
    <x v="36"/>
    <s v="AN"/>
    <x v="3"/>
    <x v="36"/>
    <n v="37"/>
    <n v="21"/>
    <n v="16"/>
  </r>
  <r>
    <x v="2"/>
    <x v="37"/>
    <s v="AN"/>
    <x v="3"/>
    <x v="37"/>
    <n v="58"/>
    <n v="37"/>
    <n v="21"/>
  </r>
  <r>
    <x v="2"/>
    <x v="38"/>
    <s v="AN"/>
    <x v="3"/>
    <x v="38"/>
    <n v="72"/>
    <n v="54"/>
    <n v="18"/>
  </r>
  <r>
    <x v="2"/>
    <x v="39"/>
    <s v="AN"/>
    <x v="3"/>
    <x v="39"/>
    <n v="53"/>
    <n v="33"/>
    <n v="20"/>
  </r>
  <r>
    <x v="2"/>
    <x v="40"/>
    <s v="AN"/>
    <x v="3"/>
    <x v="40"/>
    <n v="691"/>
    <n v="422"/>
    <n v="269"/>
  </r>
  <r>
    <x v="2"/>
    <x v="41"/>
    <s v="AN"/>
    <x v="3"/>
    <x v="41"/>
    <n v="30"/>
    <n v="23"/>
    <n v="7"/>
  </r>
  <r>
    <x v="2"/>
    <x v="42"/>
    <s v="AN"/>
    <x v="3"/>
    <x v="42"/>
    <n v="26"/>
    <n v="13"/>
    <n v="13"/>
  </r>
  <r>
    <x v="2"/>
    <x v="43"/>
    <s v="AN"/>
    <x v="3"/>
    <x v="43"/>
    <n v="97"/>
    <n v="61"/>
    <n v="36"/>
  </r>
  <r>
    <x v="2"/>
    <x v="44"/>
    <s v="AN"/>
    <x v="3"/>
    <x v="44"/>
    <n v="321"/>
    <n v="199"/>
    <n v="122"/>
  </r>
  <r>
    <x v="2"/>
    <x v="45"/>
    <s v="AN"/>
    <x v="3"/>
    <x v="45"/>
    <n v="80"/>
    <n v="48"/>
    <n v="32"/>
  </r>
  <r>
    <x v="2"/>
    <x v="46"/>
    <s v="AN"/>
    <x v="3"/>
    <x v="46"/>
    <n v="204"/>
    <n v="125"/>
    <n v="79"/>
  </r>
  <r>
    <x v="2"/>
    <x v="47"/>
    <s v="AN"/>
    <x v="3"/>
    <x v="47"/>
    <n v="29"/>
    <n v="21"/>
    <n v="8"/>
  </r>
  <r>
    <x v="2"/>
    <x v="48"/>
    <s v="AN"/>
    <x v="3"/>
    <x v="48"/>
    <n v="20"/>
    <n v="17"/>
    <n v="3"/>
  </r>
  <r>
    <x v="2"/>
    <x v="49"/>
    <s v="AN"/>
    <x v="3"/>
    <x v="49"/>
    <n v="2503"/>
    <n v="1509"/>
    <n v="994"/>
  </r>
  <r>
    <x v="2"/>
    <x v="50"/>
    <s v="AN"/>
    <x v="3"/>
    <x v="50"/>
    <n v="946"/>
    <n v="559"/>
    <n v="387"/>
  </r>
  <r>
    <x v="2"/>
    <x v="51"/>
    <s v="AN"/>
    <x v="3"/>
    <x v="51"/>
    <n v="26"/>
    <n v="17"/>
    <n v="9"/>
  </r>
  <r>
    <x v="2"/>
    <x v="52"/>
    <s v="AP"/>
    <x v="4"/>
    <x v="52"/>
    <n v="180"/>
    <n v="109"/>
    <n v="71"/>
  </r>
  <r>
    <x v="2"/>
    <x v="53"/>
    <s v="AP"/>
    <x v="4"/>
    <x v="53"/>
    <n v="81"/>
    <n v="58"/>
    <n v="23"/>
  </r>
  <r>
    <x v="2"/>
    <x v="54"/>
    <s v="AP"/>
    <x v="4"/>
    <x v="54"/>
    <n v="27"/>
    <n v="15"/>
    <n v="12"/>
  </r>
  <r>
    <x v="2"/>
    <x v="55"/>
    <s v="AP"/>
    <x v="4"/>
    <x v="55"/>
    <n v="289"/>
    <n v="182"/>
    <n v="107"/>
  </r>
  <r>
    <x v="2"/>
    <x v="56"/>
    <s v="AP"/>
    <x v="4"/>
    <x v="56"/>
    <n v="43"/>
    <n v="26"/>
    <n v="17"/>
  </r>
  <r>
    <x v="2"/>
    <x v="57"/>
    <s v="AP"/>
    <x v="4"/>
    <x v="57"/>
    <n v="76"/>
    <n v="52"/>
    <n v="24"/>
  </r>
  <r>
    <x v="2"/>
    <x v="58"/>
    <s v="AP"/>
    <x v="4"/>
    <x v="58"/>
    <n v="1201"/>
    <n v="709"/>
    <n v="492"/>
  </r>
  <r>
    <x v="2"/>
    <x v="59"/>
    <s v="AR"/>
    <x v="5"/>
    <x v="59"/>
    <n v="161"/>
    <n v="108"/>
    <n v="53"/>
  </r>
  <r>
    <x v="2"/>
    <x v="60"/>
    <s v="AR"/>
    <x v="5"/>
    <x v="60"/>
    <n v="77"/>
    <n v="56"/>
    <n v="21"/>
  </r>
  <r>
    <x v="2"/>
    <x v="61"/>
    <s v="AR"/>
    <x v="5"/>
    <x v="61"/>
    <n v="308"/>
    <n v="223"/>
    <n v="85"/>
  </r>
  <r>
    <x v="2"/>
    <x v="62"/>
    <s v="AR"/>
    <x v="5"/>
    <x v="62"/>
    <n v="4823"/>
    <n v="2759"/>
    <n v="2064"/>
  </r>
  <r>
    <x v="2"/>
    <x v="63"/>
    <s v="AR"/>
    <x v="5"/>
    <x v="63"/>
    <n v="111"/>
    <n v="74"/>
    <n v="37"/>
  </r>
  <r>
    <x v="2"/>
    <x v="64"/>
    <s v="AR"/>
    <x v="5"/>
    <x v="64"/>
    <n v="913"/>
    <n v="567"/>
    <n v="346"/>
  </r>
  <r>
    <x v="2"/>
    <x v="65"/>
    <s v="AR"/>
    <x v="5"/>
    <x v="65"/>
    <n v="150"/>
    <n v="99"/>
    <n v="51"/>
  </r>
  <r>
    <x v="2"/>
    <x v="66"/>
    <s v="AR"/>
    <x v="5"/>
    <x v="66"/>
    <n v="448"/>
    <n v="279"/>
    <n v="169"/>
  </r>
  <r>
    <x v="2"/>
    <x v="67"/>
    <s v="AR"/>
    <x v="5"/>
    <x v="67"/>
    <n v="311"/>
    <n v="188"/>
    <n v="123"/>
  </r>
  <r>
    <x v="2"/>
    <x v="68"/>
    <s v="AR"/>
    <x v="5"/>
    <x v="68"/>
    <n v="49"/>
    <n v="39"/>
    <n v="10"/>
  </r>
  <r>
    <x v="2"/>
    <x v="69"/>
    <s v="AR"/>
    <x v="5"/>
    <x v="69"/>
    <n v="118"/>
    <n v="84"/>
    <n v="34"/>
  </r>
  <r>
    <x v="2"/>
    <x v="70"/>
    <s v="AR"/>
    <x v="5"/>
    <x v="70"/>
    <n v="62"/>
    <n v="46"/>
    <n v="16"/>
  </r>
  <r>
    <x v="2"/>
    <x v="71"/>
    <s v="AR"/>
    <x v="5"/>
    <x v="71"/>
    <n v="598"/>
    <n v="374"/>
    <n v="224"/>
  </r>
  <r>
    <x v="2"/>
    <x v="72"/>
    <s v="AR"/>
    <x v="5"/>
    <x v="72"/>
    <n v="147"/>
    <n v="111"/>
    <n v="36"/>
  </r>
  <r>
    <x v="2"/>
    <x v="73"/>
    <s v="AR"/>
    <x v="5"/>
    <x v="73"/>
    <n v="545"/>
    <n v="351"/>
    <n v="194"/>
  </r>
  <r>
    <x v="2"/>
    <x v="74"/>
    <s v="AR"/>
    <x v="5"/>
    <x v="74"/>
    <n v="37"/>
    <n v="27"/>
    <n v="10"/>
  </r>
  <r>
    <x v="2"/>
    <x v="75"/>
    <s v="AR"/>
    <x v="5"/>
    <x v="75"/>
    <n v="65"/>
    <n v="43"/>
    <n v="22"/>
  </r>
  <r>
    <x v="2"/>
    <x v="76"/>
    <s v="AR"/>
    <x v="5"/>
    <x v="76"/>
    <n v="600"/>
    <n v="406"/>
    <n v="194"/>
  </r>
  <r>
    <x v="2"/>
    <x v="77"/>
    <s v="BA"/>
    <x v="6"/>
    <x v="77"/>
    <n v="124"/>
    <n v="84"/>
    <n v="40"/>
  </r>
  <r>
    <x v="2"/>
    <x v="78"/>
    <s v="BA"/>
    <x v="6"/>
    <x v="78"/>
    <n v="48"/>
    <n v="31"/>
    <n v="17"/>
  </r>
  <r>
    <x v="2"/>
    <x v="79"/>
    <s v="BA"/>
    <x v="6"/>
    <x v="79"/>
    <n v="285"/>
    <n v="194"/>
    <n v="91"/>
  </r>
  <r>
    <x v="2"/>
    <x v="80"/>
    <s v="BA"/>
    <x v="6"/>
    <x v="80"/>
    <n v="48"/>
    <n v="30"/>
    <n v="18"/>
  </r>
  <r>
    <x v="2"/>
    <x v="81"/>
    <s v="BA"/>
    <x v="6"/>
    <x v="81"/>
    <n v="2535"/>
    <n v="1613"/>
    <n v="922"/>
  </r>
  <r>
    <x v="2"/>
    <x v="82"/>
    <s v="BA"/>
    <x v="6"/>
    <x v="59"/>
    <n v="163"/>
    <n v="105"/>
    <n v="58"/>
  </r>
  <r>
    <x v="2"/>
    <x v="83"/>
    <s v="BA"/>
    <x v="6"/>
    <x v="82"/>
    <n v="83"/>
    <n v="59"/>
    <n v="24"/>
  </r>
  <r>
    <x v="2"/>
    <x v="84"/>
    <s v="BA"/>
    <x v="6"/>
    <x v="83"/>
    <n v="224"/>
    <n v="152"/>
    <n v="72"/>
  </r>
  <r>
    <x v="2"/>
    <x v="85"/>
    <s v="BA"/>
    <x v="6"/>
    <x v="84"/>
    <n v="99"/>
    <n v="78"/>
    <n v="21"/>
  </r>
  <r>
    <x v="2"/>
    <x v="86"/>
    <s v="BA"/>
    <x v="6"/>
    <x v="85"/>
    <n v="160"/>
    <n v="102"/>
    <n v="58"/>
  </r>
  <r>
    <x v="2"/>
    <x v="87"/>
    <s v="BA"/>
    <x v="6"/>
    <x v="86"/>
    <n v="113"/>
    <n v="71"/>
    <n v="42"/>
  </r>
  <r>
    <x v="2"/>
    <x v="88"/>
    <s v="BA"/>
    <x v="6"/>
    <x v="87"/>
    <n v="48"/>
    <n v="27"/>
    <n v="21"/>
  </r>
  <r>
    <x v="2"/>
    <x v="89"/>
    <s v="BO"/>
    <x v="7"/>
    <x v="88"/>
    <n v="4070"/>
    <n v="2637"/>
    <n v="1433"/>
  </r>
  <r>
    <x v="2"/>
    <x v="90"/>
    <s v="BO"/>
    <x v="7"/>
    <x v="89"/>
    <n v="213"/>
    <n v="144"/>
    <n v="69"/>
  </r>
  <r>
    <x v="2"/>
    <x v="91"/>
    <s v="BO"/>
    <x v="7"/>
    <x v="90"/>
    <n v="134"/>
    <n v="93"/>
    <n v="41"/>
  </r>
  <r>
    <x v="2"/>
    <x v="92"/>
    <s v="BO"/>
    <x v="7"/>
    <x v="91"/>
    <n v="62"/>
    <n v="41"/>
    <n v="21"/>
  </r>
  <r>
    <x v="2"/>
    <x v="93"/>
    <s v="BO"/>
    <x v="7"/>
    <x v="92"/>
    <n v="2303"/>
    <n v="1364"/>
    <n v="939"/>
  </r>
  <r>
    <x v="2"/>
    <x v="94"/>
    <s v="BO"/>
    <x v="7"/>
    <x v="93"/>
    <n v="36"/>
    <n v="24"/>
    <n v="12"/>
  </r>
  <r>
    <x v="2"/>
    <x v="95"/>
    <s v="BO"/>
    <x v="7"/>
    <x v="94"/>
    <n v="496"/>
    <n v="309"/>
    <n v="187"/>
  </r>
  <r>
    <x v="2"/>
    <x v="96"/>
    <s v="BO"/>
    <x v="7"/>
    <x v="95"/>
    <n v="51"/>
    <n v="37"/>
    <n v="14"/>
  </r>
  <r>
    <x v="2"/>
    <x v="97"/>
    <s v="BO"/>
    <x v="7"/>
    <x v="96"/>
    <n v="101"/>
    <n v="69"/>
    <n v="32"/>
  </r>
  <r>
    <x v="2"/>
    <x v="98"/>
    <s v="BO"/>
    <x v="7"/>
    <x v="97"/>
    <n v="181"/>
    <n v="126"/>
    <n v="55"/>
  </r>
  <r>
    <x v="2"/>
    <x v="99"/>
    <s v="BO"/>
    <x v="7"/>
    <x v="73"/>
    <n v="15"/>
    <n v="9"/>
    <n v="6"/>
  </r>
  <r>
    <x v="2"/>
    <x v="100"/>
    <s v="CA"/>
    <x v="8"/>
    <x v="98"/>
    <n v="342"/>
    <n v="203"/>
    <n v="139"/>
  </r>
  <r>
    <x v="2"/>
    <x v="101"/>
    <s v="CA"/>
    <x v="8"/>
    <x v="99"/>
    <n v="562"/>
    <n v="385"/>
    <n v="177"/>
  </r>
  <r>
    <x v="2"/>
    <x v="102"/>
    <s v="CA"/>
    <x v="8"/>
    <x v="100"/>
    <n v="534"/>
    <n v="366"/>
    <n v="168"/>
  </r>
  <r>
    <x v="2"/>
    <x v="103"/>
    <s v="CA"/>
    <x v="8"/>
    <x v="101"/>
    <n v="657"/>
    <n v="417"/>
    <n v="240"/>
  </r>
  <r>
    <x v="2"/>
    <x v="104"/>
    <s v="CA"/>
    <x v="8"/>
    <x v="102"/>
    <n v="251"/>
    <n v="174"/>
    <n v="77"/>
  </r>
  <r>
    <x v="2"/>
    <x v="105"/>
    <s v="CA"/>
    <x v="8"/>
    <x v="66"/>
    <n v="620"/>
    <n v="420"/>
    <n v="200"/>
  </r>
  <r>
    <x v="2"/>
    <x v="106"/>
    <s v="CA"/>
    <x v="8"/>
    <x v="103"/>
    <n v="357"/>
    <n v="233"/>
    <n v="124"/>
  </r>
  <r>
    <x v="2"/>
    <x v="107"/>
    <s v="CA"/>
    <x v="8"/>
    <x v="104"/>
    <n v="80"/>
    <n v="62"/>
    <n v="18"/>
  </r>
  <r>
    <x v="2"/>
    <x v="108"/>
    <s v="CA"/>
    <x v="8"/>
    <x v="105"/>
    <n v="84"/>
    <n v="47"/>
    <n v="37"/>
  </r>
  <r>
    <x v="2"/>
    <x v="109"/>
    <s v="CA"/>
    <x v="8"/>
    <x v="106"/>
    <n v="1923"/>
    <n v="1073"/>
    <n v="850"/>
  </r>
  <r>
    <x v="2"/>
    <x v="110"/>
    <s v="CA"/>
    <x v="8"/>
    <x v="107"/>
    <n v="1282"/>
    <n v="786"/>
    <n v="496"/>
  </r>
  <r>
    <x v="2"/>
    <x v="111"/>
    <s v="CA"/>
    <x v="8"/>
    <x v="108"/>
    <n v="382"/>
    <n v="216"/>
    <n v="166"/>
  </r>
  <r>
    <x v="2"/>
    <x v="112"/>
    <s v="CA"/>
    <x v="8"/>
    <x v="109"/>
    <n v="171"/>
    <n v="107"/>
    <n v="64"/>
  </r>
  <r>
    <x v="2"/>
    <x v="113"/>
    <s v="CA"/>
    <x v="8"/>
    <x v="110"/>
    <n v="5637"/>
    <n v="3479"/>
    <n v="2158"/>
  </r>
  <r>
    <x v="2"/>
    <x v="114"/>
    <s v="CO"/>
    <x v="9"/>
    <x v="111"/>
    <n v="27"/>
    <n v="21"/>
    <n v="6"/>
  </r>
  <r>
    <x v="2"/>
    <x v="115"/>
    <s v="CO"/>
    <x v="9"/>
    <x v="112"/>
    <n v="442"/>
    <n v="283"/>
    <n v="159"/>
  </r>
  <r>
    <x v="2"/>
    <x v="116"/>
    <s v="CO"/>
    <x v="9"/>
    <x v="62"/>
    <n v="35"/>
    <n v="24"/>
    <n v="11"/>
  </r>
  <r>
    <x v="2"/>
    <x v="117"/>
    <s v="CO"/>
    <x v="9"/>
    <x v="113"/>
    <n v="29"/>
    <n v="11"/>
    <n v="18"/>
  </r>
  <r>
    <x v="2"/>
    <x v="118"/>
    <s v="CO"/>
    <x v="9"/>
    <x v="114"/>
    <n v="43"/>
    <n v="32"/>
    <n v="11"/>
  </r>
  <r>
    <x v="2"/>
    <x v="119"/>
    <s v="CO"/>
    <x v="9"/>
    <x v="115"/>
    <n v="43"/>
    <n v="32"/>
    <n v="11"/>
  </r>
  <r>
    <x v="2"/>
    <x v="120"/>
    <s v="CO"/>
    <x v="9"/>
    <x v="57"/>
    <n v="34"/>
    <n v="25"/>
    <n v="9"/>
  </r>
  <r>
    <x v="2"/>
    <x v="121"/>
    <s v="CO"/>
    <x v="9"/>
    <x v="116"/>
    <n v="847"/>
    <n v="530"/>
    <n v="317"/>
  </r>
  <r>
    <x v="2"/>
    <x v="122"/>
    <s v="CO"/>
    <x v="9"/>
    <x v="117"/>
    <n v="120"/>
    <n v="81"/>
    <n v="39"/>
  </r>
  <r>
    <x v="2"/>
    <x v="123"/>
    <s v="DE"/>
    <x v="10"/>
    <x v="118"/>
    <n v="54"/>
    <n v="33"/>
    <n v="21"/>
  </r>
  <r>
    <x v="2"/>
    <x v="124"/>
    <s v="DE"/>
    <x v="10"/>
    <x v="119"/>
    <n v="66"/>
    <n v="50"/>
    <n v="16"/>
  </r>
  <r>
    <x v="2"/>
    <x v="125"/>
    <s v="DE"/>
    <x v="10"/>
    <x v="120"/>
    <n v="32"/>
    <n v="15"/>
    <n v="17"/>
  </r>
  <r>
    <x v="2"/>
    <x v="126"/>
    <s v="DE"/>
    <x v="10"/>
    <x v="121"/>
    <n v="550"/>
    <n v="336"/>
    <n v="214"/>
  </r>
  <r>
    <x v="2"/>
    <x v="127"/>
    <s v="FA"/>
    <x v="11"/>
    <x v="122"/>
    <n v="16"/>
    <n v="9"/>
    <n v="7"/>
  </r>
  <r>
    <x v="2"/>
    <x v="128"/>
    <s v="FA"/>
    <x v="11"/>
    <x v="59"/>
    <n v="22"/>
    <n v="14"/>
    <n v="8"/>
  </r>
  <r>
    <x v="2"/>
    <x v="129"/>
    <s v="FA"/>
    <x v="11"/>
    <x v="123"/>
    <n v="52"/>
    <n v="30"/>
    <n v="22"/>
  </r>
  <r>
    <x v="2"/>
    <x v="130"/>
    <s v="FA"/>
    <x v="11"/>
    <x v="124"/>
    <n v="34"/>
    <n v="24"/>
    <n v="10"/>
  </r>
  <r>
    <x v="2"/>
    <x v="131"/>
    <s v="FA"/>
    <x v="11"/>
    <x v="125"/>
    <n v="1083"/>
    <n v="614"/>
    <n v="469"/>
  </r>
  <r>
    <x v="2"/>
    <x v="132"/>
    <s v="FA"/>
    <x v="11"/>
    <x v="126"/>
    <n v="15"/>
    <n v="8"/>
    <n v="7"/>
  </r>
  <r>
    <x v="2"/>
    <x v="133"/>
    <s v="FA"/>
    <x v="11"/>
    <x v="127"/>
    <n v="68"/>
    <n v="40"/>
    <n v="28"/>
  </r>
  <r>
    <x v="2"/>
    <x v="134"/>
    <s v="FA"/>
    <x v="11"/>
    <x v="128"/>
    <n v="27"/>
    <n v="13"/>
    <n v="14"/>
  </r>
  <r>
    <x v="2"/>
    <x v="135"/>
    <s v="FA"/>
    <x v="11"/>
    <x v="112"/>
    <n v="124"/>
    <n v="83"/>
    <n v="41"/>
  </r>
  <r>
    <x v="2"/>
    <x v="136"/>
    <s v="FA"/>
    <x v="11"/>
    <x v="129"/>
    <n v="98"/>
    <n v="51"/>
    <n v="47"/>
  </r>
  <r>
    <x v="2"/>
    <x v="137"/>
    <s v="FA"/>
    <x v="11"/>
    <x v="130"/>
    <n v="10"/>
    <n v="6"/>
    <n v="4"/>
  </r>
  <r>
    <x v="2"/>
    <x v="138"/>
    <s v="FA"/>
    <x v="11"/>
    <x v="131"/>
    <n v="48"/>
    <n v="30"/>
    <n v="18"/>
  </r>
  <r>
    <x v="2"/>
    <x v="139"/>
    <s v="FA"/>
    <x v="11"/>
    <x v="132"/>
    <n v="94"/>
    <n v="56"/>
    <n v="38"/>
  </r>
  <r>
    <x v="2"/>
    <x v="140"/>
    <s v="FA"/>
    <x v="11"/>
    <x v="104"/>
    <n v="1501"/>
    <n v="816"/>
    <n v="685"/>
  </r>
  <r>
    <x v="2"/>
    <x v="141"/>
    <s v="FA"/>
    <x v="11"/>
    <x v="133"/>
    <n v="86"/>
    <n v="56"/>
    <n v="30"/>
  </r>
  <r>
    <x v="2"/>
    <x v="142"/>
    <s v="FA"/>
    <x v="11"/>
    <x v="134"/>
    <n v="4"/>
    <n v="2"/>
    <n v="2"/>
  </r>
  <r>
    <x v="2"/>
    <x v="143"/>
    <s v="FA"/>
    <x v="11"/>
    <x v="135"/>
    <n v="29"/>
    <n v="16"/>
    <n v="13"/>
  </r>
  <r>
    <x v="2"/>
    <x v="144"/>
    <s v="FA"/>
    <x v="11"/>
    <x v="45"/>
    <n v="2"/>
    <s v="-"/>
    <n v="2"/>
  </r>
  <r>
    <x v="2"/>
    <x v="145"/>
    <s v="FA"/>
    <x v="11"/>
    <x v="136"/>
    <n v="40"/>
    <n v="22"/>
    <n v="18"/>
  </r>
  <r>
    <x v="2"/>
    <x v="146"/>
    <s v="FA"/>
    <x v="11"/>
    <x v="137"/>
    <n v="178"/>
    <n v="122"/>
    <n v="56"/>
  </r>
  <r>
    <x v="2"/>
    <x v="147"/>
    <s v="FA"/>
    <x v="11"/>
    <x v="73"/>
    <n v="23"/>
    <n v="12"/>
    <n v="11"/>
  </r>
  <r>
    <x v="2"/>
    <x v="148"/>
    <s v="FA"/>
    <x v="11"/>
    <x v="138"/>
    <n v="19"/>
    <n v="13"/>
    <n v="6"/>
  </r>
  <r>
    <x v="2"/>
    <x v="149"/>
    <s v="FA"/>
    <x v="11"/>
    <x v="139"/>
    <n v="33"/>
    <n v="21"/>
    <n v="12"/>
  </r>
  <r>
    <x v="2"/>
    <x v="150"/>
    <s v="FA"/>
    <x v="11"/>
    <x v="140"/>
    <n v="12"/>
    <n v="6"/>
    <n v="6"/>
  </r>
  <r>
    <x v="2"/>
    <x v="151"/>
    <s v="FA"/>
    <x v="11"/>
    <x v="76"/>
    <n v="7"/>
    <n v="5"/>
    <n v="2"/>
  </r>
  <r>
    <x v="2"/>
    <x v="152"/>
    <s v="GU"/>
    <x v="12"/>
    <x v="141"/>
    <n v="73"/>
    <n v="43"/>
    <n v="30"/>
  </r>
  <r>
    <x v="2"/>
    <x v="153"/>
    <s v="GU"/>
    <x v="12"/>
    <x v="142"/>
    <n v="40"/>
    <n v="31"/>
    <n v="9"/>
  </r>
  <r>
    <x v="2"/>
    <x v="154"/>
    <s v="GU"/>
    <x v="12"/>
    <x v="143"/>
    <n v="59"/>
    <n v="40"/>
    <n v="19"/>
  </r>
  <r>
    <x v="2"/>
    <x v="155"/>
    <s v="GU"/>
    <x v="12"/>
    <x v="144"/>
    <n v="40"/>
    <n v="19"/>
    <n v="21"/>
  </r>
  <r>
    <x v="2"/>
    <x v="156"/>
    <s v="GU"/>
    <x v="12"/>
    <x v="145"/>
    <n v="825"/>
    <n v="506"/>
    <n v="319"/>
  </r>
  <r>
    <x v="2"/>
    <x v="157"/>
    <s v="GU"/>
    <x v="12"/>
    <x v="146"/>
    <n v="116"/>
    <n v="78"/>
    <n v="38"/>
  </r>
  <r>
    <x v="2"/>
    <x v="158"/>
    <s v="GU"/>
    <x v="12"/>
    <x v="147"/>
    <n v="128"/>
    <n v="92"/>
    <n v="36"/>
  </r>
  <r>
    <x v="2"/>
    <x v="159"/>
    <s v="GU"/>
    <x v="12"/>
    <x v="104"/>
    <n v="675"/>
    <n v="422"/>
    <n v="253"/>
  </r>
  <r>
    <x v="2"/>
    <x v="160"/>
    <s v="GU"/>
    <x v="12"/>
    <x v="148"/>
    <n v="391"/>
    <n v="252"/>
    <n v="139"/>
  </r>
  <r>
    <x v="2"/>
    <x v="161"/>
    <s v="GU"/>
    <x v="12"/>
    <x v="149"/>
    <n v="68"/>
    <n v="51"/>
    <n v="17"/>
  </r>
  <r>
    <x v="2"/>
    <x v="162"/>
    <s v="GU"/>
    <x v="12"/>
    <x v="150"/>
    <n v="104"/>
    <n v="65"/>
    <n v="39"/>
  </r>
  <r>
    <x v="2"/>
    <x v="163"/>
    <s v="GU"/>
    <x v="12"/>
    <x v="96"/>
    <n v="1282"/>
    <n v="790"/>
    <n v="492"/>
  </r>
  <r>
    <x v="2"/>
    <x v="164"/>
    <s v="GU"/>
    <x v="12"/>
    <x v="151"/>
    <n v="34"/>
    <n v="22"/>
    <n v="12"/>
  </r>
  <r>
    <x v="2"/>
    <x v="165"/>
    <s v="GU"/>
    <x v="12"/>
    <x v="152"/>
    <n v="43"/>
    <n v="32"/>
    <n v="11"/>
  </r>
  <r>
    <x v="2"/>
    <x v="166"/>
    <s v="GU"/>
    <x v="12"/>
    <x v="153"/>
    <n v="327"/>
    <n v="220"/>
    <n v="107"/>
  </r>
  <r>
    <x v="2"/>
    <x v="167"/>
    <s v="LA"/>
    <x v="13"/>
    <x v="154"/>
    <n v="139"/>
    <n v="95"/>
    <n v="44"/>
  </r>
  <r>
    <x v="2"/>
    <x v="168"/>
    <s v="LA"/>
    <x v="13"/>
    <x v="155"/>
    <n v="166"/>
    <n v="103"/>
    <n v="63"/>
  </r>
  <r>
    <x v="2"/>
    <x v="169"/>
    <s v="LA"/>
    <x v="13"/>
    <x v="156"/>
    <n v="7333"/>
    <n v="4339"/>
    <n v="2994"/>
  </r>
  <r>
    <x v="2"/>
    <x v="170"/>
    <s v="LA"/>
    <x v="13"/>
    <x v="157"/>
    <n v="360"/>
    <n v="241"/>
    <n v="119"/>
  </r>
  <r>
    <x v="2"/>
    <x v="171"/>
    <s v="LA"/>
    <x v="13"/>
    <x v="158"/>
    <n v="387"/>
    <n v="234"/>
    <n v="153"/>
  </r>
  <r>
    <x v="2"/>
    <x v="172"/>
    <s v="LA"/>
    <x v="13"/>
    <x v="159"/>
    <n v="428"/>
    <n v="247"/>
    <n v="181"/>
  </r>
  <r>
    <x v="2"/>
    <x v="173"/>
    <s v="LA"/>
    <x v="13"/>
    <x v="160"/>
    <n v="105"/>
    <n v="75"/>
    <n v="30"/>
  </r>
  <r>
    <x v="2"/>
    <x v="174"/>
    <s v="LA"/>
    <x v="13"/>
    <x v="161"/>
    <n v="694"/>
    <n v="417"/>
    <n v="277"/>
  </r>
  <r>
    <x v="2"/>
    <x v="175"/>
    <s v="LA"/>
    <x v="13"/>
    <x v="75"/>
    <n v="163"/>
    <n v="101"/>
    <n v="62"/>
  </r>
  <r>
    <x v="2"/>
    <x v="176"/>
    <s v="ME"/>
    <x v="14"/>
    <x v="162"/>
    <n v="612"/>
    <n v="385"/>
    <n v="227"/>
  </r>
  <r>
    <x v="2"/>
    <x v="177"/>
    <s v="ME"/>
    <x v="14"/>
    <x v="163"/>
    <n v="36"/>
    <n v="19"/>
    <n v="17"/>
  </r>
  <r>
    <x v="2"/>
    <x v="178"/>
    <s v="ME"/>
    <x v="14"/>
    <x v="164"/>
    <n v="83"/>
    <n v="47"/>
    <n v="36"/>
  </r>
  <r>
    <x v="2"/>
    <x v="179"/>
    <s v="ME"/>
    <x v="14"/>
    <x v="165"/>
    <n v="14"/>
    <n v="8"/>
    <n v="6"/>
  </r>
  <r>
    <x v="2"/>
    <x v="180"/>
    <s v="ME"/>
    <x v="14"/>
    <x v="166"/>
    <n v="51"/>
    <n v="34"/>
    <n v="17"/>
  </r>
  <r>
    <x v="2"/>
    <x v="181"/>
    <s v="ME"/>
    <x v="14"/>
    <x v="167"/>
    <n v="271"/>
    <n v="172"/>
    <n v="99"/>
  </r>
  <r>
    <x v="2"/>
    <x v="182"/>
    <s v="ME"/>
    <x v="14"/>
    <x v="168"/>
    <n v="43"/>
    <n v="32"/>
    <n v="11"/>
  </r>
  <r>
    <x v="2"/>
    <x v="183"/>
    <s v="ME"/>
    <x v="14"/>
    <x v="169"/>
    <n v="113"/>
    <n v="76"/>
    <n v="37"/>
  </r>
  <r>
    <x v="2"/>
    <x v="184"/>
    <s v="ME"/>
    <x v="14"/>
    <x v="170"/>
    <n v="37"/>
    <n v="16"/>
    <n v="21"/>
  </r>
  <r>
    <x v="2"/>
    <x v="185"/>
    <s v="ME"/>
    <x v="14"/>
    <x v="171"/>
    <n v="49"/>
    <n v="29"/>
    <n v="20"/>
  </r>
  <r>
    <x v="2"/>
    <x v="186"/>
    <s v="ME"/>
    <x v="14"/>
    <x v="172"/>
    <n v="12"/>
    <n v="11"/>
    <n v="1"/>
  </r>
  <r>
    <x v="2"/>
    <x v="187"/>
    <s v="ME"/>
    <x v="14"/>
    <x v="66"/>
    <n v="2461"/>
    <n v="1432"/>
    <n v="1029"/>
  </r>
  <r>
    <x v="2"/>
    <x v="188"/>
    <s v="ME"/>
    <x v="14"/>
    <x v="104"/>
    <n v="68"/>
    <n v="42"/>
    <n v="26"/>
  </r>
  <r>
    <x v="2"/>
    <x v="189"/>
    <s v="ME"/>
    <x v="14"/>
    <x v="173"/>
    <n v="77"/>
    <n v="53"/>
    <n v="24"/>
  </r>
  <r>
    <x v="2"/>
    <x v="190"/>
    <s v="ME"/>
    <x v="14"/>
    <x v="174"/>
    <n v="7"/>
    <n v="5"/>
    <n v="2"/>
  </r>
  <r>
    <x v="2"/>
    <x v="191"/>
    <s v="ME"/>
    <x v="14"/>
    <x v="175"/>
    <n v="36"/>
    <n v="24"/>
    <n v="12"/>
  </r>
  <r>
    <x v="2"/>
    <x v="192"/>
    <s v="ME"/>
    <x v="14"/>
    <x v="176"/>
    <n v="70"/>
    <n v="43"/>
    <n v="27"/>
  </r>
  <r>
    <x v="2"/>
    <x v="193"/>
    <s v="ME"/>
    <x v="14"/>
    <x v="177"/>
    <n v="67"/>
    <n v="40"/>
    <n v="27"/>
  </r>
  <r>
    <x v="2"/>
    <x v="194"/>
    <s v="ME"/>
    <x v="14"/>
    <x v="178"/>
    <n v="52"/>
    <n v="31"/>
    <n v="21"/>
  </r>
  <r>
    <x v="2"/>
    <x v="195"/>
    <s v="ME"/>
    <x v="14"/>
    <x v="73"/>
    <n v="189"/>
    <n v="133"/>
    <n v="56"/>
  </r>
  <r>
    <x v="2"/>
    <x v="196"/>
    <s v="ME"/>
    <x v="14"/>
    <x v="74"/>
    <n v="197"/>
    <n v="111"/>
    <n v="86"/>
  </r>
  <r>
    <x v="2"/>
    <x v="197"/>
    <s v="ME"/>
    <x v="14"/>
    <x v="179"/>
    <n v="93"/>
    <n v="55"/>
    <n v="38"/>
  </r>
  <r>
    <x v="2"/>
    <x v="198"/>
    <s v="ME"/>
    <x v="14"/>
    <x v="180"/>
    <n v="42"/>
    <n v="30"/>
    <n v="12"/>
  </r>
  <r>
    <x v="2"/>
    <x v="199"/>
    <s v="MI"/>
    <x v="15"/>
    <x v="181"/>
    <n v="501"/>
    <n v="352"/>
    <n v="149"/>
  </r>
  <r>
    <x v="2"/>
    <x v="200"/>
    <s v="MI"/>
    <x v="15"/>
    <x v="163"/>
    <n v="116"/>
    <n v="73"/>
    <n v="43"/>
  </r>
  <r>
    <x v="2"/>
    <x v="201"/>
    <s v="MI"/>
    <x v="15"/>
    <x v="182"/>
    <n v="2234"/>
    <n v="1107"/>
    <n v="1127"/>
  </r>
  <r>
    <x v="2"/>
    <x v="202"/>
    <s v="MI"/>
    <x v="15"/>
    <x v="183"/>
    <n v="307"/>
    <n v="207"/>
    <n v="100"/>
  </r>
  <r>
    <x v="2"/>
    <x v="203"/>
    <s v="MI"/>
    <x v="15"/>
    <x v="184"/>
    <n v="87"/>
    <n v="54"/>
    <n v="33"/>
  </r>
  <r>
    <x v="2"/>
    <x v="204"/>
    <s v="MI"/>
    <x v="15"/>
    <x v="185"/>
    <n v="205"/>
    <n v="117"/>
    <n v="88"/>
  </r>
  <r>
    <x v="2"/>
    <x v="205"/>
    <s v="MI"/>
    <x v="15"/>
    <x v="186"/>
    <n v="862"/>
    <n v="425"/>
    <n v="437"/>
  </r>
  <r>
    <x v="2"/>
    <x v="206"/>
    <s v="MI"/>
    <x v="15"/>
    <x v="187"/>
    <n v="544"/>
    <n v="372"/>
    <n v="172"/>
  </r>
  <r>
    <x v="2"/>
    <x v="207"/>
    <s v="MI"/>
    <x v="15"/>
    <x v="188"/>
    <n v="196"/>
    <n v="107"/>
    <n v="89"/>
  </r>
  <r>
    <x v="2"/>
    <x v="208"/>
    <s v="MI"/>
    <x v="15"/>
    <x v="189"/>
    <n v="1555"/>
    <n v="968"/>
    <n v="587"/>
  </r>
  <r>
    <x v="2"/>
    <x v="209"/>
    <s v="MI"/>
    <x v="15"/>
    <x v="38"/>
    <n v="631"/>
    <n v="461"/>
    <n v="170"/>
  </r>
  <r>
    <x v="2"/>
    <x v="210"/>
    <s v="MI"/>
    <x v="15"/>
    <x v="190"/>
    <n v="701"/>
    <n v="458"/>
    <n v="243"/>
  </r>
  <r>
    <x v="2"/>
    <x v="211"/>
    <s v="MI"/>
    <x v="15"/>
    <x v="191"/>
    <n v="228"/>
    <n v="131"/>
    <n v="97"/>
  </r>
  <r>
    <x v="2"/>
    <x v="212"/>
    <s v="MI"/>
    <x v="15"/>
    <x v="55"/>
    <n v="62"/>
    <n v="48"/>
    <n v="14"/>
  </r>
  <r>
    <x v="2"/>
    <x v="213"/>
    <s v="MI"/>
    <x v="15"/>
    <x v="192"/>
    <n v="377"/>
    <n v="281"/>
    <n v="96"/>
  </r>
  <r>
    <x v="2"/>
    <x v="214"/>
    <s v="MI"/>
    <x v="15"/>
    <x v="193"/>
    <n v="30"/>
    <n v="23"/>
    <n v="7"/>
  </r>
  <r>
    <x v="2"/>
    <x v="215"/>
    <s v="MI"/>
    <x v="15"/>
    <x v="194"/>
    <n v="692"/>
    <n v="471"/>
    <n v="221"/>
  </r>
  <r>
    <x v="2"/>
    <x v="216"/>
    <s v="MI"/>
    <x v="15"/>
    <x v="49"/>
    <n v="125"/>
    <n v="97"/>
    <n v="28"/>
  </r>
  <r>
    <x v="2"/>
    <x v="217"/>
    <s v="MI"/>
    <x v="15"/>
    <x v="73"/>
    <n v="4367"/>
    <n v="2771"/>
    <n v="1596"/>
  </r>
  <r>
    <x v="2"/>
    <x v="218"/>
    <s v="MI"/>
    <x v="15"/>
    <x v="75"/>
    <n v="610"/>
    <n v="406"/>
    <n v="204"/>
  </r>
  <r>
    <x v="2"/>
    <x v="219"/>
    <s v="MI"/>
    <x v="15"/>
    <x v="76"/>
    <n v="786"/>
    <n v="485"/>
    <n v="301"/>
  </r>
  <r>
    <x v="2"/>
    <x v="220"/>
    <s v="MO"/>
    <x v="16"/>
    <x v="122"/>
    <n v="64"/>
    <n v="36"/>
    <n v="28"/>
  </r>
  <r>
    <x v="2"/>
    <x v="221"/>
    <s v="MO"/>
    <x v="16"/>
    <x v="195"/>
    <n v="9"/>
    <n v="6"/>
    <n v="3"/>
  </r>
  <r>
    <x v="2"/>
    <x v="222"/>
    <s v="MO"/>
    <x v="16"/>
    <x v="59"/>
    <n v="142"/>
    <n v="90"/>
    <n v="52"/>
  </r>
  <r>
    <x v="2"/>
    <x v="223"/>
    <s v="MO"/>
    <x v="16"/>
    <x v="196"/>
    <n v="99"/>
    <n v="64"/>
    <n v="35"/>
  </r>
  <r>
    <x v="2"/>
    <x v="224"/>
    <s v="MO"/>
    <x v="16"/>
    <x v="89"/>
    <n v="93"/>
    <n v="64"/>
    <n v="29"/>
  </r>
  <r>
    <x v="2"/>
    <x v="225"/>
    <s v="MO"/>
    <x v="16"/>
    <x v="83"/>
    <n v="220"/>
    <n v="150"/>
    <n v="70"/>
  </r>
  <r>
    <x v="2"/>
    <x v="226"/>
    <s v="MO"/>
    <x v="16"/>
    <x v="66"/>
    <n v="97"/>
    <n v="69"/>
    <n v="28"/>
  </r>
  <r>
    <x v="2"/>
    <x v="227"/>
    <s v="MO"/>
    <x v="16"/>
    <x v="197"/>
    <n v="3330"/>
    <n v="2090"/>
    <n v="1240"/>
  </r>
  <r>
    <x v="2"/>
    <x v="228"/>
    <s v="MO"/>
    <x v="16"/>
    <x v="94"/>
    <n v="137"/>
    <n v="88"/>
    <n v="49"/>
  </r>
  <r>
    <x v="2"/>
    <x v="229"/>
    <s v="MO"/>
    <x v="16"/>
    <x v="198"/>
    <n v="75"/>
    <n v="47"/>
    <n v="28"/>
  </r>
  <r>
    <x v="2"/>
    <x v="230"/>
    <s v="MO"/>
    <x v="16"/>
    <x v="199"/>
    <n v="19"/>
    <n v="16"/>
    <n v="3"/>
  </r>
  <r>
    <x v="2"/>
    <x v="231"/>
    <s v="MO"/>
    <x v="16"/>
    <x v="200"/>
    <n v="82"/>
    <n v="51"/>
    <n v="31"/>
  </r>
  <r>
    <x v="2"/>
    <x v="232"/>
    <s v="MO"/>
    <x v="16"/>
    <x v="201"/>
    <n v="8"/>
    <n v="7"/>
    <n v="1"/>
  </r>
  <r>
    <x v="2"/>
    <x v="233"/>
    <s v="NU"/>
    <x v="17"/>
    <x v="202"/>
    <n v="91"/>
    <n v="58"/>
    <n v="33"/>
  </r>
  <r>
    <x v="2"/>
    <x v="234"/>
    <s v="NU"/>
    <x v="17"/>
    <x v="80"/>
    <n v="144"/>
    <n v="84"/>
    <n v="60"/>
  </r>
  <r>
    <x v="2"/>
    <x v="235"/>
    <s v="NU"/>
    <x v="17"/>
    <x v="203"/>
    <n v="157"/>
    <n v="104"/>
    <n v="53"/>
  </r>
  <r>
    <x v="2"/>
    <x v="236"/>
    <s v="NU"/>
    <x v="17"/>
    <x v="204"/>
    <n v="271"/>
    <n v="173"/>
    <n v="98"/>
  </r>
  <r>
    <x v="2"/>
    <x v="237"/>
    <s v="NU"/>
    <x v="17"/>
    <x v="205"/>
    <n v="82"/>
    <n v="39"/>
    <n v="43"/>
  </r>
  <r>
    <x v="2"/>
    <x v="238"/>
    <s v="NU"/>
    <x v="17"/>
    <x v="206"/>
    <n v="166"/>
    <n v="98"/>
    <n v="68"/>
  </r>
  <r>
    <x v="2"/>
    <x v="239"/>
    <s v="NU"/>
    <x v="17"/>
    <x v="207"/>
    <n v="168"/>
    <n v="94"/>
    <n v="74"/>
  </r>
  <r>
    <x v="2"/>
    <x v="240"/>
    <s v="NU"/>
    <x v="17"/>
    <x v="208"/>
    <n v="1205"/>
    <n v="703"/>
    <n v="502"/>
  </r>
  <r>
    <x v="2"/>
    <x v="241"/>
    <s v="NU"/>
    <x v="17"/>
    <x v="209"/>
    <n v="85"/>
    <n v="49"/>
    <n v="36"/>
  </r>
  <r>
    <x v="2"/>
    <x v="242"/>
    <s v="NU"/>
    <x v="17"/>
    <x v="210"/>
    <n v="134"/>
    <n v="73"/>
    <n v="61"/>
  </r>
  <r>
    <x v="2"/>
    <x v="243"/>
    <s v="NU"/>
    <x v="17"/>
    <x v="211"/>
    <n v="42"/>
    <n v="26"/>
    <n v="16"/>
  </r>
  <r>
    <x v="2"/>
    <x v="244"/>
    <s v="PO"/>
    <x v="18"/>
    <x v="212"/>
    <n v="104"/>
    <n v="67"/>
    <n v="37"/>
  </r>
  <r>
    <x v="2"/>
    <x v="245"/>
    <s v="PO"/>
    <x v="18"/>
    <x v="213"/>
    <n v="1353"/>
    <n v="829"/>
    <n v="524"/>
  </r>
  <r>
    <x v="2"/>
    <x v="246"/>
    <s v="PO"/>
    <x v="18"/>
    <x v="214"/>
    <n v="127"/>
    <n v="78"/>
    <n v="49"/>
  </r>
  <r>
    <x v="2"/>
    <x v="247"/>
    <s v="PO"/>
    <x v="18"/>
    <x v="215"/>
    <n v="1189"/>
    <n v="723"/>
    <n v="466"/>
  </r>
  <r>
    <x v="2"/>
    <x v="248"/>
    <s v="PO"/>
    <x v="18"/>
    <x v="216"/>
    <n v="74"/>
    <n v="46"/>
    <n v="28"/>
  </r>
  <r>
    <x v="2"/>
    <x v="249"/>
    <s v="PO"/>
    <x v="18"/>
    <x v="217"/>
    <n v="70"/>
    <n v="36"/>
    <n v="34"/>
  </r>
  <r>
    <x v="2"/>
    <x v="250"/>
    <s v="PO"/>
    <x v="18"/>
    <x v="218"/>
    <n v="165"/>
    <n v="111"/>
    <n v="54"/>
  </r>
  <r>
    <x v="2"/>
    <x v="251"/>
    <s v="PO"/>
    <x v="18"/>
    <x v="55"/>
    <n v="567"/>
    <n v="358"/>
    <n v="209"/>
  </r>
  <r>
    <x v="2"/>
    <x v="252"/>
    <s v="PO"/>
    <x v="18"/>
    <x v="219"/>
    <n v="19"/>
    <n v="16"/>
    <n v="3"/>
  </r>
  <r>
    <x v="2"/>
    <x v="253"/>
    <s v="PO"/>
    <x v="18"/>
    <x v="220"/>
    <n v="63"/>
    <n v="36"/>
    <n v="27"/>
  </r>
  <r>
    <x v="2"/>
    <x v="254"/>
    <s v="PO"/>
    <x v="18"/>
    <x v="221"/>
    <n v="49"/>
    <n v="30"/>
    <n v="19"/>
  </r>
  <r>
    <x v="2"/>
    <x v="255"/>
    <s v="PO"/>
    <x v="18"/>
    <x v="222"/>
    <n v="34"/>
    <n v="21"/>
    <n v="13"/>
  </r>
  <r>
    <x v="2"/>
    <x v="256"/>
    <s v="PO"/>
    <x v="18"/>
    <x v="73"/>
    <n v="112"/>
    <n v="73"/>
    <n v="39"/>
  </r>
  <r>
    <x v="2"/>
    <x v="257"/>
    <s v="PO"/>
    <x v="18"/>
    <x v="223"/>
    <n v="243"/>
    <n v="161"/>
    <n v="82"/>
  </r>
  <r>
    <x v="2"/>
    <x v="258"/>
    <s v="SU"/>
    <x v="19"/>
    <x v="154"/>
    <n v="93"/>
    <n v="57"/>
    <n v="36"/>
  </r>
  <r>
    <x v="2"/>
    <x v="259"/>
    <s v="SU"/>
    <x v="19"/>
    <x v="224"/>
    <n v="67"/>
    <n v="37"/>
    <n v="30"/>
  </r>
  <r>
    <x v="2"/>
    <x v="260"/>
    <s v="SU"/>
    <x v="19"/>
    <x v="80"/>
    <n v="212"/>
    <n v="137"/>
    <n v="75"/>
  </r>
  <r>
    <x v="2"/>
    <x v="261"/>
    <s v="SU"/>
    <x v="19"/>
    <x v="225"/>
    <n v="67"/>
    <n v="34"/>
    <n v="33"/>
  </r>
  <r>
    <x v="2"/>
    <x v="262"/>
    <s v="SU"/>
    <x v="19"/>
    <x v="226"/>
    <n v="1239"/>
    <n v="741"/>
    <n v="498"/>
  </r>
  <r>
    <x v="2"/>
    <x v="263"/>
    <s v="SU"/>
    <x v="19"/>
    <x v="59"/>
    <n v="65"/>
    <n v="39"/>
    <n v="26"/>
  </r>
  <r>
    <x v="2"/>
    <x v="264"/>
    <s v="SU"/>
    <x v="19"/>
    <x v="227"/>
    <n v="75"/>
    <n v="51"/>
    <n v="24"/>
  </r>
  <r>
    <x v="2"/>
    <x v="265"/>
    <s v="SU"/>
    <x v="19"/>
    <x v="228"/>
    <n v="92"/>
    <n v="59"/>
    <n v="33"/>
  </r>
  <r>
    <x v="2"/>
    <x v="266"/>
    <s v="SU"/>
    <x v="19"/>
    <x v="66"/>
    <n v="46"/>
    <n v="28"/>
    <n v="18"/>
  </r>
  <r>
    <x v="2"/>
    <x v="267"/>
    <s v="SU"/>
    <x v="19"/>
    <x v="208"/>
    <n v="97"/>
    <n v="68"/>
    <n v="29"/>
  </r>
  <r>
    <x v="2"/>
    <x v="268"/>
    <s v="SU"/>
    <x v="19"/>
    <x v="229"/>
    <n v="45"/>
    <n v="24"/>
    <n v="21"/>
  </r>
  <r>
    <x v="2"/>
    <x v="269"/>
    <s v="SU"/>
    <x v="19"/>
    <x v="230"/>
    <n v="210"/>
    <n v="127"/>
    <n v="83"/>
  </r>
  <r>
    <x v="2"/>
    <x v="270"/>
    <s v="SU"/>
    <x v="19"/>
    <x v="231"/>
    <n v="217"/>
    <n v="138"/>
    <n v="79"/>
  </r>
  <r>
    <x v="2"/>
    <x v="271"/>
    <s v="SU"/>
    <x v="19"/>
    <x v="73"/>
    <n v="2354"/>
    <n v="1456"/>
    <n v="898"/>
  </r>
  <r>
    <x v="2"/>
    <x v="272"/>
    <s v="SU"/>
    <x v="19"/>
    <x v="232"/>
    <n v="188"/>
    <n v="138"/>
    <n v="50"/>
  </r>
  <r>
    <x v="2"/>
    <x v="273"/>
    <s v="TA"/>
    <x v="20"/>
    <x v="163"/>
    <n v="74"/>
    <n v="52"/>
    <n v="22"/>
  </r>
  <r>
    <x v="2"/>
    <x v="274"/>
    <s v="TA"/>
    <x v="20"/>
    <x v="233"/>
    <n v="37"/>
    <n v="24"/>
    <n v="13"/>
  </r>
  <r>
    <x v="2"/>
    <x v="275"/>
    <s v="TA"/>
    <x v="20"/>
    <x v="234"/>
    <n v="306"/>
    <n v="188"/>
    <n v="118"/>
  </r>
  <r>
    <x v="2"/>
    <x v="276"/>
    <s v="TA"/>
    <x v="20"/>
    <x v="59"/>
    <n v="163"/>
    <n v="97"/>
    <n v="66"/>
  </r>
  <r>
    <x v="2"/>
    <x v="277"/>
    <s v="TA"/>
    <x v="20"/>
    <x v="235"/>
    <n v="231"/>
    <n v="128"/>
    <n v="103"/>
  </r>
  <r>
    <x v="2"/>
    <x v="278"/>
    <s v="TA"/>
    <x v="20"/>
    <x v="236"/>
    <n v="119"/>
    <n v="83"/>
    <n v="36"/>
  </r>
  <r>
    <x v="2"/>
    <x v="279"/>
    <s v="TA"/>
    <x v="20"/>
    <x v="237"/>
    <n v="181"/>
    <n v="132"/>
    <n v="49"/>
  </r>
  <r>
    <x v="2"/>
    <x v="280"/>
    <s v="TA"/>
    <x v="20"/>
    <x v="35"/>
    <n v="19"/>
    <n v="12"/>
    <n v="7"/>
  </r>
  <r>
    <x v="2"/>
    <x v="281"/>
    <s v="TA"/>
    <x v="20"/>
    <x v="238"/>
    <n v="155"/>
    <n v="96"/>
    <n v="59"/>
  </r>
  <r>
    <x v="2"/>
    <x v="282"/>
    <s v="TA"/>
    <x v="20"/>
    <x v="239"/>
    <n v="96"/>
    <n v="44"/>
    <n v="52"/>
  </r>
  <r>
    <x v="2"/>
    <x v="283"/>
    <s v="TA"/>
    <x v="20"/>
    <x v="38"/>
    <n v="96"/>
    <n v="52"/>
    <n v="44"/>
  </r>
  <r>
    <x v="2"/>
    <x v="284"/>
    <s v="TA"/>
    <x v="20"/>
    <x v="240"/>
    <n v="231"/>
    <n v="142"/>
    <n v="89"/>
  </r>
  <r>
    <x v="2"/>
    <x v="285"/>
    <s v="TA"/>
    <x v="20"/>
    <x v="241"/>
    <n v="31"/>
    <n v="21"/>
    <n v="10"/>
  </r>
  <r>
    <x v="2"/>
    <x v="286"/>
    <s v="TA"/>
    <x v="20"/>
    <x v="242"/>
    <n v="279"/>
    <n v="172"/>
    <n v="107"/>
  </r>
  <r>
    <x v="2"/>
    <x v="287"/>
    <s v="TA"/>
    <x v="20"/>
    <x v="42"/>
    <n v="65"/>
    <n v="44"/>
    <n v="21"/>
  </r>
  <r>
    <x v="2"/>
    <x v="288"/>
    <s v="TA"/>
    <x v="20"/>
    <x v="66"/>
    <n v="86"/>
    <n v="59"/>
    <n v="27"/>
  </r>
  <r>
    <x v="2"/>
    <x v="289"/>
    <s v="TA"/>
    <x v="20"/>
    <x v="243"/>
    <n v="37"/>
    <n v="26"/>
    <n v="11"/>
  </r>
  <r>
    <x v="2"/>
    <x v="290"/>
    <s v="TA"/>
    <x v="20"/>
    <x v="244"/>
    <n v="73"/>
    <n v="48"/>
    <n v="25"/>
  </r>
  <r>
    <x v="2"/>
    <x v="291"/>
    <s v="TA"/>
    <x v="20"/>
    <x v="245"/>
    <n v="153"/>
    <n v="99"/>
    <n v="54"/>
  </r>
  <r>
    <x v="2"/>
    <x v="292"/>
    <s v="TA"/>
    <x v="20"/>
    <x v="246"/>
    <n v="85"/>
    <n v="64"/>
    <n v="21"/>
  </r>
  <r>
    <x v="2"/>
    <x v="293"/>
    <s v="TA"/>
    <x v="20"/>
    <x v="247"/>
    <n v="21"/>
    <n v="11"/>
    <n v="10"/>
  </r>
  <r>
    <x v="2"/>
    <x v="294"/>
    <s v="TA"/>
    <x v="20"/>
    <x v="248"/>
    <n v="58"/>
    <n v="37"/>
    <n v="21"/>
  </r>
  <r>
    <x v="2"/>
    <x v="295"/>
    <s v="TA"/>
    <x v="20"/>
    <x v="249"/>
    <n v="3805"/>
    <n v="2180"/>
    <n v="1625"/>
  </r>
  <r>
    <x v="2"/>
    <x v="296"/>
    <s v="TA"/>
    <x v="20"/>
    <x v="250"/>
    <n v="21"/>
    <n v="13"/>
    <n v="8"/>
  </r>
  <r>
    <x v="2"/>
    <x v="297"/>
    <s v="TA"/>
    <x v="20"/>
    <x v="251"/>
    <n v="36"/>
    <n v="27"/>
    <n v="9"/>
  </r>
  <r>
    <x v="2"/>
    <x v="298"/>
    <s v="TA"/>
    <x v="20"/>
    <x v="50"/>
    <n v="9"/>
    <n v="7"/>
    <n v="2"/>
  </r>
  <r>
    <x v="2"/>
    <x v="299"/>
    <s v="TA"/>
    <x v="20"/>
    <x v="73"/>
    <n v="19"/>
    <n v="10"/>
    <n v="9"/>
  </r>
  <r>
    <x v="2"/>
    <x v="300"/>
    <s v="TA"/>
    <x v="20"/>
    <x v="252"/>
    <n v="138"/>
    <n v="109"/>
    <n v="29"/>
  </r>
  <r>
    <x v="2"/>
    <x v="301"/>
    <s v="TA"/>
    <x v="20"/>
    <x v="253"/>
    <n v="77"/>
    <n v="49"/>
    <n v="28"/>
  </r>
  <r>
    <x v="2"/>
    <x v="302"/>
    <s v="TR"/>
    <x v="21"/>
    <x v="163"/>
    <n v="53"/>
    <n v="44"/>
    <n v="9"/>
  </r>
  <r>
    <x v="2"/>
    <x v="303"/>
    <s v="TR"/>
    <x v="21"/>
    <x v="254"/>
    <n v="574"/>
    <n v="322"/>
    <n v="252"/>
  </r>
  <r>
    <x v="2"/>
    <x v="304"/>
    <s v="TR"/>
    <x v="21"/>
    <x v="59"/>
    <n v="28"/>
    <n v="18"/>
    <n v="10"/>
  </r>
  <r>
    <x v="2"/>
    <x v="305"/>
    <s v="TR"/>
    <x v="21"/>
    <x v="255"/>
    <n v="88"/>
    <n v="55"/>
    <n v="33"/>
  </r>
  <r>
    <x v="2"/>
    <x v="306"/>
    <s v="TR"/>
    <x v="21"/>
    <x v="256"/>
    <n v="151"/>
    <n v="91"/>
    <n v="60"/>
  </r>
  <r>
    <x v="2"/>
    <x v="307"/>
    <s v="TR"/>
    <x v="21"/>
    <x v="257"/>
    <n v="61"/>
    <n v="37"/>
    <n v="24"/>
  </r>
  <r>
    <x v="2"/>
    <x v="308"/>
    <s v="TR"/>
    <x v="21"/>
    <x v="258"/>
    <n v="10"/>
    <n v="9"/>
    <n v="1"/>
  </r>
  <r>
    <x v="2"/>
    <x v="309"/>
    <s v="TR"/>
    <x v="21"/>
    <x v="259"/>
    <n v="30"/>
    <n v="18"/>
    <n v="12"/>
  </r>
  <r>
    <x v="2"/>
    <x v="310"/>
    <s v="TR"/>
    <x v="21"/>
    <x v="260"/>
    <n v="60"/>
    <n v="44"/>
    <n v="16"/>
  </r>
  <r>
    <x v="2"/>
    <x v="311"/>
    <s v="TR"/>
    <x v="21"/>
    <x v="104"/>
    <n v="50"/>
    <n v="37"/>
    <n v="13"/>
  </r>
  <r>
    <x v="2"/>
    <x v="312"/>
    <s v="TR"/>
    <x v="21"/>
    <x v="261"/>
    <n v="33"/>
    <n v="21"/>
    <n v="12"/>
  </r>
  <r>
    <x v="2"/>
    <x v="313"/>
    <s v="TR"/>
    <x v="21"/>
    <x v="262"/>
    <n v="33"/>
    <n v="20"/>
    <n v="13"/>
  </r>
  <r>
    <x v="2"/>
    <x v="314"/>
    <s v="TR"/>
    <x v="21"/>
    <x v="263"/>
    <n v="142"/>
    <n v="86"/>
    <n v="56"/>
  </r>
  <r>
    <x v="2"/>
    <x v="315"/>
    <s v="TR"/>
    <x v="21"/>
    <x v="264"/>
    <n v="63"/>
    <n v="47"/>
    <n v="16"/>
  </r>
  <r>
    <x v="2"/>
    <x v="316"/>
    <s v="TR"/>
    <x v="21"/>
    <x v="265"/>
    <n v="52"/>
    <n v="33"/>
    <n v="19"/>
  </r>
  <r>
    <x v="2"/>
    <x v="317"/>
    <s v="TR"/>
    <x v="21"/>
    <x v="266"/>
    <n v="111"/>
    <n v="78"/>
    <n v="33"/>
  </r>
  <r>
    <x v="2"/>
    <x v="318"/>
    <s v="TR"/>
    <x v="21"/>
    <x v="73"/>
    <n v="127"/>
    <n v="86"/>
    <n v="41"/>
  </r>
  <r>
    <x v="2"/>
    <x v="319"/>
    <s v="TR"/>
    <x v="21"/>
    <x v="267"/>
    <n v="505"/>
    <n v="288"/>
    <n v="217"/>
  </r>
  <r>
    <x v="2"/>
    <x v="320"/>
    <s v="TR"/>
    <x v="21"/>
    <x v="75"/>
    <n v="94"/>
    <n v="56"/>
    <n v="38"/>
  </r>
  <r>
    <x v="2"/>
    <x v="321"/>
    <s v="TR"/>
    <x v="21"/>
    <x v="268"/>
    <n v="1716"/>
    <n v="1006"/>
    <n v="710"/>
  </r>
  <r>
    <x v="2"/>
    <x v="322"/>
    <s v="VA"/>
    <x v="0"/>
    <x v="269"/>
    <n v="150"/>
    <n v="104"/>
    <n v="46"/>
  </r>
  <r>
    <x v="2"/>
    <x v="323"/>
    <s v="VA"/>
    <x v="0"/>
    <x v="270"/>
    <n v="152"/>
    <n v="97"/>
    <n v="55"/>
  </r>
  <r>
    <x v="2"/>
    <x v="324"/>
    <s v="VA"/>
    <x v="0"/>
    <x v="271"/>
    <n v="536"/>
    <n v="336"/>
    <n v="200"/>
  </r>
  <r>
    <x v="2"/>
    <x v="325"/>
    <s v="VA"/>
    <x v="0"/>
    <x v="272"/>
    <n v="34"/>
    <n v="18"/>
    <n v="16"/>
  </r>
  <r>
    <x v="2"/>
    <x v="326"/>
    <s v="VA"/>
    <x v="0"/>
    <x v="273"/>
    <n v="306"/>
    <n v="209"/>
    <n v="97"/>
  </r>
  <r>
    <x v="2"/>
    <x v="327"/>
    <s v="VA"/>
    <x v="0"/>
    <x v="274"/>
    <n v="14"/>
    <n v="10"/>
    <n v="4"/>
  </r>
  <r>
    <x v="2"/>
    <x v="328"/>
    <s v="VA"/>
    <x v="0"/>
    <x v="275"/>
    <n v="572"/>
    <n v="329"/>
    <n v="243"/>
  </r>
  <r>
    <x v="2"/>
    <x v="329"/>
    <s v="VA"/>
    <x v="0"/>
    <x v="276"/>
    <n v="101"/>
    <n v="57"/>
    <n v="44"/>
  </r>
  <r>
    <x v="2"/>
    <x v="330"/>
    <s v="VA"/>
    <x v="0"/>
    <x v="277"/>
    <n v="142"/>
    <n v="89"/>
    <n v="53"/>
  </r>
  <r>
    <x v="2"/>
    <x v="331"/>
    <s v="VA"/>
    <x v="0"/>
    <x v="278"/>
    <n v="63"/>
    <n v="40"/>
    <n v="23"/>
  </r>
  <r>
    <x v="2"/>
    <x v="332"/>
    <s v="VA"/>
    <x v="0"/>
    <x v="279"/>
    <n v="178"/>
    <n v="116"/>
    <n v="62"/>
  </r>
  <r>
    <x v="2"/>
    <x v="333"/>
    <s v="YA"/>
    <x v="22"/>
    <x v="280"/>
    <n v="53"/>
    <n v="32"/>
    <n v="21"/>
  </r>
  <r>
    <x v="2"/>
    <x v="334"/>
    <s v="YA"/>
    <x v="22"/>
    <x v="59"/>
    <n v="78"/>
    <n v="45"/>
    <n v="33"/>
  </r>
  <r>
    <x v="2"/>
    <x v="335"/>
    <s v="YA"/>
    <x v="22"/>
    <x v="281"/>
    <n v="214"/>
    <n v="142"/>
    <n v="72"/>
  </r>
  <r>
    <x v="2"/>
    <x v="336"/>
    <s v="YA"/>
    <x v="22"/>
    <x v="282"/>
    <n v="91"/>
    <n v="64"/>
    <n v="27"/>
  </r>
  <r>
    <x v="2"/>
    <x v="337"/>
    <s v="YA"/>
    <x v="22"/>
    <x v="38"/>
    <n v="157"/>
    <n v="102"/>
    <n v="55"/>
  </r>
  <r>
    <x v="2"/>
    <x v="338"/>
    <s v="YA"/>
    <x v="22"/>
    <x v="283"/>
    <n v="44"/>
    <n v="31"/>
    <n v="13"/>
  </r>
  <r>
    <x v="2"/>
    <x v="339"/>
    <s v="YA"/>
    <x v="22"/>
    <x v="284"/>
    <n v="38"/>
    <n v="16"/>
    <n v="22"/>
  </r>
  <r>
    <x v="2"/>
    <x v="340"/>
    <s v="YA"/>
    <x v="22"/>
    <x v="285"/>
    <n v="40"/>
    <n v="26"/>
    <n v="14"/>
  </r>
  <r>
    <x v="2"/>
    <x v="341"/>
    <s v="YA"/>
    <x v="22"/>
    <x v="286"/>
    <n v="248"/>
    <n v="165"/>
    <n v="83"/>
  </r>
  <r>
    <x v="2"/>
    <x v="342"/>
    <s v="YA"/>
    <x v="22"/>
    <x v="287"/>
    <n v="268"/>
    <n v="169"/>
    <n v="99"/>
  </r>
  <r>
    <x v="2"/>
    <x v="343"/>
    <s v="YA"/>
    <x v="22"/>
    <x v="288"/>
    <n v="1520"/>
    <n v="855"/>
    <n v="665"/>
  </r>
  <r>
    <x v="2"/>
    <x v="344"/>
    <s v="YA"/>
    <x v="22"/>
    <x v="73"/>
    <n v="37"/>
    <n v="25"/>
    <n v="12"/>
  </r>
  <r>
    <x v="2"/>
    <x v="345"/>
    <s v="YA"/>
    <x v="22"/>
    <x v="289"/>
    <n v="51"/>
    <n v="35"/>
    <n v="16"/>
  </r>
  <r>
    <x v="2"/>
    <x v="346"/>
    <s v="YA"/>
    <x v="22"/>
    <x v="290"/>
    <n v="74"/>
    <n v="56"/>
    <n v="18"/>
  </r>
  <r>
    <x v="2"/>
    <x v="347"/>
    <s v="ZU"/>
    <x v="23"/>
    <x v="291"/>
    <n v="34"/>
    <n v="18"/>
    <n v="16"/>
  </r>
  <r>
    <x v="2"/>
    <x v="348"/>
    <s v="ZU"/>
    <x v="23"/>
    <x v="292"/>
    <n v="298"/>
    <n v="211"/>
    <n v="87"/>
  </r>
  <r>
    <x v="2"/>
    <x v="349"/>
    <s v="ZU"/>
    <x v="23"/>
    <x v="293"/>
    <n v="1443"/>
    <n v="820"/>
    <n v="623"/>
  </r>
  <r>
    <x v="2"/>
    <x v="350"/>
    <s v="ZU"/>
    <x v="23"/>
    <x v="294"/>
    <n v="99"/>
    <n v="68"/>
    <n v="31"/>
  </r>
  <r>
    <x v="2"/>
    <x v="351"/>
    <s v="ZU"/>
    <x v="23"/>
    <x v="295"/>
    <n v="509"/>
    <n v="327"/>
    <n v="182"/>
  </r>
  <r>
    <x v="2"/>
    <x v="352"/>
    <s v="ZU"/>
    <x v="23"/>
    <x v="296"/>
    <n v="75"/>
    <n v="55"/>
    <n v="20"/>
  </r>
  <r>
    <x v="2"/>
    <x v="353"/>
    <s v="ZU"/>
    <x v="23"/>
    <x v="297"/>
    <n v="378"/>
    <n v="255"/>
    <n v="123"/>
  </r>
  <r>
    <x v="2"/>
    <x v="354"/>
    <s v="ZU"/>
    <x v="23"/>
    <x v="298"/>
    <n v="117"/>
    <n v="83"/>
    <n v="34"/>
  </r>
  <r>
    <x v="2"/>
    <x v="355"/>
    <s v="ZU"/>
    <x v="23"/>
    <x v="299"/>
    <n v="259"/>
    <n v="192"/>
    <n v="67"/>
  </r>
  <r>
    <x v="2"/>
    <x v="356"/>
    <s v="ZU"/>
    <x v="23"/>
    <x v="300"/>
    <n v="1240"/>
    <n v="736"/>
    <n v="504"/>
  </r>
  <r>
    <x v="2"/>
    <x v="357"/>
    <s v="ZU"/>
    <x v="23"/>
    <x v="301"/>
    <n v="459"/>
    <n v="296"/>
    <n v="163"/>
  </r>
  <r>
    <x v="2"/>
    <x v="358"/>
    <s v="ZU"/>
    <x v="23"/>
    <x v="302"/>
    <n v="674"/>
    <n v="426"/>
    <n v="248"/>
  </r>
  <r>
    <x v="2"/>
    <x v="359"/>
    <s v="ZU"/>
    <x v="23"/>
    <x v="303"/>
    <n v="10564"/>
    <n v="5938"/>
    <n v="4626"/>
  </r>
  <r>
    <x v="2"/>
    <x v="360"/>
    <s v="ZU"/>
    <x v="23"/>
    <x v="104"/>
    <n v="356"/>
    <n v="247"/>
    <n v="109"/>
  </r>
  <r>
    <x v="2"/>
    <x v="361"/>
    <s v="ZU"/>
    <x v="23"/>
    <x v="55"/>
    <n v="164"/>
    <n v="94"/>
    <n v="70"/>
  </r>
  <r>
    <x v="2"/>
    <x v="362"/>
    <s v="ZU"/>
    <x v="23"/>
    <x v="304"/>
    <n v="319"/>
    <n v="201"/>
    <n v="118"/>
  </r>
  <r>
    <x v="2"/>
    <x v="363"/>
    <s v="ZU"/>
    <x v="23"/>
    <x v="136"/>
    <n v="1412"/>
    <n v="835"/>
    <n v="577"/>
  </r>
  <r>
    <x v="2"/>
    <x v="364"/>
    <s v="ZU"/>
    <x v="23"/>
    <x v="305"/>
    <n v="175"/>
    <n v="122"/>
    <n v="53"/>
  </r>
  <r>
    <x v="2"/>
    <x v="365"/>
    <s v="ZU"/>
    <x v="23"/>
    <x v="49"/>
    <n v="89"/>
    <n v="65"/>
    <n v="24"/>
  </r>
  <r>
    <x v="2"/>
    <x v="366"/>
    <s v="ZU"/>
    <x v="23"/>
    <x v="73"/>
    <n v="219"/>
    <n v="155"/>
    <n v="64"/>
  </r>
  <r>
    <x v="2"/>
    <x v="367"/>
    <s v="ZU"/>
    <x v="23"/>
    <x v="306"/>
    <n v="150"/>
    <n v="95"/>
    <n v="55"/>
  </r>
  <r>
    <x v="2"/>
    <x v="368"/>
    <s v="DE"/>
    <x v="24"/>
    <x v="307"/>
    <n v="2"/>
    <n v="2"/>
    <s v="-"/>
  </r>
  <r>
    <x v="3"/>
    <x v="0"/>
    <s v="VA"/>
    <x v="0"/>
    <x v="0"/>
    <n v="0"/>
    <n v="0"/>
    <n v="0"/>
  </r>
  <r>
    <x v="3"/>
    <x v="1"/>
    <s v="DI"/>
    <x v="1"/>
    <x v="1"/>
    <n v="0"/>
    <n v="0"/>
    <n v="0"/>
  </r>
  <r>
    <x v="3"/>
    <x v="2"/>
    <s v="DI"/>
    <x v="1"/>
    <x v="2"/>
    <n v="123"/>
    <n v="72"/>
    <n v="51"/>
  </r>
  <r>
    <x v="3"/>
    <x v="3"/>
    <s v="DI"/>
    <x v="1"/>
    <x v="3"/>
    <n v="479"/>
    <n v="336"/>
    <n v="143"/>
  </r>
  <r>
    <x v="3"/>
    <x v="4"/>
    <s v="DI"/>
    <x v="1"/>
    <x v="4"/>
    <n v="230"/>
    <n v="138"/>
    <n v="92"/>
  </r>
  <r>
    <x v="3"/>
    <x v="5"/>
    <s v="DI"/>
    <x v="1"/>
    <x v="5"/>
    <n v="416"/>
    <n v="243"/>
    <n v="173"/>
  </r>
  <r>
    <x v="3"/>
    <x v="6"/>
    <s v="DI"/>
    <x v="1"/>
    <x v="6"/>
    <n v="52"/>
    <n v="28"/>
    <n v="24"/>
  </r>
  <r>
    <x v="3"/>
    <x v="7"/>
    <s v="DI"/>
    <x v="1"/>
    <x v="7"/>
    <n v="430"/>
    <n v="316"/>
    <n v="114"/>
  </r>
  <r>
    <x v="3"/>
    <x v="8"/>
    <s v="DI"/>
    <x v="1"/>
    <x v="8"/>
    <n v="169"/>
    <n v="113"/>
    <n v="56"/>
  </r>
  <r>
    <x v="3"/>
    <x v="9"/>
    <s v="DI"/>
    <x v="1"/>
    <x v="9"/>
    <n v="2728"/>
    <n v="1748"/>
    <n v="980"/>
  </r>
  <r>
    <x v="3"/>
    <x v="10"/>
    <s v="DI"/>
    <x v="1"/>
    <x v="10"/>
    <n v="684"/>
    <n v="394"/>
    <n v="290"/>
  </r>
  <r>
    <x v="3"/>
    <x v="11"/>
    <s v="DI"/>
    <x v="1"/>
    <x v="11"/>
    <n v="354"/>
    <n v="228"/>
    <n v="126"/>
  </r>
  <r>
    <x v="3"/>
    <x v="12"/>
    <s v="DI"/>
    <x v="1"/>
    <x v="12"/>
    <n v="479"/>
    <n v="319"/>
    <n v="160"/>
  </r>
  <r>
    <x v="3"/>
    <x v="13"/>
    <s v="DI"/>
    <x v="1"/>
    <x v="13"/>
    <n v="441"/>
    <n v="281"/>
    <n v="160"/>
  </r>
  <r>
    <x v="3"/>
    <x v="14"/>
    <s v="DI"/>
    <x v="1"/>
    <x v="14"/>
    <n v="199"/>
    <n v="133"/>
    <n v="66"/>
  </r>
  <r>
    <x v="3"/>
    <x v="15"/>
    <s v="DI"/>
    <x v="1"/>
    <x v="15"/>
    <n v="140"/>
    <n v="99"/>
    <n v="41"/>
  </r>
  <r>
    <x v="3"/>
    <x v="16"/>
    <s v="DI"/>
    <x v="1"/>
    <x v="16"/>
    <n v="1220"/>
    <n v="648"/>
    <n v="572"/>
  </r>
  <r>
    <x v="3"/>
    <x v="17"/>
    <s v="DI"/>
    <x v="1"/>
    <x v="17"/>
    <n v="1120"/>
    <n v="598"/>
    <n v="522"/>
  </r>
  <r>
    <x v="3"/>
    <x v="18"/>
    <s v="DI"/>
    <x v="1"/>
    <x v="18"/>
    <n v="2201"/>
    <n v="1284"/>
    <n v="917"/>
  </r>
  <r>
    <x v="3"/>
    <x v="19"/>
    <s v="DI"/>
    <x v="1"/>
    <x v="19"/>
    <n v="2415"/>
    <n v="1383"/>
    <n v="1032"/>
  </r>
  <r>
    <x v="3"/>
    <x v="20"/>
    <s v="DI"/>
    <x v="1"/>
    <x v="20"/>
    <n v="650"/>
    <n v="333"/>
    <n v="317"/>
  </r>
  <r>
    <x v="3"/>
    <x v="21"/>
    <s v="DI"/>
    <x v="1"/>
    <x v="21"/>
    <n v="68"/>
    <n v="44"/>
    <n v="24"/>
  </r>
  <r>
    <x v="3"/>
    <x v="22"/>
    <s v="DI"/>
    <x v="1"/>
    <x v="22"/>
    <n v="1503"/>
    <n v="971"/>
    <n v="532"/>
  </r>
  <r>
    <x v="3"/>
    <x v="23"/>
    <s v="DI"/>
    <x v="1"/>
    <x v="23"/>
    <n v="324"/>
    <n v="184"/>
    <n v="140"/>
  </r>
  <r>
    <x v="3"/>
    <x v="24"/>
    <s v="AM"/>
    <x v="2"/>
    <x v="24"/>
    <n v="12"/>
    <n v="7"/>
    <n v="5"/>
  </r>
  <r>
    <x v="3"/>
    <x v="25"/>
    <s v="AM"/>
    <x v="2"/>
    <x v="25"/>
    <n v="12"/>
    <n v="7"/>
    <n v="5"/>
  </r>
  <r>
    <x v="3"/>
    <x v="26"/>
    <s v="AM"/>
    <x v="2"/>
    <x v="26"/>
    <n v="598"/>
    <n v="371"/>
    <n v="227"/>
  </r>
  <r>
    <x v="3"/>
    <x v="27"/>
    <s v="AM"/>
    <x v="2"/>
    <x v="27"/>
    <n v="14"/>
    <n v="11"/>
    <n v="3"/>
  </r>
  <r>
    <x v="3"/>
    <x v="28"/>
    <s v="AM"/>
    <x v="2"/>
    <x v="28"/>
    <n v="3"/>
    <n v="2"/>
    <n v="1"/>
  </r>
  <r>
    <x v="3"/>
    <x v="29"/>
    <s v="AM"/>
    <x v="2"/>
    <x v="29"/>
    <n v="1"/>
    <n v="0"/>
    <n v="1"/>
  </r>
  <r>
    <x v="3"/>
    <x v="30"/>
    <s v="AM"/>
    <x v="2"/>
    <x v="30"/>
    <n v="3"/>
    <n v="2"/>
    <n v="1"/>
  </r>
  <r>
    <x v="3"/>
    <x v="31"/>
    <s v="AN"/>
    <x v="3"/>
    <x v="31"/>
    <n v="428"/>
    <n v="254"/>
    <n v="174"/>
  </r>
  <r>
    <x v="3"/>
    <x v="32"/>
    <s v="AN"/>
    <x v="3"/>
    <x v="32"/>
    <n v="89"/>
    <n v="52"/>
    <n v="37"/>
  </r>
  <r>
    <x v="3"/>
    <x v="33"/>
    <s v="AN"/>
    <x v="3"/>
    <x v="33"/>
    <n v="178"/>
    <n v="101"/>
    <n v="77"/>
  </r>
  <r>
    <x v="3"/>
    <x v="34"/>
    <s v="AN"/>
    <x v="3"/>
    <x v="34"/>
    <n v="59"/>
    <n v="31"/>
    <n v="28"/>
  </r>
  <r>
    <x v="3"/>
    <x v="35"/>
    <s v="AN"/>
    <x v="3"/>
    <x v="35"/>
    <n v="113"/>
    <n v="82"/>
    <n v="31"/>
  </r>
  <r>
    <x v="3"/>
    <x v="36"/>
    <s v="AN"/>
    <x v="3"/>
    <x v="36"/>
    <n v="53"/>
    <n v="28"/>
    <n v="25"/>
  </r>
  <r>
    <x v="3"/>
    <x v="37"/>
    <s v="AN"/>
    <x v="3"/>
    <x v="37"/>
    <n v="52"/>
    <n v="37"/>
    <n v="15"/>
  </r>
  <r>
    <x v="3"/>
    <x v="38"/>
    <s v="AN"/>
    <x v="3"/>
    <x v="38"/>
    <n v="65"/>
    <n v="50"/>
    <n v="15"/>
  </r>
  <r>
    <x v="3"/>
    <x v="39"/>
    <s v="AN"/>
    <x v="3"/>
    <x v="39"/>
    <n v="51"/>
    <n v="28"/>
    <n v="23"/>
  </r>
  <r>
    <x v="3"/>
    <x v="40"/>
    <s v="AN"/>
    <x v="3"/>
    <x v="40"/>
    <n v="608"/>
    <n v="375"/>
    <n v="233"/>
  </r>
  <r>
    <x v="3"/>
    <x v="41"/>
    <s v="AN"/>
    <x v="3"/>
    <x v="41"/>
    <n v="26"/>
    <n v="22"/>
    <n v="4"/>
  </r>
  <r>
    <x v="3"/>
    <x v="42"/>
    <s v="AN"/>
    <x v="3"/>
    <x v="42"/>
    <n v="46"/>
    <n v="25"/>
    <n v="21"/>
  </r>
  <r>
    <x v="3"/>
    <x v="43"/>
    <s v="AN"/>
    <x v="3"/>
    <x v="43"/>
    <n v="101"/>
    <n v="57"/>
    <n v="44"/>
  </r>
  <r>
    <x v="3"/>
    <x v="44"/>
    <s v="AN"/>
    <x v="3"/>
    <x v="44"/>
    <n v="335"/>
    <n v="209"/>
    <n v="126"/>
  </r>
  <r>
    <x v="3"/>
    <x v="45"/>
    <s v="AN"/>
    <x v="3"/>
    <x v="45"/>
    <n v="89"/>
    <n v="49"/>
    <n v="40"/>
  </r>
  <r>
    <x v="3"/>
    <x v="46"/>
    <s v="AN"/>
    <x v="3"/>
    <x v="46"/>
    <n v="176"/>
    <n v="120"/>
    <n v="56"/>
  </r>
  <r>
    <x v="3"/>
    <x v="47"/>
    <s v="AN"/>
    <x v="3"/>
    <x v="47"/>
    <n v="34"/>
    <n v="20"/>
    <n v="14"/>
  </r>
  <r>
    <x v="3"/>
    <x v="48"/>
    <s v="AN"/>
    <x v="3"/>
    <x v="48"/>
    <n v="16"/>
    <n v="8"/>
    <n v="8"/>
  </r>
  <r>
    <x v="3"/>
    <x v="49"/>
    <s v="AN"/>
    <x v="3"/>
    <x v="49"/>
    <n v="2362"/>
    <n v="1456"/>
    <n v="906"/>
  </r>
  <r>
    <x v="3"/>
    <x v="50"/>
    <s v="AN"/>
    <x v="3"/>
    <x v="50"/>
    <n v="941"/>
    <n v="571"/>
    <n v="370"/>
  </r>
  <r>
    <x v="3"/>
    <x v="51"/>
    <s v="AN"/>
    <x v="3"/>
    <x v="51"/>
    <n v="19"/>
    <n v="11"/>
    <n v="8"/>
  </r>
  <r>
    <x v="3"/>
    <x v="52"/>
    <s v="AP"/>
    <x v="4"/>
    <x v="52"/>
    <n v="190"/>
    <n v="122"/>
    <n v="68"/>
  </r>
  <r>
    <x v="3"/>
    <x v="53"/>
    <s v="AP"/>
    <x v="4"/>
    <x v="53"/>
    <n v="78"/>
    <n v="56"/>
    <n v="22"/>
  </r>
  <r>
    <x v="3"/>
    <x v="54"/>
    <s v="AP"/>
    <x v="4"/>
    <x v="54"/>
    <n v="71"/>
    <n v="47"/>
    <n v="24"/>
  </r>
  <r>
    <x v="3"/>
    <x v="55"/>
    <s v="AP"/>
    <x v="4"/>
    <x v="55"/>
    <n v="294"/>
    <n v="193"/>
    <n v="101"/>
  </r>
  <r>
    <x v="3"/>
    <x v="56"/>
    <s v="AP"/>
    <x v="4"/>
    <x v="56"/>
    <n v="54"/>
    <n v="34"/>
    <n v="20"/>
  </r>
  <r>
    <x v="3"/>
    <x v="57"/>
    <s v="AP"/>
    <x v="4"/>
    <x v="57"/>
    <n v="59"/>
    <n v="36"/>
    <n v="23"/>
  </r>
  <r>
    <x v="3"/>
    <x v="58"/>
    <s v="AP"/>
    <x v="4"/>
    <x v="58"/>
    <n v="1157"/>
    <n v="713"/>
    <n v="444"/>
  </r>
  <r>
    <x v="3"/>
    <x v="59"/>
    <s v="AR"/>
    <x v="5"/>
    <x v="59"/>
    <n v="192"/>
    <n v="133"/>
    <n v="59"/>
  </r>
  <r>
    <x v="3"/>
    <x v="60"/>
    <s v="AR"/>
    <x v="5"/>
    <x v="60"/>
    <n v="62"/>
    <n v="46"/>
    <n v="16"/>
  </r>
  <r>
    <x v="3"/>
    <x v="61"/>
    <s v="AR"/>
    <x v="5"/>
    <x v="61"/>
    <n v="367"/>
    <n v="245"/>
    <n v="122"/>
  </r>
  <r>
    <x v="3"/>
    <x v="62"/>
    <s v="AR"/>
    <x v="5"/>
    <x v="62"/>
    <n v="4801"/>
    <n v="2814"/>
    <n v="1987"/>
  </r>
  <r>
    <x v="3"/>
    <x v="63"/>
    <s v="AR"/>
    <x v="5"/>
    <x v="63"/>
    <n v="98"/>
    <n v="67"/>
    <n v="31"/>
  </r>
  <r>
    <x v="3"/>
    <x v="64"/>
    <s v="AR"/>
    <x v="5"/>
    <x v="64"/>
    <n v="938"/>
    <n v="583"/>
    <n v="355"/>
  </r>
  <r>
    <x v="3"/>
    <x v="65"/>
    <s v="AR"/>
    <x v="5"/>
    <x v="65"/>
    <n v="139"/>
    <n v="101"/>
    <n v="38"/>
  </r>
  <r>
    <x v="3"/>
    <x v="66"/>
    <s v="AR"/>
    <x v="5"/>
    <x v="66"/>
    <n v="437"/>
    <n v="276"/>
    <n v="161"/>
  </r>
  <r>
    <x v="3"/>
    <x v="67"/>
    <s v="AR"/>
    <x v="5"/>
    <x v="67"/>
    <n v="300"/>
    <n v="180"/>
    <n v="120"/>
  </r>
  <r>
    <x v="3"/>
    <x v="68"/>
    <s v="AR"/>
    <x v="5"/>
    <x v="68"/>
    <n v="39"/>
    <n v="26"/>
    <n v="13"/>
  </r>
  <r>
    <x v="3"/>
    <x v="69"/>
    <s v="AR"/>
    <x v="5"/>
    <x v="69"/>
    <n v="109"/>
    <n v="74"/>
    <n v="35"/>
  </r>
  <r>
    <x v="3"/>
    <x v="70"/>
    <s v="AR"/>
    <x v="5"/>
    <x v="70"/>
    <n v="75"/>
    <n v="48"/>
    <n v="27"/>
  </r>
  <r>
    <x v="3"/>
    <x v="71"/>
    <s v="AR"/>
    <x v="5"/>
    <x v="71"/>
    <n v="554"/>
    <n v="373"/>
    <n v="181"/>
  </r>
  <r>
    <x v="3"/>
    <x v="72"/>
    <s v="AR"/>
    <x v="5"/>
    <x v="72"/>
    <n v="128"/>
    <n v="86"/>
    <n v="42"/>
  </r>
  <r>
    <x v="3"/>
    <x v="73"/>
    <s v="AR"/>
    <x v="5"/>
    <x v="73"/>
    <n v="558"/>
    <n v="346"/>
    <n v="212"/>
  </r>
  <r>
    <x v="3"/>
    <x v="74"/>
    <s v="AR"/>
    <x v="5"/>
    <x v="74"/>
    <n v="47"/>
    <n v="31"/>
    <n v="16"/>
  </r>
  <r>
    <x v="3"/>
    <x v="75"/>
    <s v="AR"/>
    <x v="5"/>
    <x v="75"/>
    <n v="56"/>
    <n v="37"/>
    <n v="19"/>
  </r>
  <r>
    <x v="3"/>
    <x v="76"/>
    <s v="AR"/>
    <x v="5"/>
    <x v="76"/>
    <n v="591"/>
    <n v="417"/>
    <n v="174"/>
  </r>
  <r>
    <x v="3"/>
    <x v="77"/>
    <s v="BA"/>
    <x v="6"/>
    <x v="77"/>
    <n v="115"/>
    <n v="76"/>
    <n v="39"/>
  </r>
  <r>
    <x v="3"/>
    <x v="78"/>
    <s v="BA"/>
    <x v="6"/>
    <x v="78"/>
    <n v="44"/>
    <n v="31"/>
    <n v="13"/>
  </r>
  <r>
    <x v="3"/>
    <x v="79"/>
    <s v="BA"/>
    <x v="6"/>
    <x v="79"/>
    <n v="306"/>
    <n v="220"/>
    <n v="86"/>
  </r>
  <r>
    <x v="3"/>
    <x v="80"/>
    <s v="BA"/>
    <x v="6"/>
    <x v="80"/>
    <n v="24"/>
    <n v="16"/>
    <n v="8"/>
  </r>
  <r>
    <x v="3"/>
    <x v="81"/>
    <s v="BA"/>
    <x v="6"/>
    <x v="81"/>
    <n v="2385"/>
    <n v="1497"/>
    <n v="888"/>
  </r>
  <r>
    <x v="3"/>
    <x v="82"/>
    <s v="BA"/>
    <x v="6"/>
    <x v="59"/>
    <n v="153"/>
    <n v="90"/>
    <n v="63"/>
  </r>
  <r>
    <x v="3"/>
    <x v="83"/>
    <s v="BA"/>
    <x v="6"/>
    <x v="82"/>
    <n v="84"/>
    <n v="58"/>
    <n v="26"/>
  </r>
  <r>
    <x v="3"/>
    <x v="84"/>
    <s v="BA"/>
    <x v="6"/>
    <x v="83"/>
    <n v="196"/>
    <n v="137"/>
    <n v="59"/>
  </r>
  <r>
    <x v="3"/>
    <x v="85"/>
    <s v="BA"/>
    <x v="6"/>
    <x v="84"/>
    <n v="96"/>
    <n v="73"/>
    <n v="23"/>
  </r>
  <r>
    <x v="3"/>
    <x v="86"/>
    <s v="BA"/>
    <x v="6"/>
    <x v="85"/>
    <n v="171"/>
    <n v="121"/>
    <n v="50"/>
  </r>
  <r>
    <x v="3"/>
    <x v="87"/>
    <s v="BA"/>
    <x v="6"/>
    <x v="86"/>
    <n v="98"/>
    <n v="61"/>
    <n v="37"/>
  </r>
  <r>
    <x v="3"/>
    <x v="88"/>
    <s v="BA"/>
    <x v="6"/>
    <x v="87"/>
    <n v="53"/>
    <n v="33"/>
    <n v="20"/>
  </r>
  <r>
    <x v="3"/>
    <x v="89"/>
    <s v="BO"/>
    <x v="7"/>
    <x v="88"/>
    <n v="4113"/>
    <n v="2561"/>
    <n v="1552"/>
  </r>
  <r>
    <x v="3"/>
    <x v="90"/>
    <s v="BO"/>
    <x v="7"/>
    <x v="89"/>
    <n v="216"/>
    <n v="142"/>
    <n v="74"/>
  </r>
  <r>
    <x v="3"/>
    <x v="91"/>
    <s v="BO"/>
    <x v="7"/>
    <x v="90"/>
    <n v="77"/>
    <n v="50"/>
    <n v="27"/>
  </r>
  <r>
    <x v="3"/>
    <x v="92"/>
    <s v="BO"/>
    <x v="7"/>
    <x v="91"/>
    <n v="75"/>
    <n v="55"/>
    <n v="20"/>
  </r>
  <r>
    <x v="3"/>
    <x v="93"/>
    <s v="BO"/>
    <x v="7"/>
    <x v="92"/>
    <n v="2209"/>
    <n v="1337"/>
    <n v="872"/>
  </r>
  <r>
    <x v="3"/>
    <x v="94"/>
    <s v="BO"/>
    <x v="7"/>
    <x v="93"/>
    <n v="36"/>
    <n v="23"/>
    <n v="13"/>
  </r>
  <r>
    <x v="3"/>
    <x v="95"/>
    <s v="BO"/>
    <x v="7"/>
    <x v="94"/>
    <n v="424"/>
    <n v="270"/>
    <n v="154"/>
  </r>
  <r>
    <x v="3"/>
    <x v="96"/>
    <s v="BO"/>
    <x v="7"/>
    <x v="95"/>
    <n v="64"/>
    <n v="49"/>
    <n v="15"/>
  </r>
  <r>
    <x v="3"/>
    <x v="97"/>
    <s v="BO"/>
    <x v="7"/>
    <x v="96"/>
    <n v="88"/>
    <n v="60"/>
    <n v="28"/>
  </r>
  <r>
    <x v="3"/>
    <x v="98"/>
    <s v="BO"/>
    <x v="7"/>
    <x v="97"/>
    <n v="156"/>
    <n v="104"/>
    <n v="52"/>
  </r>
  <r>
    <x v="3"/>
    <x v="99"/>
    <s v="BO"/>
    <x v="7"/>
    <x v="73"/>
    <n v="21"/>
    <n v="14"/>
    <n v="7"/>
  </r>
  <r>
    <x v="3"/>
    <x v="100"/>
    <s v="CA"/>
    <x v="8"/>
    <x v="98"/>
    <n v="266"/>
    <n v="156"/>
    <n v="110"/>
  </r>
  <r>
    <x v="3"/>
    <x v="101"/>
    <s v="CA"/>
    <x v="8"/>
    <x v="99"/>
    <n v="545"/>
    <n v="390"/>
    <n v="155"/>
  </r>
  <r>
    <x v="3"/>
    <x v="102"/>
    <s v="CA"/>
    <x v="8"/>
    <x v="100"/>
    <n v="521"/>
    <n v="361"/>
    <n v="160"/>
  </r>
  <r>
    <x v="3"/>
    <x v="103"/>
    <s v="CA"/>
    <x v="8"/>
    <x v="101"/>
    <n v="671"/>
    <n v="440"/>
    <n v="231"/>
  </r>
  <r>
    <x v="3"/>
    <x v="104"/>
    <s v="CA"/>
    <x v="8"/>
    <x v="102"/>
    <n v="225"/>
    <n v="150"/>
    <n v="75"/>
  </r>
  <r>
    <x v="3"/>
    <x v="105"/>
    <s v="CA"/>
    <x v="8"/>
    <x v="66"/>
    <n v="650"/>
    <n v="471"/>
    <n v="179"/>
  </r>
  <r>
    <x v="3"/>
    <x v="106"/>
    <s v="CA"/>
    <x v="8"/>
    <x v="103"/>
    <n v="348"/>
    <n v="235"/>
    <n v="113"/>
  </r>
  <r>
    <x v="3"/>
    <x v="107"/>
    <s v="CA"/>
    <x v="8"/>
    <x v="104"/>
    <n v="130"/>
    <n v="82"/>
    <n v="48"/>
  </r>
  <r>
    <x v="3"/>
    <x v="108"/>
    <s v="CA"/>
    <x v="8"/>
    <x v="105"/>
    <n v="80"/>
    <n v="49"/>
    <n v="31"/>
  </r>
  <r>
    <x v="3"/>
    <x v="109"/>
    <s v="CA"/>
    <x v="8"/>
    <x v="106"/>
    <n v="1756"/>
    <n v="972"/>
    <n v="784"/>
  </r>
  <r>
    <x v="3"/>
    <x v="110"/>
    <s v="CA"/>
    <x v="8"/>
    <x v="107"/>
    <n v="1313"/>
    <n v="797"/>
    <n v="516"/>
  </r>
  <r>
    <x v="3"/>
    <x v="111"/>
    <s v="CA"/>
    <x v="8"/>
    <x v="108"/>
    <n v="334"/>
    <n v="174"/>
    <n v="160"/>
  </r>
  <r>
    <x v="3"/>
    <x v="112"/>
    <s v="CA"/>
    <x v="8"/>
    <x v="109"/>
    <n v="193"/>
    <n v="132"/>
    <n v="61"/>
  </r>
  <r>
    <x v="3"/>
    <x v="113"/>
    <s v="CA"/>
    <x v="8"/>
    <x v="110"/>
    <n v="5444"/>
    <n v="3362"/>
    <n v="2082"/>
  </r>
  <r>
    <x v="3"/>
    <x v="114"/>
    <s v="CO"/>
    <x v="9"/>
    <x v="111"/>
    <n v="36"/>
    <n v="26"/>
    <n v="10"/>
  </r>
  <r>
    <x v="3"/>
    <x v="115"/>
    <s v="CO"/>
    <x v="9"/>
    <x v="112"/>
    <n v="395"/>
    <n v="252"/>
    <n v="143"/>
  </r>
  <r>
    <x v="3"/>
    <x v="116"/>
    <s v="CO"/>
    <x v="9"/>
    <x v="62"/>
    <n v="33"/>
    <n v="24"/>
    <n v="9"/>
  </r>
  <r>
    <x v="3"/>
    <x v="117"/>
    <s v="CO"/>
    <x v="9"/>
    <x v="113"/>
    <n v="27"/>
    <n v="16"/>
    <n v="11"/>
  </r>
  <r>
    <x v="3"/>
    <x v="118"/>
    <s v="CO"/>
    <x v="9"/>
    <x v="114"/>
    <n v="44"/>
    <n v="32"/>
    <n v="12"/>
  </r>
  <r>
    <x v="3"/>
    <x v="119"/>
    <s v="CO"/>
    <x v="9"/>
    <x v="115"/>
    <n v="42"/>
    <n v="29"/>
    <n v="13"/>
  </r>
  <r>
    <x v="3"/>
    <x v="120"/>
    <s v="CO"/>
    <x v="9"/>
    <x v="57"/>
    <n v="32"/>
    <n v="25"/>
    <n v="7"/>
  </r>
  <r>
    <x v="3"/>
    <x v="121"/>
    <s v="CO"/>
    <x v="9"/>
    <x v="116"/>
    <n v="822"/>
    <n v="518"/>
    <n v="304"/>
  </r>
  <r>
    <x v="3"/>
    <x v="122"/>
    <s v="CO"/>
    <x v="9"/>
    <x v="117"/>
    <n v="102"/>
    <n v="71"/>
    <n v="31"/>
  </r>
  <r>
    <x v="3"/>
    <x v="123"/>
    <s v="DE"/>
    <x v="10"/>
    <x v="118"/>
    <n v="52"/>
    <n v="28"/>
    <n v="24"/>
  </r>
  <r>
    <x v="3"/>
    <x v="124"/>
    <s v="DE"/>
    <x v="10"/>
    <x v="119"/>
    <n v="65"/>
    <n v="49"/>
    <n v="16"/>
  </r>
  <r>
    <x v="3"/>
    <x v="125"/>
    <s v="DE"/>
    <x v="10"/>
    <x v="120"/>
    <n v="31"/>
    <n v="13"/>
    <n v="18"/>
  </r>
  <r>
    <x v="3"/>
    <x v="126"/>
    <s v="DE"/>
    <x v="10"/>
    <x v="121"/>
    <n v="522"/>
    <n v="318"/>
    <n v="204"/>
  </r>
  <r>
    <x v="3"/>
    <x v="127"/>
    <s v="FA"/>
    <x v="11"/>
    <x v="122"/>
    <n v="31"/>
    <n v="18"/>
    <n v="13"/>
  </r>
  <r>
    <x v="3"/>
    <x v="128"/>
    <s v="FA"/>
    <x v="11"/>
    <x v="59"/>
    <n v="11"/>
    <n v="5"/>
    <n v="6"/>
  </r>
  <r>
    <x v="3"/>
    <x v="129"/>
    <s v="FA"/>
    <x v="11"/>
    <x v="123"/>
    <n v="50"/>
    <n v="32"/>
    <n v="18"/>
  </r>
  <r>
    <x v="3"/>
    <x v="130"/>
    <s v="FA"/>
    <x v="11"/>
    <x v="124"/>
    <n v="25"/>
    <n v="19"/>
    <n v="6"/>
  </r>
  <r>
    <x v="3"/>
    <x v="131"/>
    <s v="FA"/>
    <x v="11"/>
    <x v="125"/>
    <n v="1157"/>
    <n v="664"/>
    <n v="493"/>
  </r>
  <r>
    <x v="3"/>
    <x v="132"/>
    <s v="FA"/>
    <x v="11"/>
    <x v="126"/>
    <n v="62"/>
    <n v="36"/>
    <n v="26"/>
  </r>
  <r>
    <x v="3"/>
    <x v="133"/>
    <s v="FA"/>
    <x v="11"/>
    <x v="127"/>
    <n v="68"/>
    <n v="38"/>
    <n v="30"/>
  </r>
  <r>
    <x v="3"/>
    <x v="134"/>
    <s v="FA"/>
    <x v="11"/>
    <x v="128"/>
    <n v="21"/>
    <n v="14"/>
    <n v="7"/>
  </r>
  <r>
    <x v="3"/>
    <x v="135"/>
    <s v="FA"/>
    <x v="11"/>
    <x v="112"/>
    <n v="129"/>
    <n v="87"/>
    <n v="42"/>
  </r>
  <r>
    <x v="3"/>
    <x v="136"/>
    <s v="FA"/>
    <x v="11"/>
    <x v="129"/>
    <n v="105"/>
    <n v="58"/>
    <n v="47"/>
  </r>
  <r>
    <x v="3"/>
    <x v="137"/>
    <s v="FA"/>
    <x v="11"/>
    <x v="130"/>
    <n v="16"/>
    <n v="13"/>
    <n v="3"/>
  </r>
  <r>
    <x v="3"/>
    <x v="138"/>
    <s v="FA"/>
    <x v="11"/>
    <x v="131"/>
    <n v="118"/>
    <n v="75"/>
    <n v="43"/>
  </r>
  <r>
    <x v="3"/>
    <x v="139"/>
    <s v="FA"/>
    <x v="11"/>
    <x v="132"/>
    <n v="77"/>
    <n v="49"/>
    <n v="28"/>
  </r>
  <r>
    <x v="3"/>
    <x v="140"/>
    <s v="FA"/>
    <x v="11"/>
    <x v="104"/>
    <n v="1544"/>
    <n v="866"/>
    <n v="678"/>
  </r>
  <r>
    <x v="3"/>
    <x v="141"/>
    <s v="FA"/>
    <x v="11"/>
    <x v="133"/>
    <n v="64"/>
    <n v="45"/>
    <n v="19"/>
  </r>
  <r>
    <x v="3"/>
    <x v="142"/>
    <s v="FA"/>
    <x v="11"/>
    <x v="134"/>
    <n v="5"/>
    <n v="4"/>
    <n v="1"/>
  </r>
  <r>
    <x v="3"/>
    <x v="143"/>
    <s v="FA"/>
    <x v="11"/>
    <x v="135"/>
    <n v="19"/>
    <n v="11"/>
    <n v="8"/>
  </r>
  <r>
    <x v="3"/>
    <x v="144"/>
    <s v="FA"/>
    <x v="11"/>
    <x v="45"/>
    <n v="33"/>
    <n v="19"/>
    <n v="14"/>
  </r>
  <r>
    <x v="3"/>
    <x v="145"/>
    <s v="FA"/>
    <x v="11"/>
    <x v="136"/>
    <n v="42"/>
    <n v="29"/>
    <n v="13"/>
  </r>
  <r>
    <x v="3"/>
    <x v="146"/>
    <s v="FA"/>
    <x v="11"/>
    <x v="137"/>
    <n v="224"/>
    <n v="159"/>
    <n v="65"/>
  </r>
  <r>
    <x v="3"/>
    <x v="147"/>
    <s v="FA"/>
    <x v="11"/>
    <x v="73"/>
    <n v="21"/>
    <n v="9"/>
    <n v="12"/>
  </r>
  <r>
    <x v="3"/>
    <x v="148"/>
    <s v="FA"/>
    <x v="11"/>
    <x v="138"/>
    <n v="27"/>
    <n v="13"/>
    <n v="14"/>
  </r>
  <r>
    <x v="3"/>
    <x v="149"/>
    <s v="FA"/>
    <x v="11"/>
    <x v="139"/>
    <n v="20"/>
    <n v="11"/>
    <n v="9"/>
  </r>
  <r>
    <x v="3"/>
    <x v="150"/>
    <s v="FA"/>
    <x v="11"/>
    <x v="140"/>
    <n v="26"/>
    <n v="14"/>
    <n v="12"/>
  </r>
  <r>
    <x v="3"/>
    <x v="151"/>
    <s v="FA"/>
    <x v="11"/>
    <x v="76"/>
    <n v="45"/>
    <n v="32"/>
    <n v="13"/>
  </r>
  <r>
    <x v="3"/>
    <x v="152"/>
    <s v="GU"/>
    <x v="12"/>
    <x v="141"/>
    <n v="76"/>
    <n v="45"/>
    <n v="31"/>
  </r>
  <r>
    <x v="3"/>
    <x v="153"/>
    <s v="GU"/>
    <x v="12"/>
    <x v="142"/>
    <n v="47"/>
    <n v="30"/>
    <n v="17"/>
  </r>
  <r>
    <x v="3"/>
    <x v="154"/>
    <s v="GU"/>
    <x v="12"/>
    <x v="143"/>
    <n v="42"/>
    <n v="27"/>
    <n v="15"/>
  </r>
  <r>
    <x v="3"/>
    <x v="155"/>
    <s v="GU"/>
    <x v="12"/>
    <x v="144"/>
    <n v="38"/>
    <n v="26"/>
    <n v="12"/>
  </r>
  <r>
    <x v="3"/>
    <x v="156"/>
    <s v="GU"/>
    <x v="12"/>
    <x v="145"/>
    <n v="874"/>
    <n v="537"/>
    <n v="337"/>
  </r>
  <r>
    <x v="3"/>
    <x v="157"/>
    <s v="GU"/>
    <x v="12"/>
    <x v="146"/>
    <n v="112"/>
    <n v="75"/>
    <n v="37"/>
  </r>
  <r>
    <x v="3"/>
    <x v="158"/>
    <s v="GU"/>
    <x v="12"/>
    <x v="147"/>
    <n v="132"/>
    <n v="92"/>
    <n v="40"/>
  </r>
  <r>
    <x v="3"/>
    <x v="159"/>
    <s v="GU"/>
    <x v="12"/>
    <x v="104"/>
    <n v="649"/>
    <n v="420"/>
    <n v="229"/>
  </r>
  <r>
    <x v="3"/>
    <x v="160"/>
    <s v="GU"/>
    <x v="12"/>
    <x v="148"/>
    <n v="357"/>
    <n v="220"/>
    <n v="137"/>
  </r>
  <r>
    <x v="3"/>
    <x v="161"/>
    <s v="GU"/>
    <x v="12"/>
    <x v="149"/>
    <n v="68"/>
    <n v="48"/>
    <n v="20"/>
  </r>
  <r>
    <x v="3"/>
    <x v="162"/>
    <s v="GU"/>
    <x v="12"/>
    <x v="150"/>
    <n v="102"/>
    <n v="70"/>
    <n v="32"/>
  </r>
  <r>
    <x v="3"/>
    <x v="163"/>
    <s v="GU"/>
    <x v="12"/>
    <x v="96"/>
    <n v="1227"/>
    <n v="744"/>
    <n v="483"/>
  </r>
  <r>
    <x v="3"/>
    <x v="164"/>
    <s v="GU"/>
    <x v="12"/>
    <x v="151"/>
    <n v="28"/>
    <n v="15"/>
    <n v="13"/>
  </r>
  <r>
    <x v="3"/>
    <x v="165"/>
    <s v="GU"/>
    <x v="12"/>
    <x v="152"/>
    <n v="36"/>
    <n v="20"/>
    <n v="16"/>
  </r>
  <r>
    <x v="3"/>
    <x v="166"/>
    <s v="GU"/>
    <x v="12"/>
    <x v="153"/>
    <n v="278"/>
    <n v="165"/>
    <n v="113"/>
  </r>
  <r>
    <x v="3"/>
    <x v="167"/>
    <s v="LA"/>
    <x v="13"/>
    <x v="154"/>
    <n v="133"/>
    <n v="79"/>
    <n v="54"/>
  </r>
  <r>
    <x v="3"/>
    <x v="168"/>
    <s v="LA"/>
    <x v="13"/>
    <x v="155"/>
    <n v="140"/>
    <n v="83"/>
    <n v="57"/>
  </r>
  <r>
    <x v="3"/>
    <x v="169"/>
    <s v="LA"/>
    <x v="13"/>
    <x v="156"/>
    <n v="7234"/>
    <n v="4368"/>
    <n v="2866"/>
  </r>
  <r>
    <x v="3"/>
    <x v="170"/>
    <s v="LA"/>
    <x v="13"/>
    <x v="157"/>
    <n v="350"/>
    <n v="229"/>
    <n v="121"/>
  </r>
  <r>
    <x v="3"/>
    <x v="171"/>
    <s v="LA"/>
    <x v="13"/>
    <x v="158"/>
    <n v="459"/>
    <n v="298"/>
    <n v="161"/>
  </r>
  <r>
    <x v="3"/>
    <x v="172"/>
    <s v="LA"/>
    <x v="13"/>
    <x v="159"/>
    <n v="366"/>
    <n v="213"/>
    <n v="153"/>
  </r>
  <r>
    <x v="3"/>
    <x v="173"/>
    <s v="LA"/>
    <x v="13"/>
    <x v="160"/>
    <n v="83"/>
    <n v="55"/>
    <n v="28"/>
  </r>
  <r>
    <x v="3"/>
    <x v="174"/>
    <s v="LA"/>
    <x v="13"/>
    <x v="161"/>
    <n v="703"/>
    <n v="444"/>
    <n v="259"/>
  </r>
  <r>
    <x v="3"/>
    <x v="175"/>
    <s v="LA"/>
    <x v="13"/>
    <x v="75"/>
    <n v="196"/>
    <n v="123"/>
    <n v="73"/>
  </r>
  <r>
    <x v="3"/>
    <x v="176"/>
    <s v="ME"/>
    <x v="14"/>
    <x v="162"/>
    <n v="565"/>
    <n v="371"/>
    <n v="194"/>
  </r>
  <r>
    <x v="3"/>
    <x v="177"/>
    <s v="ME"/>
    <x v="14"/>
    <x v="163"/>
    <n v="49"/>
    <n v="28"/>
    <n v="21"/>
  </r>
  <r>
    <x v="3"/>
    <x v="178"/>
    <s v="ME"/>
    <x v="14"/>
    <x v="164"/>
    <n v="98"/>
    <n v="67"/>
    <n v="31"/>
  </r>
  <r>
    <x v="3"/>
    <x v="179"/>
    <s v="ME"/>
    <x v="14"/>
    <x v="165"/>
    <n v="10"/>
    <n v="6"/>
    <n v="4"/>
  </r>
  <r>
    <x v="3"/>
    <x v="180"/>
    <s v="ME"/>
    <x v="14"/>
    <x v="166"/>
    <n v="51"/>
    <n v="33"/>
    <n v="18"/>
  </r>
  <r>
    <x v="3"/>
    <x v="181"/>
    <s v="ME"/>
    <x v="14"/>
    <x v="167"/>
    <n v="297"/>
    <n v="198"/>
    <n v="99"/>
  </r>
  <r>
    <x v="3"/>
    <x v="182"/>
    <s v="ME"/>
    <x v="14"/>
    <x v="168"/>
    <n v="43"/>
    <n v="27"/>
    <n v="16"/>
  </r>
  <r>
    <x v="3"/>
    <x v="183"/>
    <s v="ME"/>
    <x v="14"/>
    <x v="169"/>
    <n v="113"/>
    <n v="79"/>
    <n v="34"/>
  </r>
  <r>
    <x v="3"/>
    <x v="184"/>
    <s v="ME"/>
    <x v="14"/>
    <x v="170"/>
    <n v="34"/>
    <n v="20"/>
    <n v="14"/>
  </r>
  <r>
    <x v="3"/>
    <x v="185"/>
    <s v="ME"/>
    <x v="14"/>
    <x v="171"/>
    <n v="51"/>
    <n v="34"/>
    <n v="17"/>
  </r>
  <r>
    <x v="3"/>
    <x v="186"/>
    <s v="ME"/>
    <x v="14"/>
    <x v="172"/>
    <n v="13"/>
    <n v="11"/>
    <n v="2"/>
  </r>
  <r>
    <x v="3"/>
    <x v="187"/>
    <s v="ME"/>
    <x v="14"/>
    <x v="66"/>
    <n v="2526"/>
    <n v="1473"/>
    <n v="1053"/>
  </r>
  <r>
    <x v="3"/>
    <x v="188"/>
    <s v="ME"/>
    <x v="14"/>
    <x v="104"/>
    <n v="72"/>
    <n v="44"/>
    <n v="28"/>
  </r>
  <r>
    <x v="3"/>
    <x v="189"/>
    <s v="ME"/>
    <x v="14"/>
    <x v="173"/>
    <n v="92"/>
    <n v="70"/>
    <n v="22"/>
  </r>
  <r>
    <x v="3"/>
    <x v="190"/>
    <s v="ME"/>
    <x v="14"/>
    <x v="174"/>
    <n v="4"/>
    <n v="4"/>
    <n v="0"/>
  </r>
  <r>
    <x v="3"/>
    <x v="191"/>
    <s v="ME"/>
    <x v="14"/>
    <x v="175"/>
    <n v="36"/>
    <n v="25"/>
    <n v="11"/>
  </r>
  <r>
    <x v="3"/>
    <x v="192"/>
    <s v="ME"/>
    <x v="14"/>
    <x v="176"/>
    <n v="57"/>
    <n v="39"/>
    <n v="18"/>
  </r>
  <r>
    <x v="3"/>
    <x v="193"/>
    <s v="ME"/>
    <x v="14"/>
    <x v="177"/>
    <n v="60"/>
    <n v="45"/>
    <n v="15"/>
  </r>
  <r>
    <x v="3"/>
    <x v="194"/>
    <s v="ME"/>
    <x v="14"/>
    <x v="178"/>
    <n v="38"/>
    <n v="21"/>
    <n v="17"/>
  </r>
  <r>
    <x v="3"/>
    <x v="195"/>
    <s v="ME"/>
    <x v="14"/>
    <x v="73"/>
    <n v="217"/>
    <n v="157"/>
    <n v="60"/>
  </r>
  <r>
    <x v="3"/>
    <x v="196"/>
    <s v="ME"/>
    <x v="14"/>
    <x v="74"/>
    <n v="183"/>
    <n v="109"/>
    <n v="74"/>
  </r>
  <r>
    <x v="3"/>
    <x v="197"/>
    <s v="ME"/>
    <x v="14"/>
    <x v="179"/>
    <n v="116"/>
    <n v="81"/>
    <n v="35"/>
  </r>
  <r>
    <x v="3"/>
    <x v="198"/>
    <s v="ME"/>
    <x v="14"/>
    <x v="180"/>
    <n v="45"/>
    <n v="24"/>
    <n v="21"/>
  </r>
  <r>
    <x v="3"/>
    <x v="199"/>
    <s v="MI"/>
    <x v="15"/>
    <x v="181"/>
    <n v="443"/>
    <n v="302"/>
    <n v="141"/>
  </r>
  <r>
    <x v="3"/>
    <x v="200"/>
    <s v="MI"/>
    <x v="15"/>
    <x v="163"/>
    <n v="112"/>
    <n v="79"/>
    <n v="33"/>
  </r>
  <r>
    <x v="3"/>
    <x v="201"/>
    <s v="MI"/>
    <x v="15"/>
    <x v="182"/>
    <n v="2133"/>
    <n v="1093"/>
    <n v="1040"/>
  </r>
  <r>
    <x v="3"/>
    <x v="202"/>
    <s v="MI"/>
    <x v="15"/>
    <x v="183"/>
    <n v="297"/>
    <n v="198"/>
    <n v="99"/>
  </r>
  <r>
    <x v="3"/>
    <x v="203"/>
    <s v="MI"/>
    <x v="15"/>
    <x v="184"/>
    <n v="127"/>
    <n v="93"/>
    <n v="34"/>
  </r>
  <r>
    <x v="3"/>
    <x v="204"/>
    <s v="MI"/>
    <x v="15"/>
    <x v="185"/>
    <n v="160"/>
    <n v="99"/>
    <n v="61"/>
  </r>
  <r>
    <x v="3"/>
    <x v="205"/>
    <s v="MI"/>
    <x v="15"/>
    <x v="186"/>
    <n v="816"/>
    <n v="393"/>
    <n v="423"/>
  </r>
  <r>
    <x v="3"/>
    <x v="206"/>
    <s v="MI"/>
    <x v="15"/>
    <x v="187"/>
    <n v="451"/>
    <n v="295"/>
    <n v="156"/>
  </r>
  <r>
    <x v="3"/>
    <x v="207"/>
    <s v="MI"/>
    <x v="15"/>
    <x v="188"/>
    <n v="222"/>
    <n v="117"/>
    <n v="105"/>
  </r>
  <r>
    <x v="3"/>
    <x v="208"/>
    <s v="MI"/>
    <x v="15"/>
    <x v="189"/>
    <n v="1441"/>
    <n v="935"/>
    <n v="506"/>
  </r>
  <r>
    <x v="3"/>
    <x v="209"/>
    <s v="MI"/>
    <x v="15"/>
    <x v="38"/>
    <n v="607"/>
    <n v="411"/>
    <n v="196"/>
  </r>
  <r>
    <x v="3"/>
    <x v="210"/>
    <s v="MI"/>
    <x v="15"/>
    <x v="190"/>
    <n v="739"/>
    <n v="499"/>
    <n v="240"/>
  </r>
  <r>
    <x v="3"/>
    <x v="211"/>
    <s v="MI"/>
    <x v="15"/>
    <x v="191"/>
    <n v="210"/>
    <n v="114"/>
    <n v="96"/>
  </r>
  <r>
    <x v="3"/>
    <x v="212"/>
    <s v="MI"/>
    <x v="15"/>
    <x v="55"/>
    <n v="184"/>
    <n v="122"/>
    <n v="62"/>
  </r>
  <r>
    <x v="3"/>
    <x v="213"/>
    <s v="MI"/>
    <x v="15"/>
    <x v="192"/>
    <n v="334"/>
    <n v="242"/>
    <n v="92"/>
  </r>
  <r>
    <x v="3"/>
    <x v="214"/>
    <s v="MI"/>
    <x v="15"/>
    <x v="193"/>
    <n v="70"/>
    <n v="41"/>
    <n v="29"/>
  </r>
  <r>
    <x v="3"/>
    <x v="215"/>
    <s v="MI"/>
    <x v="15"/>
    <x v="194"/>
    <n v="744"/>
    <n v="519"/>
    <n v="225"/>
  </r>
  <r>
    <x v="3"/>
    <x v="216"/>
    <s v="MI"/>
    <x v="15"/>
    <x v="49"/>
    <n v="177"/>
    <n v="142"/>
    <n v="35"/>
  </r>
  <r>
    <x v="3"/>
    <x v="217"/>
    <s v="MI"/>
    <x v="15"/>
    <x v="73"/>
    <n v="4358"/>
    <n v="2783"/>
    <n v="1575"/>
  </r>
  <r>
    <x v="3"/>
    <x v="218"/>
    <s v="MI"/>
    <x v="15"/>
    <x v="75"/>
    <n v="562"/>
    <n v="366"/>
    <n v="196"/>
  </r>
  <r>
    <x v="3"/>
    <x v="219"/>
    <s v="MI"/>
    <x v="15"/>
    <x v="76"/>
    <n v="656"/>
    <n v="448"/>
    <n v="208"/>
  </r>
  <r>
    <x v="3"/>
    <x v="220"/>
    <s v="MO"/>
    <x v="16"/>
    <x v="122"/>
    <n v="52"/>
    <n v="27"/>
    <n v="25"/>
  </r>
  <r>
    <x v="3"/>
    <x v="221"/>
    <s v="MO"/>
    <x v="16"/>
    <x v="195"/>
    <n v="32"/>
    <n v="25"/>
    <n v="7"/>
  </r>
  <r>
    <x v="3"/>
    <x v="222"/>
    <s v="MO"/>
    <x v="16"/>
    <x v="59"/>
    <n v="135"/>
    <n v="75"/>
    <n v="60"/>
  </r>
  <r>
    <x v="3"/>
    <x v="223"/>
    <s v="MO"/>
    <x v="16"/>
    <x v="196"/>
    <n v="108"/>
    <n v="71"/>
    <n v="37"/>
  </r>
  <r>
    <x v="3"/>
    <x v="224"/>
    <s v="MO"/>
    <x v="16"/>
    <x v="89"/>
    <n v="103"/>
    <n v="61"/>
    <n v="42"/>
  </r>
  <r>
    <x v="3"/>
    <x v="225"/>
    <s v="MO"/>
    <x v="16"/>
    <x v="83"/>
    <n v="191"/>
    <n v="130"/>
    <n v="61"/>
  </r>
  <r>
    <x v="3"/>
    <x v="226"/>
    <s v="MO"/>
    <x v="16"/>
    <x v="66"/>
    <n v="93"/>
    <n v="66"/>
    <n v="27"/>
  </r>
  <r>
    <x v="3"/>
    <x v="227"/>
    <s v="MO"/>
    <x v="16"/>
    <x v="197"/>
    <n v="3313"/>
    <n v="2046"/>
    <n v="1267"/>
  </r>
  <r>
    <x v="3"/>
    <x v="228"/>
    <s v="MO"/>
    <x v="16"/>
    <x v="94"/>
    <n v="128"/>
    <n v="80"/>
    <n v="48"/>
  </r>
  <r>
    <x v="3"/>
    <x v="229"/>
    <s v="MO"/>
    <x v="16"/>
    <x v="198"/>
    <n v="91"/>
    <n v="50"/>
    <n v="41"/>
  </r>
  <r>
    <x v="3"/>
    <x v="230"/>
    <s v="MO"/>
    <x v="16"/>
    <x v="199"/>
    <n v="34"/>
    <n v="19"/>
    <n v="15"/>
  </r>
  <r>
    <x v="3"/>
    <x v="231"/>
    <s v="MO"/>
    <x v="16"/>
    <x v="200"/>
    <n v="88"/>
    <n v="61"/>
    <n v="27"/>
  </r>
  <r>
    <x v="3"/>
    <x v="232"/>
    <s v="MO"/>
    <x v="16"/>
    <x v="201"/>
    <n v="22"/>
    <n v="14"/>
    <n v="8"/>
  </r>
  <r>
    <x v="3"/>
    <x v="233"/>
    <s v="NU"/>
    <x v="17"/>
    <x v="202"/>
    <n v="82"/>
    <n v="46"/>
    <n v="36"/>
  </r>
  <r>
    <x v="3"/>
    <x v="234"/>
    <s v="NU"/>
    <x v="17"/>
    <x v="80"/>
    <n v="116"/>
    <n v="71"/>
    <n v="45"/>
  </r>
  <r>
    <x v="3"/>
    <x v="235"/>
    <s v="NU"/>
    <x v="17"/>
    <x v="203"/>
    <n v="164"/>
    <n v="97"/>
    <n v="67"/>
  </r>
  <r>
    <x v="3"/>
    <x v="236"/>
    <s v="NU"/>
    <x v="17"/>
    <x v="204"/>
    <n v="208"/>
    <n v="122"/>
    <n v="86"/>
  </r>
  <r>
    <x v="3"/>
    <x v="237"/>
    <s v="NU"/>
    <x v="17"/>
    <x v="205"/>
    <n v="101"/>
    <n v="57"/>
    <n v="44"/>
  </r>
  <r>
    <x v="3"/>
    <x v="238"/>
    <s v="NU"/>
    <x v="17"/>
    <x v="206"/>
    <n v="144"/>
    <n v="85"/>
    <n v="59"/>
  </r>
  <r>
    <x v="3"/>
    <x v="239"/>
    <s v="NU"/>
    <x v="17"/>
    <x v="207"/>
    <n v="162"/>
    <n v="100"/>
    <n v="62"/>
  </r>
  <r>
    <x v="3"/>
    <x v="240"/>
    <s v="NU"/>
    <x v="17"/>
    <x v="208"/>
    <n v="1304"/>
    <n v="788"/>
    <n v="516"/>
  </r>
  <r>
    <x v="3"/>
    <x v="241"/>
    <s v="NU"/>
    <x v="17"/>
    <x v="209"/>
    <n v="88"/>
    <n v="46"/>
    <n v="42"/>
  </r>
  <r>
    <x v="3"/>
    <x v="242"/>
    <s v="NU"/>
    <x v="17"/>
    <x v="210"/>
    <n v="120"/>
    <n v="72"/>
    <n v="48"/>
  </r>
  <r>
    <x v="3"/>
    <x v="243"/>
    <s v="NU"/>
    <x v="17"/>
    <x v="211"/>
    <n v="41"/>
    <n v="24"/>
    <n v="17"/>
  </r>
  <r>
    <x v="3"/>
    <x v="244"/>
    <s v="PO"/>
    <x v="18"/>
    <x v="212"/>
    <n v="95"/>
    <n v="55"/>
    <n v="40"/>
  </r>
  <r>
    <x v="3"/>
    <x v="245"/>
    <s v="PO"/>
    <x v="18"/>
    <x v="213"/>
    <n v="1327"/>
    <n v="839"/>
    <n v="488"/>
  </r>
  <r>
    <x v="3"/>
    <x v="246"/>
    <s v="PO"/>
    <x v="18"/>
    <x v="214"/>
    <n v="120"/>
    <n v="77"/>
    <n v="43"/>
  </r>
  <r>
    <x v="3"/>
    <x v="247"/>
    <s v="PO"/>
    <x v="18"/>
    <x v="215"/>
    <n v="1102"/>
    <n v="698"/>
    <n v="404"/>
  </r>
  <r>
    <x v="3"/>
    <x v="248"/>
    <s v="PO"/>
    <x v="18"/>
    <x v="216"/>
    <n v="67"/>
    <n v="50"/>
    <n v="17"/>
  </r>
  <r>
    <x v="3"/>
    <x v="249"/>
    <s v="PO"/>
    <x v="18"/>
    <x v="217"/>
    <n v="68"/>
    <n v="40"/>
    <n v="28"/>
  </r>
  <r>
    <x v="3"/>
    <x v="250"/>
    <s v="PO"/>
    <x v="18"/>
    <x v="218"/>
    <n v="133"/>
    <n v="91"/>
    <n v="42"/>
  </r>
  <r>
    <x v="3"/>
    <x v="251"/>
    <s v="PO"/>
    <x v="18"/>
    <x v="55"/>
    <n v="563"/>
    <n v="379"/>
    <n v="184"/>
  </r>
  <r>
    <x v="3"/>
    <x v="252"/>
    <s v="PO"/>
    <x v="18"/>
    <x v="219"/>
    <n v="13"/>
    <n v="10"/>
    <n v="3"/>
  </r>
  <r>
    <x v="3"/>
    <x v="253"/>
    <s v="PO"/>
    <x v="18"/>
    <x v="220"/>
    <n v="80"/>
    <n v="55"/>
    <n v="25"/>
  </r>
  <r>
    <x v="3"/>
    <x v="254"/>
    <s v="PO"/>
    <x v="18"/>
    <x v="221"/>
    <n v="48"/>
    <n v="35"/>
    <n v="13"/>
  </r>
  <r>
    <x v="3"/>
    <x v="255"/>
    <s v="PO"/>
    <x v="18"/>
    <x v="222"/>
    <n v="36"/>
    <n v="27"/>
    <n v="9"/>
  </r>
  <r>
    <x v="3"/>
    <x v="256"/>
    <s v="PO"/>
    <x v="18"/>
    <x v="73"/>
    <n v="104"/>
    <n v="71"/>
    <n v="33"/>
  </r>
  <r>
    <x v="3"/>
    <x v="257"/>
    <s v="PO"/>
    <x v="18"/>
    <x v="223"/>
    <n v="260"/>
    <n v="175"/>
    <n v="85"/>
  </r>
  <r>
    <x v="3"/>
    <x v="258"/>
    <s v="SU"/>
    <x v="19"/>
    <x v="154"/>
    <n v="114"/>
    <n v="78"/>
    <n v="36"/>
  </r>
  <r>
    <x v="3"/>
    <x v="259"/>
    <s v="SU"/>
    <x v="19"/>
    <x v="224"/>
    <n v="47"/>
    <n v="30"/>
    <n v="17"/>
  </r>
  <r>
    <x v="3"/>
    <x v="260"/>
    <s v="SU"/>
    <x v="19"/>
    <x v="80"/>
    <n v="164"/>
    <n v="92"/>
    <n v="72"/>
  </r>
  <r>
    <x v="3"/>
    <x v="261"/>
    <s v="SU"/>
    <x v="19"/>
    <x v="225"/>
    <n v="78"/>
    <n v="46"/>
    <n v="32"/>
  </r>
  <r>
    <x v="3"/>
    <x v="262"/>
    <s v="SU"/>
    <x v="19"/>
    <x v="226"/>
    <n v="1187"/>
    <n v="748"/>
    <n v="439"/>
  </r>
  <r>
    <x v="3"/>
    <x v="263"/>
    <s v="SU"/>
    <x v="19"/>
    <x v="59"/>
    <n v="67"/>
    <n v="41"/>
    <n v="26"/>
  </r>
  <r>
    <x v="3"/>
    <x v="264"/>
    <s v="SU"/>
    <x v="19"/>
    <x v="227"/>
    <n v="86"/>
    <n v="60"/>
    <n v="26"/>
  </r>
  <r>
    <x v="3"/>
    <x v="265"/>
    <s v="SU"/>
    <x v="19"/>
    <x v="228"/>
    <n v="81"/>
    <n v="49"/>
    <n v="32"/>
  </r>
  <r>
    <x v="3"/>
    <x v="266"/>
    <s v="SU"/>
    <x v="19"/>
    <x v="66"/>
    <n v="30"/>
    <n v="17"/>
    <n v="13"/>
  </r>
  <r>
    <x v="3"/>
    <x v="267"/>
    <s v="SU"/>
    <x v="19"/>
    <x v="208"/>
    <n v="107"/>
    <n v="66"/>
    <n v="41"/>
  </r>
  <r>
    <x v="3"/>
    <x v="268"/>
    <s v="SU"/>
    <x v="19"/>
    <x v="229"/>
    <n v="45"/>
    <n v="25"/>
    <n v="20"/>
  </r>
  <r>
    <x v="3"/>
    <x v="269"/>
    <s v="SU"/>
    <x v="19"/>
    <x v="230"/>
    <n v="212"/>
    <n v="125"/>
    <n v="87"/>
  </r>
  <r>
    <x v="3"/>
    <x v="270"/>
    <s v="SU"/>
    <x v="19"/>
    <x v="231"/>
    <n v="194"/>
    <n v="115"/>
    <n v="79"/>
  </r>
  <r>
    <x v="3"/>
    <x v="271"/>
    <s v="SU"/>
    <x v="19"/>
    <x v="73"/>
    <n v="2510"/>
    <n v="1576"/>
    <n v="934"/>
  </r>
  <r>
    <x v="3"/>
    <x v="272"/>
    <s v="SU"/>
    <x v="19"/>
    <x v="232"/>
    <n v="177"/>
    <n v="100"/>
    <n v="77"/>
  </r>
  <r>
    <x v="3"/>
    <x v="273"/>
    <s v="TA"/>
    <x v="20"/>
    <x v="163"/>
    <n v="47"/>
    <n v="30"/>
    <n v="17"/>
  </r>
  <r>
    <x v="3"/>
    <x v="274"/>
    <s v="TA"/>
    <x v="20"/>
    <x v="233"/>
    <n v="33"/>
    <n v="20"/>
    <n v="13"/>
  </r>
  <r>
    <x v="3"/>
    <x v="275"/>
    <s v="TA"/>
    <x v="20"/>
    <x v="234"/>
    <n v="282"/>
    <n v="176"/>
    <n v="106"/>
  </r>
  <r>
    <x v="3"/>
    <x v="276"/>
    <s v="TA"/>
    <x v="20"/>
    <x v="59"/>
    <n v="165"/>
    <n v="102"/>
    <n v="63"/>
  </r>
  <r>
    <x v="3"/>
    <x v="277"/>
    <s v="TA"/>
    <x v="20"/>
    <x v="235"/>
    <n v="174"/>
    <n v="86"/>
    <n v="88"/>
  </r>
  <r>
    <x v="3"/>
    <x v="278"/>
    <s v="TA"/>
    <x v="20"/>
    <x v="236"/>
    <n v="137"/>
    <n v="87"/>
    <n v="50"/>
  </r>
  <r>
    <x v="3"/>
    <x v="279"/>
    <s v="TA"/>
    <x v="20"/>
    <x v="237"/>
    <n v="150"/>
    <n v="101"/>
    <n v="49"/>
  </r>
  <r>
    <x v="3"/>
    <x v="280"/>
    <s v="TA"/>
    <x v="20"/>
    <x v="35"/>
    <n v="3"/>
    <n v="2"/>
    <n v="1"/>
  </r>
  <r>
    <x v="3"/>
    <x v="281"/>
    <s v="TA"/>
    <x v="20"/>
    <x v="238"/>
    <n v="211"/>
    <n v="140"/>
    <n v="71"/>
  </r>
  <r>
    <x v="3"/>
    <x v="282"/>
    <s v="TA"/>
    <x v="20"/>
    <x v="239"/>
    <n v="112"/>
    <n v="63"/>
    <n v="49"/>
  </r>
  <r>
    <x v="3"/>
    <x v="283"/>
    <s v="TA"/>
    <x v="20"/>
    <x v="38"/>
    <n v="87"/>
    <n v="58"/>
    <n v="29"/>
  </r>
  <r>
    <x v="3"/>
    <x v="284"/>
    <s v="TA"/>
    <x v="20"/>
    <x v="240"/>
    <n v="220"/>
    <n v="152"/>
    <n v="68"/>
  </r>
  <r>
    <x v="3"/>
    <x v="285"/>
    <s v="TA"/>
    <x v="20"/>
    <x v="241"/>
    <n v="31"/>
    <n v="23"/>
    <n v="8"/>
  </r>
  <r>
    <x v="3"/>
    <x v="286"/>
    <s v="TA"/>
    <x v="20"/>
    <x v="242"/>
    <n v="305"/>
    <n v="186"/>
    <n v="119"/>
  </r>
  <r>
    <x v="3"/>
    <x v="287"/>
    <s v="TA"/>
    <x v="20"/>
    <x v="42"/>
    <n v="55"/>
    <n v="35"/>
    <n v="20"/>
  </r>
  <r>
    <x v="3"/>
    <x v="288"/>
    <s v="TA"/>
    <x v="20"/>
    <x v="66"/>
    <n v="93"/>
    <n v="65"/>
    <n v="28"/>
  </r>
  <r>
    <x v="3"/>
    <x v="289"/>
    <s v="TA"/>
    <x v="20"/>
    <x v="243"/>
    <n v="44"/>
    <n v="25"/>
    <n v="19"/>
  </r>
  <r>
    <x v="3"/>
    <x v="290"/>
    <s v="TA"/>
    <x v="20"/>
    <x v="244"/>
    <n v="60"/>
    <n v="40"/>
    <n v="20"/>
  </r>
  <r>
    <x v="3"/>
    <x v="291"/>
    <s v="TA"/>
    <x v="20"/>
    <x v="245"/>
    <n v="171"/>
    <n v="128"/>
    <n v="43"/>
  </r>
  <r>
    <x v="3"/>
    <x v="292"/>
    <s v="TA"/>
    <x v="20"/>
    <x v="246"/>
    <n v="91"/>
    <n v="57"/>
    <n v="34"/>
  </r>
  <r>
    <x v="3"/>
    <x v="293"/>
    <s v="TA"/>
    <x v="20"/>
    <x v="247"/>
    <n v="22"/>
    <n v="16"/>
    <n v="6"/>
  </r>
  <r>
    <x v="3"/>
    <x v="294"/>
    <s v="TA"/>
    <x v="20"/>
    <x v="248"/>
    <n v="61"/>
    <n v="42"/>
    <n v="19"/>
  </r>
  <r>
    <x v="3"/>
    <x v="295"/>
    <s v="TA"/>
    <x v="20"/>
    <x v="249"/>
    <n v="3561"/>
    <n v="2110"/>
    <n v="1451"/>
  </r>
  <r>
    <x v="3"/>
    <x v="296"/>
    <s v="TA"/>
    <x v="20"/>
    <x v="250"/>
    <n v="21"/>
    <n v="8"/>
    <n v="13"/>
  </r>
  <r>
    <x v="3"/>
    <x v="297"/>
    <s v="TA"/>
    <x v="20"/>
    <x v="251"/>
    <n v="19"/>
    <n v="8"/>
    <n v="11"/>
  </r>
  <r>
    <x v="3"/>
    <x v="298"/>
    <s v="TA"/>
    <x v="20"/>
    <x v="50"/>
    <n v="15"/>
    <n v="10"/>
    <n v="5"/>
  </r>
  <r>
    <x v="3"/>
    <x v="299"/>
    <s v="TA"/>
    <x v="20"/>
    <x v="73"/>
    <n v="34"/>
    <n v="23"/>
    <n v="11"/>
  </r>
  <r>
    <x v="3"/>
    <x v="300"/>
    <s v="TA"/>
    <x v="20"/>
    <x v="252"/>
    <n v="126"/>
    <n v="92"/>
    <n v="34"/>
  </r>
  <r>
    <x v="3"/>
    <x v="301"/>
    <s v="TA"/>
    <x v="20"/>
    <x v="253"/>
    <n v="80"/>
    <n v="54"/>
    <n v="26"/>
  </r>
  <r>
    <x v="3"/>
    <x v="302"/>
    <s v="TR"/>
    <x v="21"/>
    <x v="163"/>
    <n v="58"/>
    <n v="44"/>
    <n v="14"/>
  </r>
  <r>
    <x v="3"/>
    <x v="303"/>
    <s v="TR"/>
    <x v="21"/>
    <x v="254"/>
    <n v="555"/>
    <n v="312"/>
    <n v="243"/>
  </r>
  <r>
    <x v="3"/>
    <x v="304"/>
    <s v="TR"/>
    <x v="21"/>
    <x v="59"/>
    <n v="31"/>
    <n v="25"/>
    <n v="6"/>
  </r>
  <r>
    <x v="3"/>
    <x v="305"/>
    <s v="TR"/>
    <x v="21"/>
    <x v="255"/>
    <n v="78"/>
    <n v="46"/>
    <n v="32"/>
  </r>
  <r>
    <x v="3"/>
    <x v="306"/>
    <s v="TR"/>
    <x v="21"/>
    <x v="256"/>
    <n v="127"/>
    <n v="80"/>
    <n v="47"/>
  </r>
  <r>
    <x v="3"/>
    <x v="307"/>
    <s v="TR"/>
    <x v="21"/>
    <x v="257"/>
    <n v="72"/>
    <n v="48"/>
    <n v="24"/>
  </r>
  <r>
    <x v="3"/>
    <x v="308"/>
    <s v="TR"/>
    <x v="21"/>
    <x v="258"/>
    <n v="3"/>
    <n v="2"/>
    <n v="1"/>
  </r>
  <r>
    <x v="3"/>
    <x v="309"/>
    <s v="TR"/>
    <x v="21"/>
    <x v="259"/>
    <n v="46"/>
    <n v="28"/>
    <n v="18"/>
  </r>
  <r>
    <x v="3"/>
    <x v="310"/>
    <s v="TR"/>
    <x v="21"/>
    <x v="260"/>
    <n v="76"/>
    <n v="58"/>
    <n v="18"/>
  </r>
  <r>
    <x v="3"/>
    <x v="311"/>
    <s v="TR"/>
    <x v="21"/>
    <x v="104"/>
    <n v="49"/>
    <n v="33"/>
    <n v="16"/>
  </r>
  <r>
    <x v="3"/>
    <x v="312"/>
    <s v="TR"/>
    <x v="21"/>
    <x v="261"/>
    <n v="41"/>
    <n v="31"/>
    <n v="10"/>
  </r>
  <r>
    <x v="3"/>
    <x v="313"/>
    <s v="TR"/>
    <x v="21"/>
    <x v="262"/>
    <n v="53"/>
    <n v="36"/>
    <n v="17"/>
  </r>
  <r>
    <x v="3"/>
    <x v="314"/>
    <s v="TR"/>
    <x v="21"/>
    <x v="263"/>
    <n v="175"/>
    <n v="116"/>
    <n v="59"/>
  </r>
  <r>
    <x v="3"/>
    <x v="315"/>
    <s v="TR"/>
    <x v="21"/>
    <x v="264"/>
    <n v="45"/>
    <n v="29"/>
    <n v="16"/>
  </r>
  <r>
    <x v="3"/>
    <x v="316"/>
    <s v="TR"/>
    <x v="21"/>
    <x v="265"/>
    <n v="57"/>
    <n v="28"/>
    <n v="29"/>
  </r>
  <r>
    <x v="3"/>
    <x v="317"/>
    <s v="TR"/>
    <x v="21"/>
    <x v="266"/>
    <n v="146"/>
    <n v="87"/>
    <n v="59"/>
  </r>
  <r>
    <x v="3"/>
    <x v="318"/>
    <s v="TR"/>
    <x v="21"/>
    <x v="73"/>
    <n v="123"/>
    <n v="85"/>
    <n v="38"/>
  </r>
  <r>
    <x v="3"/>
    <x v="319"/>
    <s v="TR"/>
    <x v="21"/>
    <x v="267"/>
    <n v="485"/>
    <n v="268"/>
    <n v="217"/>
  </r>
  <r>
    <x v="3"/>
    <x v="320"/>
    <s v="TR"/>
    <x v="21"/>
    <x v="75"/>
    <n v="121"/>
    <n v="77"/>
    <n v="44"/>
  </r>
  <r>
    <x v="3"/>
    <x v="321"/>
    <s v="TR"/>
    <x v="21"/>
    <x v="268"/>
    <n v="1738"/>
    <n v="1053"/>
    <n v="685"/>
  </r>
  <r>
    <x v="3"/>
    <x v="322"/>
    <s v="VA"/>
    <x v="0"/>
    <x v="269"/>
    <n v="136"/>
    <n v="91"/>
    <n v="45"/>
  </r>
  <r>
    <x v="3"/>
    <x v="323"/>
    <s v="VA"/>
    <x v="0"/>
    <x v="270"/>
    <n v="164"/>
    <n v="120"/>
    <n v="44"/>
  </r>
  <r>
    <x v="3"/>
    <x v="324"/>
    <s v="VA"/>
    <x v="0"/>
    <x v="271"/>
    <n v="259"/>
    <n v="177"/>
    <n v="82"/>
  </r>
  <r>
    <x v="3"/>
    <x v="325"/>
    <s v="VA"/>
    <x v="0"/>
    <x v="272"/>
    <n v="28"/>
    <n v="20"/>
    <n v="8"/>
  </r>
  <r>
    <x v="3"/>
    <x v="326"/>
    <s v="VA"/>
    <x v="0"/>
    <x v="273"/>
    <n v="299"/>
    <n v="203"/>
    <n v="96"/>
  </r>
  <r>
    <x v="3"/>
    <x v="327"/>
    <s v="VA"/>
    <x v="0"/>
    <x v="274"/>
    <n v="12"/>
    <n v="10"/>
    <n v="2"/>
  </r>
  <r>
    <x v="3"/>
    <x v="328"/>
    <s v="VA"/>
    <x v="0"/>
    <x v="275"/>
    <n v="625"/>
    <n v="374"/>
    <n v="251"/>
  </r>
  <r>
    <x v="3"/>
    <x v="329"/>
    <s v="VA"/>
    <x v="0"/>
    <x v="276"/>
    <n v="107"/>
    <n v="69"/>
    <n v="38"/>
  </r>
  <r>
    <x v="3"/>
    <x v="330"/>
    <s v="VA"/>
    <x v="0"/>
    <x v="277"/>
    <n v="334"/>
    <n v="201"/>
    <n v="133"/>
  </r>
  <r>
    <x v="3"/>
    <x v="331"/>
    <s v="VA"/>
    <x v="0"/>
    <x v="278"/>
    <n v="78"/>
    <n v="51"/>
    <n v="27"/>
  </r>
  <r>
    <x v="3"/>
    <x v="332"/>
    <s v="VA"/>
    <x v="0"/>
    <x v="279"/>
    <n v="135"/>
    <n v="91"/>
    <n v="44"/>
  </r>
  <r>
    <x v="3"/>
    <x v="333"/>
    <s v="YA"/>
    <x v="22"/>
    <x v="280"/>
    <n v="44"/>
    <n v="25"/>
    <n v="19"/>
  </r>
  <r>
    <x v="3"/>
    <x v="334"/>
    <s v="YA"/>
    <x v="22"/>
    <x v="59"/>
    <n v="82"/>
    <n v="47"/>
    <n v="35"/>
  </r>
  <r>
    <x v="3"/>
    <x v="335"/>
    <s v="YA"/>
    <x v="22"/>
    <x v="281"/>
    <n v="214"/>
    <n v="139"/>
    <n v="75"/>
  </r>
  <r>
    <x v="3"/>
    <x v="336"/>
    <s v="YA"/>
    <x v="22"/>
    <x v="282"/>
    <n v="73"/>
    <n v="57"/>
    <n v="16"/>
  </r>
  <r>
    <x v="3"/>
    <x v="337"/>
    <s v="YA"/>
    <x v="22"/>
    <x v="38"/>
    <n v="142"/>
    <n v="85"/>
    <n v="57"/>
  </r>
  <r>
    <x v="3"/>
    <x v="338"/>
    <s v="YA"/>
    <x v="22"/>
    <x v="283"/>
    <n v="36"/>
    <n v="25"/>
    <n v="11"/>
  </r>
  <r>
    <x v="3"/>
    <x v="339"/>
    <s v="YA"/>
    <x v="22"/>
    <x v="284"/>
    <n v="33"/>
    <n v="26"/>
    <n v="7"/>
  </r>
  <r>
    <x v="3"/>
    <x v="340"/>
    <s v="YA"/>
    <x v="22"/>
    <x v="285"/>
    <n v="34"/>
    <n v="22"/>
    <n v="12"/>
  </r>
  <r>
    <x v="3"/>
    <x v="341"/>
    <s v="YA"/>
    <x v="22"/>
    <x v="286"/>
    <n v="245"/>
    <n v="163"/>
    <n v="82"/>
  </r>
  <r>
    <x v="3"/>
    <x v="342"/>
    <s v="YA"/>
    <x v="22"/>
    <x v="287"/>
    <n v="267"/>
    <n v="173"/>
    <n v="94"/>
  </r>
  <r>
    <x v="3"/>
    <x v="343"/>
    <s v="YA"/>
    <x v="22"/>
    <x v="288"/>
    <n v="1476"/>
    <n v="860"/>
    <n v="616"/>
  </r>
  <r>
    <x v="3"/>
    <x v="344"/>
    <s v="YA"/>
    <x v="22"/>
    <x v="73"/>
    <n v="56"/>
    <n v="32"/>
    <n v="24"/>
  </r>
  <r>
    <x v="3"/>
    <x v="345"/>
    <s v="YA"/>
    <x v="22"/>
    <x v="289"/>
    <n v="65"/>
    <n v="36"/>
    <n v="29"/>
  </r>
  <r>
    <x v="3"/>
    <x v="346"/>
    <s v="YA"/>
    <x v="22"/>
    <x v="290"/>
    <n v="55"/>
    <n v="45"/>
    <n v="10"/>
  </r>
  <r>
    <x v="3"/>
    <x v="347"/>
    <s v="ZU"/>
    <x v="23"/>
    <x v="291"/>
    <n v="39"/>
    <n v="27"/>
    <n v="12"/>
  </r>
  <r>
    <x v="3"/>
    <x v="348"/>
    <s v="ZU"/>
    <x v="23"/>
    <x v="292"/>
    <n v="263"/>
    <n v="176"/>
    <n v="87"/>
  </r>
  <r>
    <x v="3"/>
    <x v="349"/>
    <s v="ZU"/>
    <x v="23"/>
    <x v="293"/>
    <n v="1464"/>
    <n v="833"/>
    <n v="631"/>
  </r>
  <r>
    <x v="3"/>
    <x v="350"/>
    <s v="ZU"/>
    <x v="23"/>
    <x v="294"/>
    <n v="105"/>
    <n v="57"/>
    <n v="48"/>
  </r>
  <r>
    <x v="3"/>
    <x v="351"/>
    <s v="ZU"/>
    <x v="23"/>
    <x v="295"/>
    <n v="583"/>
    <n v="371"/>
    <n v="212"/>
  </r>
  <r>
    <x v="3"/>
    <x v="352"/>
    <s v="ZU"/>
    <x v="23"/>
    <x v="296"/>
    <n v="57"/>
    <n v="44"/>
    <n v="13"/>
  </r>
  <r>
    <x v="3"/>
    <x v="353"/>
    <s v="ZU"/>
    <x v="23"/>
    <x v="297"/>
    <n v="387"/>
    <n v="244"/>
    <n v="143"/>
  </r>
  <r>
    <x v="3"/>
    <x v="354"/>
    <s v="ZU"/>
    <x v="23"/>
    <x v="298"/>
    <n v="105"/>
    <n v="73"/>
    <n v="32"/>
  </r>
  <r>
    <x v="3"/>
    <x v="355"/>
    <s v="ZU"/>
    <x v="23"/>
    <x v="299"/>
    <n v="222"/>
    <n v="141"/>
    <n v="81"/>
  </r>
  <r>
    <x v="3"/>
    <x v="356"/>
    <s v="ZU"/>
    <x v="23"/>
    <x v="300"/>
    <n v="1310"/>
    <n v="732"/>
    <n v="578"/>
  </r>
  <r>
    <x v="3"/>
    <x v="357"/>
    <s v="ZU"/>
    <x v="23"/>
    <x v="301"/>
    <n v="421"/>
    <n v="262"/>
    <n v="159"/>
  </r>
  <r>
    <x v="3"/>
    <x v="358"/>
    <s v="ZU"/>
    <x v="23"/>
    <x v="302"/>
    <n v="783"/>
    <n v="509"/>
    <n v="274"/>
  </r>
  <r>
    <x v="3"/>
    <x v="359"/>
    <s v="ZU"/>
    <x v="23"/>
    <x v="303"/>
    <n v="10385"/>
    <n v="5991"/>
    <n v="4394"/>
  </r>
  <r>
    <x v="3"/>
    <x v="360"/>
    <s v="ZU"/>
    <x v="23"/>
    <x v="104"/>
    <n v="283"/>
    <n v="177"/>
    <n v="106"/>
  </r>
  <r>
    <x v="3"/>
    <x v="361"/>
    <s v="ZU"/>
    <x v="23"/>
    <x v="55"/>
    <n v="247"/>
    <n v="143"/>
    <n v="104"/>
  </r>
  <r>
    <x v="3"/>
    <x v="362"/>
    <s v="ZU"/>
    <x v="23"/>
    <x v="304"/>
    <n v="322"/>
    <n v="197"/>
    <n v="125"/>
  </r>
  <r>
    <x v="3"/>
    <x v="363"/>
    <s v="ZU"/>
    <x v="23"/>
    <x v="136"/>
    <n v="1472"/>
    <n v="856"/>
    <n v="616"/>
  </r>
  <r>
    <x v="3"/>
    <x v="364"/>
    <s v="ZU"/>
    <x v="23"/>
    <x v="305"/>
    <n v="172"/>
    <n v="117"/>
    <n v="55"/>
  </r>
  <r>
    <x v="3"/>
    <x v="365"/>
    <s v="ZU"/>
    <x v="23"/>
    <x v="49"/>
    <n v="100"/>
    <n v="70"/>
    <n v="30"/>
  </r>
  <r>
    <x v="3"/>
    <x v="366"/>
    <s v="ZU"/>
    <x v="23"/>
    <x v="73"/>
    <n v="223"/>
    <n v="140"/>
    <n v="83"/>
  </r>
  <r>
    <x v="3"/>
    <x v="367"/>
    <s v="ZU"/>
    <x v="23"/>
    <x v="306"/>
    <n v="123"/>
    <n v="71"/>
    <n v="52"/>
  </r>
  <r>
    <x v="3"/>
    <x v="368"/>
    <s v="DE"/>
    <x v="24"/>
    <x v="307"/>
    <n v="0"/>
    <n v="0"/>
    <n v="0"/>
  </r>
  <r>
    <x v="4"/>
    <x v="0"/>
    <s v="VA"/>
    <x v="0"/>
    <x v="0"/>
    <n v="0"/>
    <n v="0"/>
    <n v="0"/>
  </r>
  <r>
    <x v="4"/>
    <x v="1"/>
    <s v="DI"/>
    <x v="1"/>
    <x v="1"/>
    <n v="0"/>
    <n v="0"/>
    <n v="0"/>
  </r>
  <r>
    <x v="4"/>
    <x v="2"/>
    <s v="DI"/>
    <x v="1"/>
    <x v="2"/>
    <n v="113"/>
    <n v="68"/>
    <n v="45"/>
  </r>
  <r>
    <x v="4"/>
    <x v="3"/>
    <s v="DI"/>
    <x v="1"/>
    <x v="3"/>
    <n v="479"/>
    <n v="331"/>
    <n v="148"/>
  </r>
  <r>
    <x v="4"/>
    <x v="4"/>
    <s v="DI"/>
    <x v="1"/>
    <x v="4"/>
    <n v="257"/>
    <n v="110"/>
    <n v="147"/>
  </r>
  <r>
    <x v="4"/>
    <x v="5"/>
    <s v="DI"/>
    <x v="1"/>
    <x v="5"/>
    <n v="464"/>
    <n v="264"/>
    <n v="200"/>
  </r>
  <r>
    <x v="4"/>
    <x v="6"/>
    <s v="DI"/>
    <x v="1"/>
    <x v="6"/>
    <n v="39"/>
    <n v="26"/>
    <n v="13"/>
  </r>
  <r>
    <x v="4"/>
    <x v="7"/>
    <s v="DI"/>
    <x v="1"/>
    <x v="7"/>
    <n v="436"/>
    <n v="312"/>
    <n v="124"/>
  </r>
  <r>
    <x v="4"/>
    <x v="8"/>
    <s v="DI"/>
    <x v="1"/>
    <x v="8"/>
    <n v="166"/>
    <n v="120"/>
    <n v="46"/>
  </r>
  <r>
    <x v="4"/>
    <x v="9"/>
    <s v="DI"/>
    <x v="1"/>
    <x v="9"/>
    <n v="2779"/>
    <n v="1792"/>
    <n v="987"/>
  </r>
  <r>
    <x v="4"/>
    <x v="10"/>
    <s v="DI"/>
    <x v="1"/>
    <x v="10"/>
    <n v="774"/>
    <n v="401"/>
    <n v="373"/>
  </r>
  <r>
    <x v="4"/>
    <x v="11"/>
    <s v="DI"/>
    <x v="1"/>
    <x v="11"/>
    <n v="413"/>
    <n v="258"/>
    <n v="155"/>
  </r>
  <r>
    <x v="4"/>
    <x v="12"/>
    <s v="DI"/>
    <x v="1"/>
    <x v="12"/>
    <n v="508"/>
    <n v="348"/>
    <n v="160"/>
  </r>
  <r>
    <x v="4"/>
    <x v="13"/>
    <s v="DI"/>
    <x v="1"/>
    <x v="13"/>
    <n v="464"/>
    <n v="274"/>
    <n v="190"/>
  </r>
  <r>
    <x v="4"/>
    <x v="14"/>
    <s v="DI"/>
    <x v="1"/>
    <x v="14"/>
    <n v="157"/>
    <n v="108"/>
    <n v="49"/>
  </r>
  <r>
    <x v="4"/>
    <x v="15"/>
    <s v="DI"/>
    <x v="1"/>
    <x v="15"/>
    <n v="147"/>
    <n v="106"/>
    <n v="41"/>
  </r>
  <r>
    <x v="4"/>
    <x v="16"/>
    <s v="DI"/>
    <x v="1"/>
    <x v="16"/>
    <n v="1114"/>
    <n v="592"/>
    <n v="522"/>
  </r>
  <r>
    <x v="4"/>
    <x v="17"/>
    <s v="DI"/>
    <x v="1"/>
    <x v="17"/>
    <n v="1023"/>
    <n v="528"/>
    <n v="495"/>
  </r>
  <r>
    <x v="4"/>
    <x v="18"/>
    <s v="DI"/>
    <x v="1"/>
    <x v="18"/>
    <n v="2102"/>
    <n v="1198"/>
    <n v="904"/>
  </r>
  <r>
    <x v="4"/>
    <x v="19"/>
    <s v="DI"/>
    <x v="1"/>
    <x v="19"/>
    <n v="2385"/>
    <n v="1324"/>
    <n v="1061"/>
  </r>
  <r>
    <x v="4"/>
    <x v="20"/>
    <s v="DI"/>
    <x v="1"/>
    <x v="20"/>
    <n v="716"/>
    <n v="400"/>
    <n v="316"/>
  </r>
  <r>
    <x v="4"/>
    <x v="21"/>
    <s v="DI"/>
    <x v="1"/>
    <x v="21"/>
    <n v="56"/>
    <n v="33"/>
    <n v="23"/>
  </r>
  <r>
    <x v="4"/>
    <x v="22"/>
    <s v="DI"/>
    <x v="1"/>
    <x v="22"/>
    <n v="1503"/>
    <n v="1021"/>
    <n v="482"/>
  </r>
  <r>
    <x v="4"/>
    <x v="23"/>
    <s v="DI"/>
    <x v="1"/>
    <x v="23"/>
    <n v="354"/>
    <n v="230"/>
    <n v="124"/>
  </r>
  <r>
    <x v="4"/>
    <x v="24"/>
    <s v="AM"/>
    <x v="2"/>
    <x v="24"/>
    <n v="12"/>
    <n v="4"/>
    <n v="8"/>
  </r>
  <r>
    <x v="4"/>
    <x v="25"/>
    <s v="AM"/>
    <x v="2"/>
    <x v="25"/>
    <n v="8"/>
    <n v="6"/>
    <n v="2"/>
  </r>
  <r>
    <x v="4"/>
    <x v="26"/>
    <s v="AM"/>
    <x v="2"/>
    <x v="26"/>
    <n v="517"/>
    <n v="303"/>
    <n v="214"/>
  </r>
  <r>
    <x v="4"/>
    <x v="27"/>
    <s v="AM"/>
    <x v="2"/>
    <x v="27"/>
    <n v="4"/>
    <n v="3"/>
    <n v="1"/>
  </r>
  <r>
    <x v="4"/>
    <x v="28"/>
    <s v="AM"/>
    <x v="2"/>
    <x v="28"/>
    <n v="4"/>
    <n v="1"/>
    <n v="3"/>
  </r>
  <r>
    <x v="4"/>
    <x v="29"/>
    <s v="AM"/>
    <x v="2"/>
    <x v="29"/>
    <n v="0"/>
    <n v="0"/>
    <n v="0"/>
  </r>
  <r>
    <x v="4"/>
    <x v="30"/>
    <s v="AM"/>
    <x v="2"/>
    <x v="30"/>
    <n v="4"/>
    <n v="4"/>
    <s v="-"/>
  </r>
  <r>
    <x v="4"/>
    <x v="31"/>
    <s v="AN"/>
    <x v="3"/>
    <x v="31"/>
    <n v="348"/>
    <n v="203"/>
    <n v="145"/>
  </r>
  <r>
    <x v="4"/>
    <x v="32"/>
    <s v="AN"/>
    <x v="3"/>
    <x v="32"/>
    <n v="72"/>
    <n v="44"/>
    <n v="28"/>
  </r>
  <r>
    <x v="4"/>
    <x v="33"/>
    <s v="AN"/>
    <x v="3"/>
    <x v="33"/>
    <n v="183"/>
    <n v="102"/>
    <n v="81"/>
  </r>
  <r>
    <x v="4"/>
    <x v="34"/>
    <s v="AN"/>
    <x v="3"/>
    <x v="34"/>
    <n v="56"/>
    <n v="35"/>
    <n v="21"/>
  </r>
  <r>
    <x v="4"/>
    <x v="35"/>
    <s v="AN"/>
    <x v="3"/>
    <x v="35"/>
    <n v="101"/>
    <n v="53"/>
    <n v="48"/>
  </r>
  <r>
    <x v="4"/>
    <x v="36"/>
    <s v="AN"/>
    <x v="3"/>
    <x v="36"/>
    <n v="45"/>
    <n v="23"/>
    <n v="22"/>
  </r>
  <r>
    <x v="4"/>
    <x v="37"/>
    <s v="AN"/>
    <x v="3"/>
    <x v="37"/>
    <n v="76"/>
    <n v="51"/>
    <n v="25"/>
  </r>
  <r>
    <x v="4"/>
    <x v="38"/>
    <s v="AN"/>
    <x v="3"/>
    <x v="38"/>
    <n v="96"/>
    <n v="67"/>
    <n v="29"/>
  </r>
  <r>
    <x v="4"/>
    <x v="39"/>
    <s v="AN"/>
    <x v="3"/>
    <x v="39"/>
    <n v="12"/>
    <n v="8"/>
    <n v="4"/>
  </r>
  <r>
    <x v="4"/>
    <x v="40"/>
    <s v="AN"/>
    <x v="3"/>
    <x v="40"/>
    <n v="660"/>
    <n v="381"/>
    <n v="279"/>
  </r>
  <r>
    <x v="4"/>
    <x v="41"/>
    <s v="AN"/>
    <x v="3"/>
    <x v="41"/>
    <n v="32"/>
    <n v="18"/>
    <n v="14"/>
  </r>
  <r>
    <x v="4"/>
    <x v="42"/>
    <s v="AN"/>
    <x v="3"/>
    <x v="42"/>
    <n v="46"/>
    <n v="31"/>
    <n v="15"/>
  </r>
  <r>
    <x v="4"/>
    <x v="43"/>
    <s v="AN"/>
    <x v="3"/>
    <x v="43"/>
    <n v="101"/>
    <n v="50"/>
    <n v="51"/>
  </r>
  <r>
    <x v="4"/>
    <x v="44"/>
    <s v="AN"/>
    <x v="3"/>
    <x v="44"/>
    <n v="289"/>
    <n v="176"/>
    <n v="113"/>
  </r>
  <r>
    <x v="4"/>
    <x v="45"/>
    <s v="AN"/>
    <x v="3"/>
    <x v="45"/>
    <n v="83"/>
    <n v="47"/>
    <n v="36"/>
  </r>
  <r>
    <x v="4"/>
    <x v="46"/>
    <s v="AN"/>
    <x v="3"/>
    <x v="46"/>
    <n v="197"/>
    <n v="103"/>
    <n v="94"/>
  </r>
  <r>
    <x v="4"/>
    <x v="47"/>
    <s v="AN"/>
    <x v="3"/>
    <x v="47"/>
    <n v="29"/>
    <n v="22"/>
    <n v="7"/>
  </r>
  <r>
    <x v="4"/>
    <x v="48"/>
    <s v="AN"/>
    <x v="3"/>
    <x v="48"/>
    <n v="20"/>
    <n v="14"/>
    <n v="6"/>
  </r>
  <r>
    <x v="4"/>
    <x v="49"/>
    <s v="AN"/>
    <x v="3"/>
    <x v="49"/>
    <n v="2255"/>
    <n v="1324"/>
    <n v="931"/>
  </r>
  <r>
    <x v="4"/>
    <x v="50"/>
    <s v="AN"/>
    <x v="3"/>
    <x v="50"/>
    <n v="910"/>
    <n v="528"/>
    <n v="382"/>
  </r>
  <r>
    <x v="4"/>
    <x v="51"/>
    <s v="AN"/>
    <x v="3"/>
    <x v="51"/>
    <n v="25"/>
    <n v="17"/>
    <n v="8"/>
  </r>
  <r>
    <x v="4"/>
    <x v="52"/>
    <s v="AP"/>
    <x v="4"/>
    <x v="52"/>
    <n v="178"/>
    <n v="113"/>
    <n v="65"/>
  </r>
  <r>
    <x v="4"/>
    <x v="53"/>
    <s v="AP"/>
    <x v="4"/>
    <x v="53"/>
    <n v="54"/>
    <n v="37"/>
    <n v="17"/>
  </r>
  <r>
    <x v="4"/>
    <x v="54"/>
    <s v="AP"/>
    <x v="4"/>
    <x v="54"/>
    <n v="42"/>
    <n v="26"/>
    <n v="16"/>
  </r>
  <r>
    <x v="4"/>
    <x v="55"/>
    <s v="AP"/>
    <x v="4"/>
    <x v="55"/>
    <n v="247"/>
    <n v="176"/>
    <n v="71"/>
  </r>
  <r>
    <x v="4"/>
    <x v="56"/>
    <s v="AP"/>
    <x v="4"/>
    <x v="56"/>
    <n v="40"/>
    <n v="32"/>
    <n v="8"/>
  </r>
  <r>
    <x v="4"/>
    <x v="57"/>
    <s v="AP"/>
    <x v="4"/>
    <x v="57"/>
    <n v="58"/>
    <n v="40"/>
    <n v="18"/>
  </r>
  <r>
    <x v="4"/>
    <x v="58"/>
    <s v="AP"/>
    <x v="4"/>
    <x v="58"/>
    <n v="1023"/>
    <n v="607"/>
    <n v="416"/>
  </r>
  <r>
    <x v="4"/>
    <x v="59"/>
    <s v="AR"/>
    <x v="5"/>
    <x v="59"/>
    <n v="172"/>
    <n v="116"/>
    <n v="56"/>
  </r>
  <r>
    <x v="4"/>
    <x v="60"/>
    <s v="AR"/>
    <x v="5"/>
    <x v="60"/>
    <n v="66"/>
    <n v="44"/>
    <n v="22"/>
  </r>
  <r>
    <x v="4"/>
    <x v="61"/>
    <s v="AR"/>
    <x v="5"/>
    <x v="61"/>
    <n v="281"/>
    <n v="170"/>
    <n v="111"/>
  </r>
  <r>
    <x v="4"/>
    <x v="62"/>
    <s v="AR"/>
    <x v="5"/>
    <x v="62"/>
    <n v="4521"/>
    <n v="2609"/>
    <n v="1912"/>
  </r>
  <r>
    <x v="4"/>
    <x v="63"/>
    <s v="AR"/>
    <x v="5"/>
    <x v="63"/>
    <n v="94"/>
    <n v="62"/>
    <n v="32"/>
  </r>
  <r>
    <x v="4"/>
    <x v="64"/>
    <s v="AR"/>
    <x v="5"/>
    <x v="64"/>
    <n v="991"/>
    <n v="588"/>
    <n v="403"/>
  </r>
  <r>
    <x v="4"/>
    <x v="65"/>
    <s v="AR"/>
    <x v="5"/>
    <x v="65"/>
    <n v="131"/>
    <n v="88"/>
    <n v="43"/>
  </r>
  <r>
    <x v="4"/>
    <x v="66"/>
    <s v="AR"/>
    <x v="5"/>
    <x v="66"/>
    <n v="411"/>
    <n v="252"/>
    <n v="159"/>
  </r>
  <r>
    <x v="4"/>
    <x v="67"/>
    <s v="AR"/>
    <x v="5"/>
    <x v="67"/>
    <n v="291"/>
    <n v="148"/>
    <n v="143"/>
  </r>
  <r>
    <x v="4"/>
    <x v="68"/>
    <s v="AR"/>
    <x v="5"/>
    <x v="68"/>
    <n v="39"/>
    <n v="28"/>
    <n v="11"/>
  </r>
  <r>
    <x v="4"/>
    <x v="69"/>
    <s v="AR"/>
    <x v="5"/>
    <x v="69"/>
    <n v="142"/>
    <n v="97"/>
    <n v="45"/>
  </r>
  <r>
    <x v="4"/>
    <x v="70"/>
    <s v="AR"/>
    <x v="5"/>
    <x v="70"/>
    <n v="89"/>
    <n v="53"/>
    <n v="36"/>
  </r>
  <r>
    <x v="4"/>
    <x v="71"/>
    <s v="AR"/>
    <x v="5"/>
    <x v="71"/>
    <n v="568"/>
    <n v="362"/>
    <n v="206"/>
  </r>
  <r>
    <x v="4"/>
    <x v="72"/>
    <s v="AR"/>
    <x v="5"/>
    <x v="72"/>
    <n v="146"/>
    <n v="116"/>
    <n v="30"/>
  </r>
  <r>
    <x v="4"/>
    <x v="73"/>
    <s v="AR"/>
    <x v="5"/>
    <x v="73"/>
    <n v="490"/>
    <n v="272"/>
    <n v="218"/>
  </r>
  <r>
    <x v="4"/>
    <x v="74"/>
    <s v="AR"/>
    <x v="5"/>
    <x v="74"/>
    <n v="44"/>
    <n v="29"/>
    <n v="15"/>
  </r>
  <r>
    <x v="4"/>
    <x v="75"/>
    <s v="AR"/>
    <x v="5"/>
    <x v="75"/>
    <n v="56"/>
    <n v="38"/>
    <n v="18"/>
  </r>
  <r>
    <x v="4"/>
    <x v="76"/>
    <s v="AR"/>
    <x v="5"/>
    <x v="76"/>
    <n v="546"/>
    <n v="353"/>
    <n v="193"/>
  </r>
  <r>
    <x v="4"/>
    <x v="77"/>
    <s v="BA"/>
    <x v="6"/>
    <x v="77"/>
    <n v="126"/>
    <n v="89"/>
    <n v="37"/>
  </r>
  <r>
    <x v="4"/>
    <x v="78"/>
    <s v="BA"/>
    <x v="6"/>
    <x v="78"/>
    <n v="42"/>
    <n v="29"/>
    <n v="13"/>
  </r>
  <r>
    <x v="4"/>
    <x v="79"/>
    <s v="BA"/>
    <x v="6"/>
    <x v="79"/>
    <n v="253"/>
    <n v="161"/>
    <n v="92"/>
  </r>
  <r>
    <x v="4"/>
    <x v="80"/>
    <s v="BA"/>
    <x v="6"/>
    <x v="80"/>
    <n v="32"/>
    <n v="22"/>
    <n v="10"/>
  </r>
  <r>
    <x v="4"/>
    <x v="81"/>
    <s v="BA"/>
    <x v="6"/>
    <x v="81"/>
    <n v="2177"/>
    <n v="1374"/>
    <n v="803"/>
  </r>
  <r>
    <x v="4"/>
    <x v="82"/>
    <s v="BA"/>
    <x v="6"/>
    <x v="59"/>
    <n v="132"/>
    <n v="80"/>
    <n v="52"/>
  </r>
  <r>
    <x v="4"/>
    <x v="83"/>
    <s v="BA"/>
    <x v="6"/>
    <x v="82"/>
    <n v="86"/>
    <n v="59"/>
    <n v="27"/>
  </r>
  <r>
    <x v="4"/>
    <x v="84"/>
    <s v="BA"/>
    <x v="6"/>
    <x v="83"/>
    <n v="186"/>
    <n v="119"/>
    <n v="67"/>
  </r>
  <r>
    <x v="4"/>
    <x v="85"/>
    <s v="BA"/>
    <x v="6"/>
    <x v="84"/>
    <n v="65"/>
    <n v="49"/>
    <n v="16"/>
  </r>
  <r>
    <x v="4"/>
    <x v="86"/>
    <s v="BA"/>
    <x v="6"/>
    <x v="85"/>
    <n v="184"/>
    <n v="123"/>
    <n v="61"/>
  </r>
  <r>
    <x v="4"/>
    <x v="87"/>
    <s v="BA"/>
    <x v="6"/>
    <x v="86"/>
    <n v="103"/>
    <n v="70"/>
    <n v="33"/>
  </r>
  <r>
    <x v="4"/>
    <x v="88"/>
    <s v="BA"/>
    <x v="6"/>
    <x v="87"/>
    <n v="39"/>
    <n v="30"/>
    <n v="9"/>
  </r>
  <r>
    <x v="4"/>
    <x v="89"/>
    <s v="BO"/>
    <x v="7"/>
    <x v="88"/>
    <n v="3898"/>
    <n v="2406"/>
    <n v="1492"/>
  </r>
  <r>
    <x v="4"/>
    <x v="90"/>
    <s v="BO"/>
    <x v="7"/>
    <x v="89"/>
    <n v="239"/>
    <n v="147"/>
    <n v="92"/>
  </r>
  <r>
    <x v="4"/>
    <x v="91"/>
    <s v="BO"/>
    <x v="7"/>
    <x v="90"/>
    <n v="66"/>
    <n v="40"/>
    <n v="26"/>
  </r>
  <r>
    <x v="4"/>
    <x v="92"/>
    <s v="BO"/>
    <x v="7"/>
    <x v="91"/>
    <n v="64"/>
    <n v="42"/>
    <n v="22"/>
  </r>
  <r>
    <x v="4"/>
    <x v="93"/>
    <s v="BO"/>
    <x v="7"/>
    <x v="92"/>
    <n v="2361"/>
    <n v="1437"/>
    <n v="924"/>
  </r>
  <r>
    <x v="4"/>
    <x v="94"/>
    <s v="BO"/>
    <x v="7"/>
    <x v="93"/>
    <n v="47"/>
    <n v="31"/>
    <n v="16"/>
  </r>
  <r>
    <x v="4"/>
    <x v="95"/>
    <s v="BO"/>
    <x v="7"/>
    <x v="94"/>
    <n v="420"/>
    <n v="255"/>
    <n v="165"/>
  </r>
  <r>
    <x v="4"/>
    <x v="96"/>
    <s v="BO"/>
    <x v="7"/>
    <x v="95"/>
    <n v="26"/>
    <n v="22"/>
    <n v="4"/>
  </r>
  <r>
    <x v="4"/>
    <x v="97"/>
    <s v="BO"/>
    <x v="7"/>
    <x v="96"/>
    <n v="81"/>
    <n v="54"/>
    <n v="27"/>
  </r>
  <r>
    <x v="4"/>
    <x v="98"/>
    <s v="BO"/>
    <x v="7"/>
    <x v="97"/>
    <n v="144"/>
    <n v="104"/>
    <n v="40"/>
  </r>
  <r>
    <x v="4"/>
    <x v="99"/>
    <s v="BO"/>
    <x v="7"/>
    <x v="73"/>
    <n v="18"/>
    <n v="10"/>
    <n v="8"/>
  </r>
  <r>
    <x v="4"/>
    <x v="100"/>
    <s v="CA"/>
    <x v="8"/>
    <x v="98"/>
    <n v="263"/>
    <n v="147"/>
    <n v="116"/>
  </r>
  <r>
    <x v="4"/>
    <x v="101"/>
    <s v="CA"/>
    <x v="8"/>
    <x v="99"/>
    <n v="490"/>
    <n v="320"/>
    <n v="170"/>
  </r>
  <r>
    <x v="4"/>
    <x v="102"/>
    <s v="CA"/>
    <x v="8"/>
    <x v="100"/>
    <n v="453"/>
    <n v="308"/>
    <n v="145"/>
  </r>
  <r>
    <x v="4"/>
    <x v="103"/>
    <s v="CA"/>
    <x v="8"/>
    <x v="101"/>
    <n v="640"/>
    <n v="414"/>
    <n v="226"/>
  </r>
  <r>
    <x v="4"/>
    <x v="104"/>
    <s v="CA"/>
    <x v="8"/>
    <x v="102"/>
    <n v="188"/>
    <n v="141"/>
    <n v="47"/>
  </r>
  <r>
    <x v="4"/>
    <x v="105"/>
    <s v="CA"/>
    <x v="8"/>
    <x v="66"/>
    <n v="535"/>
    <n v="393"/>
    <n v="142"/>
  </r>
  <r>
    <x v="4"/>
    <x v="106"/>
    <s v="CA"/>
    <x v="8"/>
    <x v="103"/>
    <n v="388"/>
    <n v="258"/>
    <n v="130"/>
  </r>
  <r>
    <x v="4"/>
    <x v="107"/>
    <s v="CA"/>
    <x v="8"/>
    <x v="104"/>
    <n v="89"/>
    <n v="58"/>
    <n v="31"/>
  </r>
  <r>
    <x v="4"/>
    <x v="108"/>
    <s v="CA"/>
    <x v="8"/>
    <x v="105"/>
    <n v="61"/>
    <n v="37"/>
    <n v="24"/>
  </r>
  <r>
    <x v="4"/>
    <x v="109"/>
    <s v="CA"/>
    <x v="8"/>
    <x v="106"/>
    <n v="1759"/>
    <n v="987"/>
    <n v="772"/>
  </r>
  <r>
    <x v="4"/>
    <x v="110"/>
    <s v="CA"/>
    <x v="8"/>
    <x v="107"/>
    <n v="1182"/>
    <n v="690"/>
    <n v="492"/>
  </r>
  <r>
    <x v="4"/>
    <x v="111"/>
    <s v="CA"/>
    <x v="8"/>
    <x v="108"/>
    <n v="297"/>
    <n v="159"/>
    <n v="138"/>
  </r>
  <r>
    <x v="4"/>
    <x v="112"/>
    <s v="CA"/>
    <x v="8"/>
    <x v="109"/>
    <n v="181"/>
    <n v="123"/>
    <n v="58"/>
  </r>
  <r>
    <x v="4"/>
    <x v="113"/>
    <s v="CA"/>
    <x v="8"/>
    <x v="110"/>
    <n v="5195"/>
    <n v="3160"/>
    <n v="2035"/>
  </r>
  <r>
    <x v="4"/>
    <x v="114"/>
    <s v="CO"/>
    <x v="9"/>
    <x v="111"/>
    <n v="33"/>
    <n v="18"/>
    <n v="15"/>
  </r>
  <r>
    <x v="4"/>
    <x v="115"/>
    <s v="CO"/>
    <x v="9"/>
    <x v="112"/>
    <n v="339"/>
    <n v="225"/>
    <n v="114"/>
  </r>
  <r>
    <x v="4"/>
    <x v="116"/>
    <s v="CO"/>
    <x v="9"/>
    <x v="62"/>
    <n v="30"/>
    <n v="15"/>
    <n v="15"/>
  </r>
  <r>
    <x v="4"/>
    <x v="117"/>
    <s v="CO"/>
    <x v="9"/>
    <x v="113"/>
    <n v="32"/>
    <n v="16"/>
    <n v="16"/>
  </r>
  <r>
    <x v="4"/>
    <x v="118"/>
    <s v="CO"/>
    <x v="9"/>
    <x v="114"/>
    <n v="30"/>
    <n v="22"/>
    <n v="8"/>
  </r>
  <r>
    <x v="4"/>
    <x v="119"/>
    <s v="CO"/>
    <x v="9"/>
    <x v="115"/>
    <n v="38"/>
    <n v="21"/>
    <n v="17"/>
  </r>
  <r>
    <x v="4"/>
    <x v="120"/>
    <s v="CO"/>
    <x v="9"/>
    <x v="57"/>
    <n v="33"/>
    <n v="21"/>
    <n v="12"/>
  </r>
  <r>
    <x v="4"/>
    <x v="121"/>
    <s v="CO"/>
    <x v="9"/>
    <x v="116"/>
    <n v="704"/>
    <n v="427"/>
    <n v="277"/>
  </r>
  <r>
    <x v="4"/>
    <x v="122"/>
    <s v="CO"/>
    <x v="9"/>
    <x v="117"/>
    <n v="111"/>
    <n v="81"/>
    <n v="30"/>
  </r>
  <r>
    <x v="4"/>
    <x v="123"/>
    <s v="DE"/>
    <x v="10"/>
    <x v="118"/>
    <n v="54"/>
    <n v="34"/>
    <n v="20"/>
  </r>
  <r>
    <x v="4"/>
    <x v="124"/>
    <s v="DE"/>
    <x v="10"/>
    <x v="119"/>
    <n v="42"/>
    <n v="26"/>
    <n v="16"/>
  </r>
  <r>
    <x v="4"/>
    <x v="125"/>
    <s v="DE"/>
    <x v="10"/>
    <x v="120"/>
    <n v="15"/>
    <n v="10"/>
    <n v="5"/>
  </r>
  <r>
    <x v="4"/>
    <x v="126"/>
    <s v="DE"/>
    <x v="10"/>
    <x v="121"/>
    <n v="502"/>
    <n v="328"/>
    <n v="174"/>
  </r>
  <r>
    <x v="4"/>
    <x v="127"/>
    <s v="FA"/>
    <x v="11"/>
    <x v="122"/>
    <n v="30"/>
    <n v="23"/>
    <n v="7"/>
  </r>
  <r>
    <x v="4"/>
    <x v="128"/>
    <s v="FA"/>
    <x v="11"/>
    <x v="59"/>
    <n v="20"/>
    <n v="9"/>
    <n v="11"/>
  </r>
  <r>
    <x v="4"/>
    <x v="129"/>
    <s v="FA"/>
    <x v="11"/>
    <x v="123"/>
    <n v="50"/>
    <n v="29"/>
    <n v="21"/>
  </r>
  <r>
    <x v="4"/>
    <x v="130"/>
    <s v="FA"/>
    <x v="11"/>
    <x v="124"/>
    <n v="16"/>
    <n v="12"/>
    <n v="4"/>
  </r>
  <r>
    <x v="4"/>
    <x v="131"/>
    <s v="FA"/>
    <x v="11"/>
    <x v="125"/>
    <n v="1257"/>
    <n v="720"/>
    <n v="537"/>
  </r>
  <r>
    <x v="4"/>
    <x v="132"/>
    <s v="FA"/>
    <x v="11"/>
    <x v="126"/>
    <n v="84"/>
    <n v="53"/>
    <n v="31"/>
  </r>
  <r>
    <x v="4"/>
    <x v="133"/>
    <s v="FA"/>
    <x v="11"/>
    <x v="127"/>
    <n v="70"/>
    <n v="45"/>
    <n v="25"/>
  </r>
  <r>
    <x v="4"/>
    <x v="134"/>
    <s v="FA"/>
    <x v="11"/>
    <x v="128"/>
    <n v="20"/>
    <n v="12"/>
    <n v="8"/>
  </r>
  <r>
    <x v="4"/>
    <x v="135"/>
    <s v="FA"/>
    <x v="11"/>
    <x v="112"/>
    <n v="154"/>
    <n v="96"/>
    <n v="58"/>
  </r>
  <r>
    <x v="4"/>
    <x v="136"/>
    <s v="FA"/>
    <x v="11"/>
    <x v="129"/>
    <n v="91"/>
    <n v="47"/>
    <n v="44"/>
  </r>
  <r>
    <x v="4"/>
    <x v="137"/>
    <s v="FA"/>
    <x v="11"/>
    <x v="130"/>
    <n v="7"/>
    <n v="5"/>
    <n v="2"/>
  </r>
  <r>
    <x v="4"/>
    <x v="138"/>
    <s v="FA"/>
    <x v="11"/>
    <x v="131"/>
    <n v="130"/>
    <n v="85"/>
    <n v="45"/>
  </r>
  <r>
    <x v="4"/>
    <x v="139"/>
    <s v="FA"/>
    <x v="11"/>
    <x v="132"/>
    <n v="80"/>
    <n v="47"/>
    <n v="33"/>
  </r>
  <r>
    <x v="4"/>
    <x v="140"/>
    <s v="FA"/>
    <x v="11"/>
    <x v="104"/>
    <n v="1460"/>
    <n v="798"/>
    <n v="662"/>
  </r>
  <r>
    <x v="4"/>
    <x v="141"/>
    <s v="FA"/>
    <x v="11"/>
    <x v="133"/>
    <n v="62"/>
    <n v="43"/>
    <n v="19"/>
  </r>
  <r>
    <x v="4"/>
    <x v="142"/>
    <s v="FA"/>
    <x v="11"/>
    <x v="134"/>
    <n v="6"/>
    <n v="5"/>
    <n v="1"/>
  </r>
  <r>
    <x v="4"/>
    <x v="143"/>
    <s v="FA"/>
    <x v="11"/>
    <x v="135"/>
    <n v="26"/>
    <n v="15"/>
    <n v="11"/>
  </r>
  <r>
    <x v="4"/>
    <x v="144"/>
    <s v="FA"/>
    <x v="11"/>
    <x v="45"/>
    <n v="35"/>
    <n v="20"/>
    <n v="15"/>
  </r>
  <r>
    <x v="4"/>
    <x v="145"/>
    <s v="FA"/>
    <x v="11"/>
    <x v="136"/>
    <n v="45"/>
    <n v="26"/>
    <n v="19"/>
  </r>
  <r>
    <x v="4"/>
    <x v="146"/>
    <s v="FA"/>
    <x v="11"/>
    <x v="137"/>
    <n v="165"/>
    <n v="122"/>
    <n v="43"/>
  </r>
  <r>
    <x v="4"/>
    <x v="147"/>
    <s v="FA"/>
    <x v="11"/>
    <x v="73"/>
    <n v="16"/>
    <n v="10"/>
    <n v="6"/>
  </r>
  <r>
    <x v="4"/>
    <x v="148"/>
    <s v="FA"/>
    <x v="11"/>
    <x v="138"/>
    <n v="19"/>
    <n v="11"/>
    <n v="8"/>
  </r>
  <r>
    <x v="4"/>
    <x v="149"/>
    <s v="FA"/>
    <x v="11"/>
    <x v="139"/>
    <n v="34"/>
    <n v="19"/>
    <n v="15"/>
  </r>
  <r>
    <x v="4"/>
    <x v="150"/>
    <s v="FA"/>
    <x v="11"/>
    <x v="140"/>
    <n v="17"/>
    <n v="8"/>
    <n v="9"/>
  </r>
  <r>
    <x v="4"/>
    <x v="151"/>
    <s v="FA"/>
    <x v="11"/>
    <x v="76"/>
    <n v="69"/>
    <n v="38"/>
    <n v="31"/>
  </r>
  <r>
    <x v="4"/>
    <x v="152"/>
    <s v="GU"/>
    <x v="12"/>
    <x v="141"/>
    <n v="56"/>
    <n v="28"/>
    <n v="28"/>
  </r>
  <r>
    <x v="4"/>
    <x v="153"/>
    <s v="GU"/>
    <x v="12"/>
    <x v="142"/>
    <n v="39"/>
    <n v="27"/>
    <n v="12"/>
  </r>
  <r>
    <x v="4"/>
    <x v="154"/>
    <s v="GU"/>
    <x v="12"/>
    <x v="143"/>
    <n v="48"/>
    <n v="36"/>
    <n v="12"/>
  </r>
  <r>
    <x v="4"/>
    <x v="155"/>
    <s v="GU"/>
    <x v="12"/>
    <x v="144"/>
    <n v="40"/>
    <n v="25"/>
    <n v="15"/>
  </r>
  <r>
    <x v="4"/>
    <x v="156"/>
    <s v="GU"/>
    <x v="12"/>
    <x v="145"/>
    <n v="740"/>
    <n v="464"/>
    <n v="276"/>
  </r>
  <r>
    <x v="4"/>
    <x v="157"/>
    <s v="GU"/>
    <x v="12"/>
    <x v="146"/>
    <n v="103"/>
    <n v="72"/>
    <n v="31"/>
  </r>
  <r>
    <x v="4"/>
    <x v="158"/>
    <s v="GU"/>
    <x v="12"/>
    <x v="147"/>
    <n v="119"/>
    <n v="83"/>
    <n v="36"/>
  </r>
  <r>
    <x v="4"/>
    <x v="159"/>
    <s v="GU"/>
    <x v="12"/>
    <x v="104"/>
    <n v="624"/>
    <n v="383"/>
    <n v="241"/>
  </r>
  <r>
    <x v="4"/>
    <x v="160"/>
    <s v="GU"/>
    <x v="12"/>
    <x v="148"/>
    <n v="356"/>
    <n v="222"/>
    <n v="134"/>
  </r>
  <r>
    <x v="4"/>
    <x v="161"/>
    <s v="GU"/>
    <x v="12"/>
    <x v="149"/>
    <n v="66"/>
    <n v="51"/>
    <n v="15"/>
  </r>
  <r>
    <x v="4"/>
    <x v="162"/>
    <s v="GU"/>
    <x v="12"/>
    <x v="150"/>
    <n v="106"/>
    <n v="68"/>
    <n v="38"/>
  </r>
  <r>
    <x v="4"/>
    <x v="163"/>
    <s v="GU"/>
    <x v="12"/>
    <x v="96"/>
    <n v="1132"/>
    <n v="685"/>
    <n v="447"/>
  </r>
  <r>
    <x v="4"/>
    <x v="164"/>
    <s v="GU"/>
    <x v="12"/>
    <x v="151"/>
    <n v="21"/>
    <n v="17"/>
    <n v="4"/>
  </r>
  <r>
    <x v="4"/>
    <x v="165"/>
    <s v="GU"/>
    <x v="12"/>
    <x v="152"/>
    <n v="51"/>
    <n v="36"/>
    <n v="15"/>
  </r>
  <r>
    <x v="4"/>
    <x v="166"/>
    <s v="GU"/>
    <x v="12"/>
    <x v="153"/>
    <n v="251"/>
    <n v="165"/>
    <n v="86"/>
  </r>
  <r>
    <x v="4"/>
    <x v="167"/>
    <s v="LA"/>
    <x v="13"/>
    <x v="154"/>
    <n v="117"/>
    <n v="74"/>
    <n v="43"/>
  </r>
  <r>
    <x v="4"/>
    <x v="168"/>
    <s v="LA"/>
    <x v="13"/>
    <x v="155"/>
    <n v="143"/>
    <n v="90"/>
    <n v="53"/>
  </r>
  <r>
    <x v="4"/>
    <x v="169"/>
    <s v="LA"/>
    <x v="13"/>
    <x v="156"/>
    <n v="6702"/>
    <n v="3906"/>
    <n v="2796"/>
  </r>
  <r>
    <x v="4"/>
    <x v="170"/>
    <s v="LA"/>
    <x v="13"/>
    <x v="157"/>
    <n v="332"/>
    <n v="200"/>
    <n v="132"/>
  </r>
  <r>
    <x v="4"/>
    <x v="171"/>
    <s v="LA"/>
    <x v="13"/>
    <x v="158"/>
    <n v="450"/>
    <n v="282"/>
    <n v="168"/>
  </r>
  <r>
    <x v="4"/>
    <x v="172"/>
    <s v="LA"/>
    <x v="13"/>
    <x v="159"/>
    <n v="356"/>
    <n v="217"/>
    <n v="139"/>
  </r>
  <r>
    <x v="4"/>
    <x v="173"/>
    <s v="LA"/>
    <x v="13"/>
    <x v="160"/>
    <n v="76"/>
    <n v="52"/>
    <n v="24"/>
  </r>
  <r>
    <x v="4"/>
    <x v="174"/>
    <s v="LA"/>
    <x v="13"/>
    <x v="161"/>
    <n v="788"/>
    <n v="452"/>
    <n v="336"/>
  </r>
  <r>
    <x v="4"/>
    <x v="175"/>
    <s v="LA"/>
    <x v="13"/>
    <x v="75"/>
    <n v="163"/>
    <n v="93"/>
    <n v="70"/>
  </r>
  <r>
    <x v="4"/>
    <x v="176"/>
    <s v="ME"/>
    <x v="14"/>
    <x v="162"/>
    <n v="547"/>
    <n v="367"/>
    <n v="180"/>
  </r>
  <r>
    <x v="4"/>
    <x v="177"/>
    <s v="ME"/>
    <x v="14"/>
    <x v="163"/>
    <n v="50"/>
    <n v="32"/>
    <n v="18"/>
  </r>
  <r>
    <x v="4"/>
    <x v="178"/>
    <s v="ME"/>
    <x v="14"/>
    <x v="164"/>
    <n v="84"/>
    <n v="55"/>
    <n v="29"/>
  </r>
  <r>
    <x v="4"/>
    <x v="179"/>
    <s v="ME"/>
    <x v="14"/>
    <x v="165"/>
    <n v="15"/>
    <n v="6"/>
    <n v="9"/>
  </r>
  <r>
    <x v="4"/>
    <x v="180"/>
    <s v="ME"/>
    <x v="14"/>
    <x v="166"/>
    <n v="38"/>
    <n v="19"/>
    <n v="19"/>
  </r>
  <r>
    <x v="4"/>
    <x v="181"/>
    <s v="ME"/>
    <x v="14"/>
    <x v="167"/>
    <n v="325"/>
    <n v="196"/>
    <n v="129"/>
  </r>
  <r>
    <x v="4"/>
    <x v="182"/>
    <s v="ME"/>
    <x v="14"/>
    <x v="168"/>
    <n v="34"/>
    <n v="23"/>
    <n v="11"/>
  </r>
  <r>
    <x v="4"/>
    <x v="183"/>
    <s v="ME"/>
    <x v="14"/>
    <x v="169"/>
    <n v="103"/>
    <n v="64"/>
    <n v="39"/>
  </r>
  <r>
    <x v="4"/>
    <x v="184"/>
    <s v="ME"/>
    <x v="14"/>
    <x v="170"/>
    <n v="41"/>
    <n v="24"/>
    <n v="17"/>
  </r>
  <r>
    <x v="4"/>
    <x v="185"/>
    <s v="ME"/>
    <x v="14"/>
    <x v="171"/>
    <n v="65"/>
    <n v="38"/>
    <n v="27"/>
  </r>
  <r>
    <x v="4"/>
    <x v="186"/>
    <s v="ME"/>
    <x v="14"/>
    <x v="172"/>
    <n v="9"/>
    <n v="7"/>
    <n v="2"/>
  </r>
  <r>
    <x v="4"/>
    <x v="187"/>
    <s v="ME"/>
    <x v="14"/>
    <x v="66"/>
    <n v="2331"/>
    <n v="1347"/>
    <n v="984"/>
  </r>
  <r>
    <x v="4"/>
    <x v="188"/>
    <s v="ME"/>
    <x v="14"/>
    <x v="104"/>
    <n v="70"/>
    <n v="47"/>
    <n v="23"/>
  </r>
  <r>
    <x v="4"/>
    <x v="189"/>
    <s v="ME"/>
    <x v="14"/>
    <x v="173"/>
    <n v="81"/>
    <n v="48"/>
    <n v="33"/>
  </r>
  <r>
    <x v="4"/>
    <x v="190"/>
    <s v="ME"/>
    <x v="14"/>
    <x v="174"/>
    <n v="3"/>
    <n v="1"/>
    <n v="2"/>
  </r>
  <r>
    <x v="4"/>
    <x v="191"/>
    <s v="ME"/>
    <x v="14"/>
    <x v="175"/>
    <n v="43"/>
    <n v="28"/>
    <n v="15"/>
  </r>
  <r>
    <x v="4"/>
    <x v="192"/>
    <s v="ME"/>
    <x v="14"/>
    <x v="176"/>
    <n v="74"/>
    <n v="53"/>
    <n v="21"/>
  </r>
  <r>
    <x v="4"/>
    <x v="193"/>
    <s v="ME"/>
    <x v="14"/>
    <x v="177"/>
    <n v="79"/>
    <n v="55"/>
    <n v="24"/>
  </r>
  <r>
    <x v="4"/>
    <x v="194"/>
    <s v="ME"/>
    <x v="14"/>
    <x v="178"/>
    <n v="45"/>
    <n v="26"/>
    <n v="19"/>
  </r>
  <r>
    <x v="4"/>
    <x v="195"/>
    <s v="ME"/>
    <x v="14"/>
    <x v="73"/>
    <n v="210"/>
    <n v="150"/>
    <n v="60"/>
  </r>
  <r>
    <x v="4"/>
    <x v="196"/>
    <s v="ME"/>
    <x v="14"/>
    <x v="74"/>
    <n v="164"/>
    <n v="98"/>
    <n v="66"/>
  </r>
  <r>
    <x v="4"/>
    <x v="197"/>
    <s v="ME"/>
    <x v="14"/>
    <x v="179"/>
    <n v="89"/>
    <n v="61"/>
    <n v="28"/>
  </r>
  <r>
    <x v="4"/>
    <x v="198"/>
    <s v="ME"/>
    <x v="14"/>
    <x v="180"/>
    <n v="42"/>
    <n v="23"/>
    <n v="19"/>
  </r>
  <r>
    <x v="4"/>
    <x v="199"/>
    <s v="MI"/>
    <x v="15"/>
    <x v="181"/>
    <n v="427"/>
    <n v="294"/>
    <n v="133"/>
  </r>
  <r>
    <x v="4"/>
    <x v="200"/>
    <s v="MI"/>
    <x v="15"/>
    <x v="163"/>
    <n v="128"/>
    <n v="83"/>
    <n v="45"/>
  </r>
  <r>
    <x v="4"/>
    <x v="201"/>
    <s v="MI"/>
    <x v="15"/>
    <x v="182"/>
    <n v="2085"/>
    <n v="1066"/>
    <n v="1019"/>
  </r>
  <r>
    <x v="4"/>
    <x v="202"/>
    <s v="MI"/>
    <x v="15"/>
    <x v="183"/>
    <n v="283"/>
    <n v="181"/>
    <n v="102"/>
  </r>
  <r>
    <x v="4"/>
    <x v="203"/>
    <s v="MI"/>
    <x v="15"/>
    <x v="184"/>
    <n v="102"/>
    <n v="65"/>
    <n v="37"/>
  </r>
  <r>
    <x v="4"/>
    <x v="204"/>
    <s v="MI"/>
    <x v="15"/>
    <x v="185"/>
    <n v="181"/>
    <n v="106"/>
    <n v="75"/>
  </r>
  <r>
    <x v="4"/>
    <x v="205"/>
    <s v="MI"/>
    <x v="15"/>
    <x v="186"/>
    <n v="862"/>
    <n v="433"/>
    <n v="429"/>
  </r>
  <r>
    <x v="4"/>
    <x v="206"/>
    <s v="MI"/>
    <x v="15"/>
    <x v="187"/>
    <n v="450"/>
    <n v="316"/>
    <n v="134"/>
  </r>
  <r>
    <x v="4"/>
    <x v="207"/>
    <s v="MI"/>
    <x v="15"/>
    <x v="188"/>
    <n v="188"/>
    <n v="117"/>
    <n v="71"/>
  </r>
  <r>
    <x v="4"/>
    <x v="208"/>
    <s v="MI"/>
    <x v="15"/>
    <x v="189"/>
    <n v="1431"/>
    <n v="907"/>
    <n v="524"/>
  </r>
  <r>
    <x v="4"/>
    <x v="209"/>
    <s v="MI"/>
    <x v="15"/>
    <x v="38"/>
    <n v="560"/>
    <n v="375"/>
    <n v="185"/>
  </r>
  <r>
    <x v="4"/>
    <x v="210"/>
    <s v="MI"/>
    <x v="15"/>
    <x v="190"/>
    <n v="745"/>
    <n v="502"/>
    <n v="243"/>
  </r>
  <r>
    <x v="4"/>
    <x v="211"/>
    <s v="MI"/>
    <x v="15"/>
    <x v="191"/>
    <n v="170"/>
    <n v="85"/>
    <n v="85"/>
  </r>
  <r>
    <x v="4"/>
    <x v="212"/>
    <s v="MI"/>
    <x v="15"/>
    <x v="55"/>
    <n v="162"/>
    <n v="114"/>
    <n v="48"/>
  </r>
  <r>
    <x v="4"/>
    <x v="213"/>
    <s v="MI"/>
    <x v="15"/>
    <x v="192"/>
    <n v="389"/>
    <n v="264"/>
    <n v="125"/>
  </r>
  <r>
    <x v="4"/>
    <x v="214"/>
    <s v="MI"/>
    <x v="15"/>
    <x v="193"/>
    <n v="62"/>
    <n v="37"/>
    <n v="25"/>
  </r>
  <r>
    <x v="4"/>
    <x v="215"/>
    <s v="MI"/>
    <x v="15"/>
    <x v="194"/>
    <n v="823"/>
    <n v="551"/>
    <n v="272"/>
  </r>
  <r>
    <x v="4"/>
    <x v="216"/>
    <s v="MI"/>
    <x v="15"/>
    <x v="49"/>
    <n v="170"/>
    <n v="121"/>
    <n v="49"/>
  </r>
  <r>
    <x v="4"/>
    <x v="217"/>
    <s v="MI"/>
    <x v="15"/>
    <x v="73"/>
    <n v="3938"/>
    <n v="2491"/>
    <n v="1447"/>
  </r>
  <r>
    <x v="4"/>
    <x v="218"/>
    <s v="MI"/>
    <x v="15"/>
    <x v="75"/>
    <n v="510"/>
    <n v="332"/>
    <n v="178"/>
  </r>
  <r>
    <x v="4"/>
    <x v="219"/>
    <s v="MI"/>
    <x v="15"/>
    <x v="76"/>
    <n v="744"/>
    <n v="464"/>
    <n v="280"/>
  </r>
  <r>
    <x v="4"/>
    <x v="220"/>
    <s v="MO"/>
    <x v="16"/>
    <x v="122"/>
    <n v="54"/>
    <n v="35"/>
    <n v="19"/>
  </r>
  <r>
    <x v="4"/>
    <x v="221"/>
    <s v="MO"/>
    <x v="16"/>
    <x v="195"/>
    <n v="26"/>
    <n v="13"/>
    <n v="13"/>
  </r>
  <r>
    <x v="4"/>
    <x v="222"/>
    <s v="MO"/>
    <x v="16"/>
    <x v="59"/>
    <n v="160"/>
    <n v="92"/>
    <n v="68"/>
  </r>
  <r>
    <x v="4"/>
    <x v="223"/>
    <s v="MO"/>
    <x v="16"/>
    <x v="196"/>
    <n v="112"/>
    <n v="61"/>
    <n v="51"/>
  </r>
  <r>
    <x v="4"/>
    <x v="224"/>
    <s v="MO"/>
    <x v="16"/>
    <x v="89"/>
    <n v="86"/>
    <n v="61"/>
    <n v="25"/>
  </r>
  <r>
    <x v="4"/>
    <x v="225"/>
    <s v="MO"/>
    <x v="16"/>
    <x v="83"/>
    <n v="189"/>
    <n v="111"/>
    <n v="78"/>
  </r>
  <r>
    <x v="4"/>
    <x v="226"/>
    <s v="MO"/>
    <x v="16"/>
    <x v="66"/>
    <n v="75"/>
    <n v="60"/>
    <n v="15"/>
  </r>
  <r>
    <x v="4"/>
    <x v="227"/>
    <s v="MO"/>
    <x v="16"/>
    <x v="197"/>
    <n v="2954"/>
    <n v="1793"/>
    <n v="1161"/>
  </r>
  <r>
    <x v="4"/>
    <x v="228"/>
    <s v="MO"/>
    <x v="16"/>
    <x v="94"/>
    <n v="129"/>
    <n v="86"/>
    <n v="43"/>
  </r>
  <r>
    <x v="4"/>
    <x v="229"/>
    <s v="MO"/>
    <x v="16"/>
    <x v="198"/>
    <n v="80"/>
    <n v="51"/>
    <n v="29"/>
  </r>
  <r>
    <x v="4"/>
    <x v="230"/>
    <s v="MO"/>
    <x v="16"/>
    <x v="199"/>
    <n v="26"/>
    <n v="20"/>
    <n v="6"/>
  </r>
  <r>
    <x v="4"/>
    <x v="231"/>
    <s v="MO"/>
    <x v="16"/>
    <x v="200"/>
    <n v="83"/>
    <n v="58"/>
    <n v="25"/>
  </r>
  <r>
    <x v="4"/>
    <x v="232"/>
    <s v="MO"/>
    <x v="16"/>
    <x v="201"/>
    <n v="20"/>
    <n v="14"/>
    <n v="6"/>
  </r>
  <r>
    <x v="4"/>
    <x v="233"/>
    <s v="NU"/>
    <x v="17"/>
    <x v="202"/>
    <n v="77"/>
    <n v="43"/>
    <n v="34"/>
  </r>
  <r>
    <x v="4"/>
    <x v="234"/>
    <s v="NU"/>
    <x v="17"/>
    <x v="80"/>
    <n v="115"/>
    <n v="66"/>
    <n v="49"/>
  </r>
  <r>
    <x v="4"/>
    <x v="235"/>
    <s v="NU"/>
    <x v="17"/>
    <x v="203"/>
    <n v="157"/>
    <n v="104"/>
    <n v="53"/>
  </r>
  <r>
    <x v="4"/>
    <x v="236"/>
    <s v="NU"/>
    <x v="17"/>
    <x v="204"/>
    <n v="192"/>
    <n v="109"/>
    <n v="83"/>
  </r>
  <r>
    <x v="4"/>
    <x v="237"/>
    <s v="NU"/>
    <x v="17"/>
    <x v="205"/>
    <n v="92"/>
    <n v="54"/>
    <n v="38"/>
  </r>
  <r>
    <x v="4"/>
    <x v="238"/>
    <s v="NU"/>
    <x v="17"/>
    <x v="206"/>
    <n v="150"/>
    <n v="86"/>
    <n v="64"/>
  </r>
  <r>
    <x v="4"/>
    <x v="239"/>
    <s v="NU"/>
    <x v="17"/>
    <x v="207"/>
    <n v="157"/>
    <n v="90"/>
    <n v="67"/>
  </r>
  <r>
    <x v="4"/>
    <x v="240"/>
    <s v="NU"/>
    <x v="17"/>
    <x v="208"/>
    <n v="1260"/>
    <n v="774"/>
    <n v="486"/>
  </r>
  <r>
    <x v="4"/>
    <x v="241"/>
    <s v="NU"/>
    <x v="17"/>
    <x v="209"/>
    <n v="73"/>
    <n v="43"/>
    <n v="30"/>
  </r>
  <r>
    <x v="4"/>
    <x v="242"/>
    <s v="NU"/>
    <x v="17"/>
    <x v="210"/>
    <n v="103"/>
    <n v="55"/>
    <n v="48"/>
  </r>
  <r>
    <x v="4"/>
    <x v="243"/>
    <s v="NU"/>
    <x v="17"/>
    <x v="211"/>
    <n v="32"/>
    <n v="16"/>
    <n v="16"/>
  </r>
  <r>
    <x v="4"/>
    <x v="244"/>
    <s v="PO"/>
    <x v="18"/>
    <x v="212"/>
    <n v="52"/>
    <n v="38"/>
    <n v="14"/>
  </r>
  <r>
    <x v="4"/>
    <x v="245"/>
    <s v="PO"/>
    <x v="18"/>
    <x v="213"/>
    <n v="1274"/>
    <n v="788"/>
    <n v="486"/>
  </r>
  <r>
    <x v="4"/>
    <x v="246"/>
    <s v="PO"/>
    <x v="18"/>
    <x v="214"/>
    <n v="114"/>
    <n v="76"/>
    <n v="38"/>
  </r>
  <r>
    <x v="4"/>
    <x v="247"/>
    <s v="PO"/>
    <x v="18"/>
    <x v="215"/>
    <n v="1104"/>
    <n v="684"/>
    <n v="420"/>
  </r>
  <r>
    <x v="4"/>
    <x v="248"/>
    <s v="PO"/>
    <x v="18"/>
    <x v="216"/>
    <n v="83"/>
    <n v="54"/>
    <n v="29"/>
  </r>
  <r>
    <x v="4"/>
    <x v="249"/>
    <s v="PO"/>
    <x v="18"/>
    <x v="217"/>
    <n v="60"/>
    <n v="35"/>
    <n v="25"/>
  </r>
  <r>
    <x v="4"/>
    <x v="250"/>
    <s v="PO"/>
    <x v="18"/>
    <x v="218"/>
    <n v="89"/>
    <n v="64"/>
    <n v="25"/>
  </r>
  <r>
    <x v="4"/>
    <x v="251"/>
    <s v="PO"/>
    <x v="18"/>
    <x v="55"/>
    <n v="564"/>
    <n v="357"/>
    <n v="207"/>
  </r>
  <r>
    <x v="4"/>
    <x v="252"/>
    <s v="PO"/>
    <x v="18"/>
    <x v="219"/>
    <n v="22"/>
    <n v="10"/>
    <n v="12"/>
  </r>
  <r>
    <x v="4"/>
    <x v="253"/>
    <s v="PO"/>
    <x v="18"/>
    <x v="220"/>
    <n v="70"/>
    <n v="44"/>
    <n v="26"/>
  </r>
  <r>
    <x v="4"/>
    <x v="254"/>
    <s v="PO"/>
    <x v="18"/>
    <x v="221"/>
    <n v="51"/>
    <n v="35"/>
    <n v="16"/>
  </r>
  <r>
    <x v="4"/>
    <x v="255"/>
    <s v="PO"/>
    <x v="18"/>
    <x v="222"/>
    <n v="43"/>
    <n v="29"/>
    <n v="14"/>
  </r>
  <r>
    <x v="4"/>
    <x v="256"/>
    <s v="PO"/>
    <x v="18"/>
    <x v="73"/>
    <n v="112"/>
    <n v="63"/>
    <n v="49"/>
  </r>
  <r>
    <x v="4"/>
    <x v="257"/>
    <s v="PO"/>
    <x v="18"/>
    <x v="223"/>
    <n v="197"/>
    <n v="130"/>
    <n v="67"/>
  </r>
  <r>
    <x v="4"/>
    <x v="258"/>
    <s v="SU"/>
    <x v="19"/>
    <x v="154"/>
    <n v="102"/>
    <n v="64"/>
    <n v="38"/>
  </r>
  <r>
    <x v="4"/>
    <x v="259"/>
    <s v="SU"/>
    <x v="19"/>
    <x v="224"/>
    <n v="43"/>
    <n v="24"/>
    <n v="19"/>
  </r>
  <r>
    <x v="4"/>
    <x v="260"/>
    <s v="SU"/>
    <x v="19"/>
    <x v="80"/>
    <n v="145"/>
    <n v="85"/>
    <n v="60"/>
  </r>
  <r>
    <x v="4"/>
    <x v="261"/>
    <s v="SU"/>
    <x v="19"/>
    <x v="225"/>
    <n v="86"/>
    <n v="56"/>
    <n v="30"/>
  </r>
  <r>
    <x v="4"/>
    <x v="262"/>
    <s v="SU"/>
    <x v="19"/>
    <x v="226"/>
    <n v="1127"/>
    <n v="666"/>
    <n v="461"/>
  </r>
  <r>
    <x v="4"/>
    <x v="263"/>
    <s v="SU"/>
    <x v="19"/>
    <x v="59"/>
    <n v="40"/>
    <n v="22"/>
    <n v="18"/>
  </r>
  <r>
    <x v="4"/>
    <x v="264"/>
    <s v="SU"/>
    <x v="19"/>
    <x v="227"/>
    <n v="68"/>
    <n v="38"/>
    <n v="30"/>
  </r>
  <r>
    <x v="4"/>
    <x v="265"/>
    <s v="SU"/>
    <x v="19"/>
    <x v="228"/>
    <n v="90"/>
    <n v="48"/>
    <n v="42"/>
  </r>
  <r>
    <x v="4"/>
    <x v="266"/>
    <s v="SU"/>
    <x v="19"/>
    <x v="66"/>
    <n v="36"/>
    <n v="24"/>
    <n v="12"/>
  </r>
  <r>
    <x v="4"/>
    <x v="267"/>
    <s v="SU"/>
    <x v="19"/>
    <x v="208"/>
    <n v="108"/>
    <n v="65"/>
    <n v="43"/>
  </r>
  <r>
    <x v="4"/>
    <x v="268"/>
    <s v="SU"/>
    <x v="19"/>
    <x v="229"/>
    <n v="33"/>
    <n v="17"/>
    <n v="16"/>
  </r>
  <r>
    <x v="4"/>
    <x v="269"/>
    <s v="SU"/>
    <x v="19"/>
    <x v="230"/>
    <n v="162"/>
    <n v="95"/>
    <n v="67"/>
  </r>
  <r>
    <x v="4"/>
    <x v="270"/>
    <s v="SU"/>
    <x v="19"/>
    <x v="231"/>
    <n v="175"/>
    <n v="102"/>
    <n v="73"/>
  </r>
  <r>
    <x v="4"/>
    <x v="271"/>
    <s v="SU"/>
    <x v="19"/>
    <x v="73"/>
    <n v="2311"/>
    <n v="1419"/>
    <n v="892"/>
  </r>
  <r>
    <x v="4"/>
    <x v="272"/>
    <s v="SU"/>
    <x v="19"/>
    <x v="232"/>
    <n v="163"/>
    <n v="107"/>
    <n v="56"/>
  </r>
  <r>
    <x v="4"/>
    <x v="273"/>
    <s v="TA"/>
    <x v="20"/>
    <x v="163"/>
    <n v="85"/>
    <n v="50"/>
    <n v="35"/>
  </r>
  <r>
    <x v="4"/>
    <x v="274"/>
    <s v="TA"/>
    <x v="20"/>
    <x v="233"/>
    <n v="30"/>
    <n v="15"/>
    <n v="15"/>
  </r>
  <r>
    <x v="4"/>
    <x v="275"/>
    <s v="TA"/>
    <x v="20"/>
    <x v="234"/>
    <n v="288"/>
    <n v="177"/>
    <n v="111"/>
  </r>
  <r>
    <x v="4"/>
    <x v="276"/>
    <s v="TA"/>
    <x v="20"/>
    <x v="59"/>
    <n v="232"/>
    <n v="134"/>
    <n v="98"/>
  </r>
  <r>
    <x v="4"/>
    <x v="277"/>
    <s v="TA"/>
    <x v="20"/>
    <x v="235"/>
    <n v="245"/>
    <n v="143"/>
    <n v="102"/>
  </r>
  <r>
    <x v="4"/>
    <x v="278"/>
    <s v="TA"/>
    <x v="20"/>
    <x v="236"/>
    <n v="127"/>
    <n v="97"/>
    <n v="30"/>
  </r>
  <r>
    <x v="4"/>
    <x v="279"/>
    <s v="TA"/>
    <x v="20"/>
    <x v="237"/>
    <n v="169"/>
    <n v="117"/>
    <n v="52"/>
  </r>
  <r>
    <x v="4"/>
    <x v="280"/>
    <s v="TA"/>
    <x v="20"/>
    <x v="35"/>
    <n v="0"/>
    <n v="0"/>
    <n v="0"/>
  </r>
  <r>
    <x v="4"/>
    <x v="281"/>
    <s v="TA"/>
    <x v="20"/>
    <x v="238"/>
    <n v="242"/>
    <n v="148"/>
    <n v="94"/>
  </r>
  <r>
    <x v="4"/>
    <x v="282"/>
    <s v="TA"/>
    <x v="20"/>
    <x v="239"/>
    <n v="82"/>
    <n v="52"/>
    <n v="30"/>
  </r>
  <r>
    <x v="4"/>
    <x v="283"/>
    <s v="TA"/>
    <x v="20"/>
    <x v="38"/>
    <n v="103"/>
    <n v="63"/>
    <n v="40"/>
  </r>
  <r>
    <x v="4"/>
    <x v="284"/>
    <s v="TA"/>
    <x v="20"/>
    <x v="240"/>
    <n v="232"/>
    <n v="139"/>
    <n v="93"/>
  </r>
  <r>
    <x v="4"/>
    <x v="285"/>
    <s v="TA"/>
    <x v="20"/>
    <x v="241"/>
    <n v="31"/>
    <n v="23"/>
    <n v="8"/>
  </r>
  <r>
    <x v="4"/>
    <x v="286"/>
    <s v="TA"/>
    <x v="20"/>
    <x v="242"/>
    <n v="302"/>
    <n v="173"/>
    <n v="129"/>
  </r>
  <r>
    <x v="4"/>
    <x v="287"/>
    <s v="TA"/>
    <x v="20"/>
    <x v="42"/>
    <n v="63"/>
    <n v="39"/>
    <n v="24"/>
  </r>
  <r>
    <x v="4"/>
    <x v="288"/>
    <s v="TA"/>
    <x v="20"/>
    <x v="66"/>
    <n v="102"/>
    <n v="75"/>
    <n v="27"/>
  </r>
  <r>
    <x v="4"/>
    <x v="289"/>
    <s v="TA"/>
    <x v="20"/>
    <x v="243"/>
    <n v="41"/>
    <n v="30"/>
    <n v="11"/>
  </r>
  <r>
    <x v="4"/>
    <x v="290"/>
    <s v="TA"/>
    <x v="20"/>
    <x v="244"/>
    <n v="84"/>
    <n v="58"/>
    <n v="26"/>
  </r>
  <r>
    <x v="4"/>
    <x v="291"/>
    <s v="TA"/>
    <x v="20"/>
    <x v="245"/>
    <n v="138"/>
    <n v="87"/>
    <n v="51"/>
  </r>
  <r>
    <x v="4"/>
    <x v="292"/>
    <s v="TA"/>
    <x v="20"/>
    <x v="246"/>
    <n v="111"/>
    <n v="70"/>
    <n v="41"/>
  </r>
  <r>
    <x v="4"/>
    <x v="293"/>
    <s v="TA"/>
    <x v="20"/>
    <x v="247"/>
    <n v="18"/>
    <n v="11"/>
    <n v="7"/>
  </r>
  <r>
    <x v="4"/>
    <x v="294"/>
    <s v="TA"/>
    <x v="20"/>
    <x v="248"/>
    <n v="76"/>
    <n v="52"/>
    <n v="24"/>
  </r>
  <r>
    <x v="4"/>
    <x v="295"/>
    <s v="TA"/>
    <x v="20"/>
    <x v="249"/>
    <n v="3317"/>
    <n v="1899"/>
    <n v="1418"/>
  </r>
  <r>
    <x v="4"/>
    <x v="296"/>
    <s v="TA"/>
    <x v="20"/>
    <x v="250"/>
    <n v="22"/>
    <n v="13"/>
    <n v="9"/>
  </r>
  <r>
    <x v="4"/>
    <x v="297"/>
    <s v="TA"/>
    <x v="20"/>
    <x v="251"/>
    <n v="35"/>
    <n v="22"/>
    <n v="13"/>
  </r>
  <r>
    <x v="4"/>
    <x v="298"/>
    <s v="TA"/>
    <x v="20"/>
    <x v="50"/>
    <n v="8"/>
    <n v="5"/>
    <n v="3"/>
  </r>
  <r>
    <x v="4"/>
    <x v="299"/>
    <s v="TA"/>
    <x v="20"/>
    <x v="73"/>
    <n v="37"/>
    <n v="24"/>
    <n v="13"/>
  </r>
  <r>
    <x v="4"/>
    <x v="300"/>
    <s v="TA"/>
    <x v="20"/>
    <x v="252"/>
    <n v="111"/>
    <n v="76"/>
    <n v="35"/>
  </r>
  <r>
    <x v="4"/>
    <x v="301"/>
    <s v="TA"/>
    <x v="20"/>
    <x v="253"/>
    <n v="98"/>
    <n v="59"/>
    <n v="39"/>
  </r>
  <r>
    <x v="4"/>
    <x v="302"/>
    <s v="TR"/>
    <x v="21"/>
    <x v="163"/>
    <n v="45"/>
    <n v="32"/>
    <n v="13"/>
  </r>
  <r>
    <x v="4"/>
    <x v="303"/>
    <s v="TR"/>
    <x v="21"/>
    <x v="254"/>
    <n v="573"/>
    <n v="332"/>
    <n v="241"/>
  </r>
  <r>
    <x v="4"/>
    <x v="304"/>
    <s v="TR"/>
    <x v="21"/>
    <x v="59"/>
    <n v="23"/>
    <n v="18"/>
    <n v="5"/>
  </r>
  <r>
    <x v="4"/>
    <x v="305"/>
    <s v="TR"/>
    <x v="21"/>
    <x v="255"/>
    <n v="77"/>
    <n v="45"/>
    <n v="32"/>
  </r>
  <r>
    <x v="4"/>
    <x v="306"/>
    <s v="TR"/>
    <x v="21"/>
    <x v="256"/>
    <n v="133"/>
    <n v="77"/>
    <n v="56"/>
  </r>
  <r>
    <x v="4"/>
    <x v="307"/>
    <s v="TR"/>
    <x v="21"/>
    <x v="257"/>
    <n v="81"/>
    <n v="40"/>
    <n v="41"/>
  </r>
  <r>
    <x v="4"/>
    <x v="308"/>
    <s v="TR"/>
    <x v="21"/>
    <x v="258"/>
    <n v="7"/>
    <n v="3"/>
    <n v="4"/>
  </r>
  <r>
    <x v="4"/>
    <x v="309"/>
    <s v="TR"/>
    <x v="21"/>
    <x v="259"/>
    <n v="22"/>
    <n v="16"/>
    <n v="6"/>
  </r>
  <r>
    <x v="4"/>
    <x v="310"/>
    <s v="TR"/>
    <x v="21"/>
    <x v="260"/>
    <n v="43"/>
    <n v="30"/>
    <n v="13"/>
  </r>
  <r>
    <x v="4"/>
    <x v="311"/>
    <s v="TR"/>
    <x v="21"/>
    <x v="104"/>
    <n v="58"/>
    <n v="39"/>
    <n v="19"/>
  </r>
  <r>
    <x v="4"/>
    <x v="312"/>
    <s v="TR"/>
    <x v="21"/>
    <x v="261"/>
    <n v="41"/>
    <n v="25"/>
    <n v="16"/>
  </r>
  <r>
    <x v="4"/>
    <x v="313"/>
    <s v="TR"/>
    <x v="21"/>
    <x v="262"/>
    <n v="51"/>
    <n v="24"/>
    <n v="27"/>
  </r>
  <r>
    <x v="4"/>
    <x v="314"/>
    <s v="TR"/>
    <x v="21"/>
    <x v="263"/>
    <n v="163"/>
    <n v="101"/>
    <n v="62"/>
  </r>
  <r>
    <x v="4"/>
    <x v="315"/>
    <s v="TR"/>
    <x v="21"/>
    <x v="264"/>
    <n v="53"/>
    <n v="37"/>
    <n v="16"/>
  </r>
  <r>
    <x v="4"/>
    <x v="316"/>
    <s v="TR"/>
    <x v="21"/>
    <x v="265"/>
    <n v="57"/>
    <n v="33"/>
    <n v="24"/>
  </r>
  <r>
    <x v="4"/>
    <x v="317"/>
    <s v="TR"/>
    <x v="21"/>
    <x v="266"/>
    <n v="143"/>
    <n v="88"/>
    <n v="55"/>
  </r>
  <r>
    <x v="4"/>
    <x v="318"/>
    <s v="TR"/>
    <x v="21"/>
    <x v="73"/>
    <n v="114"/>
    <n v="82"/>
    <n v="32"/>
  </r>
  <r>
    <x v="4"/>
    <x v="319"/>
    <s v="TR"/>
    <x v="21"/>
    <x v="267"/>
    <n v="425"/>
    <n v="231"/>
    <n v="194"/>
  </r>
  <r>
    <x v="4"/>
    <x v="320"/>
    <s v="TR"/>
    <x v="21"/>
    <x v="75"/>
    <n v="110"/>
    <n v="69"/>
    <n v="41"/>
  </r>
  <r>
    <x v="4"/>
    <x v="321"/>
    <s v="TR"/>
    <x v="21"/>
    <x v="268"/>
    <n v="1834"/>
    <n v="1109"/>
    <n v="725"/>
  </r>
  <r>
    <x v="4"/>
    <x v="322"/>
    <s v="VA"/>
    <x v="0"/>
    <x v="269"/>
    <n v="144"/>
    <n v="94"/>
    <n v="50"/>
  </r>
  <r>
    <x v="4"/>
    <x v="323"/>
    <s v="VA"/>
    <x v="0"/>
    <x v="270"/>
    <n v="166"/>
    <n v="113"/>
    <n v="53"/>
  </r>
  <r>
    <x v="4"/>
    <x v="324"/>
    <s v="VA"/>
    <x v="0"/>
    <x v="271"/>
    <n v="196"/>
    <n v="134"/>
    <n v="62"/>
  </r>
  <r>
    <x v="4"/>
    <x v="325"/>
    <s v="VA"/>
    <x v="0"/>
    <x v="272"/>
    <n v="19"/>
    <n v="13"/>
    <n v="6"/>
  </r>
  <r>
    <x v="4"/>
    <x v="326"/>
    <s v="VA"/>
    <x v="0"/>
    <x v="273"/>
    <n v="276"/>
    <n v="195"/>
    <n v="81"/>
  </r>
  <r>
    <x v="4"/>
    <x v="327"/>
    <s v="VA"/>
    <x v="0"/>
    <x v="274"/>
    <n v="17"/>
    <n v="14"/>
    <n v="3"/>
  </r>
  <r>
    <x v="4"/>
    <x v="328"/>
    <s v="VA"/>
    <x v="0"/>
    <x v="275"/>
    <n v="582"/>
    <n v="336"/>
    <n v="246"/>
  </r>
  <r>
    <x v="4"/>
    <x v="329"/>
    <s v="VA"/>
    <x v="0"/>
    <x v="276"/>
    <n v="109"/>
    <n v="62"/>
    <n v="47"/>
  </r>
  <r>
    <x v="4"/>
    <x v="330"/>
    <s v="VA"/>
    <x v="0"/>
    <x v="277"/>
    <n v="467"/>
    <n v="280"/>
    <n v="187"/>
  </r>
  <r>
    <x v="4"/>
    <x v="331"/>
    <s v="VA"/>
    <x v="0"/>
    <x v="278"/>
    <n v="103"/>
    <n v="76"/>
    <n v="27"/>
  </r>
  <r>
    <x v="4"/>
    <x v="332"/>
    <s v="VA"/>
    <x v="0"/>
    <x v="279"/>
    <n v="116"/>
    <n v="72"/>
    <n v="44"/>
  </r>
  <r>
    <x v="4"/>
    <x v="333"/>
    <s v="YA"/>
    <x v="22"/>
    <x v="280"/>
    <n v="52"/>
    <n v="37"/>
    <n v="15"/>
  </r>
  <r>
    <x v="4"/>
    <x v="334"/>
    <s v="YA"/>
    <x v="22"/>
    <x v="59"/>
    <n v="94"/>
    <n v="55"/>
    <n v="39"/>
  </r>
  <r>
    <x v="4"/>
    <x v="335"/>
    <s v="YA"/>
    <x v="22"/>
    <x v="281"/>
    <n v="202"/>
    <n v="128"/>
    <n v="74"/>
  </r>
  <r>
    <x v="4"/>
    <x v="336"/>
    <s v="YA"/>
    <x v="22"/>
    <x v="282"/>
    <n v="76"/>
    <n v="52"/>
    <n v="24"/>
  </r>
  <r>
    <x v="4"/>
    <x v="337"/>
    <s v="YA"/>
    <x v="22"/>
    <x v="38"/>
    <n v="134"/>
    <n v="83"/>
    <n v="51"/>
  </r>
  <r>
    <x v="4"/>
    <x v="338"/>
    <s v="YA"/>
    <x v="22"/>
    <x v="283"/>
    <n v="39"/>
    <n v="23"/>
    <n v="16"/>
  </r>
  <r>
    <x v="4"/>
    <x v="339"/>
    <s v="YA"/>
    <x v="22"/>
    <x v="284"/>
    <n v="29"/>
    <n v="20"/>
    <n v="9"/>
  </r>
  <r>
    <x v="4"/>
    <x v="340"/>
    <s v="YA"/>
    <x v="22"/>
    <x v="285"/>
    <n v="34"/>
    <n v="19"/>
    <n v="15"/>
  </r>
  <r>
    <x v="4"/>
    <x v="341"/>
    <s v="YA"/>
    <x v="22"/>
    <x v="286"/>
    <n v="242"/>
    <n v="160"/>
    <n v="82"/>
  </r>
  <r>
    <x v="4"/>
    <x v="342"/>
    <s v="YA"/>
    <x v="22"/>
    <x v="287"/>
    <n v="248"/>
    <n v="156"/>
    <n v="92"/>
  </r>
  <r>
    <x v="4"/>
    <x v="343"/>
    <s v="YA"/>
    <x v="22"/>
    <x v="288"/>
    <n v="1335"/>
    <n v="788"/>
    <n v="547"/>
  </r>
  <r>
    <x v="4"/>
    <x v="344"/>
    <s v="YA"/>
    <x v="22"/>
    <x v="73"/>
    <n v="45"/>
    <n v="29"/>
    <n v="16"/>
  </r>
  <r>
    <x v="4"/>
    <x v="345"/>
    <s v="YA"/>
    <x v="22"/>
    <x v="289"/>
    <n v="59"/>
    <n v="44"/>
    <n v="15"/>
  </r>
  <r>
    <x v="4"/>
    <x v="346"/>
    <s v="YA"/>
    <x v="22"/>
    <x v="290"/>
    <n v="45"/>
    <n v="34"/>
    <n v="11"/>
  </r>
  <r>
    <x v="4"/>
    <x v="347"/>
    <s v="ZU"/>
    <x v="23"/>
    <x v="291"/>
    <n v="30"/>
    <n v="16"/>
    <n v="14"/>
  </r>
  <r>
    <x v="4"/>
    <x v="348"/>
    <s v="ZU"/>
    <x v="23"/>
    <x v="292"/>
    <n v="255"/>
    <n v="166"/>
    <n v="89"/>
  </r>
  <r>
    <x v="4"/>
    <x v="349"/>
    <s v="ZU"/>
    <x v="23"/>
    <x v="293"/>
    <n v="1471"/>
    <n v="845"/>
    <n v="626"/>
  </r>
  <r>
    <x v="4"/>
    <x v="350"/>
    <s v="ZU"/>
    <x v="23"/>
    <x v="294"/>
    <n v="100"/>
    <n v="74"/>
    <n v="26"/>
  </r>
  <r>
    <x v="4"/>
    <x v="351"/>
    <s v="ZU"/>
    <x v="23"/>
    <x v="295"/>
    <n v="568"/>
    <n v="360"/>
    <n v="208"/>
  </r>
  <r>
    <x v="4"/>
    <x v="352"/>
    <s v="ZU"/>
    <x v="23"/>
    <x v="296"/>
    <n v="64"/>
    <n v="48"/>
    <n v="16"/>
  </r>
  <r>
    <x v="4"/>
    <x v="353"/>
    <s v="ZU"/>
    <x v="23"/>
    <x v="297"/>
    <n v="372"/>
    <n v="255"/>
    <n v="117"/>
  </r>
  <r>
    <x v="4"/>
    <x v="354"/>
    <s v="ZU"/>
    <x v="23"/>
    <x v="298"/>
    <n v="84"/>
    <n v="63"/>
    <n v="21"/>
  </r>
  <r>
    <x v="4"/>
    <x v="355"/>
    <s v="ZU"/>
    <x v="23"/>
    <x v="299"/>
    <n v="278"/>
    <n v="168"/>
    <n v="110"/>
  </r>
  <r>
    <x v="4"/>
    <x v="356"/>
    <s v="ZU"/>
    <x v="23"/>
    <x v="300"/>
    <n v="1229"/>
    <n v="688"/>
    <n v="541"/>
  </r>
  <r>
    <x v="4"/>
    <x v="357"/>
    <s v="ZU"/>
    <x v="23"/>
    <x v="301"/>
    <n v="384"/>
    <n v="241"/>
    <n v="143"/>
  </r>
  <r>
    <x v="4"/>
    <x v="358"/>
    <s v="ZU"/>
    <x v="23"/>
    <x v="302"/>
    <n v="748"/>
    <n v="479"/>
    <n v="269"/>
  </r>
  <r>
    <x v="4"/>
    <x v="359"/>
    <s v="ZU"/>
    <x v="23"/>
    <x v="303"/>
    <n v="10553"/>
    <n v="6030"/>
    <n v="4523"/>
  </r>
  <r>
    <x v="4"/>
    <x v="360"/>
    <s v="ZU"/>
    <x v="23"/>
    <x v="104"/>
    <n v="289"/>
    <n v="182"/>
    <n v="107"/>
  </r>
  <r>
    <x v="4"/>
    <x v="361"/>
    <s v="ZU"/>
    <x v="23"/>
    <x v="55"/>
    <n v="223"/>
    <n v="139"/>
    <n v="84"/>
  </r>
  <r>
    <x v="4"/>
    <x v="362"/>
    <s v="ZU"/>
    <x v="23"/>
    <x v="304"/>
    <n v="334"/>
    <n v="214"/>
    <n v="120"/>
  </r>
  <r>
    <x v="4"/>
    <x v="363"/>
    <s v="ZU"/>
    <x v="23"/>
    <x v="136"/>
    <n v="1575"/>
    <n v="889"/>
    <n v="686"/>
  </r>
  <r>
    <x v="4"/>
    <x v="364"/>
    <s v="ZU"/>
    <x v="23"/>
    <x v="305"/>
    <n v="189"/>
    <n v="125"/>
    <n v="64"/>
  </r>
  <r>
    <x v="4"/>
    <x v="365"/>
    <s v="ZU"/>
    <x v="23"/>
    <x v="49"/>
    <n v="89"/>
    <n v="60"/>
    <n v="29"/>
  </r>
  <r>
    <x v="4"/>
    <x v="366"/>
    <s v="ZU"/>
    <x v="23"/>
    <x v="73"/>
    <n v="180"/>
    <n v="125"/>
    <n v="55"/>
  </r>
  <r>
    <x v="4"/>
    <x v="367"/>
    <s v="ZU"/>
    <x v="23"/>
    <x v="306"/>
    <n v="147"/>
    <n v="96"/>
    <n v="51"/>
  </r>
  <r>
    <x v="4"/>
    <x v="368"/>
    <s v="DE"/>
    <x v="24"/>
    <x v="307"/>
    <n v="0"/>
    <n v="0"/>
    <n v="0"/>
  </r>
  <r>
    <x v="5"/>
    <x v="0"/>
    <s v="VA"/>
    <x v="0"/>
    <x v="0"/>
    <n v="0"/>
    <n v="0"/>
    <n v="0"/>
  </r>
  <r>
    <x v="5"/>
    <x v="1"/>
    <s v="DI"/>
    <x v="1"/>
    <x v="1"/>
    <n v="0"/>
    <n v="0"/>
    <n v="0"/>
  </r>
  <r>
    <x v="5"/>
    <x v="2"/>
    <s v="DI"/>
    <x v="1"/>
    <x v="2"/>
    <n v="94"/>
    <n v="57"/>
    <n v="37"/>
  </r>
  <r>
    <x v="5"/>
    <x v="3"/>
    <s v="DI"/>
    <x v="1"/>
    <x v="3"/>
    <n v="453"/>
    <n v="278"/>
    <n v="175"/>
  </r>
  <r>
    <x v="5"/>
    <x v="4"/>
    <s v="DI"/>
    <x v="1"/>
    <x v="4"/>
    <n v="249"/>
    <n v="139"/>
    <n v="110"/>
  </r>
  <r>
    <x v="5"/>
    <x v="5"/>
    <s v="DI"/>
    <x v="1"/>
    <x v="5"/>
    <n v="363"/>
    <n v="230"/>
    <n v="133"/>
  </r>
  <r>
    <x v="5"/>
    <x v="6"/>
    <s v="DI"/>
    <x v="1"/>
    <x v="6"/>
    <n v="20"/>
    <n v="12"/>
    <n v="8"/>
  </r>
  <r>
    <x v="5"/>
    <x v="7"/>
    <s v="DI"/>
    <x v="1"/>
    <x v="7"/>
    <n v="353"/>
    <n v="259"/>
    <n v="94"/>
  </r>
  <r>
    <x v="5"/>
    <x v="8"/>
    <s v="DI"/>
    <x v="1"/>
    <x v="8"/>
    <n v="129"/>
    <n v="84"/>
    <n v="45"/>
  </r>
  <r>
    <x v="5"/>
    <x v="9"/>
    <s v="DI"/>
    <x v="1"/>
    <x v="9"/>
    <n v="2701"/>
    <n v="1727"/>
    <n v="974"/>
  </r>
  <r>
    <x v="5"/>
    <x v="10"/>
    <s v="DI"/>
    <x v="1"/>
    <x v="10"/>
    <n v="656"/>
    <n v="315"/>
    <n v="341"/>
  </r>
  <r>
    <x v="5"/>
    <x v="11"/>
    <s v="DI"/>
    <x v="1"/>
    <x v="11"/>
    <n v="363"/>
    <n v="224"/>
    <n v="139"/>
  </r>
  <r>
    <x v="5"/>
    <x v="12"/>
    <s v="DI"/>
    <x v="1"/>
    <x v="12"/>
    <n v="566"/>
    <n v="368"/>
    <n v="198"/>
  </r>
  <r>
    <x v="5"/>
    <x v="13"/>
    <s v="DI"/>
    <x v="1"/>
    <x v="13"/>
    <n v="452"/>
    <n v="255"/>
    <n v="197"/>
  </r>
  <r>
    <x v="5"/>
    <x v="14"/>
    <s v="DI"/>
    <x v="1"/>
    <x v="14"/>
    <n v="145"/>
    <n v="98"/>
    <n v="47"/>
  </r>
  <r>
    <x v="5"/>
    <x v="15"/>
    <s v="DI"/>
    <x v="1"/>
    <x v="15"/>
    <n v="154"/>
    <n v="108"/>
    <n v="46"/>
  </r>
  <r>
    <x v="5"/>
    <x v="16"/>
    <s v="DI"/>
    <x v="1"/>
    <x v="16"/>
    <n v="1183"/>
    <n v="624"/>
    <n v="559"/>
  </r>
  <r>
    <x v="5"/>
    <x v="17"/>
    <s v="DI"/>
    <x v="1"/>
    <x v="17"/>
    <n v="1048"/>
    <n v="541"/>
    <n v="507"/>
  </r>
  <r>
    <x v="5"/>
    <x v="18"/>
    <s v="DI"/>
    <x v="1"/>
    <x v="18"/>
    <n v="2089"/>
    <n v="1196"/>
    <n v="893"/>
  </r>
  <r>
    <x v="5"/>
    <x v="19"/>
    <s v="DI"/>
    <x v="1"/>
    <x v="19"/>
    <n v="2211"/>
    <n v="1263"/>
    <n v="948"/>
  </r>
  <r>
    <x v="5"/>
    <x v="20"/>
    <s v="DI"/>
    <x v="1"/>
    <x v="20"/>
    <n v="633"/>
    <n v="360"/>
    <n v="273"/>
  </r>
  <r>
    <x v="5"/>
    <x v="21"/>
    <s v="DI"/>
    <x v="1"/>
    <x v="21"/>
    <n v="55"/>
    <n v="30"/>
    <n v="25"/>
  </r>
  <r>
    <x v="5"/>
    <x v="22"/>
    <s v="DI"/>
    <x v="1"/>
    <x v="22"/>
    <n v="1475"/>
    <n v="979"/>
    <n v="496"/>
  </r>
  <r>
    <x v="5"/>
    <x v="23"/>
    <s v="DI"/>
    <x v="1"/>
    <x v="23"/>
    <n v="310"/>
    <n v="200"/>
    <n v="110"/>
  </r>
  <r>
    <x v="5"/>
    <x v="24"/>
    <s v="AM"/>
    <x v="2"/>
    <x v="24"/>
    <n v="10"/>
    <n v="8"/>
    <n v="2"/>
  </r>
  <r>
    <x v="5"/>
    <x v="25"/>
    <s v="AM"/>
    <x v="2"/>
    <x v="25"/>
    <n v="8"/>
    <n v="6"/>
    <n v="2"/>
  </r>
  <r>
    <x v="5"/>
    <x v="26"/>
    <s v="AM"/>
    <x v="2"/>
    <x v="26"/>
    <n v="353"/>
    <n v="219"/>
    <n v="134"/>
  </r>
  <r>
    <x v="5"/>
    <x v="27"/>
    <s v="AM"/>
    <x v="2"/>
    <x v="27"/>
    <n v="2"/>
    <n v="2"/>
    <s v="-"/>
  </r>
  <r>
    <x v="5"/>
    <x v="28"/>
    <s v="AM"/>
    <x v="2"/>
    <x v="28"/>
    <n v="1"/>
    <n v="1"/>
    <s v="-"/>
  </r>
  <r>
    <x v="5"/>
    <x v="29"/>
    <s v="AM"/>
    <x v="2"/>
    <x v="29"/>
    <n v="2"/>
    <s v="-"/>
    <n v="2"/>
  </r>
  <r>
    <x v="5"/>
    <x v="30"/>
    <s v="AM"/>
    <x v="2"/>
    <x v="30"/>
    <n v="3"/>
    <n v="2"/>
    <n v="1"/>
  </r>
  <r>
    <x v="5"/>
    <x v="31"/>
    <s v="AN"/>
    <x v="3"/>
    <x v="31"/>
    <n v="415"/>
    <n v="257"/>
    <n v="158"/>
  </r>
  <r>
    <x v="5"/>
    <x v="32"/>
    <s v="AN"/>
    <x v="3"/>
    <x v="32"/>
    <n v="104"/>
    <n v="76"/>
    <n v="28"/>
  </r>
  <r>
    <x v="5"/>
    <x v="33"/>
    <s v="AN"/>
    <x v="3"/>
    <x v="33"/>
    <n v="186"/>
    <n v="105"/>
    <n v="81"/>
  </r>
  <r>
    <x v="5"/>
    <x v="34"/>
    <s v="AN"/>
    <x v="3"/>
    <x v="34"/>
    <n v="66"/>
    <n v="50"/>
    <n v="16"/>
  </r>
  <r>
    <x v="5"/>
    <x v="35"/>
    <s v="AN"/>
    <x v="3"/>
    <x v="35"/>
    <n v="122"/>
    <n v="68"/>
    <n v="54"/>
  </r>
  <r>
    <x v="5"/>
    <x v="36"/>
    <s v="AN"/>
    <x v="3"/>
    <x v="36"/>
    <n v="49"/>
    <n v="26"/>
    <n v="23"/>
  </r>
  <r>
    <x v="5"/>
    <x v="37"/>
    <s v="AN"/>
    <x v="3"/>
    <x v="37"/>
    <n v="59"/>
    <n v="37"/>
    <n v="22"/>
  </r>
  <r>
    <x v="5"/>
    <x v="38"/>
    <s v="AN"/>
    <x v="3"/>
    <x v="38"/>
    <n v="82"/>
    <n v="64"/>
    <n v="18"/>
  </r>
  <r>
    <x v="5"/>
    <x v="39"/>
    <s v="AN"/>
    <x v="3"/>
    <x v="39"/>
    <n v="34"/>
    <n v="20"/>
    <n v="14"/>
  </r>
  <r>
    <x v="5"/>
    <x v="40"/>
    <s v="AN"/>
    <x v="3"/>
    <x v="40"/>
    <n v="731"/>
    <n v="456"/>
    <n v="275"/>
  </r>
  <r>
    <x v="5"/>
    <x v="41"/>
    <s v="AN"/>
    <x v="3"/>
    <x v="41"/>
    <n v="32"/>
    <n v="22"/>
    <n v="10"/>
  </r>
  <r>
    <x v="5"/>
    <x v="42"/>
    <s v="AN"/>
    <x v="3"/>
    <x v="42"/>
    <n v="49"/>
    <n v="27"/>
    <n v="22"/>
  </r>
  <r>
    <x v="5"/>
    <x v="43"/>
    <s v="AN"/>
    <x v="3"/>
    <x v="43"/>
    <n v="75"/>
    <n v="51"/>
    <n v="24"/>
  </r>
  <r>
    <x v="5"/>
    <x v="44"/>
    <s v="AN"/>
    <x v="3"/>
    <x v="44"/>
    <n v="258"/>
    <n v="150"/>
    <n v="108"/>
  </r>
  <r>
    <x v="5"/>
    <x v="45"/>
    <s v="AN"/>
    <x v="3"/>
    <x v="45"/>
    <n v="77"/>
    <n v="42"/>
    <n v="35"/>
  </r>
  <r>
    <x v="5"/>
    <x v="46"/>
    <s v="AN"/>
    <x v="3"/>
    <x v="46"/>
    <n v="168"/>
    <n v="100"/>
    <n v="68"/>
  </r>
  <r>
    <x v="5"/>
    <x v="47"/>
    <s v="AN"/>
    <x v="3"/>
    <x v="47"/>
    <n v="35"/>
    <n v="20"/>
    <n v="15"/>
  </r>
  <r>
    <x v="5"/>
    <x v="48"/>
    <s v="AN"/>
    <x v="3"/>
    <x v="48"/>
    <n v="32"/>
    <n v="24"/>
    <n v="8"/>
  </r>
  <r>
    <x v="5"/>
    <x v="49"/>
    <s v="AN"/>
    <x v="3"/>
    <x v="49"/>
    <n v="2373"/>
    <s v="1,4"/>
    <n v="973"/>
  </r>
  <r>
    <x v="5"/>
    <x v="50"/>
    <s v="AN"/>
    <x v="3"/>
    <x v="50"/>
    <n v="907"/>
    <n v="562"/>
    <n v="345"/>
  </r>
  <r>
    <x v="5"/>
    <x v="51"/>
    <s v="AN"/>
    <x v="3"/>
    <x v="51"/>
    <n v="12"/>
    <n v="8"/>
    <n v="4"/>
  </r>
  <r>
    <x v="5"/>
    <x v="52"/>
    <s v="AP"/>
    <x v="4"/>
    <x v="52"/>
    <n v="204"/>
    <n v="121"/>
    <n v="83"/>
  </r>
  <r>
    <x v="5"/>
    <x v="53"/>
    <s v="AP"/>
    <x v="4"/>
    <x v="53"/>
    <n v="55"/>
    <n v="37"/>
    <n v="18"/>
  </r>
  <r>
    <x v="5"/>
    <x v="54"/>
    <s v="AP"/>
    <x v="4"/>
    <x v="54"/>
    <n v="40"/>
    <n v="29"/>
    <n v="11"/>
  </r>
  <r>
    <x v="5"/>
    <x v="55"/>
    <s v="AP"/>
    <x v="4"/>
    <x v="55"/>
    <n v="228"/>
    <n v="148"/>
    <n v="80"/>
  </r>
  <r>
    <x v="5"/>
    <x v="56"/>
    <s v="AP"/>
    <x v="4"/>
    <x v="56"/>
    <n v="45"/>
    <n v="33"/>
    <n v="12"/>
  </r>
  <r>
    <x v="5"/>
    <x v="57"/>
    <s v="AP"/>
    <x v="4"/>
    <x v="57"/>
    <n v="62"/>
    <n v="37"/>
    <n v="25"/>
  </r>
  <r>
    <x v="5"/>
    <x v="58"/>
    <s v="AP"/>
    <x v="4"/>
    <x v="58"/>
    <n v="1131"/>
    <n v="684"/>
    <n v="447"/>
  </r>
  <r>
    <x v="5"/>
    <x v="59"/>
    <s v="AR"/>
    <x v="5"/>
    <x v="59"/>
    <n v="191"/>
    <n v="112"/>
    <n v="79"/>
  </r>
  <r>
    <x v="5"/>
    <x v="60"/>
    <s v="AR"/>
    <x v="5"/>
    <x v="60"/>
    <n v="65"/>
    <n v="40"/>
    <n v="25"/>
  </r>
  <r>
    <x v="5"/>
    <x v="61"/>
    <s v="AR"/>
    <x v="5"/>
    <x v="61"/>
    <n v="251"/>
    <n v="177"/>
    <n v="74"/>
  </r>
  <r>
    <x v="5"/>
    <x v="62"/>
    <s v="AR"/>
    <x v="5"/>
    <x v="62"/>
    <n v="4527"/>
    <n v="2651"/>
    <n v="1876"/>
  </r>
  <r>
    <x v="5"/>
    <x v="63"/>
    <s v="AR"/>
    <x v="5"/>
    <x v="63"/>
    <n v="116"/>
    <n v="83"/>
    <n v="33"/>
  </r>
  <r>
    <x v="5"/>
    <x v="64"/>
    <s v="AR"/>
    <x v="5"/>
    <x v="64"/>
    <n v="917"/>
    <n v="563"/>
    <n v="354"/>
  </r>
  <r>
    <x v="5"/>
    <x v="65"/>
    <s v="AR"/>
    <x v="5"/>
    <x v="65"/>
    <n v="153"/>
    <n v="94"/>
    <n v="59"/>
  </r>
  <r>
    <x v="5"/>
    <x v="66"/>
    <s v="AR"/>
    <x v="5"/>
    <x v="66"/>
    <n v="383"/>
    <n v="245"/>
    <n v="138"/>
  </r>
  <r>
    <x v="5"/>
    <x v="67"/>
    <s v="AR"/>
    <x v="5"/>
    <x v="67"/>
    <n v="322"/>
    <n v="191"/>
    <n v="131"/>
  </r>
  <r>
    <x v="5"/>
    <x v="68"/>
    <s v="AR"/>
    <x v="5"/>
    <x v="68"/>
    <n v="32"/>
    <n v="23"/>
    <n v="9"/>
  </r>
  <r>
    <x v="5"/>
    <x v="69"/>
    <s v="AR"/>
    <x v="5"/>
    <x v="69"/>
    <n v="76"/>
    <n v="47"/>
    <n v="29"/>
  </r>
  <r>
    <x v="5"/>
    <x v="70"/>
    <s v="AR"/>
    <x v="5"/>
    <x v="70"/>
    <n v="88"/>
    <n v="61"/>
    <n v="27"/>
  </r>
  <r>
    <x v="5"/>
    <x v="71"/>
    <s v="AR"/>
    <x v="5"/>
    <x v="71"/>
    <n v="618"/>
    <n v="380"/>
    <n v="238"/>
  </r>
  <r>
    <x v="5"/>
    <x v="72"/>
    <s v="AR"/>
    <x v="5"/>
    <x v="72"/>
    <n v="139"/>
    <n v="95"/>
    <n v="44"/>
  </r>
  <r>
    <x v="5"/>
    <x v="73"/>
    <s v="AR"/>
    <x v="5"/>
    <x v="73"/>
    <n v="422"/>
    <n v="276"/>
    <n v="146"/>
  </r>
  <r>
    <x v="5"/>
    <x v="74"/>
    <s v="AR"/>
    <x v="5"/>
    <x v="74"/>
    <n v="31"/>
    <n v="22"/>
    <n v="9"/>
  </r>
  <r>
    <x v="5"/>
    <x v="75"/>
    <s v="AR"/>
    <x v="5"/>
    <x v="75"/>
    <n v="58"/>
    <n v="39"/>
    <n v="19"/>
  </r>
  <r>
    <x v="5"/>
    <x v="76"/>
    <s v="AR"/>
    <x v="5"/>
    <x v="76"/>
    <n v="536"/>
    <n v="360"/>
    <n v="176"/>
  </r>
  <r>
    <x v="5"/>
    <x v="77"/>
    <s v="BA"/>
    <x v="6"/>
    <x v="77"/>
    <n v="119"/>
    <n v="86"/>
    <n v="33"/>
  </r>
  <r>
    <x v="5"/>
    <x v="78"/>
    <s v="BA"/>
    <x v="6"/>
    <x v="78"/>
    <n v="47"/>
    <n v="34"/>
    <n v="13"/>
  </r>
  <r>
    <x v="5"/>
    <x v="79"/>
    <s v="BA"/>
    <x v="6"/>
    <x v="79"/>
    <n v="265"/>
    <n v="191"/>
    <n v="74"/>
  </r>
  <r>
    <x v="5"/>
    <x v="80"/>
    <s v="BA"/>
    <x v="6"/>
    <x v="80"/>
    <n v="46"/>
    <n v="31"/>
    <n v="15"/>
  </r>
  <r>
    <x v="5"/>
    <x v="81"/>
    <s v="BA"/>
    <x v="6"/>
    <x v="81"/>
    <n v="2180"/>
    <n v="1349"/>
    <n v="831"/>
  </r>
  <r>
    <x v="5"/>
    <x v="82"/>
    <s v="BA"/>
    <x v="6"/>
    <x v="59"/>
    <n v="156"/>
    <n v="97"/>
    <n v="59"/>
  </r>
  <r>
    <x v="5"/>
    <x v="83"/>
    <s v="BA"/>
    <x v="6"/>
    <x v="82"/>
    <n v="78"/>
    <n v="62"/>
    <n v="16"/>
  </r>
  <r>
    <x v="5"/>
    <x v="84"/>
    <s v="BA"/>
    <x v="6"/>
    <x v="83"/>
    <n v="189"/>
    <n v="112"/>
    <n v="77"/>
  </r>
  <r>
    <x v="5"/>
    <x v="85"/>
    <s v="BA"/>
    <x v="6"/>
    <x v="84"/>
    <n v="98"/>
    <n v="68"/>
    <n v="30"/>
  </r>
  <r>
    <x v="5"/>
    <x v="86"/>
    <s v="BA"/>
    <x v="6"/>
    <x v="85"/>
    <n v="181"/>
    <n v="116"/>
    <n v="65"/>
  </r>
  <r>
    <x v="5"/>
    <x v="87"/>
    <s v="BA"/>
    <x v="6"/>
    <x v="86"/>
    <n v="120"/>
    <n v="84"/>
    <n v="36"/>
  </r>
  <r>
    <x v="5"/>
    <x v="88"/>
    <s v="BA"/>
    <x v="6"/>
    <x v="87"/>
    <n v="26"/>
    <n v="22"/>
    <n v="4"/>
  </r>
  <r>
    <x v="5"/>
    <x v="89"/>
    <s v="BO"/>
    <x v="7"/>
    <x v="88"/>
    <n v="3860"/>
    <n v="2455"/>
    <n v="1405"/>
  </r>
  <r>
    <x v="5"/>
    <x v="90"/>
    <s v="BO"/>
    <x v="7"/>
    <x v="89"/>
    <n v="185"/>
    <n v="121"/>
    <n v="64"/>
  </r>
  <r>
    <x v="5"/>
    <x v="91"/>
    <s v="BO"/>
    <x v="7"/>
    <x v="90"/>
    <n v="65"/>
    <n v="47"/>
    <n v="18"/>
  </r>
  <r>
    <x v="5"/>
    <x v="92"/>
    <s v="BO"/>
    <x v="7"/>
    <x v="91"/>
    <n v="45"/>
    <n v="26"/>
    <n v="19"/>
  </r>
  <r>
    <x v="5"/>
    <x v="93"/>
    <s v="BO"/>
    <x v="7"/>
    <x v="92"/>
    <n v="2523"/>
    <n v="1555"/>
    <n v="968"/>
  </r>
  <r>
    <x v="5"/>
    <x v="94"/>
    <s v="BO"/>
    <x v="7"/>
    <x v="93"/>
    <n v="41"/>
    <n v="27"/>
    <n v="14"/>
  </r>
  <r>
    <x v="5"/>
    <x v="95"/>
    <s v="BO"/>
    <x v="7"/>
    <x v="94"/>
    <n v="345"/>
    <n v="208"/>
    <n v="137"/>
  </r>
  <r>
    <x v="5"/>
    <x v="96"/>
    <s v="BO"/>
    <x v="7"/>
    <x v="95"/>
    <n v="36"/>
    <n v="25"/>
    <n v="11"/>
  </r>
  <r>
    <x v="5"/>
    <x v="97"/>
    <s v="BO"/>
    <x v="7"/>
    <x v="96"/>
    <n v="69"/>
    <n v="42"/>
    <n v="27"/>
  </r>
  <r>
    <x v="5"/>
    <x v="98"/>
    <s v="BO"/>
    <x v="7"/>
    <x v="97"/>
    <n v="156"/>
    <n v="109"/>
    <n v="47"/>
  </r>
  <r>
    <x v="5"/>
    <x v="99"/>
    <s v="BO"/>
    <x v="7"/>
    <x v="73"/>
    <n v="9"/>
    <n v="7"/>
    <n v="2"/>
  </r>
  <r>
    <x v="5"/>
    <x v="100"/>
    <s v="CA"/>
    <x v="8"/>
    <x v="98"/>
    <n v="241"/>
    <n v="152"/>
    <n v="89"/>
  </r>
  <r>
    <x v="5"/>
    <x v="101"/>
    <s v="CA"/>
    <x v="8"/>
    <x v="99"/>
    <n v="448"/>
    <n v="309"/>
    <n v="139"/>
  </r>
  <r>
    <x v="5"/>
    <x v="102"/>
    <s v="CA"/>
    <x v="8"/>
    <x v="100"/>
    <n v="454"/>
    <n v="308"/>
    <n v="146"/>
  </r>
  <r>
    <x v="5"/>
    <x v="103"/>
    <s v="CA"/>
    <x v="8"/>
    <x v="101"/>
    <n v="532"/>
    <n v="342"/>
    <n v="190"/>
  </r>
  <r>
    <x v="5"/>
    <x v="104"/>
    <s v="CA"/>
    <x v="8"/>
    <x v="102"/>
    <n v="231"/>
    <n v="160"/>
    <n v="71"/>
  </r>
  <r>
    <x v="5"/>
    <x v="105"/>
    <s v="CA"/>
    <x v="8"/>
    <x v="66"/>
    <n v="539"/>
    <n v="377"/>
    <n v="162"/>
  </r>
  <r>
    <x v="5"/>
    <x v="106"/>
    <s v="CA"/>
    <x v="8"/>
    <x v="103"/>
    <n v="334"/>
    <n v="232"/>
    <n v="102"/>
  </r>
  <r>
    <x v="5"/>
    <x v="107"/>
    <s v="CA"/>
    <x v="8"/>
    <x v="104"/>
    <n v="79"/>
    <n v="56"/>
    <n v="23"/>
  </r>
  <r>
    <x v="5"/>
    <x v="108"/>
    <s v="CA"/>
    <x v="8"/>
    <x v="105"/>
    <n v="49"/>
    <n v="34"/>
    <n v="15"/>
  </r>
  <r>
    <x v="5"/>
    <x v="109"/>
    <s v="CA"/>
    <x v="8"/>
    <x v="106"/>
    <n v="1670"/>
    <n v="906"/>
    <n v="764"/>
  </r>
  <r>
    <x v="5"/>
    <x v="110"/>
    <s v="CA"/>
    <x v="8"/>
    <x v="107"/>
    <n v="1186"/>
    <n v="703"/>
    <n v="483"/>
  </r>
  <r>
    <x v="5"/>
    <x v="111"/>
    <s v="CA"/>
    <x v="8"/>
    <x v="108"/>
    <n v="273"/>
    <n v="146"/>
    <n v="127"/>
  </r>
  <r>
    <x v="5"/>
    <x v="112"/>
    <s v="CA"/>
    <x v="8"/>
    <x v="109"/>
    <n v="191"/>
    <n v="128"/>
    <n v="63"/>
  </r>
  <r>
    <x v="5"/>
    <x v="113"/>
    <s v="CA"/>
    <x v="8"/>
    <x v="110"/>
    <n v="5153"/>
    <n v="3212"/>
    <n v="1941"/>
  </r>
  <r>
    <x v="5"/>
    <x v="114"/>
    <s v="CO"/>
    <x v="9"/>
    <x v="111"/>
    <n v="42"/>
    <n v="33"/>
    <n v="9"/>
  </r>
  <r>
    <x v="5"/>
    <x v="115"/>
    <s v="CO"/>
    <x v="9"/>
    <x v="112"/>
    <n v="376"/>
    <n v="247"/>
    <n v="129"/>
  </r>
  <r>
    <x v="5"/>
    <x v="116"/>
    <s v="CO"/>
    <x v="9"/>
    <x v="62"/>
    <n v="45"/>
    <n v="31"/>
    <n v="14"/>
  </r>
  <r>
    <x v="5"/>
    <x v="117"/>
    <s v="CO"/>
    <x v="9"/>
    <x v="113"/>
    <n v="31"/>
    <n v="23"/>
    <n v="8"/>
  </r>
  <r>
    <x v="5"/>
    <x v="118"/>
    <s v="CO"/>
    <x v="9"/>
    <x v="114"/>
    <n v="48"/>
    <n v="31"/>
    <n v="17"/>
  </r>
  <r>
    <x v="5"/>
    <x v="119"/>
    <s v="CO"/>
    <x v="9"/>
    <x v="115"/>
    <n v="31"/>
    <n v="23"/>
    <n v="8"/>
  </r>
  <r>
    <x v="5"/>
    <x v="120"/>
    <s v="CO"/>
    <x v="9"/>
    <x v="57"/>
    <n v="29"/>
    <n v="19"/>
    <n v="10"/>
  </r>
  <r>
    <x v="5"/>
    <x v="121"/>
    <s v="CO"/>
    <x v="9"/>
    <x v="116"/>
    <n v="789"/>
    <n v="494"/>
    <n v="295"/>
  </r>
  <r>
    <x v="5"/>
    <x v="122"/>
    <s v="CO"/>
    <x v="9"/>
    <x v="117"/>
    <n v="85"/>
    <n v="52"/>
    <n v="33"/>
  </r>
  <r>
    <x v="5"/>
    <x v="123"/>
    <s v="DE"/>
    <x v="10"/>
    <x v="118"/>
    <n v="47"/>
    <n v="26"/>
    <n v="21"/>
  </r>
  <r>
    <x v="5"/>
    <x v="124"/>
    <s v="DE"/>
    <x v="10"/>
    <x v="119"/>
    <n v="36"/>
    <n v="26"/>
    <n v="10"/>
  </r>
  <r>
    <x v="5"/>
    <x v="125"/>
    <s v="DE"/>
    <x v="10"/>
    <x v="120"/>
    <n v="31"/>
    <n v="18"/>
    <n v="13"/>
  </r>
  <r>
    <x v="5"/>
    <x v="126"/>
    <s v="DE"/>
    <x v="10"/>
    <x v="121"/>
    <n v="474"/>
    <n v="296"/>
    <n v="178"/>
  </r>
  <r>
    <x v="5"/>
    <x v="127"/>
    <s v="FA"/>
    <x v="11"/>
    <x v="122"/>
    <n v="32"/>
    <n v="15"/>
    <n v="17"/>
  </r>
  <r>
    <x v="5"/>
    <x v="128"/>
    <s v="FA"/>
    <x v="11"/>
    <x v="59"/>
    <n v="22"/>
    <n v="12"/>
    <n v="10"/>
  </r>
  <r>
    <x v="5"/>
    <x v="129"/>
    <s v="FA"/>
    <x v="11"/>
    <x v="123"/>
    <n v="46"/>
    <n v="28"/>
    <n v="18"/>
  </r>
  <r>
    <x v="5"/>
    <x v="130"/>
    <s v="FA"/>
    <x v="11"/>
    <x v="124"/>
    <n v="23"/>
    <n v="18"/>
    <n v="5"/>
  </r>
  <r>
    <x v="5"/>
    <x v="131"/>
    <s v="FA"/>
    <x v="11"/>
    <x v="125"/>
    <n v="1156"/>
    <n v="638"/>
    <n v="518"/>
  </r>
  <r>
    <x v="5"/>
    <x v="132"/>
    <s v="FA"/>
    <x v="11"/>
    <x v="126"/>
    <n v="65"/>
    <n v="38"/>
    <n v="27"/>
  </r>
  <r>
    <x v="5"/>
    <x v="133"/>
    <s v="FA"/>
    <x v="11"/>
    <x v="127"/>
    <n v="77"/>
    <n v="39"/>
    <n v="38"/>
  </r>
  <r>
    <x v="5"/>
    <x v="134"/>
    <s v="FA"/>
    <x v="11"/>
    <x v="128"/>
    <n v="21"/>
    <n v="10"/>
    <n v="11"/>
  </r>
  <r>
    <x v="5"/>
    <x v="135"/>
    <s v="FA"/>
    <x v="11"/>
    <x v="112"/>
    <n v="106"/>
    <n v="61"/>
    <n v="45"/>
  </r>
  <r>
    <x v="5"/>
    <x v="136"/>
    <s v="FA"/>
    <x v="11"/>
    <x v="129"/>
    <n v="95"/>
    <n v="53"/>
    <n v="42"/>
  </r>
  <r>
    <x v="5"/>
    <x v="137"/>
    <s v="FA"/>
    <x v="11"/>
    <x v="130"/>
    <n v="24"/>
    <n v="15"/>
    <n v="9"/>
  </r>
  <r>
    <x v="5"/>
    <x v="138"/>
    <s v="FA"/>
    <x v="11"/>
    <x v="131"/>
    <n v="115"/>
    <n v="73"/>
    <n v="42"/>
  </r>
  <r>
    <x v="5"/>
    <x v="139"/>
    <s v="FA"/>
    <x v="11"/>
    <x v="132"/>
    <n v="74"/>
    <n v="49"/>
    <n v="25"/>
  </r>
  <r>
    <x v="5"/>
    <x v="140"/>
    <s v="FA"/>
    <x v="11"/>
    <x v="104"/>
    <n v="1387"/>
    <n v="765"/>
    <n v="622"/>
  </r>
  <r>
    <x v="5"/>
    <x v="141"/>
    <s v="FA"/>
    <x v="11"/>
    <x v="133"/>
    <n v="52"/>
    <n v="31"/>
    <n v="21"/>
  </r>
  <r>
    <x v="5"/>
    <x v="142"/>
    <s v="FA"/>
    <x v="11"/>
    <x v="134"/>
    <n v="2"/>
    <s v="-"/>
    <n v="2"/>
  </r>
  <r>
    <x v="5"/>
    <x v="143"/>
    <s v="FA"/>
    <x v="11"/>
    <x v="135"/>
    <n v="26"/>
    <n v="21"/>
    <n v="5"/>
  </r>
  <r>
    <x v="5"/>
    <x v="144"/>
    <s v="FA"/>
    <x v="11"/>
    <x v="45"/>
    <n v="43"/>
    <n v="25"/>
    <n v="18"/>
  </r>
  <r>
    <x v="5"/>
    <x v="145"/>
    <s v="FA"/>
    <x v="11"/>
    <x v="136"/>
    <n v="41"/>
    <n v="22"/>
    <n v="19"/>
  </r>
  <r>
    <x v="5"/>
    <x v="146"/>
    <s v="FA"/>
    <x v="11"/>
    <x v="137"/>
    <n v="191"/>
    <n v="133"/>
    <n v="58"/>
  </r>
  <r>
    <x v="5"/>
    <x v="147"/>
    <s v="FA"/>
    <x v="11"/>
    <x v="73"/>
    <n v="27"/>
    <n v="16"/>
    <n v="11"/>
  </r>
  <r>
    <x v="5"/>
    <x v="148"/>
    <s v="FA"/>
    <x v="11"/>
    <x v="138"/>
    <n v="10"/>
    <n v="7"/>
    <n v="3"/>
  </r>
  <r>
    <x v="5"/>
    <x v="149"/>
    <s v="FA"/>
    <x v="11"/>
    <x v="139"/>
    <n v="36"/>
    <n v="19"/>
    <n v="17"/>
  </r>
  <r>
    <x v="5"/>
    <x v="150"/>
    <s v="FA"/>
    <x v="11"/>
    <x v="140"/>
    <n v="27"/>
    <n v="15"/>
    <n v="12"/>
  </r>
  <r>
    <x v="5"/>
    <x v="151"/>
    <s v="FA"/>
    <x v="11"/>
    <x v="76"/>
    <n v="73"/>
    <n v="42"/>
    <n v="31"/>
  </r>
  <r>
    <x v="5"/>
    <x v="152"/>
    <s v="GU"/>
    <x v="12"/>
    <x v="141"/>
    <n v="70"/>
    <n v="42"/>
    <n v="28"/>
  </r>
  <r>
    <x v="5"/>
    <x v="153"/>
    <s v="GU"/>
    <x v="12"/>
    <x v="142"/>
    <n v="47"/>
    <n v="31"/>
    <n v="16"/>
  </r>
  <r>
    <x v="5"/>
    <x v="154"/>
    <s v="GU"/>
    <x v="12"/>
    <x v="143"/>
    <n v="57"/>
    <n v="32"/>
    <n v="25"/>
  </r>
  <r>
    <x v="5"/>
    <x v="155"/>
    <s v="GU"/>
    <x v="12"/>
    <x v="144"/>
    <n v="32"/>
    <n v="23"/>
    <n v="9"/>
  </r>
  <r>
    <x v="5"/>
    <x v="156"/>
    <s v="GU"/>
    <x v="12"/>
    <x v="145"/>
    <n v="710"/>
    <n v="435"/>
    <n v="275"/>
  </r>
  <r>
    <x v="5"/>
    <x v="157"/>
    <s v="GU"/>
    <x v="12"/>
    <x v="146"/>
    <n v="101"/>
    <n v="61"/>
    <n v="40"/>
  </r>
  <r>
    <x v="5"/>
    <x v="158"/>
    <s v="GU"/>
    <x v="12"/>
    <x v="147"/>
    <n v="106"/>
    <n v="73"/>
    <n v="33"/>
  </r>
  <r>
    <x v="5"/>
    <x v="159"/>
    <s v="GU"/>
    <x v="12"/>
    <x v="104"/>
    <n v="622"/>
    <n v="401"/>
    <n v="221"/>
  </r>
  <r>
    <x v="5"/>
    <x v="160"/>
    <s v="GU"/>
    <x v="12"/>
    <x v="148"/>
    <n v="356"/>
    <n v="228"/>
    <n v="128"/>
  </r>
  <r>
    <x v="5"/>
    <x v="161"/>
    <s v="GU"/>
    <x v="12"/>
    <x v="149"/>
    <n v="66"/>
    <n v="48"/>
    <n v="18"/>
  </r>
  <r>
    <x v="5"/>
    <x v="162"/>
    <s v="GU"/>
    <x v="12"/>
    <x v="150"/>
    <n v="119"/>
    <n v="70"/>
    <n v="49"/>
  </r>
  <r>
    <x v="5"/>
    <x v="163"/>
    <s v="GU"/>
    <x v="12"/>
    <x v="96"/>
    <n v="1066"/>
    <n v="664"/>
    <n v="402"/>
  </r>
  <r>
    <x v="5"/>
    <x v="164"/>
    <s v="GU"/>
    <x v="12"/>
    <x v="151"/>
    <n v="38"/>
    <n v="27"/>
    <n v="11"/>
  </r>
  <r>
    <x v="5"/>
    <x v="165"/>
    <s v="GU"/>
    <x v="12"/>
    <x v="152"/>
    <n v="42"/>
    <n v="26"/>
    <n v="16"/>
  </r>
  <r>
    <x v="5"/>
    <x v="166"/>
    <s v="GU"/>
    <x v="12"/>
    <x v="153"/>
    <n v="264"/>
    <n v="160"/>
    <n v="104"/>
  </r>
  <r>
    <x v="5"/>
    <x v="167"/>
    <s v="LA"/>
    <x v="13"/>
    <x v="154"/>
    <n v="94"/>
    <n v="54"/>
    <n v="40"/>
  </r>
  <r>
    <x v="5"/>
    <x v="168"/>
    <s v="LA"/>
    <x v="13"/>
    <x v="155"/>
    <n v="122"/>
    <n v="74"/>
    <n v="48"/>
  </r>
  <r>
    <x v="5"/>
    <x v="169"/>
    <s v="LA"/>
    <x v="13"/>
    <x v="156"/>
    <n v="6434"/>
    <n v="3683"/>
    <n v="2751"/>
  </r>
  <r>
    <x v="5"/>
    <x v="170"/>
    <s v="LA"/>
    <x v="13"/>
    <x v="157"/>
    <n v="267"/>
    <n v="167"/>
    <n v="100"/>
  </r>
  <r>
    <x v="5"/>
    <x v="171"/>
    <s v="LA"/>
    <x v="13"/>
    <x v="158"/>
    <n v="466"/>
    <n v="300"/>
    <n v="166"/>
  </r>
  <r>
    <x v="5"/>
    <x v="172"/>
    <s v="LA"/>
    <x v="13"/>
    <x v="159"/>
    <n v="316"/>
    <n v="187"/>
    <n v="129"/>
  </r>
  <r>
    <x v="5"/>
    <x v="173"/>
    <s v="LA"/>
    <x v="13"/>
    <x v="160"/>
    <n v="91"/>
    <n v="60"/>
    <n v="31"/>
  </r>
  <r>
    <x v="5"/>
    <x v="174"/>
    <s v="LA"/>
    <x v="13"/>
    <x v="161"/>
    <n v="634"/>
    <n v="378"/>
    <n v="256"/>
  </r>
  <r>
    <x v="5"/>
    <x v="175"/>
    <s v="LA"/>
    <x v="13"/>
    <x v="75"/>
    <n v="166"/>
    <n v="97"/>
    <n v="69"/>
  </r>
  <r>
    <x v="5"/>
    <x v="176"/>
    <s v="ME"/>
    <x v="14"/>
    <x v="162"/>
    <n v="567"/>
    <n v="353"/>
    <n v="214"/>
  </r>
  <r>
    <x v="5"/>
    <x v="177"/>
    <s v="ME"/>
    <x v="14"/>
    <x v="163"/>
    <n v="46"/>
    <n v="29"/>
    <n v="17"/>
  </r>
  <r>
    <x v="5"/>
    <x v="178"/>
    <s v="ME"/>
    <x v="14"/>
    <x v="164"/>
    <n v="76"/>
    <n v="50"/>
    <n v="26"/>
  </r>
  <r>
    <x v="5"/>
    <x v="179"/>
    <s v="ME"/>
    <x v="14"/>
    <x v="165"/>
    <n v="14"/>
    <n v="12"/>
    <n v="2"/>
  </r>
  <r>
    <x v="5"/>
    <x v="180"/>
    <s v="ME"/>
    <x v="14"/>
    <x v="166"/>
    <n v="23"/>
    <n v="14"/>
    <n v="9"/>
  </r>
  <r>
    <x v="5"/>
    <x v="181"/>
    <s v="ME"/>
    <x v="14"/>
    <x v="167"/>
    <n v="296"/>
    <n v="197"/>
    <n v="99"/>
  </r>
  <r>
    <x v="5"/>
    <x v="182"/>
    <s v="ME"/>
    <x v="14"/>
    <x v="168"/>
    <n v="40"/>
    <n v="27"/>
    <n v="13"/>
  </r>
  <r>
    <x v="5"/>
    <x v="183"/>
    <s v="ME"/>
    <x v="14"/>
    <x v="169"/>
    <n v="116"/>
    <n v="69"/>
    <n v="47"/>
  </r>
  <r>
    <x v="5"/>
    <x v="184"/>
    <s v="ME"/>
    <x v="14"/>
    <x v="170"/>
    <n v="36"/>
    <n v="23"/>
    <n v="13"/>
  </r>
  <r>
    <x v="5"/>
    <x v="185"/>
    <s v="ME"/>
    <x v="14"/>
    <x v="171"/>
    <n v="66"/>
    <n v="42"/>
    <n v="24"/>
  </r>
  <r>
    <x v="5"/>
    <x v="186"/>
    <s v="ME"/>
    <x v="14"/>
    <x v="172"/>
    <n v="18"/>
    <n v="15"/>
    <n v="3"/>
  </r>
  <r>
    <x v="5"/>
    <x v="187"/>
    <s v="ME"/>
    <x v="14"/>
    <x v="66"/>
    <n v="2197"/>
    <n v="1265"/>
    <n v="932"/>
  </r>
  <r>
    <x v="5"/>
    <x v="188"/>
    <s v="ME"/>
    <x v="14"/>
    <x v="104"/>
    <n v="104"/>
    <n v="59"/>
    <n v="45"/>
  </r>
  <r>
    <x v="5"/>
    <x v="189"/>
    <s v="ME"/>
    <x v="14"/>
    <x v="173"/>
    <n v="84"/>
    <n v="63"/>
    <n v="21"/>
  </r>
  <r>
    <x v="5"/>
    <x v="190"/>
    <s v="ME"/>
    <x v="14"/>
    <x v="174"/>
    <n v="8"/>
    <n v="4"/>
    <n v="4"/>
  </r>
  <r>
    <x v="5"/>
    <x v="191"/>
    <s v="ME"/>
    <x v="14"/>
    <x v="175"/>
    <n v="45"/>
    <n v="32"/>
    <n v="13"/>
  </r>
  <r>
    <x v="5"/>
    <x v="192"/>
    <s v="ME"/>
    <x v="14"/>
    <x v="176"/>
    <n v="61"/>
    <n v="39"/>
    <n v="22"/>
  </r>
  <r>
    <x v="5"/>
    <x v="193"/>
    <s v="ME"/>
    <x v="14"/>
    <x v="177"/>
    <n v="60"/>
    <n v="35"/>
    <n v="25"/>
  </r>
  <r>
    <x v="5"/>
    <x v="194"/>
    <s v="ME"/>
    <x v="14"/>
    <x v="178"/>
    <n v="37"/>
    <n v="25"/>
    <n v="12"/>
  </r>
  <r>
    <x v="5"/>
    <x v="195"/>
    <s v="ME"/>
    <x v="14"/>
    <x v="73"/>
    <n v="179"/>
    <n v="113"/>
    <n v="66"/>
  </r>
  <r>
    <x v="5"/>
    <x v="196"/>
    <s v="ME"/>
    <x v="14"/>
    <x v="74"/>
    <n v="177"/>
    <n v="96"/>
    <n v="81"/>
  </r>
  <r>
    <x v="5"/>
    <x v="197"/>
    <s v="ME"/>
    <x v="14"/>
    <x v="179"/>
    <n v="105"/>
    <n v="59"/>
    <n v="46"/>
  </r>
  <r>
    <x v="5"/>
    <x v="198"/>
    <s v="ME"/>
    <x v="14"/>
    <x v="180"/>
    <n v="51"/>
    <n v="29"/>
    <n v="22"/>
  </r>
  <r>
    <x v="5"/>
    <x v="199"/>
    <s v="MI"/>
    <x v="15"/>
    <x v="181"/>
    <n v="391"/>
    <n v="274"/>
    <n v="117"/>
  </r>
  <r>
    <x v="5"/>
    <x v="200"/>
    <s v="MI"/>
    <x v="15"/>
    <x v="163"/>
    <n v="123"/>
    <n v="75"/>
    <n v="48"/>
  </r>
  <r>
    <x v="5"/>
    <x v="201"/>
    <s v="MI"/>
    <x v="15"/>
    <x v="182"/>
    <n v="1865"/>
    <n v="937"/>
    <n v="928"/>
  </r>
  <r>
    <x v="5"/>
    <x v="202"/>
    <s v="MI"/>
    <x v="15"/>
    <x v="183"/>
    <n v="267"/>
    <n v="175"/>
    <n v="92"/>
  </r>
  <r>
    <x v="5"/>
    <x v="203"/>
    <s v="MI"/>
    <x v="15"/>
    <x v="184"/>
    <n v="90"/>
    <n v="60"/>
    <n v="30"/>
  </r>
  <r>
    <x v="5"/>
    <x v="204"/>
    <s v="MI"/>
    <x v="15"/>
    <x v="185"/>
    <n v="199"/>
    <n v="113"/>
    <n v="86"/>
  </r>
  <r>
    <x v="5"/>
    <x v="205"/>
    <s v="MI"/>
    <x v="15"/>
    <x v="186"/>
    <n v="815"/>
    <n v="415"/>
    <n v="400"/>
  </r>
  <r>
    <x v="5"/>
    <x v="206"/>
    <s v="MI"/>
    <x v="15"/>
    <x v="187"/>
    <n v="412"/>
    <n v="281"/>
    <n v="131"/>
  </r>
  <r>
    <x v="5"/>
    <x v="207"/>
    <s v="MI"/>
    <x v="15"/>
    <x v="188"/>
    <n v="165"/>
    <n v="104"/>
    <n v="61"/>
  </r>
  <r>
    <x v="5"/>
    <x v="208"/>
    <s v="MI"/>
    <x v="15"/>
    <x v="189"/>
    <n v="1342"/>
    <n v="836"/>
    <n v="506"/>
  </r>
  <r>
    <x v="5"/>
    <x v="209"/>
    <s v="MI"/>
    <x v="15"/>
    <x v="38"/>
    <n v="618"/>
    <n v="424"/>
    <n v="194"/>
  </r>
  <r>
    <x v="5"/>
    <x v="210"/>
    <s v="MI"/>
    <x v="15"/>
    <x v="190"/>
    <n v="591"/>
    <n v="411"/>
    <n v="180"/>
  </r>
  <r>
    <x v="5"/>
    <x v="211"/>
    <s v="MI"/>
    <x v="15"/>
    <x v="191"/>
    <n v="231"/>
    <n v="114"/>
    <n v="117"/>
  </r>
  <r>
    <x v="5"/>
    <x v="212"/>
    <s v="MI"/>
    <x v="15"/>
    <x v="55"/>
    <n v="185"/>
    <n v="117"/>
    <n v="68"/>
  </r>
  <r>
    <x v="5"/>
    <x v="213"/>
    <s v="MI"/>
    <x v="15"/>
    <x v="192"/>
    <n v="343"/>
    <n v="229"/>
    <n v="114"/>
  </r>
  <r>
    <x v="5"/>
    <x v="214"/>
    <s v="MI"/>
    <x v="15"/>
    <x v="193"/>
    <n v="54"/>
    <n v="32"/>
    <n v="22"/>
  </r>
  <r>
    <x v="5"/>
    <x v="215"/>
    <s v="MI"/>
    <x v="15"/>
    <x v="194"/>
    <n v="819"/>
    <n v="528"/>
    <n v="291"/>
  </r>
  <r>
    <x v="5"/>
    <x v="216"/>
    <s v="MI"/>
    <x v="15"/>
    <x v="49"/>
    <n v="107"/>
    <n v="79"/>
    <n v="28"/>
  </r>
  <r>
    <x v="5"/>
    <x v="217"/>
    <s v="MI"/>
    <x v="15"/>
    <x v="73"/>
    <n v="3773"/>
    <n v="2454"/>
    <n v="1319"/>
  </r>
  <r>
    <x v="5"/>
    <x v="218"/>
    <s v="MI"/>
    <x v="15"/>
    <x v="75"/>
    <n v="548"/>
    <n v="354"/>
    <n v="194"/>
  </r>
  <r>
    <x v="5"/>
    <x v="219"/>
    <s v="MI"/>
    <x v="15"/>
    <x v="76"/>
    <n v="616"/>
    <n v="398"/>
    <n v="218"/>
  </r>
  <r>
    <x v="5"/>
    <x v="220"/>
    <s v="MO"/>
    <x v="16"/>
    <x v="122"/>
    <n v="47"/>
    <n v="25"/>
    <n v="22"/>
  </r>
  <r>
    <x v="5"/>
    <x v="221"/>
    <s v="MO"/>
    <x v="16"/>
    <x v="195"/>
    <n v="26"/>
    <n v="20"/>
    <n v="6"/>
  </r>
  <r>
    <x v="5"/>
    <x v="222"/>
    <s v="MO"/>
    <x v="16"/>
    <x v="59"/>
    <n v="146"/>
    <n v="89"/>
    <n v="57"/>
  </r>
  <r>
    <x v="5"/>
    <x v="223"/>
    <s v="MO"/>
    <x v="16"/>
    <x v="196"/>
    <n v="132"/>
    <n v="79"/>
    <n v="53"/>
  </r>
  <r>
    <x v="5"/>
    <x v="224"/>
    <s v="MO"/>
    <x v="16"/>
    <x v="89"/>
    <n v="79"/>
    <n v="54"/>
    <n v="25"/>
  </r>
  <r>
    <x v="5"/>
    <x v="225"/>
    <s v="MO"/>
    <x v="16"/>
    <x v="83"/>
    <n v="185"/>
    <n v="116"/>
    <n v="69"/>
  </r>
  <r>
    <x v="5"/>
    <x v="226"/>
    <s v="MO"/>
    <x v="16"/>
    <x v="66"/>
    <n v="32"/>
    <n v="25"/>
    <n v="7"/>
  </r>
  <r>
    <x v="5"/>
    <x v="227"/>
    <s v="MO"/>
    <x v="16"/>
    <x v="197"/>
    <n v="2915"/>
    <n v="1709"/>
    <n v="1206"/>
  </r>
  <r>
    <x v="5"/>
    <x v="228"/>
    <s v="MO"/>
    <x v="16"/>
    <x v="94"/>
    <n v="93"/>
    <n v="59"/>
    <n v="34"/>
  </r>
  <r>
    <x v="5"/>
    <x v="229"/>
    <s v="MO"/>
    <x v="16"/>
    <x v="198"/>
    <n v="90"/>
    <n v="60"/>
    <n v="30"/>
  </r>
  <r>
    <x v="5"/>
    <x v="230"/>
    <s v="MO"/>
    <x v="16"/>
    <x v="199"/>
    <n v="34"/>
    <n v="23"/>
    <n v="11"/>
  </r>
  <r>
    <x v="5"/>
    <x v="231"/>
    <s v="MO"/>
    <x v="16"/>
    <x v="200"/>
    <n v="69"/>
    <n v="39"/>
    <n v="30"/>
  </r>
  <r>
    <x v="5"/>
    <x v="232"/>
    <s v="MO"/>
    <x v="16"/>
    <x v="201"/>
    <n v="21"/>
    <n v="14"/>
    <n v="7"/>
  </r>
  <r>
    <x v="5"/>
    <x v="233"/>
    <s v="NU"/>
    <x v="17"/>
    <x v="202"/>
    <n v="83"/>
    <n v="55"/>
    <n v="28"/>
  </r>
  <r>
    <x v="5"/>
    <x v="234"/>
    <s v="NU"/>
    <x v="17"/>
    <x v="80"/>
    <n v="133"/>
    <n v="78"/>
    <n v="55"/>
  </r>
  <r>
    <x v="5"/>
    <x v="235"/>
    <s v="NU"/>
    <x v="17"/>
    <x v="203"/>
    <n v="176"/>
    <n v="117"/>
    <n v="59"/>
  </r>
  <r>
    <x v="5"/>
    <x v="236"/>
    <s v="NU"/>
    <x v="17"/>
    <x v="204"/>
    <n v="244"/>
    <n v="151"/>
    <n v="93"/>
  </r>
  <r>
    <x v="5"/>
    <x v="237"/>
    <s v="NU"/>
    <x v="17"/>
    <x v="205"/>
    <n v="102"/>
    <n v="56"/>
    <n v="46"/>
  </r>
  <r>
    <x v="5"/>
    <x v="238"/>
    <s v="NU"/>
    <x v="17"/>
    <x v="206"/>
    <n v="165"/>
    <n v="100"/>
    <n v="65"/>
  </r>
  <r>
    <x v="5"/>
    <x v="239"/>
    <s v="NU"/>
    <x v="17"/>
    <x v="207"/>
    <n v="168"/>
    <n v="90"/>
    <n v="78"/>
  </r>
  <r>
    <x v="5"/>
    <x v="240"/>
    <s v="NU"/>
    <x v="17"/>
    <x v="208"/>
    <n v="1293"/>
    <n v="798"/>
    <n v="495"/>
  </r>
  <r>
    <x v="5"/>
    <x v="241"/>
    <s v="NU"/>
    <x v="17"/>
    <x v="209"/>
    <n v="85"/>
    <n v="51"/>
    <n v="34"/>
  </r>
  <r>
    <x v="5"/>
    <x v="242"/>
    <s v="NU"/>
    <x v="17"/>
    <x v="210"/>
    <n v="95"/>
    <n v="62"/>
    <n v="33"/>
  </r>
  <r>
    <x v="5"/>
    <x v="243"/>
    <s v="NU"/>
    <x v="17"/>
    <x v="211"/>
    <n v="41"/>
    <n v="23"/>
    <n v="18"/>
  </r>
  <r>
    <x v="5"/>
    <x v="244"/>
    <s v="PO"/>
    <x v="18"/>
    <x v="212"/>
    <n v="32"/>
    <n v="19"/>
    <n v="13"/>
  </r>
  <r>
    <x v="5"/>
    <x v="245"/>
    <s v="PO"/>
    <x v="18"/>
    <x v="213"/>
    <n v="1213"/>
    <n v="715"/>
    <n v="498"/>
  </r>
  <r>
    <x v="5"/>
    <x v="246"/>
    <s v="PO"/>
    <x v="18"/>
    <x v="214"/>
    <n v="130"/>
    <n v="83"/>
    <n v="47"/>
  </r>
  <r>
    <x v="5"/>
    <x v="247"/>
    <s v="PO"/>
    <x v="18"/>
    <x v="215"/>
    <n v="1095"/>
    <n v="696"/>
    <n v="399"/>
  </r>
  <r>
    <x v="5"/>
    <x v="248"/>
    <s v="PO"/>
    <x v="18"/>
    <x v="216"/>
    <n v="87"/>
    <n v="58"/>
    <n v="29"/>
  </r>
  <r>
    <x v="5"/>
    <x v="249"/>
    <s v="PO"/>
    <x v="18"/>
    <x v="217"/>
    <n v="77"/>
    <n v="37"/>
    <n v="40"/>
  </r>
  <r>
    <x v="5"/>
    <x v="250"/>
    <s v="PO"/>
    <x v="18"/>
    <x v="218"/>
    <n v="116"/>
    <n v="75"/>
    <n v="41"/>
  </r>
  <r>
    <x v="5"/>
    <x v="251"/>
    <s v="PO"/>
    <x v="18"/>
    <x v="55"/>
    <n v="622"/>
    <n v="426"/>
    <n v="196"/>
  </r>
  <r>
    <x v="5"/>
    <x v="252"/>
    <s v="PO"/>
    <x v="18"/>
    <x v="219"/>
    <n v="22"/>
    <n v="16"/>
    <n v="6"/>
  </r>
  <r>
    <x v="5"/>
    <x v="253"/>
    <s v="PO"/>
    <x v="18"/>
    <x v="220"/>
    <n v="53"/>
    <n v="33"/>
    <n v="20"/>
  </r>
  <r>
    <x v="5"/>
    <x v="254"/>
    <s v="PO"/>
    <x v="18"/>
    <x v="221"/>
    <n v="29"/>
    <n v="20"/>
    <n v="9"/>
  </r>
  <r>
    <x v="5"/>
    <x v="255"/>
    <s v="PO"/>
    <x v="18"/>
    <x v="222"/>
    <n v="42"/>
    <n v="26"/>
    <n v="16"/>
  </r>
  <r>
    <x v="5"/>
    <x v="256"/>
    <s v="PO"/>
    <x v="18"/>
    <x v="73"/>
    <n v="137"/>
    <n v="75"/>
    <n v="62"/>
  </r>
  <r>
    <x v="5"/>
    <x v="257"/>
    <s v="PO"/>
    <x v="18"/>
    <x v="223"/>
    <n v="213"/>
    <n v="147"/>
    <n v="66"/>
  </r>
  <r>
    <x v="5"/>
    <x v="258"/>
    <s v="SU"/>
    <x v="19"/>
    <x v="154"/>
    <n v="105"/>
    <n v="74"/>
    <n v="31"/>
  </r>
  <r>
    <x v="5"/>
    <x v="259"/>
    <s v="SU"/>
    <x v="19"/>
    <x v="224"/>
    <n v="68"/>
    <n v="40"/>
    <n v="28"/>
  </r>
  <r>
    <x v="5"/>
    <x v="260"/>
    <s v="SU"/>
    <x v="19"/>
    <x v="80"/>
    <n v="53"/>
    <n v="39"/>
    <n v="14"/>
  </r>
  <r>
    <x v="5"/>
    <x v="261"/>
    <s v="SU"/>
    <x v="19"/>
    <x v="225"/>
    <n v="77"/>
    <n v="43"/>
    <n v="34"/>
  </r>
  <r>
    <x v="5"/>
    <x v="262"/>
    <s v="SU"/>
    <x v="19"/>
    <x v="226"/>
    <n v="943"/>
    <n v="572"/>
    <n v="371"/>
  </r>
  <r>
    <x v="5"/>
    <x v="263"/>
    <s v="SU"/>
    <x v="19"/>
    <x v="59"/>
    <n v="63"/>
    <n v="31"/>
    <n v="32"/>
  </r>
  <r>
    <x v="5"/>
    <x v="264"/>
    <s v="SU"/>
    <x v="19"/>
    <x v="227"/>
    <n v="60"/>
    <n v="34"/>
    <n v="26"/>
  </r>
  <r>
    <x v="5"/>
    <x v="265"/>
    <s v="SU"/>
    <x v="19"/>
    <x v="228"/>
    <n v="78"/>
    <n v="47"/>
    <n v="31"/>
  </r>
  <r>
    <x v="5"/>
    <x v="266"/>
    <s v="SU"/>
    <x v="19"/>
    <x v="66"/>
    <n v="30"/>
    <n v="18"/>
    <n v="12"/>
  </r>
  <r>
    <x v="5"/>
    <x v="267"/>
    <s v="SU"/>
    <x v="19"/>
    <x v="208"/>
    <n v="80"/>
    <n v="41"/>
    <n v="39"/>
  </r>
  <r>
    <x v="5"/>
    <x v="268"/>
    <s v="SU"/>
    <x v="19"/>
    <x v="229"/>
    <n v="39"/>
    <n v="22"/>
    <n v="17"/>
  </r>
  <r>
    <x v="5"/>
    <x v="269"/>
    <s v="SU"/>
    <x v="19"/>
    <x v="230"/>
    <n v="183"/>
    <n v="106"/>
    <n v="77"/>
  </r>
  <r>
    <x v="5"/>
    <x v="270"/>
    <s v="SU"/>
    <x v="19"/>
    <x v="231"/>
    <n v="171"/>
    <n v="107"/>
    <n v="64"/>
  </r>
  <r>
    <x v="5"/>
    <x v="271"/>
    <s v="SU"/>
    <x v="19"/>
    <x v="73"/>
    <n v="2085"/>
    <s v="1,28"/>
    <n v="805"/>
  </r>
  <r>
    <x v="5"/>
    <x v="272"/>
    <s v="SU"/>
    <x v="19"/>
    <x v="232"/>
    <n v="148"/>
    <n v="87"/>
    <n v="61"/>
  </r>
  <r>
    <x v="5"/>
    <x v="273"/>
    <s v="TA"/>
    <x v="20"/>
    <x v="163"/>
    <n v="75"/>
    <n v="51"/>
    <n v="24"/>
  </r>
  <r>
    <x v="5"/>
    <x v="274"/>
    <s v="TA"/>
    <x v="20"/>
    <x v="233"/>
    <n v="32"/>
    <n v="21"/>
    <n v="11"/>
  </r>
  <r>
    <x v="5"/>
    <x v="275"/>
    <s v="TA"/>
    <x v="20"/>
    <x v="234"/>
    <n v="289"/>
    <n v="176"/>
    <n v="113"/>
  </r>
  <r>
    <x v="5"/>
    <x v="276"/>
    <s v="TA"/>
    <x v="20"/>
    <x v="59"/>
    <n v="219"/>
    <n v="137"/>
    <n v="82"/>
  </r>
  <r>
    <x v="5"/>
    <x v="277"/>
    <s v="TA"/>
    <x v="20"/>
    <x v="235"/>
    <n v="293"/>
    <n v="172"/>
    <n v="121"/>
  </r>
  <r>
    <x v="5"/>
    <x v="278"/>
    <s v="TA"/>
    <x v="20"/>
    <x v="236"/>
    <n v="104"/>
    <n v="69"/>
    <n v="35"/>
  </r>
  <r>
    <x v="5"/>
    <x v="279"/>
    <s v="TA"/>
    <x v="20"/>
    <x v="237"/>
    <n v="190"/>
    <n v="143"/>
    <n v="47"/>
  </r>
  <r>
    <x v="5"/>
    <x v="280"/>
    <s v="TA"/>
    <x v="20"/>
    <x v="35"/>
    <n v="8"/>
    <n v="2"/>
    <n v="6"/>
  </r>
  <r>
    <x v="5"/>
    <x v="281"/>
    <s v="TA"/>
    <x v="20"/>
    <x v="238"/>
    <n v="238"/>
    <n v="154"/>
    <n v="84"/>
  </r>
  <r>
    <x v="5"/>
    <x v="282"/>
    <s v="TA"/>
    <x v="20"/>
    <x v="239"/>
    <n v="90"/>
    <n v="49"/>
    <n v="41"/>
  </r>
  <r>
    <x v="5"/>
    <x v="283"/>
    <s v="TA"/>
    <x v="20"/>
    <x v="38"/>
    <n v="86"/>
    <n v="50"/>
    <n v="36"/>
  </r>
  <r>
    <x v="5"/>
    <x v="284"/>
    <s v="TA"/>
    <x v="20"/>
    <x v="240"/>
    <n v="231"/>
    <n v="146"/>
    <n v="85"/>
  </r>
  <r>
    <x v="5"/>
    <x v="285"/>
    <s v="TA"/>
    <x v="20"/>
    <x v="241"/>
    <n v="35"/>
    <n v="24"/>
    <n v="11"/>
  </r>
  <r>
    <x v="5"/>
    <x v="286"/>
    <s v="TA"/>
    <x v="20"/>
    <x v="242"/>
    <n v="295"/>
    <n v="160"/>
    <n v="135"/>
  </r>
  <r>
    <x v="5"/>
    <x v="287"/>
    <s v="TA"/>
    <x v="20"/>
    <x v="42"/>
    <n v="73"/>
    <n v="41"/>
    <n v="32"/>
  </r>
  <r>
    <x v="5"/>
    <x v="288"/>
    <s v="TA"/>
    <x v="20"/>
    <x v="66"/>
    <n v="96"/>
    <n v="64"/>
    <n v="32"/>
  </r>
  <r>
    <x v="5"/>
    <x v="289"/>
    <s v="TA"/>
    <x v="20"/>
    <x v="243"/>
    <n v="40"/>
    <n v="23"/>
    <n v="17"/>
  </r>
  <r>
    <x v="5"/>
    <x v="290"/>
    <s v="TA"/>
    <x v="20"/>
    <x v="244"/>
    <n v="68"/>
    <n v="43"/>
    <n v="25"/>
  </r>
  <r>
    <x v="5"/>
    <x v="291"/>
    <s v="TA"/>
    <x v="20"/>
    <x v="245"/>
    <n v="176"/>
    <n v="120"/>
    <n v="56"/>
  </r>
  <r>
    <x v="5"/>
    <x v="292"/>
    <s v="TA"/>
    <x v="20"/>
    <x v="246"/>
    <n v="90"/>
    <n v="64"/>
    <n v="26"/>
  </r>
  <r>
    <x v="5"/>
    <x v="293"/>
    <s v="TA"/>
    <x v="20"/>
    <x v="247"/>
    <n v="22"/>
    <n v="13"/>
    <n v="9"/>
  </r>
  <r>
    <x v="5"/>
    <x v="294"/>
    <s v="TA"/>
    <x v="20"/>
    <x v="248"/>
    <n v="71"/>
    <n v="54"/>
    <n v="17"/>
  </r>
  <r>
    <x v="5"/>
    <x v="295"/>
    <s v="TA"/>
    <x v="20"/>
    <x v="249"/>
    <n v="3215"/>
    <n v="1869"/>
    <n v="1346"/>
  </r>
  <r>
    <x v="5"/>
    <x v="296"/>
    <s v="TA"/>
    <x v="20"/>
    <x v="250"/>
    <n v="18"/>
    <n v="10"/>
    <n v="8"/>
  </r>
  <r>
    <x v="5"/>
    <x v="297"/>
    <s v="TA"/>
    <x v="20"/>
    <x v="251"/>
    <n v="34"/>
    <n v="26"/>
    <n v="8"/>
  </r>
  <r>
    <x v="5"/>
    <x v="298"/>
    <s v="TA"/>
    <x v="20"/>
    <x v="50"/>
    <n v="8"/>
    <n v="3"/>
    <n v="5"/>
  </r>
  <r>
    <x v="5"/>
    <x v="299"/>
    <s v="TA"/>
    <x v="20"/>
    <x v="73"/>
    <n v="29"/>
    <n v="22"/>
    <n v="7"/>
  </r>
  <r>
    <x v="5"/>
    <x v="300"/>
    <s v="TA"/>
    <x v="20"/>
    <x v="252"/>
    <n v="127"/>
    <n v="96"/>
    <n v="31"/>
  </r>
  <r>
    <x v="5"/>
    <x v="301"/>
    <s v="TA"/>
    <x v="20"/>
    <x v="253"/>
    <n v="78"/>
    <n v="52"/>
    <n v="26"/>
  </r>
  <r>
    <x v="5"/>
    <x v="302"/>
    <s v="TR"/>
    <x v="21"/>
    <x v="163"/>
    <n v="46"/>
    <n v="34"/>
    <n v="12"/>
  </r>
  <r>
    <x v="5"/>
    <x v="303"/>
    <s v="TR"/>
    <x v="21"/>
    <x v="254"/>
    <n v="480"/>
    <n v="265"/>
    <n v="215"/>
  </r>
  <r>
    <x v="5"/>
    <x v="304"/>
    <s v="TR"/>
    <x v="21"/>
    <x v="59"/>
    <n v="31"/>
    <n v="20"/>
    <n v="11"/>
  </r>
  <r>
    <x v="5"/>
    <x v="305"/>
    <s v="TR"/>
    <x v="21"/>
    <x v="255"/>
    <n v="97"/>
    <n v="63"/>
    <n v="34"/>
  </r>
  <r>
    <x v="5"/>
    <x v="306"/>
    <s v="TR"/>
    <x v="21"/>
    <x v="256"/>
    <n v="148"/>
    <n v="97"/>
    <n v="51"/>
  </r>
  <r>
    <x v="5"/>
    <x v="307"/>
    <s v="TR"/>
    <x v="21"/>
    <x v="257"/>
    <n v="64"/>
    <n v="32"/>
    <n v="32"/>
  </r>
  <r>
    <x v="5"/>
    <x v="308"/>
    <s v="TR"/>
    <x v="21"/>
    <x v="258"/>
    <n v="8"/>
    <n v="4"/>
    <n v="4"/>
  </r>
  <r>
    <x v="5"/>
    <x v="309"/>
    <s v="TR"/>
    <x v="21"/>
    <x v="259"/>
    <n v="25"/>
    <n v="14"/>
    <n v="11"/>
  </r>
  <r>
    <x v="5"/>
    <x v="310"/>
    <s v="TR"/>
    <x v="21"/>
    <x v="260"/>
    <n v="52"/>
    <n v="38"/>
    <n v="14"/>
  </r>
  <r>
    <x v="5"/>
    <x v="311"/>
    <s v="TR"/>
    <x v="21"/>
    <x v="104"/>
    <n v="27"/>
    <n v="16"/>
    <n v="11"/>
  </r>
  <r>
    <x v="5"/>
    <x v="312"/>
    <s v="TR"/>
    <x v="21"/>
    <x v="261"/>
    <n v="48"/>
    <n v="31"/>
    <n v="17"/>
  </r>
  <r>
    <x v="5"/>
    <x v="313"/>
    <s v="TR"/>
    <x v="21"/>
    <x v="262"/>
    <n v="31"/>
    <n v="17"/>
    <n v="14"/>
  </r>
  <r>
    <x v="5"/>
    <x v="314"/>
    <s v="TR"/>
    <x v="21"/>
    <x v="263"/>
    <n v="178"/>
    <n v="109"/>
    <n v="69"/>
  </r>
  <r>
    <x v="5"/>
    <x v="315"/>
    <s v="TR"/>
    <x v="21"/>
    <x v="264"/>
    <n v="54"/>
    <n v="32"/>
    <n v="22"/>
  </r>
  <r>
    <x v="5"/>
    <x v="316"/>
    <s v="TR"/>
    <x v="21"/>
    <x v="265"/>
    <n v="57"/>
    <n v="33"/>
    <n v="24"/>
  </r>
  <r>
    <x v="5"/>
    <x v="317"/>
    <s v="TR"/>
    <x v="21"/>
    <x v="266"/>
    <n v="124"/>
    <n v="76"/>
    <n v="48"/>
  </r>
  <r>
    <x v="5"/>
    <x v="318"/>
    <s v="TR"/>
    <x v="21"/>
    <x v="73"/>
    <n v="114"/>
    <n v="73"/>
    <n v="41"/>
  </r>
  <r>
    <x v="5"/>
    <x v="319"/>
    <s v="TR"/>
    <x v="21"/>
    <x v="267"/>
    <n v="424"/>
    <n v="253"/>
    <n v="171"/>
  </r>
  <r>
    <x v="5"/>
    <x v="320"/>
    <s v="TR"/>
    <x v="21"/>
    <x v="75"/>
    <n v="110"/>
    <n v="64"/>
    <n v="46"/>
  </r>
  <r>
    <x v="5"/>
    <x v="321"/>
    <s v="TR"/>
    <x v="21"/>
    <x v="268"/>
    <n v="1692"/>
    <n v="1001"/>
    <n v="691"/>
  </r>
  <r>
    <x v="5"/>
    <x v="322"/>
    <s v="VA"/>
    <x v="0"/>
    <x v="269"/>
    <n v="155"/>
    <n v="101"/>
    <n v="54"/>
  </r>
  <r>
    <x v="5"/>
    <x v="323"/>
    <s v="VA"/>
    <x v="0"/>
    <x v="270"/>
    <n v="90"/>
    <n v="61"/>
    <n v="29"/>
  </r>
  <r>
    <x v="5"/>
    <x v="324"/>
    <s v="VA"/>
    <x v="0"/>
    <x v="271"/>
    <n v="194"/>
    <n v="114"/>
    <n v="80"/>
  </r>
  <r>
    <x v="5"/>
    <x v="325"/>
    <s v="VA"/>
    <x v="0"/>
    <x v="272"/>
    <n v="23"/>
    <n v="17"/>
    <n v="6"/>
  </r>
  <r>
    <x v="5"/>
    <x v="326"/>
    <s v="VA"/>
    <x v="0"/>
    <x v="273"/>
    <n v="264"/>
    <n v="174"/>
    <n v="90"/>
  </r>
  <r>
    <x v="5"/>
    <x v="327"/>
    <s v="VA"/>
    <x v="0"/>
    <x v="274"/>
    <n v="4"/>
    <n v="4"/>
    <s v="-"/>
  </r>
  <r>
    <x v="5"/>
    <x v="328"/>
    <s v="VA"/>
    <x v="0"/>
    <x v="275"/>
    <n v="564"/>
    <n v="359"/>
    <n v="205"/>
  </r>
  <r>
    <x v="5"/>
    <x v="329"/>
    <s v="VA"/>
    <x v="0"/>
    <x v="276"/>
    <n v="98"/>
    <n v="67"/>
    <n v="31"/>
  </r>
  <r>
    <x v="5"/>
    <x v="330"/>
    <s v="VA"/>
    <x v="0"/>
    <x v="277"/>
    <n v="366"/>
    <n v="214"/>
    <n v="152"/>
  </r>
  <r>
    <x v="5"/>
    <x v="331"/>
    <s v="VA"/>
    <x v="0"/>
    <x v="278"/>
    <n v="68"/>
    <n v="54"/>
    <n v="14"/>
  </r>
  <r>
    <x v="5"/>
    <x v="332"/>
    <s v="VA"/>
    <x v="0"/>
    <x v="279"/>
    <n v="107"/>
    <n v="72"/>
    <n v="35"/>
  </r>
  <r>
    <x v="5"/>
    <x v="333"/>
    <s v="YA"/>
    <x v="22"/>
    <x v="280"/>
    <n v="43"/>
    <n v="25"/>
    <n v="18"/>
  </r>
  <r>
    <x v="5"/>
    <x v="334"/>
    <s v="YA"/>
    <x v="22"/>
    <x v="59"/>
    <n v="83"/>
    <n v="57"/>
    <n v="26"/>
  </r>
  <r>
    <x v="5"/>
    <x v="335"/>
    <s v="YA"/>
    <x v="22"/>
    <x v="281"/>
    <n v="212"/>
    <n v="134"/>
    <n v="78"/>
  </r>
  <r>
    <x v="5"/>
    <x v="336"/>
    <s v="YA"/>
    <x v="22"/>
    <x v="282"/>
    <n v="81"/>
    <n v="49"/>
    <n v="32"/>
  </r>
  <r>
    <x v="5"/>
    <x v="337"/>
    <s v="YA"/>
    <x v="22"/>
    <x v="38"/>
    <n v="111"/>
    <n v="63"/>
    <n v="48"/>
  </r>
  <r>
    <x v="5"/>
    <x v="338"/>
    <s v="YA"/>
    <x v="22"/>
    <x v="283"/>
    <n v="44"/>
    <n v="27"/>
    <n v="17"/>
  </r>
  <r>
    <x v="5"/>
    <x v="339"/>
    <s v="YA"/>
    <x v="22"/>
    <x v="284"/>
    <n v="35"/>
    <n v="23"/>
    <n v="12"/>
  </r>
  <r>
    <x v="5"/>
    <x v="340"/>
    <s v="YA"/>
    <x v="22"/>
    <x v="285"/>
    <n v="18"/>
    <n v="7"/>
    <n v="11"/>
  </r>
  <r>
    <x v="5"/>
    <x v="341"/>
    <s v="YA"/>
    <x v="22"/>
    <x v="286"/>
    <n v="209"/>
    <n v="143"/>
    <n v="66"/>
  </r>
  <r>
    <x v="5"/>
    <x v="342"/>
    <s v="YA"/>
    <x v="22"/>
    <x v="287"/>
    <n v="251"/>
    <n v="149"/>
    <n v="102"/>
  </r>
  <r>
    <x v="5"/>
    <x v="343"/>
    <s v="YA"/>
    <x v="22"/>
    <x v="288"/>
    <n v="1233"/>
    <n v="734"/>
    <n v="499"/>
  </r>
  <r>
    <x v="5"/>
    <x v="344"/>
    <s v="YA"/>
    <x v="22"/>
    <x v="73"/>
    <n v="40"/>
    <n v="28"/>
    <n v="12"/>
  </r>
  <r>
    <x v="5"/>
    <x v="345"/>
    <s v="YA"/>
    <x v="22"/>
    <x v="289"/>
    <n v="51"/>
    <n v="39"/>
    <n v="12"/>
  </r>
  <r>
    <x v="5"/>
    <x v="346"/>
    <s v="YA"/>
    <x v="22"/>
    <x v="290"/>
    <n v="67"/>
    <n v="48"/>
    <n v="19"/>
  </r>
  <r>
    <x v="5"/>
    <x v="347"/>
    <s v="ZU"/>
    <x v="23"/>
    <x v="291"/>
    <n v="26"/>
    <n v="18"/>
    <n v="8"/>
  </r>
  <r>
    <x v="5"/>
    <x v="348"/>
    <s v="ZU"/>
    <x v="23"/>
    <x v="292"/>
    <n v="249"/>
    <n v="150"/>
    <n v="99"/>
  </r>
  <r>
    <x v="5"/>
    <x v="349"/>
    <s v="ZU"/>
    <x v="23"/>
    <x v="293"/>
    <n v="1453"/>
    <n v="838"/>
    <n v="615"/>
  </r>
  <r>
    <x v="5"/>
    <x v="350"/>
    <s v="ZU"/>
    <x v="23"/>
    <x v="294"/>
    <n v="111"/>
    <n v="74"/>
    <n v="37"/>
  </r>
  <r>
    <x v="5"/>
    <x v="351"/>
    <s v="ZU"/>
    <x v="23"/>
    <x v="295"/>
    <n v="559"/>
    <n v="342"/>
    <n v="217"/>
  </r>
  <r>
    <x v="5"/>
    <x v="352"/>
    <s v="ZU"/>
    <x v="23"/>
    <x v="296"/>
    <n v="80"/>
    <n v="52"/>
    <n v="28"/>
  </r>
  <r>
    <x v="5"/>
    <x v="353"/>
    <s v="ZU"/>
    <x v="23"/>
    <x v="297"/>
    <n v="360"/>
    <n v="241"/>
    <n v="119"/>
  </r>
  <r>
    <x v="5"/>
    <x v="354"/>
    <s v="ZU"/>
    <x v="23"/>
    <x v="298"/>
    <n v="112"/>
    <n v="79"/>
    <n v="33"/>
  </r>
  <r>
    <x v="5"/>
    <x v="355"/>
    <s v="ZU"/>
    <x v="23"/>
    <x v="299"/>
    <n v="237"/>
    <n v="147"/>
    <n v="90"/>
  </r>
  <r>
    <x v="5"/>
    <x v="356"/>
    <s v="ZU"/>
    <x v="23"/>
    <x v="300"/>
    <n v="1240"/>
    <n v="723"/>
    <n v="517"/>
  </r>
  <r>
    <x v="5"/>
    <x v="357"/>
    <s v="ZU"/>
    <x v="23"/>
    <x v="301"/>
    <n v="419"/>
    <n v="259"/>
    <n v="160"/>
  </r>
  <r>
    <x v="5"/>
    <x v="358"/>
    <s v="ZU"/>
    <x v="23"/>
    <x v="302"/>
    <n v="749"/>
    <n v="469"/>
    <n v="280"/>
  </r>
  <r>
    <x v="5"/>
    <x v="359"/>
    <s v="ZU"/>
    <x v="23"/>
    <x v="303"/>
    <n v="9843"/>
    <n v="5683"/>
    <s v="4,16"/>
  </r>
  <r>
    <x v="5"/>
    <x v="360"/>
    <s v="ZU"/>
    <x v="23"/>
    <x v="104"/>
    <n v="279"/>
    <n v="174"/>
    <n v="105"/>
  </r>
  <r>
    <x v="5"/>
    <x v="361"/>
    <s v="ZU"/>
    <x v="23"/>
    <x v="55"/>
    <n v="205"/>
    <n v="125"/>
    <n v="80"/>
  </r>
  <r>
    <x v="5"/>
    <x v="362"/>
    <s v="ZU"/>
    <x v="23"/>
    <x v="304"/>
    <n v="302"/>
    <n v="179"/>
    <n v="123"/>
  </r>
  <r>
    <x v="5"/>
    <x v="363"/>
    <s v="ZU"/>
    <x v="23"/>
    <x v="136"/>
    <n v="1678"/>
    <n v="1009"/>
    <n v="669"/>
  </r>
  <r>
    <x v="5"/>
    <x v="364"/>
    <s v="ZU"/>
    <x v="23"/>
    <x v="305"/>
    <n v="148"/>
    <n v="97"/>
    <n v="51"/>
  </r>
  <r>
    <x v="5"/>
    <x v="365"/>
    <s v="ZU"/>
    <x v="23"/>
    <x v="49"/>
    <n v="110"/>
    <n v="71"/>
    <n v="39"/>
  </r>
  <r>
    <x v="5"/>
    <x v="366"/>
    <s v="ZU"/>
    <x v="23"/>
    <x v="73"/>
    <n v="210"/>
    <n v="148"/>
    <n v="62"/>
  </r>
  <r>
    <x v="5"/>
    <x v="367"/>
    <s v="ZU"/>
    <x v="23"/>
    <x v="306"/>
    <n v="141"/>
    <n v="87"/>
    <n v="54"/>
  </r>
  <r>
    <x v="5"/>
    <x v="368"/>
    <s v="DE"/>
    <x v="24"/>
    <x v="307"/>
    <n v="0"/>
    <n v="0"/>
    <n v="0"/>
  </r>
  <r>
    <x v="6"/>
    <x v="0"/>
    <s v="VA"/>
    <x v="0"/>
    <x v="0"/>
    <n v="0"/>
    <n v="0"/>
    <n v="0"/>
  </r>
  <r>
    <x v="6"/>
    <x v="1"/>
    <s v="DI"/>
    <x v="1"/>
    <x v="1"/>
    <n v="0"/>
    <n v="0"/>
    <n v="0"/>
  </r>
  <r>
    <x v="6"/>
    <x v="2"/>
    <s v="DI"/>
    <x v="1"/>
    <x v="2"/>
    <n v="96"/>
    <n v="55"/>
    <n v="41"/>
  </r>
  <r>
    <x v="6"/>
    <x v="3"/>
    <s v="DI"/>
    <x v="1"/>
    <x v="3"/>
    <n v="437"/>
    <n v="304"/>
    <n v="133"/>
  </r>
  <r>
    <x v="6"/>
    <x v="4"/>
    <s v="DI"/>
    <x v="1"/>
    <x v="4"/>
    <n v="242"/>
    <n v="127"/>
    <n v="115"/>
  </r>
  <r>
    <x v="6"/>
    <x v="5"/>
    <s v="DI"/>
    <x v="1"/>
    <x v="5"/>
    <n v="433"/>
    <n v="248"/>
    <n v="185"/>
  </r>
  <r>
    <x v="6"/>
    <x v="6"/>
    <s v="DI"/>
    <x v="1"/>
    <x v="6"/>
    <n v="12"/>
    <n v="9"/>
    <n v="3"/>
  </r>
  <r>
    <x v="6"/>
    <x v="7"/>
    <s v="DI"/>
    <x v="1"/>
    <x v="7"/>
    <n v="385"/>
    <n v="295"/>
    <n v="90"/>
  </r>
  <r>
    <x v="6"/>
    <x v="8"/>
    <s v="DI"/>
    <x v="1"/>
    <x v="8"/>
    <n v="149"/>
    <n v="89"/>
    <n v="60"/>
  </r>
  <r>
    <x v="6"/>
    <x v="9"/>
    <s v="DI"/>
    <x v="1"/>
    <x v="9"/>
    <n v="2474"/>
    <n v="1623"/>
    <n v="851"/>
  </r>
  <r>
    <x v="6"/>
    <x v="10"/>
    <s v="DI"/>
    <x v="1"/>
    <x v="10"/>
    <n v="803"/>
    <n v="411"/>
    <n v="392"/>
  </r>
  <r>
    <x v="6"/>
    <x v="11"/>
    <s v="DI"/>
    <x v="1"/>
    <x v="11"/>
    <n v="383"/>
    <n v="268"/>
    <n v="115"/>
  </r>
  <r>
    <x v="6"/>
    <x v="12"/>
    <s v="DI"/>
    <x v="1"/>
    <x v="12"/>
    <n v="480"/>
    <n v="323"/>
    <n v="157"/>
  </r>
  <r>
    <x v="6"/>
    <x v="13"/>
    <s v="DI"/>
    <x v="1"/>
    <x v="13"/>
    <n v="385"/>
    <n v="238"/>
    <n v="147"/>
  </r>
  <r>
    <x v="6"/>
    <x v="14"/>
    <s v="DI"/>
    <x v="1"/>
    <x v="14"/>
    <n v="114"/>
    <n v="78"/>
    <n v="36"/>
  </r>
  <r>
    <x v="6"/>
    <x v="15"/>
    <s v="DI"/>
    <x v="1"/>
    <x v="15"/>
    <n v="159"/>
    <n v="115"/>
    <n v="44"/>
  </r>
  <r>
    <x v="6"/>
    <x v="16"/>
    <s v="DI"/>
    <x v="1"/>
    <x v="16"/>
    <n v="1107"/>
    <n v="605"/>
    <n v="502"/>
  </r>
  <r>
    <x v="6"/>
    <x v="17"/>
    <s v="DI"/>
    <x v="1"/>
    <x v="17"/>
    <n v="1003"/>
    <n v="503"/>
    <n v="500"/>
  </r>
  <r>
    <x v="6"/>
    <x v="18"/>
    <s v="DI"/>
    <x v="1"/>
    <x v="18"/>
    <n v="1845"/>
    <n v="1038"/>
    <n v="807"/>
  </r>
  <r>
    <x v="6"/>
    <x v="19"/>
    <s v="DI"/>
    <x v="1"/>
    <x v="19"/>
    <n v="2501"/>
    <n v="1432"/>
    <n v="1069"/>
  </r>
  <r>
    <x v="6"/>
    <x v="20"/>
    <s v="DI"/>
    <x v="1"/>
    <x v="20"/>
    <n v="606"/>
    <n v="326"/>
    <n v="280"/>
  </r>
  <r>
    <x v="6"/>
    <x v="21"/>
    <s v="DI"/>
    <x v="1"/>
    <x v="21"/>
    <n v="53"/>
    <n v="28"/>
    <n v="25"/>
  </r>
  <r>
    <x v="6"/>
    <x v="22"/>
    <s v="DI"/>
    <x v="1"/>
    <x v="22"/>
    <n v="1779"/>
    <n v="1197"/>
    <n v="582"/>
  </r>
  <r>
    <x v="6"/>
    <x v="23"/>
    <s v="DI"/>
    <x v="1"/>
    <x v="23"/>
    <n v="254"/>
    <n v="162"/>
    <n v="92"/>
  </r>
  <r>
    <x v="6"/>
    <x v="24"/>
    <s v="AM"/>
    <x v="2"/>
    <x v="24"/>
    <n v="0"/>
    <n v="0"/>
    <n v="0"/>
  </r>
  <r>
    <x v="6"/>
    <x v="25"/>
    <s v="AM"/>
    <x v="2"/>
    <x v="25"/>
    <n v="8"/>
    <n v="5"/>
    <n v="3"/>
  </r>
  <r>
    <x v="6"/>
    <x v="26"/>
    <s v="AM"/>
    <x v="2"/>
    <x v="26"/>
    <n v="297"/>
    <n v="184"/>
    <n v="113"/>
  </r>
  <r>
    <x v="6"/>
    <x v="27"/>
    <s v="AM"/>
    <x v="2"/>
    <x v="27"/>
    <n v="3"/>
    <n v="2"/>
    <n v="1"/>
  </r>
  <r>
    <x v="6"/>
    <x v="28"/>
    <s v="AM"/>
    <x v="2"/>
    <x v="28"/>
    <n v="2"/>
    <n v="2"/>
    <n v="0"/>
  </r>
  <r>
    <x v="6"/>
    <x v="29"/>
    <s v="AM"/>
    <x v="2"/>
    <x v="29"/>
    <n v="0"/>
    <n v="0"/>
    <n v="0"/>
  </r>
  <r>
    <x v="6"/>
    <x v="30"/>
    <s v="AM"/>
    <x v="2"/>
    <x v="30"/>
    <n v="5"/>
    <n v="4"/>
    <n v="1"/>
  </r>
  <r>
    <x v="6"/>
    <x v="31"/>
    <s v="AN"/>
    <x v="3"/>
    <x v="31"/>
    <n v="407"/>
    <n v="274"/>
    <n v="133"/>
  </r>
  <r>
    <x v="6"/>
    <x v="32"/>
    <s v="AN"/>
    <x v="3"/>
    <x v="32"/>
    <n v="77"/>
    <n v="56"/>
    <n v="21"/>
  </r>
  <r>
    <x v="6"/>
    <x v="33"/>
    <s v="AN"/>
    <x v="3"/>
    <x v="33"/>
    <n v="186"/>
    <n v="100"/>
    <n v="86"/>
  </r>
  <r>
    <x v="6"/>
    <x v="34"/>
    <s v="AN"/>
    <x v="3"/>
    <x v="34"/>
    <n v="72"/>
    <n v="54"/>
    <n v="18"/>
  </r>
  <r>
    <x v="6"/>
    <x v="35"/>
    <s v="AN"/>
    <x v="3"/>
    <x v="35"/>
    <n v="82"/>
    <n v="48"/>
    <n v="34"/>
  </r>
  <r>
    <x v="6"/>
    <x v="36"/>
    <s v="AN"/>
    <x v="3"/>
    <x v="36"/>
    <n v="43"/>
    <n v="24"/>
    <n v="19"/>
  </r>
  <r>
    <x v="6"/>
    <x v="37"/>
    <s v="AN"/>
    <x v="3"/>
    <x v="37"/>
    <n v="73"/>
    <n v="44"/>
    <n v="29"/>
  </r>
  <r>
    <x v="6"/>
    <x v="38"/>
    <s v="AN"/>
    <x v="3"/>
    <x v="38"/>
    <n v="95"/>
    <n v="68"/>
    <n v="27"/>
  </r>
  <r>
    <x v="6"/>
    <x v="39"/>
    <s v="AN"/>
    <x v="3"/>
    <x v="39"/>
    <n v="43"/>
    <n v="28"/>
    <n v="15"/>
  </r>
  <r>
    <x v="6"/>
    <x v="40"/>
    <s v="AN"/>
    <x v="3"/>
    <x v="40"/>
    <n v="631"/>
    <n v="385"/>
    <n v="246"/>
  </r>
  <r>
    <x v="6"/>
    <x v="41"/>
    <s v="AN"/>
    <x v="3"/>
    <x v="41"/>
    <n v="29"/>
    <n v="19"/>
    <n v="10"/>
  </r>
  <r>
    <x v="6"/>
    <x v="42"/>
    <s v="AN"/>
    <x v="3"/>
    <x v="42"/>
    <n v="32"/>
    <n v="22"/>
    <n v="10"/>
  </r>
  <r>
    <x v="6"/>
    <x v="43"/>
    <s v="AN"/>
    <x v="3"/>
    <x v="43"/>
    <n v="93"/>
    <n v="54"/>
    <n v="39"/>
  </r>
  <r>
    <x v="6"/>
    <x v="44"/>
    <s v="AN"/>
    <x v="3"/>
    <x v="44"/>
    <n v="250"/>
    <n v="147"/>
    <n v="103"/>
  </r>
  <r>
    <x v="6"/>
    <x v="45"/>
    <s v="AN"/>
    <x v="3"/>
    <x v="45"/>
    <n v="68"/>
    <n v="39"/>
    <n v="29"/>
  </r>
  <r>
    <x v="6"/>
    <x v="46"/>
    <s v="AN"/>
    <x v="3"/>
    <x v="46"/>
    <n v="183"/>
    <n v="105"/>
    <n v="78"/>
  </r>
  <r>
    <x v="6"/>
    <x v="47"/>
    <s v="AN"/>
    <x v="3"/>
    <x v="47"/>
    <n v="40"/>
    <n v="25"/>
    <n v="15"/>
  </r>
  <r>
    <x v="6"/>
    <x v="48"/>
    <s v="AN"/>
    <x v="3"/>
    <x v="48"/>
    <n v="28"/>
    <n v="16"/>
    <n v="12"/>
  </r>
  <r>
    <x v="6"/>
    <x v="49"/>
    <s v="AN"/>
    <x v="3"/>
    <x v="49"/>
    <n v="2219"/>
    <n v="1399"/>
    <n v="820"/>
  </r>
  <r>
    <x v="6"/>
    <x v="50"/>
    <s v="AN"/>
    <x v="3"/>
    <x v="50"/>
    <n v="954"/>
    <n v="594"/>
    <n v="360"/>
  </r>
  <r>
    <x v="6"/>
    <x v="51"/>
    <s v="AN"/>
    <x v="3"/>
    <x v="51"/>
    <n v="22"/>
    <n v="14"/>
    <n v="8"/>
  </r>
  <r>
    <x v="6"/>
    <x v="52"/>
    <s v="AP"/>
    <x v="4"/>
    <x v="52"/>
    <n v="154"/>
    <n v="100"/>
    <n v="54"/>
  </r>
  <r>
    <x v="6"/>
    <x v="53"/>
    <s v="AP"/>
    <x v="4"/>
    <x v="53"/>
    <n v="83"/>
    <n v="55"/>
    <n v="28"/>
  </r>
  <r>
    <x v="6"/>
    <x v="54"/>
    <s v="AP"/>
    <x v="4"/>
    <x v="54"/>
    <n v="55"/>
    <n v="41"/>
    <n v="14"/>
  </r>
  <r>
    <x v="6"/>
    <x v="55"/>
    <s v="AP"/>
    <x v="4"/>
    <x v="55"/>
    <n v="314"/>
    <n v="211"/>
    <n v="103"/>
  </r>
  <r>
    <x v="6"/>
    <x v="56"/>
    <s v="AP"/>
    <x v="4"/>
    <x v="56"/>
    <n v="42"/>
    <n v="24"/>
    <n v="18"/>
  </r>
  <r>
    <x v="6"/>
    <x v="57"/>
    <s v="AP"/>
    <x v="4"/>
    <x v="57"/>
    <n v="51"/>
    <n v="31"/>
    <n v="20"/>
  </r>
  <r>
    <x v="6"/>
    <x v="58"/>
    <s v="AP"/>
    <x v="4"/>
    <x v="58"/>
    <n v="1060"/>
    <n v="618"/>
    <n v="442"/>
  </r>
  <r>
    <x v="6"/>
    <x v="59"/>
    <s v="AR"/>
    <x v="5"/>
    <x v="59"/>
    <n v="175"/>
    <n v="119"/>
    <n v="56"/>
  </r>
  <r>
    <x v="6"/>
    <x v="60"/>
    <s v="AR"/>
    <x v="5"/>
    <x v="60"/>
    <n v="70"/>
    <n v="47"/>
    <n v="23"/>
  </r>
  <r>
    <x v="6"/>
    <x v="61"/>
    <s v="AR"/>
    <x v="5"/>
    <x v="61"/>
    <n v="228"/>
    <n v="147"/>
    <n v="81"/>
  </r>
  <r>
    <x v="6"/>
    <x v="62"/>
    <s v="AR"/>
    <x v="5"/>
    <x v="62"/>
    <n v="4301"/>
    <n v="2470"/>
    <n v="1831"/>
  </r>
  <r>
    <x v="6"/>
    <x v="63"/>
    <s v="AR"/>
    <x v="5"/>
    <x v="63"/>
    <n v="100"/>
    <n v="71"/>
    <n v="29"/>
  </r>
  <r>
    <x v="6"/>
    <x v="64"/>
    <s v="AR"/>
    <x v="5"/>
    <x v="64"/>
    <n v="905"/>
    <n v="562"/>
    <n v="343"/>
  </r>
  <r>
    <x v="6"/>
    <x v="65"/>
    <s v="AR"/>
    <x v="5"/>
    <x v="65"/>
    <n v="143"/>
    <n v="100"/>
    <n v="43"/>
  </r>
  <r>
    <x v="6"/>
    <x v="66"/>
    <s v="AR"/>
    <x v="5"/>
    <x v="66"/>
    <n v="511"/>
    <n v="319"/>
    <n v="192"/>
  </r>
  <r>
    <x v="6"/>
    <x v="67"/>
    <s v="AR"/>
    <x v="5"/>
    <x v="67"/>
    <n v="283"/>
    <n v="152"/>
    <n v="131"/>
  </r>
  <r>
    <x v="6"/>
    <x v="68"/>
    <s v="AR"/>
    <x v="5"/>
    <x v="68"/>
    <n v="37"/>
    <n v="27"/>
    <n v="10"/>
  </r>
  <r>
    <x v="6"/>
    <x v="69"/>
    <s v="AR"/>
    <x v="5"/>
    <x v="69"/>
    <n v="104"/>
    <n v="66"/>
    <n v="38"/>
  </r>
  <r>
    <x v="6"/>
    <x v="70"/>
    <s v="AR"/>
    <x v="5"/>
    <x v="70"/>
    <n v="73"/>
    <n v="49"/>
    <n v="24"/>
  </r>
  <r>
    <x v="6"/>
    <x v="71"/>
    <s v="AR"/>
    <x v="5"/>
    <x v="71"/>
    <n v="543"/>
    <n v="369"/>
    <n v="174"/>
  </r>
  <r>
    <x v="6"/>
    <x v="72"/>
    <s v="AR"/>
    <x v="5"/>
    <x v="72"/>
    <n v="141"/>
    <n v="105"/>
    <n v="36"/>
  </r>
  <r>
    <x v="6"/>
    <x v="73"/>
    <s v="AR"/>
    <x v="5"/>
    <x v="73"/>
    <n v="447"/>
    <n v="305"/>
    <n v="142"/>
  </r>
  <r>
    <x v="6"/>
    <x v="74"/>
    <s v="AR"/>
    <x v="5"/>
    <x v="74"/>
    <n v="53"/>
    <n v="37"/>
    <n v="16"/>
  </r>
  <r>
    <x v="6"/>
    <x v="75"/>
    <s v="AR"/>
    <x v="5"/>
    <x v="75"/>
    <n v="53"/>
    <n v="29"/>
    <n v="24"/>
  </r>
  <r>
    <x v="6"/>
    <x v="76"/>
    <s v="AR"/>
    <x v="5"/>
    <x v="76"/>
    <n v="462"/>
    <n v="298"/>
    <n v="164"/>
  </r>
  <r>
    <x v="6"/>
    <x v="77"/>
    <s v="BA"/>
    <x v="6"/>
    <x v="77"/>
    <n v="128"/>
    <n v="85"/>
    <n v="43"/>
  </r>
  <r>
    <x v="6"/>
    <x v="78"/>
    <s v="BA"/>
    <x v="6"/>
    <x v="78"/>
    <n v="42"/>
    <n v="38"/>
    <n v="4"/>
  </r>
  <r>
    <x v="6"/>
    <x v="79"/>
    <s v="BA"/>
    <x v="6"/>
    <x v="79"/>
    <n v="260"/>
    <n v="198"/>
    <n v="62"/>
  </r>
  <r>
    <x v="6"/>
    <x v="80"/>
    <s v="BA"/>
    <x v="6"/>
    <x v="80"/>
    <n v="39"/>
    <n v="24"/>
    <n v="15"/>
  </r>
  <r>
    <x v="6"/>
    <x v="81"/>
    <s v="BA"/>
    <x v="6"/>
    <x v="81"/>
    <n v="2047"/>
    <n v="1324"/>
    <n v="723"/>
  </r>
  <r>
    <x v="6"/>
    <x v="82"/>
    <s v="BA"/>
    <x v="6"/>
    <x v="59"/>
    <n v="171"/>
    <n v="107"/>
    <n v="64"/>
  </r>
  <r>
    <x v="6"/>
    <x v="83"/>
    <s v="BA"/>
    <x v="6"/>
    <x v="82"/>
    <n v="92"/>
    <n v="65"/>
    <n v="27"/>
  </r>
  <r>
    <x v="6"/>
    <x v="84"/>
    <s v="BA"/>
    <x v="6"/>
    <x v="83"/>
    <n v="227"/>
    <n v="144"/>
    <n v="83"/>
  </r>
  <r>
    <x v="6"/>
    <x v="85"/>
    <s v="BA"/>
    <x v="6"/>
    <x v="84"/>
    <n v="82"/>
    <n v="61"/>
    <n v="21"/>
  </r>
  <r>
    <x v="6"/>
    <x v="86"/>
    <s v="BA"/>
    <x v="6"/>
    <x v="85"/>
    <n v="181"/>
    <n v="119"/>
    <n v="62"/>
  </r>
  <r>
    <x v="6"/>
    <x v="87"/>
    <s v="BA"/>
    <x v="6"/>
    <x v="86"/>
    <n v="131"/>
    <n v="84"/>
    <n v="47"/>
  </r>
  <r>
    <x v="6"/>
    <x v="88"/>
    <s v="BA"/>
    <x v="6"/>
    <x v="87"/>
    <n v="37"/>
    <n v="24"/>
    <n v="13"/>
  </r>
  <r>
    <x v="6"/>
    <x v="89"/>
    <s v="BO"/>
    <x v="7"/>
    <x v="88"/>
    <n v="3714"/>
    <n v="2394"/>
    <n v="1320"/>
  </r>
  <r>
    <x v="6"/>
    <x v="90"/>
    <s v="BO"/>
    <x v="7"/>
    <x v="89"/>
    <n v="181"/>
    <n v="118"/>
    <n v="63"/>
  </r>
  <r>
    <x v="6"/>
    <x v="91"/>
    <s v="BO"/>
    <x v="7"/>
    <x v="90"/>
    <n v="61"/>
    <n v="39"/>
    <n v="22"/>
  </r>
  <r>
    <x v="6"/>
    <x v="92"/>
    <s v="BO"/>
    <x v="7"/>
    <x v="91"/>
    <n v="79"/>
    <n v="51"/>
    <n v="28"/>
  </r>
  <r>
    <x v="6"/>
    <x v="93"/>
    <s v="BO"/>
    <x v="7"/>
    <x v="92"/>
    <n v="2211"/>
    <n v="1398"/>
    <n v="813"/>
  </r>
  <r>
    <x v="6"/>
    <x v="94"/>
    <s v="BO"/>
    <x v="7"/>
    <x v="93"/>
    <n v="33"/>
    <n v="19"/>
    <n v="14"/>
  </r>
  <r>
    <x v="6"/>
    <x v="95"/>
    <s v="BO"/>
    <x v="7"/>
    <x v="94"/>
    <n v="364"/>
    <n v="235"/>
    <n v="129"/>
  </r>
  <r>
    <x v="6"/>
    <x v="96"/>
    <s v="BO"/>
    <x v="7"/>
    <x v="95"/>
    <n v="44"/>
    <n v="30"/>
    <n v="14"/>
  </r>
  <r>
    <x v="6"/>
    <x v="97"/>
    <s v="BO"/>
    <x v="7"/>
    <x v="96"/>
    <n v="88"/>
    <n v="63"/>
    <n v="25"/>
  </r>
  <r>
    <x v="6"/>
    <x v="98"/>
    <s v="BO"/>
    <x v="7"/>
    <x v="97"/>
    <n v="139"/>
    <n v="104"/>
    <n v="35"/>
  </r>
  <r>
    <x v="6"/>
    <x v="99"/>
    <s v="BO"/>
    <x v="7"/>
    <x v="73"/>
    <n v="16"/>
    <n v="12"/>
    <n v="4"/>
  </r>
  <r>
    <x v="6"/>
    <x v="100"/>
    <s v="CA"/>
    <x v="8"/>
    <x v="98"/>
    <n v="242"/>
    <n v="147"/>
    <n v="95"/>
  </r>
  <r>
    <x v="6"/>
    <x v="101"/>
    <s v="CA"/>
    <x v="8"/>
    <x v="99"/>
    <n v="453"/>
    <n v="305"/>
    <n v="148"/>
  </r>
  <r>
    <x v="6"/>
    <x v="102"/>
    <s v="CA"/>
    <x v="8"/>
    <x v="100"/>
    <n v="464"/>
    <n v="325"/>
    <n v="139"/>
  </r>
  <r>
    <x v="6"/>
    <x v="103"/>
    <s v="CA"/>
    <x v="8"/>
    <x v="101"/>
    <n v="535"/>
    <n v="351"/>
    <n v="184"/>
  </r>
  <r>
    <x v="6"/>
    <x v="104"/>
    <s v="CA"/>
    <x v="8"/>
    <x v="102"/>
    <n v="241"/>
    <n v="161"/>
    <n v="80"/>
  </r>
  <r>
    <x v="6"/>
    <x v="105"/>
    <s v="CA"/>
    <x v="8"/>
    <x v="66"/>
    <n v="563"/>
    <n v="429"/>
    <n v="134"/>
  </r>
  <r>
    <x v="6"/>
    <x v="106"/>
    <s v="CA"/>
    <x v="8"/>
    <x v="103"/>
    <n v="341"/>
    <n v="238"/>
    <n v="103"/>
  </r>
  <r>
    <x v="6"/>
    <x v="107"/>
    <s v="CA"/>
    <x v="8"/>
    <x v="104"/>
    <n v="93"/>
    <n v="57"/>
    <n v="36"/>
  </r>
  <r>
    <x v="6"/>
    <x v="108"/>
    <s v="CA"/>
    <x v="8"/>
    <x v="105"/>
    <n v="39"/>
    <n v="23"/>
    <n v="16"/>
  </r>
  <r>
    <x v="6"/>
    <x v="109"/>
    <s v="CA"/>
    <x v="8"/>
    <x v="106"/>
    <n v="1663"/>
    <n v="953"/>
    <n v="710"/>
  </r>
  <r>
    <x v="6"/>
    <x v="110"/>
    <s v="CA"/>
    <x v="8"/>
    <x v="107"/>
    <n v="1222"/>
    <n v="783"/>
    <n v="439"/>
  </r>
  <r>
    <x v="6"/>
    <x v="111"/>
    <s v="CA"/>
    <x v="8"/>
    <x v="108"/>
    <n v="267"/>
    <n v="149"/>
    <n v="118"/>
  </r>
  <r>
    <x v="6"/>
    <x v="112"/>
    <s v="CA"/>
    <x v="8"/>
    <x v="109"/>
    <n v="141"/>
    <n v="98"/>
    <n v="43"/>
  </r>
  <r>
    <x v="6"/>
    <x v="113"/>
    <s v="CA"/>
    <x v="8"/>
    <x v="110"/>
    <n v="5263"/>
    <n v="3297"/>
    <n v="1966"/>
  </r>
  <r>
    <x v="6"/>
    <x v="114"/>
    <s v="CO"/>
    <x v="9"/>
    <x v="111"/>
    <n v="30"/>
    <n v="24"/>
    <n v="6"/>
  </r>
  <r>
    <x v="6"/>
    <x v="115"/>
    <s v="CO"/>
    <x v="9"/>
    <x v="112"/>
    <n v="338"/>
    <n v="213"/>
    <n v="125"/>
  </r>
  <r>
    <x v="6"/>
    <x v="116"/>
    <s v="CO"/>
    <x v="9"/>
    <x v="62"/>
    <n v="32"/>
    <n v="20"/>
    <n v="12"/>
  </r>
  <r>
    <x v="6"/>
    <x v="117"/>
    <s v="CO"/>
    <x v="9"/>
    <x v="113"/>
    <n v="19"/>
    <n v="12"/>
    <n v="7"/>
  </r>
  <r>
    <x v="6"/>
    <x v="118"/>
    <s v="CO"/>
    <x v="9"/>
    <x v="114"/>
    <n v="43"/>
    <n v="31"/>
    <n v="12"/>
  </r>
  <r>
    <x v="6"/>
    <x v="119"/>
    <s v="CO"/>
    <x v="9"/>
    <x v="115"/>
    <n v="49"/>
    <n v="34"/>
    <n v="15"/>
  </r>
  <r>
    <x v="6"/>
    <x v="120"/>
    <s v="CO"/>
    <x v="9"/>
    <x v="57"/>
    <n v="36"/>
    <n v="21"/>
    <n v="15"/>
  </r>
  <r>
    <x v="6"/>
    <x v="121"/>
    <s v="CO"/>
    <x v="9"/>
    <x v="116"/>
    <n v="665"/>
    <n v="413"/>
    <n v="252"/>
  </r>
  <r>
    <x v="6"/>
    <x v="122"/>
    <s v="CO"/>
    <x v="9"/>
    <x v="117"/>
    <n v="110"/>
    <n v="82"/>
    <n v="28"/>
  </r>
  <r>
    <x v="6"/>
    <x v="123"/>
    <s v="DE"/>
    <x v="10"/>
    <x v="118"/>
    <n v="39"/>
    <n v="28"/>
    <n v="11"/>
  </r>
  <r>
    <x v="6"/>
    <x v="124"/>
    <s v="DE"/>
    <x v="10"/>
    <x v="119"/>
    <n v="58"/>
    <n v="39"/>
    <n v="19"/>
  </r>
  <r>
    <x v="6"/>
    <x v="125"/>
    <s v="DE"/>
    <x v="10"/>
    <x v="120"/>
    <n v="39"/>
    <n v="21"/>
    <n v="18"/>
  </r>
  <r>
    <x v="6"/>
    <x v="126"/>
    <s v="DE"/>
    <x v="10"/>
    <x v="121"/>
    <n v="405"/>
    <n v="259"/>
    <n v="146"/>
  </r>
  <r>
    <x v="6"/>
    <x v="127"/>
    <s v="FA"/>
    <x v="11"/>
    <x v="122"/>
    <n v="28"/>
    <n v="13"/>
    <n v="15"/>
  </r>
  <r>
    <x v="6"/>
    <x v="128"/>
    <s v="FA"/>
    <x v="11"/>
    <x v="59"/>
    <n v="16"/>
    <n v="8"/>
    <n v="8"/>
  </r>
  <r>
    <x v="6"/>
    <x v="129"/>
    <s v="FA"/>
    <x v="11"/>
    <x v="123"/>
    <n v="52"/>
    <n v="35"/>
    <n v="17"/>
  </r>
  <r>
    <x v="6"/>
    <x v="130"/>
    <s v="FA"/>
    <x v="11"/>
    <x v="124"/>
    <n v="28"/>
    <n v="21"/>
    <n v="7"/>
  </r>
  <r>
    <x v="6"/>
    <x v="131"/>
    <s v="FA"/>
    <x v="11"/>
    <x v="125"/>
    <n v="980"/>
    <n v="585"/>
    <n v="395"/>
  </r>
  <r>
    <x v="6"/>
    <x v="132"/>
    <s v="FA"/>
    <x v="11"/>
    <x v="126"/>
    <n v="52"/>
    <n v="32"/>
    <n v="20"/>
  </r>
  <r>
    <x v="6"/>
    <x v="133"/>
    <s v="FA"/>
    <x v="11"/>
    <x v="127"/>
    <n v="66"/>
    <n v="39"/>
    <n v="27"/>
  </r>
  <r>
    <x v="6"/>
    <x v="134"/>
    <s v="FA"/>
    <x v="11"/>
    <x v="128"/>
    <n v="24"/>
    <n v="16"/>
    <n v="8"/>
  </r>
  <r>
    <x v="6"/>
    <x v="135"/>
    <s v="FA"/>
    <x v="11"/>
    <x v="112"/>
    <n v="97"/>
    <n v="65"/>
    <n v="32"/>
  </r>
  <r>
    <x v="6"/>
    <x v="136"/>
    <s v="FA"/>
    <x v="11"/>
    <x v="129"/>
    <n v="93"/>
    <n v="62"/>
    <n v="31"/>
  </r>
  <r>
    <x v="6"/>
    <x v="137"/>
    <s v="FA"/>
    <x v="11"/>
    <x v="130"/>
    <n v="13"/>
    <n v="6"/>
    <n v="7"/>
  </r>
  <r>
    <x v="6"/>
    <x v="138"/>
    <s v="FA"/>
    <x v="11"/>
    <x v="131"/>
    <n v="89"/>
    <n v="51"/>
    <n v="38"/>
  </r>
  <r>
    <x v="6"/>
    <x v="139"/>
    <s v="FA"/>
    <x v="11"/>
    <x v="132"/>
    <n v="75"/>
    <n v="45"/>
    <n v="30"/>
  </r>
  <r>
    <x v="6"/>
    <x v="140"/>
    <s v="FA"/>
    <x v="11"/>
    <x v="104"/>
    <n v="1175"/>
    <n v="688"/>
    <n v="487"/>
  </r>
  <r>
    <x v="6"/>
    <x v="141"/>
    <s v="FA"/>
    <x v="11"/>
    <x v="133"/>
    <n v="66"/>
    <n v="39"/>
    <n v="27"/>
  </r>
  <r>
    <x v="6"/>
    <x v="142"/>
    <s v="FA"/>
    <x v="11"/>
    <x v="134"/>
    <n v="4"/>
    <n v="4"/>
    <n v="0"/>
  </r>
  <r>
    <x v="6"/>
    <x v="143"/>
    <s v="FA"/>
    <x v="11"/>
    <x v="135"/>
    <n v="11"/>
    <n v="9"/>
    <n v="2"/>
  </r>
  <r>
    <x v="6"/>
    <x v="144"/>
    <s v="FA"/>
    <x v="11"/>
    <x v="45"/>
    <n v="40"/>
    <n v="26"/>
    <n v="14"/>
  </r>
  <r>
    <x v="6"/>
    <x v="145"/>
    <s v="FA"/>
    <x v="11"/>
    <x v="136"/>
    <n v="32"/>
    <n v="19"/>
    <n v="13"/>
  </r>
  <r>
    <x v="6"/>
    <x v="146"/>
    <s v="FA"/>
    <x v="11"/>
    <x v="137"/>
    <n v="190"/>
    <n v="131"/>
    <n v="59"/>
  </r>
  <r>
    <x v="6"/>
    <x v="147"/>
    <s v="FA"/>
    <x v="11"/>
    <x v="73"/>
    <n v="18"/>
    <n v="7"/>
    <n v="11"/>
  </r>
  <r>
    <x v="6"/>
    <x v="148"/>
    <s v="FA"/>
    <x v="11"/>
    <x v="138"/>
    <n v="19"/>
    <n v="12"/>
    <n v="7"/>
  </r>
  <r>
    <x v="6"/>
    <x v="149"/>
    <s v="FA"/>
    <x v="11"/>
    <x v="139"/>
    <n v="28"/>
    <n v="17"/>
    <n v="11"/>
  </r>
  <r>
    <x v="6"/>
    <x v="150"/>
    <s v="FA"/>
    <x v="11"/>
    <x v="140"/>
    <n v="27"/>
    <n v="13"/>
    <n v="14"/>
  </r>
  <r>
    <x v="6"/>
    <x v="151"/>
    <s v="FA"/>
    <x v="11"/>
    <x v="76"/>
    <n v="88"/>
    <n v="50"/>
    <n v="38"/>
  </r>
  <r>
    <x v="6"/>
    <x v="152"/>
    <s v="GU"/>
    <x v="12"/>
    <x v="141"/>
    <n v="54"/>
    <n v="33"/>
    <n v="21"/>
  </r>
  <r>
    <x v="6"/>
    <x v="153"/>
    <s v="GU"/>
    <x v="12"/>
    <x v="142"/>
    <n v="38"/>
    <n v="28"/>
    <n v="10"/>
  </r>
  <r>
    <x v="6"/>
    <x v="154"/>
    <s v="GU"/>
    <x v="12"/>
    <x v="143"/>
    <n v="63"/>
    <n v="45"/>
    <n v="18"/>
  </r>
  <r>
    <x v="6"/>
    <x v="155"/>
    <s v="GU"/>
    <x v="12"/>
    <x v="144"/>
    <n v="31"/>
    <n v="18"/>
    <n v="13"/>
  </r>
  <r>
    <x v="6"/>
    <x v="156"/>
    <s v="GU"/>
    <x v="12"/>
    <x v="145"/>
    <n v="633"/>
    <n v="402"/>
    <n v="231"/>
  </r>
  <r>
    <x v="6"/>
    <x v="157"/>
    <s v="GU"/>
    <x v="12"/>
    <x v="146"/>
    <n v="88"/>
    <n v="56"/>
    <n v="32"/>
  </r>
  <r>
    <x v="6"/>
    <x v="158"/>
    <s v="GU"/>
    <x v="12"/>
    <x v="147"/>
    <n v="124"/>
    <n v="90"/>
    <n v="34"/>
  </r>
  <r>
    <x v="6"/>
    <x v="159"/>
    <s v="GU"/>
    <x v="12"/>
    <x v="104"/>
    <n v="627"/>
    <n v="388"/>
    <n v="239"/>
  </r>
  <r>
    <x v="6"/>
    <x v="160"/>
    <s v="GU"/>
    <x v="12"/>
    <x v="148"/>
    <n v="358"/>
    <n v="235"/>
    <n v="123"/>
  </r>
  <r>
    <x v="6"/>
    <x v="161"/>
    <s v="GU"/>
    <x v="12"/>
    <x v="149"/>
    <n v="51"/>
    <n v="40"/>
    <n v="11"/>
  </r>
  <r>
    <x v="6"/>
    <x v="162"/>
    <s v="GU"/>
    <x v="12"/>
    <x v="150"/>
    <n v="81"/>
    <n v="46"/>
    <n v="35"/>
  </r>
  <r>
    <x v="6"/>
    <x v="163"/>
    <s v="GU"/>
    <x v="12"/>
    <x v="96"/>
    <n v="938"/>
    <n v="582"/>
    <n v="356"/>
  </r>
  <r>
    <x v="6"/>
    <x v="164"/>
    <s v="GU"/>
    <x v="12"/>
    <x v="151"/>
    <n v="31"/>
    <n v="20"/>
    <n v="11"/>
  </r>
  <r>
    <x v="6"/>
    <x v="165"/>
    <s v="GU"/>
    <x v="12"/>
    <x v="152"/>
    <n v="39"/>
    <n v="33"/>
    <n v="6"/>
  </r>
  <r>
    <x v="6"/>
    <x v="166"/>
    <s v="GU"/>
    <x v="12"/>
    <x v="153"/>
    <n v="230"/>
    <n v="116"/>
    <n v="114"/>
  </r>
  <r>
    <x v="6"/>
    <x v="167"/>
    <s v="LA"/>
    <x v="13"/>
    <x v="154"/>
    <n v="111"/>
    <n v="78"/>
    <n v="33"/>
  </r>
  <r>
    <x v="6"/>
    <x v="168"/>
    <s v="LA"/>
    <x v="13"/>
    <x v="155"/>
    <n v="119"/>
    <n v="70"/>
    <n v="49"/>
  </r>
  <r>
    <x v="6"/>
    <x v="169"/>
    <s v="LA"/>
    <x v="13"/>
    <x v="156"/>
    <n v="6513"/>
    <n v="3839"/>
    <n v="2674"/>
  </r>
  <r>
    <x v="6"/>
    <x v="170"/>
    <s v="LA"/>
    <x v="13"/>
    <x v="157"/>
    <n v="265"/>
    <n v="180"/>
    <n v="85"/>
  </r>
  <r>
    <x v="6"/>
    <x v="171"/>
    <s v="LA"/>
    <x v="13"/>
    <x v="158"/>
    <n v="334"/>
    <n v="197"/>
    <n v="137"/>
  </r>
  <r>
    <x v="6"/>
    <x v="172"/>
    <s v="LA"/>
    <x v="13"/>
    <x v="159"/>
    <n v="318"/>
    <n v="168"/>
    <n v="150"/>
  </r>
  <r>
    <x v="6"/>
    <x v="173"/>
    <s v="LA"/>
    <x v="13"/>
    <x v="160"/>
    <n v="67"/>
    <n v="46"/>
    <n v="21"/>
  </r>
  <r>
    <x v="6"/>
    <x v="174"/>
    <s v="LA"/>
    <x v="13"/>
    <x v="161"/>
    <n v="640"/>
    <n v="395"/>
    <n v="245"/>
  </r>
  <r>
    <x v="6"/>
    <x v="175"/>
    <s v="LA"/>
    <x v="13"/>
    <x v="75"/>
    <n v="175"/>
    <n v="95"/>
    <n v="80"/>
  </r>
  <r>
    <x v="6"/>
    <x v="176"/>
    <s v="ME"/>
    <x v="14"/>
    <x v="162"/>
    <n v="554"/>
    <n v="381"/>
    <n v="173"/>
  </r>
  <r>
    <x v="6"/>
    <x v="177"/>
    <s v="ME"/>
    <x v="14"/>
    <x v="163"/>
    <n v="52"/>
    <n v="34"/>
    <n v="18"/>
  </r>
  <r>
    <x v="6"/>
    <x v="178"/>
    <s v="ME"/>
    <x v="14"/>
    <x v="164"/>
    <n v="73"/>
    <n v="49"/>
    <n v="24"/>
  </r>
  <r>
    <x v="6"/>
    <x v="179"/>
    <s v="ME"/>
    <x v="14"/>
    <x v="165"/>
    <n v="20"/>
    <n v="13"/>
    <n v="7"/>
  </r>
  <r>
    <x v="6"/>
    <x v="180"/>
    <s v="ME"/>
    <x v="14"/>
    <x v="166"/>
    <n v="28"/>
    <n v="18"/>
    <n v="10"/>
  </r>
  <r>
    <x v="6"/>
    <x v="181"/>
    <s v="ME"/>
    <x v="14"/>
    <x v="167"/>
    <n v="265"/>
    <n v="174"/>
    <n v="91"/>
  </r>
  <r>
    <x v="6"/>
    <x v="182"/>
    <s v="ME"/>
    <x v="14"/>
    <x v="168"/>
    <n v="36"/>
    <n v="19"/>
    <n v="17"/>
  </r>
  <r>
    <x v="6"/>
    <x v="183"/>
    <s v="ME"/>
    <x v="14"/>
    <x v="169"/>
    <n v="87"/>
    <n v="55"/>
    <n v="32"/>
  </r>
  <r>
    <x v="6"/>
    <x v="184"/>
    <s v="ME"/>
    <x v="14"/>
    <x v="170"/>
    <n v="43"/>
    <n v="26"/>
    <n v="17"/>
  </r>
  <r>
    <x v="6"/>
    <x v="185"/>
    <s v="ME"/>
    <x v="14"/>
    <x v="171"/>
    <n v="48"/>
    <n v="28"/>
    <n v="20"/>
  </r>
  <r>
    <x v="6"/>
    <x v="186"/>
    <s v="ME"/>
    <x v="14"/>
    <x v="172"/>
    <n v="13"/>
    <n v="10"/>
    <n v="3"/>
  </r>
  <r>
    <x v="6"/>
    <x v="187"/>
    <s v="ME"/>
    <x v="14"/>
    <x v="66"/>
    <n v="2192"/>
    <s v="1250"/>
    <n v="942"/>
  </r>
  <r>
    <x v="6"/>
    <x v="188"/>
    <s v="ME"/>
    <x v="14"/>
    <x v="104"/>
    <n v="77"/>
    <n v="49"/>
    <n v="28"/>
  </r>
  <r>
    <x v="6"/>
    <x v="189"/>
    <s v="ME"/>
    <x v="14"/>
    <x v="173"/>
    <n v="109"/>
    <n v="72"/>
    <n v="37"/>
  </r>
  <r>
    <x v="6"/>
    <x v="190"/>
    <s v="ME"/>
    <x v="14"/>
    <x v="174"/>
    <n v="13"/>
    <n v="7"/>
    <n v="6"/>
  </r>
  <r>
    <x v="6"/>
    <x v="191"/>
    <s v="ME"/>
    <x v="14"/>
    <x v="175"/>
    <n v="50"/>
    <n v="32"/>
    <n v="18"/>
  </r>
  <r>
    <x v="6"/>
    <x v="192"/>
    <s v="ME"/>
    <x v="14"/>
    <x v="176"/>
    <n v="56"/>
    <n v="36"/>
    <n v="20"/>
  </r>
  <r>
    <x v="6"/>
    <x v="193"/>
    <s v="ME"/>
    <x v="14"/>
    <x v="177"/>
    <n v="60"/>
    <n v="29"/>
    <n v="31"/>
  </r>
  <r>
    <x v="6"/>
    <x v="194"/>
    <s v="ME"/>
    <x v="14"/>
    <x v="178"/>
    <n v="51"/>
    <n v="34"/>
    <n v="17"/>
  </r>
  <r>
    <x v="6"/>
    <x v="195"/>
    <s v="ME"/>
    <x v="14"/>
    <x v="73"/>
    <n v="174"/>
    <n v="106"/>
    <n v="68"/>
  </r>
  <r>
    <x v="6"/>
    <x v="196"/>
    <s v="ME"/>
    <x v="14"/>
    <x v="74"/>
    <n v="176"/>
    <n v="101"/>
    <n v="75"/>
  </r>
  <r>
    <x v="6"/>
    <x v="197"/>
    <s v="ME"/>
    <x v="14"/>
    <x v="179"/>
    <n v="104"/>
    <n v="65"/>
    <n v="39"/>
  </r>
  <r>
    <x v="6"/>
    <x v="198"/>
    <s v="ME"/>
    <x v="14"/>
    <x v="180"/>
    <n v="38"/>
    <n v="20"/>
    <n v="18"/>
  </r>
  <r>
    <x v="6"/>
    <x v="199"/>
    <s v="MI"/>
    <x v="15"/>
    <x v="181"/>
    <n v="414"/>
    <n v="296"/>
    <n v="118"/>
  </r>
  <r>
    <x v="6"/>
    <x v="200"/>
    <s v="MI"/>
    <x v="15"/>
    <x v="163"/>
    <n v="71"/>
    <n v="51"/>
    <n v="20"/>
  </r>
  <r>
    <x v="6"/>
    <x v="201"/>
    <s v="MI"/>
    <x v="15"/>
    <x v="182"/>
    <n v="1840"/>
    <n v="960"/>
    <n v="880"/>
  </r>
  <r>
    <x v="6"/>
    <x v="202"/>
    <s v="MI"/>
    <x v="15"/>
    <x v="183"/>
    <n v="299"/>
    <n v="209"/>
    <n v="90"/>
  </r>
  <r>
    <x v="6"/>
    <x v="203"/>
    <s v="MI"/>
    <x v="15"/>
    <x v="184"/>
    <n v="93"/>
    <n v="60"/>
    <n v="33"/>
  </r>
  <r>
    <x v="6"/>
    <x v="204"/>
    <s v="MI"/>
    <x v="15"/>
    <x v="185"/>
    <n v="146"/>
    <n v="94"/>
    <n v="52"/>
  </r>
  <r>
    <x v="6"/>
    <x v="205"/>
    <s v="MI"/>
    <x v="15"/>
    <x v="186"/>
    <n v="834"/>
    <n v="425"/>
    <n v="409"/>
  </r>
  <r>
    <x v="6"/>
    <x v="206"/>
    <s v="MI"/>
    <x v="15"/>
    <x v="187"/>
    <n v="461"/>
    <n v="329"/>
    <n v="132"/>
  </r>
  <r>
    <x v="6"/>
    <x v="207"/>
    <s v="MI"/>
    <x v="15"/>
    <x v="188"/>
    <n v="150"/>
    <n v="76"/>
    <n v="74"/>
  </r>
  <r>
    <x v="6"/>
    <x v="208"/>
    <s v="MI"/>
    <x v="15"/>
    <x v="189"/>
    <n v="1385"/>
    <n v="887"/>
    <n v="498"/>
  </r>
  <r>
    <x v="6"/>
    <x v="209"/>
    <s v="MI"/>
    <x v="15"/>
    <x v="38"/>
    <n v="559"/>
    <n v="382"/>
    <n v="177"/>
  </r>
  <r>
    <x v="6"/>
    <x v="210"/>
    <s v="MI"/>
    <x v="15"/>
    <x v="190"/>
    <n v="631"/>
    <n v="435"/>
    <n v="196"/>
  </r>
  <r>
    <x v="6"/>
    <x v="211"/>
    <s v="MI"/>
    <x v="15"/>
    <x v="191"/>
    <n v="211"/>
    <n v="122"/>
    <n v="89"/>
  </r>
  <r>
    <x v="6"/>
    <x v="212"/>
    <s v="MI"/>
    <x v="15"/>
    <x v="55"/>
    <n v="168"/>
    <n v="110"/>
    <n v="58"/>
  </r>
  <r>
    <x v="6"/>
    <x v="213"/>
    <s v="MI"/>
    <x v="15"/>
    <x v="192"/>
    <n v="348"/>
    <n v="260"/>
    <n v="88"/>
  </r>
  <r>
    <x v="6"/>
    <x v="214"/>
    <s v="MI"/>
    <x v="15"/>
    <x v="193"/>
    <n v="58"/>
    <n v="37"/>
    <n v="21"/>
  </r>
  <r>
    <x v="6"/>
    <x v="215"/>
    <s v="MI"/>
    <x v="15"/>
    <x v="194"/>
    <n v="817"/>
    <n v="556"/>
    <n v="261"/>
  </r>
  <r>
    <x v="6"/>
    <x v="216"/>
    <s v="MI"/>
    <x v="15"/>
    <x v="49"/>
    <n v="130"/>
    <n v="96"/>
    <n v="34"/>
  </r>
  <r>
    <x v="6"/>
    <x v="217"/>
    <s v="MI"/>
    <x v="15"/>
    <x v="73"/>
    <n v="3677"/>
    <n v="2414"/>
    <n v="1263"/>
  </r>
  <r>
    <x v="6"/>
    <x v="218"/>
    <s v="MI"/>
    <x v="15"/>
    <x v="75"/>
    <n v="478"/>
    <n v="326"/>
    <n v="152"/>
  </r>
  <r>
    <x v="6"/>
    <x v="219"/>
    <s v="MI"/>
    <x v="15"/>
    <x v="76"/>
    <n v="605"/>
    <n v="403"/>
    <n v="202"/>
  </r>
  <r>
    <x v="6"/>
    <x v="220"/>
    <s v="MO"/>
    <x v="16"/>
    <x v="122"/>
    <n v="51"/>
    <n v="37"/>
    <n v="14"/>
  </r>
  <r>
    <x v="6"/>
    <x v="221"/>
    <s v="MO"/>
    <x v="16"/>
    <x v="195"/>
    <n v="34"/>
    <n v="16"/>
    <n v="18"/>
  </r>
  <r>
    <x v="6"/>
    <x v="222"/>
    <s v="MO"/>
    <x v="16"/>
    <x v="59"/>
    <n v="112"/>
    <n v="60"/>
    <n v="52"/>
  </r>
  <r>
    <x v="6"/>
    <x v="223"/>
    <s v="MO"/>
    <x v="16"/>
    <x v="196"/>
    <n v="90"/>
    <n v="54"/>
    <n v="36"/>
  </r>
  <r>
    <x v="6"/>
    <x v="224"/>
    <s v="MO"/>
    <x v="16"/>
    <x v="89"/>
    <n v="89"/>
    <n v="59"/>
    <n v="30"/>
  </r>
  <r>
    <x v="6"/>
    <x v="225"/>
    <s v="MO"/>
    <x v="16"/>
    <x v="83"/>
    <n v="123"/>
    <n v="76"/>
    <n v="47"/>
  </r>
  <r>
    <x v="6"/>
    <x v="226"/>
    <s v="MO"/>
    <x v="16"/>
    <x v="66"/>
    <n v="74"/>
    <n v="50"/>
    <n v="24"/>
  </r>
  <r>
    <x v="6"/>
    <x v="227"/>
    <s v="MO"/>
    <x v="16"/>
    <x v="197"/>
    <n v="2648"/>
    <n v="1621"/>
    <n v="1027"/>
  </r>
  <r>
    <x v="6"/>
    <x v="228"/>
    <s v="MO"/>
    <x v="16"/>
    <x v="94"/>
    <n v="82"/>
    <n v="54"/>
    <n v="28"/>
  </r>
  <r>
    <x v="6"/>
    <x v="229"/>
    <s v="MO"/>
    <x v="16"/>
    <x v="198"/>
    <n v="65"/>
    <n v="42"/>
    <n v="23"/>
  </r>
  <r>
    <x v="6"/>
    <x v="230"/>
    <s v="MO"/>
    <x v="16"/>
    <x v="199"/>
    <n v="15"/>
    <n v="12"/>
    <n v="3"/>
  </r>
  <r>
    <x v="6"/>
    <x v="231"/>
    <s v="MO"/>
    <x v="16"/>
    <x v="200"/>
    <n v="75"/>
    <n v="50"/>
    <n v="25"/>
  </r>
  <r>
    <x v="6"/>
    <x v="232"/>
    <s v="MO"/>
    <x v="16"/>
    <x v="201"/>
    <n v="14"/>
    <n v="9"/>
    <n v="5"/>
  </r>
  <r>
    <x v="6"/>
    <x v="233"/>
    <s v="NU"/>
    <x v="17"/>
    <x v="202"/>
    <n v="67"/>
    <n v="42"/>
    <n v="25"/>
  </r>
  <r>
    <x v="6"/>
    <x v="234"/>
    <s v="NU"/>
    <x v="17"/>
    <x v="80"/>
    <n v="112"/>
    <n v="59"/>
    <n v="53"/>
  </r>
  <r>
    <x v="6"/>
    <x v="235"/>
    <s v="NU"/>
    <x v="17"/>
    <x v="203"/>
    <n v="159"/>
    <n v="100"/>
    <n v="59"/>
  </r>
  <r>
    <x v="6"/>
    <x v="236"/>
    <s v="NU"/>
    <x v="17"/>
    <x v="204"/>
    <n v="217"/>
    <n v="145"/>
    <n v="72"/>
  </r>
  <r>
    <x v="6"/>
    <x v="237"/>
    <s v="NU"/>
    <x v="17"/>
    <x v="205"/>
    <n v="96"/>
    <n v="63"/>
    <n v="33"/>
  </r>
  <r>
    <x v="6"/>
    <x v="238"/>
    <s v="NU"/>
    <x v="17"/>
    <x v="206"/>
    <n v="128"/>
    <n v="70"/>
    <n v="58"/>
  </r>
  <r>
    <x v="6"/>
    <x v="239"/>
    <s v="NU"/>
    <x v="17"/>
    <x v="207"/>
    <n v="161"/>
    <n v="101"/>
    <n v="60"/>
  </r>
  <r>
    <x v="6"/>
    <x v="240"/>
    <s v="NU"/>
    <x v="17"/>
    <x v="208"/>
    <n v="1255"/>
    <n v="798"/>
    <n v="457"/>
  </r>
  <r>
    <x v="6"/>
    <x v="241"/>
    <s v="NU"/>
    <x v="17"/>
    <x v="209"/>
    <n v="82"/>
    <n v="48"/>
    <n v="34"/>
  </r>
  <r>
    <x v="6"/>
    <x v="242"/>
    <s v="NU"/>
    <x v="17"/>
    <x v="210"/>
    <n v="96"/>
    <n v="62"/>
    <n v="34"/>
  </r>
  <r>
    <x v="6"/>
    <x v="243"/>
    <s v="NU"/>
    <x v="17"/>
    <x v="211"/>
    <n v="29"/>
    <n v="17"/>
    <n v="12"/>
  </r>
  <r>
    <x v="6"/>
    <x v="244"/>
    <s v="PO"/>
    <x v="18"/>
    <x v="212"/>
    <n v="42"/>
    <n v="27"/>
    <n v="15"/>
  </r>
  <r>
    <x v="6"/>
    <x v="245"/>
    <s v="PO"/>
    <x v="18"/>
    <x v="213"/>
    <n v="1165"/>
    <n v="691"/>
    <n v="474"/>
  </r>
  <r>
    <x v="6"/>
    <x v="246"/>
    <s v="PO"/>
    <x v="18"/>
    <x v="214"/>
    <n v="119"/>
    <n v="78"/>
    <n v="41"/>
  </r>
  <r>
    <x v="6"/>
    <x v="247"/>
    <s v="PO"/>
    <x v="18"/>
    <x v="215"/>
    <n v="1026"/>
    <n v="609"/>
    <n v="417"/>
  </r>
  <r>
    <x v="6"/>
    <x v="248"/>
    <s v="PO"/>
    <x v="18"/>
    <x v="216"/>
    <n v="83"/>
    <n v="55"/>
    <n v="28"/>
  </r>
  <r>
    <x v="6"/>
    <x v="249"/>
    <s v="PO"/>
    <x v="18"/>
    <x v="217"/>
    <n v="82"/>
    <n v="48"/>
    <n v="34"/>
  </r>
  <r>
    <x v="6"/>
    <x v="250"/>
    <s v="PO"/>
    <x v="18"/>
    <x v="218"/>
    <n v="98"/>
    <n v="66"/>
    <n v="32"/>
  </r>
  <r>
    <x v="6"/>
    <x v="251"/>
    <s v="PO"/>
    <x v="18"/>
    <x v="55"/>
    <n v="468"/>
    <n v="285"/>
    <n v="183"/>
  </r>
  <r>
    <x v="6"/>
    <x v="252"/>
    <s v="PO"/>
    <x v="18"/>
    <x v="219"/>
    <n v="18"/>
    <n v="13"/>
    <n v="5"/>
  </r>
  <r>
    <x v="6"/>
    <x v="253"/>
    <s v="PO"/>
    <x v="18"/>
    <x v="220"/>
    <n v="43"/>
    <n v="28"/>
    <n v="15"/>
  </r>
  <r>
    <x v="6"/>
    <x v="254"/>
    <s v="PO"/>
    <x v="18"/>
    <x v="221"/>
    <n v="50"/>
    <n v="29"/>
    <n v="21"/>
  </r>
  <r>
    <x v="6"/>
    <x v="255"/>
    <s v="PO"/>
    <x v="18"/>
    <x v="222"/>
    <n v="32"/>
    <n v="19"/>
    <n v="13"/>
  </r>
  <r>
    <x v="6"/>
    <x v="256"/>
    <s v="PO"/>
    <x v="18"/>
    <x v="73"/>
    <n v="129"/>
    <n v="76"/>
    <n v="53"/>
  </r>
  <r>
    <x v="6"/>
    <x v="257"/>
    <s v="PO"/>
    <x v="18"/>
    <x v="223"/>
    <n v="185"/>
    <n v="124"/>
    <n v="61"/>
  </r>
  <r>
    <x v="6"/>
    <x v="258"/>
    <s v="SU"/>
    <x v="19"/>
    <x v="154"/>
    <n v="74"/>
    <n v="40"/>
    <n v="34"/>
  </r>
  <r>
    <x v="6"/>
    <x v="259"/>
    <s v="SU"/>
    <x v="19"/>
    <x v="224"/>
    <n v="47"/>
    <n v="34"/>
    <n v="13"/>
  </r>
  <r>
    <x v="6"/>
    <x v="260"/>
    <s v="SU"/>
    <x v="19"/>
    <x v="80"/>
    <n v="110"/>
    <n v="66"/>
    <n v="44"/>
  </r>
  <r>
    <x v="6"/>
    <x v="261"/>
    <s v="SU"/>
    <x v="19"/>
    <x v="225"/>
    <n v="76"/>
    <n v="42"/>
    <n v="34"/>
  </r>
  <r>
    <x v="6"/>
    <x v="262"/>
    <s v="SU"/>
    <x v="19"/>
    <x v="226"/>
    <n v="1098"/>
    <n v="708"/>
    <n v="390"/>
  </r>
  <r>
    <x v="6"/>
    <x v="263"/>
    <s v="SU"/>
    <x v="19"/>
    <x v="59"/>
    <n v="50"/>
    <n v="30"/>
    <n v="20"/>
  </r>
  <r>
    <x v="6"/>
    <x v="264"/>
    <s v="SU"/>
    <x v="19"/>
    <x v="227"/>
    <n v="82"/>
    <n v="54"/>
    <n v="28"/>
  </r>
  <r>
    <x v="6"/>
    <x v="265"/>
    <s v="SU"/>
    <x v="19"/>
    <x v="228"/>
    <n v="78"/>
    <n v="46"/>
    <n v="32"/>
  </r>
  <r>
    <x v="6"/>
    <x v="266"/>
    <s v="SU"/>
    <x v="19"/>
    <x v="66"/>
    <n v="24"/>
    <n v="18"/>
    <n v="6"/>
  </r>
  <r>
    <x v="6"/>
    <x v="267"/>
    <s v="SU"/>
    <x v="19"/>
    <x v="208"/>
    <n v="94"/>
    <n v="48"/>
    <n v="46"/>
  </r>
  <r>
    <x v="6"/>
    <x v="268"/>
    <s v="SU"/>
    <x v="19"/>
    <x v="229"/>
    <n v="35"/>
    <n v="23"/>
    <n v="12"/>
  </r>
  <r>
    <x v="6"/>
    <x v="269"/>
    <s v="SU"/>
    <x v="19"/>
    <x v="230"/>
    <n v="172"/>
    <n v="107"/>
    <n v="65"/>
  </r>
  <r>
    <x v="6"/>
    <x v="270"/>
    <s v="SU"/>
    <x v="19"/>
    <x v="231"/>
    <n v="164"/>
    <n v="105"/>
    <n v="59"/>
  </r>
  <r>
    <x v="6"/>
    <x v="271"/>
    <s v="SU"/>
    <x v="19"/>
    <x v="73"/>
    <n v="2108"/>
    <n v="1404"/>
    <n v="704"/>
  </r>
  <r>
    <x v="6"/>
    <x v="272"/>
    <s v="SU"/>
    <x v="19"/>
    <x v="232"/>
    <n v="132"/>
    <n v="75"/>
    <n v="57"/>
  </r>
  <r>
    <x v="6"/>
    <x v="273"/>
    <s v="TA"/>
    <x v="20"/>
    <x v="163"/>
    <n v="82"/>
    <n v="51"/>
    <n v="31"/>
  </r>
  <r>
    <x v="6"/>
    <x v="274"/>
    <s v="TA"/>
    <x v="20"/>
    <x v="233"/>
    <n v="29"/>
    <n v="19"/>
    <n v="10"/>
  </r>
  <r>
    <x v="6"/>
    <x v="275"/>
    <s v="TA"/>
    <x v="20"/>
    <x v="234"/>
    <n v="244"/>
    <n v="153"/>
    <n v="91"/>
  </r>
  <r>
    <x v="6"/>
    <x v="276"/>
    <s v="TA"/>
    <x v="20"/>
    <x v="59"/>
    <n v="234"/>
    <n v="143"/>
    <n v="91"/>
  </r>
  <r>
    <x v="6"/>
    <x v="277"/>
    <s v="TA"/>
    <x v="20"/>
    <x v="235"/>
    <n v="295"/>
    <n v="181"/>
    <n v="114"/>
  </r>
  <r>
    <x v="6"/>
    <x v="278"/>
    <s v="TA"/>
    <x v="20"/>
    <x v="236"/>
    <n v="84"/>
    <n v="52"/>
    <n v="32"/>
  </r>
  <r>
    <x v="6"/>
    <x v="279"/>
    <s v="TA"/>
    <x v="20"/>
    <x v="237"/>
    <n v="232"/>
    <n v="168"/>
    <n v="64"/>
  </r>
  <r>
    <x v="6"/>
    <x v="280"/>
    <s v="TA"/>
    <x v="20"/>
    <x v="35"/>
    <n v="11"/>
    <n v="5"/>
    <n v="6"/>
  </r>
  <r>
    <x v="6"/>
    <x v="281"/>
    <s v="TA"/>
    <x v="20"/>
    <x v="238"/>
    <n v="237"/>
    <n v="161"/>
    <n v="76"/>
  </r>
  <r>
    <x v="6"/>
    <x v="282"/>
    <s v="TA"/>
    <x v="20"/>
    <x v="239"/>
    <n v="98"/>
    <n v="55"/>
    <n v="43"/>
  </r>
  <r>
    <x v="6"/>
    <x v="283"/>
    <s v="TA"/>
    <x v="20"/>
    <x v="38"/>
    <n v="108"/>
    <n v="68"/>
    <n v="40"/>
  </r>
  <r>
    <x v="6"/>
    <x v="284"/>
    <s v="TA"/>
    <x v="20"/>
    <x v="240"/>
    <n v="223"/>
    <n v="133"/>
    <n v="90"/>
  </r>
  <r>
    <x v="6"/>
    <x v="285"/>
    <s v="TA"/>
    <x v="20"/>
    <x v="241"/>
    <n v="39"/>
    <n v="25"/>
    <n v="14"/>
  </r>
  <r>
    <x v="6"/>
    <x v="286"/>
    <s v="TA"/>
    <x v="20"/>
    <x v="242"/>
    <n v="329"/>
    <n v="210"/>
    <n v="119"/>
  </r>
  <r>
    <x v="6"/>
    <x v="287"/>
    <s v="TA"/>
    <x v="20"/>
    <x v="42"/>
    <n v="60"/>
    <n v="42"/>
    <n v="18"/>
  </r>
  <r>
    <x v="6"/>
    <x v="288"/>
    <s v="TA"/>
    <x v="20"/>
    <x v="66"/>
    <n v="81"/>
    <n v="53"/>
    <n v="28"/>
  </r>
  <r>
    <x v="6"/>
    <x v="289"/>
    <s v="TA"/>
    <x v="20"/>
    <x v="243"/>
    <n v="38"/>
    <n v="24"/>
    <n v="14"/>
  </r>
  <r>
    <x v="6"/>
    <x v="290"/>
    <s v="TA"/>
    <x v="20"/>
    <x v="244"/>
    <n v="78"/>
    <n v="43"/>
    <n v="35"/>
  </r>
  <r>
    <x v="6"/>
    <x v="291"/>
    <s v="TA"/>
    <x v="20"/>
    <x v="245"/>
    <n v="163"/>
    <n v="110"/>
    <n v="53"/>
  </r>
  <r>
    <x v="6"/>
    <x v="292"/>
    <s v="TA"/>
    <x v="20"/>
    <x v="246"/>
    <n v="85"/>
    <n v="59"/>
    <n v="26"/>
  </r>
  <r>
    <x v="6"/>
    <x v="293"/>
    <s v="TA"/>
    <x v="20"/>
    <x v="247"/>
    <n v="18"/>
    <n v="13"/>
    <n v="5"/>
  </r>
  <r>
    <x v="6"/>
    <x v="294"/>
    <s v="TA"/>
    <x v="20"/>
    <x v="248"/>
    <n v="67"/>
    <n v="46"/>
    <n v="21"/>
  </r>
  <r>
    <x v="6"/>
    <x v="295"/>
    <s v="TA"/>
    <x v="20"/>
    <x v="249"/>
    <n v="3125"/>
    <n v="1835"/>
    <n v="1290"/>
  </r>
  <r>
    <x v="6"/>
    <x v="296"/>
    <s v="TA"/>
    <x v="20"/>
    <x v="250"/>
    <n v="16"/>
    <n v="11"/>
    <n v="5"/>
  </r>
  <r>
    <x v="6"/>
    <x v="297"/>
    <s v="TA"/>
    <x v="20"/>
    <x v="251"/>
    <n v="31"/>
    <n v="19"/>
    <n v="12"/>
  </r>
  <r>
    <x v="6"/>
    <x v="298"/>
    <s v="TA"/>
    <x v="20"/>
    <x v="50"/>
    <n v="8"/>
    <n v="6"/>
    <n v="2"/>
  </r>
  <r>
    <x v="6"/>
    <x v="299"/>
    <s v="TA"/>
    <x v="20"/>
    <x v="73"/>
    <n v="52"/>
    <n v="30"/>
    <n v="22"/>
  </r>
  <r>
    <x v="6"/>
    <x v="300"/>
    <s v="TA"/>
    <x v="20"/>
    <x v="252"/>
    <n v="135"/>
    <n v="90"/>
    <n v="45"/>
  </r>
  <r>
    <x v="6"/>
    <x v="301"/>
    <s v="TA"/>
    <x v="20"/>
    <x v="253"/>
    <n v="75"/>
    <n v="54"/>
    <n v="21"/>
  </r>
  <r>
    <x v="6"/>
    <x v="302"/>
    <s v="TR"/>
    <x v="21"/>
    <x v="163"/>
    <n v="47"/>
    <n v="34"/>
    <n v="13"/>
  </r>
  <r>
    <x v="6"/>
    <x v="303"/>
    <s v="TR"/>
    <x v="21"/>
    <x v="254"/>
    <n v="455"/>
    <n v="255"/>
    <n v="200"/>
  </r>
  <r>
    <x v="6"/>
    <x v="304"/>
    <s v="TR"/>
    <x v="21"/>
    <x v="59"/>
    <n v="23"/>
    <n v="13"/>
    <n v="10"/>
  </r>
  <r>
    <x v="6"/>
    <x v="305"/>
    <s v="TR"/>
    <x v="21"/>
    <x v="255"/>
    <n v="73"/>
    <n v="48"/>
    <n v="25"/>
  </r>
  <r>
    <x v="6"/>
    <x v="306"/>
    <s v="TR"/>
    <x v="21"/>
    <x v="256"/>
    <n v="105"/>
    <n v="70"/>
    <n v="35"/>
  </r>
  <r>
    <x v="6"/>
    <x v="307"/>
    <s v="TR"/>
    <x v="21"/>
    <x v="257"/>
    <n v="29"/>
    <n v="17"/>
    <n v="12"/>
  </r>
  <r>
    <x v="6"/>
    <x v="308"/>
    <s v="TR"/>
    <x v="21"/>
    <x v="258"/>
    <n v="6"/>
    <n v="2"/>
    <n v="4"/>
  </r>
  <r>
    <x v="6"/>
    <x v="309"/>
    <s v="TR"/>
    <x v="21"/>
    <x v="259"/>
    <n v="21"/>
    <n v="15"/>
    <n v="6"/>
  </r>
  <r>
    <x v="6"/>
    <x v="310"/>
    <s v="TR"/>
    <x v="21"/>
    <x v="260"/>
    <n v="43"/>
    <n v="38"/>
    <n v="5"/>
  </r>
  <r>
    <x v="6"/>
    <x v="311"/>
    <s v="TR"/>
    <x v="21"/>
    <x v="104"/>
    <n v="35"/>
    <n v="21"/>
    <n v="14"/>
  </r>
  <r>
    <x v="6"/>
    <x v="312"/>
    <s v="TR"/>
    <x v="21"/>
    <x v="261"/>
    <n v="25"/>
    <n v="17"/>
    <n v="8"/>
  </r>
  <r>
    <x v="6"/>
    <x v="313"/>
    <s v="TR"/>
    <x v="21"/>
    <x v="262"/>
    <n v="28"/>
    <n v="21"/>
    <n v="7"/>
  </r>
  <r>
    <x v="6"/>
    <x v="314"/>
    <s v="TR"/>
    <x v="21"/>
    <x v="263"/>
    <n v="138"/>
    <n v="84"/>
    <n v="54"/>
  </r>
  <r>
    <x v="6"/>
    <x v="315"/>
    <s v="TR"/>
    <x v="21"/>
    <x v="264"/>
    <n v="56"/>
    <n v="37"/>
    <n v="19"/>
  </r>
  <r>
    <x v="6"/>
    <x v="316"/>
    <s v="TR"/>
    <x v="21"/>
    <x v="265"/>
    <n v="48"/>
    <n v="31"/>
    <n v="17"/>
  </r>
  <r>
    <x v="6"/>
    <x v="317"/>
    <s v="TR"/>
    <x v="21"/>
    <x v="266"/>
    <n v="108"/>
    <n v="67"/>
    <n v="41"/>
  </r>
  <r>
    <x v="6"/>
    <x v="318"/>
    <s v="TR"/>
    <x v="21"/>
    <x v="73"/>
    <n v="133"/>
    <n v="83"/>
    <n v="50"/>
  </r>
  <r>
    <x v="6"/>
    <x v="319"/>
    <s v="TR"/>
    <x v="21"/>
    <x v="267"/>
    <n v="406"/>
    <n v="228"/>
    <n v="178"/>
  </r>
  <r>
    <x v="6"/>
    <x v="320"/>
    <s v="TR"/>
    <x v="21"/>
    <x v="75"/>
    <n v="116"/>
    <n v="75"/>
    <n v="41"/>
  </r>
  <r>
    <x v="6"/>
    <x v="321"/>
    <s v="TR"/>
    <x v="21"/>
    <x v="268"/>
    <n v="1707"/>
    <n v="1012"/>
    <n v="695"/>
  </r>
  <r>
    <x v="6"/>
    <x v="322"/>
    <s v="VA"/>
    <x v="0"/>
    <x v="269"/>
    <n v="145"/>
    <n v="108"/>
    <n v="37"/>
  </r>
  <r>
    <x v="6"/>
    <x v="323"/>
    <s v="VA"/>
    <x v="0"/>
    <x v="270"/>
    <n v="111"/>
    <n v="76"/>
    <n v="35"/>
  </r>
  <r>
    <x v="6"/>
    <x v="324"/>
    <s v="VA"/>
    <x v="0"/>
    <x v="271"/>
    <n v="117"/>
    <n v="81"/>
    <n v="36"/>
  </r>
  <r>
    <x v="6"/>
    <x v="325"/>
    <s v="VA"/>
    <x v="0"/>
    <x v="272"/>
    <n v="32"/>
    <n v="22"/>
    <n v="10"/>
  </r>
  <r>
    <x v="6"/>
    <x v="326"/>
    <s v="VA"/>
    <x v="0"/>
    <x v="273"/>
    <n v="368"/>
    <n v="256"/>
    <n v="112"/>
  </r>
  <r>
    <x v="6"/>
    <x v="327"/>
    <s v="VA"/>
    <x v="0"/>
    <x v="274"/>
    <n v="3"/>
    <n v="3"/>
    <n v="0"/>
  </r>
  <r>
    <x v="6"/>
    <x v="328"/>
    <s v="VA"/>
    <x v="0"/>
    <x v="275"/>
    <n v="478"/>
    <n v="290"/>
    <n v="188"/>
  </r>
  <r>
    <x v="6"/>
    <x v="329"/>
    <s v="VA"/>
    <x v="0"/>
    <x v="276"/>
    <n v="94"/>
    <n v="55"/>
    <n v="39"/>
  </r>
  <r>
    <x v="6"/>
    <x v="330"/>
    <s v="VA"/>
    <x v="0"/>
    <x v="277"/>
    <n v="481"/>
    <n v="309"/>
    <n v="172"/>
  </r>
  <r>
    <x v="6"/>
    <x v="331"/>
    <s v="VA"/>
    <x v="0"/>
    <x v="278"/>
    <n v="77"/>
    <n v="54"/>
    <n v="23"/>
  </r>
  <r>
    <x v="6"/>
    <x v="332"/>
    <s v="VA"/>
    <x v="0"/>
    <x v="279"/>
    <n v="76"/>
    <n v="56"/>
    <n v="20"/>
  </r>
  <r>
    <x v="6"/>
    <x v="333"/>
    <s v="YA"/>
    <x v="22"/>
    <x v="280"/>
    <n v="42"/>
    <n v="32"/>
    <n v="10"/>
  </r>
  <r>
    <x v="6"/>
    <x v="334"/>
    <s v="YA"/>
    <x v="22"/>
    <x v="59"/>
    <n v="76"/>
    <n v="49"/>
    <n v="27"/>
  </r>
  <r>
    <x v="6"/>
    <x v="335"/>
    <s v="YA"/>
    <x v="22"/>
    <x v="281"/>
    <n v="207"/>
    <n v="140"/>
    <n v="67"/>
  </r>
  <r>
    <x v="6"/>
    <x v="336"/>
    <s v="YA"/>
    <x v="22"/>
    <x v="282"/>
    <n v="76"/>
    <n v="43"/>
    <n v="33"/>
  </r>
  <r>
    <x v="6"/>
    <x v="337"/>
    <s v="YA"/>
    <x v="22"/>
    <x v="38"/>
    <n v="144"/>
    <n v="85"/>
    <n v="59"/>
  </r>
  <r>
    <x v="6"/>
    <x v="338"/>
    <s v="YA"/>
    <x v="22"/>
    <x v="283"/>
    <n v="35"/>
    <n v="26"/>
    <n v="9"/>
  </r>
  <r>
    <x v="6"/>
    <x v="339"/>
    <s v="YA"/>
    <x v="22"/>
    <x v="284"/>
    <n v="35"/>
    <n v="19"/>
    <n v="16"/>
  </r>
  <r>
    <x v="6"/>
    <x v="340"/>
    <s v="YA"/>
    <x v="22"/>
    <x v="285"/>
    <n v="32"/>
    <n v="19"/>
    <n v="13"/>
  </r>
  <r>
    <x v="6"/>
    <x v="341"/>
    <s v="YA"/>
    <x v="22"/>
    <x v="286"/>
    <n v="228"/>
    <n v="158"/>
    <n v="70"/>
  </r>
  <r>
    <x v="6"/>
    <x v="342"/>
    <s v="YA"/>
    <x v="22"/>
    <x v="287"/>
    <n v="225"/>
    <n v="157"/>
    <n v="68"/>
  </r>
  <r>
    <x v="6"/>
    <x v="343"/>
    <s v="YA"/>
    <x v="22"/>
    <x v="288"/>
    <n v="1251"/>
    <n v="775"/>
    <n v="476"/>
  </r>
  <r>
    <x v="6"/>
    <x v="344"/>
    <s v="YA"/>
    <x v="22"/>
    <x v="73"/>
    <n v="37"/>
    <n v="24"/>
    <n v="13"/>
  </r>
  <r>
    <x v="6"/>
    <x v="345"/>
    <s v="YA"/>
    <x v="22"/>
    <x v="289"/>
    <n v="61"/>
    <n v="41"/>
    <n v="20"/>
  </r>
  <r>
    <x v="6"/>
    <x v="346"/>
    <s v="YA"/>
    <x v="22"/>
    <x v="290"/>
    <n v="72"/>
    <n v="49"/>
    <n v="23"/>
  </r>
  <r>
    <x v="6"/>
    <x v="347"/>
    <s v="ZU"/>
    <x v="23"/>
    <x v="291"/>
    <n v="29"/>
    <n v="19"/>
    <n v="10"/>
  </r>
  <r>
    <x v="6"/>
    <x v="348"/>
    <s v="ZU"/>
    <x v="23"/>
    <x v="292"/>
    <n v="259"/>
    <n v="169"/>
    <n v="90"/>
  </r>
  <r>
    <x v="6"/>
    <x v="349"/>
    <s v="ZU"/>
    <x v="23"/>
    <x v="293"/>
    <n v="1357"/>
    <n v="773"/>
    <n v="584"/>
  </r>
  <r>
    <x v="6"/>
    <x v="350"/>
    <s v="ZU"/>
    <x v="23"/>
    <x v="294"/>
    <n v="92"/>
    <n v="65"/>
    <n v="27"/>
  </r>
  <r>
    <x v="6"/>
    <x v="351"/>
    <s v="ZU"/>
    <x v="23"/>
    <x v="295"/>
    <n v="520"/>
    <n v="349"/>
    <n v="171"/>
  </r>
  <r>
    <x v="6"/>
    <x v="352"/>
    <s v="ZU"/>
    <x v="23"/>
    <x v="296"/>
    <n v="57"/>
    <n v="39"/>
    <n v="18"/>
  </r>
  <r>
    <x v="6"/>
    <x v="353"/>
    <s v="ZU"/>
    <x v="23"/>
    <x v="297"/>
    <n v="365"/>
    <n v="246"/>
    <n v="119"/>
  </r>
  <r>
    <x v="6"/>
    <x v="354"/>
    <s v="ZU"/>
    <x v="23"/>
    <x v="298"/>
    <n v="92"/>
    <n v="69"/>
    <n v="23"/>
  </r>
  <r>
    <x v="6"/>
    <x v="355"/>
    <s v="ZU"/>
    <x v="23"/>
    <x v="299"/>
    <n v="175"/>
    <n v="113"/>
    <n v="62"/>
  </r>
  <r>
    <x v="6"/>
    <x v="356"/>
    <s v="ZU"/>
    <x v="23"/>
    <x v="300"/>
    <n v="1135"/>
    <n v="663"/>
    <n v="472"/>
  </r>
  <r>
    <x v="6"/>
    <x v="357"/>
    <s v="ZU"/>
    <x v="23"/>
    <x v="301"/>
    <n v="397"/>
    <n v="240"/>
    <n v="157"/>
  </r>
  <r>
    <x v="6"/>
    <x v="358"/>
    <s v="ZU"/>
    <x v="23"/>
    <x v="302"/>
    <n v="689"/>
    <n v="443"/>
    <n v="246"/>
  </r>
  <r>
    <x v="6"/>
    <x v="359"/>
    <s v="ZU"/>
    <x v="23"/>
    <x v="303"/>
    <n v="9772"/>
    <n v="5739"/>
    <n v="4033"/>
  </r>
  <r>
    <x v="6"/>
    <x v="360"/>
    <s v="ZU"/>
    <x v="23"/>
    <x v="104"/>
    <n v="235"/>
    <n v="147"/>
    <n v="88"/>
  </r>
  <r>
    <x v="6"/>
    <x v="361"/>
    <s v="ZU"/>
    <x v="23"/>
    <x v="55"/>
    <n v="188"/>
    <n v="109"/>
    <n v="79"/>
  </r>
  <r>
    <x v="6"/>
    <x v="362"/>
    <s v="ZU"/>
    <x v="23"/>
    <x v="304"/>
    <n v="280"/>
    <n v="176"/>
    <n v="104"/>
  </r>
  <r>
    <x v="6"/>
    <x v="363"/>
    <s v="ZU"/>
    <x v="23"/>
    <x v="136"/>
    <n v="1640"/>
    <n v="948"/>
    <n v="692"/>
  </r>
  <r>
    <x v="6"/>
    <x v="364"/>
    <s v="ZU"/>
    <x v="23"/>
    <x v="305"/>
    <n v="144"/>
    <n v="82"/>
    <n v="62"/>
  </r>
  <r>
    <x v="6"/>
    <x v="365"/>
    <s v="ZU"/>
    <x v="23"/>
    <x v="49"/>
    <n v="84"/>
    <n v="55"/>
    <n v="29"/>
  </r>
  <r>
    <x v="6"/>
    <x v="366"/>
    <s v="ZU"/>
    <x v="23"/>
    <x v="73"/>
    <n v="229"/>
    <n v="138"/>
    <n v="91"/>
  </r>
  <r>
    <x v="6"/>
    <x v="367"/>
    <s v="ZU"/>
    <x v="23"/>
    <x v="306"/>
    <n v="132"/>
    <n v="80"/>
    <n v="52"/>
  </r>
  <r>
    <x v="6"/>
    <x v="368"/>
    <s v="DE"/>
    <x v="24"/>
    <x v="307"/>
    <n v="0"/>
    <n v="0"/>
    <n v="0"/>
  </r>
  <r>
    <x v="7"/>
    <x v="0"/>
    <s v="VA"/>
    <x v="0"/>
    <x v="0"/>
    <n v="0"/>
    <n v="0"/>
    <n v="0"/>
  </r>
  <r>
    <x v="7"/>
    <x v="1"/>
    <s v="DI"/>
    <x v="1"/>
    <x v="1"/>
    <n v="0"/>
    <n v="0"/>
    <n v="0"/>
  </r>
  <r>
    <x v="7"/>
    <x v="2"/>
    <s v="DI"/>
    <x v="1"/>
    <x v="2"/>
    <n v="107"/>
    <n v="60"/>
    <n v="47"/>
  </r>
  <r>
    <x v="7"/>
    <x v="3"/>
    <s v="DI"/>
    <x v="1"/>
    <x v="3"/>
    <n v="562"/>
    <n v="397"/>
    <n v="165"/>
  </r>
  <r>
    <x v="7"/>
    <x v="4"/>
    <s v="DI"/>
    <x v="1"/>
    <x v="4"/>
    <n v="274"/>
    <n v="137"/>
    <n v="137"/>
  </r>
  <r>
    <x v="7"/>
    <x v="5"/>
    <s v="DI"/>
    <x v="1"/>
    <x v="5"/>
    <n v="437"/>
    <n v="270"/>
    <n v="167"/>
  </r>
  <r>
    <x v="7"/>
    <x v="6"/>
    <s v="DI"/>
    <x v="1"/>
    <x v="6"/>
    <n v="20"/>
    <n v="13"/>
    <n v="7"/>
  </r>
  <r>
    <x v="7"/>
    <x v="7"/>
    <s v="DI"/>
    <x v="1"/>
    <x v="7"/>
    <n v="512"/>
    <n v="381"/>
    <n v="131"/>
  </r>
  <r>
    <x v="7"/>
    <x v="8"/>
    <s v="DI"/>
    <x v="1"/>
    <x v="8"/>
    <n v="150"/>
    <n v="103"/>
    <n v="47"/>
  </r>
  <r>
    <x v="7"/>
    <x v="9"/>
    <s v="DI"/>
    <x v="1"/>
    <x v="9"/>
    <n v="2628"/>
    <n v="1659"/>
    <n v="969"/>
  </r>
  <r>
    <x v="7"/>
    <x v="10"/>
    <s v="DI"/>
    <x v="1"/>
    <x v="10"/>
    <n v="822"/>
    <n v="433"/>
    <n v="389"/>
  </r>
  <r>
    <x v="7"/>
    <x v="11"/>
    <s v="DI"/>
    <x v="1"/>
    <x v="11"/>
    <n v="376"/>
    <n v="240"/>
    <n v="136"/>
  </r>
  <r>
    <x v="7"/>
    <x v="12"/>
    <s v="DI"/>
    <x v="1"/>
    <x v="12"/>
    <n v="543"/>
    <n v="372"/>
    <n v="171"/>
  </r>
  <r>
    <x v="7"/>
    <x v="13"/>
    <s v="DI"/>
    <x v="1"/>
    <x v="13"/>
    <n v="327"/>
    <n v="201"/>
    <n v="126"/>
  </r>
  <r>
    <x v="7"/>
    <x v="14"/>
    <s v="DI"/>
    <x v="1"/>
    <x v="14"/>
    <n v="161"/>
    <n v="120"/>
    <n v="41"/>
  </r>
  <r>
    <x v="7"/>
    <x v="15"/>
    <s v="DI"/>
    <x v="1"/>
    <x v="15"/>
    <n v="133"/>
    <n v="90"/>
    <n v="43"/>
  </r>
  <r>
    <x v="7"/>
    <x v="16"/>
    <s v="DI"/>
    <x v="1"/>
    <x v="16"/>
    <n v="1188"/>
    <n v="654"/>
    <n v="534"/>
  </r>
  <r>
    <x v="7"/>
    <x v="17"/>
    <s v="DI"/>
    <x v="1"/>
    <x v="17"/>
    <n v="1072"/>
    <n v="520"/>
    <n v="552"/>
  </r>
  <r>
    <x v="7"/>
    <x v="18"/>
    <s v="DI"/>
    <x v="1"/>
    <x v="18"/>
    <n v="1757"/>
    <n v="1043"/>
    <n v="714"/>
  </r>
  <r>
    <x v="7"/>
    <x v="19"/>
    <s v="DI"/>
    <x v="1"/>
    <x v="19"/>
    <n v="2097"/>
    <n v="1192"/>
    <n v="905"/>
  </r>
  <r>
    <x v="7"/>
    <x v="20"/>
    <s v="DI"/>
    <x v="1"/>
    <x v="20"/>
    <n v="541"/>
    <n v="310"/>
    <n v="231"/>
  </r>
  <r>
    <x v="7"/>
    <x v="21"/>
    <s v="DI"/>
    <x v="1"/>
    <x v="21"/>
    <n v="39"/>
    <n v="28"/>
    <n v="11"/>
  </r>
  <r>
    <x v="7"/>
    <x v="22"/>
    <s v="DI"/>
    <x v="1"/>
    <x v="22"/>
    <n v="1725"/>
    <n v="1178"/>
    <n v="547"/>
  </r>
  <r>
    <x v="7"/>
    <x v="23"/>
    <s v="DI"/>
    <x v="1"/>
    <x v="23"/>
    <n v="289"/>
    <n v="185"/>
    <n v="104"/>
  </r>
  <r>
    <x v="7"/>
    <x v="24"/>
    <s v="AM"/>
    <x v="2"/>
    <x v="24"/>
    <n v="49"/>
    <n v="33"/>
    <n v="16"/>
  </r>
  <r>
    <x v="7"/>
    <x v="25"/>
    <s v="AM"/>
    <x v="2"/>
    <x v="25"/>
    <n v="20"/>
    <n v="10"/>
    <n v="10"/>
  </r>
  <r>
    <x v="7"/>
    <x v="26"/>
    <s v="AM"/>
    <x v="2"/>
    <x v="26"/>
    <n v="244"/>
    <n v="159"/>
    <n v="85"/>
  </r>
  <r>
    <x v="7"/>
    <x v="27"/>
    <s v="AM"/>
    <x v="2"/>
    <x v="27"/>
    <n v="4"/>
    <n v="3"/>
    <n v="1"/>
  </r>
  <r>
    <x v="7"/>
    <x v="28"/>
    <s v="AM"/>
    <x v="2"/>
    <x v="28"/>
    <n v="0"/>
    <n v="0"/>
    <n v="0"/>
  </r>
  <r>
    <x v="7"/>
    <x v="29"/>
    <s v="AM"/>
    <x v="2"/>
    <x v="29"/>
    <n v="1"/>
    <n v="1"/>
    <n v="0"/>
  </r>
  <r>
    <x v="7"/>
    <x v="30"/>
    <s v="AM"/>
    <x v="2"/>
    <x v="30"/>
    <n v="6"/>
    <n v="4"/>
    <n v="2"/>
  </r>
  <r>
    <x v="7"/>
    <x v="31"/>
    <s v="AN"/>
    <x v="3"/>
    <x v="31"/>
    <n v="406"/>
    <n v="262"/>
    <n v="144"/>
  </r>
  <r>
    <x v="7"/>
    <x v="32"/>
    <s v="AN"/>
    <x v="3"/>
    <x v="32"/>
    <n v="71"/>
    <n v="46"/>
    <n v="25"/>
  </r>
  <r>
    <x v="7"/>
    <x v="33"/>
    <s v="AN"/>
    <x v="3"/>
    <x v="33"/>
    <n v="164"/>
    <n v="84"/>
    <n v="80"/>
  </r>
  <r>
    <x v="7"/>
    <x v="34"/>
    <s v="AN"/>
    <x v="3"/>
    <x v="34"/>
    <n v="86"/>
    <n v="62"/>
    <n v="24"/>
  </r>
  <r>
    <x v="7"/>
    <x v="35"/>
    <s v="AN"/>
    <x v="3"/>
    <x v="35"/>
    <n v="120"/>
    <n v="68"/>
    <n v="52"/>
  </r>
  <r>
    <x v="7"/>
    <x v="36"/>
    <s v="AN"/>
    <x v="3"/>
    <x v="36"/>
    <n v="32"/>
    <n v="19"/>
    <n v="13"/>
  </r>
  <r>
    <x v="7"/>
    <x v="37"/>
    <s v="AN"/>
    <x v="3"/>
    <x v="37"/>
    <n v="49"/>
    <n v="30"/>
    <n v="19"/>
  </r>
  <r>
    <x v="7"/>
    <x v="38"/>
    <s v="AN"/>
    <x v="3"/>
    <x v="38"/>
    <n v="67"/>
    <n v="43"/>
    <n v="24"/>
  </r>
  <r>
    <x v="7"/>
    <x v="39"/>
    <s v="AN"/>
    <x v="3"/>
    <x v="39"/>
    <n v="36"/>
    <n v="18"/>
    <n v="18"/>
  </r>
  <r>
    <x v="7"/>
    <x v="40"/>
    <s v="AN"/>
    <x v="3"/>
    <x v="40"/>
    <n v="666"/>
    <n v="395"/>
    <n v="271"/>
  </r>
  <r>
    <x v="7"/>
    <x v="41"/>
    <s v="AN"/>
    <x v="3"/>
    <x v="41"/>
    <n v="21"/>
    <n v="12"/>
    <n v="9"/>
  </r>
  <r>
    <x v="7"/>
    <x v="42"/>
    <s v="AN"/>
    <x v="3"/>
    <x v="42"/>
    <n v="41"/>
    <n v="29"/>
    <n v="12"/>
  </r>
  <r>
    <x v="7"/>
    <x v="43"/>
    <s v="AN"/>
    <x v="3"/>
    <x v="43"/>
    <n v="72"/>
    <n v="52"/>
    <n v="20"/>
  </r>
  <r>
    <x v="7"/>
    <x v="44"/>
    <s v="AN"/>
    <x v="3"/>
    <x v="44"/>
    <n v="263"/>
    <n v="160"/>
    <n v="103"/>
  </r>
  <r>
    <x v="7"/>
    <x v="45"/>
    <s v="AN"/>
    <x v="3"/>
    <x v="45"/>
    <n v="74"/>
    <n v="44"/>
    <n v="30"/>
  </r>
  <r>
    <x v="7"/>
    <x v="46"/>
    <s v="AN"/>
    <x v="3"/>
    <x v="46"/>
    <n v="182"/>
    <n v="99"/>
    <n v="83"/>
  </r>
  <r>
    <x v="7"/>
    <x v="47"/>
    <s v="AN"/>
    <x v="3"/>
    <x v="47"/>
    <n v="40"/>
    <n v="24"/>
    <n v="16"/>
  </r>
  <r>
    <x v="7"/>
    <x v="48"/>
    <s v="AN"/>
    <x v="3"/>
    <x v="48"/>
    <n v="19"/>
    <n v="11"/>
    <n v="8"/>
  </r>
  <r>
    <x v="7"/>
    <x v="49"/>
    <s v="AN"/>
    <x v="3"/>
    <x v="49"/>
    <n v="1974"/>
    <n v="1254"/>
    <n v="720"/>
  </r>
  <r>
    <x v="7"/>
    <x v="50"/>
    <s v="AN"/>
    <x v="3"/>
    <x v="50"/>
    <n v="969"/>
    <n v="609"/>
    <n v="360"/>
  </r>
  <r>
    <x v="7"/>
    <x v="51"/>
    <s v="AN"/>
    <x v="3"/>
    <x v="51"/>
    <n v="24"/>
    <n v="19"/>
    <n v="5"/>
  </r>
  <r>
    <x v="7"/>
    <x v="52"/>
    <s v="AP"/>
    <x v="4"/>
    <x v="52"/>
    <n v="131"/>
    <n v="78"/>
    <n v="53"/>
  </r>
  <r>
    <x v="7"/>
    <x v="53"/>
    <s v="AP"/>
    <x v="4"/>
    <x v="53"/>
    <n v="92"/>
    <n v="65"/>
    <n v="27"/>
  </r>
  <r>
    <x v="7"/>
    <x v="54"/>
    <s v="AP"/>
    <x v="4"/>
    <x v="54"/>
    <n v="57"/>
    <n v="39"/>
    <n v="18"/>
  </r>
  <r>
    <x v="7"/>
    <x v="55"/>
    <s v="AP"/>
    <x v="4"/>
    <x v="55"/>
    <n v="314"/>
    <n v="215"/>
    <n v="99"/>
  </r>
  <r>
    <x v="7"/>
    <x v="56"/>
    <s v="AP"/>
    <x v="4"/>
    <x v="56"/>
    <n v="41"/>
    <n v="30"/>
    <n v="11"/>
  </r>
  <r>
    <x v="7"/>
    <x v="57"/>
    <s v="AP"/>
    <x v="4"/>
    <x v="57"/>
    <n v="47"/>
    <n v="32"/>
    <n v="15"/>
  </r>
  <r>
    <x v="7"/>
    <x v="58"/>
    <s v="AP"/>
    <x v="4"/>
    <x v="58"/>
    <n v="965"/>
    <n v="583"/>
    <n v="382"/>
  </r>
  <r>
    <x v="7"/>
    <x v="59"/>
    <s v="AR"/>
    <x v="5"/>
    <x v="59"/>
    <n v="184"/>
    <n v="127"/>
    <n v="57"/>
  </r>
  <r>
    <x v="7"/>
    <x v="60"/>
    <s v="AR"/>
    <x v="5"/>
    <x v="60"/>
    <n v="66"/>
    <n v="50"/>
    <n v="16"/>
  </r>
  <r>
    <x v="7"/>
    <x v="61"/>
    <s v="AR"/>
    <x v="5"/>
    <x v="61"/>
    <n v="199"/>
    <n v="131"/>
    <n v="68"/>
  </r>
  <r>
    <x v="7"/>
    <x v="62"/>
    <s v="AR"/>
    <x v="5"/>
    <x v="62"/>
    <n v="4027"/>
    <n v="2362"/>
    <n v="1665"/>
  </r>
  <r>
    <x v="7"/>
    <x v="63"/>
    <s v="AR"/>
    <x v="5"/>
    <x v="63"/>
    <n v="76"/>
    <n v="48"/>
    <n v="28"/>
  </r>
  <r>
    <x v="7"/>
    <x v="64"/>
    <s v="AR"/>
    <x v="5"/>
    <x v="64"/>
    <n v="702"/>
    <n v="415"/>
    <n v="287"/>
  </r>
  <r>
    <x v="7"/>
    <x v="65"/>
    <s v="AR"/>
    <x v="5"/>
    <x v="65"/>
    <n v="152"/>
    <n v="100"/>
    <n v="52"/>
  </r>
  <r>
    <x v="7"/>
    <x v="66"/>
    <s v="AR"/>
    <x v="5"/>
    <x v="66"/>
    <n v="475"/>
    <n v="290"/>
    <n v="185"/>
  </r>
  <r>
    <x v="7"/>
    <x v="67"/>
    <s v="AR"/>
    <x v="5"/>
    <x v="67"/>
    <n v="301"/>
    <n v="158"/>
    <n v="143"/>
  </r>
  <r>
    <x v="7"/>
    <x v="68"/>
    <s v="AR"/>
    <x v="5"/>
    <x v="68"/>
    <n v="27"/>
    <n v="19"/>
    <n v="8"/>
  </r>
  <r>
    <x v="7"/>
    <x v="69"/>
    <s v="AR"/>
    <x v="5"/>
    <x v="69"/>
    <n v="103"/>
    <n v="69"/>
    <n v="34"/>
  </r>
  <r>
    <x v="7"/>
    <x v="70"/>
    <s v="AR"/>
    <x v="5"/>
    <x v="70"/>
    <n v="51"/>
    <n v="34"/>
    <n v="17"/>
  </r>
  <r>
    <x v="7"/>
    <x v="71"/>
    <s v="AR"/>
    <x v="5"/>
    <x v="71"/>
    <n v="487"/>
    <n v="317"/>
    <n v="170"/>
  </r>
  <r>
    <x v="7"/>
    <x v="72"/>
    <s v="AR"/>
    <x v="5"/>
    <x v="72"/>
    <n v="113"/>
    <n v="82"/>
    <n v="31"/>
  </r>
  <r>
    <x v="7"/>
    <x v="73"/>
    <s v="AR"/>
    <x v="5"/>
    <x v="73"/>
    <n v="383"/>
    <n v="251"/>
    <n v="132"/>
  </r>
  <r>
    <x v="7"/>
    <x v="74"/>
    <s v="AR"/>
    <x v="5"/>
    <x v="74"/>
    <n v="32"/>
    <n v="22"/>
    <n v="10"/>
  </r>
  <r>
    <x v="7"/>
    <x v="75"/>
    <s v="AR"/>
    <x v="5"/>
    <x v="75"/>
    <n v="41"/>
    <n v="28"/>
    <n v="13"/>
  </r>
  <r>
    <x v="7"/>
    <x v="76"/>
    <s v="AR"/>
    <x v="5"/>
    <x v="76"/>
    <n v="488"/>
    <n v="306"/>
    <n v="182"/>
  </r>
  <r>
    <x v="7"/>
    <x v="77"/>
    <s v="BA"/>
    <x v="6"/>
    <x v="77"/>
    <n v="144"/>
    <n v="111"/>
    <n v="33"/>
  </r>
  <r>
    <x v="7"/>
    <x v="78"/>
    <s v="BA"/>
    <x v="6"/>
    <x v="78"/>
    <n v="34"/>
    <n v="23"/>
    <n v="11"/>
  </r>
  <r>
    <x v="7"/>
    <x v="79"/>
    <s v="BA"/>
    <x v="6"/>
    <x v="79"/>
    <n v="233"/>
    <n v="157"/>
    <n v="76"/>
  </r>
  <r>
    <x v="7"/>
    <x v="80"/>
    <s v="BA"/>
    <x v="6"/>
    <x v="80"/>
    <n v="44"/>
    <n v="31"/>
    <n v="13"/>
  </r>
  <r>
    <x v="7"/>
    <x v="81"/>
    <s v="BA"/>
    <x v="6"/>
    <x v="81"/>
    <n v="2169"/>
    <n v="1462"/>
    <n v="707"/>
  </r>
  <r>
    <x v="7"/>
    <x v="82"/>
    <s v="BA"/>
    <x v="6"/>
    <x v="59"/>
    <n v="144"/>
    <n v="92"/>
    <n v="52"/>
  </r>
  <r>
    <x v="7"/>
    <x v="83"/>
    <s v="BA"/>
    <x v="6"/>
    <x v="82"/>
    <n v="88"/>
    <n v="61"/>
    <n v="27"/>
  </r>
  <r>
    <x v="7"/>
    <x v="84"/>
    <s v="BA"/>
    <x v="6"/>
    <x v="83"/>
    <n v="203"/>
    <n v="130"/>
    <n v="73"/>
  </r>
  <r>
    <x v="7"/>
    <x v="85"/>
    <s v="BA"/>
    <x v="6"/>
    <x v="84"/>
    <n v="85"/>
    <n v="65"/>
    <n v="20"/>
  </r>
  <r>
    <x v="7"/>
    <x v="86"/>
    <s v="BA"/>
    <x v="6"/>
    <x v="85"/>
    <n v="182"/>
    <n v="115"/>
    <n v="67"/>
  </r>
  <r>
    <x v="7"/>
    <x v="87"/>
    <s v="BA"/>
    <x v="6"/>
    <x v="86"/>
    <n v="105"/>
    <n v="80"/>
    <n v="25"/>
  </r>
  <r>
    <x v="7"/>
    <x v="88"/>
    <s v="BA"/>
    <x v="6"/>
    <x v="87"/>
    <n v="49"/>
    <n v="36"/>
    <n v="13"/>
  </r>
  <r>
    <x v="7"/>
    <x v="89"/>
    <s v="BO"/>
    <x v="7"/>
    <x v="88"/>
    <n v="3694"/>
    <n v="2442"/>
    <n v="1252"/>
  </r>
  <r>
    <x v="7"/>
    <x v="90"/>
    <s v="BO"/>
    <x v="7"/>
    <x v="89"/>
    <n v="201"/>
    <n v="131"/>
    <n v="70"/>
  </r>
  <r>
    <x v="7"/>
    <x v="91"/>
    <s v="BO"/>
    <x v="7"/>
    <x v="90"/>
    <n v="53"/>
    <n v="38"/>
    <n v="15"/>
  </r>
  <r>
    <x v="7"/>
    <x v="92"/>
    <s v="BO"/>
    <x v="7"/>
    <x v="91"/>
    <n v="58"/>
    <n v="37"/>
    <n v="21"/>
  </r>
  <r>
    <x v="7"/>
    <x v="93"/>
    <s v="BO"/>
    <x v="7"/>
    <x v="92"/>
    <n v="2041"/>
    <n v="1239"/>
    <n v="802"/>
  </r>
  <r>
    <x v="7"/>
    <x v="94"/>
    <s v="BO"/>
    <x v="7"/>
    <x v="93"/>
    <n v="30"/>
    <n v="21"/>
    <n v="9"/>
  </r>
  <r>
    <x v="7"/>
    <x v="95"/>
    <s v="BO"/>
    <x v="7"/>
    <x v="94"/>
    <n v="275"/>
    <n v="165"/>
    <n v="110"/>
  </r>
  <r>
    <x v="7"/>
    <x v="96"/>
    <s v="BO"/>
    <x v="7"/>
    <x v="95"/>
    <n v="47"/>
    <n v="33"/>
    <n v="14"/>
  </r>
  <r>
    <x v="7"/>
    <x v="97"/>
    <s v="BO"/>
    <x v="7"/>
    <x v="96"/>
    <n v="67"/>
    <n v="51"/>
    <n v="16"/>
  </r>
  <r>
    <x v="7"/>
    <x v="98"/>
    <s v="BO"/>
    <x v="7"/>
    <x v="97"/>
    <n v="124"/>
    <n v="89"/>
    <n v="35"/>
  </r>
  <r>
    <x v="7"/>
    <x v="99"/>
    <s v="BO"/>
    <x v="7"/>
    <x v="73"/>
    <n v="11"/>
    <n v="9"/>
    <n v="2"/>
  </r>
  <r>
    <x v="7"/>
    <x v="100"/>
    <s v="CA"/>
    <x v="8"/>
    <x v="98"/>
    <n v="289"/>
    <n v="169"/>
    <n v="120"/>
  </r>
  <r>
    <x v="7"/>
    <x v="101"/>
    <s v="CA"/>
    <x v="8"/>
    <x v="99"/>
    <n v="487"/>
    <n v="321"/>
    <n v="166"/>
  </r>
  <r>
    <x v="7"/>
    <x v="102"/>
    <s v="CA"/>
    <x v="8"/>
    <x v="100"/>
    <n v="580"/>
    <n v="399"/>
    <n v="181"/>
  </r>
  <r>
    <x v="7"/>
    <x v="103"/>
    <s v="CA"/>
    <x v="8"/>
    <x v="101"/>
    <n v="627"/>
    <n v="418"/>
    <n v="209"/>
  </r>
  <r>
    <x v="7"/>
    <x v="104"/>
    <s v="CA"/>
    <x v="8"/>
    <x v="102"/>
    <n v="199"/>
    <n v="132"/>
    <n v="67"/>
  </r>
  <r>
    <x v="7"/>
    <x v="105"/>
    <s v="CA"/>
    <x v="8"/>
    <x v="66"/>
    <n v="566"/>
    <n v="414"/>
    <n v="152"/>
  </r>
  <r>
    <x v="7"/>
    <x v="106"/>
    <s v="CA"/>
    <x v="8"/>
    <x v="103"/>
    <n v="356"/>
    <n v="249"/>
    <n v="107"/>
  </r>
  <r>
    <x v="7"/>
    <x v="107"/>
    <s v="CA"/>
    <x v="8"/>
    <x v="104"/>
    <n v="79"/>
    <n v="53"/>
    <n v="26"/>
  </r>
  <r>
    <x v="7"/>
    <x v="108"/>
    <s v="CA"/>
    <x v="8"/>
    <x v="105"/>
    <n v="50"/>
    <n v="29"/>
    <n v="21"/>
  </r>
  <r>
    <x v="7"/>
    <x v="109"/>
    <s v="CA"/>
    <x v="8"/>
    <x v="106"/>
    <n v="1439"/>
    <n v="809"/>
    <n v="630"/>
  </r>
  <r>
    <x v="7"/>
    <x v="110"/>
    <s v="CA"/>
    <x v="8"/>
    <x v="107"/>
    <n v="1270"/>
    <n v="764"/>
    <n v="506"/>
  </r>
  <r>
    <x v="7"/>
    <x v="111"/>
    <s v="CA"/>
    <x v="8"/>
    <x v="108"/>
    <n v="217"/>
    <n v="123"/>
    <n v="94"/>
  </r>
  <r>
    <x v="7"/>
    <x v="112"/>
    <s v="CA"/>
    <x v="8"/>
    <x v="109"/>
    <n v="163"/>
    <n v="122"/>
    <n v="41"/>
  </r>
  <r>
    <x v="7"/>
    <x v="113"/>
    <s v="CA"/>
    <x v="8"/>
    <x v="110"/>
    <n v="5219"/>
    <n v="3287"/>
    <n v="1932"/>
  </r>
  <r>
    <x v="7"/>
    <x v="114"/>
    <s v="CO"/>
    <x v="9"/>
    <x v="111"/>
    <n v="40"/>
    <n v="25"/>
    <n v="15"/>
  </r>
  <r>
    <x v="7"/>
    <x v="115"/>
    <s v="CO"/>
    <x v="9"/>
    <x v="112"/>
    <n v="340"/>
    <n v="222"/>
    <n v="118"/>
  </r>
  <r>
    <x v="7"/>
    <x v="116"/>
    <s v="CO"/>
    <x v="9"/>
    <x v="62"/>
    <n v="28"/>
    <n v="19"/>
    <n v="9"/>
  </r>
  <r>
    <x v="7"/>
    <x v="117"/>
    <s v="CO"/>
    <x v="9"/>
    <x v="113"/>
    <n v="13"/>
    <n v="8"/>
    <n v="5"/>
  </r>
  <r>
    <x v="7"/>
    <x v="118"/>
    <s v="CO"/>
    <x v="9"/>
    <x v="114"/>
    <n v="39"/>
    <n v="29"/>
    <n v="10"/>
  </r>
  <r>
    <x v="7"/>
    <x v="119"/>
    <s v="CO"/>
    <x v="9"/>
    <x v="115"/>
    <n v="34"/>
    <n v="25"/>
    <n v="9"/>
  </r>
  <r>
    <x v="7"/>
    <x v="120"/>
    <s v="CO"/>
    <x v="9"/>
    <x v="57"/>
    <n v="51"/>
    <n v="36"/>
    <n v="15"/>
  </r>
  <r>
    <x v="7"/>
    <x v="121"/>
    <s v="CO"/>
    <x v="9"/>
    <x v="116"/>
    <n v="662"/>
    <n v="437"/>
    <n v="225"/>
  </r>
  <r>
    <x v="7"/>
    <x v="122"/>
    <s v="CO"/>
    <x v="9"/>
    <x v="117"/>
    <n v="116"/>
    <n v="80"/>
    <n v="36"/>
  </r>
  <r>
    <x v="7"/>
    <x v="123"/>
    <s v="DE"/>
    <x v="10"/>
    <x v="118"/>
    <n v="25"/>
    <n v="14"/>
    <n v="11"/>
  </r>
  <r>
    <x v="7"/>
    <x v="124"/>
    <s v="DE"/>
    <x v="10"/>
    <x v="119"/>
    <n v="47"/>
    <n v="30"/>
    <n v="17"/>
  </r>
  <r>
    <x v="7"/>
    <x v="125"/>
    <s v="DE"/>
    <x v="10"/>
    <x v="120"/>
    <n v="39"/>
    <n v="22"/>
    <n v="17"/>
  </r>
  <r>
    <x v="7"/>
    <x v="126"/>
    <s v="DE"/>
    <x v="10"/>
    <x v="121"/>
    <n v="461"/>
    <n v="299"/>
    <n v="162"/>
  </r>
  <r>
    <x v="7"/>
    <x v="127"/>
    <s v="FA"/>
    <x v="11"/>
    <x v="122"/>
    <n v="27"/>
    <n v="17"/>
    <n v="10"/>
  </r>
  <r>
    <x v="7"/>
    <x v="128"/>
    <s v="FA"/>
    <x v="11"/>
    <x v="59"/>
    <n v="12"/>
    <n v="6"/>
    <n v="6"/>
  </r>
  <r>
    <x v="7"/>
    <x v="129"/>
    <s v="FA"/>
    <x v="11"/>
    <x v="123"/>
    <n v="45"/>
    <n v="28"/>
    <n v="17"/>
  </r>
  <r>
    <x v="7"/>
    <x v="130"/>
    <s v="FA"/>
    <x v="11"/>
    <x v="124"/>
    <n v="25"/>
    <n v="16"/>
    <n v="9"/>
  </r>
  <r>
    <x v="7"/>
    <x v="131"/>
    <s v="FA"/>
    <x v="11"/>
    <x v="125"/>
    <n v="1057"/>
    <n v="626"/>
    <n v="431"/>
  </r>
  <r>
    <x v="7"/>
    <x v="132"/>
    <s v="FA"/>
    <x v="11"/>
    <x v="126"/>
    <n v="66"/>
    <n v="47"/>
    <n v="19"/>
  </r>
  <r>
    <x v="7"/>
    <x v="133"/>
    <s v="FA"/>
    <x v="11"/>
    <x v="127"/>
    <n v="73"/>
    <n v="44"/>
    <n v="29"/>
  </r>
  <r>
    <x v="7"/>
    <x v="134"/>
    <s v="FA"/>
    <x v="11"/>
    <x v="128"/>
    <n v="20"/>
    <n v="12"/>
    <n v="8"/>
  </r>
  <r>
    <x v="7"/>
    <x v="135"/>
    <s v="FA"/>
    <x v="11"/>
    <x v="112"/>
    <n v="117"/>
    <n v="70"/>
    <n v="47"/>
  </r>
  <r>
    <x v="7"/>
    <x v="136"/>
    <s v="FA"/>
    <x v="11"/>
    <x v="129"/>
    <n v="91"/>
    <n v="50"/>
    <n v="41"/>
  </r>
  <r>
    <x v="7"/>
    <x v="137"/>
    <s v="FA"/>
    <x v="11"/>
    <x v="130"/>
    <n v="11"/>
    <n v="6"/>
    <n v="5"/>
  </r>
  <r>
    <x v="7"/>
    <x v="138"/>
    <s v="FA"/>
    <x v="11"/>
    <x v="131"/>
    <n v="125"/>
    <n v="79"/>
    <n v="46"/>
  </r>
  <r>
    <x v="7"/>
    <x v="139"/>
    <s v="FA"/>
    <x v="11"/>
    <x v="132"/>
    <n v="94"/>
    <n v="60"/>
    <n v="34"/>
  </r>
  <r>
    <x v="7"/>
    <x v="140"/>
    <s v="FA"/>
    <x v="11"/>
    <x v="104"/>
    <n v="1256"/>
    <n v="734"/>
    <n v="522"/>
  </r>
  <r>
    <x v="7"/>
    <x v="141"/>
    <s v="FA"/>
    <x v="11"/>
    <x v="133"/>
    <n v="80"/>
    <n v="63"/>
    <n v="17"/>
  </r>
  <r>
    <x v="7"/>
    <x v="142"/>
    <s v="FA"/>
    <x v="11"/>
    <x v="134"/>
    <n v="2"/>
    <n v="1"/>
    <n v="1"/>
  </r>
  <r>
    <x v="7"/>
    <x v="143"/>
    <s v="FA"/>
    <x v="11"/>
    <x v="135"/>
    <n v="27"/>
    <n v="21"/>
    <n v="6"/>
  </r>
  <r>
    <x v="7"/>
    <x v="144"/>
    <s v="FA"/>
    <x v="11"/>
    <x v="45"/>
    <n v="44"/>
    <n v="31"/>
    <n v="13"/>
  </r>
  <r>
    <x v="7"/>
    <x v="145"/>
    <s v="FA"/>
    <x v="11"/>
    <x v="136"/>
    <n v="43"/>
    <n v="32"/>
    <n v="11"/>
  </r>
  <r>
    <x v="7"/>
    <x v="146"/>
    <s v="FA"/>
    <x v="11"/>
    <x v="137"/>
    <n v="152"/>
    <n v="101"/>
    <n v="51"/>
  </r>
  <r>
    <x v="7"/>
    <x v="147"/>
    <s v="FA"/>
    <x v="11"/>
    <x v="73"/>
    <n v="15"/>
    <n v="9"/>
    <n v="6"/>
  </r>
  <r>
    <x v="7"/>
    <x v="148"/>
    <s v="FA"/>
    <x v="11"/>
    <x v="138"/>
    <n v="16"/>
    <n v="9"/>
    <n v="7"/>
  </r>
  <r>
    <x v="7"/>
    <x v="149"/>
    <s v="FA"/>
    <x v="11"/>
    <x v="139"/>
    <n v="28"/>
    <n v="17"/>
    <n v="11"/>
  </r>
  <r>
    <x v="7"/>
    <x v="150"/>
    <s v="FA"/>
    <x v="11"/>
    <x v="140"/>
    <n v="26"/>
    <n v="19"/>
    <n v="7"/>
  </r>
  <r>
    <x v="7"/>
    <x v="151"/>
    <s v="FA"/>
    <x v="11"/>
    <x v="76"/>
    <n v="66"/>
    <n v="39"/>
    <n v="27"/>
  </r>
  <r>
    <x v="7"/>
    <x v="152"/>
    <s v="GU"/>
    <x v="12"/>
    <x v="141"/>
    <n v="44"/>
    <n v="26"/>
    <n v="18"/>
  </r>
  <r>
    <x v="7"/>
    <x v="153"/>
    <s v="GU"/>
    <x v="12"/>
    <x v="142"/>
    <n v="38"/>
    <n v="28"/>
    <n v="10"/>
  </r>
  <r>
    <x v="7"/>
    <x v="154"/>
    <s v="GU"/>
    <x v="12"/>
    <x v="143"/>
    <n v="33"/>
    <n v="19"/>
    <n v="14"/>
  </r>
  <r>
    <x v="7"/>
    <x v="155"/>
    <s v="GU"/>
    <x v="12"/>
    <x v="144"/>
    <n v="33"/>
    <n v="18"/>
    <n v="15"/>
  </r>
  <r>
    <x v="7"/>
    <x v="156"/>
    <s v="GU"/>
    <x v="12"/>
    <x v="145"/>
    <n v="714"/>
    <n v="458"/>
    <n v="256"/>
  </r>
  <r>
    <x v="7"/>
    <x v="157"/>
    <s v="GU"/>
    <x v="12"/>
    <x v="146"/>
    <n v="98"/>
    <n v="69"/>
    <n v="29"/>
  </r>
  <r>
    <x v="7"/>
    <x v="158"/>
    <s v="GU"/>
    <x v="12"/>
    <x v="147"/>
    <n v="116"/>
    <n v="68"/>
    <n v="48"/>
  </r>
  <r>
    <x v="7"/>
    <x v="159"/>
    <s v="GU"/>
    <x v="12"/>
    <x v="104"/>
    <n v="585"/>
    <n v="360"/>
    <n v="225"/>
  </r>
  <r>
    <x v="7"/>
    <x v="160"/>
    <s v="GU"/>
    <x v="12"/>
    <x v="148"/>
    <n v="354"/>
    <n v="214"/>
    <n v="140"/>
  </r>
  <r>
    <x v="7"/>
    <x v="161"/>
    <s v="GU"/>
    <x v="12"/>
    <x v="149"/>
    <n v="70"/>
    <n v="45"/>
    <n v="25"/>
  </r>
  <r>
    <x v="7"/>
    <x v="162"/>
    <s v="GU"/>
    <x v="12"/>
    <x v="150"/>
    <n v="105"/>
    <n v="68"/>
    <n v="37"/>
  </r>
  <r>
    <x v="7"/>
    <x v="163"/>
    <s v="GU"/>
    <x v="12"/>
    <x v="96"/>
    <n v="964"/>
    <n v="616"/>
    <n v="348"/>
  </r>
  <r>
    <x v="7"/>
    <x v="164"/>
    <s v="GU"/>
    <x v="12"/>
    <x v="151"/>
    <n v="20"/>
    <n v="12"/>
    <n v="8"/>
  </r>
  <r>
    <x v="7"/>
    <x v="165"/>
    <s v="GU"/>
    <x v="12"/>
    <x v="152"/>
    <n v="41"/>
    <n v="25"/>
    <n v="16"/>
  </r>
  <r>
    <x v="7"/>
    <x v="166"/>
    <s v="GU"/>
    <x v="12"/>
    <x v="153"/>
    <n v="242"/>
    <n v="163"/>
    <n v="79"/>
  </r>
  <r>
    <x v="7"/>
    <x v="167"/>
    <s v="LA"/>
    <x v="13"/>
    <x v="154"/>
    <n v="121"/>
    <n v="79"/>
    <n v="42"/>
  </r>
  <r>
    <x v="7"/>
    <x v="168"/>
    <s v="LA"/>
    <x v="13"/>
    <x v="155"/>
    <n v="114"/>
    <n v="70"/>
    <n v="44"/>
  </r>
  <r>
    <x v="7"/>
    <x v="169"/>
    <s v="LA"/>
    <x v="13"/>
    <x v="156"/>
    <n v="6377"/>
    <n v="3779"/>
    <n v="2598"/>
  </r>
  <r>
    <x v="7"/>
    <x v="170"/>
    <s v="LA"/>
    <x v="13"/>
    <x v="157"/>
    <n v="322"/>
    <n v="210"/>
    <n v="112"/>
  </r>
  <r>
    <x v="7"/>
    <x v="171"/>
    <s v="LA"/>
    <x v="13"/>
    <x v="158"/>
    <n v="406"/>
    <n v="248"/>
    <n v="158"/>
  </r>
  <r>
    <x v="7"/>
    <x v="172"/>
    <s v="LA"/>
    <x v="13"/>
    <x v="159"/>
    <n v="346"/>
    <n v="192"/>
    <n v="154"/>
  </r>
  <r>
    <x v="7"/>
    <x v="173"/>
    <s v="LA"/>
    <x v="13"/>
    <x v="160"/>
    <n v="100"/>
    <n v="76"/>
    <n v="24"/>
  </r>
  <r>
    <x v="7"/>
    <x v="174"/>
    <s v="LA"/>
    <x v="13"/>
    <x v="161"/>
    <n v="695"/>
    <n v="425"/>
    <n v="270"/>
  </r>
  <r>
    <x v="7"/>
    <x v="175"/>
    <s v="LA"/>
    <x v="13"/>
    <x v="75"/>
    <n v="163"/>
    <n v="80"/>
    <n v="83"/>
  </r>
  <r>
    <x v="7"/>
    <x v="176"/>
    <s v="ME"/>
    <x v="14"/>
    <x v="162"/>
    <n v="552"/>
    <n v="367"/>
    <n v="185"/>
  </r>
  <r>
    <x v="7"/>
    <x v="177"/>
    <s v="ME"/>
    <x v="14"/>
    <x v="163"/>
    <n v="35"/>
    <n v="27"/>
    <n v="8"/>
  </r>
  <r>
    <x v="7"/>
    <x v="178"/>
    <s v="ME"/>
    <x v="14"/>
    <x v="164"/>
    <n v="70"/>
    <n v="47"/>
    <n v="23"/>
  </r>
  <r>
    <x v="7"/>
    <x v="179"/>
    <s v="ME"/>
    <x v="14"/>
    <x v="165"/>
    <n v="13"/>
    <n v="8"/>
    <n v="5"/>
  </r>
  <r>
    <x v="7"/>
    <x v="180"/>
    <s v="ME"/>
    <x v="14"/>
    <x v="166"/>
    <n v="26"/>
    <n v="17"/>
    <n v="9"/>
  </r>
  <r>
    <x v="7"/>
    <x v="181"/>
    <s v="ME"/>
    <x v="14"/>
    <x v="167"/>
    <n v="299"/>
    <n v="190"/>
    <n v="109"/>
  </r>
  <r>
    <x v="7"/>
    <x v="182"/>
    <s v="ME"/>
    <x v="14"/>
    <x v="168"/>
    <n v="38"/>
    <n v="27"/>
    <n v="11"/>
  </r>
  <r>
    <x v="7"/>
    <x v="183"/>
    <s v="ME"/>
    <x v="14"/>
    <x v="169"/>
    <n v="99"/>
    <n v="67"/>
    <n v="32"/>
  </r>
  <r>
    <x v="7"/>
    <x v="184"/>
    <s v="ME"/>
    <x v="14"/>
    <x v="170"/>
    <n v="21"/>
    <n v="14"/>
    <n v="7"/>
  </r>
  <r>
    <x v="7"/>
    <x v="185"/>
    <s v="ME"/>
    <x v="14"/>
    <x v="171"/>
    <n v="61"/>
    <n v="36"/>
    <n v="25"/>
  </r>
  <r>
    <x v="7"/>
    <x v="186"/>
    <s v="ME"/>
    <x v="14"/>
    <x v="172"/>
    <n v="17"/>
    <n v="9"/>
    <n v="8"/>
  </r>
  <r>
    <x v="7"/>
    <x v="187"/>
    <s v="ME"/>
    <x v="14"/>
    <x v="66"/>
    <n v="2223"/>
    <n v="1335"/>
    <n v="888"/>
  </r>
  <r>
    <x v="7"/>
    <x v="188"/>
    <s v="ME"/>
    <x v="14"/>
    <x v="104"/>
    <n v="82"/>
    <n v="50"/>
    <n v="32"/>
  </r>
  <r>
    <x v="7"/>
    <x v="189"/>
    <s v="ME"/>
    <x v="14"/>
    <x v="173"/>
    <n v="84"/>
    <n v="59"/>
    <n v="25"/>
  </r>
  <r>
    <x v="7"/>
    <x v="190"/>
    <s v="ME"/>
    <x v="14"/>
    <x v="174"/>
    <n v="3"/>
    <n v="1"/>
    <n v="2"/>
  </r>
  <r>
    <x v="7"/>
    <x v="191"/>
    <s v="ME"/>
    <x v="14"/>
    <x v="175"/>
    <n v="56"/>
    <n v="39"/>
    <n v="17"/>
  </r>
  <r>
    <x v="7"/>
    <x v="192"/>
    <s v="ME"/>
    <x v="14"/>
    <x v="176"/>
    <n v="59"/>
    <n v="40"/>
    <n v="19"/>
  </r>
  <r>
    <x v="7"/>
    <x v="193"/>
    <s v="ME"/>
    <x v="14"/>
    <x v="177"/>
    <n v="69"/>
    <n v="53"/>
    <n v="16"/>
  </r>
  <r>
    <x v="7"/>
    <x v="194"/>
    <s v="ME"/>
    <x v="14"/>
    <x v="178"/>
    <n v="55"/>
    <n v="37"/>
    <n v="18"/>
  </r>
  <r>
    <x v="7"/>
    <x v="195"/>
    <s v="ME"/>
    <x v="14"/>
    <x v="73"/>
    <n v="169"/>
    <n v="113"/>
    <n v="56"/>
  </r>
  <r>
    <x v="7"/>
    <x v="196"/>
    <s v="ME"/>
    <x v="14"/>
    <x v="74"/>
    <n v="169"/>
    <n v="118"/>
    <n v="51"/>
  </r>
  <r>
    <x v="7"/>
    <x v="197"/>
    <s v="ME"/>
    <x v="14"/>
    <x v="179"/>
    <n v="106"/>
    <n v="69"/>
    <n v="37"/>
  </r>
  <r>
    <x v="7"/>
    <x v="198"/>
    <s v="ME"/>
    <x v="14"/>
    <x v="180"/>
    <n v="47"/>
    <n v="28"/>
    <n v="19"/>
  </r>
  <r>
    <x v="7"/>
    <x v="199"/>
    <s v="MI"/>
    <x v="15"/>
    <x v="181"/>
    <n v="387"/>
    <n v="268"/>
    <n v="119"/>
  </r>
  <r>
    <x v="7"/>
    <x v="200"/>
    <s v="MI"/>
    <x v="15"/>
    <x v="163"/>
    <n v="94"/>
    <n v="57"/>
    <n v="37"/>
  </r>
  <r>
    <x v="7"/>
    <x v="201"/>
    <s v="MI"/>
    <x v="15"/>
    <x v="182"/>
    <n v="1849"/>
    <n v="912"/>
    <n v="937"/>
  </r>
  <r>
    <x v="7"/>
    <x v="202"/>
    <s v="MI"/>
    <x v="15"/>
    <x v="183"/>
    <n v="307"/>
    <n v="199"/>
    <n v="108"/>
  </r>
  <r>
    <x v="7"/>
    <x v="203"/>
    <s v="MI"/>
    <x v="15"/>
    <x v="184"/>
    <n v="68"/>
    <n v="48"/>
    <n v="20"/>
  </r>
  <r>
    <x v="7"/>
    <x v="204"/>
    <s v="MI"/>
    <x v="15"/>
    <x v="185"/>
    <n v="137"/>
    <n v="91"/>
    <n v="46"/>
  </r>
  <r>
    <x v="7"/>
    <x v="205"/>
    <s v="MI"/>
    <x v="15"/>
    <x v="186"/>
    <n v="813"/>
    <n v="440"/>
    <n v="373"/>
  </r>
  <r>
    <x v="7"/>
    <x v="206"/>
    <s v="MI"/>
    <x v="15"/>
    <x v="187"/>
    <n v="419"/>
    <n v="305"/>
    <n v="114"/>
  </r>
  <r>
    <x v="7"/>
    <x v="207"/>
    <s v="MI"/>
    <x v="15"/>
    <x v="188"/>
    <n v="135"/>
    <n v="84"/>
    <n v="51"/>
  </r>
  <r>
    <x v="7"/>
    <x v="208"/>
    <s v="MI"/>
    <x v="15"/>
    <x v="189"/>
    <n v="1558"/>
    <n v="1011"/>
    <n v="547"/>
  </r>
  <r>
    <x v="7"/>
    <x v="209"/>
    <s v="MI"/>
    <x v="15"/>
    <x v="38"/>
    <n v="505"/>
    <n v="347"/>
    <n v="158"/>
  </r>
  <r>
    <x v="7"/>
    <x v="210"/>
    <s v="MI"/>
    <x v="15"/>
    <x v="190"/>
    <n v="597"/>
    <n v="429"/>
    <n v="168"/>
  </r>
  <r>
    <x v="7"/>
    <x v="211"/>
    <s v="MI"/>
    <x v="15"/>
    <x v="191"/>
    <n v="194"/>
    <n v="106"/>
    <n v="88"/>
  </r>
  <r>
    <x v="7"/>
    <x v="212"/>
    <s v="MI"/>
    <x v="15"/>
    <x v="55"/>
    <n v="165"/>
    <n v="112"/>
    <n v="53"/>
  </r>
  <r>
    <x v="7"/>
    <x v="213"/>
    <s v="MI"/>
    <x v="15"/>
    <x v="192"/>
    <n v="262"/>
    <n v="186"/>
    <n v="76"/>
  </r>
  <r>
    <x v="7"/>
    <x v="214"/>
    <s v="MI"/>
    <x v="15"/>
    <x v="193"/>
    <n v="52"/>
    <n v="38"/>
    <n v="14"/>
  </r>
  <r>
    <x v="7"/>
    <x v="215"/>
    <s v="MI"/>
    <x v="15"/>
    <x v="194"/>
    <n v="839"/>
    <n v="566"/>
    <n v="273"/>
  </r>
  <r>
    <x v="7"/>
    <x v="216"/>
    <s v="MI"/>
    <x v="15"/>
    <x v="49"/>
    <n v="139"/>
    <n v="115"/>
    <n v="24"/>
  </r>
  <r>
    <x v="7"/>
    <x v="217"/>
    <s v="MI"/>
    <x v="15"/>
    <x v="73"/>
    <n v="3576"/>
    <n v="2300"/>
    <n v="1276"/>
  </r>
  <r>
    <x v="7"/>
    <x v="218"/>
    <s v="MI"/>
    <x v="15"/>
    <x v="75"/>
    <n v="479"/>
    <n v="320"/>
    <n v="159"/>
  </r>
  <r>
    <x v="7"/>
    <x v="219"/>
    <s v="MI"/>
    <x v="15"/>
    <x v="76"/>
    <n v="636"/>
    <n v="424"/>
    <n v="212"/>
  </r>
  <r>
    <x v="7"/>
    <x v="220"/>
    <s v="MO"/>
    <x v="16"/>
    <x v="122"/>
    <n v="55"/>
    <n v="37"/>
    <n v="18"/>
  </r>
  <r>
    <x v="7"/>
    <x v="221"/>
    <s v="MO"/>
    <x v="16"/>
    <x v="195"/>
    <n v="10"/>
    <n v="6"/>
    <n v="4"/>
  </r>
  <r>
    <x v="7"/>
    <x v="222"/>
    <s v="MO"/>
    <x v="16"/>
    <x v="59"/>
    <n v="137"/>
    <n v="101"/>
    <n v="36"/>
  </r>
  <r>
    <x v="7"/>
    <x v="223"/>
    <s v="MO"/>
    <x v="16"/>
    <x v="196"/>
    <n v="102"/>
    <n v="59"/>
    <n v="43"/>
  </r>
  <r>
    <x v="7"/>
    <x v="224"/>
    <s v="MO"/>
    <x v="16"/>
    <x v="89"/>
    <n v="86"/>
    <n v="59"/>
    <n v="27"/>
  </r>
  <r>
    <x v="7"/>
    <x v="225"/>
    <s v="MO"/>
    <x v="16"/>
    <x v="83"/>
    <n v="163"/>
    <n v="109"/>
    <n v="54"/>
  </r>
  <r>
    <x v="7"/>
    <x v="226"/>
    <s v="MO"/>
    <x v="16"/>
    <x v="66"/>
    <n v="59"/>
    <n v="44"/>
    <n v="15"/>
  </r>
  <r>
    <x v="7"/>
    <x v="227"/>
    <s v="MO"/>
    <x v="16"/>
    <x v="197"/>
    <n v="2702"/>
    <n v="1666"/>
    <n v="1036"/>
  </r>
  <r>
    <x v="7"/>
    <x v="228"/>
    <s v="MO"/>
    <x v="16"/>
    <x v="94"/>
    <n v="89"/>
    <n v="66"/>
    <n v="23"/>
  </r>
  <r>
    <x v="7"/>
    <x v="229"/>
    <s v="MO"/>
    <x v="16"/>
    <x v="198"/>
    <n v="82"/>
    <n v="59"/>
    <n v="23"/>
  </r>
  <r>
    <x v="7"/>
    <x v="230"/>
    <s v="MO"/>
    <x v="16"/>
    <x v="199"/>
    <n v="26"/>
    <n v="20"/>
    <n v="6"/>
  </r>
  <r>
    <x v="7"/>
    <x v="231"/>
    <s v="MO"/>
    <x v="16"/>
    <x v="200"/>
    <n v="59"/>
    <n v="33"/>
    <n v="26"/>
  </r>
  <r>
    <x v="7"/>
    <x v="232"/>
    <s v="MO"/>
    <x v="16"/>
    <x v="201"/>
    <n v="18"/>
    <n v="10"/>
    <n v="8"/>
  </r>
  <r>
    <x v="7"/>
    <x v="233"/>
    <s v="NU"/>
    <x v="17"/>
    <x v="202"/>
    <n v="62"/>
    <n v="40"/>
    <n v="22"/>
  </r>
  <r>
    <x v="7"/>
    <x v="234"/>
    <s v="NU"/>
    <x v="17"/>
    <x v="80"/>
    <n v="112"/>
    <n v="68"/>
    <n v="44"/>
  </r>
  <r>
    <x v="7"/>
    <x v="235"/>
    <s v="NU"/>
    <x v="17"/>
    <x v="203"/>
    <n v="152"/>
    <n v="84"/>
    <n v="68"/>
  </r>
  <r>
    <x v="7"/>
    <x v="236"/>
    <s v="NU"/>
    <x v="17"/>
    <x v="204"/>
    <n v="220"/>
    <n v="154"/>
    <n v="66"/>
  </r>
  <r>
    <x v="7"/>
    <x v="237"/>
    <s v="NU"/>
    <x v="17"/>
    <x v="205"/>
    <n v="116"/>
    <n v="59"/>
    <n v="57"/>
  </r>
  <r>
    <x v="7"/>
    <x v="238"/>
    <s v="NU"/>
    <x v="17"/>
    <x v="206"/>
    <n v="154"/>
    <n v="93"/>
    <n v="61"/>
  </r>
  <r>
    <x v="7"/>
    <x v="239"/>
    <s v="NU"/>
    <x v="17"/>
    <x v="207"/>
    <n v="174"/>
    <n v="108"/>
    <n v="66"/>
  </r>
  <r>
    <x v="7"/>
    <x v="240"/>
    <s v="NU"/>
    <x v="17"/>
    <x v="208"/>
    <n v="1208"/>
    <n v="792"/>
    <n v="416"/>
  </r>
  <r>
    <x v="7"/>
    <x v="241"/>
    <s v="NU"/>
    <x v="17"/>
    <x v="209"/>
    <n v="71"/>
    <n v="38"/>
    <n v="33"/>
  </r>
  <r>
    <x v="7"/>
    <x v="242"/>
    <s v="NU"/>
    <x v="17"/>
    <x v="210"/>
    <n v="121"/>
    <n v="79"/>
    <n v="42"/>
  </r>
  <r>
    <x v="7"/>
    <x v="243"/>
    <s v="NU"/>
    <x v="17"/>
    <x v="211"/>
    <n v="27"/>
    <n v="12"/>
    <n v="15"/>
  </r>
  <r>
    <x v="7"/>
    <x v="244"/>
    <s v="PO"/>
    <x v="18"/>
    <x v="212"/>
    <n v="56"/>
    <n v="41"/>
    <n v="15"/>
  </r>
  <r>
    <x v="7"/>
    <x v="245"/>
    <s v="PO"/>
    <x v="18"/>
    <x v="213"/>
    <n v="1235"/>
    <n v="791"/>
    <n v="444"/>
  </r>
  <r>
    <x v="7"/>
    <x v="246"/>
    <s v="PO"/>
    <x v="18"/>
    <x v="214"/>
    <n v="101"/>
    <n v="67"/>
    <n v="34"/>
  </r>
  <r>
    <x v="7"/>
    <x v="247"/>
    <s v="PO"/>
    <x v="18"/>
    <x v="215"/>
    <n v="1021"/>
    <n v="664"/>
    <n v="357"/>
  </r>
  <r>
    <x v="7"/>
    <x v="248"/>
    <s v="PO"/>
    <x v="18"/>
    <x v="216"/>
    <n v="83"/>
    <n v="52"/>
    <n v="31"/>
  </r>
  <r>
    <x v="7"/>
    <x v="249"/>
    <s v="PO"/>
    <x v="18"/>
    <x v="217"/>
    <n v="81"/>
    <n v="48"/>
    <n v="33"/>
  </r>
  <r>
    <x v="7"/>
    <x v="250"/>
    <s v="PO"/>
    <x v="18"/>
    <x v="218"/>
    <n v="100"/>
    <n v="68"/>
    <n v="32"/>
  </r>
  <r>
    <x v="7"/>
    <x v="251"/>
    <s v="PO"/>
    <x v="18"/>
    <x v="55"/>
    <n v="462"/>
    <n v="296"/>
    <n v="166"/>
  </r>
  <r>
    <x v="7"/>
    <x v="252"/>
    <s v="PO"/>
    <x v="18"/>
    <x v="219"/>
    <n v="12"/>
    <n v="7"/>
    <n v="5"/>
  </r>
  <r>
    <x v="7"/>
    <x v="253"/>
    <s v="PO"/>
    <x v="18"/>
    <x v="220"/>
    <n v="33"/>
    <n v="22"/>
    <n v="11"/>
  </r>
  <r>
    <x v="7"/>
    <x v="254"/>
    <s v="PO"/>
    <x v="18"/>
    <x v="221"/>
    <n v="35"/>
    <n v="28"/>
    <n v="7"/>
  </r>
  <r>
    <x v="7"/>
    <x v="255"/>
    <s v="PO"/>
    <x v="18"/>
    <x v="222"/>
    <n v="31"/>
    <n v="17"/>
    <n v="14"/>
  </r>
  <r>
    <x v="7"/>
    <x v="256"/>
    <s v="PO"/>
    <x v="18"/>
    <x v="73"/>
    <n v="141"/>
    <n v="88"/>
    <n v="53"/>
  </r>
  <r>
    <x v="7"/>
    <x v="257"/>
    <s v="PO"/>
    <x v="18"/>
    <x v="223"/>
    <n v="179"/>
    <n v="113"/>
    <n v="66"/>
  </r>
  <r>
    <x v="7"/>
    <x v="258"/>
    <s v="SU"/>
    <x v="19"/>
    <x v="154"/>
    <n v="83"/>
    <n v="57"/>
    <n v="26"/>
  </r>
  <r>
    <x v="7"/>
    <x v="259"/>
    <s v="SU"/>
    <x v="19"/>
    <x v="224"/>
    <n v="61"/>
    <n v="37"/>
    <n v="24"/>
  </r>
  <r>
    <x v="7"/>
    <x v="260"/>
    <s v="SU"/>
    <x v="19"/>
    <x v="80"/>
    <n v="110"/>
    <n v="67"/>
    <n v="43"/>
  </r>
  <r>
    <x v="7"/>
    <x v="261"/>
    <s v="SU"/>
    <x v="19"/>
    <x v="225"/>
    <n v="68"/>
    <n v="48"/>
    <n v="20"/>
  </r>
  <r>
    <x v="7"/>
    <x v="262"/>
    <s v="SU"/>
    <x v="19"/>
    <x v="226"/>
    <n v="1019"/>
    <n v="628"/>
    <n v="391"/>
  </r>
  <r>
    <x v="7"/>
    <x v="263"/>
    <s v="SU"/>
    <x v="19"/>
    <x v="59"/>
    <n v="57"/>
    <n v="33"/>
    <n v="24"/>
  </r>
  <r>
    <x v="7"/>
    <x v="264"/>
    <s v="SU"/>
    <x v="19"/>
    <x v="227"/>
    <n v="84"/>
    <n v="50"/>
    <n v="34"/>
  </r>
  <r>
    <x v="7"/>
    <x v="265"/>
    <s v="SU"/>
    <x v="19"/>
    <x v="228"/>
    <n v="84"/>
    <n v="51"/>
    <n v="33"/>
  </r>
  <r>
    <x v="7"/>
    <x v="266"/>
    <s v="SU"/>
    <x v="19"/>
    <x v="66"/>
    <n v="16"/>
    <n v="11"/>
    <n v="5"/>
  </r>
  <r>
    <x v="7"/>
    <x v="267"/>
    <s v="SU"/>
    <x v="19"/>
    <x v="208"/>
    <n v="89"/>
    <n v="56"/>
    <n v="33"/>
  </r>
  <r>
    <x v="7"/>
    <x v="268"/>
    <s v="SU"/>
    <x v="19"/>
    <x v="229"/>
    <n v="36"/>
    <n v="23"/>
    <n v="13"/>
  </r>
  <r>
    <x v="7"/>
    <x v="269"/>
    <s v="SU"/>
    <x v="19"/>
    <x v="230"/>
    <n v="157"/>
    <n v="98"/>
    <n v="59"/>
  </r>
  <r>
    <x v="7"/>
    <x v="270"/>
    <s v="SU"/>
    <x v="19"/>
    <x v="231"/>
    <n v="202"/>
    <n v="121"/>
    <n v="81"/>
  </r>
  <r>
    <x v="7"/>
    <x v="271"/>
    <s v="SU"/>
    <x v="19"/>
    <x v="73"/>
    <n v="2079"/>
    <n v="1319"/>
    <n v="760"/>
  </r>
  <r>
    <x v="7"/>
    <x v="272"/>
    <s v="SU"/>
    <x v="19"/>
    <x v="232"/>
    <n v="148"/>
    <n v="92"/>
    <n v="56"/>
  </r>
  <r>
    <x v="7"/>
    <x v="273"/>
    <s v="TA"/>
    <x v="20"/>
    <x v="163"/>
    <n v="77"/>
    <n v="43"/>
    <n v="34"/>
  </r>
  <r>
    <x v="7"/>
    <x v="274"/>
    <s v="TA"/>
    <x v="20"/>
    <x v="233"/>
    <n v="35"/>
    <n v="23"/>
    <n v="12"/>
  </r>
  <r>
    <x v="7"/>
    <x v="275"/>
    <s v="TA"/>
    <x v="20"/>
    <x v="234"/>
    <n v="238"/>
    <n v="142"/>
    <n v="96"/>
  </r>
  <r>
    <x v="7"/>
    <x v="276"/>
    <s v="TA"/>
    <x v="20"/>
    <x v="59"/>
    <n v="255"/>
    <n v="157"/>
    <n v="98"/>
  </r>
  <r>
    <x v="7"/>
    <x v="277"/>
    <s v="TA"/>
    <x v="20"/>
    <x v="235"/>
    <n v="289"/>
    <n v="181"/>
    <n v="108"/>
  </r>
  <r>
    <x v="7"/>
    <x v="278"/>
    <s v="TA"/>
    <x v="20"/>
    <x v="236"/>
    <n v="88"/>
    <n v="53"/>
    <n v="35"/>
  </r>
  <r>
    <x v="7"/>
    <x v="279"/>
    <s v="TA"/>
    <x v="20"/>
    <x v="237"/>
    <n v="206"/>
    <n v="143"/>
    <n v="63"/>
  </r>
  <r>
    <x v="7"/>
    <x v="280"/>
    <s v="TA"/>
    <x v="20"/>
    <x v="35"/>
    <n v="16"/>
    <n v="9"/>
    <n v="7"/>
  </r>
  <r>
    <x v="7"/>
    <x v="281"/>
    <s v="TA"/>
    <x v="20"/>
    <x v="238"/>
    <n v="247"/>
    <n v="175"/>
    <n v="72"/>
  </r>
  <r>
    <x v="7"/>
    <x v="282"/>
    <s v="TA"/>
    <x v="20"/>
    <x v="239"/>
    <n v="85"/>
    <n v="53"/>
    <n v="32"/>
  </r>
  <r>
    <x v="7"/>
    <x v="283"/>
    <s v="TA"/>
    <x v="20"/>
    <x v="38"/>
    <n v="111"/>
    <n v="74"/>
    <n v="37"/>
  </r>
  <r>
    <x v="7"/>
    <x v="284"/>
    <s v="TA"/>
    <x v="20"/>
    <x v="240"/>
    <n v="220"/>
    <n v="136"/>
    <n v="84"/>
  </r>
  <r>
    <x v="7"/>
    <x v="285"/>
    <s v="TA"/>
    <x v="20"/>
    <x v="241"/>
    <n v="23"/>
    <n v="16"/>
    <n v="7"/>
  </r>
  <r>
    <x v="7"/>
    <x v="286"/>
    <s v="TA"/>
    <x v="20"/>
    <x v="242"/>
    <n v="301"/>
    <n v="188"/>
    <n v="113"/>
  </r>
  <r>
    <x v="7"/>
    <x v="287"/>
    <s v="TA"/>
    <x v="20"/>
    <x v="42"/>
    <n v="81"/>
    <n v="46"/>
    <n v="35"/>
  </r>
  <r>
    <x v="7"/>
    <x v="288"/>
    <s v="TA"/>
    <x v="20"/>
    <x v="66"/>
    <n v="107"/>
    <n v="79"/>
    <n v="28"/>
  </r>
  <r>
    <x v="7"/>
    <x v="289"/>
    <s v="TA"/>
    <x v="20"/>
    <x v="243"/>
    <n v="43"/>
    <n v="30"/>
    <n v="13"/>
  </r>
  <r>
    <x v="7"/>
    <x v="290"/>
    <s v="TA"/>
    <x v="20"/>
    <x v="244"/>
    <n v="84"/>
    <n v="47"/>
    <n v="37"/>
  </r>
  <r>
    <x v="7"/>
    <x v="291"/>
    <s v="TA"/>
    <x v="20"/>
    <x v="245"/>
    <n v="157"/>
    <n v="95"/>
    <n v="62"/>
  </r>
  <r>
    <x v="7"/>
    <x v="292"/>
    <s v="TA"/>
    <x v="20"/>
    <x v="246"/>
    <n v="104"/>
    <n v="64"/>
    <n v="40"/>
  </r>
  <r>
    <x v="7"/>
    <x v="293"/>
    <s v="TA"/>
    <x v="20"/>
    <x v="247"/>
    <n v="17"/>
    <n v="9"/>
    <n v="8"/>
  </r>
  <r>
    <x v="7"/>
    <x v="294"/>
    <s v="TA"/>
    <x v="20"/>
    <x v="248"/>
    <n v="47"/>
    <n v="28"/>
    <n v="19"/>
  </r>
  <r>
    <x v="7"/>
    <x v="295"/>
    <s v="TA"/>
    <x v="20"/>
    <x v="249"/>
    <n v="2931"/>
    <n v="1738"/>
    <n v="1193"/>
  </r>
  <r>
    <x v="7"/>
    <x v="296"/>
    <s v="TA"/>
    <x v="20"/>
    <x v="250"/>
    <n v="21"/>
    <n v="14"/>
    <n v="7"/>
  </r>
  <r>
    <x v="7"/>
    <x v="297"/>
    <s v="TA"/>
    <x v="20"/>
    <x v="251"/>
    <n v="28"/>
    <n v="20"/>
    <n v="8"/>
  </r>
  <r>
    <x v="7"/>
    <x v="298"/>
    <s v="TA"/>
    <x v="20"/>
    <x v="50"/>
    <n v="11"/>
    <n v="9"/>
    <n v="2"/>
  </r>
  <r>
    <x v="7"/>
    <x v="299"/>
    <s v="TA"/>
    <x v="20"/>
    <x v="73"/>
    <n v="39"/>
    <n v="28"/>
    <n v="11"/>
  </r>
  <r>
    <x v="7"/>
    <x v="300"/>
    <s v="TA"/>
    <x v="20"/>
    <x v="252"/>
    <n v="138"/>
    <n v="98"/>
    <n v="40"/>
  </r>
  <r>
    <x v="7"/>
    <x v="301"/>
    <s v="TA"/>
    <x v="20"/>
    <x v="253"/>
    <n v="80"/>
    <n v="47"/>
    <n v="33"/>
  </r>
  <r>
    <x v="7"/>
    <x v="302"/>
    <s v="TR"/>
    <x v="21"/>
    <x v="163"/>
    <n v="51"/>
    <n v="40"/>
    <n v="11"/>
  </r>
  <r>
    <x v="7"/>
    <x v="303"/>
    <s v="TR"/>
    <x v="21"/>
    <x v="254"/>
    <n v="409"/>
    <n v="221"/>
    <n v="188"/>
  </r>
  <r>
    <x v="7"/>
    <x v="304"/>
    <s v="TR"/>
    <x v="21"/>
    <x v="59"/>
    <n v="21"/>
    <n v="14"/>
    <n v="7"/>
  </r>
  <r>
    <x v="7"/>
    <x v="305"/>
    <s v="TR"/>
    <x v="21"/>
    <x v="255"/>
    <n v="40"/>
    <n v="22"/>
    <n v="18"/>
  </r>
  <r>
    <x v="7"/>
    <x v="306"/>
    <s v="TR"/>
    <x v="21"/>
    <x v="256"/>
    <n v="131"/>
    <n v="78"/>
    <n v="53"/>
  </r>
  <r>
    <x v="7"/>
    <x v="307"/>
    <s v="TR"/>
    <x v="21"/>
    <x v="257"/>
    <n v="41"/>
    <n v="23"/>
    <n v="18"/>
  </r>
  <r>
    <x v="7"/>
    <x v="308"/>
    <s v="TR"/>
    <x v="21"/>
    <x v="258"/>
    <n v="2"/>
    <n v="1"/>
    <n v="1"/>
  </r>
  <r>
    <x v="7"/>
    <x v="309"/>
    <s v="TR"/>
    <x v="21"/>
    <x v="259"/>
    <n v="21"/>
    <n v="11"/>
    <n v="10"/>
  </r>
  <r>
    <x v="7"/>
    <x v="310"/>
    <s v="TR"/>
    <x v="21"/>
    <x v="260"/>
    <n v="50"/>
    <n v="35"/>
    <n v="15"/>
  </r>
  <r>
    <x v="7"/>
    <x v="311"/>
    <s v="TR"/>
    <x v="21"/>
    <x v="104"/>
    <n v="20"/>
    <n v="12"/>
    <n v="8"/>
  </r>
  <r>
    <x v="7"/>
    <x v="312"/>
    <s v="TR"/>
    <x v="21"/>
    <x v="261"/>
    <n v="46"/>
    <n v="29"/>
    <n v="17"/>
  </r>
  <r>
    <x v="7"/>
    <x v="313"/>
    <s v="TR"/>
    <x v="21"/>
    <x v="262"/>
    <n v="28"/>
    <n v="20"/>
    <n v="8"/>
  </r>
  <r>
    <x v="7"/>
    <x v="314"/>
    <s v="TR"/>
    <x v="21"/>
    <x v="263"/>
    <n v="176"/>
    <n v="101"/>
    <n v="75"/>
  </r>
  <r>
    <x v="7"/>
    <x v="315"/>
    <s v="TR"/>
    <x v="21"/>
    <x v="264"/>
    <n v="47"/>
    <n v="27"/>
    <n v="20"/>
  </r>
  <r>
    <x v="7"/>
    <x v="316"/>
    <s v="TR"/>
    <x v="21"/>
    <x v="265"/>
    <n v="57"/>
    <n v="32"/>
    <n v="25"/>
  </r>
  <r>
    <x v="7"/>
    <x v="317"/>
    <s v="TR"/>
    <x v="21"/>
    <x v="266"/>
    <n v="92"/>
    <n v="56"/>
    <n v="36"/>
  </r>
  <r>
    <x v="7"/>
    <x v="318"/>
    <s v="TR"/>
    <x v="21"/>
    <x v="73"/>
    <n v="103"/>
    <n v="73"/>
    <n v="30"/>
  </r>
  <r>
    <x v="7"/>
    <x v="319"/>
    <s v="TR"/>
    <x v="21"/>
    <x v="267"/>
    <n v="396"/>
    <n v="223"/>
    <n v="173"/>
  </r>
  <r>
    <x v="7"/>
    <x v="320"/>
    <s v="TR"/>
    <x v="21"/>
    <x v="75"/>
    <n v="122"/>
    <n v="83"/>
    <n v="39"/>
  </r>
  <r>
    <x v="7"/>
    <x v="321"/>
    <s v="TR"/>
    <x v="21"/>
    <x v="268"/>
    <n v="1664"/>
    <n v="989"/>
    <n v="675"/>
  </r>
  <r>
    <x v="7"/>
    <x v="322"/>
    <s v="VA"/>
    <x v="0"/>
    <x v="269"/>
    <n v="131"/>
    <n v="88"/>
    <n v="43"/>
  </r>
  <r>
    <x v="7"/>
    <x v="323"/>
    <s v="VA"/>
    <x v="0"/>
    <x v="270"/>
    <n v="127"/>
    <n v="90"/>
    <n v="37"/>
  </r>
  <r>
    <x v="7"/>
    <x v="324"/>
    <s v="VA"/>
    <x v="0"/>
    <x v="271"/>
    <n v="134"/>
    <n v="86"/>
    <n v="48"/>
  </r>
  <r>
    <x v="7"/>
    <x v="325"/>
    <s v="VA"/>
    <x v="0"/>
    <x v="272"/>
    <n v="21"/>
    <n v="13"/>
    <n v="8"/>
  </r>
  <r>
    <x v="7"/>
    <x v="326"/>
    <s v="VA"/>
    <x v="0"/>
    <x v="273"/>
    <n v="358"/>
    <n v="255"/>
    <n v="103"/>
  </r>
  <r>
    <x v="7"/>
    <x v="327"/>
    <s v="VA"/>
    <x v="0"/>
    <x v="274"/>
    <n v="5"/>
    <n v="2"/>
    <n v="3"/>
  </r>
  <r>
    <x v="7"/>
    <x v="328"/>
    <s v="VA"/>
    <x v="0"/>
    <x v="275"/>
    <n v="376"/>
    <n v="237"/>
    <n v="139"/>
  </r>
  <r>
    <x v="7"/>
    <x v="329"/>
    <s v="VA"/>
    <x v="0"/>
    <x v="276"/>
    <n v="114"/>
    <n v="82"/>
    <n v="32"/>
  </r>
  <r>
    <x v="7"/>
    <x v="330"/>
    <s v="VA"/>
    <x v="0"/>
    <x v="277"/>
    <n v="442"/>
    <n v="296"/>
    <n v="146"/>
  </r>
  <r>
    <x v="7"/>
    <x v="331"/>
    <s v="VA"/>
    <x v="0"/>
    <x v="278"/>
    <n v="69"/>
    <n v="39"/>
    <n v="30"/>
  </r>
  <r>
    <x v="7"/>
    <x v="332"/>
    <s v="VA"/>
    <x v="0"/>
    <x v="279"/>
    <n v="107"/>
    <n v="73"/>
    <n v="34"/>
  </r>
  <r>
    <x v="7"/>
    <x v="333"/>
    <s v="YA"/>
    <x v="22"/>
    <x v="280"/>
    <n v="64"/>
    <n v="43"/>
    <n v="21"/>
  </r>
  <r>
    <x v="7"/>
    <x v="334"/>
    <s v="YA"/>
    <x v="22"/>
    <x v="59"/>
    <n v="99"/>
    <n v="62"/>
    <n v="37"/>
  </r>
  <r>
    <x v="7"/>
    <x v="335"/>
    <s v="YA"/>
    <x v="22"/>
    <x v="281"/>
    <n v="239"/>
    <n v="156"/>
    <n v="83"/>
  </r>
  <r>
    <x v="7"/>
    <x v="336"/>
    <s v="YA"/>
    <x v="22"/>
    <x v="282"/>
    <n v="99"/>
    <n v="64"/>
    <n v="35"/>
  </r>
  <r>
    <x v="7"/>
    <x v="337"/>
    <s v="YA"/>
    <x v="22"/>
    <x v="38"/>
    <n v="133"/>
    <n v="88"/>
    <n v="45"/>
  </r>
  <r>
    <x v="7"/>
    <x v="338"/>
    <s v="YA"/>
    <x v="22"/>
    <x v="283"/>
    <n v="32"/>
    <n v="16"/>
    <n v="16"/>
  </r>
  <r>
    <x v="7"/>
    <x v="339"/>
    <s v="YA"/>
    <x v="22"/>
    <x v="284"/>
    <n v="31"/>
    <n v="22"/>
    <n v="9"/>
  </r>
  <r>
    <x v="7"/>
    <x v="340"/>
    <s v="YA"/>
    <x v="22"/>
    <x v="285"/>
    <n v="30"/>
    <n v="20"/>
    <n v="10"/>
  </r>
  <r>
    <x v="7"/>
    <x v="341"/>
    <s v="YA"/>
    <x v="22"/>
    <x v="286"/>
    <n v="245"/>
    <n v="166"/>
    <n v="79"/>
  </r>
  <r>
    <x v="7"/>
    <x v="342"/>
    <s v="YA"/>
    <x v="22"/>
    <x v="287"/>
    <n v="328"/>
    <n v="223"/>
    <n v="105"/>
  </r>
  <r>
    <x v="7"/>
    <x v="343"/>
    <s v="YA"/>
    <x v="22"/>
    <x v="288"/>
    <n v="1137"/>
    <n v="688"/>
    <n v="449"/>
  </r>
  <r>
    <x v="7"/>
    <x v="344"/>
    <s v="YA"/>
    <x v="22"/>
    <x v="73"/>
    <n v="44"/>
    <n v="31"/>
    <n v="13"/>
  </r>
  <r>
    <x v="7"/>
    <x v="345"/>
    <s v="YA"/>
    <x v="22"/>
    <x v="289"/>
    <n v="58"/>
    <n v="34"/>
    <n v="24"/>
  </r>
  <r>
    <x v="7"/>
    <x v="346"/>
    <s v="YA"/>
    <x v="22"/>
    <x v="290"/>
    <n v="62"/>
    <n v="45"/>
    <n v="17"/>
  </r>
  <r>
    <x v="7"/>
    <x v="347"/>
    <s v="ZU"/>
    <x v="23"/>
    <x v="291"/>
    <n v="44"/>
    <n v="23"/>
    <n v="21"/>
  </r>
  <r>
    <x v="7"/>
    <x v="348"/>
    <s v="ZU"/>
    <x v="23"/>
    <x v="292"/>
    <n v="291"/>
    <n v="181"/>
    <n v="110"/>
  </r>
  <r>
    <x v="7"/>
    <x v="349"/>
    <s v="ZU"/>
    <x v="23"/>
    <x v="293"/>
    <n v="1470"/>
    <n v="812"/>
    <n v="658"/>
  </r>
  <r>
    <x v="7"/>
    <x v="350"/>
    <s v="ZU"/>
    <x v="23"/>
    <x v="294"/>
    <n v="92"/>
    <n v="67"/>
    <n v="25"/>
  </r>
  <r>
    <x v="7"/>
    <x v="351"/>
    <s v="ZU"/>
    <x v="23"/>
    <x v="295"/>
    <n v="565"/>
    <n v="363"/>
    <n v="202"/>
  </r>
  <r>
    <x v="7"/>
    <x v="352"/>
    <s v="ZU"/>
    <x v="23"/>
    <x v="296"/>
    <n v="72"/>
    <n v="57"/>
    <n v="15"/>
  </r>
  <r>
    <x v="7"/>
    <x v="353"/>
    <s v="ZU"/>
    <x v="23"/>
    <x v="297"/>
    <n v="375"/>
    <n v="252"/>
    <n v="123"/>
  </r>
  <r>
    <x v="7"/>
    <x v="354"/>
    <s v="ZU"/>
    <x v="23"/>
    <x v="298"/>
    <n v="76"/>
    <n v="52"/>
    <n v="24"/>
  </r>
  <r>
    <x v="7"/>
    <x v="355"/>
    <s v="ZU"/>
    <x v="23"/>
    <x v="299"/>
    <n v="408"/>
    <n v="250"/>
    <n v="158"/>
  </r>
  <r>
    <x v="7"/>
    <x v="356"/>
    <s v="ZU"/>
    <x v="23"/>
    <x v="300"/>
    <n v="1174"/>
    <n v="694"/>
    <n v="480"/>
  </r>
  <r>
    <x v="7"/>
    <x v="357"/>
    <s v="ZU"/>
    <x v="23"/>
    <x v="301"/>
    <n v="458"/>
    <n v="294"/>
    <n v="164"/>
  </r>
  <r>
    <x v="7"/>
    <x v="358"/>
    <s v="ZU"/>
    <x v="23"/>
    <x v="302"/>
    <n v="640"/>
    <n v="402"/>
    <n v="238"/>
  </r>
  <r>
    <x v="7"/>
    <x v="359"/>
    <s v="ZU"/>
    <x v="23"/>
    <x v="303"/>
    <n v="9370"/>
    <n v="5556"/>
    <n v="3814"/>
  </r>
  <r>
    <x v="7"/>
    <x v="360"/>
    <s v="ZU"/>
    <x v="23"/>
    <x v="104"/>
    <n v="274"/>
    <n v="171"/>
    <n v="103"/>
  </r>
  <r>
    <x v="7"/>
    <x v="361"/>
    <s v="ZU"/>
    <x v="23"/>
    <x v="55"/>
    <n v="188"/>
    <n v="117"/>
    <n v="71"/>
  </r>
  <r>
    <x v="7"/>
    <x v="362"/>
    <s v="ZU"/>
    <x v="23"/>
    <x v="304"/>
    <n v="318"/>
    <n v="204"/>
    <n v="114"/>
  </r>
  <r>
    <x v="7"/>
    <x v="363"/>
    <s v="ZU"/>
    <x v="23"/>
    <x v="136"/>
    <n v="1525"/>
    <n v="897"/>
    <n v="628"/>
  </r>
  <r>
    <x v="7"/>
    <x v="364"/>
    <s v="ZU"/>
    <x v="23"/>
    <x v="305"/>
    <n v="143"/>
    <n v="94"/>
    <n v="49"/>
  </r>
  <r>
    <x v="7"/>
    <x v="365"/>
    <s v="ZU"/>
    <x v="23"/>
    <x v="49"/>
    <n v="103"/>
    <n v="74"/>
    <n v="29"/>
  </r>
  <r>
    <x v="7"/>
    <x v="366"/>
    <s v="ZU"/>
    <x v="23"/>
    <x v="73"/>
    <n v="229"/>
    <n v="149"/>
    <n v="80"/>
  </r>
  <r>
    <x v="7"/>
    <x v="367"/>
    <s v="ZU"/>
    <x v="23"/>
    <x v="306"/>
    <n v="173"/>
    <n v="120"/>
    <n v="53"/>
  </r>
  <r>
    <x v="7"/>
    <x v="368"/>
    <s v="DE"/>
    <x v="24"/>
    <x v="307"/>
    <n v="0"/>
    <n v="0"/>
    <n v="0"/>
  </r>
  <r>
    <x v="8"/>
    <x v="0"/>
    <s v="VA"/>
    <x v="0"/>
    <x v="0"/>
    <n v="0"/>
    <n v="0"/>
    <n v="0"/>
  </r>
  <r>
    <x v="8"/>
    <x v="1"/>
    <s v="DI"/>
    <x v="1"/>
    <x v="1"/>
    <n v="0"/>
    <n v="0"/>
    <n v="0"/>
  </r>
  <r>
    <x v="8"/>
    <x v="2"/>
    <s v="DI"/>
    <x v="1"/>
    <x v="2"/>
    <n v="103"/>
    <n v="62"/>
    <n v="41"/>
  </r>
  <r>
    <x v="8"/>
    <x v="3"/>
    <s v="DI"/>
    <x v="1"/>
    <x v="3"/>
    <n v="571"/>
    <n v="377"/>
    <n v="194"/>
  </r>
  <r>
    <x v="8"/>
    <x v="4"/>
    <s v="DI"/>
    <x v="1"/>
    <x v="4"/>
    <n v="237"/>
    <n v="132"/>
    <n v="105"/>
  </r>
  <r>
    <x v="8"/>
    <x v="5"/>
    <s v="DI"/>
    <x v="1"/>
    <x v="5"/>
    <n v="406"/>
    <n v="240"/>
    <n v="166"/>
  </r>
  <r>
    <x v="8"/>
    <x v="6"/>
    <s v="DI"/>
    <x v="1"/>
    <x v="6"/>
    <n v="25"/>
    <n v="19"/>
    <n v="6"/>
  </r>
  <r>
    <x v="8"/>
    <x v="7"/>
    <s v="DI"/>
    <x v="1"/>
    <x v="7"/>
    <n v="609"/>
    <n v="428"/>
    <n v="181"/>
  </r>
  <r>
    <x v="8"/>
    <x v="8"/>
    <s v="DI"/>
    <x v="1"/>
    <x v="8"/>
    <n v="136"/>
    <n v="92"/>
    <n v="44"/>
  </r>
  <r>
    <x v="8"/>
    <x v="9"/>
    <s v="DI"/>
    <x v="1"/>
    <x v="9"/>
    <n v="2073"/>
    <n v="1311"/>
    <n v="762"/>
  </r>
  <r>
    <x v="8"/>
    <x v="10"/>
    <s v="DI"/>
    <x v="1"/>
    <x v="10"/>
    <n v="772"/>
    <n v="422"/>
    <n v="350"/>
  </r>
  <r>
    <x v="8"/>
    <x v="11"/>
    <s v="DI"/>
    <x v="1"/>
    <x v="11"/>
    <n v="353"/>
    <n v="230"/>
    <n v="123"/>
  </r>
  <r>
    <x v="8"/>
    <x v="12"/>
    <s v="DI"/>
    <x v="1"/>
    <x v="12"/>
    <n v="547"/>
    <n v="356"/>
    <n v="191"/>
  </r>
  <r>
    <x v="8"/>
    <x v="13"/>
    <s v="DI"/>
    <x v="1"/>
    <x v="13"/>
    <n v="511"/>
    <n v="318"/>
    <n v="193"/>
  </r>
  <r>
    <x v="8"/>
    <x v="14"/>
    <s v="DI"/>
    <x v="1"/>
    <x v="14"/>
    <n v="157"/>
    <n v="109"/>
    <n v="48"/>
  </r>
  <r>
    <x v="8"/>
    <x v="15"/>
    <s v="DI"/>
    <x v="1"/>
    <x v="15"/>
    <n v="138"/>
    <n v="109"/>
    <n v="29"/>
  </r>
  <r>
    <x v="8"/>
    <x v="16"/>
    <s v="DI"/>
    <x v="1"/>
    <x v="16"/>
    <n v="1088"/>
    <n v="584"/>
    <n v="504"/>
  </r>
  <r>
    <x v="8"/>
    <x v="17"/>
    <s v="DI"/>
    <x v="1"/>
    <x v="17"/>
    <n v="1579"/>
    <n v="869"/>
    <n v="710"/>
  </r>
  <r>
    <x v="8"/>
    <x v="18"/>
    <s v="DI"/>
    <x v="1"/>
    <x v="18"/>
    <n v="1733"/>
    <n v="1011"/>
    <n v="722"/>
  </r>
  <r>
    <x v="8"/>
    <x v="19"/>
    <s v="DI"/>
    <x v="1"/>
    <x v="19"/>
    <n v="2109"/>
    <n v="1213"/>
    <n v="896"/>
  </r>
  <r>
    <x v="8"/>
    <x v="20"/>
    <s v="DI"/>
    <x v="1"/>
    <x v="20"/>
    <n v="519"/>
    <n v="302"/>
    <n v="217"/>
  </r>
  <r>
    <x v="8"/>
    <x v="21"/>
    <s v="DI"/>
    <x v="1"/>
    <x v="21"/>
    <n v="61"/>
    <n v="41"/>
    <n v="20"/>
  </r>
  <r>
    <x v="8"/>
    <x v="22"/>
    <s v="DI"/>
    <x v="1"/>
    <x v="22"/>
    <n v="1752"/>
    <n v="1184"/>
    <n v="568"/>
  </r>
  <r>
    <x v="8"/>
    <x v="23"/>
    <s v="DI"/>
    <x v="1"/>
    <x v="23"/>
    <n v="289"/>
    <n v="169"/>
    <n v="120"/>
  </r>
  <r>
    <x v="8"/>
    <x v="24"/>
    <s v="AM"/>
    <x v="2"/>
    <x v="24"/>
    <n v="71"/>
    <n v="40"/>
    <n v="31"/>
  </r>
  <r>
    <x v="8"/>
    <x v="25"/>
    <s v="AM"/>
    <x v="2"/>
    <x v="25"/>
    <n v="12"/>
    <n v="6"/>
    <n v="6"/>
  </r>
  <r>
    <x v="8"/>
    <x v="26"/>
    <s v="AM"/>
    <x v="2"/>
    <x v="26"/>
    <n v="190"/>
    <n v="112"/>
    <n v="78"/>
  </r>
  <r>
    <x v="8"/>
    <x v="27"/>
    <s v="AM"/>
    <x v="2"/>
    <x v="27"/>
    <n v="16"/>
    <n v="6"/>
    <n v="10"/>
  </r>
  <r>
    <x v="8"/>
    <x v="28"/>
    <s v="AM"/>
    <x v="2"/>
    <x v="28"/>
    <n v="17"/>
    <n v="8"/>
    <n v="9"/>
  </r>
  <r>
    <x v="8"/>
    <x v="29"/>
    <s v="AM"/>
    <x v="2"/>
    <x v="29"/>
    <n v="2"/>
    <n v="1"/>
    <n v="1"/>
  </r>
  <r>
    <x v="8"/>
    <x v="30"/>
    <s v="AM"/>
    <x v="2"/>
    <x v="30"/>
    <n v="12"/>
    <n v="7"/>
    <n v="5"/>
  </r>
  <r>
    <x v="8"/>
    <x v="31"/>
    <s v="AN"/>
    <x v="3"/>
    <x v="31"/>
    <n v="426"/>
    <n v="287"/>
    <n v="139"/>
  </r>
  <r>
    <x v="8"/>
    <x v="32"/>
    <s v="AN"/>
    <x v="3"/>
    <x v="32"/>
    <n v="110"/>
    <n v="56"/>
    <n v="54"/>
  </r>
  <r>
    <x v="8"/>
    <x v="33"/>
    <s v="AN"/>
    <x v="3"/>
    <x v="33"/>
    <n v="126"/>
    <n v="79"/>
    <n v="47"/>
  </r>
  <r>
    <x v="8"/>
    <x v="34"/>
    <s v="AN"/>
    <x v="3"/>
    <x v="34"/>
    <n v="75"/>
    <n v="56"/>
    <n v="19"/>
  </r>
  <r>
    <x v="8"/>
    <x v="35"/>
    <s v="AN"/>
    <x v="3"/>
    <x v="35"/>
    <n v="93"/>
    <n v="64"/>
    <n v="29"/>
  </r>
  <r>
    <x v="8"/>
    <x v="36"/>
    <s v="AN"/>
    <x v="3"/>
    <x v="36"/>
    <n v="38"/>
    <n v="29"/>
    <n v="9"/>
  </r>
  <r>
    <x v="8"/>
    <x v="37"/>
    <s v="AN"/>
    <x v="3"/>
    <x v="37"/>
    <n v="59"/>
    <n v="40"/>
    <n v="19"/>
  </r>
  <r>
    <x v="8"/>
    <x v="38"/>
    <s v="AN"/>
    <x v="3"/>
    <x v="38"/>
    <n v="61"/>
    <n v="43"/>
    <n v="18"/>
  </r>
  <r>
    <x v="8"/>
    <x v="39"/>
    <s v="AN"/>
    <x v="3"/>
    <x v="39"/>
    <n v="49"/>
    <n v="25"/>
    <n v="24"/>
  </r>
  <r>
    <x v="8"/>
    <x v="40"/>
    <s v="AN"/>
    <x v="3"/>
    <x v="40"/>
    <n v="567"/>
    <n v="370"/>
    <n v="197"/>
  </r>
  <r>
    <x v="8"/>
    <x v="41"/>
    <s v="AN"/>
    <x v="3"/>
    <x v="41"/>
    <n v="23"/>
    <n v="15"/>
    <n v="8"/>
  </r>
  <r>
    <x v="8"/>
    <x v="42"/>
    <s v="AN"/>
    <x v="3"/>
    <x v="42"/>
    <n v="48"/>
    <n v="35"/>
    <n v="13"/>
  </r>
  <r>
    <x v="8"/>
    <x v="43"/>
    <s v="AN"/>
    <x v="3"/>
    <x v="43"/>
    <n v="73"/>
    <n v="49"/>
    <n v="24"/>
  </r>
  <r>
    <x v="8"/>
    <x v="44"/>
    <s v="AN"/>
    <x v="3"/>
    <x v="44"/>
    <n v="201"/>
    <n v="123"/>
    <n v="78"/>
  </r>
  <r>
    <x v="8"/>
    <x v="45"/>
    <s v="AN"/>
    <x v="3"/>
    <x v="45"/>
    <n v="62"/>
    <n v="34"/>
    <n v="28"/>
  </r>
  <r>
    <x v="8"/>
    <x v="46"/>
    <s v="AN"/>
    <x v="3"/>
    <x v="46"/>
    <n v="154"/>
    <n v="107"/>
    <n v="47"/>
  </r>
  <r>
    <x v="8"/>
    <x v="47"/>
    <s v="AN"/>
    <x v="3"/>
    <x v="47"/>
    <n v="47"/>
    <n v="32"/>
    <n v="15"/>
  </r>
  <r>
    <x v="8"/>
    <x v="48"/>
    <s v="AN"/>
    <x v="3"/>
    <x v="48"/>
    <n v="27"/>
    <n v="14"/>
    <n v="13"/>
  </r>
  <r>
    <x v="8"/>
    <x v="49"/>
    <s v="AN"/>
    <x v="3"/>
    <x v="49"/>
    <n v="2100"/>
    <n v="1330"/>
    <n v="770"/>
  </r>
  <r>
    <x v="8"/>
    <x v="50"/>
    <s v="AN"/>
    <x v="3"/>
    <x v="50"/>
    <n v="770"/>
    <n v="489"/>
    <n v="281"/>
  </r>
  <r>
    <x v="8"/>
    <x v="51"/>
    <s v="AN"/>
    <x v="3"/>
    <x v="51"/>
    <n v="17"/>
    <n v="10"/>
    <n v="7"/>
  </r>
  <r>
    <x v="8"/>
    <x v="52"/>
    <s v="AP"/>
    <x v="4"/>
    <x v="52"/>
    <n v="185"/>
    <n v="115"/>
    <n v="70"/>
  </r>
  <r>
    <x v="8"/>
    <x v="53"/>
    <s v="AP"/>
    <x v="4"/>
    <x v="53"/>
    <n v="74"/>
    <n v="38"/>
    <n v="36"/>
  </r>
  <r>
    <x v="8"/>
    <x v="54"/>
    <s v="AP"/>
    <x v="4"/>
    <x v="54"/>
    <n v="55"/>
    <n v="35"/>
    <n v="20"/>
  </r>
  <r>
    <x v="8"/>
    <x v="55"/>
    <s v="AP"/>
    <x v="4"/>
    <x v="55"/>
    <n v="317"/>
    <n v="237"/>
    <n v="80"/>
  </r>
  <r>
    <x v="8"/>
    <x v="56"/>
    <s v="AP"/>
    <x v="4"/>
    <x v="56"/>
    <n v="54"/>
    <n v="40"/>
    <n v="14"/>
  </r>
  <r>
    <x v="8"/>
    <x v="57"/>
    <s v="AP"/>
    <x v="4"/>
    <x v="57"/>
    <n v="63"/>
    <n v="39"/>
    <n v="24"/>
  </r>
  <r>
    <x v="8"/>
    <x v="58"/>
    <s v="AP"/>
    <x v="4"/>
    <x v="58"/>
    <n v="1010"/>
    <n v="618"/>
    <n v="392"/>
  </r>
  <r>
    <x v="8"/>
    <x v="59"/>
    <s v="AR"/>
    <x v="5"/>
    <x v="59"/>
    <n v="188"/>
    <n v="126"/>
    <n v="62"/>
  </r>
  <r>
    <x v="8"/>
    <x v="60"/>
    <s v="AR"/>
    <x v="5"/>
    <x v="60"/>
    <n v="67"/>
    <n v="50"/>
    <n v="17"/>
  </r>
  <r>
    <x v="8"/>
    <x v="61"/>
    <s v="AR"/>
    <x v="5"/>
    <x v="61"/>
    <n v="185"/>
    <n v="116"/>
    <n v="69"/>
  </r>
  <r>
    <x v="8"/>
    <x v="62"/>
    <s v="AR"/>
    <x v="5"/>
    <x v="62"/>
    <n v="3823"/>
    <n v="2243"/>
    <n v="1580"/>
  </r>
  <r>
    <x v="8"/>
    <x v="63"/>
    <s v="AR"/>
    <x v="5"/>
    <x v="63"/>
    <n v="65"/>
    <n v="41"/>
    <n v="24"/>
  </r>
  <r>
    <x v="8"/>
    <x v="64"/>
    <s v="AR"/>
    <x v="5"/>
    <x v="64"/>
    <n v="925"/>
    <n v="589"/>
    <n v="336"/>
  </r>
  <r>
    <x v="8"/>
    <x v="65"/>
    <s v="AR"/>
    <x v="5"/>
    <x v="65"/>
    <n v="101"/>
    <n v="72"/>
    <n v="29"/>
  </r>
  <r>
    <x v="8"/>
    <x v="66"/>
    <s v="AR"/>
    <x v="5"/>
    <x v="66"/>
    <n v="474"/>
    <n v="283"/>
    <n v="191"/>
  </r>
  <r>
    <x v="8"/>
    <x v="67"/>
    <s v="AR"/>
    <x v="5"/>
    <x v="67"/>
    <n v="185"/>
    <n v="102"/>
    <n v="83"/>
  </r>
  <r>
    <x v="8"/>
    <x v="68"/>
    <s v="AR"/>
    <x v="5"/>
    <x v="68"/>
    <n v="0"/>
    <n v="0"/>
    <n v="0"/>
  </r>
  <r>
    <x v="8"/>
    <x v="69"/>
    <s v="AR"/>
    <x v="5"/>
    <x v="69"/>
    <n v="79"/>
    <n v="49"/>
    <n v="30"/>
  </r>
  <r>
    <x v="8"/>
    <x v="70"/>
    <s v="AR"/>
    <x v="5"/>
    <x v="70"/>
    <n v="78"/>
    <n v="49"/>
    <n v="29"/>
  </r>
  <r>
    <x v="8"/>
    <x v="71"/>
    <s v="AR"/>
    <x v="5"/>
    <x v="71"/>
    <n v="429"/>
    <n v="297"/>
    <n v="132"/>
  </r>
  <r>
    <x v="8"/>
    <x v="72"/>
    <s v="AR"/>
    <x v="5"/>
    <x v="72"/>
    <n v="115"/>
    <n v="84"/>
    <n v="31"/>
  </r>
  <r>
    <x v="8"/>
    <x v="73"/>
    <s v="AR"/>
    <x v="5"/>
    <x v="73"/>
    <n v="426"/>
    <n v="258"/>
    <n v="168"/>
  </r>
  <r>
    <x v="8"/>
    <x v="74"/>
    <s v="AR"/>
    <x v="5"/>
    <x v="74"/>
    <n v="40"/>
    <n v="27"/>
    <n v="13"/>
  </r>
  <r>
    <x v="8"/>
    <x v="75"/>
    <s v="AR"/>
    <x v="5"/>
    <x v="75"/>
    <n v="42"/>
    <n v="30"/>
    <n v="12"/>
  </r>
  <r>
    <x v="8"/>
    <x v="76"/>
    <s v="AR"/>
    <x v="5"/>
    <x v="76"/>
    <n v="511"/>
    <n v="320"/>
    <n v="191"/>
  </r>
  <r>
    <x v="8"/>
    <x v="77"/>
    <s v="BA"/>
    <x v="6"/>
    <x v="77"/>
    <n v="117"/>
    <n v="80"/>
    <n v="37"/>
  </r>
  <r>
    <x v="8"/>
    <x v="78"/>
    <s v="BA"/>
    <x v="6"/>
    <x v="78"/>
    <n v="0"/>
    <n v="0"/>
    <n v="0"/>
  </r>
  <r>
    <x v="8"/>
    <x v="79"/>
    <s v="BA"/>
    <x v="6"/>
    <x v="79"/>
    <n v="244"/>
    <n v="167"/>
    <n v="77"/>
  </r>
  <r>
    <x v="8"/>
    <x v="80"/>
    <s v="BA"/>
    <x v="6"/>
    <x v="80"/>
    <n v="31"/>
    <n v="24"/>
    <n v="7"/>
  </r>
  <r>
    <x v="8"/>
    <x v="81"/>
    <s v="BA"/>
    <x v="6"/>
    <x v="81"/>
    <n v="1930"/>
    <n v="1285"/>
    <n v="645"/>
  </r>
  <r>
    <x v="8"/>
    <x v="82"/>
    <s v="BA"/>
    <x v="6"/>
    <x v="59"/>
    <n v="179"/>
    <n v="130"/>
    <n v="49"/>
  </r>
  <r>
    <x v="8"/>
    <x v="83"/>
    <s v="BA"/>
    <x v="6"/>
    <x v="82"/>
    <n v="72"/>
    <n v="45"/>
    <n v="27"/>
  </r>
  <r>
    <x v="8"/>
    <x v="84"/>
    <s v="BA"/>
    <x v="6"/>
    <x v="83"/>
    <n v="252"/>
    <n v="153"/>
    <n v="99"/>
  </r>
  <r>
    <x v="8"/>
    <x v="85"/>
    <s v="BA"/>
    <x v="6"/>
    <x v="84"/>
    <n v="60"/>
    <n v="46"/>
    <n v="14"/>
  </r>
  <r>
    <x v="8"/>
    <x v="86"/>
    <s v="BA"/>
    <x v="6"/>
    <x v="85"/>
    <n v="171"/>
    <n v="120"/>
    <n v="51"/>
  </r>
  <r>
    <x v="8"/>
    <x v="87"/>
    <s v="BA"/>
    <x v="6"/>
    <x v="86"/>
    <n v="90"/>
    <n v="61"/>
    <n v="29"/>
  </r>
  <r>
    <x v="8"/>
    <x v="88"/>
    <s v="BA"/>
    <x v="6"/>
    <x v="87"/>
    <n v="36"/>
    <n v="25"/>
    <n v="11"/>
  </r>
  <r>
    <x v="8"/>
    <x v="89"/>
    <s v="BO"/>
    <x v="7"/>
    <x v="88"/>
    <n v="3469"/>
    <n v="2270"/>
    <n v="1199"/>
  </r>
  <r>
    <x v="8"/>
    <x v="90"/>
    <s v="BO"/>
    <x v="7"/>
    <x v="89"/>
    <n v="187"/>
    <n v="112"/>
    <n v="75"/>
  </r>
  <r>
    <x v="8"/>
    <x v="91"/>
    <s v="BO"/>
    <x v="7"/>
    <x v="90"/>
    <n v="56"/>
    <n v="44"/>
    <n v="12"/>
  </r>
  <r>
    <x v="8"/>
    <x v="92"/>
    <s v="BO"/>
    <x v="7"/>
    <x v="91"/>
    <n v="70"/>
    <n v="46"/>
    <n v="24"/>
  </r>
  <r>
    <x v="8"/>
    <x v="93"/>
    <s v="BO"/>
    <x v="7"/>
    <x v="92"/>
    <n v="2034"/>
    <n v="1250"/>
    <n v="784"/>
  </r>
  <r>
    <x v="8"/>
    <x v="94"/>
    <s v="BO"/>
    <x v="7"/>
    <x v="93"/>
    <n v="28"/>
    <n v="15"/>
    <n v="13"/>
  </r>
  <r>
    <x v="8"/>
    <x v="95"/>
    <s v="BO"/>
    <x v="7"/>
    <x v="94"/>
    <n v="355"/>
    <n v="219"/>
    <n v="136"/>
  </r>
  <r>
    <x v="8"/>
    <x v="96"/>
    <s v="BO"/>
    <x v="7"/>
    <x v="95"/>
    <n v="35"/>
    <n v="27"/>
    <n v="8"/>
  </r>
  <r>
    <x v="8"/>
    <x v="97"/>
    <s v="BO"/>
    <x v="7"/>
    <x v="96"/>
    <n v="56"/>
    <n v="30"/>
    <n v="26"/>
  </r>
  <r>
    <x v="8"/>
    <x v="98"/>
    <s v="BO"/>
    <x v="7"/>
    <x v="97"/>
    <n v="119"/>
    <n v="87"/>
    <n v="32"/>
  </r>
  <r>
    <x v="8"/>
    <x v="99"/>
    <s v="BO"/>
    <x v="7"/>
    <x v="73"/>
    <n v="10"/>
    <n v="5"/>
    <n v="5"/>
  </r>
  <r>
    <x v="8"/>
    <x v="100"/>
    <s v="CA"/>
    <x v="8"/>
    <x v="98"/>
    <n v="284"/>
    <n v="166"/>
    <n v="118"/>
  </r>
  <r>
    <x v="8"/>
    <x v="101"/>
    <s v="CA"/>
    <x v="8"/>
    <x v="99"/>
    <n v="432"/>
    <n v="284"/>
    <n v="148"/>
  </r>
  <r>
    <x v="8"/>
    <x v="102"/>
    <s v="CA"/>
    <x v="8"/>
    <x v="100"/>
    <n v="535"/>
    <n v="357"/>
    <n v="178"/>
  </r>
  <r>
    <x v="8"/>
    <x v="103"/>
    <s v="CA"/>
    <x v="8"/>
    <x v="101"/>
    <n v="552"/>
    <n v="350"/>
    <n v="202"/>
  </r>
  <r>
    <x v="8"/>
    <x v="104"/>
    <s v="CA"/>
    <x v="8"/>
    <x v="102"/>
    <n v="164"/>
    <n v="112"/>
    <n v="52"/>
  </r>
  <r>
    <x v="8"/>
    <x v="105"/>
    <s v="CA"/>
    <x v="8"/>
    <x v="66"/>
    <n v="407"/>
    <n v="284"/>
    <n v="123"/>
  </r>
  <r>
    <x v="8"/>
    <x v="106"/>
    <s v="CA"/>
    <x v="8"/>
    <x v="103"/>
    <n v="318"/>
    <n v="218"/>
    <n v="100"/>
  </r>
  <r>
    <x v="8"/>
    <x v="107"/>
    <s v="CA"/>
    <x v="8"/>
    <x v="104"/>
    <n v="99"/>
    <n v="65"/>
    <n v="34"/>
  </r>
  <r>
    <x v="8"/>
    <x v="108"/>
    <s v="CA"/>
    <x v="8"/>
    <x v="105"/>
    <n v="66"/>
    <n v="35"/>
    <n v="31"/>
  </r>
  <r>
    <x v="8"/>
    <x v="109"/>
    <s v="CA"/>
    <x v="8"/>
    <x v="106"/>
    <n v="1377"/>
    <n v="758"/>
    <n v="619"/>
  </r>
  <r>
    <x v="8"/>
    <x v="110"/>
    <s v="CA"/>
    <x v="8"/>
    <x v="107"/>
    <n v="1067"/>
    <n v="652"/>
    <n v="415"/>
  </r>
  <r>
    <x v="8"/>
    <x v="111"/>
    <s v="CA"/>
    <x v="8"/>
    <x v="108"/>
    <n v="147"/>
    <n v="83"/>
    <n v="64"/>
  </r>
  <r>
    <x v="8"/>
    <x v="112"/>
    <s v="CA"/>
    <x v="8"/>
    <x v="109"/>
    <n v="135"/>
    <n v="100"/>
    <n v="35"/>
  </r>
  <r>
    <x v="8"/>
    <x v="113"/>
    <s v="CA"/>
    <x v="8"/>
    <x v="110"/>
    <n v="4828"/>
    <n v="3030"/>
    <n v="1798"/>
  </r>
  <r>
    <x v="8"/>
    <x v="114"/>
    <s v="CO"/>
    <x v="9"/>
    <x v="111"/>
    <n v="55"/>
    <n v="32"/>
    <n v="23"/>
  </r>
  <r>
    <x v="8"/>
    <x v="115"/>
    <s v="CO"/>
    <x v="9"/>
    <x v="112"/>
    <n v="317"/>
    <n v="198"/>
    <n v="119"/>
  </r>
  <r>
    <x v="8"/>
    <x v="116"/>
    <s v="CO"/>
    <x v="9"/>
    <x v="62"/>
    <n v="31"/>
    <n v="22"/>
    <n v="9"/>
  </r>
  <r>
    <x v="8"/>
    <x v="117"/>
    <s v="CO"/>
    <x v="9"/>
    <x v="113"/>
    <n v="21"/>
    <n v="12"/>
    <n v="9"/>
  </r>
  <r>
    <x v="8"/>
    <x v="118"/>
    <s v="CO"/>
    <x v="9"/>
    <x v="114"/>
    <n v="0"/>
    <n v="0"/>
    <n v="0"/>
  </r>
  <r>
    <x v="8"/>
    <x v="119"/>
    <s v="CO"/>
    <x v="9"/>
    <x v="115"/>
    <n v="27"/>
    <n v="16"/>
    <n v="11"/>
  </r>
  <r>
    <x v="8"/>
    <x v="120"/>
    <s v="CO"/>
    <x v="9"/>
    <x v="57"/>
    <n v="31"/>
    <n v="23"/>
    <n v="8"/>
  </r>
  <r>
    <x v="8"/>
    <x v="121"/>
    <s v="CO"/>
    <x v="9"/>
    <x v="116"/>
    <n v="621"/>
    <n v="383"/>
    <n v="238"/>
  </r>
  <r>
    <x v="8"/>
    <x v="122"/>
    <s v="CO"/>
    <x v="9"/>
    <x v="117"/>
    <n v="108"/>
    <n v="73"/>
    <n v="35"/>
  </r>
  <r>
    <x v="8"/>
    <x v="123"/>
    <s v="DE"/>
    <x v="10"/>
    <x v="118"/>
    <n v="30"/>
    <n v="22"/>
    <n v="8"/>
  </r>
  <r>
    <x v="8"/>
    <x v="124"/>
    <s v="DE"/>
    <x v="10"/>
    <x v="119"/>
    <n v="45"/>
    <n v="32"/>
    <n v="13"/>
  </r>
  <r>
    <x v="8"/>
    <x v="125"/>
    <s v="DE"/>
    <x v="10"/>
    <x v="120"/>
    <n v="23"/>
    <n v="14"/>
    <n v="9"/>
  </r>
  <r>
    <x v="8"/>
    <x v="126"/>
    <s v="DE"/>
    <x v="10"/>
    <x v="121"/>
    <n v="429"/>
    <n v="261"/>
    <n v="168"/>
  </r>
  <r>
    <x v="8"/>
    <x v="127"/>
    <s v="FA"/>
    <x v="11"/>
    <x v="122"/>
    <n v="44"/>
    <n v="28"/>
    <n v="16"/>
  </r>
  <r>
    <x v="8"/>
    <x v="128"/>
    <s v="FA"/>
    <x v="11"/>
    <x v="59"/>
    <n v="18"/>
    <n v="8"/>
    <n v="10"/>
  </r>
  <r>
    <x v="8"/>
    <x v="129"/>
    <s v="FA"/>
    <x v="11"/>
    <x v="123"/>
    <n v="33"/>
    <n v="22"/>
    <n v="11"/>
  </r>
  <r>
    <x v="8"/>
    <x v="130"/>
    <s v="FA"/>
    <x v="11"/>
    <x v="124"/>
    <n v="28"/>
    <n v="18"/>
    <n v="10"/>
  </r>
  <r>
    <x v="8"/>
    <x v="131"/>
    <s v="FA"/>
    <x v="11"/>
    <x v="125"/>
    <n v="1093"/>
    <n v="649"/>
    <n v="444"/>
  </r>
  <r>
    <x v="8"/>
    <x v="132"/>
    <s v="FA"/>
    <x v="11"/>
    <x v="126"/>
    <n v="60"/>
    <n v="43"/>
    <n v="17"/>
  </r>
  <r>
    <x v="8"/>
    <x v="133"/>
    <s v="FA"/>
    <x v="11"/>
    <x v="127"/>
    <n v="56"/>
    <n v="31"/>
    <n v="25"/>
  </r>
  <r>
    <x v="8"/>
    <x v="134"/>
    <s v="FA"/>
    <x v="11"/>
    <x v="128"/>
    <n v="18"/>
    <n v="14"/>
    <n v="4"/>
  </r>
  <r>
    <x v="8"/>
    <x v="135"/>
    <s v="FA"/>
    <x v="11"/>
    <x v="112"/>
    <n v="71"/>
    <n v="47"/>
    <n v="24"/>
  </r>
  <r>
    <x v="8"/>
    <x v="136"/>
    <s v="FA"/>
    <x v="11"/>
    <x v="129"/>
    <n v="90"/>
    <n v="55"/>
    <n v="35"/>
  </r>
  <r>
    <x v="8"/>
    <x v="137"/>
    <s v="FA"/>
    <x v="11"/>
    <x v="130"/>
    <n v="10"/>
    <n v="7"/>
    <n v="3"/>
  </r>
  <r>
    <x v="8"/>
    <x v="138"/>
    <s v="FA"/>
    <x v="11"/>
    <x v="131"/>
    <n v="116"/>
    <n v="75"/>
    <n v="41"/>
  </r>
  <r>
    <x v="8"/>
    <x v="139"/>
    <s v="FA"/>
    <x v="11"/>
    <x v="132"/>
    <n v="64"/>
    <n v="39"/>
    <n v="25"/>
  </r>
  <r>
    <x v="8"/>
    <x v="140"/>
    <s v="FA"/>
    <x v="11"/>
    <x v="104"/>
    <n v="1216"/>
    <n v="718"/>
    <n v="498"/>
  </r>
  <r>
    <x v="8"/>
    <x v="141"/>
    <s v="FA"/>
    <x v="11"/>
    <x v="133"/>
    <n v="47"/>
    <n v="34"/>
    <n v="13"/>
  </r>
  <r>
    <x v="8"/>
    <x v="142"/>
    <s v="FA"/>
    <x v="11"/>
    <x v="134"/>
    <n v="5"/>
    <n v="3"/>
    <n v="2"/>
  </r>
  <r>
    <x v="8"/>
    <x v="143"/>
    <s v="FA"/>
    <x v="11"/>
    <x v="135"/>
    <n v="27"/>
    <n v="18"/>
    <n v="9"/>
  </r>
  <r>
    <x v="8"/>
    <x v="144"/>
    <s v="FA"/>
    <x v="11"/>
    <x v="45"/>
    <n v="24"/>
    <n v="15"/>
    <n v="9"/>
  </r>
  <r>
    <x v="8"/>
    <x v="145"/>
    <s v="FA"/>
    <x v="11"/>
    <x v="136"/>
    <n v="36"/>
    <n v="24"/>
    <n v="12"/>
  </r>
  <r>
    <x v="8"/>
    <x v="146"/>
    <s v="FA"/>
    <x v="11"/>
    <x v="137"/>
    <n v="160"/>
    <n v="113"/>
    <n v="47"/>
  </r>
  <r>
    <x v="8"/>
    <x v="147"/>
    <s v="FA"/>
    <x v="11"/>
    <x v="73"/>
    <n v="12"/>
    <n v="6"/>
    <n v="6"/>
  </r>
  <r>
    <x v="8"/>
    <x v="148"/>
    <s v="FA"/>
    <x v="11"/>
    <x v="138"/>
    <n v="8"/>
    <n v="6"/>
    <n v="2"/>
  </r>
  <r>
    <x v="8"/>
    <x v="149"/>
    <s v="FA"/>
    <x v="11"/>
    <x v="139"/>
    <n v="25"/>
    <n v="12"/>
    <n v="13"/>
  </r>
  <r>
    <x v="8"/>
    <x v="150"/>
    <s v="FA"/>
    <x v="11"/>
    <x v="140"/>
    <n v="27"/>
    <n v="19"/>
    <n v="8"/>
  </r>
  <r>
    <x v="8"/>
    <x v="151"/>
    <s v="FA"/>
    <x v="11"/>
    <x v="76"/>
    <n v="74"/>
    <n v="48"/>
    <n v="26"/>
  </r>
  <r>
    <x v="8"/>
    <x v="152"/>
    <s v="GU"/>
    <x v="12"/>
    <x v="141"/>
    <n v="48"/>
    <n v="34"/>
    <n v="14"/>
  </r>
  <r>
    <x v="8"/>
    <x v="153"/>
    <s v="GU"/>
    <x v="12"/>
    <x v="142"/>
    <n v="36"/>
    <n v="18"/>
    <n v="18"/>
  </r>
  <r>
    <x v="8"/>
    <x v="154"/>
    <s v="GU"/>
    <x v="12"/>
    <x v="143"/>
    <n v="32"/>
    <n v="18"/>
    <n v="14"/>
  </r>
  <r>
    <x v="8"/>
    <x v="155"/>
    <s v="GU"/>
    <x v="12"/>
    <x v="144"/>
    <n v="26"/>
    <n v="20"/>
    <n v="6"/>
  </r>
  <r>
    <x v="8"/>
    <x v="156"/>
    <s v="GU"/>
    <x v="12"/>
    <x v="145"/>
    <n v="720"/>
    <n v="442"/>
    <n v="278"/>
  </r>
  <r>
    <x v="8"/>
    <x v="157"/>
    <s v="GU"/>
    <x v="12"/>
    <x v="146"/>
    <n v="72"/>
    <n v="42"/>
    <n v="30"/>
  </r>
  <r>
    <x v="8"/>
    <x v="158"/>
    <s v="GU"/>
    <x v="12"/>
    <x v="147"/>
    <n v="120"/>
    <n v="74"/>
    <n v="46"/>
  </r>
  <r>
    <x v="8"/>
    <x v="159"/>
    <s v="GU"/>
    <x v="12"/>
    <x v="104"/>
    <n v="558"/>
    <n v="351"/>
    <n v="207"/>
  </r>
  <r>
    <x v="8"/>
    <x v="160"/>
    <s v="GU"/>
    <x v="12"/>
    <x v="148"/>
    <n v="357"/>
    <n v="225"/>
    <n v="132"/>
  </r>
  <r>
    <x v="8"/>
    <x v="161"/>
    <s v="GU"/>
    <x v="12"/>
    <x v="149"/>
    <n v="59"/>
    <n v="44"/>
    <n v="15"/>
  </r>
  <r>
    <x v="8"/>
    <x v="162"/>
    <s v="GU"/>
    <x v="12"/>
    <x v="150"/>
    <n v="72"/>
    <n v="50"/>
    <n v="22"/>
  </r>
  <r>
    <x v="8"/>
    <x v="163"/>
    <s v="GU"/>
    <x v="12"/>
    <x v="96"/>
    <n v="885"/>
    <n v="568"/>
    <n v="317"/>
  </r>
  <r>
    <x v="8"/>
    <x v="164"/>
    <s v="GU"/>
    <x v="12"/>
    <x v="151"/>
    <n v="25"/>
    <n v="18"/>
    <n v="7"/>
  </r>
  <r>
    <x v="8"/>
    <x v="165"/>
    <s v="GU"/>
    <x v="12"/>
    <x v="152"/>
    <n v="55"/>
    <n v="40"/>
    <n v="15"/>
  </r>
  <r>
    <x v="8"/>
    <x v="166"/>
    <s v="GU"/>
    <x v="12"/>
    <x v="153"/>
    <n v="228"/>
    <n v="151"/>
    <n v="77"/>
  </r>
  <r>
    <x v="8"/>
    <x v="167"/>
    <s v="LA"/>
    <x v="13"/>
    <x v="154"/>
    <n v="117"/>
    <n v="75"/>
    <n v="42"/>
  </r>
  <r>
    <x v="8"/>
    <x v="168"/>
    <s v="LA"/>
    <x v="13"/>
    <x v="155"/>
    <n v="132"/>
    <n v="73"/>
    <n v="59"/>
  </r>
  <r>
    <x v="8"/>
    <x v="169"/>
    <s v="LA"/>
    <x v="13"/>
    <x v="156"/>
    <n v="6107"/>
    <n v="3592"/>
    <n v="2515"/>
  </r>
  <r>
    <x v="8"/>
    <x v="170"/>
    <s v="LA"/>
    <x v="13"/>
    <x v="157"/>
    <n v="247"/>
    <n v="160"/>
    <n v="87"/>
  </r>
  <r>
    <x v="8"/>
    <x v="171"/>
    <s v="LA"/>
    <x v="13"/>
    <x v="158"/>
    <n v="378"/>
    <n v="236"/>
    <n v="142"/>
  </r>
  <r>
    <x v="8"/>
    <x v="172"/>
    <s v="LA"/>
    <x v="13"/>
    <x v="159"/>
    <n v="343"/>
    <n v="205"/>
    <n v="138"/>
  </r>
  <r>
    <x v="8"/>
    <x v="173"/>
    <s v="LA"/>
    <x v="13"/>
    <x v="160"/>
    <n v="75"/>
    <n v="56"/>
    <n v="19"/>
  </r>
  <r>
    <x v="8"/>
    <x v="174"/>
    <s v="LA"/>
    <x v="13"/>
    <x v="161"/>
    <n v="724"/>
    <n v="437"/>
    <n v="287"/>
  </r>
  <r>
    <x v="8"/>
    <x v="175"/>
    <s v="LA"/>
    <x v="13"/>
    <x v="75"/>
    <n v="133"/>
    <n v="78"/>
    <n v="55"/>
  </r>
  <r>
    <x v="8"/>
    <x v="176"/>
    <s v="ME"/>
    <x v="14"/>
    <x v="162"/>
    <n v="545"/>
    <n v="383"/>
    <n v="162"/>
  </r>
  <r>
    <x v="8"/>
    <x v="177"/>
    <s v="ME"/>
    <x v="14"/>
    <x v="163"/>
    <n v="46"/>
    <n v="31"/>
    <n v="15"/>
  </r>
  <r>
    <x v="8"/>
    <x v="178"/>
    <s v="ME"/>
    <x v="14"/>
    <x v="164"/>
    <n v="77"/>
    <n v="53"/>
    <n v="24"/>
  </r>
  <r>
    <x v="8"/>
    <x v="179"/>
    <s v="ME"/>
    <x v="14"/>
    <x v="165"/>
    <n v="14"/>
    <n v="9"/>
    <n v="5"/>
  </r>
  <r>
    <x v="8"/>
    <x v="180"/>
    <s v="ME"/>
    <x v="14"/>
    <x v="166"/>
    <n v="46"/>
    <n v="22"/>
    <n v="24"/>
  </r>
  <r>
    <x v="8"/>
    <x v="181"/>
    <s v="ME"/>
    <x v="14"/>
    <x v="167"/>
    <n v="240"/>
    <n v="156"/>
    <n v="84"/>
  </r>
  <r>
    <x v="8"/>
    <x v="182"/>
    <s v="ME"/>
    <x v="14"/>
    <x v="168"/>
    <n v="41"/>
    <n v="25"/>
    <n v="16"/>
  </r>
  <r>
    <x v="8"/>
    <x v="183"/>
    <s v="ME"/>
    <x v="14"/>
    <x v="169"/>
    <n v="111"/>
    <n v="79"/>
    <n v="32"/>
  </r>
  <r>
    <x v="8"/>
    <x v="184"/>
    <s v="ME"/>
    <x v="14"/>
    <x v="170"/>
    <n v="38"/>
    <n v="26"/>
    <n v="12"/>
  </r>
  <r>
    <x v="8"/>
    <x v="185"/>
    <s v="ME"/>
    <x v="14"/>
    <x v="171"/>
    <n v="53"/>
    <n v="30"/>
    <n v="23"/>
  </r>
  <r>
    <x v="8"/>
    <x v="186"/>
    <s v="ME"/>
    <x v="14"/>
    <x v="172"/>
    <n v="7"/>
    <n v="4"/>
    <n v="3"/>
  </r>
  <r>
    <x v="8"/>
    <x v="187"/>
    <s v="ME"/>
    <x v="14"/>
    <x v="66"/>
    <n v="2197"/>
    <n v="1319"/>
    <n v="878"/>
  </r>
  <r>
    <x v="8"/>
    <x v="188"/>
    <s v="ME"/>
    <x v="14"/>
    <x v="104"/>
    <n v="93"/>
    <n v="59"/>
    <n v="34"/>
  </r>
  <r>
    <x v="8"/>
    <x v="189"/>
    <s v="ME"/>
    <x v="14"/>
    <x v="173"/>
    <n v="98"/>
    <n v="68"/>
    <n v="30"/>
  </r>
  <r>
    <x v="8"/>
    <x v="190"/>
    <s v="ME"/>
    <x v="14"/>
    <x v="174"/>
    <n v="2"/>
    <n v="2"/>
    <n v="0"/>
  </r>
  <r>
    <x v="8"/>
    <x v="191"/>
    <s v="ME"/>
    <x v="14"/>
    <x v="175"/>
    <n v="45"/>
    <n v="27"/>
    <n v="18"/>
  </r>
  <r>
    <x v="8"/>
    <x v="192"/>
    <s v="ME"/>
    <x v="14"/>
    <x v="176"/>
    <n v="47"/>
    <n v="33"/>
    <n v="14"/>
  </r>
  <r>
    <x v="8"/>
    <x v="193"/>
    <s v="ME"/>
    <x v="14"/>
    <x v="177"/>
    <n v="64"/>
    <n v="41"/>
    <n v="23"/>
  </r>
  <r>
    <x v="8"/>
    <x v="194"/>
    <s v="ME"/>
    <x v="14"/>
    <x v="178"/>
    <n v="48"/>
    <n v="31"/>
    <n v="17"/>
  </r>
  <r>
    <x v="8"/>
    <x v="195"/>
    <s v="ME"/>
    <x v="14"/>
    <x v="73"/>
    <n v="171"/>
    <n v="110"/>
    <n v="61"/>
  </r>
  <r>
    <x v="8"/>
    <x v="196"/>
    <s v="ME"/>
    <x v="14"/>
    <x v="74"/>
    <n v="164"/>
    <n v="101"/>
    <n v="63"/>
  </r>
  <r>
    <x v="8"/>
    <x v="197"/>
    <s v="ME"/>
    <x v="14"/>
    <x v="179"/>
    <n v="78"/>
    <n v="53"/>
    <n v="25"/>
  </r>
  <r>
    <x v="8"/>
    <x v="198"/>
    <s v="ME"/>
    <x v="14"/>
    <x v="180"/>
    <n v="36"/>
    <n v="25"/>
    <n v="11"/>
  </r>
  <r>
    <x v="8"/>
    <x v="199"/>
    <s v="MI"/>
    <x v="15"/>
    <x v="181"/>
    <n v="379"/>
    <n v="281"/>
    <n v="98"/>
  </r>
  <r>
    <x v="8"/>
    <x v="200"/>
    <s v="MI"/>
    <x v="15"/>
    <x v="163"/>
    <n v="64"/>
    <n v="42"/>
    <n v="22"/>
  </r>
  <r>
    <x v="8"/>
    <x v="201"/>
    <s v="MI"/>
    <x v="15"/>
    <x v="182"/>
    <n v="1688"/>
    <n v="824"/>
    <n v="864"/>
  </r>
  <r>
    <x v="8"/>
    <x v="202"/>
    <s v="MI"/>
    <x v="15"/>
    <x v="183"/>
    <n v="277"/>
    <n v="171"/>
    <n v="106"/>
  </r>
  <r>
    <x v="8"/>
    <x v="203"/>
    <s v="MI"/>
    <x v="15"/>
    <x v="184"/>
    <n v="62"/>
    <n v="45"/>
    <n v="17"/>
  </r>
  <r>
    <x v="8"/>
    <x v="204"/>
    <s v="MI"/>
    <x v="15"/>
    <x v="185"/>
    <n v="109"/>
    <n v="71"/>
    <n v="38"/>
  </r>
  <r>
    <x v="8"/>
    <x v="205"/>
    <s v="MI"/>
    <x v="15"/>
    <x v="186"/>
    <n v="757"/>
    <n v="417"/>
    <n v="340"/>
  </r>
  <r>
    <x v="8"/>
    <x v="206"/>
    <s v="MI"/>
    <x v="15"/>
    <x v="187"/>
    <n v="403"/>
    <n v="272"/>
    <n v="131"/>
  </r>
  <r>
    <x v="8"/>
    <x v="207"/>
    <s v="MI"/>
    <x v="15"/>
    <x v="188"/>
    <n v="132"/>
    <n v="77"/>
    <n v="55"/>
  </r>
  <r>
    <x v="8"/>
    <x v="208"/>
    <s v="MI"/>
    <x v="15"/>
    <x v="189"/>
    <n v="1529"/>
    <n v="999"/>
    <n v="530"/>
  </r>
  <r>
    <x v="8"/>
    <x v="209"/>
    <s v="MI"/>
    <x v="15"/>
    <x v="38"/>
    <n v="588"/>
    <n v="413"/>
    <n v="175"/>
  </r>
  <r>
    <x v="8"/>
    <x v="210"/>
    <s v="MI"/>
    <x v="15"/>
    <x v="190"/>
    <n v="791"/>
    <n v="547"/>
    <n v="244"/>
  </r>
  <r>
    <x v="8"/>
    <x v="211"/>
    <s v="MI"/>
    <x v="15"/>
    <x v="191"/>
    <n v="163"/>
    <n v="83"/>
    <n v="80"/>
  </r>
  <r>
    <x v="8"/>
    <x v="212"/>
    <s v="MI"/>
    <x v="15"/>
    <x v="55"/>
    <n v="205"/>
    <n v="135"/>
    <n v="70"/>
  </r>
  <r>
    <x v="8"/>
    <x v="213"/>
    <s v="MI"/>
    <x v="15"/>
    <x v="192"/>
    <n v="298"/>
    <n v="212"/>
    <n v="86"/>
  </r>
  <r>
    <x v="8"/>
    <x v="214"/>
    <s v="MI"/>
    <x v="15"/>
    <x v="193"/>
    <n v="59"/>
    <n v="44"/>
    <n v="15"/>
  </r>
  <r>
    <x v="8"/>
    <x v="215"/>
    <s v="MI"/>
    <x v="15"/>
    <x v="194"/>
    <n v="692"/>
    <n v="447"/>
    <n v="245"/>
  </r>
  <r>
    <x v="8"/>
    <x v="216"/>
    <s v="MI"/>
    <x v="15"/>
    <x v="49"/>
    <n v="147"/>
    <n v="123"/>
    <n v="24"/>
  </r>
  <r>
    <x v="8"/>
    <x v="217"/>
    <s v="MI"/>
    <x v="15"/>
    <x v="73"/>
    <n v="3260"/>
    <n v="2131"/>
    <n v="1129"/>
  </r>
  <r>
    <x v="8"/>
    <x v="218"/>
    <s v="MI"/>
    <x v="15"/>
    <x v="75"/>
    <n v="375"/>
    <n v="264"/>
    <n v="111"/>
  </r>
  <r>
    <x v="8"/>
    <x v="219"/>
    <s v="MI"/>
    <x v="15"/>
    <x v="76"/>
    <n v="655"/>
    <n v="460"/>
    <n v="195"/>
  </r>
  <r>
    <x v="8"/>
    <x v="220"/>
    <s v="MO"/>
    <x v="16"/>
    <x v="122"/>
    <n v="52"/>
    <n v="29"/>
    <n v="23"/>
  </r>
  <r>
    <x v="8"/>
    <x v="221"/>
    <s v="MO"/>
    <x v="16"/>
    <x v="195"/>
    <n v="27"/>
    <n v="24"/>
    <n v="3"/>
  </r>
  <r>
    <x v="8"/>
    <x v="222"/>
    <s v="MO"/>
    <x v="16"/>
    <x v="59"/>
    <n v="136"/>
    <n v="82"/>
    <n v="54"/>
  </r>
  <r>
    <x v="8"/>
    <x v="223"/>
    <s v="MO"/>
    <x v="16"/>
    <x v="196"/>
    <n v="86"/>
    <n v="55"/>
    <n v="31"/>
  </r>
  <r>
    <x v="8"/>
    <x v="224"/>
    <s v="MO"/>
    <x v="16"/>
    <x v="89"/>
    <n v="74"/>
    <n v="49"/>
    <n v="25"/>
  </r>
  <r>
    <x v="8"/>
    <x v="225"/>
    <s v="MO"/>
    <x v="16"/>
    <x v="83"/>
    <n v="142"/>
    <n v="96"/>
    <n v="46"/>
  </r>
  <r>
    <x v="8"/>
    <x v="226"/>
    <s v="MO"/>
    <x v="16"/>
    <x v="66"/>
    <n v="83"/>
    <n v="65"/>
    <n v="18"/>
  </r>
  <r>
    <x v="8"/>
    <x v="227"/>
    <s v="MO"/>
    <x v="16"/>
    <x v="197"/>
    <n v="2515"/>
    <n v="1540"/>
    <n v="975"/>
  </r>
  <r>
    <x v="8"/>
    <x v="228"/>
    <s v="MO"/>
    <x v="16"/>
    <x v="94"/>
    <n v="87"/>
    <n v="48"/>
    <n v="39"/>
  </r>
  <r>
    <x v="8"/>
    <x v="229"/>
    <s v="MO"/>
    <x v="16"/>
    <x v="198"/>
    <n v="76"/>
    <n v="49"/>
    <n v="27"/>
  </r>
  <r>
    <x v="8"/>
    <x v="230"/>
    <s v="MO"/>
    <x v="16"/>
    <x v="199"/>
    <n v="15"/>
    <n v="8"/>
    <n v="7"/>
  </r>
  <r>
    <x v="8"/>
    <x v="231"/>
    <s v="MO"/>
    <x v="16"/>
    <x v="200"/>
    <n v="66"/>
    <n v="43"/>
    <n v="23"/>
  </r>
  <r>
    <x v="8"/>
    <x v="232"/>
    <s v="MO"/>
    <x v="16"/>
    <x v="201"/>
    <n v="19"/>
    <n v="14"/>
    <n v="5"/>
  </r>
  <r>
    <x v="8"/>
    <x v="233"/>
    <s v="NU"/>
    <x v="17"/>
    <x v="202"/>
    <n v="49"/>
    <n v="28"/>
    <n v="21"/>
  </r>
  <r>
    <x v="8"/>
    <x v="234"/>
    <s v="NU"/>
    <x v="17"/>
    <x v="80"/>
    <n v="72"/>
    <n v="40"/>
    <n v="32"/>
  </r>
  <r>
    <x v="8"/>
    <x v="235"/>
    <s v="NU"/>
    <x v="17"/>
    <x v="203"/>
    <n v="154"/>
    <n v="99"/>
    <n v="55"/>
  </r>
  <r>
    <x v="8"/>
    <x v="236"/>
    <s v="NU"/>
    <x v="17"/>
    <x v="204"/>
    <n v="222"/>
    <n v="133"/>
    <n v="89"/>
  </r>
  <r>
    <x v="8"/>
    <x v="237"/>
    <s v="NU"/>
    <x v="17"/>
    <x v="205"/>
    <n v="69"/>
    <n v="38"/>
    <n v="31"/>
  </r>
  <r>
    <x v="8"/>
    <x v="238"/>
    <s v="NU"/>
    <x v="17"/>
    <x v="206"/>
    <n v="120"/>
    <n v="70"/>
    <n v="50"/>
  </r>
  <r>
    <x v="8"/>
    <x v="239"/>
    <s v="NU"/>
    <x v="17"/>
    <x v="207"/>
    <n v="169"/>
    <n v="93"/>
    <n v="76"/>
  </r>
  <r>
    <x v="8"/>
    <x v="240"/>
    <s v="NU"/>
    <x v="17"/>
    <x v="208"/>
    <n v="1089"/>
    <n v="705"/>
    <n v="384"/>
  </r>
  <r>
    <x v="8"/>
    <x v="241"/>
    <s v="NU"/>
    <x v="17"/>
    <x v="209"/>
    <n v="48"/>
    <n v="33"/>
    <n v="15"/>
  </r>
  <r>
    <x v="8"/>
    <x v="242"/>
    <s v="NU"/>
    <x v="17"/>
    <x v="210"/>
    <n v="68"/>
    <n v="36"/>
    <n v="32"/>
  </r>
  <r>
    <x v="8"/>
    <x v="243"/>
    <s v="NU"/>
    <x v="17"/>
    <x v="211"/>
    <n v="29"/>
    <n v="17"/>
    <n v="12"/>
  </r>
  <r>
    <x v="8"/>
    <x v="244"/>
    <s v="PO"/>
    <x v="18"/>
    <x v="212"/>
    <n v="37"/>
    <n v="23"/>
    <n v="14"/>
  </r>
  <r>
    <x v="8"/>
    <x v="245"/>
    <s v="PO"/>
    <x v="18"/>
    <x v="213"/>
    <n v="1189"/>
    <n v="737"/>
    <n v="452"/>
  </r>
  <r>
    <x v="8"/>
    <x v="246"/>
    <s v="PO"/>
    <x v="18"/>
    <x v="214"/>
    <n v="79"/>
    <n v="48"/>
    <n v="31"/>
  </r>
  <r>
    <x v="8"/>
    <x v="247"/>
    <s v="PO"/>
    <x v="18"/>
    <x v="215"/>
    <n v="1072"/>
    <n v="666"/>
    <n v="406"/>
  </r>
  <r>
    <x v="8"/>
    <x v="248"/>
    <s v="PO"/>
    <x v="18"/>
    <x v="216"/>
    <n v="84"/>
    <n v="55"/>
    <n v="29"/>
  </r>
  <r>
    <x v="8"/>
    <x v="249"/>
    <s v="PO"/>
    <x v="18"/>
    <x v="217"/>
    <n v="78"/>
    <n v="46"/>
    <n v="32"/>
  </r>
  <r>
    <x v="8"/>
    <x v="250"/>
    <s v="PO"/>
    <x v="18"/>
    <x v="218"/>
    <n v="98"/>
    <n v="68"/>
    <n v="30"/>
  </r>
  <r>
    <x v="8"/>
    <x v="251"/>
    <s v="PO"/>
    <x v="18"/>
    <x v="55"/>
    <n v="423"/>
    <n v="271"/>
    <n v="152"/>
  </r>
  <r>
    <x v="8"/>
    <x v="252"/>
    <s v="PO"/>
    <x v="18"/>
    <x v="219"/>
    <n v="12"/>
    <n v="9"/>
    <n v="3"/>
  </r>
  <r>
    <x v="8"/>
    <x v="253"/>
    <s v="PO"/>
    <x v="18"/>
    <x v="220"/>
    <n v="29"/>
    <n v="14"/>
    <n v="15"/>
  </r>
  <r>
    <x v="8"/>
    <x v="254"/>
    <s v="PO"/>
    <x v="18"/>
    <x v="221"/>
    <n v="29"/>
    <n v="24"/>
    <n v="5"/>
  </r>
  <r>
    <x v="8"/>
    <x v="255"/>
    <s v="PO"/>
    <x v="18"/>
    <x v="222"/>
    <n v="33"/>
    <n v="22"/>
    <n v="11"/>
  </r>
  <r>
    <x v="8"/>
    <x v="256"/>
    <s v="PO"/>
    <x v="18"/>
    <x v="73"/>
    <n v="117"/>
    <n v="64"/>
    <n v="53"/>
  </r>
  <r>
    <x v="8"/>
    <x v="257"/>
    <s v="PO"/>
    <x v="18"/>
    <x v="223"/>
    <n v="184"/>
    <n v="112"/>
    <n v="72"/>
  </r>
  <r>
    <x v="8"/>
    <x v="258"/>
    <s v="SU"/>
    <x v="19"/>
    <x v="154"/>
    <n v="85"/>
    <n v="46"/>
    <n v="39"/>
  </r>
  <r>
    <x v="8"/>
    <x v="259"/>
    <s v="SU"/>
    <x v="19"/>
    <x v="224"/>
    <n v="59"/>
    <n v="39"/>
    <n v="20"/>
  </r>
  <r>
    <x v="8"/>
    <x v="260"/>
    <s v="SU"/>
    <x v="19"/>
    <x v="80"/>
    <n v="134"/>
    <n v="75"/>
    <n v="59"/>
  </r>
  <r>
    <x v="8"/>
    <x v="261"/>
    <s v="SU"/>
    <x v="19"/>
    <x v="225"/>
    <n v="52"/>
    <n v="32"/>
    <n v="20"/>
  </r>
  <r>
    <x v="8"/>
    <x v="262"/>
    <s v="SU"/>
    <x v="19"/>
    <x v="226"/>
    <n v="987"/>
    <n v="595"/>
    <n v="392"/>
  </r>
  <r>
    <x v="8"/>
    <x v="263"/>
    <s v="SU"/>
    <x v="19"/>
    <x v="59"/>
    <n v="32"/>
    <n v="19"/>
    <n v="13"/>
  </r>
  <r>
    <x v="8"/>
    <x v="264"/>
    <s v="SU"/>
    <x v="19"/>
    <x v="227"/>
    <n v="63"/>
    <n v="40"/>
    <n v="23"/>
  </r>
  <r>
    <x v="8"/>
    <x v="265"/>
    <s v="SU"/>
    <x v="19"/>
    <x v="228"/>
    <n v="90"/>
    <n v="56"/>
    <n v="34"/>
  </r>
  <r>
    <x v="8"/>
    <x v="266"/>
    <s v="SU"/>
    <x v="19"/>
    <x v="66"/>
    <n v="16"/>
    <n v="9"/>
    <n v="7"/>
  </r>
  <r>
    <x v="8"/>
    <x v="267"/>
    <s v="SU"/>
    <x v="19"/>
    <x v="208"/>
    <n v="84"/>
    <n v="57"/>
    <n v="27"/>
  </r>
  <r>
    <x v="8"/>
    <x v="268"/>
    <s v="SU"/>
    <x v="19"/>
    <x v="229"/>
    <n v="30"/>
    <n v="19"/>
    <n v="11"/>
  </r>
  <r>
    <x v="8"/>
    <x v="269"/>
    <s v="SU"/>
    <x v="19"/>
    <x v="230"/>
    <n v="166"/>
    <n v="112"/>
    <n v="54"/>
  </r>
  <r>
    <x v="8"/>
    <x v="270"/>
    <s v="SU"/>
    <x v="19"/>
    <x v="231"/>
    <n v="175"/>
    <n v="113"/>
    <n v="62"/>
  </r>
  <r>
    <x v="8"/>
    <x v="271"/>
    <s v="SU"/>
    <x v="19"/>
    <x v="73"/>
    <n v="1794"/>
    <n v="1185"/>
    <n v="609"/>
  </r>
  <r>
    <x v="8"/>
    <x v="272"/>
    <s v="SU"/>
    <x v="19"/>
    <x v="232"/>
    <n v="117"/>
    <n v="71"/>
    <n v="46"/>
  </r>
  <r>
    <x v="8"/>
    <x v="273"/>
    <s v="TA"/>
    <x v="20"/>
    <x v="163"/>
    <n v="68"/>
    <n v="45"/>
    <n v="23"/>
  </r>
  <r>
    <x v="8"/>
    <x v="274"/>
    <s v="TA"/>
    <x v="20"/>
    <x v="233"/>
    <n v="19"/>
    <n v="14"/>
    <n v="5"/>
  </r>
  <r>
    <x v="8"/>
    <x v="275"/>
    <s v="TA"/>
    <x v="20"/>
    <x v="234"/>
    <n v="265"/>
    <n v="170"/>
    <n v="95"/>
  </r>
  <r>
    <x v="8"/>
    <x v="276"/>
    <s v="TA"/>
    <x v="20"/>
    <x v="59"/>
    <n v="193"/>
    <n v="117"/>
    <n v="76"/>
  </r>
  <r>
    <x v="8"/>
    <x v="277"/>
    <s v="TA"/>
    <x v="20"/>
    <x v="235"/>
    <n v="251"/>
    <n v="135"/>
    <n v="116"/>
  </r>
  <r>
    <x v="8"/>
    <x v="278"/>
    <s v="TA"/>
    <x v="20"/>
    <x v="236"/>
    <n v="74"/>
    <n v="50"/>
    <n v="24"/>
  </r>
  <r>
    <x v="8"/>
    <x v="279"/>
    <s v="TA"/>
    <x v="20"/>
    <x v="237"/>
    <n v="184"/>
    <n v="130"/>
    <n v="54"/>
  </r>
  <r>
    <x v="8"/>
    <x v="280"/>
    <s v="TA"/>
    <x v="20"/>
    <x v="35"/>
    <n v="12"/>
    <n v="5"/>
    <n v="7"/>
  </r>
  <r>
    <x v="8"/>
    <x v="281"/>
    <s v="TA"/>
    <x v="20"/>
    <x v="238"/>
    <n v="254"/>
    <n v="183"/>
    <n v="71"/>
  </r>
  <r>
    <x v="8"/>
    <x v="282"/>
    <s v="TA"/>
    <x v="20"/>
    <x v="239"/>
    <n v="81"/>
    <n v="47"/>
    <n v="34"/>
  </r>
  <r>
    <x v="8"/>
    <x v="283"/>
    <s v="TA"/>
    <x v="20"/>
    <x v="38"/>
    <n v="76"/>
    <n v="48"/>
    <n v="28"/>
  </r>
  <r>
    <x v="8"/>
    <x v="284"/>
    <s v="TA"/>
    <x v="20"/>
    <x v="240"/>
    <n v="243"/>
    <n v="145"/>
    <n v="98"/>
  </r>
  <r>
    <x v="8"/>
    <x v="285"/>
    <s v="TA"/>
    <x v="20"/>
    <x v="241"/>
    <n v="28"/>
    <n v="20"/>
    <n v="8"/>
  </r>
  <r>
    <x v="8"/>
    <x v="286"/>
    <s v="TA"/>
    <x v="20"/>
    <x v="242"/>
    <n v="271"/>
    <n v="174"/>
    <n v="97"/>
  </r>
  <r>
    <x v="8"/>
    <x v="287"/>
    <s v="TA"/>
    <x v="20"/>
    <x v="42"/>
    <n v="43"/>
    <n v="27"/>
    <n v="16"/>
  </r>
  <r>
    <x v="8"/>
    <x v="288"/>
    <s v="TA"/>
    <x v="20"/>
    <x v="66"/>
    <n v="79"/>
    <n v="56"/>
    <n v="23"/>
  </r>
  <r>
    <x v="8"/>
    <x v="289"/>
    <s v="TA"/>
    <x v="20"/>
    <x v="243"/>
    <n v="45"/>
    <n v="31"/>
    <n v="14"/>
  </r>
  <r>
    <x v="8"/>
    <x v="290"/>
    <s v="TA"/>
    <x v="20"/>
    <x v="244"/>
    <n v="74"/>
    <n v="46"/>
    <n v="28"/>
  </r>
  <r>
    <x v="8"/>
    <x v="291"/>
    <s v="TA"/>
    <x v="20"/>
    <x v="245"/>
    <n v="152"/>
    <n v="101"/>
    <n v="51"/>
  </r>
  <r>
    <x v="8"/>
    <x v="292"/>
    <s v="TA"/>
    <x v="20"/>
    <x v="246"/>
    <n v="110"/>
    <n v="76"/>
    <n v="34"/>
  </r>
  <r>
    <x v="8"/>
    <x v="293"/>
    <s v="TA"/>
    <x v="20"/>
    <x v="247"/>
    <n v="18"/>
    <n v="14"/>
    <n v="4"/>
  </r>
  <r>
    <x v="8"/>
    <x v="294"/>
    <s v="TA"/>
    <x v="20"/>
    <x v="248"/>
    <n v="27"/>
    <n v="19"/>
    <n v="8"/>
  </r>
  <r>
    <x v="8"/>
    <x v="295"/>
    <s v="TA"/>
    <x v="20"/>
    <x v="249"/>
    <n v="2909"/>
    <n v="1676"/>
    <n v="1233"/>
  </r>
  <r>
    <x v="8"/>
    <x v="296"/>
    <s v="TA"/>
    <x v="20"/>
    <x v="250"/>
    <n v="10"/>
    <n v="5"/>
    <n v="5"/>
  </r>
  <r>
    <x v="8"/>
    <x v="297"/>
    <s v="TA"/>
    <x v="20"/>
    <x v="251"/>
    <n v="24"/>
    <n v="15"/>
    <n v="9"/>
  </r>
  <r>
    <x v="8"/>
    <x v="298"/>
    <s v="TA"/>
    <x v="20"/>
    <x v="50"/>
    <n v="10"/>
    <n v="5"/>
    <n v="5"/>
  </r>
  <r>
    <x v="8"/>
    <x v="299"/>
    <s v="TA"/>
    <x v="20"/>
    <x v="73"/>
    <n v="46"/>
    <n v="30"/>
    <n v="16"/>
  </r>
  <r>
    <x v="8"/>
    <x v="300"/>
    <s v="TA"/>
    <x v="20"/>
    <x v="252"/>
    <n v="88"/>
    <n v="59"/>
    <n v="29"/>
  </r>
  <r>
    <x v="8"/>
    <x v="301"/>
    <s v="TA"/>
    <x v="20"/>
    <x v="253"/>
    <n v="95"/>
    <n v="52"/>
    <n v="43"/>
  </r>
  <r>
    <x v="8"/>
    <x v="302"/>
    <s v="TR"/>
    <x v="21"/>
    <x v="163"/>
    <n v="53"/>
    <n v="38"/>
    <n v="15"/>
  </r>
  <r>
    <x v="8"/>
    <x v="303"/>
    <s v="TR"/>
    <x v="21"/>
    <x v="254"/>
    <n v="429"/>
    <n v="249"/>
    <n v="180"/>
  </r>
  <r>
    <x v="8"/>
    <x v="304"/>
    <s v="TR"/>
    <x v="21"/>
    <x v="59"/>
    <n v="23"/>
    <n v="15"/>
    <n v="8"/>
  </r>
  <r>
    <x v="8"/>
    <x v="305"/>
    <s v="TR"/>
    <x v="21"/>
    <x v="255"/>
    <n v="84"/>
    <n v="50"/>
    <n v="34"/>
  </r>
  <r>
    <x v="8"/>
    <x v="306"/>
    <s v="TR"/>
    <x v="21"/>
    <x v="256"/>
    <n v="139"/>
    <n v="89"/>
    <n v="50"/>
  </r>
  <r>
    <x v="8"/>
    <x v="307"/>
    <s v="TR"/>
    <x v="21"/>
    <x v="257"/>
    <n v="50"/>
    <n v="30"/>
    <n v="20"/>
  </r>
  <r>
    <x v="8"/>
    <x v="308"/>
    <s v="TR"/>
    <x v="21"/>
    <x v="258"/>
    <n v="0"/>
    <n v="0"/>
    <n v="0"/>
  </r>
  <r>
    <x v="8"/>
    <x v="309"/>
    <s v="TR"/>
    <x v="21"/>
    <x v="259"/>
    <n v="36"/>
    <n v="23"/>
    <n v="13"/>
  </r>
  <r>
    <x v="8"/>
    <x v="310"/>
    <s v="TR"/>
    <x v="21"/>
    <x v="260"/>
    <n v="49"/>
    <n v="32"/>
    <n v="17"/>
  </r>
  <r>
    <x v="8"/>
    <x v="311"/>
    <s v="TR"/>
    <x v="21"/>
    <x v="104"/>
    <n v="35"/>
    <n v="28"/>
    <n v="7"/>
  </r>
  <r>
    <x v="8"/>
    <x v="312"/>
    <s v="TR"/>
    <x v="21"/>
    <x v="261"/>
    <n v="34"/>
    <n v="25"/>
    <n v="9"/>
  </r>
  <r>
    <x v="8"/>
    <x v="313"/>
    <s v="TR"/>
    <x v="21"/>
    <x v="262"/>
    <n v="24"/>
    <n v="15"/>
    <n v="9"/>
  </r>
  <r>
    <x v="8"/>
    <x v="314"/>
    <s v="TR"/>
    <x v="21"/>
    <x v="263"/>
    <n v="144"/>
    <n v="85"/>
    <n v="59"/>
  </r>
  <r>
    <x v="8"/>
    <x v="315"/>
    <s v="TR"/>
    <x v="21"/>
    <x v="264"/>
    <n v="52"/>
    <n v="35"/>
    <n v="17"/>
  </r>
  <r>
    <x v="8"/>
    <x v="316"/>
    <s v="TR"/>
    <x v="21"/>
    <x v="265"/>
    <n v="55"/>
    <n v="30"/>
    <n v="25"/>
  </r>
  <r>
    <x v="8"/>
    <x v="317"/>
    <s v="TR"/>
    <x v="21"/>
    <x v="266"/>
    <n v="117"/>
    <n v="70"/>
    <n v="47"/>
  </r>
  <r>
    <x v="8"/>
    <x v="318"/>
    <s v="TR"/>
    <x v="21"/>
    <x v="73"/>
    <n v="119"/>
    <n v="76"/>
    <n v="43"/>
  </r>
  <r>
    <x v="8"/>
    <x v="319"/>
    <s v="TR"/>
    <x v="21"/>
    <x v="267"/>
    <n v="340"/>
    <n v="199"/>
    <n v="141"/>
  </r>
  <r>
    <x v="8"/>
    <x v="320"/>
    <s v="TR"/>
    <x v="21"/>
    <x v="75"/>
    <n v="87"/>
    <n v="60"/>
    <n v="27"/>
  </r>
  <r>
    <x v="8"/>
    <x v="321"/>
    <s v="TR"/>
    <x v="21"/>
    <x v="268"/>
    <n v="1588"/>
    <n v="968"/>
    <n v="620"/>
  </r>
  <r>
    <x v="8"/>
    <x v="322"/>
    <s v="VA"/>
    <x v="0"/>
    <x v="269"/>
    <n v="171"/>
    <n v="116"/>
    <n v="55"/>
  </r>
  <r>
    <x v="8"/>
    <x v="323"/>
    <s v="VA"/>
    <x v="0"/>
    <x v="270"/>
    <n v="155"/>
    <n v="109"/>
    <n v="46"/>
  </r>
  <r>
    <x v="8"/>
    <x v="324"/>
    <s v="VA"/>
    <x v="0"/>
    <x v="271"/>
    <n v="113"/>
    <n v="83"/>
    <n v="30"/>
  </r>
  <r>
    <x v="8"/>
    <x v="325"/>
    <s v="VA"/>
    <x v="0"/>
    <x v="272"/>
    <n v="0"/>
    <n v="0"/>
    <n v="0"/>
  </r>
  <r>
    <x v="8"/>
    <x v="326"/>
    <s v="VA"/>
    <x v="0"/>
    <x v="273"/>
    <n v="327"/>
    <n v="249"/>
    <n v="78"/>
  </r>
  <r>
    <x v="8"/>
    <x v="327"/>
    <s v="VA"/>
    <x v="0"/>
    <x v="274"/>
    <n v="6"/>
    <n v="5"/>
    <n v="1"/>
  </r>
  <r>
    <x v="8"/>
    <x v="328"/>
    <s v="VA"/>
    <x v="0"/>
    <x v="275"/>
    <n v="316"/>
    <n v="206"/>
    <n v="110"/>
  </r>
  <r>
    <x v="8"/>
    <x v="329"/>
    <s v="VA"/>
    <x v="0"/>
    <x v="276"/>
    <n v="84"/>
    <n v="48"/>
    <n v="36"/>
  </r>
  <r>
    <x v="8"/>
    <x v="330"/>
    <s v="VA"/>
    <x v="0"/>
    <x v="277"/>
    <n v="463"/>
    <n v="305"/>
    <n v="158"/>
  </r>
  <r>
    <x v="8"/>
    <x v="331"/>
    <s v="VA"/>
    <x v="0"/>
    <x v="278"/>
    <n v="52"/>
    <n v="32"/>
    <n v="20"/>
  </r>
  <r>
    <x v="8"/>
    <x v="332"/>
    <s v="VA"/>
    <x v="0"/>
    <x v="279"/>
    <n v="91"/>
    <n v="62"/>
    <n v="29"/>
  </r>
  <r>
    <x v="8"/>
    <x v="333"/>
    <s v="YA"/>
    <x v="22"/>
    <x v="280"/>
    <n v="58"/>
    <n v="37"/>
    <n v="21"/>
  </r>
  <r>
    <x v="8"/>
    <x v="334"/>
    <s v="YA"/>
    <x v="22"/>
    <x v="59"/>
    <n v="74"/>
    <n v="49"/>
    <n v="25"/>
  </r>
  <r>
    <x v="8"/>
    <x v="335"/>
    <s v="YA"/>
    <x v="22"/>
    <x v="281"/>
    <n v="218"/>
    <n v="145"/>
    <n v="73"/>
  </r>
  <r>
    <x v="8"/>
    <x v="336"/>
    <s v="YA"/>
    <x v="22"/>
    <x v="282"/>
    <n v="80"/>
    <n v="54"/>
    <n v="26"/>
  </r>
  <r>
    <x v="8"/>
    <x v="337"/>
    <s v="YA"/>
    <x v="22"/>
    <x v="38"/>
    <n v="133"/>
    <n v="83"/>
    <n v="50"/>
  </r>
  <r>
    <x v="8"/>
    <x v="338"/>
    <s v="YA"/>
    <x v="22"/>
    <x v="283"/>
    <n v="33"/>
    <n v="23"/>
    <n v="10"/>
  </r>
  <r>
    <x v="8"/>
    <x v="339"/>
    <s v="YA"/>
    <x v="22"/>
    <x v="284"/>
    <n v="37"/>
    <n v="26"/>
    <n v="11"/>
  </r>
  <r>
    <x v="8"/>
    <x v="340"/>
    <s v="YA"/>
    <x v="22"/>
    <x v="285"/>
    <n v="27"/>
    <n v="16"/>
    <n v="11"/>
  </r>
  <r>
    <x v="8"/>
    <x v="341"/>
    <s v="YA"/>
    <x v="22"/>
    <x v="286"/>
    <n v="224"/>
    <n v="143"/>
    <n v="81"/>
  </r>
  <r>
    <x v="8"/>
    <x v="342"/>
    <s v="YA"/>
    <x v="22"/>
    <x v="287"/>
    <n v="336"/>
    <n v="219"/>
    <n v="117"/>
  </r>
  <r>
    <x v="8"/>
    <x v="343"/>
    <s v="YA"/>
    <x v="22"/>
    <x v="288"/>
    <n v="1005"/>
    <n v="581"/>
    <n v="424"/>
  </r>
  <r>
    <x v="8"/>
    <x v="344"/>
    <s v="YA"/>
    <x v="22"/>
    <x v="73"/>
    <n v="36"/>
    <n v="21"/>
    <n v="15"/>
  </r>
  <r>
    <x v="8"/>
    <x v="345"/>
    <s v="YA"/>
    <x v="22"/>
    <x v="289"/>
    <n v="58"/>
    <n v="45"/>
    <n v="13"/>
  </r>
  <r>
    <x v="8"/>
    <x v="346"/>
    <s v="YA"/>
    <x v="22"/>
    <x v="290"/>
    <n v="46"/>
    <n v="26"/>
    <n v="20"/>
  </r>
  <r>
    <x v="8"/>
    <x v="347"/>
    <s v="ZU"/>
    <x v="23"/>
    <x v="291"/>
    <n v="29"/>
    <n v="17"/>
    <n v="12"/>
  </r>
  <r>
    <x v="8"/>
    <x v="348"/>
    <s v="ZU"/>
    <x v="23"/>
    <x v="292"/>
    <n v="243"/>
    <n v="162"/>
    <n v="81"/>
  </r>
  <r>
    <x v="8"/>
    <x v="349"/>
    <s v="ZU"/>
    <x v="23"/>
    <x v="293"/>
    <n v="1382"/>
    <n v="800"/>
    <n v="582"/>
  </r>
  <r>
    <x v="8"/>
    <x v="350"/>
    <s v="ZU"/>
    <x v="23"/>
    <x v="294"/>
    <n v="104"/>
    <n v="71"/>
    <n v="33"/>
  </r>
  <r>
    <x v="8"/>
    <x v="351"/>
    <s v="ZU"/>
    <x v="23"/>
    <x v="295"/>
    <n v="505"/>
    <n v="328"/>
    <n v="177"/>
  </r>
  <r>
    <x v="8"/>
    <x v="352"/>
    <s v="ZU"/>
    <x v="23"/>
    <x v="296"/>
    <n v="49"/>
    <n v="38"/>
    <n v="11"/>
  </r>
  <r>
    <x v="8"/>
    <x v="353"/>
    <s v="ZU"/>
    <x v="23"/>
    <x v="297"/>
    <n v="320"/>
    <n v="215"/>
    <n v="105"/>
  </r>
  <r>
    <x v="8"/>
    <x v="354"/>
    <s v="ZU"/>
    <x v="23"/>
    <x v="298"/>
    <n v="98"/>
    <n v="64"/>
    <n v="34"/>
  </r>
  <r>
    <x v="8"/>
    <x v="355"/>
    <s v="ZU"/>
    <x v="23"/>
    <x v="299"/>
    <n v="197"/>
    <n v="117"/>
    <n v="80"/>
  </r>
  <r>
    <x v="8"/>
    <x v="356"/>
    <s v="ZU"/>
    <x v="23"/>
    <x v="300"/>
    <n v="1078"/>
    <n v="665"/>
    <n v="413"/>
  </r>
  <r>
    <x v="8"/>
    <x v="357"/>
    <s v="ZU"/>
    <x v="23"/>
    <x v="301"/>
    <n v="393"/>
    <n v="246"/>
    <n v="147"/>
  </r>
  <r>
    <x v="8"/>
    <x v="358"/>
    <s v="ZU"/>
    <x v="23"/>
    <x v="302"/>
    <n v="670"/>
    <n v="422"/>
    <n v="248"/>
  </r>
  <r>
    <x v="8"/>
    <x v="359"/>
    <s v="ZU"/>
    <x v="23"/>
    <x v="303"/>
    <n v="9290"/>
    <n v="5438"/>
    <n v="3852"/>
  </r>
  <r>
    <x v="8"/>
    <x v="360"/>
    <s v="ZU"/>
    <x v="23"/>
    <x v="104"/>
    <n v="254"/>
    <n v="175"/>
    <n v="79"/>
  </r>
  <r>
    <x v="8"/>
    <x v="361"/>
    <s v="ZU"/>
    <x v="23"/>
    <x v="55"/>
    <n v="174"/>
    <n v="105"/>
    <n v="69"/>
  </r>
  <r>
    <x v="8"/>
    <x v="362"/>
    <s v="ZU"/>
    <x v="23"/>
    <x v="304"/>
    <n v="250"/>
    <n v="152"/>
    <n v="98"/>
  </r>
  <r>
    <x v="8"/>
    <x v="363"/>
    <s v="ZU"/>
    <x v="23"/>
    <x v="136"/>
    <n v="1322"/>
    <n v="826"/>
    <n v="496"/>
  </r>
  <r>
    <x v="8"/>
    <x v="364"/>
    <s v="ZU"/>
    <x v="23"/>
    <x v="305"/>
    <n v="149"/>
    <n v="108"/>
    <n v="41"/>
  </r>
  <r>
    <x v="8"/>
    <x v="365"/>
    <s v="ZU"/>
    <x v="23"/>
    <x v="49"/>
    <n v="79"/>
    <n v="54"/>
    <n v="25"/>
  </r>
  <r>
    <x v="8"/>
    <x v="366"/>
    <s v="ZU"/>
    <x v="23"/>
    <x v="73"/>
    <n v="212"/>
    <n v="142"/>
    <n v="70"/>
  </r>
  <r>
    <x v="8"/>
    <x v="367"/>
    <s v="ZU"/>
    <x v="23"/>
    <x v="306"/>
    <n v="140"/>
    <n v="96"/>
    <n v="44"/>
  </r>
  <r>
    <x v="8"/>
    <x v="368"/>
    <s v="DE"/>
    <x v="24"/>
    <x v="307"/>
    <n v="0"/>
    <n v="0"/>
    <n v="0"/>
  </r>
  <r>
    <x v="9"/>
    <x v="0"/>
    <s v="VA"/>
    <x v="0"/>
    <x v="0"/>
    <n v="0"/>
    <n v="0"/>
    <n v="0"/>
  </r>
  <r>
    <x v="9"/>
    <x v="1"/>
    <s v="DI"/>
    <x v="1"/>
    <x v="1"/>
    <n v="0"/>
    <n v="0"/>
    <n v="0"/>
  </r>
  <r>
    <x v="9"/>
    <x v="2"/>
    <s v="DI"/>
    <x v="1"/>
    <x v="2"/>
    <n v="95"/>
    <n v="57"/>
    <n v="38"/>
  </r>
  <r>
    <x v="9"/>
    <x v="3"/>
    <s v="DI"/>
    <x v="1"/>
    <x v="3"/>
    <n v="576"/>
    <n v="385"/>
    <n v="191"/>
  </r>
  <r>
    <x v="9"/>
    <x v="4"/>
    <s v="DI"/>
    <x v="1"/>
    <x v="4"/>
    <n v="235"/>
    <n v="128"/>
    <n v="107"/>
  </r>
  <r>
    <x v="9"/>
    <x v="5"/>
    <s v="DI"/>
    <x v="1"/>
    <x v="5"/>
    <n v="419"/>
    <n v="241"/>
    <n v="178"/>
  </r>
  <r>
    <x v="9"/>
    <x v="6"/>
    <s v="DI"/>
    <x v="1"/>
    <x v="6"/>
    <n v="19"/>
    <n v="11"/>
    <n v="8"/>
  </r>
  <r>
    <x v="9"/>
    <x v="7"/>
    <s v="DI"/>
    <x v="1"/>
    <x v="7"/>
    <n v="542"/>
    <n v="383"/>
    <n v="159"/>
  </r>
  <r>
    <x v="9"/>
    <x v="8"/>
    <s v="DI"/>
    <x v="1"/>
    <x v="8"/>
    <n v="141"/>
    <n v="96"/>
    <n v="45"/>
  </r>
  <r>
    <x v="9"/>
    <x v="9"/>
    <s v="DI"/>
    <x v="1"/>
    <x v="9"/>
    <n v="2021"/>
    <n v="1216"/>
    <n v="805"/>
  </r>
  <r>
    <x v="9"/>
    <x v="10"/>
    <s v="DI"/>
    <x v="1"/>
    <x v="10"/>
    <n v="737"/>
    <n v="418"/>
    <n v="319"/>
  </r>
  <r>
    <x v="9"/>
    <x v="11"/>
    <s v="DI"/>
    <x v="1"/>
    <x v="11"/>
    <n v="311"/>
    <n v="188"/>
    <n v="123"/>
  </r>
  <r>
    <x v="9"/>
    <x v="12"/>
    <s v="DI"/>
    <x v="1"/>
    <x v="12"/>
    <n v="496"/>
    <n v="317"/>
    <n v="179"/>
  </r>
  <r>
    <x v="9"/>
    <x v="13"/>
    <s v="DI"/>
    <x v="1"/>
    <x v="13"/>
    <n v="318"/>
    <n v="192"/>
    <n v="126"/>
  </r>
  <r>
    <x v="9"/>
    <x v="14"/>
    <s v="DI"/>
    <x v="1"/>
    <x v="14"/>
    <n v="122"/>
    <n v="86"/>
    <n v="36"/>
  </r>
  <r>
    <x v="9"/>
    <x v="15"/>
    <s v="DI"/>
    <x v="1"/>
    <x v="15"/>
    <n v="124"/>
    <n v="95"/>
    <n v="29"/>
  </r>
  <r>
    <x v="9"/>
    <x v="16"/>
    <s v="DI"/>
    <x v="1"/>
    <x v="16"/>
    <n v="1037"/>
    <n v="563"/>
    <n v="474"/>
  </r>
  <r>
    <x v="9"/>
    <x v="17"/>
    <s v="DI"/>
    <x v="1"/>
    <x v="17"/>
    <n v="1636"/>
    <n v="921"/>
    <n v="715"/>
  </r>
  <r>
    <x v="9"/>
    <x v="18"/>
    <s v="DI"/>
    <x v="1"/>
    <x v="18"/>
    <n v="1605"/>
    <n v="925"/>
    <n v="680"/>
  </r>
  <r>
    <x v="9"/>
    <x v="19"/>
    <s v="DI"/>
    <x v="1"/>
    <x v="19"/>
    <n v="2217"/>
    <n v="1238"/>
    <n v="979"/>
  </r>
  <r>
    <x v="9"/>
    <x v="20"/>
    <s v="DI"/>
    <x v="1"/>
    <x v="20"/>
    <n v="437"/>
    <n v="266"/>
    <n v="171"/>
  </r>
  <r>
    <x v="9"/>
    <x v="21"/>
    <s v="DI"/>
    <x v="1"/>
    <x v="21"/>
    <n v="55"/>
    <n v="40"/>
    <n v="15"/>
  </r>
  <r>
    <x v="9"/>
    <x v="22"/>
    <s v="DI"/>
    <x v="1"/>
    <x v="22"/>
    <n v="1757"/>
    <n v="1165"/>
    <n v="592"/>
  </r>
  <r>
    <x v="9"/>
    <x v="23"/>
    <s v="DI"/>
    <x v="1"/>
    <x v="23"/>
    <n v="232"/>
    <n v="139"/>
    <n v="93"/>
  </r>
  <r>
    <x v="9"/>
    <x v="24"/>
    <s v="AM"/>
    <x v="2"/>
    <x v="24"/>
    <n v="12"/>
    <n v="6"/>
    <n v="6"/>
  </r>
  <r>
    <x v="9"/>
    <x v="25"/>
    <s v="AM"/>
    <x v="2"/>
    <x v="25"/>
    <n v="8"/>
    <n v="7"/>
    <n v="1"/>
  </r>
  <r>
    <x v="9"/>
    <x v="26"/>
    <s v="AM"/>
    <x v="2"/>
    <x v="26"/>
    <n v="265"/>
    <n v="158"/>
    <n v="107"/>
  </r>
  <r>
    <x v="9"/>
    <x v="27"/>
    <s v="AM"/>
    <x v="2"/>
    <x v="27"/>
    <n v="5"/>
    <n v="4"/>
    <n v="1"/>
  </r>
  <r>
    <x v="9"/>
    <x v="28"/>
    <s v="AM"/>
    <x v="2"/>
    <x v="28"/>
    <n v="4"/>
    <n v="3"/>
    <n v="1"/>
  </r>
  <r>
    <x v="9"/>
    <x v="29"/>
    <s v="AM"/>
    <x v="2"/>
    <x v="29"/>
    <n v="4"/>
    <n v="3"/>
    <n v="1"/>
  </r>
  <r>
    <x v="9"/>
    <x v="30"/>
    <s v="AM"/>
    <x v="2"/>
    <x v="30"/>
    <n v="0"/>
    <n v="0"/>
    <n v="0"/>
  </r>
  <r>
    <x v="9"/>
    <x v="31"/>
    <s v="AN"/>
    <x v="3"/>
    <x v="31"/>
    <n v="303"/>
    <n v="188"/>
    <n v="115"/>
  </r>
  <r>
    <x v="9"/>
    <x v="32"/>
    <s v="AN"/>
    <x v="3"/>
    <x v="32"/>
    <n v="78"/>
    <n v="50"/>
    <n v="28"/>
  </r>
  <r>
    <x v="9"/>
    <x v="33"/>
    <s v="AN"/>
    <x v="3"/>
    <x v="33"/>
    <n v="134"/>
    <n v="79"/>
    <n v="55"/>
  </r>
  <r>
    <x v="9"/>
    <x v="34"/>
    <s v="AN"/>
    <x v="3"/>
    <x v="34"/>
    <n v="81"/>
    <n v="53"/>
    <n v="28"/>
  </r>
  <r>
    <x v="9"/>
    <x v="35"/>
    <s v="AN"/>
    <x v="3"/>
    <x v="35"/>
    <n v="120"/>
    <n v="72"/>
    <n v="48"/>
  </r>
  <r>
    <x v="9"/>
    <x v="36"/>
    <s v="AN"/>
    <x v="3"/>
    <x v="36"/>
    <n v="55"/>
    <n v="33"/>
    <n v="22"/>
  </r>
  <r>
    <x v="9"/>
    <x v="37"/>
    <s v="AN"/>
    <x v="3"/>
    <x v="37"/>
    <n v="42"/>
    <n v="34"/>
    <n v="8"/>
  </r>
  <r>
    <x v="9"/>
    <x v="38"/>
    <s v="AN"/>
    <x v="3"/>
    <x v="38"/>
    <n v="80"/>
    <n v="53"/>
    <n v="27"/>
  </r>
  <r>
    <x v="9"/>
    <x v="39"/>
    <s v="AN"/>
    <x v="3"/>
    <x v="39"/>
    <n v="50"/>
    <n v="26"/>
    <n v="24"/>
  </r>
  <r>
    <x v="9"/>
    <x v="40"/>
    <s v="AN"/>
    <x v="3"/>
    <x v="40"/>
    <n v="751"/>
    <n v="484"/>
    <n v="267"/>
  </r>
  <r>
    <x v="9"/>
    <x v="41"/>
    <s v="AN"/>
    <x v="3"/>
    <x v="41"/>
    <n v="17"/>
    <n v="15"/>
    <n v="2"/>
  </r>
  <r>
    <x v="9"/>
    <x v="42"/>
    <s v="AN"/>
    <x v="3"/>
    <x v="42"/>
    <n v="27"/>
    <n v="18"/>
    <n v="9"/>
  </r>
  <r>
    <x v="9"/>
    <x v="43"/>
    <s v="AN"/>
    <x v="3"/>
    <x v="43"/>
    <n v="64"/>
    <n v="43"/>
    <n v="21"/>
  </r>
  <r>
    <x v="9"/>
    <x v="44"/>
    <s v="AN"/>
    <x v="3"/>
    <x v="44"/>
    <n v="229"/>
    <n v="140"/>
    <n v="89"/>
  </r>
  <r>
    <x v="9"/>
    <x v="45"/>
    <s v="AN"/>
    <x v="3"/>
    <x v="45"/>
    <n v="59"/>
    <n v="39"/>
    <n v="20"/>
  </r>
  <r>
    <x v="9"/>
    <x v="46"/>
    <s v="AN"/>
    <x v="3"/>
    <x v="46"/>
    <n v="151"/>
    <n v="95"/>
    <n v="56"/>
  </r>
  <r>
    <x v="9"/>
    <x v="47"/>
    <s v="AN"/>
    <x v="3"/>
    <x v="47"/>
    <n v="23"/>
    <n v="16"/>
    <n v="7"/>
  </r>
  <r>
    <x v="9"/>
    <x v="48"/>
    <s v="AN"/>
    <x v="3"/>
    <x v="48"/>
    <n v="27"/>
    <n v="14"/>
    <n v="13"/>
  </r>
  <r>
    <x v="9"/>
    <x v="49"/>
    <s v="AN"/>
    <x v="3"/>
    <x v="49"/>
    <n v="2494"/>
    <n v="1544"/>
    <n v="950"/>
  </r>
  <r>
    <x v="9"/>
    <x v="50"/>
    <s v="AN"/>
    <x v="3"/>
    <x v="50"/>
    <n v="1011"/>
    <n v="655"/>
    <n v="356"/>
  </r>
  <r>
    <x v="9"/>
    <x v="51"/>
    <s v="AN"/>
    <x v="3"/>
    <x v="51"/>
    <n v="22"/>
    <n v="10"/>
    <n v="12"/>
  </r>
  <r>
    <x v="9"/>
    <x v="52"/>
    <s v="AP"/>
    <x v="4"/>
    <x v="52"/>
    <n v="162"/>
    <n v="101"/>
    <n v="61"/>
  </r>
  <r>
    <x v="9"/>
    <x v="53"/>
    <s v="AP"/>
    <x v="4"/>
    <x v="53"/>
    <n v="68"/>
    <n v="47"/>
    <n v="21"/>
  </r>
  <r>
    <x v="9"/>
    <x v="54"/>
    <s v="AP"/>
    <x v="4"/>
    <x v="54"/>
    <n v="68"/>
    <n v="47"/>
    <n v="21"/>
  </r>
  <r>
    <x v="9"/>
    <x v="55"/>
    <s v="AP"/>
    <x v="4"/>
    <x v="55"/>
    <n v="277"/>
    <n v="177"/>
    <n v="100"/>
  </r>
  <r>
    <x v="9"/>
    <x v="56"/>
    <s v="AP"/>
    <x v="4"/>
    <x v="56"/>
    <n v="24"/>
    <n v="19"/>
    <n v="5"/>
  </r>
  <r>
    <x v="9"/>
    <x v="57"/>
    <s v="AP"/>
    <x v="4"/>
    <x v="57"/>
    <n v="52"/>
    <n v="31"/>
    <n v="21"/>
  </r>
  <r>
    <x v="9"/>
    <x v="58"/>
    <s v="AP"/>
    <x v="4"/>
    <x v="58"/>
    <n v="969"/>
    <n v="581"/>
    <n v="388"/>
  </r>
  <r>
    <x v="9"/>
    <x v="59"/>
    <s v="AR"/>
    <x v="5"/>
    <x v="59"/>
    <n v="162"/>
    <n v="116"/>
    <n v="46"/>
  </r>
  <r>
    <x v="9"/>
    <x v="60"/>
    <s v="AR"/>
    <x v="5"/>
    <x v="60"/>
    <n v="39"/>
    <n v="28"/>
    <n v="11"/>
  </r>
  <r>
    <x v="9"/>
    <x v="61"/>
    <s v="AR"/>
    <x v="5"/>
    <x v="61"/>
    <n v="198"/>
    <n v="126"/>
    <n v="72"/>
  </r>
  <r>
    <x v="9"/>
    <x v="62"/>
    <s v="AR"/>
    <x v="5"/>
    <x v="62"/>
    <n v="3624"/>
    <n v="2112"/>
    <n v="1512"/>
  </r>
  <r>
    <x v="9"/>
    <x v="63"/>
    <s v="AR"/>
    <x v="5"/>
    <x v="63"/>
    <n v="84"/>
    <n v="51"/>
    <n v="33"/>
  </r>
  <r>
    <x v="9"/>
    <x v="64"/>
    <s v="AR"/>
    <x v="5"/>
    <x v="64"/>
    <n v="926"/>
    <n v="569"/>
    <n v="357"/>
  </r>
  <r>
    <x v="9"/>
    <x v="65"/>
    <s v="AR"/>
    <x v="5"/>
    <x v="65"/>
    <n v="108"/>
    <n v="69"/>
    <n v="39"/>
  </r>
  <r>
    <x v="9"/>
    <x v="66"/>
    <s v="AR"/>
    <x v="5"/>
    <x v="66"/>
    <n v="399"/>
    <n v="226"/>
    <n v="173"/>
  </r>
  <r>
    <x v="9"/>
    <x v="67"/>
    <s v="AR"/>
    <x v="5"/>
    <x v="67"/>
    <n v="234"/>
    <n v="151"/>
    <n v="83"/>
  </r>
  <r>
    <x v="9"/>
    <x v="68"/>
    <s v="AR"/>
    <x v="5"/>
    <x v="68"/>
    <n v="0"/>
    <n v="0"/>
    <n v="0"/>
  </r>
  <r>
    <x v="9"/>
    <x v="69"/>
    <s v="AR"/>
    <x v="5"/>
    <x v="69"/>
    <n v="54"/>
    <n v="35"/>
    <n v="19"/>
  </r>
  <r>
    <x v="9"/>
    <x v="70"/>
    <s v="AR"/>
    <x v="5"/>
    <x v="70"/>
    <n v="55"/>
    <n v="28"/>
    <n v="27"/>
  </r>
  <r>
    <x v="9"/>
    <x v="71"/>
    <s v="AR"/>
    <x v="5"/>
    <x v="71"/>
    <n v="389"/>
    <n v="243"/>
    <n v="146"/>
  </r>
  <r>
    <x v="9"/>
    <x v="72"/>
    <s v="AR"/>
    <x v="5"/>
    <x v="72"/>
    <n v="135"/>
    <n v="96"/>
    <n v="39"/>
  </r>
  <r>
    <x v="9"/>
    <x v="73"/>
    <s v="AR"/>
    <x v="5"/>
    <x v="73"/>
    <n v="379"/>
    <n v="228"/>
    <n v="151"/>
  </r>
  <r>
    <x v="9"/>
    <x v="74"/>
    <s v="AR"/>
    <x v="5"/>
    <x v="74"/>
    <n v="9"/>
    <n v="7"/>
    <n v="2"/>
  </r>
  <r>
    <x v="9"/>
    <x v="75"/>
    <s v="AR"/>
    <x v="5"/>
    <x v="75"/>
    <n v="38"/>
    <n v="26"/>
    <n v="12"/>
  </r>
  <r>
    <x v="9"/>
    <x v="76"/>
    <s v="AR"/>
    <x v="5"/>
    <x v="76"/>
    <n v="566"/>
    <n v="376"/>
    <n v="190"/>
  </r>
  <r>
    <x v="9"/>
    <x v="77"/>
    <s v="BA"/>
    <x v="6"/>
    <x v="77"/>
    <n v="121"/>
    <n v="86"/>
    <n v="35"/>
  </r>
  <r>
    <x v="9"/>
    <x v="78"/>
    <s v="BA"/>
    <x v="6"/>
    <x v="78"/>
    <n v="0"/>
    <n v="0"/>
    <n v="0"/>
  </r>
  <r>
    <x v="9"/>
    <x v="79"/>
    <s v="BA"/>
    <x v="6"/>
    <x v="79"/>
    <n v="193"/>
    <n v="127"/>
    <n v="66"/>
  </r>
  <r>
    <x v="9"/>
    <x v="80"/>
    <s v="BA"/>
    <x v="6"/>
    <x v="80"/>
    <n v="28"/>
    <n v="13"/>
    <n v="15"/>
  </r>
  <r>
    <x v="9"/>
    <x v="81"/>
    <s v="BA"/>
    <x v="6"/>
    <x v="81"/>
    <n v="1755"/>
    <n v="1119"/>
    <n v="636"/>
  </r>
  <r>
    <x v="9"/>
    <x v="82"/>
    <s v="BA"/>
    <x v="6"/>
    <x v="59"/>
    <n v="153"/>
    <n v="98"/>
    <n v="55"/>
  </r>
  <r>
    <x v="9"/>
    <x v="83"/>
    <s v="BA"/>
    <x v="6"/>
    <x v="82"/>
    <n v="48"/>
    <n v="31"/>
    <n v="17"/>
  </r>
  <r>
    <x v="9"/>
    <x v="84"/>
    <s v="BA"/>
    <x v="6"/>
    <x v="83"/>
    <n v="252"/>
    <n v="173"/>
    <n v="79"/>
  </r>
  <r>
    <x v="9"/>
    <x v="85"/>
    <s v="BA"/>
    <x v="6"/>
    <x v="84"/>
    <n v="69"/>
    <n v="47"/>
    <n v="22"/>
  </r>
  <r>
    <x v="9"/>
    <x v="86"/>
    <s v="BA"/>
    <x v="6"/>
    <x v="85"/>
    <n v="163"/>
    <n v="112"/>
    <n v="51"/>
  </r>
  <r>
    <x v="9"/>
    <x v="87"/>
    <s v="BA"/>
    <x v="6"/>
    <x v="86"/>
    <n v="83"/>
    <n v="50"/>
    <n v="33"/>
  </r>
  <r>
    <x v="9"/>
    <x v="88"/>
    <s v="BA"/>
    <x v="6"/>
    <x v="87"/>
    <n v="27"/>
    <n v="17"/>
    <n v="10"/>
  </r>
  <r>
    <x v="9"/>
    <x v="89"/>
    <s v="BO"/>
    <x v="7"/>
    <x v="88"/>
    <n v="3542"/>
    <n v="2358"/>
    <n v="1184"/>
  </r>
  <r>
    <x v="9"/>
    <x v="90"/>
    <s v="BO"/>
    <x v="7"/>
    <x v="89"/>
    <n v="190"/>
    <n v="119"/>
    <n v="71"/>
  </r>
  <r>
    <x v="9"/>
    <x v="91"/>
    <s v="BO"/>
    <x v="7"/>
    <x v="90"/>
    <n v="44"/>
    <n v="28"/>
    <n v="16"/>
  </r>
  <r>
    <x v="9"/>
    <x v="92"/>
    <s v="BO"/>
    <x v="7"/>
    <x v="91"/>
    <n v="62"/>
    <n v="39"/>
    <n v="23"/>
  </r>
  <r>
    <x v="9"/>
    <x v="93"/>
    <s v="BO"/>
    <x v="7"/>
    <x v="92"/>
    <n v="2068"/>
    <n v="1266"/>
    <n v="802"/>
  </r>
  <r>
    <x v="9"/>
    <x v="94"/>
    <s v="BO"/>
    <x v="7"/>
    <x v="93"/>
    <n v="28"/>
    <n v="19"/>
    <n v="9"/>
  </r>
  <r>
    <x v="9"/>
    <x v="95"/>
    <s v="BO"/>
    <x v="7"/>
    <x v="94"/>
    <n v="384"/>
    <n v="244"/>
    <n v="140"/>
  </r>
  <r>
    <x v="9"/>
    <x v="96"/>
    <s v="BO"/>
    <x v="7"/>
    <x v="95"/>
    <n v="54"/>
    <n v="36"/>
    <n v="18"/>
  </r>
  <r>
    <x v="9"/>
    <x v="97"/>
    <s v="BO"/>
    <x v="7"/>
    <x v="96"/>
    <n v="56"/>
    <n v="36"/>
    <n v="20"/>
  </r>
  <r>
    <x v="9"/>
    <x v="98"/>
    <s v="BO"/>
    <x v="7"/>
    <x v="97"/>
    <n v="159"/>
    <n v="104"/>
    <n v="55"/>
  </r>
  <r>
    <x v="9"/>
    <x v="99"/>
    <s v="BO"/>
    <x v="7"/>
    <x v="73"/>
    <n v="30"/>
    <n v="19"/>
    <n v="11"/>
  </r>
  <r>
    <x v="9"/>
    <x v="100"/>
    <s v="CA"/>
    <x v="8"/>
    <x v="98"/>
    <n v="273"/>
    <n v="161"/>
    <n v="112"/>
  </r>
  <r>
    <x v="9"/>
    <x v="101"/>
    <s v="CA"/>
    <x v="8"/>
    <x v="99"/>
    <n v="395"/>
    <n v="265"/>
    <n v="130"/>
  </r>
  <r>
    <x v="9"/>
    <x v="102"/>
    <s v="CA"/>
    <x v="8"/>
    <x v="100"/>
    <n v="479"/>
    <n v="297"/>
    <n v="182"/>
  </r>
  <r>
    <x v="9"/>
    <x v="103"/>
    <s v="CA"/>
    <x v="8"/>
    <x v="101"/>
    <n v="432"/>
    <n v="282"/>
    <n v="150"/>
  </r>
  <r>
    <x v="9"/>
    <x v="104"/>
    <s v="CA"/>
    <x v="8"/>
    <x v="102"/>
    <n v="157"/>
    <n v="102"/>
    <n v="55"/>
  </r>
  <r>
    <x v="9"/>
    <x v="105"/>
    <s v="CA"/>
    <x v="8"/>
    <x v="66"/>
    <n v="313"/>
    <n v="239"/>
    <n v="74"/>
  </r>
  <r>
    <x v="9"/>
    <x v="106"/>
    <s v="CA"/>
    <x v="8"/>
    <x v="103"/>
    <n v="238"/>
    <n v="165"/>
    <n v="73"/>
  </r>
  <r>
    <x v="9"/>
    <x v="107"/>
    <s v="CA"/>
    <x v="8"/>
    <x v="104"/>
    <n v="63"/>
    <n v="34"/>
    <n v="29"/>
  </r>
  <r>
    <x v="9"/>
    <x v="108"/>
    <s v="CA"/>
    <x v="8"/>
    <x v="105"/>
    <n v="47"/>
    <n v="30"/>
    <n v="17"/>
  </r>
  <r>
    <x v="9"/>
    <x v="109"/>
    <s v="CA"/>
    <x v="8"/>
    <x v="106"/>
    <n v="1324"/>
    <n v="736"/>
    <n v="588"/>
  </r>
  <r>
    <x v="9"/>
    <x v="110"/>
    <s v="CA"/>
    <x v="8"/>
    <x v="107"/>
    <n v="977"/>
    <n v="587"/>
    <n v="390"/>
  </r>
  <r>
    <x v="9"/>
    <x v="111"/>
    <s v="CA"/>
    <x v="8"/>
    <x v="108"/>
    <n v="116"/>
    <n v="58"/>
    <n v="58"/>
  </r>
  <r>
    <x v="9"/>
    <x v="112"/>
    <s v="CA"/>
    <x v="8"/>
    <x v="109"/>
    <n v="130"/>
    <n v="91"/>
    <n v="39"/>
  </r>
  <r>
    <x v="9"/>
    <x v="113"/>
    <s v="CA"/>
    <x v="8"/>
    <x v="110"/>
    <n v="4057"/>
    <n v="2509"/>
    <n v="1548"/>
  </r>
  <r>
    <x v="9"/>
    <x v="114"/>
    <s v="CO"/>
    <x v="9"/>
    <x v="111"/>
    <n v="41"/>
    <n v="27"/>
    <n v="14"/>
  </r>
  <r>
    <x v="9"/>
    <x v="115"/>
    <s v="CO"/>
    <x v="9"/>
    <x v="112"/>
    <n v="317"/>
    <n v="218"/>
    <n v="99"/>
  </r>
  <r>
    <x v="9"/>
    <x v="116"/>
    <s v="CO"/>
    <x v="9"/>
    <x v="62"/>
    <n v="24"/>
    <n v="13"/>
    <n v="11"/>
  </r>
  <r>
    <x v="9"/>
    <x v="117"/>
    <s v="CO"/>
    <x v="9"/>
    <x v="113"/>
    <n v="28"/>
    <n v="21"/>
    <n v="7"/>
  </r>
  <r>
    <x v="9"/>
    <x v="118"/>
    <s v="CO"/>
    <x v="9"/>
    <x v="114"/>
    <n v="34"/>
    <n v="23"/>
    <n v="11"/>
  </r>
  <r>
    <x v="9"/>
    <x v="119"/>
    <s v="CO"/>
    <x v="9"/>
    <x v="115"/>
    <n v="26"/>
    <n v="17"/>
    <n v="9"/>
  </r>
  <r>
    <x v="9"/>
    <x v="120"/>
    <s v="CO"/>
    <x v="9"/>
    <x v="57"/>
    <n v="32"/>
    <n v="15"/>
    <n v="17"/>
  </r>
  <r>
    <x v="9"/>
    <x v="121"/>
    <s v="CO"/>
    <x v="9"/>
    <x v="116"/>
    <n v="609"/>
    <n v="370"/>
    <n v="239"/>
  </r>
  <r>
    <x v="9"/>
    <x v="122"/>
    <s v="CO"/>
    <x v="9"/>
    <x v="117"/>
    <n v="104"/>
    <n v="65"/>
    <n v="39"/>
  </r>
  <r>
    <x v="9"/>
    <x v="123"/>
    <s v="DE"/>
    <x v="10"/>
    <x v="118"/>
    <n v="75"/>
    <n v="50"/>
    <n v="25"/>
  </r>
  <r>
    <x v="9"/>
    <x v="124"/>
    <s v="DE"/>
    <x v="10"/>
    <x v="119"/>
    <n v="19"/>
    <n v="15"/>
    <n v="4"/>
  </r>
  <r>
    <x v="9"/>
    <x v="125"/>
    <s v="DE"/>
    <x v="10"/>
    <x v="120"/>
    <n v="23"/>
    <n v="10"/>
    <n v="13"/>
  </r>
  <r>
    <x v="9"/>
    <x v="126"/>
    <s v="DE"/>
    <x v="10"/>
    <x v="121"/>
    <n v="473"/>
    <n v="289"/>
    <n v="184"/>
  </r>
  <r>
    <x v="9"/>
    <x v="127"/>
    <s v="FA"/>
    <x v="11"/>
    <x v="122"/>
    <n v="19"/>
    <n v="12"/>
    <n v="7"/>
  </r>
  <r>
    <x v="9"/>
    <x v="128"/>
    <s v="FA"/>
    <x v="11"/>
    <x v="59"/>
    <n v="6"/>
    <n v="4"/>
    <n v="2"/>
  </r>
  <r>
    <x v="9"/>
    <x v="129"/>
    <s v="FA"/>
    <x v="11"/>
    <x v="123"/>
    <n v="54"/>
    <n v="34"/>
    <n v="20"/>
  </r>
  <r>
    <x v="9"/>
    <x v="130"/>
    <s v="FA"/>
    <x v="11"/>
    <x v="124"/>
    <n v="29"/>
    <n v="20"/>
    <n v="9"/>
  </r>
  <r>
    <x v="9"/>
    <x v="131"/>
    <s v="FA"/>
    <x v="11"/>
    <x v="125"/>
    <n v="964"/>
    <n v="589"/>
    <n v="375"/>
  </r>
  <r>
    <x v="9"/>
    <x v="132"/>
    <s v="FA"/>
    <x v="11"/>
    <x v="126"/>
    <n v="69"/>
    <n v="40"/>
    <n v="29"/>
  </r>
  <r>
    <x v="9"/>
    <x v="133"/>
    <s v="FA"/>
    <x v="11"/>
    <x v="127"/>
    <n v="50"/>
    <n v="31"/>
    <n v="19"/>
  </r>
  <r>
    <x v="9"/>
    <x v="134"/>
    <s v="FA"/>
    <x v="11"/>
    <x v="128"/>
    <n v="8"/>
    <n v="4"/>
    <n v="4"/>
  </r>
  <r>
    <x v="9"/>
    <x v="135"/>
    <s v="FA"/>
    <x v="11"/>
    <x v="112"/>
    <n v="107"/>
    <n v="58"/>
    <n v="49"/>
  </r>
  <r>
    <x v="9"/>
    <x v="136"/>
    <s v="FA"/>
    <x v="11"/>
    <x v="129"/>
    <n v="71"/>
    <n v="38"/>
    <n v="33"/>
  </r>
  <r>
    <x v="9"/>
    <x v="137"/>
    <s v="FA"/>
    <x v="11"/>
    <x v="130"/>
    <n v="2"/>
    <n v="2"/>
    <n v="0"/>
  </r>
  <r>
    <x v="9"/>
    <x v="138"/>
    <s v="FA"/>
    <x v="11"/>
    <x v="131"/>
    <n v="111"/>
    <n v="75"/>
    <n v="36"/>
  </r>
  <r>
    <x v="9"/>
    <x v="139"/>
    <s v="FA"/>
    <x v="11"/>
    <x v="132"/>
    <n v="77"/>
    <n v="51"/>
    <n v="26"/>
  </r>
  <r>
    <x v="9"/>
    <x v="140"/>
    <s v="FA"/>
    <x v="11"/>
    <x v="104"/>
    <n v="1204"/>
    <n v="689"/>
    <n v="515"/>
  </r>
  <r>
    <x v="9"/>
    <x v="141"/>
    <s v="FA"/>
    <x v="11"/>
    <x v="133"/>
    <n v="61"/>
    <n v="39"/>
    <n v="22"/>
  </r>
  <r>
    <x v="9"/>
    <x v="142"/>
    <s v="FA"/>
    <x v="11"/>
    <x v="134"/>
    <n v="2"/>
    <n v="1"/>
    <n v="1"/>
  </r>
  <r>
    <x v="9"/>
    <x v="143"/>
    <s v="FA"/>
    <x v="11"/>
    <x v="135"/>
    <n v="6"/>
    <n v="4"/>
    <n v="2"/>
  </r>
  <r>
    <x v="9"/>
    <x v="144"/>
    <s v="FA"/>
    <x v="11"/>
    <x v="45"/>
    <n v="23"/>
    <n v="15"/>
    <n v="8"/>
  </r>
  <r>
    <x v="9"/>
    <x v="145"/>
    <s v="FA"/>
    <x v="11"/>
    <x v="136"/>
    <n v="39"/>
    <n v="22"/>
    <n v="17"/>
  </r>
  <r>
    <x v="9"/>
    <x v="146"/>
    <s v="FA"/>
    <x v="11"/>
    <x v="137"/>
    <n v="141"/>
    <n v="102"/>
    <n v="39"/>
  </r>
  <r>
    <x v="9"/>
    <x v="147"/>
    <s v="FA"/>
    <x v="11"/>
    <x v="73"/>
    <n v="0"/>
    <n v="0"/>
    <n v="0"/>
  </r>
  <r>
    <x v="9"/>
    <x v="148"/>
    <s v="FA"/>
    <x v="11"/>
    <x v="138"/>
    <n v="16"/>
    <n v="11"/>
    <n v="5"/>
  </r>
  <r>
    <x v="9"/>
    <x v="149"/>
    <s v="FA"/>
    <x v="11"/>
    <x v="139"/>
    <n v="19"/>
    <n v="9"/>
    <n v="10"/>
  </r>
  <r>
    <x v="9"/>
    <x v="150"/>
    <s v="FA"/>
    <x v="11"/>
    <x v="140"/>
    <n v="9"/>
    <n v="4"/>
    <n v="5"/>
  </r>
  <r>
    <x v="9"/>
    <x v="151"/>
    <s v="FA"/>
    <x v="11"/>
    <x v="76"/>
    <n v="87"/>
    <n v="54"/>
    <n v="33"/>
  </r>
  <r>
    <x v="9"/>
    <x v="152"/>
    <s v="GU"/>
    <x v="12"/>
    <x v="141"/>
    <n v="60"/>
    <n v="33"/>
    <n v="27"/>
  </r>
  <r>
    <x v="9"/>
    <x v="153"/>
    <s v="GU"/>
    <x v="12"/>
    <x v="142"/>
    <n v="41"/>
    <n v="27"/>
    <n v="14"/>
  </r>
  <r>
    <x v="9"/>
    <x v="154"/>
    <s v="GU"/>
    <x v="12"/>
    <x v="143"/>
    <n v="36"/>
    <n v="23"/>
    <n v="13"/>
  </r>
  <r>
    <x v="9"/>
    <x v="155"/>
    <s v="GU"/>
    <x v="12"/>
    <x v="144"/>
    <n v="19"/>
    <n v="13"/>
    <n v="6"/>
  </r>
  <r>
    <x v="9"/>
    <x v="156"/>
    <s v="GU"/>
    <x v="12"/>
    <x v="145"/>
    <n v="747"/>
    <n v="479"/>
    <n v="268"/>
  </r>
  <r>
    <x v="9"/>
    <x v="157"/>
    <s v="GU"/>
    <x v="12"/>
    <x v="146"/>
    <n v="80"/>
    <n v="48"/>
    <n v="32"/>
  </r>
  <r>
    <x v="9"/>
    <x v="158"/>
    <s v="GU"/>
    <x v="12"/>
    <x v="147"/>
    <n v="100"/>
    <n v="59"/>
    <n v="41"/>
  </r>
  <r>
    <x v="9"/>
    <x v="159"/>
    <s v="GU"/>
    <x v="12"/>
    <x v="104"/>
    <n v="560"/>
    <n v="339"/>
    <n v="221"/>
  </r>
  <r>
    <x v="9"/>
    <x v="160"/>
    <s v="GU"/>
    <x v="12"/>
    <x v="148"/>
    <n v="326"/>
    <n v="200"/>
    <n v="126"/>
  </r>
  <r>
    <x v="9"/>
    <x v="161"/>
    <s v="GU"/>
    <x v="12"/>
    <x v="149"/>
    <n v="87"/>
    <n v="59"/>
    <n v="28"/>
  </r>
  <r>
    <x v="9"/>
    <x v="162"/>
    <s v="GU"/>
    <x v="12"/>
    <x v="150"/>
    <n v="71"/>
    <n v="42"/>
    <n v="29"/>
  </r>
  <r>
    <x v="9"/>
    <x v="163"/>
    <s v="GU"/>
    <x v="12"/>
    <x v="96"/>
    <n v="909"/>
    <n v="572"/>
    <n v="337"/>
  </r>
  <r>
    <x v="9"/>
    <x v="164"/>
    <s v="GU"/>
    <x v="12"/>
    <x v="151"/>
    <n v="19"/>
    <n v="12"/>
    <n v="7"/>
  </r>
  <r>
    <x v="9"/>
    <x v="165"/>
    <s v="GU"/>
    <x v="12"/>
    <x v="152"/>
    <n v="30"/>
    <n v="22"/>
    <n v="8"/>
  </r>
  <r>
    <x v="9"/>
    <x v="166"/>
    <s v="GU"/>
    <x v="12"/>
    <x v="153"/>
    <n v="176"/>
    <n v="116"/>
    <n v="60"/>
  </r>
  <r>
    <x v="9"/>
    <x v="167"/>
    <s v="LA"/>
    <x v="13"/>
    <x v="154"/>
    <n v="98"/>
    <n v="67"/>
    <n v="31"/>
  </r>
  <r>
    <x v="9"/>
    <x v="168"/>
    <s v="LA"/>
    <x v="13"/>
    <x v="155"/>
    <n v="104"/>
    <n v="61"/>
    <n v="43"/>
  </r>
  <r>
    <x v="9"/>
    <x v="169"/>
    <s v="LA"/>
    <x v="13"/>
    <x v="156"/>
    <n v="5848"/>
    <n v="3356"/>
    <n v="2492"/>
  </r>
  <r>
    <x v="9"/>
    <x v="170"/>
    <s v="LA"/>
    <x v="13"/>
    <x v="157"/>
    <n v="269"/>
    <n v="168"/>
    <n v="101"/>
  </r>
  <r>
    <x v="9"/>
    <x v="171"/>
    <s v="LA"/>
    <x v="13"/>
    <x v="158"/>
    <n v="352"/>
    <n v="205"/>
    <n v="147"/>
  </r>
  <r>
    <x v="9"/>
    <x v="172"/>
    <s v="LA"/>
    <x v="13"/>
    <x v="159"/>
    <n v="292"/>
    <n v="164"/>
    <n v="128"/>
  </r>
  <r>
    <x v="9"/>
    <x v="173"/>
    <s v="LA"/>
    <x v="13"/>
    <x v="160"/>
    <n v="75"/>
    <n v="49"/>
    <n v="26"/>
  </r>
  <r>
    <x v="9"/>
    <x v="174"/>
    <s v="LA"/>
    <x v="13"/>
    <x v="161"/>
    <n v="698"/>
    <n v="393"/>
    <n v="305"/>
  </r>
  <r>
    <x v="9"/>
    <x v="175"/>
    <s v="LA"/>
    <x v="13"/>
    <x v="75"/>
    <n v="163"/>
    <n v="94"/>
    <n v="69"/>
  </r>
  <r>
    <x v="9"/>
    <x v="176"/>
    <s v="ME"/>
    <x v="14"/>
    <x v="162"/>
    <n v="513"/>
    <n v="327"/>
    <n v="186"/>
  </r>
  <r>
    <x v="9"/>
    <x v="177"/>
    <s v="ME"/>
    <x v="14"/>
    <x v="163"/>
    <n v="46"/>
    <n v="30"/>
    <n v="16"/>
  </r>
  <r>
    <x v="9"/>
    <x v="178"/>
    <s v="ME"/>
    <x v="14"/>
    <x v="164"/>
    <n v="69"/>
    <n v="45"/>
    <n v="24"/>
  </r>
  <r>
    <x v="9"/>
    <x v="179"/>
    <s v="ME"/>
    <x v="14"/>
    <x v="165"/>
    <n v="20"/>
    <n v="11"/>
    <n v="9"/>
  </r>
  <r>
    <x v="9"/>
    <x v="180"/>
    <s v="ME"/>
    <x v="14"/>
    <x v="166"/>
    <n v="110"/>
    <n v="65"/>
    <n v="45"/>
  </r>
  <r>
    <x v="9"/>
    <x v="181"/>
    <s v="ME"/>
    <x v="14"/>
    <x v="167"/>
    <n v="240"/>
    <n v="158"/>
    <n v="82"/>
  </r>
  <r>
    <x v="9"/>
    <x v="182"/>
    <s v="ME"/>
    <x v="14"/>
    <x v="168"/>
    <n v="38"/>
    <n v="24"/>
    <n v="14"/>
  </r>
  <r>
    <x v="9"/>
    <x v="183"/>
    <s v="ME"/>
    <x v="14"/>
    <x v="169"/>
    <n v="130"/>
    <n v="78"/>
    <n v="52"/>
  </r>
  <r>
    <x v="9"/>
    <x v="184"/>
    <s v="ME"/>
    <x v="14"/>
    <x v="170"/>
    <n v="14"/>
    <n v="6"/>
    <n v="8"/>
  </r>
  <r>
    <x v="9"/>
    <x v="185"/>
    <s v="ME"/>
    <x v="14"/>
    <x v="171"/>
    <n v="46"/>
    <n v="25"/>
    <n v="21"/>
  </r>
  <r>
    <x v="9"/>
    <x v="186"/>
    <s v="ME"/>
    <x v="14"/>
    <x v="172"/>
    <n v="9"/>
    <n v="4"/>
    <n v="5"/>
  </r>
  <r>
    <x v="9"/>
    <x v="187"/>
    <s v="ME"/>
    <x v="14"/>
    <x v="66"/>
    <n v="2125"/>
    <n v="1229"/>
    <n v="896"/>
  </r>
  <r>
    <x v="9"/>
    <x v="188"/>
    <s v="ME"/>
    <x v="14"/>
    <x v="104"/>
    <n v="53"/>
    <n v="33"/>
    <n v="20"/>
  </r>
  <r>
    <x v="9"/>
    <x v="189"/>
    <s v="ME"/>
    <x v="14"/>
    <x v="173"/>
    <n v="83"/>
    <n v="64"/>
    <n v="19"/>
  </r>
  <r>
    <x v="9"/>
    <x v="190"/>
    <s v="ME"/>
    <x v="14"/>
    <x v="174"/>
    <n v="7"/>
    <n v="6"/>
    <n v="1"/>
  </r>
  <r>
    <x v="9"/>
    <x v="191"/>
    <s v="ME"/>
    <x v="14"/>
    <x v="175"/>
    <n v="42"/>
    <n v="30"/>
    <n v="12"/>
  </r>
  <r>
    <x v="9"/>
    <x v="192"/>
    <s v="ME"/>
    <x v="14"/>
    <x v="176"/>
    <n v="55"/>
    <n v="41"/>
    <n v="14"/>
  </r>
  <r>
    <x v="9"/>
    <x v="193"/>
    <s v="ME"/>
    <x v="14"/>
    <x v="177"/>
    <n v="83"/>
    <n v="47"/>
    <n v="36"/>
  </r>
  <r>
    <x v="9"/>
    <x v="194"/>
    <s v="ME"/>
    <x v="14"/>
    <x v="178"/>
    <n v="44"/>
    <n v="30"/>
    <n v="14"/>
  </r>
  <r>
    <x v="9"/>
    <x v="195"/>
    <s v="ME"/>
    <x v="14"/>
    <x v="73"/>
    <n v="155"/>
    <n v="99"/>
    <n v="56"/>
  </r>
  <r>
    <x v="9"/>
    <x v="196"/>
    <s v="ME"/>
    <x v="14"/>
    <x v="74"/>
    <n v="153"/>
    <n v="96"/>
    <n v="57"/>
  </r>
  <r>
    <x v="9"/>
    <x v="197"/>
    <s v="ME"/>
    <x v="14"/>
    <x v="179"/>
    <n v="75"/>
    <n v="52"/>
    <n v="23"/>
  </r>
  <r>
    <x v="9"/>
    <x v="198"/>
    <s v="ME"/>
    <x v="14"/>
    <x v="180"/>
    <n v="32"/>
    <n v="23"/>
    <n v="9"/>
  </r>
  <r>
    <x v="9"/>
    <x v="199"/>
    <s v="MI"/>
    <x v="15"/>
    <x v="181"/>
    <n v="339"/>
    <n v="240"/>
    <n v="99"/>
  </r>
  <r>
    <x v="9"/>
    <x v="200"/>
    <s v="MI"/>
    <x v="15"/>
    <x v="163"/>
    <n v="54"/>
    <n v="34"/>
    <n v="20"/>
  </r>
  <r>
    <x v="9"/>
    <x v="201"/>
    <s v="MI"/>
    <x v="15"/>
    <x v="182"/>
    <n v="1348"/>
    <n v="709"/>
    <n v="639"/>
  </r>
  <r>
    <x v="9"/>
    <x v="202"/>
    <s v="MI"/>
    <x v="15"/>
    <x v="183"/>
    <n v="282"/>
    <n v="188"/>
    <n v="94"/>
  </r>
  <r>
    <x v="9"/>
    <x v="203"/>
    <s v="MI"/>
    <x v="15"/>
    <x v="184"/>
    <n v="49"/>
    <n v="27"/>
    <n v="22"/>
  </r>
  <r>
    <x v="9"/>
    <x v="204"/>
    <s v="MI"/>
    <x v="15"/>
    <x v="185"/>
    <n v="101"/>
    <n v="58"/>
    <n v="43"/>
  </r>
  <r>
    <x v="9"/>
    <x v="205"/>
    <s v="MI"/>
    <x v="15"/>
    <x v="186"/>
    <n v="729"/>
    <n v="382"/>
    <n v="347"/>
  </r>
  <r>
    <x v="9"/>
    <x v="206"/>
    <s v="MI"/>
    <x v="15"/>
    <x v="187"/>
    <n v="412"/>
    <n v="283"/>
    <n v="129"/>
  </r>
  <r>
    <x v="9"/>
    <x v="207"/>
    <s v="MI"/>
    <x v="15"/>
    <x v="188"/>
    <n v="110"/>
    <n v="64"/>
    <n v="46"/>
  </r>
  <r>
    <x v="9"/>
    <x v="208"/>
    <s v="MI"/>
    <x v="15"/>
    <x v="189"/>
    <n v="1327"/>
    <n v="824"/>
    <n v="503"/>
  </r>
  <r>
    <x v="9"/>
    <x v="209"/>
    <s v="MI"/>
    <x v="15"/>
    <x v="38"/>
    <n v="481"/>
    <n v="353"/>
    <n v="128"/>
  </r>
  <r>
    <x v="9"/>
    <x v="210"/>
    <s v="MI"/>
    <x v="15"/>
    <x v="190"/>
    <n v="960"/>
    <n v="626"/>
    <n v="334"/>
  </r>
  <r>
    <x v="9"/>
    <x v="211"/>
    <s v="MI"/>
    <x v="15"/>
    <x v="191"/>
    <n v="158"/>
    <n v="83"/>
    <n v="75"/>
  </r>
  <r>
    <x v="9"/>
    <x v="212"/>
    <s v="MI"/>
    <x v="15"/>
    <x v="55"/>
    <n v="156"/>
    <n v="98"/>
    <n v="58"/>
  </r>
  <r>
    <x v="9"/>
    <x v="213"/>
    <s v="MI"/>
    <x v="15"/>
    <x v="192"/>
    <n v="263"/>
    <n v="196"/>
    <n v="67"/>
  </r>
  <r>
    <x v="9"/>
    <x v="214"/>
    <s v="MI"/>
    <x v="15"/>
    <x v="193"/>
    <n v="85"/>
    <n v="60"/>
    <n v="25"/>
  </r>
  <r>
    <x v="9"/>
    <x v="215"/>
    <s v="MI"/>
    <x v="15"/>
    <x v="194"/>
    <n v="612"/>
    <n v="404"/>
    <n v="208"/>
  </r>
  <r>
    <x v="9"/>
    <x v="216"/>
    <s v="MI"/>
    <x v="15"/>
    <x v="49"/>
    <n v="152"/>
    <n v="118"/>
    <n v="34"/>
  </r>
  <r>
    <x v="9"/>
    <x v="217"/>
    <s v="MI"/>
    <x v="15"/>
    <x v="73"/>
    <n v="2958"/>
    <n v="1941"/>
    <n v="1017"/>
  </r>
  <r>
    <x v="9"/>
    <x v="218"/>
    <s v="MI"/>
    <x v="15"/>
    <x v="75"/>
    <n v="293"/>
    <n v="202"/>
    <n v="91"/>
  </r>
  <r>
    <x v="9"/>
    <x v="219"/>
    <s v="MI"/>
    <x v="15"/>
    <x v="76"/>
    <n v="645"/>
    <n v="428"/>
    <n v="217"/>
  </r>
  <r>
    <x v="9"/>
    <x v="220"/>
    <s v="MO"/>
    <x v="16"/>
    <x v="122"/>
    <n v="53"/>
    <n v="29"/>
    <n v="24"/>
  </r>
  <r>
    <x v="9"/>
    <x v="221"/>
    <s v="MO"/>
    <x v="16"/>
    <x v="195"/>
    <n v="18"/>
    <n v="12"/>
    <n v="6"/>
  </r>
  <r>
    <x v="9"/>
    <x v="222"/>
    <s v="MO"/>
    <x v="16"/>
    <x v="59"/>
    <n v="135"/>
    <n v="74"/>
    <n v="61"/>
  </r>
  <r>
    <x v="9"/>
    <x v="223"/>
    <s v="MO"/>
    <x v="16"/>
    <x v="196"/>
    <n v="77"/>
    <n v="51"/>
    <n v="26"/>
  </r>
  <r>
    <x v="9"/>
    <x v="224"/>
    <s v="MO"/>
    <x v="16"/>
    <x v="89"/>
    <n v="69"/>
    <n v="45"/>
    <n v="24"/>
  </r>
  <r>
    <x v="9"/>
    <x v="225"/>
    <s v="MO"/>
    <x v="16"/>
    <x v="83"/>
    <n v="126"/>
    <n v="83"/>
    <n v="43"/>
  </r>
  <r>
    <x v="9"/>
    <x v="226"/>
    <s v="MO"/>
    <x v="16"/>
    <x v="66"/>
    <n v="72"/>
    <n v="54"/>
    <n v="18"/>
  </r>
  <r>
    <x v="9"/>
    <x v="227"/>
    <s v="MO"/>
    <x v="16"/>
    <x v="197"/>
    <n v="2293"/>
    <n v="1380"/>
    <n v="913"/>
  </r>
  <r>
    <x v="9"/>
    <x v="228"/>
    <s v="MO"/>
    <x v="16"/>
    <x v="94"/>
    <n v="107"/>
    <n v="71"/>
    <n v="36"/>
  </r>
  <r>
    <x v="9"/>
    <x v="229"/>
    <s v="MO"/>
    <x v="16"/>
    <x v="198"/>
    <n v="83"/>
    <n v="55"/>
    <n v="28"/>
  </r>
  <r>
    <x v="9"/>
    <x v="230"/>
    <s v="MO"/>
    <x v="16"/>
    <x v="199"/>
    <n v="15"/>
    <n v="6"/>
    <n v="9"/>
  </r>
  <r>
    <x v="9"/>
    <x v="231"/>
    <s v="MO"/>
    <x v="16"/>
    <x v="200"/>
    <n v="64"/>
    <n v="40"/>
    <n v="24"/>
  </r>
  <r>
    <x v="9"/>
    <x v="232"/>
    <s v="MO"/>
    <x v="16"/>
    <x v="201"/>
    <n v="20"/>
    <n v="11"/>
    <n v="9"/>
  </r>
  <r>
    <x v="9"/>
    <x v="233"/>
    <s v="NU"/>
    <x v="17"/>
    <x v="202"/>
    <n v="44"/>
    <n v="18"/>
    <n v="26"/>
  </r>
  <r>
    <x v="9"/>
    <x v="234"/>
    <s v="NU"/>
    <x v="17"/>
    <x v="80"/>
    <n v="77"/>
    <n v="40"/>
    <n v="37"/>
  </r>
  <r>
    <x v="9"/>
    <x v="235"/>
    <s v="NU"/>
    <x v="17"/>
    <x v="203"/>
    <n v="123"/>
    <n v="77"/>
    <n v="46"/>
  </r>
  <r>
    <x v="9"/>
    <x v="236"/>
    <s v="NU"/>
    <x v="17"/>
    <x v="204"/>
    <n v="95"/>
    <n v="58"/>
    <n v="37"/>
  </r>
  <r>
    <x v="9"/>
    <x v="237"/>
    <s v="NU"/>
    <x v="17"/>
    <x v="205"/>
    <n v="79"/>
    <n v="39"/>
    <n v="40"/>
  </r>
  <r>
    <x v="9"/>
    <x v="238"/>
    <s v="NU"/>
    <x v="17"/>
    <x v="206"/>
    <n v="107"/>
    <n v="61"/>
    <n v="46"/>
  </r>
  <r>
    <x v="9"/>
    <x v="239"/>
    <s v="NU"/>
    <x v="17"/>
    <x v="207"/>
    <n v="192"/>
    <n v="117"/>
    <n v="75"/>
  </r>
  <r>
    <x v="9"/>
    <x v="240"/>
    <s v="NU"/>
    <x v="17"/>
    <x v="208"/>
    <n v="1060"/>
    <n v="640"/>
    <n v="420"/>
  </r>
  <r>
    <x v="9"/>
    <x v="241"/>
    <s v="NU"/>
    <x v="17"/>
    <x v="209"/>
    <n v="50"/>
    <n v="26"/>
    <n v="24"/>
  </r>
  <r>
    <x v="9"/>
    <x v="242"/>
    <s v="NU"/>
    <x v="17"/>
    <x v="210"/>
    <n v="73"/>
    <n v="41"/>
    <n v="32"/>
  </r>
  <r>
    <x v="9"/>
    <x v="243"/>
    <s v="NU"/>
    <x v="17"/>
    <x v="211"/>
    <n v="31"/>
    <n v="20"/>
    <n v="11"/>
  </r>
  <r>
    <x v="9"/>
    <x v="244"/>
    <s v="PO"/>
    <x v="18"/>
    <x v="212"/>
    <n v="29"/>
    <n v="21"/>
    <n v="8"/>
  </r>
  <r>
    <x v="9"/>
    <x v="245"/>
    <s v="PO"/>
    <x v="18"/>
    <x v="213"/>
    <n v="1206"/>
    <n v="750"/>
    <n v="456"/>
  </r>
  <r>
    <x v="9"/>
    <x v="246"/>
    <s v="PO"/>
    <x v="18"/>
    <x v="214"/>
    <n v="86"/>
    <n v="55"/>
    <n v="31"/>
  </r>
  <r>
    <x v="9"/>
    <x v="247"/>
    <s v="PO"/>
    <x v="18"/>
    <x v="215"/>
    <n v="983"/>
    <n v="617"/>
    <n v="366"/>
  </r>
  <r>
    <x v="9"/>
    <x v="248"/>
    <s v="PO"/>
    <x v="18"/>
    <x v="216"/>
    <n v="67"/>
    <n v="41"/>
    <n v="26"/>
  </r>
  <r>
    <x v="9"/>
    <x v="249"/>
    <s v="PO"/>
    <x v="18"/>
    <x v="217"/>
    <n v="74"/>
    <n v="41"/>
    <n v="33"/>
  </r>
  <r>
    <x v="9"/>
    <x v="250"/>
    <s v="PO"/>
    <x v="18"/>
    <x v="218"/>
    <n v="80"/>
    <n v="47"/>
    <n v="33"/>
  </r>
  <r>
    <x v="9"/>
    <x v="251"/>
    <s v="PO"/>
    <x v="18"/>
    <x v="55"/>
    <n v="467"/>
    <n v="313"/>
    <n v="154"/>
  </r>
  <r>
    <x v="9"/>
    <x v="252"/>
    <s v="PO"/>
    <x v="18"/>
    <x v="219"/>
    <n v="7"/>
    <n v="4"/>
    <n v="3"/>
  </r>
  <r>
    <x v="9"/>
    <x v="253"/>
    <s v="PO"/>
    <x v="18"/>
    <x v="220"/>
    <n v="46"/>
    <n v="28"/>
    <n v="18"/>
  </r>
  <r>
    <x v="9"/>
    <x v="254"/>
    <s v="PO"/>
    <x v="18"/>
    <x v="221"/>
    <n v="37"/>
    <n v="25"/>
    <n v="12"/>
  </r>
  <r>
    <x v="9"/>
    <x v="255"/>
    <s v="PO"/>
    <x v="18"/>
    <x v="222"/>
    <n v="23"/>
    <n v="13"/>
    <n v="10"/>
  </r>
  <r>
    <x v="9"/>
    <x v="256"/>
    <s v="PO"/>
    <x v="18"/>
    <x v="73"/>
    <n v="112"/>
    <n v="67"/>
    <n v="45"/>
  </r>
  <r>
    <x v="9"/>
    <x v="257"/>
    <s v="PO"/>
    <x v="18"/>
    <x v="223"/>
    <n v="174"/>
    <n v="112"/>
    <n v="62"/>
  </r>
  <r>
    <x v="9"/>
    <x v="258"/>
    <s v="SU"/>
    <x v="19"/>
    <x v="154"/>
    <n v="88"/>
    <n v="54"/>
    <n v="34"/>
  </r>
  <r>
    <x v="9"/>
    <x v="259"/>
    <s v="SU"/>
    <x v="19"/>
    <x v="224"/>
    <n v="40"/>
    <n v="23"/>
    <n v="17"/>
  </r>
  <r>
    <x v="9"/>
    <x v="260"/>
    <s v="SU"/>
    <x v="19"/>
    <x v="80"/>
    <n v="125"/>
    <n v="76"/>
    <n v="49"/>
  </r>
  <r>
    <x v="9"/>
    <x v="261"/>
    <s v="SU"/>
    <x v="19"/>
    <x v="225"/>
    <n v="46"/>
    <n v="32"/>
    <n v="14"/>
  </r>
  <r>
    <x v="9"/>
    <x v="262"/>
    <s v="SU"/>
    <x v="19"/>
    <x v="226"/>
    <n v="855"/>
    <n v="499"/>
    <n v="356"/>
  </r>
  <r>
    <x v="9"/>
    <x v="263"/>
    <s v="SU"/>
    <x v="19"/>
    <x v="59"/>
    <n v="41"/>
    <n v="23"/>
    <n v="18"/>
  </r>
  <r>
    <x v="9"/>
    <x v="264"/>
    <s v="SU"/>
    <x v="19"/>
    <x v="227"/>
    <n v="87"/>
    <n v="56"/>
    <n v="31"/>
  </r>
  <r>
    <x v="9"/>
    <x v="265"/>
    <s v="SU"/>
    <x v="19"/>
    <x v="228"/>
    <n v="63"/>
    <n v="31"/>
    <n v="32"/>
  </r>
  <r>
    <x v="9"/>
    <x v="266"/>
    <s v="SU"/>
    <x v="19"/>
    <x v="66"/>
    <n v="29"/>
    <n v="18"/>
    <n v="11"/>
  </r>
  <r>
    <x v="9"/>
    <x v="267"/>
    <s v="SU"/>
    <x v="19"/>
    <x v="208"/>
    <n v="77"/>
    <n v="47"/>
    <n v="30"/>
  </r>
  <r>
    <x v="9"/>
    <x v="268"/>
    <s v="SU"/>
    <x v="19"/>
    <x v="229"/>
    <n v="69"/>
    <n v="40"/>
    <n v="29"/>
  </r>
  <r>
    <x v="9"/>
    <x v="269"/>
    <s v="SU"/>
    <x v="19"/>
    <x v="230"/>
    <n v="184"/>
    <n v="116"/>
    <n v="68"/>
  </r>
  <r>
    <x v="9"/>
    <x v="270"/>
    <s v="SU"/>
    <x v="19"/>
    <x v="231"/>
    <n v="180"/>
    <n v="103"/>
    <n v="77"/>
  </r>
  <r>
    <x v="9"/>
    <x v="271"/>
    <s v="SU"/>
    <x v="19"/>
    <x v="73"/>
    <n v="1694"/>
    <n v="1092"/>
    <n v="602"/>
  </r>
  <r>
    <x v="9"/>
    <x v="272"/>
    <s v="SU"/>
    <x v="19"/>
    <x v="232"/>
    <n v="91"/>
    <n v="60"/>
    <n v="31"/>
  </r>
  <r>
    <x v="9"/>
    <x v="273"/>
    <s v="TA"/>
    <x v="20"/>
    <x v="163"/>
    <n v="63"/>
    <n v="35"/>
    <n v="28"/>
  </r>
  <r>
    <x v="9"/>
    <x v="274"/>
    <s v="TA"/>
    <x v="20"/>
    <x v="233"/>
    <n v="29"/>
    <n v="18"/>
    <n v="11"/>
  </r>
  <r>
    <x v="9"/>
    <x v="275"/>
    <s v="TA"/>
    <x v="20"/>
    <x v="234"/>
    <n v="209"/>
    <n v="115"/>
    <n v="94"/>
  </r>
  <r>
    <x v="9"/>
    <x v="276"/>
    <s v="TA"/>
    <x v="20"/>
    <x v="59"/>
    <n v="196"/>
    <n v="117"/>
    <n v="79"/>
  </r>
  <r>
    <x v="9"/>
    <x v="277"/>
    <s v="TA"/>
    <x v="20"/>
    <x v="235"/>
    <n v="226"/>
    <n v="118"/>
    <n v="108"/>
  </r>
  <r>
    <x v="9"/>
    <x v="278"/>
    <s v="TA"/>
    <x v="20"/>
    <x v="236"/>
    <n v="68"/>
    <n v="47"/>
    <n v="21"/>
  </r>
  <r>
    <x v="9"/>
    <x v="279"/>
    <s v="TA"/>
    <x v="20"/>
    <x v="237"/>
    <n v="170"/>
    <n v="125"/>
    <n v="45"/>
  </r>
  <r>
    <x v="9"/>
    <x v="280"/>
    <s v="TA"/>
    <x v="20"/>
    <x v="35"/>
    <n v="15"/>
    <n v="8"/>
    <n v="7"/>
  </r>
  <r>
    <x v="9"/>
    <x v="281"/>
    <s v="TA"/>
    <x v="20"/>
    <x v="238"/>
    <n v="180"/>
    <n v="131"/>
    <n v="49"/>
  </r>
  <r>
    <x v="9"/>
    <x v="282"/>
    <s v="TA"/>
    <x v="20"/>
    <x v="239"/>
    <n v="76"/>
    <n v="46"/>
    <n v="30"/>
  </r>
  <r>
    <x v="9"/>
    <x v="283"/>
    <s v="TA"/>
    <x v="20"/>
    <x v="38"/>
    <n v="74"/>
    <n v="43"/>
    <n v="31"/>
  </r>
  <r>
    <x v="9"/>
    <x v="284"/>
    <s v="TA"/>
    <x v="20"/>
    <x v="240"/>
    <n v="204"/>
    <n v="116"/>
    <n v="88"/>
  </r>
  <r>
    <x v="9"/>
    <x v="285"/>
    <s v="TA"/>
    <x v="20"/>
    <x v="241"/>
    <n v="38"/>
    <n v="29"/>
    <n v="9"/>
  </r>
  <r>
    <x v="9"/>
    <x v="286"/>
    <s v="TA"/>
    <x v="20"/>
    <x v="242"/>
    <n v="225"/>
    <n v="138"/>
    <n v="87"/>
  </r>
  <r>
    <x v="9"/>
    <x v="287"/>
    <s v="TA"/>
    <x v="20"/>
    <x v="42"/>
    <n v="74"/>
    <n v="49"/>
    <n v="25"/>
  </r>
  <r>
    <x v="9"/>
    <x v="288"/>
    <s v="TA"/>
    <x v="20"/>
    <x v="66"/>
    <n v="55"/>
    <n v="41"/>
    <n v="14"/>
  </r>
  <r>
    <x v="9"/>
    <x v="289"/>
    <s v="TA"/>
    <x v="20"/>
    <x v="243"/>
    <n v="44"/>
    <n v="28"/>
    <n v="16"/>
  </r>
  <r>
    <x v="9"/>
    <x v="290"/>
    <s v="TA"/>
    <x v="20"/>
    <x v="244"/>
    <n v="74"/>
    <n v="42"/>
    <n v="32"/>
  </r>
  <r>
    <x v="9"/>
    <x v="291"/>
    <s v="TA"/>
    <x v="20"/>
    <x v="245"/>
    <n v="111"/>
    <n v="72"/>
    <n v="39"/>
  </r>
  <r>
    <x v="9"/>
    <x v="292"/>
    <s v="TA"/>
    <x v="20"/>
    <x v="246"/>
    <n v="107"/>
    <n v="67"/>
    <n v="40"/>
  </r>
  <r>
    <x v="9"/>
    <x v="293"/>
    <s v="TA"/>
    <x v="20"/>
    <x v="247"/>
    <n v="18"/>
    <n v="10"/>
    <n v="8"/>
  </r>
  <r>
    <x v="9"/>
    <x v="294"/>
    <s v="TA"/>
    <x v="20"/>
    <x v="248"/>
    <n v="49"/>
    <n v="30"/>
    <n v="19"/>
  </r>
  <r>
    <x v="9"/>
    <x v="295"/>
    <s v="TA"/>
    <x v="20"/>
    <x v="249"/>
    <n v="2823"/>
    <n v="1603"/>
    <n v="1220"/>
  </r>
  <r>
    <x v="9"/>
    <x v="296"/>
    <s v="TA"/>
    <x v="20"/>
    <x v="250"/>
    <n v="18"/>
    <n v="10"/>
    <n v="8"/>
  </r>
  <r>
    <x v="9"/>
    <x v="297"/>
    <s v="TA"/>
    <x v="20"/>
    <x v="251"/>
    <n v="28"/>
    <n v="18"/>
    <n v="10"/>
  </r>
  <r>
    <x v="9"/>
    <x v="298"/>
    <s v="TA"/>
    <x v="20"/>
    <x v="50"/>
    <n v="6"/>
    <n v="4"/>
    <n v="2"/>
  </r>
  <r>
    <x v="9"/>
    <x v="299"/>
    <s v="TA"/>
    <x v="20"/>
    <x v="73"/>
    <n v="35"/>
    <n v="21"/>
    <n v="14"/>
  </r>
  <r>
    <x v="9"/>
    <x v="300"/>
    <s v="TA"/>
    <x v="20"/>
    <x v="252"/>
    <n v="83"/>
    <n v="68"/>
    <n v="15"/>
  </r>
  <r>
    <x v="9"/>
    <x v="301"/>
    <s v="TA"/>
    <x v="20"/>
    <x v="253"/>
    <n v="79"/>
    <n v="48"/>
    <n v="31"/>
  </r>
  <r>
    <x v="9"/>
    <x v="302"/>
    <s v="TR"/>
    <x v="21"/>
    <x v="163"/>
    <n v="47"/>
    <n v="35"/>
    <n v="12"/>
  </r>
  <r>
    <x v="9"/>
    <x v="303"/>
    <s v="TR"/>
    <x v="21"/>
    <x v="254"/>
    <n v="425"/>
    <n v="257"/>
    <n v="168"/>
  </r>
  <r>
    <x v="9"/>
    <x v="304"/>
    <s v="TR"/>
    <x v="21"/>
    <x v="59"/>
    <n v="26"/>
    <n v="21"/>
    <n v="5"/>
  </r>
  <r>
    <x v="9"/>
    <x v="305"/>
    <s v="TR"/>
    <x v="21"/>
    <x v="255"/>
    <n v="94"/>
    <n v="68"/>
    <n v="26"/>
  </r>
  <r>
    <x v="9"/>
    <x v="306"/>
    <s v="TR"/>
    <x v="21"/>
    <x v="256"/>
    <n v="119"/>
    <n v="73"/>
    <n v="46"/>
  </r>
  <r>
    <x v="9"/>
    <x v="307"/>
    <s v="TR"/>
    <x v="21"/>
    <x v="257"/>
    <n v="79"/>
    <n v="42"/>
    <n v="37"/>
  </r>
  <r>
    <x v="9"/>
    <x v="308"/>
    <s v="TR"/>
    <x v="21"/>
    <x v="258"/>
    <n v="2"/>
    <n v="1"/>
    <n v="1"/>
  </r>
  <r>
    <x v="9"/>
    <x v="309"/>
    <s v="TR"/>
    <x v="21"/>
    <x v="259"/>
    <n v="18"/>
    <n v="7"/>
    <n v="11"/>
  </r>
  <r>
    <x v="9"/>
    <x v="310"/>
    <s v="TR"/>
    <x v="21"/>
    <x v="260"/>
    <n v="42"/>
    <n v="31"/>
    <n v="11"/>
  </r>
  <r>
    <x v="9"/>
    <x v="311"/>
    <s v="TR"/>
    <x v="21"/>
    <x v="104"/>
    <n v="25"/>
    <n v="16"/>
    <n v="9"/>
  </r>
  <r>
    <x v="9"/>
    <x v="312"/>
    <s v="TR"/>
    <x v="21"/>
    <x v="261"/>
    <n v="28"/>
    <n v="17"/>
    <n v="11"/>
  </r>
  <r>
    <x v="9"/>
    <x v="313"/>
    <s v="TR"/>
    <x v="21"/>
    <x v="262"/>
    <n v="29"/>
    <n v="17"/>
    <n v="12"/>
  </r>
  <r>
    <x v="9"/>
    <x v="314"/>
    <s v="TR"/>
    <x v="21"/>
    <x v="263"/>
    <n v="149"/>
    <n v="92"/>
    <n v="57"/>
  </r>
  <r>
    <x v="9"/>
    <x v="315"/>
    <s v="TR"/>
    <x v="21"/>
    <x v="264"/>
    <n v="38"/>
    <n v="28"/>
    <n v="10"/>
  </r>
  <r>
    <x v="9"/>
    <x v="316"/>
    <s v="TR"/>
    <x v="21"/>
    <x v="265"/>
    <n v="57"/>
    <n v="38"/>
    <n v="19"/>
  </r>
  <r>
    <x v="9"/>
    <x v="317"/>
    <s v="TR"/>
    <x v="21"/>
    <x v="266"/>
    <n v="112"/>
    <n v="66"/>
    <n v="46"/>
  </r>
  <r>
    <x v="9"/>
    <x v="318"/>
    <s v="TR"/>
    <x v="21"/>
    <x v="73"/>
    <n v="102"/>
    <n v="64"/>
    <n v="38"/>
  </r>
  <r>
    <x v="9"/>
    <x v="319"/>
    <s v="TR"/>
    <x v="21"/>
    <x v="267"/>
    <n v="401"/>
    <n v="217"/>
    <n v="184"/>
  </r>
  <r>
    <x v="9"/>
    <x v="320"/>
    <s v="TR"/>
    <x v="21"/>
    <x v="75"/>
    <n v="143"/>
    <n v="88"/>
    <n v="55"/>
  </r>
  <r>
    <x v="9"/>
    <x v="321"/>
    <s v="TR"/>
    <x v="21"/>
    <x v="268"/>
    <n v="1464"/>
    <n v="885"/>
    <n v="579"/>
  </r>
  <r>
    <x v="9"/>
    <x v="322"/>
    <s v="VA"/>
    <x v="0"/>
    <x v="269"/>
    <n v="108"/>
    <n v="65"/>
    <n v="43"/>
  </r>
  <r>
    <x v="9"/>
    <x v="323"/>
    <s v="VA"/>
    <x v="0"/>
    <x v="270"/>
    <n v="119"/>
    <n v="90"/>
    <n v="29"/>
  </r>
  <r>
    <x v="9"/>
    <x v="324"/>
    <s v="VA"/>
    <x v="0"/>
    <x v="271"/>
    <n v="94"/>
    <n v="61"/>
    <n v="33"/>
  </r>
  <r>
    <x v="9"/>
    <x v="325"/>
    <s v="VA"/>
    <x v="0"/>
    <x v="272"/>
    <n v="0"/>
    <n v="0"/>
    <n v="0"/>
  </r>
  <r>
    <x v="9"/>
    <x v="326"/>
    <s v="VA"/>
    <x v="0"/>
    <x v="273"/>
    <n v="260"/>
    <n v="180"/>
    <n v="80"/>
  </r>
  <r>
    <x v="9"/>
    <x v="327"/>
    <s v="VA"/>
    <x v="0"/>
    <x v="274"/>
    <n v="1"/>
    <n v="1"/>
    <n v="0"/>
  </r>
  <r>
    <x v="9"/>
    <x v="328"/>
    <s v="VA"/>
    <x v="0"/>
    <x v="275"/>
    <n v="294"/>
    <n v="172"/>
    <n v="122"/>
  </r>
  <r>
    <x v="9"/>
    <x v="329"/>
    <s v="VA"/>
    <x v="0"/>
    <x v="276"/>
    <n v="120"/>
    <n v="76"/>
    <n v="44"/>
  </r>
  <r>
    <x v="9"/>
    <x v="330"/>
    <s v="VA"/>
    <x v="0"/>
    <x v="277"/>
    <n v="566"/>
    <n v="348"/>
    <n v="218"/>
  </r>
  <r>
    <x v="9"/>
    <x v="331"/>
    <s v="VA"/>
    <x v="0"/>
    <x v="278"/>
    <n v="49"/>
    <n v="31"/>
    <n v="18"/>
  </r>
  <r>
    <x v="9"/>
    <x v="332"/>
    <s v="VA"/>
    <x v="0"/>
    <x v="279"/>
    <n v="22"/>
    <n v="15"/>
    <n v="7"/>
  </r>
  <r>
    <x v="9"/>
    <x v="333"/>
    <s v="YA"/>
    <x v="22"/>
    <x v="280"/>
    <n v="37"/>
    <n v="22"/>
    <n v="15"/>
  </r>
  <r>
    <x v="9"/>
    <x v="334"/>
    <s v="YA"/>
    <x v="22"/>
    <x v="59"/>
    <n v="67"/>
    <n v="51"/>
    <n v="16"/>
  </r>
  <r>
    <x v="9"/>
    <x v="335"/>
    <s v="YA"/>
    <x v="22"/>
    <x v="281"/>
    <n v="158"/>
    <n v="99"/>
    <n v="59"/>
  </r>
  <r>
    <x v="9"/>
    <x v="336"/>
    <s v="YA"/>
    <x v="22"/>
    <x v="282"/>
    <n v="110"/>
    <n v="70"/>
    <n v="40"/>
  </r>
  <r>
    <x v="9"/>
    <x v="337"/>
    <s v="YA"/>
    <x v="22"/>
    <x v="38"/>
    <n v="88"/>
    <n v="58"/>
    <n v="30"/>
  </r>
  <r>
    <x v="9"/>
    <x v="338"/>
    <s v="YA"/>
    <x v="22"/>
    <x v="283"/>
    <n v="38"/>
    <n v="26"/>
    <n v="12"/>
  </r>
  <r>
    <x v="9"/>
    <x v="339"/>
    <s v="YA"/>
    <x v="22"/>
    <x v="284"/>
    <n v="30"/>
    <n v="22"/>
    <n v="8"/>
  </r>
  <r>
    <x v="9"/>
    <x v="340"/>
    <s v="YA"/>
    <x v="22"/>
    <x v="285"/>
    <n v="11"/>
    <n v="5"/>
    <n v="6"/>
  </r>
  <r>
    <x v="9"/>
    <x v="341"/>
    <s v="YA"/>
    <x v="22"/>
    <x v="286"/>
    <n v="229"/>
    <n v="158"/>
    <n v="71"/>
  </r>
  <r>
    <x v="9"/>
    <x v="342"/>
    <s v="YA"/>
    <x v="22"/>
    <x v="287"/>
    <n v="234"/>
    <n v="143"/>
    <n v="91"/>
  </r>
  <r>
    <x v="9"/>
    <x v="343"/>
    <s v="YA"/>
    <x v="22"/>
    <x v="288"/>
    <n v="1198"/>
    <n v="696"/>
    <n v="502"/>
  </r>
  <r>
    <x v="9"/>
    <x v="344"/>
    <s v="YA"/>
    <x v="22"/>
    <x v="73"/>
    <n v="32"/>
    <n v="20"/>
    <n v="12"/>
  </r>
  <r>
    <x v="9"/>
    <x v="345"/>
    <s v="YA"/>
    <x v="22"/>
    <x v="289"/>
    <n v="36"/>
    <n v="20"/>
    <n v="16"/>
  </r>
  <r>
    <x v="9"/>
    <x v="346"/>
    <s v="YA"/>
    <x v="22"/>
    <x v="290"/>
    <n v="38"/>
    <n v="29"/>
    <n v="9"/>
  </r>
  <r>
    <x v="9"/>
    <x v="347"/>
    <s v="ZU"/>
    <x v="23"/>
    <x v="291"/>
    <n v="25"/>
    <n v="15"/>
    <n v="10"/>
  </r>
  <r>
    <x v="9"/>
    <x v="348"/>
    <s v="ZU"/>
    <x v="23"/>
    <x v="292"/>
    <n v="277"/>
    <n v="176"/>
    <n v="101"/>
  </r>
  <r>
    <x v="9"/>
    <x v="349"/>
    <s v="ZU"/>
    <x v="23"/>
    <x v="293"/>
    <n v="1330"/>
    <n v="762"/>
    <n v="568"/>
  </r>
  <r>
    <x v="9"/>
    <x v="350"/>
    <s v="ZU"/>
    <x v="23"/>
    <x v="294"/>
    <n v="82"/>
    <n v="53"/>
    <n v="29"/>
  </r>
  <r>
    <x v="9"/>
    <x v="351"/>
    <s v="ZU"/>
    <x v="23"/>
    <x v="295"/>
    <n v="494"/>
    <n v="326"/>
    <n v="168"/>
  </r>
  <r>
    <x v="9"/>
    <x v="352"/>
    <s v="ZU"/>
    <x v="23"/>
    <x v="296"/>
    <n v="58"/>
    <n v="43"/>
    <n v="15"/>
  </r>
  <r>
    <x v="9"/>
    <x v="353"/>
    <s v="ZU"/>
    <x v="23"/>
    <x v="297"/>
    <n v="367"/>
    <n v="233"/>
    <n v="134"/>
  </r>
  <r>
    <x v="9"/>
    <x v="354"/>
    <s v="ZU"/>
    <x v="23"/>
    <x v="298"/>
    <n v="52"/>
    <n v="34"/>
    <n v="18"/>
  </r>
  <r>
    <x v="9"/>
    <x v="355"/>
    <s v="ZU"/>
    <x v="23"/>
    <x v="299"/>
    <n v="158"/>
    <n v="108"/>
    <n v="50"/>
  </r>
  <r>
    <x v="9"/>
    <x v="356"/>
    <s v="ZU"/>
    <x v="23"/>
    <x v="300"/>
    <n v="1031"/>
    <n v="616"/>
    <n v="415"/>
  </r>
  <r>
    <x v="9"/>
    <x v="357"/>
    <s v="ZU"/>
    <x v="23"/>
    <x v="301"/>
    <n v="381"/>
    <n v="229"/>
    <n v="152"/>
  </r>
  <r>
    <x v="9"/>
    <x v="358"/>
    <s v="ZU"/>
    <x v="23"/>
    <x v="302"/>
    <n v="611"/>
    <n v="368"/>
    <n v="243"/>
  </r>
  <r>
    <x v="9"/>
    <x v="359"/>
    <s v="ZU"/>
    <x v="23"/>
    <x v="303"/>
    <n v="8765"/>
    <n v="5107"/>
    <n v="3658"/>
  </r>
  <r>
    <x v="9"/>
    <x v="360"/>
    <s v="ZU"/>
    <x v="23"/>
    <x v="104"/>
    <n v="225"/>
    <n v="141"/>
    <n v="84"/>
  </r>
  <r>
    <x v="9"/>
    <x v="361"/>
    <s v="ZU"/>
    <x v="23"/>
    <x v="55"/>
    <n v="205"/>
    <n v="119"/>
    <n v="86"/>
  </r>
  <r>
    <x v="9"/>
    <x v="362"/>
    <s v="ZU"/>
    <x v="23"/>
    <x v="304"/>
    <n v="262"/>
    <n v="166"/>
    <n v="96"/>
  </r>
  <r>
    <x v="9"/>
    <x v="363"/>
    <s v="ZU"/>
    <x v="23"/>
    <x v="136"/>
    <n v="1219"/>
    <n v="720"/>
    <n v="499"/>
  </r>
  <r>
    <x v="9"/>
    <x v="364"/>
    <s v="ZU"/>
    <x v="23"/>
    <x v="305"/>
    <n v="137"/>
    <n v="87"/>
    <n v="50"/>
  </r>
  <r>
    <x v="9"/>
    <x v="365"/>
    <s v="ZU"/>
    <x v="23"/>
    <x v="49"/>
    <n v="97"/>
    <n v="66"/>
    <n v="31"/>
  </r>
  <r>
    <x v="9"/>
    <x v="366"/>
    <s v="ZU"/>
    <x v="23"/>
    <x v="73"/>
    <n v="214"/>
    <n v="138"/>
    <n v="76"/>
  </r>
  <r>
    <x v="9"/>
    <x v="367"/>
    <s v="ZU"/>
    <x v="23"/>
    <x v="306"/>
    <n v="142"/>
    <n v="93"/>
    <n v="49"/>
  </r>
  <r>
    <x v="9"/>
    <x v="368"/>
    <s v="DE"/>
    <x v="24"/>
    <x v="307"/>
    <n v="0"/>
    <n v="0"/>
    <n v="0"/>
  </r>
  <r>
    <x v="10"/>
    <x v="0"/>
    <s v="VA"/>
    <x v="0"/>
    <x v="0"/>
    <n v="0"/>
    <n v="0"/>
    <n v="0"/>
  </r>
  <r>
    <x v="10"/>
    <x v="1"/>
    <s v="DI"/>
    <x v="1"/>
    <x v="1"/>
    <n v="0"/>
    <n v="0"/>
    <n v="0"/>
  </r>
  <r>
    <x v="10"/>
    <x v="2"/>
    <s v="DI"/>
    <x v="1"/>
    <x v="2"/>
    <n v="90"/>
    <n v="55"/>
    <n v="35"/>
  </r>
  <r>
    <x v="10"/>
    <x v="3"/>
    <s v="DI"/>
    <x v="1"/>
    <x v="3"/>
    <n v="491"/>
    <n v="317"/>
    <n v="174"/>
  </r>
  <r>
    <x v="10"/>
    <x v="4"/>
    <s v="DI"/>
    <x v="1"/>
    <x v="4"/>
    <n v="251"/>
    <n v="143"/>
    <n v="108"/>
  </r>
  <r>
    <x v="10"/>
    <x v="5"/>
    <s v="DI"/>
    <x v="1"/>
    <x v="5"/>
    <n v="332"/>
    <n v="197"/>
    <n v="135"/>
  </r>
  <r>
    <x v="10"/>
    <x v="6"/>
    <s v="DI"/>
    <x v="1"/>
    <x v="6"/>
    <n v="32"/>
    <n v="26"/>
    <n v="6"/>
  </r>
  <r>
    <x v="10"/>
    <x v="7"/>
    <s v="DI"/>
    <x v="1"/>
    <x v="7"/>
    <n v="501"/>
    <n v="370"/>
    <n v="131"/>
  </r>
  <r>
    <x v="10"/>
    <x v="8"/>
    <s v="DI"/>
    <x v="1"/>
    <x v="8"/>
    <n v="129"/>
    <n v="89"/>
    <n v="40"/>
  </r>
  <r>
    <x v="10"/>
    <x v="9"/>
    <s v="DI"/>
    <x v="1"/>
    <x v="9"/>
    <n v="1946"/>
    <n v="1184"/>
    <n v="762"/>
  </r>
  <r>
    <x v="10"/>
    <x v="10"/>
    <s v="DI"/>
    <x v="1"/>
    <x v="10"/>
    <n v="694"/>
    <n v="368"/>
    <n v="326"/>
  </r>
  <r>
    <x v="10"/>
    <x v="11"/>
    <s v="DI"/>
    <x v="1"/>
    <x v="11"/>
    <n v="290"/>
    <n v="180"/>
    <n v="110"/>
  </r>
  <r>
    <x v="10"/>
    <x v="12"/>
    <s v="DI"/>
    <x v="1"/>
    <x v="12"/>
    <n v="439"/>
    <n v="267"/>
    <n v="172"/>
  </r>
  <r>
    <x v="10"/>
    <x v="13"/>
    <s v="DI"/>
    <x v="1"/>
    <x v="13"/>
    <n v="276"/>
    <n v="172"/>
    <n v="104"/>
  </r>
  <r>
    <x v="10"/>
    <x v="14"/>
    <s v="DI"/>
    <x v="1"/>
    <x v="14"/>
    <n v="131"/>
    <n v="96"/>
    <n v="35"/>
  </r>
  <r>
    <x v="10"/>
    <x v="15"/>
    <s v="DI"/>
    <x v="1"/>
    <x v="15"/>
    <n v="113"/>
    <n v="81"/>
    <n v="32"/>
  </r>
  <r>
    <x v="10"/>
    <x v="16"/>
    <s v="DI"/>
    <x v="1"/>
    <x v="16"/>
    <n v="1002"/>
    <n v="551"/>
    <n v="451"/>
  </r>
  <r>
    <x v="10"/>
    <x v="17"/>
    <s v="DI"/>
    <x v="1"/>
    <x v="17"/>
    <n v="1510"/>
    <n v="836"/>
    <n v="674"/>
  </r>
  <r>
    <x v="10"/>
    <x v="18"/>
    <s v="DI"/>
    <x v="1"/>
    <x v="18"/>
    <n v="1504"/>
    <n v="863"/>
    <n v="641"/>
  </r>
  <r>
    <x v="10"/>
    <x v="19"/>
    <s v="DI"/>
    <x v="1"/>
    <x v="19"/>
    <n v="2351"/>
    <n v="1348"/>
    <n v="1003"/>
  </r>
  <r>
    <x v="10"/>
    <x v="20"/>
    <s v="DI"/>
    <x v="1"/>
    <x v="20"/>
    <n v="387"/>
    <n v="215"/>
    <n v="172"/>
  </r>
  <r>
    <x v="10"/>
    <x v="21"/>
    <s v="DI"/>
    <x v="1"/>
    <x v="21"/>
    <n v="45"/>
    <n v="27"/>
    <n v="18"/>
  </r>
  <r>
    <x v="10"/>
    <x v="22"/>
    <s v="DI"/>
    <x v="1"/>
    <x v="22"/>
    <n v="1676"/>
    <n v="1055"/>
    <n v="621"/>
  </r>
  <r>
    <x v="10"/>
    <x v="23"/>
    <s v="DI"/>
    <x v="1"/>
    <x v="23"/>
    <n v="196"/>
    <n v="107"/>
    <n v="89"/>
  </r>
  <r>
    <x v="10"/>
    <x v="24"/>
    <s v="AM"/>
    <x v="2"/>
    <x v="24"/>
    <n v="21"/>
    <n v="11"/>
    <n v="10"/>
  </r>
  <r>
    <x v="10"/>
    <x v="25"/>
    <s v="AM"/>
    <x v="2"/>
    <x v="25"/>
    <n v="11"/>
    <n v="6"/>
    <n v="5"/>
  </r>
  <r>
    <x v="10"/>
    <x v="26"/>
    <s v="AM"/>
    <x v="2"/>
    <x v="26"/>
    <n v="353"/>
    <n v="214"/>
    <n v="139"/>
  </r>
  <r>
    <x v="10"/>
    <x v="27"/>
    <s v="AM"/>
    <x v="2"/>
    <x v="27"/>
    <n v="5"/>
    <n v="1"/>
    <n v="4"/>
  </r>
  <r>
    <x v="10"/>
    <x v="28"/>
    <s v="AM"/>
    <x v="2"/>
    <x v="28"/>
    <n v="21"/>
    <n v="13"/>
    <n v="8"/>
  </r>
  <r>
    <x v="10"/>
    <x v="29"/>
    <s v="AM"/>
    <x v="2"/>
    <x v="29"/>
    <n v="0"/>
    <n v="0"/>
    <n v="0"/>
  </r>
  <r>
    <x v="10"/>
    <x v="30"/>
    <s v="AM"/>
    <x v="2"/>
    <x v="30"/>
    <n v="8"/>
    <n v="4"/>
    <n v="4"/>
  </r>
  <r>
    <x v="10"/>
    <x v="31"/>
    <s v="AN"/>
    <x v="3"/>
    <x v="31"/>
    <n v="318"/>
    <n v="218"/>
    <n v="100"/>
  </r>
  <r>
    <x v="10"/>
    <x v="32"/>
    <s v="AN"/>
    <x v="3"/>
    <x v="32"/>
    <n v="77"/>
    <n v="44"/>
    <n v="33"/>
  </r>
  <r>
    <x v="10"/>
    <x v="33"/>
    <s v="AN"/>
    <x v="3"/>
    <x v="33"/>
    <n v="100"/>
    <n v="58"/>
    <n v="42"/>
  </r>
  <r>
    <x v="10"/>
    <x v="34"/>
    <s v="AN"/>
    <x v="3"/>
    <x v="34"/>
    <n v="49"/>
    <n v="32"/>
    <n v="17"/>
  </r>
  <r>
    <x v="10"/>
    <x v="35"/>
    <s v="AN"/>
    <x v="3"/>
    <x v="35"/>
    <n v="104"/>
    <n v="62"/>
    <n v="42"/>
  </r>
  <r>
    <x v="10"/>
    <x v="36"/>
    <s v="AN"/>
    <x v="3"/>
    <x v="36"/>
    <n v="40"/>
    <n v="21"/>
    <n v="19"/>
  </r>
  <r>
    <x v="10"/>
    <x v="37"/>
    <s v="AN"/>
    <x v="3"/>
    <x v="37"/>
    <n v="39"/>
    <n v="30"/>
    <n v="9"/>
  </r>
  <r>
    <x v="10"/>
    <x v="38"/>
    <s v="AN"/>
    <x v="3"/>
    <x v="38"/>
    <n v="86"/>
    <n v="52"/>
    <n v="34"/>
  </r>
  <r>
    <x v="10"/>
    <x v="39"/>
    <s v="AN"/>
    <x v="3"/>
    <x v="39"/>
    <n v="35"/>
    <n v="25"/>
    <n v="10"/>
  </r>
  <r>
    <x v="10"/>
    <x v="40"/>
    <s v="AN"/>
    <x v="3"/>
    <x v="40"/>
    <n v="814"/>
    <n v="506"/>
    <n v="308"/>
  </r>
  <r>
    <x v="10"/>
    <x v="41"/>
    <s v="AN"/>
    <x v="3"/>
    <x v="41"/>
    <n v="29"/>
    <n v="19"/>
    <n v="10"/>
  </r>
  <r>
    <x v="10"/>
    <x v="42"/>
    <s v="AN"/>
    <x v="3"/>
    <x v="42"/>
    <n v="52"/>
    <n v="34"/>
    <n v="18"/>
  </r>
  <r>
    <x v="10"/>
    <x v="43"/>
    <s v="AN"/>
    <x v="3"/>
    <x v="43"/>
    <n v="91"/>
    <n v="53"/>
    <n v="38"/>
  </r>
  <r>
    <x v="10"/>
    <x v="44"/>
    <s v="AN"/>
    <x v="3"/>
    <x v="44"/>
    <n v="264"/>
    <n v="159"/>
    <n v="105"/>
  </r>
  <r>
    <x v="10"/>
    <x v="45"/>
    <s v="AN"/>
    <x v="3"/>
    <x v="45"/>
    <n v="51"/>
    <n v="37"/>
    <n v="14"/>
  </r>
  <r>
    <x v="10"/>
    <x v="46"/>
    <s v="AN"/>
    <x v="3"/>
    <x v="46"/>
    <n v="154"/>
    <n v="93"/>
    <n v="61"/>
  </r>
  <r>
    <x v="10"/>
    <x v="47"/>
    <s v="AN"/>
    <x v="3"/>
    <x v="47"/>
    <n v="27"/>
    <n v="20"/>
    <n v="7"/>
  </r>
  <r>
    <x v="10"/>
    <x v="48"/>
    <s v="AN"/>
    <x v="3"/>
    <x v="48"/>
    <n v="24"/>
    <n v="16"/>
    <n v="8"/>
  </r>
  <r>
    <x v="10"/>
    <x v="49"/>
    <s v="AN"/>
    <x v="3"/>
    <x v="49"/>
    <n v="2133"/>
    <n v="1356"/>
    <n v="777"/>
  </r>
  <r>
    <x v="10"/>
    <x v="50"/>
    <s v="AN"/>
    <x v="3"/>
    <x v="50"/>
    <n v="818"/>
    <n v="487"/>
    <n v="331"/>
  </r>
  <r>
    <x v="10"/>
    <x v="51"/>
    <s v="AN"/>
    <x v="3"/>
    <x v="51"/>
    <n v="16"/>
    <n v="16"/>
    <n v="0"/>
  </r>
  <r>
    <x v="10"/>
    <x v="52"/>
    <s v="AP"/>
    <x v="4"/>
    <x v="52"/>
    <n v="173"/>
    <n v="105"/>
    <n v="68"/>
  </r>
  <r>
    <x v="10"/>
    <x v="53"/>
    <s v="AP"/>
    <x v="4"/>
    <x v="53"/>
    <n v="85"/>
    <n v="53"/>
    <n v="32"/>
  </r>
  <r>
    <x v="10"/>
    <x v="54"/>
    <s v="AP"/>
    <x v="4"/>
    <x v="54"/>
    <n v="53"/>
    <n v="33"/>
    <n v="20"/>
  </r>
  <r>
    <x v="10"/>
    <x v="55"/>
    <s v="AP"/>
    <x v="4"/>
    <x v="55"/>
    <n v="263"/>
    <n v="176"/>
    <n v="87"/>
  </r>
  <r>
    <x v="10"/>
    <x v="56"/>
    <s v="AP"/>
    <x v="4"/>
    <x v="56"/>
    <n v="35"/>
    <n v="24"/>
    <n v="11"/>
  </r>
  <r>
    <x v="10"/>
    <x v="57"/>
    <s v="AP"/>
    <x v="4"/>
    <x v="57"/>
    <n v="62"/>
    <n v="38"/>
    <n v="24"/>
  </r>
  <r>
    <x v="10"/>
    <x v="58"/>
    <s v="AP"/>
    <x v="4"/>
    <x v="58"/>
    <n v="947"/>
    <n v="537"/>
    <n v="410"/>
  </r>
  <r>
    <x v="10"/>
    <x v="59"/>
    <s v="AR"/>
    <x v="5"/>
    <x v="59"/>
    <n v="154"/>
    <n v="97"/>
    <n v="57"/>
  </r>
  <r>
    <x v="10"/>
    <x v="60"/>
    <s v="AR"/>
    <x v="5"/>
    <x v="60"/>
    <n v="73"/>
    <n v="45"/>
    <n v="28"/>
  </r>
  <r>
    <x v="10"/>
    <x v="61"/>
    <s v="AR"/>
    <x v="5"/>
    <x v="61"/>
    <n v="211"/>
    <n v="128"/>
    <n v="83"/>
  </r>
  <r>
    <x v="10"/>
    <x v="62"/>
    <s v="AR"/>
    <x v="5"/>
    <x v="62"/>
    <n v="2765"/>
    <n v="1600"/>
    <n v="1165"/>
  </r>
  <r>
    <x v="10"/>
    <x v="63"/>
    <s v="AR"/>
    <x v="5"/>
    <x v="63"/>
    <n v="55"/>
    <n v="36"/>
    <n v="19"/>
  </r>
  <r>
    <x v="10"/>
    <x v="64"/>
    <s v="AR"/>
    <x v="5"/>
    <x v="64"/>
    <n v="864"/>
    <n v="506"/>
    <n v="358"/>
  </r>
  <r>
    <x v="10"/>
    <x v="65"/>
    <s v="AR"/>
    <x v="5"/>
    <x v="65"/>
    <n v="111"/>
    <n v="77"/>
    <n v="34"/>
  </r>
  <r>
    <x v="10"/>
    <x v="66"/>
    <s v="AR"/>
    <x v="5"/>
    <x v="66"/>
    <n v="409"/>
    <n v="243"/>
    <n v="166"/>
  </r>
  <r>
    <x v="10"/>
    <x v="67"/>
    <s v="AR"/>
    <x v="5"/>
    <x v="67"/>
    <n v="241"/>
    <n v="132"/>
    <n v="109"/>
  </r>
  <r>
    <x v="10"/>
    <x v="68"/>
    <s v="AR"/>
    <x v="5"/>
    <x v="68"/>
    <n v="0"/>
    <n v="0"/>
    <n v="0"/>
  </r>
  <r>
    <x v="10"/>
    <x v="69"/>
    <s v="AR"/>
    <x v="5"/>
    <x v="69"/>
    <n v="88"/>
    <n v="58"/>
    <n v="30"/>
  </r>
  <r>
    <x v="10"/>
    <x v="70"/>
    <s v="AR"/>
    <x v="5"/>
    <x v="70"/>
    <n v="67"/>
    <n v="38"/>
    <n v="29"/>
  </r>
  <r>
    <x v="10"/>
    <x v="71"/>
    <s v="AR"/>
    <x v="5"/>
    <x v="71"/>
    <n v="362"/>
    <n v="211"/>
    <n v="151"/>
  </r>
  <r>
    <x v="10"/>
    <x v="72"/>
    <s v="AR"/>
    <x v="5"/>
    <x v="72"/>
    <n v="120"/>
    <n v="89"/>
    <n v="31"/>
  </r>
  <r>
    <x v="10"/>
    <x v="73"/>
    <s v="AR"/>
    <x v="5"/>
    <x v="73"/>
    <n v="349"/>
    <n v="211"/>
    <n v="138"/>
  </r>
  <r>
    <x v="10"/>
    <x v="74"/>
    <s v="AR"/>
    <x v="5"/>
    <x v="74"/>
    <n v="30"/>
    <n v="18"/>
    <n v="12"/>
  </r>
  <r>
    <x v="10"/>
    <x v="75"/>
    <s v="AR"/>
    <x v="5"/>
    <x v="75"/>
    <n v="48"/>
    <n v="37"/>
    <n v="11"/>
  </r>
  <r>
    <x v="10"/>
    <x v="76"/>
    <s v="AR"/>
    <x v="5"/>
    <x v="76"/>
    <n v="466"/>
    <n v="292"/>
    <n v="174"/>
  </r>
  <r>
    <x v="10"/>
    <x v="77"/>
    <s v="BA"/>
    <x v="6"/>
    <x v="77"/>
    <n v="115"/>
    <n v="73"/>
    <n v="42"/>
  </r>
  <r>
    <x v="10"/>
    <x v="78"/>
    <s v="BA"/>
    <x v="6"/>
    <x v="78"/>
    <n v="0"/>
    <n v="0"/>
    <n v="0"/>
  </r>
  <r>
    <x v="10"/>
    <x v="79"/>
    <s v="BA"/>
    <x v="6"/>
    <x v="79"/>
    <n v="191"/>
    <n v="115"/>
    <n v="76"/>
  </r>
  <r>
    <x v="10"/>
    <x v="80"/>
    <s v="BA"/>
    <x v="6"/>
    <x v="80"/>
    <n v="36"/>
    <n v="21"/>
    <n v="15"/>
  </r>
  <r>
    <x v="10"/>
    <x v="81"/>
    <s v="BA"/>
    <x v="6"/>
    <x v="81"/>
    <n v="1629"/>
    <n v="999"/>
    <n v="630"/>
  </r>
  <r>
    <x v="10"/>
    <x v="82"/>
    <s v="BA"/>
    <x v="6"/>
    <x v="59"/>
    <n v="127"/>
    <n v="70"/>
    <n v="57"/>
  </r>
  <r>
    <x v="10"/>
    <x v="83"/>
    <s v="BA"/>
    <x v="6"/>
    <x v="82"/>
    <n v="74"/>
    <n v="51"/>
    <n v="23"/>
  </r>
  <r>
    <x v="10"/>
    <x v="84"/>
    <s v="BA"/>
    <x v="6"/>
    <x v="83"/>
    <n v="204"/>
    <n v="126"/>
    <n v="78"/>
  </r>
  <r>
    <x v="10"/>
    <x v="85"/>
    <s v="BA"/>
    <x v="6"/>
    <x v="84"/>
    <n v="60"/>
    <n v="42"/>
    <n v="18"/>
  </r>
  <r>
    <x v="10"/>
    <x v="86"/>
    <s v="BA"/>
    <x v="6"/>
    <x v="85"/>
    <n v="187"/>
    <n v="125"/>
    <n v="62"/>
  </r>
  <r>
    <x v="10"/>
    <x v="87"/>
    <s v="BA"/>
    <x v="6"/>
    <x v="86"/>
    <n v="93"/>
    <n v="57"/>
    <n v="36"/>
  </r>
  <r>
    <x v="10"/>
    <x v="88"/>
    <s v="BA"/>
    <x v="6"/>
    <x v="87"/>
    <n v="31"/>
    <n v="22"/>
    <n v="9"/>
  </r>
  <r>
    <x v="10"/>
    <x v="89"/>
    <s v="BO"/>
    <x v="7"/>
    <x v="88"/>
    <n v="3241"/>
    <n v="2108"/>
    <n v="1133"/>
  </r>
  <r>
    <x v="10"/>
    <x v="90"/>
    <s v="BO"/>
    <x v="7"/>
    <x v="89"/>
    <n v="184"/>
    <n v="111"/>
    <n v="73"/>
  </r>
  <r>
    <x v="10"/>
    <x v="91"/>
    <s v="BO"/>
    <x v="7"/>
    <x v="90"/>
    <n v="54"/>
    <n v="35"/>
    <n v="19"/>
  </r>
  <r>
    <x v="10"/>
    <x v="92"/>
    <s v="BO"/>
    <x v="7"/>
    <x v="91"/>
    <n v="82"/>
    <n v="51"/>
    <n v="31"/>
  </r>
  <r>
    <x v="10"/>
    <x v="93"/>
    <s v="BO"/>
    <x v="7"/>
    <x v="92"/>
    <n v="1861"/>
    <n v="1077"/>
    <n v="784"/>
  </r>
  <r>
    <x v="10"/>
    <x v="94"/>
    <s v="BO"/>
    <x v="7"/>
    <x v="93"/>
    <n v="32"/>
    <n v="17"/>
    <n v="15"/>
  </r>
  <r>
    <x v="10"/>
    <x v="95"/>
    <s v="BO"/>
    <x v="7"/>
    <x v="94"/>
    <n v="347"/>
    <n v="198"/>
    <n v="149"/>
  </r>
  <r>
    <x v="10"/>
    <x v="96"/>
    <s v="BO"/>
    <x v="7"/>
    <x v="95"/>
    <n v="50"/>
    <n v="38"/>
    <n v="12"/>
  </r>
  <r>
    <x v="10"/>
    <x v="97"/>
    <s v="BO"/>
    <x v="7"/>
    <x v="96"/>
    <n v="64"/>
    <n v="41"/>
    <n v="23"/>
  </r>
  <r>
    <x v="10"/>
    <x v="98"/>
    <s v="BO"/>
    <x v="7"/>
    <x v="97"/>
    <n v="108"/>
    <n v="75"/>
    <n v="33"/>
  </r>
  <r>
    <x v="10"/>
    <x v="99"/>
    <s v="BO"/>
    <x v="7"/>
    <x v="73"/>
    <n v="17"/>
    <n v="12"/>
    <n v="5"/>
  </r>
  <r>
    <x v="10"/>
    <x v="100"/>
    <s v="CA"/>
    <x v="8"/>
    <x v="98"/>
    <n v="264"/>
    <n v="161"/>
    <n v="103"/>
  </r>
  <r>
    <x v="10"/>
    <x v="101"/>
    <s v="CA"/>
    <x v="8"/>
    <x v="99"/>
    <n v="384"/>
    <n v="245"/>
    <n v="139"/>
  </r>
  <r>
    <x v="10"/>
    <x v="102"/>
    <s v="CA"/>
    <x v="8"/>
    <x v="100"/>
    <n v="327"/>
    <n v="209"/>
    <n v="118"/>
  </r>
  <r>
    <x v="10"/>
    <x v="103"/>
    <s v="CA"/>
    <x v="8"/>
    <x v="101"/>
    <n v="418"/>
    <n v="276"/>
    <n v="142"/>
  </r>
  <r>
    <x v="10"/>
    <x v="104"/>
    <s v="CA"/>
    <x v="8"/>
    <x v="102"/>
    <n v="170"/>
    <n v="123"/>
    <n v="47"/>
  </r>
  <r>
    <x v="10"/>
    <x v="105"/>
    <s v="CA"/>
    <x v="8"/>
    <x v="66"/>
    <n v="475"/>
    <n v="344"/>
    <n v="131"/>
  </r>
  <r>
    <x v="10"/>
    <x v="106"/>
    <s v="CA"/>
    <x v="8"/>
    <x v="103"/>
    <n v="232"/>
    <n v="159"/>
    <n v="73"/>
  </r>
  <r>
    <x v="10"/>
    <x v="107"/>
    <s v="CA"/>
    <x v="8"/>
    <x v="104"/>
    <n v="60"/>
    <n v="39"/>
    <n v="21"/>
  </r>
  <r>
    <x v="10"/>
    <x v="108"/>
    <s v="CA"/>
    <x v="8"/>
    <x v="105"/>
    <n v="54"/>
    <n v="31"/>
    <n v="23"/>
  </r>
  <r>
    <x v="10"/>
    <x v="109"/>
    <s v="CA"/>
    <x v="8"/>
    <x v="106"/>
    <n v="1351"/>
    <n v="719"/>
    <n v="632"/>
  </r>
  <r>
    <x v="10"/>
    <x v="110"/>
    <s v="CA"/>
    <x v="8"/>
    <x v="107"/>
    <n v="1039"/>
    <n v="650"/>
    <n v="389"/>
  </r>
  <r>
    <x v="10"/>
    <x v="111"/>
    <s v="CA"/>
    <x v="8"/>
    <x v="108"/>
    <n v="134"/>
    <n v="75"/>
    <n v="59"/>
  </r>
  <r>
    <x v="10"/>
    <x v="112"/>
    <s v="CA"/>
    <x v="8"/>
    <x v="109"/>
    <n v="150"/>
    <n v="97"/>
    <n v="53"/>
  </r>
  <r>
    <x v="10"/>
    <x v="113"/>
    <s v="CA"/>
    <x v="8"/>
    <x v="110"/>
    <n v="4441"/>
    <n v="2768"/>
    <n v="1673"/>
  </r>
  <r>
    <x v="10"/>
    <x v="114"/>
    <s v="CO"/>
    <x v="9"/>
    <x v="111"/>
    <n v="29"/>
    <n v="21"/>
    <n v="8"/>
  </r>
  <r>
    <x v="10"/>
    <x v="115"/>
    <s v="CO"/>
    <x v="9"/>
    <x v="112"/>
    <n v="314"/>
    <n v="204"/>
    <n v="110"/>
  </r>
  <r>
    <x v="10"/>
    <x v="116"/>
    <s v="CO"/>
    <x v="9"/>
    <x v="62"/>
    <n v="31"/>
    <n v="19"/>
    <n v="12"/>
  </r>
  <r>
    <x v="10"/>
    <x v="117"/>
    <s v="CO"/>
    <x v="9"/>
    <x v="113"/>
    <n v="7"/>
    <n v="6"/>
    <n v="1"/>
  </r>
  <r>
    <x v="10"/>
    <x v="118"/>
    <s v="CO"/>
    <x v="9"/>
    <x v="114"/>
    <n v="37"/>
    <n v="27"/>
    <n v="10"/>
  </r>
  <r>
    <x v="10"/>
    <x v="119"/>
    <s v="CO"/>
    <x v="9"/>
    <x v="115"/>
    <n v="24"/>
    <n v="11"/>
    <n v="13"/>
  </r>
  <r>
    <x v="10"/>
    <x v="120"/>
    <s v="CO"/>
    <x v="9"/>
    <x v="57"/>
    <n v="27"/>
    <n v="21"/>
    <n v="6"/>
  </r>
  <r>
    <x v="10"/>
    <x v="121"/>
    <s v="CO"/>
    <x v="9"/>
    <x v="116"/>
    <n v="571"/>
    <n v="329"/>
    <n v="242"/>
  </r>
  <r>
    <x v="10"/>
    <x v="122"/>
    <s v="CO"/>
    <x v="9"/>
    <x v="117"/>
    <n v="90"/>
    <n v="58"/>
    <n v="32"/>
  </r>
  <r>
    <x v="10"/>
    <x v="123"/>
    <s v="DE"/>
    <x v="10"/>
    <x v="118"/>
    <n v="95"/>
    <n v="48"/>
    <n v="47"/>
  </r>
  <r>
    <x v="10"/>
    <x v="124"/>
    <s v="DE"/>
    <x v="10"/>
    <x v="119"/>
    <n v="27"/>
    <n v="17"/>
    <n v="10"/>
  </r>
  <r>
    <x v="10"/>
    <x v="125"/>
    <s v="DE"/>
    <x v="10"/>
    <x v="120"/>
    <n v="12"/>
    <n v="7"/>
    <n v="5"/>
  </r>
  <r>
    <x v="10"/>
    <x v="126"/>
    <s v="DE"/>
    <x v="10"/>
    <x v="121"/>
    <n v="414"/>
    <n v="248"/>
    <n v="166"/>
  </r>
  <r>
    <x v="10"/>
    <x v="127"/>
    <s v="FA"/>
    <x v="11"/>
    <x v="122"/>
    <n v="23"/>
    <n v="16"/>
    <n v="7"/>
  </r>
  <r>
    <x v="10"/>
    <x v="128"/>
    <s v="FA"/>
    <x v="11"/>
    <x v="59"/>
    <n v="8"/>
    <n v="6"/>
    <n v="2"/>
  </r>
  <r>
    <x v="10"/>
    <x v="129"/>
    <s v="FA"/>
    <x v="11"/>
    <x v="123"/>
    <n v="58"/>
    <n v="39"/>
    <n v="19"/>
  </r>
  <r>
    <x v="10"/>
    <x v="130"/>
    <s v="FA"/>
    <x v="11"/>
    <x v="124"/>
    <n v="25"/>
    <n v="13"/>
    <n v="12"/>
  </r>
  <r>
    <x v="10"/>
    <x v="131"/>
    <s v="FA"/>
    <x v="11"/>
    <x v="125"/>
    <n v="848"/>
    <n v="515"/>
    <n v="333"/>
  </r>
  <r>
    <x v="10"/>
    <x v="132"/>
    <s v="FA"/>
    <x v="11"/>
    <x v="126"/>
    <n v="67"/>
    <n v="36"/>
    <n v="31"/>
  </r>
  <r>
    <x v="10"/>
    <x v="133"/>
    <s v="FA"/>
    <x v="11"/>
    <x v="127"/>
    <n v="61"/>
    <n v="32"/>
    <n v="29"/>
  </r>
  <r>
    <x v="10"/>
    <x v="134"/>
    <s v="FA"/>
    <x v="11"/>
    <x v="128"/>
    <n v="23"/>
    <n v="12"/>
    <n v="11"/>
  </r>
  <r>
    <x v="10"/>
    <x v="135"/>
    <s v="FA"/>
    <x v="11"/>
    <x v="112"/>
    <n v="100"/>
    <n v="62"/>
    <n v="38"/>
  </r>
  <r>
    <x v="10"/>
    <x v="136"/>
    <s v="FA"/>
    <x v="11"/>
    <x v="129"/>
    <n v="86"/>
    <n v="45"/>
    <n v="41"/>
  </r>
  <r>
    <x v="10"/>
    <x v="137"/>
    <s v="FA"/>
    <x v="11"/>
    <x v="130"/>
    <n v="7"/>
    <n v="3"/>
    <n v="4"/>
  </r>
  <r>
    <x v="10"/>
    <x v="138"/>
    <s v="FA"/>
    <x v="11"/>
    <x v="131"/>
    <n v="127"/>
    <n v="78"/>
    <n v="49"/>
  </r>
  <r>
    <x v="10"/>
    <x v="139"/>
    <s v="FA"/>
    <x v="11"/>
    <x v="132"/>
    <n v="67"/>
    <n v="42"/>
    <n v="25"/>
  </r>
  <r>
    <x v="10"/>
    <x v="140"/>
    <s v="FA"/>
    <x v="11"/>
    <x v="104"/>
    <n v="1107"/>
    <n v="635"/>
    <n v="472"/>
  </r>
  <r>
    <x v="10"/>
    <x v="141"/>
    <s v="FA"/>
    <x v="11"/>
    <x v="133"/>
    <n v="53"/>
    <n v="34"/>
    <n v="19"/>
  </r>
  <r>
    <x v="10"/>
    <x v="142"/>
    <s v="FA"/>
    <x v="11"/>
    <x v="134"/>
    <n v="6"/>
    <n v="4"/>
    <n v="2"/>
  </r>
  <r>
    <x v="10"/>
    <x v="143"/>
    <s v="FA"/>
    <x v="11"/>
    <x v="135"/>
    <n v="14"/>
    <n v="10"/>
    <n v="4"/>
  </r>
  <r>
    <x v="10"/>
    <x v="144"/>
    <s v="FA"/>
    <x v="11"/>
    <x v="45"/>
    <n v="26"/>
    <n v="17"/>
    <n v="9"/>
  </r>
  <r>
    <x v="10"/>
    <x v="145"/>
    <s v="FA"/>
    <x v="11"/>
    <x v="136"/>
    <n v="47"/>
    <n v="27"/>
    <n v="20"/>
  </r>
  <r>
    <x v="10"/>
    <x v="146"/>
    <s v="FA"/>
    <x v="11"/>
    <x v="137"/>
    <n v="151"/>
    <n v="102"/>
    <n v="49"/>
  </r>
  <r>
    <x v="10"/>
    <x v="147"/>
    <s v="FA"/>
    <x v="11"/>
    <x v="73"/>
    <n v="10"/>
    <n v="6"/>
    <n v="4"/>
  </r>
  <r>
    <x v="10"/>
    <x v="148"/>
    <s v="FA"/>
    <x v="11"/>
    <x v="138"/>
    <n v="14"/>
    <n v="6"/>
    <n v="8"/>
  </r>
  <r>
    <x v="10"/>
    <x v="149"/>
    <s v="FA"/>
    <x v="11"/>
    <x v="139"/>
    <n v="28"/>
    <n v="13"/>
    <n v="15"/>
  </r>
  <r>
    <x v="10"/>
    <x v="150"/>
    <s v="FA"/>
    <x v="11"/>
    <x v="140"/>
    <n v="22"/>
    <n v="15"/>
    <n v="7"/>
  </r>
  <r>
    <x v="10"/>
    <x v="151"/>
    <s v="FA"/>
    <x v="11"/>
    <x v="76"/>
    <n v="74"/>
    <n v="44"/>
    <n v="30"/>
  </r>
  <r>
    <x v="10"/>
    <x v="152"/>
    <s v="GU"/>
    <x v="12"/>
    <x v="141"/>
    <n v="52"/>
    <n v="31"/>
    <n v="21"/>
  </r>
  <r>
    <x v="10"/>
    <x v="153"/>
    <s v="GU"/>
    <x v="12"/>
    <x v="142"/>
    <n v="22"/>
    <n v="12"/>
    <n v="10"/>
  </r>
  <r>
    <x v="10"/>
    <x v="154"/>
    <s v="GU"/>
    <x v="12"/>
    <x v="143"/>
    <n v="40"/>
    <n v="21"/>
    <n v="19"/>
  </r>
  <r>
    <x v="10"/>
    <x v="155"/>
    <s v="GU"/>
    <x v="12"/>
    <x v="144"/>
    <n v="23"/>
    <n v="15"/>
    <n v="8"/>
  </r>
  <r>
    <x v="10"/>
    <x v="156"/>
    <s v="GU"/>
    <x v="12"/>
    <x v="145"/>
    <n v="737"/>
    <n v="440"/>
    <n v="297"/>
  </r>
  <r>
    <x v="10"/>
    <x v="157"/>
    <s v="GU"/>
    <x v="12"/>
    <x v="146"/>
    <n v="71"/>
    <n v="43"/>
    <n v="28"/>
  </r>
  <r>
    <x v="10"/>
    <x v="158"/>
    <s v="GU"/>
    <x v="12"/>
    <x v="147"/>
    <n v="114"/>
    <n v="68"/>
    <n v="46"/>
  </r>
  <r>
    <x v="10"/>
    <x v="159"/>
    <s v="GU"/>
    <x v="12"/>
    <x v="104"/>
    <n v="531"/>
    <n v="341"/>
    <n v="190"/>
  </r>
  <r>
    <x v="10"/>
    <x v="160"/>
    <s v="GU"/>
    <x v="12"/>
    <x v="148"/>
    <n v="343"/>
    <n v="203"/>
    <n v="140"/>
  </r>
  <r>
    <x v="10"/>
    <x v="161"/>
    <s v="GU"/>
    <x v="12"/>
    <x v="149"/>
    <n v="58"/>
    <n v="45"/>
    <n v="13"/>
  </r>
  <r>
    <x v="10"/>
    <x v="162"/>
    <s v="GU"/>
    <x v="12"/>
    <x v="150"/>
    <n v="83"/>
    <n v="53"/>
    <n v="30"/>
  </r>
  <r>
    <x v="10"/>
    <x v="163"/>
    <s v="GU"/>
    <x v="12"/>
    <x v="96"/>
    <n v="765"/>
    <n v="460"/>
    <n v="305"/>
  </r>
  <r>
    <x v="10"/>
    <x v="164"/>
    <s v="GU"/>
    <x v="12"/>
    <x v="151"/>
    <n v="32"/>
    <n v="24"/>
    <n v="8"/>
  </r>
  <r>
    <x v="10"/>
    <x v="165"/>
    <s v="GU"/>
    <x v="12"/>
    <x v="152"/>
    <n v="48"/>
    <n v="30"/>
    <n v="18"/>
  </r>
  <r>
    <x v="10"/>
    <x v="166"/>
    <s v="GU"/>
    <x v="12"/>
    <x v="153"/>
    <n v="208"/>
    <n v="129"/>
    <n v="79"/>
  </r>
  <r>
    <x v="10"/>
    <x v="167"/>
    <s v="LA"/>
    <x v="13"/>
    <x v="154"/>
    <n v="103"/>
    <n v="58"/>
    <n v="45"/>
  </r>
  <r>
    <x v="10"/>
    <x v="168"/>
    <s v="LA"/>
    <x v="13"/>
    <x v="155"/>
    <n v="113"/>
    <n v="72"/>
    <n v="41"/>
  </r>
  <r>
    <x v="10"/>
    <x v="169"/>
    <s v="LA"/>
    <x v="13"/>
    <x v="156"/>
    <n v="5573"/>
    <n v="3139"/>
    <n v="2434"/>
  </r>
  <r>
    <x v="10"/>
    <x v="170"/>
    <s v="LA"/>
    <x v="13"/>
    <x v="157"/>
    <n v="239"/>
    <n v="146"/>
    <n v="93"/>
  </r>
  <r>
    <x v="10"/>
    <x v="171"/>
    <s v="LA"/>
    <x v="13"/>
    <x v="158"/>
    <n v="390"/>
    <n v="220"/>
    <n v="170"/>
  </r>
  <r>
    <x v="10"/>
    <x v="172"/>
    <s v="LA"/>
    <x v="13"/>
    <x v="159"/>
    <n v="266"/>
    <n v="149"/>
    <n v="117"/>
  </r>
  <r>
    <x v="10"/>
    <x v="173"/>
    <s v="LA"/>
    <x v="13"/>
    <x v="160"/>
    <n v="75"/>
    <n v="51"/>
    <n v="24"/>
  </r>
  <r>
    <x v="10"/>
    <x v="174"/>
    <s v="LA"/>
    <x v="13"/>
    <x v="161"/>
    <n v="680"/>
    <n v="406"/>
    <n v="274"/>
  </r>
  <r>
    <x v="10"/>
    <x v="175"/>
    <s v="LA"/>
    <x v="13"/>
    <x v="75"/>
    <n v="170"/>
    <n v="90"/>
    <n v="80"/>
  </r>
  <r>
    <x v="10"/>
    <x v="176"/>
    <s v="ME"/>
    <x v="14"/>
    <x v="162"/>
    <n v="531"/>
    <n v="353"/>
    <n v="178"/>
  </r>
  <r>
    <x v="10"/>
    <x v="177"/>
    <s v="ME"/>
    <x v="14"/>
    <x v="163"/>
    <n v="40"/>
    <n v="24"/>
    <n v="16"/>
  </r>
  <r>
    <x v="10"/>
    <x v="178"/>
    <s v="ME"/>
    <x v="14"/>
    <x v="164"/>
    <n v="90"/>
    <n v="52"/>
    <n v="38"/>
  </r>
  <r>
    <x v="10"/>
    <x v="179"/>
    <s v="ME"/>
    <x v="14"/>
    <x v="165"/>
    <n v="10"/>
    <n v="6"/>
    <n v="4"/>
  </r>
  <r>
    <x v="10"/>
    <x v="180"/>
    <s v="ME"/>
    <x v="14"/>
    <x v="166"/>
    <n v="47"/>
    <n v="25"/>
    <n v="22"/>
  </r>
  <r>
    <x v="10"/>
    <x v="181"/>
    <s v="ME"/>
    <x v="14"/>
    <x v="167"/>
    <n v="269"/>
    <n v="164"/>
    <n v="105"/>
  </r>
  <r>
    <x v="10"/>
    <x v="182"/>
    <s v="ME"/>
    <x v="14"/>
    <x v="168"/>
    <n v="24"/>
    <n v="17"/>
    <n v="7"/>
  </r>
  <r>
    <x v="10"/>
    <x v="183"/>
    <s v="ME"/>
    <x v="14"/>
    <x v="169"/>
    <n v="116"/>
    <n v="70"/>
    <n v="46"/>
  </r>
  <r>
    <x v="10"/>
    <x v="184"/>
    <s v="ME"/>
    <x v="14"/>
    <x v="170"/>
    <n v="29"/>
    <n v="16"/>
    <n v="13"/>
  </r>
  <r>
    <x v="10"/>
    <x v="185"/>
    <s v="ME"/>
    <x v="14"/>
    <x v="171"/>
    <n v="40"/>
    <n v="30"/>
    <n v="10"/>
  </r>
  <r>
    <x v="10"/>
    <x v="186"/>
    <s v="ME"/>
    <x v="14"/>
    <x v="172"/>
    <n v="21"/>
    <n v="13"/>
    <n v="8"/>
  </r>
  <r>
    <x v="10"/>
    <x v="187"/>
    <s v="ME"/>
    <x v="14"/>
    <x v="66"/>
    <n v="1967"/>
    <n v="1125"/>
    <n v="842"/>
  </r>
  <r>
    <x v="10"/>
    <x v="188"/>
    <s v="ME"/>
    <x v="14"/>
    <x v="104"/>
    <n v="66"/>
    <n v="44"/>
    <n v="22"/>
  </r>
  <r>
    <x v="10"/>
    <x v="189"/>
    <s v="ME"/>
    <x v="14"/>
    <x v="173"/>
    <n v="99"/>
    <n v="65"/>
    <n v="34"/>
  </r>
  <r>
    <x v="10"/>
    <x v="190"/>
    <s v="ME"/>
    <x v="14"/>
    <x v="174"/>
    <n v="7"/>
    <n v="3"/>
    <n v="4"/>
  </r>
  <r>
    <x v="10"/>
    <x v="191"/>
    <s v="ME"/>
    <x v="14"/>
    <x v="175"/>
    <n v="37"/>
    <n v="19"/>
    <n v="18"/>
  </r>
  <r>
    <x v="10"/>
    <x v="192"/>
    <s v="ME"/>
    <x v="14"/>
    <x v="176"/>
    <n v="46"/>
    <n v="33"/>
    <n v="13"/>
  </r>
  <r>
    <x v="10"/>
    <x v="193"/>
    <s v="ME"/>
    <x v="14"/>
    <x v="177"/>
    <n v="66"/>
    <n v="29"/>
    <n v="37"/>
  </r>
  <r>
    <x v="10"/>
    <x v="194"/>
    <s v="ME"/>
    <x v="14"/>
    <x v="178"/>
    <n v="39"/>
    <n v="25"/>
    <n v="14"/>
  </r>
  <r>
    <x v="10"/>
    <x v="195"/>
    <s v="ME"/>
    <x v="14"/>
    <x v="73"/>
    <n v="152"/>
    <n v="91"/>
    <n v="61"/>
  </r>
  <r>
    <x v="10"/>
    <x v="196"/>
    <s v="ME"/>
    <x v="14"/>
    <x v="74"/>
    <n v="161"/>
    <n v="97"/>
    <n v="64"/>
  </r>
  <r>
    <x v="10"/>
    <x v="197"/>
    <s v="ME"/>
    <x v="14"/>
    <x v="179"/>
    <n v="102"/>
    <n v="71"/>
    <n v="31"/>
  </r>
  <r>
    <x v="10"/>
    <x v="198"/>
    <s v="ME"/>
    <x v="14"/>
    <x v="180"/>
    <n v="30"/>
    <n v="16"/>
    <n v="14"/>
  </r>
  <r>
    <x v="10"/>
    <x v="199"/>
    <s v="MI"/>
    <x v="15"/>
    <x v="181"/>
    <n v="310"/>
    <n v="222"/>
    <n v="88"/>
  </r>
  <r>
    <x v="10"/>
    <x v="200"/>
    <s v="MI"/>
    <x v="15"/>
    <x v="163"/>
    <n v="65"/>
    <n v="45"/>
    <n v="20"/>
  </r>
  <r>
    <x v="10"/>
    <x v="201"/>
    <s v="MI"/>
    <x v="15"/>
    <x v="182"/>
    <n v="1217"/>
    <n v="604"/>
    <n v="613"/>
  </r>
  <r>
    <x v="10"/>
    <x v="202"/>
    <s v="MI"/>
    <x v="15"/>
    <x v="183"/>
    <n v="238"/>
    <n v="153"/>
    <n v="85"/>
  </r>
  <r>
    <x v="10"/>
    <x v="203"/>
    <s v="MI"/>
    <x v="15"/>
    <x v="184"/>
    <n v="76"/>
    <n v="52"/>
    <n v="24"/>
  </r>
  <r>
    <x v="10"/>
    <x v="204"/>
    <s v="MI"/>
    <x v="15"/>
    <x v="185"/>
    <n v="110"/>
    <n v="63"/>
    <n v="47"/>
  </r>
  <r>
    <x v="10"/>
    <x v="205"/>
    <s v="MI"/>
    <x v="15"/>
    <x v="186"/>
    <n v="705"/>
    <n v="354"/>
    <n v="351"/>
  </r>
  <r>
    <x v="10"/>
    <x v="206"/>
    <s v="MI"/>
    <x v="15"/>
    <x v="187"/>
    <n v="328"/>
    <n v="229"/>
    <n v="99"/>
  </r>
  <r>
    <x v="10"/>
    <x v="207"/>
    <s v="MI"/>
    <x v="15"/>
    <x v="188"/>
    <n v="136"/>
    <n v="77"/>
    <n v="59"/>
  </r>
  <r>
    <x v="10"/>
    <x v="208"/>
    <s v="MI"/>
    <x v="15"/>
    <x v="189"/>
    <n v="1267"/>
    <n v="774"/>
    <n v="493"/>
  </r>
  <r>
    <x v="10"/>
    <x v="209"/>
    <s v="MI"/>
    <x v="15"/>
    <x v="38"/>
    <n v="458"/>
    <n v="304"/>
    <n v="154"/>
  </r>
  <r>
    <x v="10"/>
    <x v="210"/>
    <s v="MI"/>
    <x v="15"/>
    <x v="190"/>
    <n v="876"/>
    <n v="536"/>
    <n v="340"/>
  </r>
  <r>
    <x v="10"/>
    <x v="211"/>
    <s v="MI"/>
    <x v="15"/>
    <x v="191"/>
    <n v="177"/>
    <n v="94"/>
    <n v="83"/>
  </r>
  <r>
    <x v="10"/>
    <x v="212"/>
    <s v="MI"/>
    <x v="15"/>
    <x v="55"/>
    <n v="200"/>
    <n v="128"/>
    <n v="72"/>
  </r>
  <r>
    <x v="10"/>
    <x v="213"/>
    <s v="MI"/>
    <x v="15"/>
    <x v="192"/>
    <n v="267"/>
    <n v="188"/>
    <n v="79"/>
  </r>
  <r>
    <x v="10"/>
    <x v="214"/>
    <s v="MI"/>
    <x v="15"/>
    <x v="193"/>
    <n v="48"/>
    <n v="37"/>
    <n v="11"/>
  </r>
  <r>
    <x v="10"/>
    <x v="215"/>
    <s v="MI"/>
    <x v="15"/>
    <x v="194"/>
    <n v="684"/>
    <n v="439"/>
    <n v="245"/>
  </r>
  <r>
    <x v="10"/>
    <x v="216"/>
    <s v="MI"/>
    <x v="15"/>
    <x v="49"/>
    <n v="87"/>
    <n v="70"/>
    <n v="17"/>
  </r>
  <r>
    <x v="10"/>
    <x v="217"/>
    <s v="MI"/>
    <x v="15"/>
    <x v="73"/>
    <n v="2949"/>
    <n v="1846"/>
    <n v="1103"/>
  </r>
  <r>
    <x v="10"/>
    <x v="218"/>
    <s v="MI"/>
    <x v="15"/>
    <x v="75"/>
    <n v="294"/>
    <n v="193"/>
    <n v="101"/>
  </r>
  <r>
    <x v="10"/>
    <x v="219"/>
    <s v="MI"/>
    <x v="15"/>
    <x v="76"/>
    <n v="644"/>
    <n v="435"/>
    <n v="209"/>
  </r>
  <r>
    <x v="10"/>
    <x v="220"/>
    <s v="MO"/>
    <x v="16"/>
    <x v="122"/>
    <n v="54"/>
    <n v="31"/>
    <n v="23"/>
  </r>
  <r>
    <x v="10"/>
    <x v="221"/>
    <s v="MO"/>
    <x v="16"/>
    <x v="195"/>
    <n v="18"/>
    <n v="11"/>
    <n v="7"/>
  </r>
  <r>
    <x v="10"/>
    <x v="222"/>
    <s v="MO"/>
    <x v="16"/>
    <x v="59"/>
    <n v="132"/>
    <n v="74"/>
    <n v="58"/>
  </r>
  <r>
    <x v="10"/>
    <x v="223"/>
    <s v="MO"/>
    <x v="16"/>
    <x v="196"/>
    <n v="79"/>
    <n v="53"/>
    <n v="26"/>
  </r>
  <r>
    <x v="10"/>
    <x v="224"/>
    <s v="MO"/>
    <x v="16"/>
    <x v="89"/>
    <n v="72"/>
    <n v="50"/>
    <n v="22"/>
  </r>
  <r>
    <x v="10"/>
    <x v="225"/>
    <s v="MO"/>
    <x v="16"/>
    <x v="83"/>
    <n v="149"/>
    <n v="82"/>
    <n v="67"/>
  </r>
  <r>
    <x v="10"/>
    <x v="226"/>
    <s v="MO"/>
    <x v="16"/>
    <x v="66"/>
    <n v="77"/>
    <n v="51"/>
    <n v="26"/>
  </r>
  <r>
    <x v="10"/>
    <x v="227"/>
    <s v="MO"/>
    <x v="16"/>
    <x v="197"/>
    <n v="2323"/>
    <n v="1460"/>
    <n v="863"/>
  </r>
  <r>
    <x v="10"/>
    <x v="228"/>
    <s v="MO"/>
    <x v="16"/>
    <x v="94"/>
    <n v="75"/>
    <n v="51"/>
    <n v="24"/>
  </r>
  <r>
    <x v="10"/>
    <x v="229"/>
    <s v="MO"/>
    <x v="16"/>
    <x v="198"/>
    <n v="69"/>
    <n v="42"/>
    <n v="27"/>
  </r>
  <r>
    <x v="10"/>
    <x v="230"/>
    <s v="MO"/>
    <x v="16"/>
    <x v="199"/>
    <n v="20"/>
    <n v="12"/>
    <n v="8"/>
  </r>
  <r>
    <x v="10"/>
    <x v="231"/>
    <s v="MO"/>
    <x v="16"/>
    <x v="200"/>
    <n v="59"/>
    <n v="41"/>
    <n v="18"/>
  </r>
  <r>
    <x v="10"/>
    <x v="232"/>
    <s v="MO"/>
    <x v="16"/>
    <x v="201"/>
    <n v="13"/>
    <n v="12"/>
    <n v="1"/>
  </r>
  <r>
    <x v="10"/>
    <x v="233"/>
    <s v="NU"/>
    <x v="17"/>
    <x v="202"/>
    <n v="55"/>
    <n v="31"/>
    <n v="24"/>
  </r>
  <r>
    <x v="10"/>
    <x v="234"/>
    <s v="NU"/>
    <x v="17"/>
    <x v="80"/>
    <n v="76"/>
    <n v="45"/>
    <n v="31"/>
  </r>
  <r>
    <x v="10"/>
    <x v="235"/>
    <s v="NU"/>
    <x v="17"/>
    <x v="203"/>
    <n v="127"/>
    <n v="65"/>
    <n v="62"/>
  </r>
  <r>
    <x v="10"/>
    <x v="236"/>
    <s v="NU"/>
    <x v="17"/>
    <x v="204"/>
    <n v="96"/>
    <n v="54"/>
    <n v="42"/>
  </r>
  <r>
    <x v="10"/>
    <x v="237"/>
    <s v="NU"/>
    <x v="17"/>
    <x v="205"/>
    <n v="70"/>
    <n v="33"/>
    <n v="37"/>
  </r>
  <r>
    <x v="10"/>
    <x v="238"/>
    <s v="NU"/>
    <x v="17"/>
    <x v="206"/>
    <n v="123"/>
    <n v="68"/>
    <n v="55"/>
  </r>
  <r>
    <x v="10"/>
    <x v="239"/>
    <s v="NU"/>
    <x v="17"/>
    <x v="207"/>
    <n v="131"/>
    <n v="75"/>
    <n v="56"/>
  </r>
  <r>
    <x v="10"/>
    <x v="240"/>
    <s v="NU"/>
    <x v="17"/>
    <x v="208"/>
    <n v="1094"/>
    <n v="652"/>
    <n v="442"/>
  </r>
  <r>
    <x v="10"/>
    <x v="241"/>
    <s v="NU"/>
    <x v="17"/>
    <x v="209"/>
    <n v="54"/>
    <n v="34"/>
    <n v="20"/>
  </r>
  <r>
    <x v="10"/>
    <x v="242"/>
    <s v="NU"/>
    <x v="17"/>
    <x v="210"/>
    <n v="73"/>
    <n v="44"/>
    <n v="29"/>
  </r>
  <r>
    <x v="10"/>
    <x v="243"/>
    <s v="NU"/>
    <x v="17"/>
    <x v="211"/>
    <n v="26"/>
    <n v="8"/>
    <n v="18"/>
  </r>
  <r>
    <x v="10"/>
    <x v="244"/>
    <s v="PO"/>
    <x v="18"/>
    <x v="212"/>
    <n v="49"/>
    <n v="36"/>
    <n v="13"/>
  </r>
  <r>
    <x v="10"/>
    <x v="245"/>
    <s v="PO"/>
    <x v="18"/>
    <x v="213"/>
    <n v="1023"/>
    <n v="624"/>
    <n v="399"/>
  </r>
  <r>
    <x v="10"/>
    <x v="246"/>
    <s v="PO"/>
    <x v="18"/>
    <x v="214"/>
    <n v="86"/>
    <n v="61"/>
    <n v="25"/>
  </r>
  <r>
    <x v="10"/>
    <x v="247"/>
    <s v="PO"/>
    <x v="18"/>
    <x v="215"/>
    <n v="1040"/>
    <n v="617"/>
    <n v="423"/>
  </r>
  <r>
    <x v="10"/>
    <x v="248"/>
    <s v="PO"/>
    <x v="18"/>
    <x v="216"/>
    <n v="95"/>
    <n v="52"/>
    <n v="43"/>
  </r>
  <r>
    <x v="10"/>
    <x v="249"/>
    <s v="PO"/>
    <x v="18"/>
    <x v="217"/>
    <n v="66"/>
    <n v="39"/>
    <n v="27"/>
  </r>
  <r>
    <x v="10"/>
    <x v="250"/>
    <s v="PO"/>
    <x v="18"/>
    <x v="218"/>
    <n v="111"/>
    <n v="70"/>
    <n v="41"/>
  </r>
  <r>
    <x v="10"/>
    <x v="251"/>
    <s v="PO"/>
    <x v="18"/>
    <x v="55"/>
    <n v="552"/>
    <n v="382"/>
    <n v="170"/>
  </r>
  <r>
    <x v="10"/>
    <x v="252"/>
    <s v="PO"/>
    <x v="18"/>
    <x v="219"/>
    <n v="24"/>
    <n v="17"/>
    <n v="7"/>
  </r>
  <r>
    <x v="10"/>
    <x v="253"/>
    <s v="PO"/>
    <x v="18"/>
    <x v="220"/>
    <n v="53"/>
    <n v="36"/>
    <n v="17"/>
  </r>
  <r>
    <x v="10"/>
    <x v="254"/>
    <s v="PO"/>
    <x v="18"/>
    <x v="221"/>
    <n v="34"/>
    <n v="25"/>
    <n v="9"/>
  </r>
  <r>
    <x v="10"/>
    <x v="255"/>
    <s v="PO"/>
    <x v="18"/>
    <x v="222"/>
    <n v="38"/>
    <n v="24"/>
    <n v="14"/>
  </r>
  <r>
    <x v="10"/>
    <x v="256"/>
    <s v="PO"/>
    <x v="18"/>
    <x v="73"/>
    <n v="127"/>
    <n v="82"/>
    <n v="45"/>
  </r>
  <r>
    <x v="10"/>
    <x v="257"/>
    <s v="PO"/>
    <x v="18"/>
    <x v="223"/>
    <n v="169"/>
    <n v="99"/>
    <n v="70"/>
  </r>
  <r>
    <x v="10"/>
    <x v="258"/>
    <s v="SU"/>
    <x v="19"/>
    <x v="154"/>
    <n v="77"/>
    <n v="48"/>
    <n v="29"/>
  </r>
  <r>
    <x v="10"/>
    <x v="259"/>
    <s v="SU"/>
    <x v="19"/>
    <x v="224"/>
    <n v="52"/>
    <n v="38"/>
    <n v="14"/>
  </r>
  <r>
    <x v="10"/>
    <x v="260"/>
    <s v="SU"/>
    <x v="19"/>
    <x v="80"/>
    <n v="135"/>
    <n v="82"/>
    <n v="53"/>
  </r>
  <r>
    <x v="10"/>
    <x v="261"/>
    <s v="SU"/>
    <x v="19"/>
    <x v="225"/>
    <n v="27"/>
    <n v="18"/>
    <n v="9"/>
  </r>
  <r>
    <x v="10"/>
    <x v="262"/>
    <s v="SU"/>
    <x v="19"/>
    <x v="226"/>
    <n v="882"/>
    <n v="529"/>
    <n v="353"/>
  </r>
  <r>
    <x v="10"/>
    <x v="263"/>
    <s v="SU"/>
    <x v="19"/>
    <x v="59"/>
    <n v="47"/>
    <n v="30"/>
    <n v="17"/>
  </r>
  <r>
    <x v="10"/>
    <x v="264"/>
    <s v="SU"/>
    <x v="19"/>
    <x v="227"/>
    <n v="76"/>
    <n v="46"/>
    <n v="30"/>
  </r>
  <r>
    <x v="10"/>
    <x v="265"/>
    <s v="SU"/>
    <x v="19"/>
    <x v="228"/>
    <n v="76"/>
    <n v="46"/>
    <n v="30"/>
  </r>
  <r>
    <x v="10"/>
    <x v="266"/>
    <s v="SU"/>
    <x v="19"/>
    <x v="66"/>
    <n v="27"/>
    <n v="21"/>
    <n v="6"/>
  </r>
  <r>
    <x v="10"/>
    <x v="267"/>
    <s v="SU"/>
    <x v="19"/>
    <x v="208"/>
    <n v="72"/>
    <n v="40"/>
    <n v="32"/>
  </r>
  <r>
    <x v="10"/>
    <x v="268"/>
    <s v="SU"/>
    <x v="19"/>
    <x v="229"/>
    <n v="24"/>
    <n v="16"/>
    <n v="8"/>
  </r>
  <r>
    <x v="10"/>
    <x v="269"/>
    <s v="SU"/>
    <x v="19"/>
    <x v="230"/>
    <n v="202"/>
    <n v="125"/>
    <n v="77"/>
  </r>
  <r>
    <x v="10"/>
    <x v="270"/>
    <s v="SU"/>
    <x v="19"/>
    <x v="231"/>
    <n v="179"/>
    <n v="113"/>
    <n v="66"/>
  </r>
  <r>
    <x v="10"/>
    <x v="271"/>
    <s v="SU"/>
    <x v="19"/>
    <x v="73"/>
    <n v="1667"/>
    <n v="1008"/>
    <n v="659"/>
  </r>
  <r>
    <x v="10"/>
    <x v="272"/>
    <s v="SU"/>
    <x v="19"/>
    <x v="232"/>
    <n v="100"/>
    <n v="54"/>
    <n v="46"/>
  </r>
  <r>
    <x v="10"/>
    <x v="273"/>
    <s v="TA"/>
    <x v="20"/>
    <x v="163"/>
    <n v="56"/>
    <n v="35"/>
    <n v="21"/>
  </r>
  <r>
    <x v="10"/>
    <x v="274"/>
    <s v="TA"/>
    <x v="20"/>
    <x v="233"/>
    <n v="26"/>
    <n v="12"/>
    <n v="14"/>
  </r>
  <r>
    <x v="10"/>
    <x v="275"/>
    <s v="TA"/>
    <x v="20"/>
    <x v="234"/>
    <n v="246"/>
    <n v="151"/>
    <n v="95"/>
  </r>
  <r>
    <x v="10"/>
    <x v="276"/>
    <s v="TA"/>
    <x v="20"/>
    <x v="59"/>
    <n v="221"/>
    <n v="140"/>
    <n v="81"/>
  </r>
  <r>
    <x v="10"/>
    <x v="277"/>
    <s v="TA"/>
    <x v="20"/>
    <x v="235"/>
    <n v="254"/>
    <n v="155"/>
    <n v="99"/>
  </r>
  <r>
    <x v="10"/>
    <x v="278"/>
    <s v="TA"/>
    <x v="20"/>
    <x v="236"/>
    <n v="113"/>
    <n v="86"/>
    <n v="27"/>
  </r>
  <r>
    <x v="10"/>
    <x v="279"/>
    <s v="TA"/>
    <x v="20"/>
    <x v="237"/>
    <n v="137"/>
    <n v="94"/>
    <n v="43"/>
  </r>
  <r>
    <x v="10"/>
    <x v="280"/>
    <s v="TA"/>
    <x v="20"/>
    <x v="35"/>
    <n v="20"/>
    <n v="12"/>
    <n v="8"/>
  </r>
  <r>
    <x v="10"/>
    <x v="281"/>
    <s v="TA"/>
    <x v="20"/>
    <x v="238"/>
    <n v="208"/>
    <n v="142"/>
    <n v="66"/>
  </r>
  <r>
    <x v="10"/>
    <x v="282"/>
    <s v="TA"/>
    <x v="20"/>
    <x v="239"/>
    <n v="67"/>
    <n v="36"/>
    <n v="31"/>
  </r>
  <r>
    <x v="10"/>
    <x v="283"/>
    <s v="TA"/>
    <x v="20"/>
    <x v="38"/>
    <n v="81"/>
    <n v="48"/>
    <n v="33"/>
  </r>
  <r>
    <x v="10"/>
    <x v="284"/>
    <s v="TA"/>
    <x v="20"/>
    <x v="240"/>
    <n v="220"/>
    <n v="127"/>
    <n v="93"/>
  </r>
  <r>
    <x v="10"/>
    <x v="285"/>
    <s v="TA"/>
    <x v="20"/>
    <x v="241"/>
    <n v="15"/>
    <n v="11"/>
    <n v="4"/>
  </r>
  <r>
    <x v="10"/>
    <x v="286"/>
    <s v="TA"/>
    <x v="20"/>
    <x v="242"/>
    <n v="292"/>
    <n v="193"/>
    <n v="99"/>
  </r>
  <r>
    <x v="10"/>
    <x v="287"/>
    <s v="TA"/>
    <x v="20"/>
    <x v="42"/>
    <n v="76"/>
    <n v="41"/>
    <n v="35"/>
  </r>
  <r>
    <x v="10"/>
    <x v="288"/>
    <s v="TA"/>
    <x v="20"/>
    <x v="66"/>
    <n v="71"/>
    <n v="47"/>
    <n v="24"/>
  </r>
  <r>
    <x v="10"/>
    <x v="289"/>
    <s v="TA"/>
    <x v="20"/>
    <x v="243"/>
    <n v="33"/>
    <n v="18"/>
    <n v="15"/>
  </r>
  <r>
    <x v="10"/>
    <x v="290"/>
    <s v="TA"/>
    <x v="20"/>
    <x v="244"/>
    <n v="75"/>
    <n v="45"/>
    <n v="30"/>
  </r>
  <r>
    <x v="10"/>
    <x v="291"/>
    <s v="TA"/>
    <x v="20"/>
    <x v="245"/>
    <n v="116"/>
    <n v="74"/>
    <n v="42"/>
  </r>
  <r>
    <x v="10"/>
    <x v="292"/>
    <s v="TA"/>
    <x v="20"/>
    <x v="246"/>
    <n v="104"/>
    <n v="78"/>
    <n v="26"/>
  </r>
  <r>
    <x v="10"/>
    <x v="293"/>
    <s v="TA"/>
    <x v="20"/>
    <x v="247"/>
    <n v="17"/>
    <n v="12"/>
    <n v="5"/>
  </r>
  <r>
    <x v="10"/>
    <x v="294"/>
    <s v="TA"/>
    <x v="20"/>
    <x v="248"/>
    <n v="48"/>
    <n v="29"/>
    <n v="19"/>
  </r>
  <r>
    <x v="10"/>
    <x v="295"/>
    <s v="TA"/>
    <x v="20"/>
    <x v="249"/>
    <n v="2942"/>
    <n v="1682"/>
    <n v="1260"/>
  </r>
  <r>
    <x v="10"/>
    <x v="296"/>
    <s v="TA"/>
    <x v="20"/>
    <x v="250"/>
    <n v="21"/>
    <n v="13"/>
    <n v="8"/>
  </r>
  <r>
    <x v="10"/>
    <x v="297"/>
    <s v="TA"/>
    <x v="20"/>
    <x v="251"/>
    <n v="0"/>
    <n v="0"/>
    <n v="0"/>
  </r>
  <r>
    <x v="10"/>
    <x v="298"/>
    <s v="TA"/>
    <x v="20"/>
    <x v="50"/>
    <n v="7"/>
    <n v="6"/>
    <n v="1"/>
  </r>
  <r>
    <x v="10"/>
    <x v="299"/>
    <s v="TA"/>
    <x v="20"/>
    <x v="73"/>
    <n v="18"/>
    <n v="13"/>
    <n v="5"/>
  </r>
  <r>
    <x v="10"/>
    <x v="300"/>
    <s v="TA"/>
    <x v="20"/>
    <x v="252"/>
    <n v="83"/>
    <n v="59"/>
    <n v="24"/>
  </r>
  <r>
    <x v="10"/>
    <x v="301"/>
    <s v="TA"/>
    <x v="20"/>
    <x v="253"/>
    <n v="82"/>
    <n v="53"/>
    <n v="29"/>
  </r>
  <r>
    <x v="10"/>
    <x v="302"/>
    <s v="TR"/>
    <x v="21"/>
    <x v="163"/>
    <n v="49"/>
    <n v="29"/>
    <n v="20"/>
  </r>
  <r>
    <x v="10"/>
    <x v="303"/>
    <s v="TR"/>
    <x v="21"/>
    <x v="254"/>
    <n v="389"/>
    <n v="207"/>
    <n v="182"/>
  </r>
  <r>
    <x v="10"/>
    <x v="304"/>
    <s v="TR"/>
    <x v="21"/>
    <x v="59"/>
    <n v="32"/>
    <n v="25"/>
    <n v="7"/>
  </r>
  <r>
    <x v="10"/>
    <x v="305"/>
    <s v="TR"/>
    <x v="21"/>
    <x v="255"/>
    <n v="73"/>
    <n v="43"/>
    <n v="30"/>
  </r>
  <r>
    <x v="10"/>
    <x v="306"/>
    <s v="TR"/>
    <x v="21"/>
    <x v="256"/>
    <n v="132"/>
    <n v="64"/>
    <n v="68"/>
  </r>
  <r>
    <x v="10"/>
    <x v="307"/>
    <s v="TR"/>
    <x v="21"/>
    <x v="257"/>
    <n v="32"/>
    <n v="21"/>
    <n v="11"/>
  </r>
  <r>
    <x v="10"/>
    <x v="308"/>
    <s v="TR"/>
    <x v="21"/>
    <x v="258"/>
    <n v="9"/>
    <n v="6"/>
    <n v="3"/>
  </r>
  <r>
    <x v="10"/>
    <x v="309"/>
    <s v="TR"/>
    <x v="21"/>
    <x v="259"/>
    <n v="22"/>
    <n v="10"/>
    <n v="12"/>
  </r>
  <r>
    <x v="10"/>
    <x v="310"/>
    <s v="TR"/>
    <x v="21"/>
    <x v="260"/>
    <n v="44"/>
    <n v="28"/>
    <n v="16"/>
  </r>
  <r>
    <x v="10"/>
    <x v="311"/>
    <s v="TR"/>
    <x v="21"/>
    <x v="104"/>
    <n v="70"/>
    <n v="37"/>
    <n v="33"/>
  </r>
  <r>
    <x v="10"/>
    <x v="312"/>
    <s v="TR"/>
    <x v="21"/>
    <x v="261"/>
    <n v="44"/>
    <n v="31"/>
    <n v="13"/>
  </r>
  <r>
    <x v="10"/>
    <x v="313"/>
    <s v="TR"/>
    <x v="21"/>
    <x v="262"/>
    <n v="41"/>
    <n v="29"/>
    <n v="12"/>
  </r>
  <r>
    <x v="10"/>
    <x v="314"/>
    <s v="TR"/>
    <x v="21"/>
    <x v="263"/>
    <n v="131"/>
    <n v="85"/>
    <n v="46"/>
  </r>
  <r>
    <x v="10"/>
    <x v="315"/>
    <s v="TR"/>
    <x v="21"/>
    <x v="264"/>
    <n v="40"/>
    <n v="27"/>
    <n v="13"/>
  </r>
  <r>
    <x v="10"/>
    <x v="316"/>
    <s v="TR"/>
    <x v="21"/>
    <x v="265"/>
    <n v="93"/>
    <n v="49"/>
    <n v="44"/>
  </r>
  <r>
    <x v="10"/>
    <x v="317"/>
    <s v="TR"/>
    <x v="21"/>
    <x v="266"/>
    <n v="125"/>
    <n v="67"/>
    <n v="58"/>
  </r>
  <r>
    <x v="10"/>
    <x v="318"/>
    <s v="TR"/>
    <x v="21"/>
    <x v="73"/>
    <n v="119"/>
    <n v="75"/>
    <n v="44"/>
  </r>
  <r>
    <x v="10"/>
    <x v="319"/>
    <s v="TR"/>
    <x v="21"/>
    <x v="267"/>
    <n v="378"/>
    <n v="210"/>
    <n v="168"/>
  </r>
  <r>
    <x v="10"/>
    <x v="320"/>
    <s v="TR"/>
    <x v="21"/>
    <x v="75"/>
    <n v="114"/>
    <n v="75"/>
    <n v="39"/>
  </r>
  <r>
    <x v="10"/>
    <x v="321"/>
    <s v="TR"/>
    <x v="21"/>
    <x v="268"/>
    <n v="1480"/>
    <n v="889"/>
    <n v="591"/>
  </r>
  <r>
    <x v="10"/>
    <x v="322"/>
    <s v="VA"/>
    <x v="0"/>
    <x v="269"/>
    <n v="104"/>
    <n v="68"/>
    <n v="36"/>
  </r>
  <r>
    <x v="10"/>
    <x v="323"/>
    <s v="VA"/>
    <x v="0"/>
    <x v="270"/>
    <n v="86"/>
    <n v="64"/>
    <n v="22"/>
  </r>
  <r>
    <x v="10"/>
    <x v="324"/>
    <s v="VA"/>
    <x v="0"/>
    <x v="271"/>
    <n v="185"/>
    <n v="120"/>
    <n v="65"/>
  </r>
  <r>
    <x v="10"/>
    <x v="325"/>
    <s v="VA"/>
    <x v="0"/>
    <x v="272"/>
    <n v="20"/>
    <n v="13"/>
    <n v="7"/>
  </r>
  <r>
    <x v="10"/>
    <x v="326"/>
    <s v="VA"/>
    <x v="0"/>
    <x v="273"/>
    <n v="194"/>
    <n v="139"/>
    <n v="55"/>
  </r>
  <r>
    <x v="10"/>
    <x v="327"/>
    <s v="VA"/>
    <x v="0"/>
    <x v="274"/>
    <n v="5"/>
    <n v="3"/>
    <n v="2"/>
  </r>
  <r>
    <x v="10"/>
    <x v="328"/>
    <s v="VA"/>
    <x v="0"/>
    <x v="275"/>
    <n v="310"/>
    <n v="192"/>
    <n v="118"/>
  </r>
  <r>
    <x v="10"/>
    <x v="329"/>
    <s v="VA"/>
    <x v="0"/>
    <x v="276"/>
    <n v="99"/>
    <n v="62"/>
    <n v="37"/>
  </r>
  <r>
    <x v="10"/>
    <x v="330"/>
    <s v="VA"/>
    <x v="0"/>
    <x v="277"/>
    <n v="414"/>
    <n v="260"/>
    <n v="154"/>
  </r>
  <r>
    <x v="10"/>
    <x v="331"/>
    <s v="VA"/>
    <x v="0"/>
    <x v="278"/>
    <n v="45"/>
    <n v="37"/>
    <n v="8"/>
  </r>
  <r>
    <x v="10"/>
    <x v="332"/>
    <s v="VA"/>
    <x v="0"/>
    <x v="279"/>
    <n v="130"/>
    <n v="88"/>
    <n v="42"/>
  </r>
  <r>
    <x v="10"/>
    <x v="333"/>
    <s v="YA"/>
    <x v="22"/>
    <x v="280"/>
    <n v="40"/>
    <n v="21"/>
    <n v="19"/>
  </r>
  <r>
    <x v="10"/>
    <x v="334"/>
    <s v="YA"/>
    <x v="22"/>
    <x v="59"/>
    <n v="59"/>
    <n v="33"/>
    <n v="26"/>
  </r>
  <r>
    <x v="10"/>
    <x v="335"/>
    <s v="YA"/>
    <x v="22"/>
    <x v="281"/>
    <n v="167"/>
    <n v="103"/>
    <n v="64"/>
  </r>
  <r>
    <x v="10"/>
    <x v="336"/>
    <s v="YA"/>
    <x v="22"/>
    <x v="282"/>
    <n v="80"/>
    <n v="56"/>
    <n v="24"/>
  </r>
  <r>
    <x v="10"/>
    <x v="337"/>
    <s v="YA"/>
    <x v="22"/>
    <x v="38"/>
    <n v="74"/>
    <n v="47"/>
    <n v="27"/>
  </r>
  <r>
    <x v="10"/>
    <x v="338"/>
    <s v="YA"/>
    <x v="22"/>
    <x v="283"/>
    <n v="36"/>
    <n v="28"/>
    <n v="8"/>
  </r>
  <r>
    <x v="10"/>
    <x v="339"/>
    <s v="YA"/>
    <x v="22"/>
    <x v="284"/>
    <n v="25"/>
    <n v="14"/>
    <n v="11"/>
  </r>
  <r>
    <x v="10"/>
    <x v="340"/>
    <s v="YA"/>
    <x v="22"/>
    <x v="285"/>
    <n v="26"/>
    <n v="15"/>
    <n v="11"/>
  </r>
  <r>
    <x v="10"/>
    <x v="341"/>
    <s v="YA"/>
    <x v="22"/>
    <x v="286"/>
    <n v="204"/>
    <n v="134"/>
    <n v="70"/>
  </r>
  <r>
    <x v="10"/>
    <x v="342"/>
    <s v="YA"/>
    <x v="22"/>
    <x v="287"/>
    <n v="232"/>
    <n v="143"/>
    <n v="89"/>
  </r>
  <r>
    <x v="10"/>
    <x v="343"/>
    <s v="YA"/>
    <x v="22"/>
    <x v="288"/>
    <n v="1114"/>
    <n v="645"/>
    <n v="469"/>
  </r>
  <r>
    <x v="10"/>
    <x v="344"/>
    <s v="YA"/>
    <x v="22"/>
    <x v="73"/>
    <n v="34"/>
    <n v="20"/>
    <n v="14"/>
  </r>
  <r>
    <x v="10"/>
    <x v="345"/>
    <s v="YA"/>
    <x v="22"/>
    <x v="289"/>
    <n v="54"/>
    <n v="30"/>
    <n v="24"/>
  </r>
  <r>
    <x v="10"/>
    <x v="346"/>
    <s v="YA"/>
    <x v="22"/>
    <x v="290"/>
    <n v="41"/>
    <n v="30"/>
    <n v="11"/>
  </r>
  <r>
    <x v="10"/>
    <x v="347"/>
    <s v="ZU"/>
    <x v="23"/>
    <x v="291"/>
    <n v="27"/>
    <n v="10"/>
    <n v="17"/>
  </r>
  <r>
    <x v="10"/>
    <x v="348"/>
    <s v="ZU"/>
    <x v="23"/>
    <x v="292"/>
    <n v="256"/>
    <n v="168"/>
    <n v="88"/>
  </r>
  <r>
    <x v="10"/>
    <x v="349"/>
    <s v="ZU"/>
    <x v="23"/>
    <x v="293"/>
    <n v="1027"/>
    <n v="598"/>
    <n v="429"/>
  </r>
  <r>
    <x v="10"/>
    <x v="350"/>
    <s v="ZU"/>
    <x v="23"/>
    <x v="294"/>
    <n v="91"/>
    <n v="68"/>
    <n v="23"/>
  </r>
  <r>
    <x v="10"/>
    <x v="351"/>
    <s v="ZU"/>
    <x v="23"/>
    <x v="295"/>
    <n v="483"/>
    <n v="312"/>
    <n v="171"/>
  </r>
  <r>
    <x v="10"/>
    <x v="352"/>
    <s v="ZU"/>
    <x v="23"/>
    <x v="296"/>
    <n v="69"/>
    <n v="53"/>
    <n v="16"/>
  </r>
  <r>
    <x v="10"/>
    <x v="353"/>
    <s v="ZU"/>
    <x v="23"/>
    <x v="297"/>
    <n v="357"/>
    <n v="230"/>
    <n v="127"/>
  </r>
  <r>
    <x v="10"/>
    <x v="354"/>
    <s v="ZU"/>
    <x v="23"/>
    <x v="298"/>
    <n v="103"/>
    <n v="66"/>
    <n v="37"/>
  </r>
  <r>
    <x v="10"/>
    <x v="355"/>
    <s v="ZU"/>
    <x v="23"/>
    <x v="299"/>
    <n v="598"/>
    <n v="348"/>
    <n v="250"/>
  </r>
  <r>
    <x v="10"/>
    <x v="356"/>
    <s v="ZU"/>
    <x v="23"/>
    <x v="300"/>
    <n v="1047"/>
    <n v="620"/>
    <n v="427"/>
  </r>
  <r>
    <x v="10"/>
    <x v="357"/>
    <s v="ZU"/>
    <x v="23"/>
    <x v="301"/>
    <n v="386"/>
    <n v="249"/>
    <n v="137"/>
  </r>
  <r>
    <x v="10"/>
    <x v="358"/>
    <s v="ZU"/>
    <x v="23"/>
    <x v="302"/>
    <n v="648"/>
    <n v="388"/>
    <n v="260"/>
  </r>
  <r>
    <x v="10"/>
    <x v="359"/>
    <s v="ZU"/>
    <x v="23"/>
    <x v="303"/>
    <n v="8224"/>
    <n v="4746"/>
    <n v="3478"/>
  </r>
  <r>
    <x v="10"/>
    <x v="360"/>
    <s v="ZU"/>
    <x v="23"/>
    <x v="104"/>
    <n v="230"/>
    <n v="128"/>
    <n v="102"/>
  </r>
  <r>
    <x v="10"/>
    <x v="361"/>
    <s v="ZU"/>
    <x v="23"/>
    <x v="55"/>
    <n v="192"/>
    <n v="121"/>
    <n v="71"/>
  </r>
  <r>
    <x v="10"/>
    <x v="362"/>
    <s v="ZU"/>
    <x v="23"/>
    <x v="304"/>
    <n v="265"/>
    <n v="172"/>
    <n v="93"/>
  </r>
  <r>
    <x v="10"/>
    <x v="363"/>
    <s v="ZU"/>
    <x v="23"/>
    <x v="136"/>
    <n v="1210"/>
    <n v="680"/>
    <n v="530"/>
  </r>
  <r>
    <x v="10"/>
    <x v="364"/>
    <s v="ZU"/>
    <x v="23"/>
    <x v="305"/>
    <n v="138"/>
    <n v="92"/>
    <n v="46"/>
  </r>
  <r>
    <x v="10"/>
    <x v="365"/>
    <s v="ZU"/>
    <x v="23"/>
    <x v="49"/>
    <n v="85"/>
    <n v="57"/>
    <n v="28"/>
  </r>
  <r>
    <x v="10"/>
    <x v="366"/>
    <s v="ZU"/>
    <x v="23"/>
    <x v="73"/>
    <n v="217"/>
    <n v="137"/>
    <n v="80"/>
  </r>
  <r>
    <x v="10"/>
    <x v="367"/>
    <s v="ZU"/>
    <x v="23"/>
    <x v="306"/>
    <n v="125"/>
    <n v="88"/>
    <n v="37"/>
  </r>
  <r>
    <x v="10"/>
    <x v="368"/>
    <s v="DE"/>
    <x v="24"/>
    <x v="307"/>
    <n v="0"/>
    <n v="0"/>
    <n v="0"/>
  </r>
  <r>
    <x v="11"/>
    <x v="0"/>
    <s v="VA"/>
    <x v="0"/>
    <x v="0"/>
    <n v="0"/>
    <n v="0"/>
    <n v="0"/>
  </r>
  <r>
    <x v="11"/>
    <x v="1"/>
    <s v="DI"/>
    <x v="1"/>
    <x v="1"/>
    <n v="0"/>
    <n v="0"/>
    <n v="0"/>
  </r>
  <r>
    <x v="11"/>
    <x v="2"/>
    <s v="DI"/>
    <x v="1"/>
    <x v="2"/>
    <n v="103"/>
    <n v="63"/>
    <n v="40"/>
  </r>
  <r>
    <x v="11"/>
    <x v="3"/>
    <s v="DI"/>
    <x v="1"/>
    <x v="3"/>
    <n v="516"/>
    <n v="359"/>
    <n v="157"/>
  </r>
  <r>
    <x v="11"/>
    <x v="4"/>
    <s v="DI"/>
    <x v="1"/>
    <x v="4"/>
    <n v="225"/>
    <n v="132"/>
    <n v="93"/>
  </r>
  <r>
    <x v="11"/>
    <x v="5"/>
    <s v="DI"/>
    <x v="1"/>
    <x v="5"/>
    <n v="371"/>
    <n v="221"/>
    <n v="150"/>
  </r>
  <r>
    <x v="11"/>
    <x v="6"/>
    <s v="DI"/>
    <x v="1"/>
    <x v="6"/>
    <n v="44"/>
    <n v="28"/>
    <n v="16"/>
  </r>
  <r>
    <x v="11"/>
    <x v="7"/>
    <s v="DI"/>
    <x v="1"/>
    <x v="7"/>
    <n v="660"/>
    <n v="488"/>
    <n v="172"/>
  </r>
  <r>
    <x v="11"/>
    <x v="8"/>
    <s v="DI"/>
    <x v="1"/>
    <x v="8"/>
    <n v="116"/>
    <n v="75"/>
    <n v="41"/>
  </r>
  <r>
    <x v="11"/>
    <x v="9"/>
    <s v="DI"/>
    <x v="1"/>
    <x v="9"/>
    <n v="2002"/>
    <n v="1282"/>
    <n v="720"/>
  </r>
  <r>
    <x v="11"/>
    <x v="10"/>
    <s v="DI"/>
    <x v="1"/>
    <x v="10"/>
    <n v="686"/>
    <n v="374"/>
    <n v="312"/>
  </r>
  <r>
    <x v="11"/>
    <x v="11"/>
    <s v="DI"/>
    <x v="1"/>
    <x v="11"/>
    <n v="295"/>
    <n v="168"/>
    <n v="127"/>
  </r>
  <r>
    <x v="11"/>
    <x v="12"/>
    <s v="DI"/>
    <x v="1"/>
    <x v="12"/>
    <n v="461"/>
    <n v="285"/>
    <n v="176"/>
  </r>
  <r>
    <x v="11"/>
    <x v="13"/>
    <s v="DI"/>
    <x v="1"/>
    <x v="13"/>
    <n v="279"/>
    <n v="158"/>
    <n v="121"/>
  </r>
  <r>
    <x v="11"/>
    <x v="14"/>
    <s v="DI"/>
    <x v="1"/>
    <x v="14"/>
    <n v="127"/>
    <n v="94"/>
    <n v="33"/>
  </r>
  <r>
    <x v="11"/>
    <x v="15"/>
    <s v="DI"/>
    <x v="1"/>
    <x v="15"/>
    <n v="102"/>
    <n v="75"/>
    <n v="27"/>
  </r>
  <r>
    <x v="11"/>
    <x v="16"/>
    <s v="DI"/>
    <x v="1"/>
    <x v="16"/>
    <n v="959"/>
    <n v="529"/>
    <n v="430"/>
  </r>
  <r>
    <x v="11"/>
    <x v="17"/>
    <s v="DI"/>
    <x v="1"/>
    <x v="17"/>
    <n v="1425"/>
    <n v="789"/>
    <n v="636"/>
  </r>
  <r>
    <x v="11"/>
    <x v="18"/>
    <s v="DI"/>
    <x v="1"/>
    <x v="18"/>
    <n v="1226"/>
    <n v="682"/>
    <n v="544"/>
  </r>
  <r>
    <x v="11"/>
    <x v="19"/>
    <s v="DI"/>
    <x v="1"/>
    <x v="19"/>
    <n v="2242"/>
    <n v="1298"/>
    <n v="944"/>
  </r>
  <r>
    <x v="11"/>
    <x v="20"/>
    <s v="DI"/>
    <x v="1"/>
    <x v="20"/>
    <n v="390"/>
    <n v="234"/>
    <n v="156"/>
  </r>
  <r>
    <x v="11"/>
    <x v="21"/>
    <s v="DI"/>
    <x v="1"/>
    <x v="21"/>
    <n v="51"/>
    <n v="30"/>
    <n v="21"/>
  </r>
  <r>
    <x v="11"/>
    <x v="22"/>
    <s v="DI"/>
    <x v="1"/>
    <x v="22"/>
    <n v="1689"/>
    <n v="1096"/>
    <n v="593"/>
  </r>
  <r>
    <x v="11"/>
    <x v="23"/>
    <s v="DI"/>
    <x v="1"/>
    <x v="23"/>
    <n v="268"/>
    <n v="162"/>
    <n v="106"/>
  </r>
  <r>
    <x v="11"/>
    <x v="24"/>
    <s v="AM"/>
    <x v="2"/>
    <x v="24"/>
    <n v="21"/>
    <n v="12"/>
    <n v="9"/>
  </r>
  <r>
    <x v="11"/>
    <x v="25"/>
    <s v="AM"/>
    <x v="2"/>
    <x v="25"/>
    <n v="18"/>
    <n v="11"/>
    <n v="7"/>
  </r>
  <r>
    <x v="11"/>
    <x v="26"/>
    <s v="AM"/>
    <x v="2"/>
    <x v="26"/>
    <n v="351"/>
    <n v="207"/>
    <n v="144"/>
  </r>
  <r>
    <x v="11"/>
    <x v="27"/>
    <s v="AM"/>
    <x v="2"/>
    <x v="27"/>
    <n v="5"/>
    <n v="3"/>
    <n v="2"/>
  </r>
  <r>
    <x v="11"/>
    <x v="28"/>
    <s v="AM"/>
    <x v="2"/>
    <x v="28"/>
    <n v="4"/>
    <n v="2"/>
    <n v="2"/>
  </r>
  <r>
    <x v="11"/>
    <x v="29"/>
    <s v="AM"/>
    <x v="2"/>
    <x v="29"/>
    <n v="2"/>
    <n v="1"/>
    <n v="1"/>
  </r>
  <r>
    <x v="11"/>
    <x v="30"/>
    <s v="AM"/>
    <x v="2"/>
    <x v="30"/>
    <n v="6"/>
    <n v="3"/>
    <n v="3"/>
  </r>
  <r>
    <x v="11"/>
    <x v="31"/>
    <s v="AN"/>
    <x v="3"/>
    <x v="31"/>
    <n v="369"/>
    <n v="246"/>
    <n v="123"/>
  </r>
  <r>
    <x v="11"/>
    <x v="32"/>
    <s v="AN"/>
    <x v="3"/>
    <x v="32"/>
    <n v="100"/>
    <n v="60"/>
    <n v="40"/>
  </r>
  <r>
    <x v="11"/>
    <x v="33"/>
    <s v="AN"/>
    <x v="3"/>
    <x v="33"/>
    <n v="99"/>
    <n v="56"/>
    <n v="43"/>
  </r>
  <r>
    <x v="11"/>
    <x v="34"/>
    <s v="AN"/>
    <x v="3"/>
    <x v="34"/>
    <n v="69"/>
    <n v="44"/>
    <n v="25"/>
  </r>
  <r>
    <x v="11"/>
    <x v="35"/>
    <s v="AN"/>
    <x v="3"/>
    <x v="35"/>
    <n v="110"/>
    <n v="63"/>
    <n v="47"/>
  </r>
  <r>
    <x v="11"/>
    <x v="36"/>
    <s v="AN"/>
    <x v="3"/>
    <x v="36"/>
    <n v="56"/>
    <n v="35"/>
    <n v="21"/>
  </r>
  <r>
    <x v="11"/>
    <x v="37"/>
    <s v="AN"/>
    <x v="3"/>
    <x v="37"/>
    <n v="66"/>
    <n v="44"/>
    <n v="22"/>
  </r>
  <r>
    <x v="11"/>
    <x v="38"/>
    <s v="AN"/>
    <x v="3"/>
    <x v="38"/>
    <n v="94"/>
    <n v="53"/>
    <n v="41"/>
  </r>
  <r>
    <x v="11"/>
    <x v="39"/>
    <s v="AN"/>
    <x v="3"/>
    <x v="39"/>
    <n v="38"/>
    <n v="26"/>
    <n v="12"/>
  </r>
  <r>
    <x v="11"/>
    <x v="40"/>
    <s v="AN"/>
    <x v="3"/>
    <x v="40"/>
    <n v="604"/>
    <n v="356"/>
    <n v="248"/>
  </r>
  <r>
    <x v="11"/>
    <x v="41"/>
    <s v="AN"/>
    <x v="3"/>
    <x v="41"/>
    <n v="24"/>
    <n v="13"/>
    <n v="11"/>
  </r>
  <r>
    <x v="11"/>
    <x v="42"/>
    <s v="AN"/>
    <x v="3"/>
    <x v="42"/>
    <n v="43"/>
    <n v="29"/>
    <n v="14"/>
  </r>
  <r>
    <x v="11"/>
    <x v="43"/>
    <s v="AN"/>
    <x v="3"/>
    <x v="43"/>
    <n v="105"/>
    <n v="58"/>
    <n v="47"/>
  </r>
  <r>
    <x v="11"/>
    <x v="44"/>
    <s v="AN"/>
    <x v="3"/>
    <x v="44"/>
    <n v="236"/>
    <n v="143"/>
    <n v="93"/>
  </r>
  <r>
    <x v="11"/>
    <x v="45"/>
    <s v="AN"/>
    <x v="3"/>
    <x v="45"/>
    <n v="74"/>
    <n v="44"/>
    <n v="30"/>
  </r>
  <r>
    <x v="11"/>
    <x v="46"/>
    <s v="AN"/>
    <x v="3"/>
    <x v="46"/>
    <n v="94"/>
    <n v="55"/>
    <n v="39"/>
  </r>
  <r>
    <x v="11"/>
    <x v="47"/>
    <s v="AN"/>
    <x v="3"/>
    <x v="47"/>
    <n v="43"/>
    <n v="28"/>
    <n v="15"/>
  </r>
  <r>
    <x v="11"/>
    <x v="48"/>
    <s v="AN"/>
    <x v="3"/>
    <x v="48"/>
    <n v="24"/>
    <n v="12"/>
    <n v="12"/>
  </r>
  <r>
    <x v="11"/>
    <x v="49"/>
    <s v="AN"/>
    <x v="3"/>
    <x v="49"/>
    <n v="1506"/>
    <n v="959"/>
    <n v="547"/>
  </r>
  <r>
    <x v="11"/>
    <x v="50"/>
    <s v="AN"/>
    <x v="3"/>
    <x v="50"/>
    <n v="452"/>
    <n v="291"/>
    <n v="161"/>
  </r>
  <r>
    <x v="11"/>
    <x v="51"/>
    <s v="AN"/>
    <x v="3"/>
    <x v="51"/>
    <n v="23"/>
    <n v="14"/>
    <n v="9"/>
  </r>
  <r>
    <x v="11"/>
    <x v="52"/>
    <s v="AP"/>
    <x v="4"/>
    <x v="52"/>
    <n v="192"/>
    <n v="117"/>
    <n v="75"/>
  </r>
  <r>
    <x v="11"/>
    <x v="53"/>
    <s v="AP"/>
    <x v="4"/>
    <x v="53"/>
    <n v="85"/>
    <n v="48"/>
    <n v="37"/>
  </r>
  <r>
    <x v="11"/>
    <x v="54"/>
    <s v="AP"/>
    <x v="4"/>
    <x v="54"/>
    <n v="73"/>
    <n v="44"/>
    <n v="29"/>
  </r>
  <r>
    <x v="11"/>
    <x v="55"/>
    <s v="AP"/>
    <x v="4"/>
    <x v="55"/>
    <n v="264"/>
    <n v="169"/>
    <n v="95"/>
  </r>
  <r>
    <x v="11"/>
    <x v="56"/>
    <s v="AP"/>
    <x v="4"/>
    <x v="56"/>
    <n v="37"/>
    <n v="25"/>
    <n v="12"/>
  </r>
  <r>
    <x v="11"/>
    <x v="57"/>
    <s v="AP"/>
    <x v="4"/>
    <x v="57"/>
    <n v="56"/>
    <n v="29"/>
    <n v="27"/>
  </r>
  <r>
    <x v="11"/>
    <x v="58"/>
    <s v="AP"/>
    <x v="4"/>
    <x v="58"/>
    <n v="918"/>
    <n v="500"/>
    <n v="418"/>
  </r>
  <r>
    <x v="11"/>
    <x v="59"/>
    <s v="AR"/>
    <x v="5"/>
    <x v="59"/>
    <n v="109"/>
    <n v="66"/>
    <n v="43"/>
  </r>
  <r>
    <x v="11"/>
    <x v="60"/>
    <s v="AR"/>
    <x v="5"/>
    <x v="60"/>
    <n v="35"/>
    <n v="21"/>
    <n v="14"/>
  </r>
  <r>
    <x v="11"/>
    <x v="61"/>
    <s v="AR"/>
    <x v="5"/>
    <x v="61"/>
    <n v="180"/>
    <n v="118"/>
    <n v="62"/>
  </r>
  <r>
    <x v="11"/>
    <x v="62"/>
    <s v="AR"/>
    <x v="5"/>
    <x v="62"/>
    <n v="3260"/>
    <n v="1869"/>
    <n v="1391"/>
  </r>
  <r>
    <x v="11"/>
    <x v="63"/>
    <s v="AR"/>
    <x v="5"/>
    <x v="63"/>
    <n v="84"/>
    <n v="61"/>
    <n v="23"/>
  </r>
  <r>
    <x v="11"/>
    <x v="64"/>
    <s v="AR"/>
    <x v="5"/>
    <x v="64"/>
    <n v="632"/>
    <n v="357"/>
    <n v="275"/>
  </r>
  <r>
    <x v="11"/>
    <x v="65"/>
    <s v="AR"/>
    <x v="5"/>
    <x v="65"/>
    <n v="84"/>
    <n v="57"/>
    <n v="27"/>
  </r>
  <r>
    <x v="11"/>
    <x v="66"/>
    <s v="AR"/>
    <x v="5"/>
    <x v="66"/>
    <n v="394"/>
    <n v="224"/>
    <n v="170"/>
  </r>
  <r>
    <x v="11"/>
    <x v="67"/>
    <s v="AR"/>
    <x v="5"/>
    <x v="67"/>
    <n v="213"/>
    <n v="125"/>
    <n v="88"/>
  </r>
  <r>
    <x v="11"/>
    <x v="68"/>
    <s v="AR"/>
    <x v="5"/>
    <x v="68"/>
    <n v="0"/>
    <n v="0"/>
    <n v="0"/>
  </r>
  <r>
    <x v="11"/>
    <x v="69"/>
    <s v="AR"/>
    <x v="5"/>
    <x v="69"/>
    <n v="61"/>
    <n v="40"/>
    <n v="21"/>
  </r>
  <r>
    <x v="11"/>
    <x v="70"/>
    <s v="AR"/>
    <x v="5"/>
    <x v="70"/>
    <n v="37"/>
    <n v="26"/>
    <n v="11"/>
  </r>
  <r>
    <x v="11"/>
    <x v="71"/>
    <s v="AR"/>
    <x v="5"/>
    <x v="71"/>
    <n v="269"/>
    <n v="173"/>
    <n v="96"/>
  </r>
  <r>
    <x v="11"/>
    <x v="72"/>
    <s v="AR"/>
    <x v="5"/>
    <x v="72"/>
    <n v="119"/>
    <n v="78"/>
    <n v="41"/>
  </r>
  <r>
    <x v="11"/>
    <x v="73"/>
    <s v="AR"/>
    <x v="5"/>
    <x v="73"/>
    <n v="285"/>
    <n v="160"/>
    <n v="125"/>
  </r>
  <r>
    <x v="11"/>
    <x v="74"/>
    <s v="AR"/>
    <x v="5"/>
    <x v="74"/>
    <n v="44"/>
    <n v="32"/>
    <n v="12"/>
  </r>
  <r>
    <x v="11"/>
    <x v="75"/>
    <s v="AR"/>
    <x v="5"/>
    <x v="75"/>
    <n v="40"/>
    <n v="24"/>
    <n v="16"/>
  </r>
  <r>
    <x v="11"/>
    <x v="76"/>
    <s v="AR"/>
    <x v="5"/>
    <x v="76"/>
    <n v="439"/>
    <n v="280"/>
    <n v="159"/>
  </r>
  <r>
    <x v="11"/>
    <x v="77"/>
    <s v="BA"/>
    <x v="6"/>
    <x v="77"/>
    <n v="110"/>
    <n v="74"/>
    <n v="36"/>
  </r>
  <r>
    <x v="11"/>
    <x v="78"/>
    <s v="BA"/>
    <x v="6"/>
    <x v="78"/>
    <n v="0"/>
    <n v="0"/>
    <n v="0"/>
  </r>
  <r>
    <x v="11"/>
    <x v="79"/>
    <s v="BA"/>
    <x v="6"/>
    <x v="79"/>
    <n v="198"/>
    <n v="127"/>
    <n v="71"/>
  </r>
  <r>
    <x v="11"/>
    <x v="80"/>
    <s v="BA"/>
    <x v="6"/>
    <x v="80"/>
    <n v="45"/>
    <n v="25"/>
    <n v="20"/>
  </r>
  <r>
    <x v="11"/>
    <x v="81"/>
    <s v="BA"/>
    <x v="6"/>
    <x v="81"/>
    <n v="1639"/>
    <n v="1016"/>
    <n v="623"/>
  </r>
  <r>
    <x v="11"/>
    <x v="82"/>
    <s v="BA"/>
    <x v="6"/>
    <x v="59"/>
    <n v="145"/>
    <n v="91"/>
    <n v="54"/>
  </r>
  <r>
    <x v="11"/>
    <x v="83"/>
    <s v="BA"/>
    <x v="6"/>
    <x v="82"/>
    <n v="78"/>
    <n v="51"/>
    <n v="27"/>
  </r>
  <r>
    <x v="11"/>
    <x v="84"/>
    <s v="BA"/>
    <x v="6"/>
    <x v="83"/>
    <n v="231"/>
    <n v="139"/>
    <n v="92"/>
  </r>
  <r>
    <x v="11"/>
    <x v="85"/>
    <s v="BA"/>
    <x v="6"/>
    <x v="84"/>
    <n v="66"/>
    <n v="41"/>
    <n v="25"/>
  </r>
  <r>
    <x v="11"/>
    <x v="86"/>
    <s v="BA"/>
    <x v="6"/>
    <x v="85"/>
    <n v="164"/>
    <n v="94"/>
    <n v="70"/>
  </r>
  <r>
    <x v="11"/>
    <x v="87"/>
    <s v="BA"/>
    <x v="6"/>
    <x v="86"/>
    <n v="80"/>
    <n v="51"/>
    <n v="29"/>
  </r>
  <r>
    <x v="11"/>
    <x v="88"/>
    <s v="BA"/>
    <x v="6"/>
    <x v="87"/>
    <n v="37"/>
    <n v="22"/>
    <n v="15"/>
  </r>
  <r>
    <x v="11"/>
    <x v="89"/>
    <s v="BO"/>
    <x v="7"/>
    <x v="88"/>
    <n v="3411"/>
    <n v="2231"/>
    <n v="1180"/>
  </r>
  <r>
    <x v="11"/>
    <x v="90"/>
    <s v="BO"/>
    <x v="7"/>
    <x v="89"/>
    <n v="184"/>
    <n v="95"/>
    <n v="89"/>
  </r>
  <r>
    <x v="11"/>
    <x v="91"/>
    <s v="BO"/>
    <x v="7"/>
    <x v="90"/>
    <n v="68"/>
    <n v="44"/>
    <n v="24"/>
  </r>
  <r>
    <x v="11"/>
    <x v="92"/>
    <s v="BO"/>
    <x v="7"/>
    <x v="91"/>
    <n v="71"/>
    <n v="48"/>
    <n v="23"/>
  </r>
  <r>
    <x v="11"/>
    <x v="93"/>
    <s v="BO"/>
    <x v="7"/>
    <x v="92"/>
    <n v="1918"/>
    <n v="1139"/>
    <n v="779"/>
  </r>
  <r>
    <x v="11"/>
    <x v="94"/>
    <s v="BO"/>
    <x v="7"/>
    <x v="93"/>
    <n v="37"/>
    <n v="22"/>
    <n v="15"/>
  </r>
  <r>
    <x v="11"/>
    <x v="95"/>
    <s v="BO"/>
    <x v="7"/>
    <x v="94"/>
    <n v="382"/>
    <n v="250"/>
    <n v="132"/>
  </r>
  <r>
    <x v="11"/>
    <x v="96"/>
    <s v="BO"/>
    <x v="7"/>
    <x v="95"/>
    <n v="56"/>
    <n v="42"/>
    <n v="14"/>
  </r>
  <r>
    <x v="11"/>
    <x v="97"/>
    <s v="BO"/>
    <x v="7"/>
    <x v="96"/>
    <n v="47"/>
    <n v="26"/>
    <n v="21"/>
  </r>
  <r>
    <x v="11"/>
    <x v="98"/>
    <s v="BO"/>
    <x v="7"/>
    <x v="97"/>
    <n v="105"/>
    <n v="73"/>
    <n v="32"/>
  </r>
  <r>
    <x v="11"/>
    <x v="99"/>
    <s v="BO"/>
    <x v="7"/>
    <x v="73"/>
    <n v="24"/>
    <n v="17"/>
    <n v="7"/>
  </r>
  <r>
    <x v="11"/>
    <x v="100"/>
    <s v="CA"/>
    <x v="8"/>
    <x v="98"/>
    <n v="253"/>
    <n v="137"/>
    <n v="116"/>
  </r>
  <r>
    <x v="11"/>
    <x v="101"/>
    <s v="CA"/>
    <x v="8"/>
    <x v="99"/>
    <n v="419"/>
    <n v="276"/>
    <n v="143"/>
  </r>
  <r>
    <x v="11"/>
    <x v="102"/>
    <s v="CA"/>
    <x v="8"/>
    <x v="100"/>
    <n v="307"/>
    <n v="196"/>
    <n v="111"/>
  </r>
  <r>
    <x v="11"/>
    <x v="103"/>
    <s v="CA"/>
    <x v="8"/>
    <x v="101"/>
    <n v="442"/>
    <n v="277"/>
    <n v="165"/>
  </r>
  <r>
    <x v="11"/>
    <x v="104"/>
    <s v="CA"/>
    <x v="8"/>
    <x v="102"/>
    <n v="168"/>
    <n v="120"/>
    <n v="48"/>
  </r>
  <r>
    <x v="11"/>
    <x v="105"/>
    <s v="CA"/>
    <x v="8"/>
    <x v="66"/>
    <n v="455"/>
    <n v="341"/>
    <n v="114"/>
  </r>
  <r>
    <x v="11"/>
    <x v="106"/>
    <s v="CA"/>
    <x v="8"/>
    <x v="103"/>
    <n v="248"/>
    <n v="172"/>
    <n v="76"/>
  </r>
  <r>
    <x v="11"/>
    <x v="107"/>
    <s v="CA"/>
    <x v="8"/>
    <x v="104"/>
    <n v="69"/>
    <n v="42"/>
    <n v="27"/>
  </r>
  <r>
    <x v="11"/>
    <x v="108"/>
    <s v="CA"/>
    <x v="8"/>
    <x v="105"/>
    <n v="47"/>
    <n v="32"/>
    <n v="15"/>
  </r>
  <r>
    <x v="11"/>
    <x v="109"/>
    <s v="CA"/>
    <x v="8"/>
    <x v="106"/>
    <n v="1255"/>
    <n v="706"/>
    <n v="549"/>
  </r>
  <r>
    <x v="11"/>
    <x v="110"/>
    <s v="CA"/>
    <x v="8"/>
    <x v="107"/>
    <n v="1088"/>
    <n v="668"/>
    <n v="420"/>
  </r>
  <r>
    <x v="11"/>
    <x v="111"/>
    <s v="CA"/>
    <x v="8"/>
    <x v="108"/>
    <n v="107"/>
    <n v="52"/>
    <n v="55"/>
  </r>
  <r>
    <x v="11"/>
    <x v="112"/>
    <s v="CA"/>
    <x v="8"/>
    <x v="109"/>
    <n v="141"/>
    <n v="86"/>
    <n v="55"/>
  </r>
  <r>
    <x v="11"/>
    <x v="113"/>
    <s v="CA"/>
    <x v="8"/>
    <x v="110"/>
    <n v="4315"/>
    <n v="2582"/>
    <n v="1733"/>
  </r>
  <r>
    <x v="11"/>
    <x v="114"/>
    <s v="CO"/>
    <x v="9"/>
    <x v="111"/>
    <n v="42"/>
    <n v="30"/>
    <n v="12"/>
  </r>
  <r>
    <x v="11"/>
    <x v="115"/>
    <s v="CO"/>
    <x v="9"/>
    <x v="112"/>
    <n v="329"/>
    <n v="201"/>
    <n v="128"/>
  </r>
  <r>
    <x v="11"/>
    <x v="116"/>
    <s v="CO"/>
    <x v="9"/>
    <x v="62"/>
    <n v="28"/>
    <n v="18"/>
    <n v="10"/>
  </r>
  <r>
    <x v="11"/>
    <x v="117"/>
    <s v="CO"/>
    <x v="9"/>
    <x v="113"/>
    <n v="25"/>
    <n v="14"/>
    <n v="11"/>
  </r>
  <r>
    <x v="11"/>
    <x v="118"/>
    <s v="CO"/>
    <x v="9"/>
    <x v="114"/>
    <n v="59"/>
    <n v="34"/>
    <n v="25"/>
  </r>
  <r>
    <x v="11"/>
    <x v="119"/>
    <s v="CO"/>
    <x v="9"/>
    <x v="115"/>
    <n v="19"/>
    <n v="12"/>
    <n v="7"/>
  </r>
  <r>
    <x v="11"/>
    <x v="120"/>
    <s v="CO"/>
    <x v="9"/>
    <x v="57"/>
    <n v="42"/>
    <n v="27"/>
    <n v="15"/>
  </r>
  <r>
    <x v="11"/>
    <x v="121"/>
    <s v="CO"/>
    <x v="9"/>
    <x v="116"/>
    <n v="551"/>
    <n v="342"/>
    <n v="209"/>
  </r>
  <r>
    <x v="11"/>
    <x v="122"/>
    <s v="CO"/>
    <x v="9"/>
    <x v="117"/>
    <n v="90"/>
    <n v="56"/>
    <n v="34"/>
  </r>
  <r>
    <x v="11"/>
    <x v="123"/>
    <s v="DE"/>
    <x v="10"/>
    <x v="118"/>
    <n v="46"/>
    <n v="21"/>
    <n v="25"/>
  </r>
  <r>
    <x v="11"/>
    <x v="124"/>
    <s v="DE"/>
    <x v="10"/>
    <x v="119"/>
    <n v="43"/>
    <n v="37"/>
    <n v="6"/>
  </r>
  <r>
    <x v="11"/>
    <x v="125"/>
    <s v="DE"/>
    <x v="10"/>
    <x v="120"/>
    <n v="17"/>
    <n v="11"/>
    <n v="6"/>
  </r>
  <r>
    <x v="11"/>
    <x v="126"/>
    <s v="DE"/>
    <x v="10"/>
    <x v="121"/>
    <n v="310"/>
    <n v="193"/>
    <n v="117"/>
  </r>
  <r>
    <x v="11"/>
    <x v="127"/>
    <s v="FA"/>
    <x v="11"/>
    <x v="122"/>
    <n v="44"/>
    <n v="20"/>
    <n v="24"/>
  </r>
  <r>
    <x v="11"/>
    <x v="128"/>
    <s v="FA"/>
    <x v="11"/>
    <x v="59"/>
    <n v="17"/>
    <n v="10"/>
    <n v="7"/>
  </r>
  <r>
    <x v="11"/>
    <x v="129"/>
    <s v="FA"/>
    <x v="11"/>
    <x v="123"/>
    <n v="50"/>
    <n v="25"/>
    <n v="25"/>
  </r>
  <r>
    <x v="11"/>
    <x v="130"/>
    <s v="FA"/>
    <x v="11"/>
    <x v="124"/>
    <n v="23"/>
    <n v="17"/>
    <n v="6"/>
  </r>
  <r>
    <x v="11"/>
    <x v="131"/>
    <s v="FA"/>
    <x v="11"/>
    <x v="125"/>
    <n v="670"/>
    <n v="370"/>
    <n v="300"/>
  </r>
  <r>
    <x v="11"/>
    <x v="132"/>
    <s v="FA"/>
    <x v="11"/>
    <x v="126"/>
    <n v="59"/>
    <n v="37"/>
    <n v="22"/>
  </r>
  <r>
    <x v="11"/>
    <x v="133"/>
    <s v="FA"/>
    <x v="11"/>
    <x v="127"/>
    <n v="55"/>
    <n v="30"/>
    <n v="25"/>
  </r>
  <r>
    <x v="11"/>
    <x v="134"/>
    <s v="FA"/>
    <x v="11"/>
    <x v="128"/>
    <n v="25"/>
    <n v="10"/>
    <n v="15"/>
  </r>
  <r>
    <x v="11"/>
    <x v="135"/>
    <s v="FA"/>
    <x v="11"/>
    <x v="112"/>
    <n v="67"/>
    <n v="35"/>
    <n v="32"/>
  </r>
  <r>
    <x v="11"/>
    <x v="136"/>
    <s v="FA"/>
    <x v="11"/>
    <x v="129"/>
    <n v="92"/>
    <n v="44"/>
    <n v="48"/>
  </r>
  <r>
    <x v="11"/>
    <x v="137"/>
    <s v="FA"/>
    <x v="11"/>
    <x v="130"/>
    <n v="23"/>
    <n v="15"/>
    <n v="8"/>
  </r>
  <r>
    <x v="11"/>
    <x v="138"/>
    <s v="FA"/>
    <x v="11"/>
    <x v="131"/>
    <n v="110"/>
    <n v="75"/>
    <n v="35"/>
  </r>
  <r>
    <x v="11"/>
    <x v="139"/>
    <s v="FA"/>
    <x v="11"/>
    <x v="132"/>
    <n v="84"/>
    <n v="46"/>
    <n v="38"/>
  </r>
  <r>
    <x v="11"/>
    <x v="140"/>
    <s v="FA"/>
    <x v="11"/>
    <x v="104"/>
    <n v="1176"/>
    <n v="677"/>
    <n v="499"/>
  </r>
  <r>
    <x v="11"/>
    <x v="141"/>
    <s v="FA"/>
    <x v="11"/>
    <x v="133"/>
    <n v="58"/>
    <n v="31"/>
    <n v="27"/>
  </r>
  <r>
    <x v="11"/>
    <x v="142"/>
    <s v="FA"/>
    <x v="11"/>
    <x v="134"/>
    <n v="5"/>
    <n v="1"/>
    <n v="4"/>
  </r>
  <r>
    <x v="11"/>
    <x v="143"/>
    <s v="FA"/>
    <x v="11"/>
    <x v="135"/>
    <n v="6"/>
    <n v="2"/>
    <n v="4"/>
  </r>
  <r>
    <x v="11"/>
    <x v="144"/>
    <s v="FA"/>
    <x v="11"/>
    <x v="45"/>
    <n v="20"/>
    <n v="12"/>
    <n v="8"/>
  </r>
  <r>
    <x v="11"/>
    <x v="145"/>
    <s v="FA"/>
    <x v="11"/>
    <x v="136"/>
    <n v="0"/>
    <n v="0"/>
    <n v="0"/>
  </r>
  <r>
    <x v="11"/>
    <x v="146"/>
    <s v="FA"/>
    <x v="11"/>
    <x v="137"/>
    <n v="167"/>
    <n v="111"/>
    <n v="56"/>
  </r>
  <r>
    <x v="11"/>
    <x v="147"/>
    <s v="FA"/>
    <x v="11"/>
    <x v="73"/>
    <n v="6"/>
    <n v="2"/>
    <n v="4"/>
  </r>
  <r>
    <x v="11"/>
    <x v="148"/>
    <s v="FA"/>
    <x v="11"/>
    <x v="138"/>
    <n v="10"/>
    <n v="6"/>
    <n v="4"/>
  </r>
  <r>
    <x v="11"/>
    <x v="149"/>
    <s v="FA"/>
    <x v="11"/>
    <x v="139"/>
    <n v="29"/>
    <n v="15"/>
    <n v="14"/>
  </r>
  <r>
    <x v="11"/>
    <x v="150"/>
    <s v="FA"/>
    <x v="11"/>
    <x v="140"/>
    <n v="16"/>
    <n v="9"/>
    <n v="7"/>
  </r>
  <r>
    <x v="11"/>
    <x v="151"/>
    <s v="FA"/>
    <x v="11"/>
    <x v="76"/>
    <n v="20"/>
    <n v="17"/>
    <n v="3"/>
  </r>
  <r>
    <x v="11"/>
    <x v="152"/>
    <s v="GU"/>
    <x v="12"/>
    <x v="141"/>
    <n v="42"/>
    <n v="30"/>
    <n v="12"/>
  </r>
  <r>
    <x v="11"/>
    <x v="153"/>
    <s v="GU"/>
    <x v="12"/>
    <x v="142"/>
    <n v="21"/>
    <n v="14"/>
    <n v="7"/>
  </r>
  <r>
    <x v="11"/>
    <x v="154"/>
    <s v="GU"/>
    <x v="12"/>
    <x v="143"/>
    <n v="47"/>
    <n v="27"/>
    <n v="20"/>
  </r>
  <r>
    <x v="11"/>
    <x v="155"/>
    <s v="GU"/>
    <x v="12"/>
    <x v="144"/>
    <n v="35"/>
    <n v="21"/>
    <n v="14"/>
  </r>
  <r>
    <x v="11"/>
    <x v="156"/>
    <s v="GU"/>
    <x v="12"/>
    <x v="145"/>
    <n v="679"/>
    <n v="392"/>
    <n v="287"/>
  </r>
  <r>
    <x v="11"/>
    <x v="157"/>
    <s v="GU"/>
    <x v="12"/>
    <x v="146"/>
    <n v="83"/>
    <n v="50"/>
    <n v="33"/>
  </r>
  <r>
    <x v="11"/>
    <x v="158"/>
    <s v="GU"/>
    <x v="12"/>
    <x v="147"/>
    <n v="113"/>
    <n v="69"/>
    <n v="44"/>
  </r>
  <r>
    <x v="11"/>
    <x v="159"/>
    <s v="GU"/>
    <x v="12"/>
    <x v="104"/>
    <n v="572"/>
    <n v="355"/>
    <n v="217"/>
  </r>
  <r>
    <x v="11"/>
    <x v="160"/>
    <s v="GU"/>
    <x v="12"/>
    <x v="148"/>
    <n v="352"/>
    <n v="212"/>
    <n v="140"/>
  </r>
  <r>
    <x v="11"/>
    <x v="161"/>
    <s v="GU"/>
    <x v="12"/>
    <x v="149"/>
    <n v="63"/>
    <n v="36"/>
    <n v="27"/>
  </r>
  <r>
    <x v="11"/>
    <x v="162"/>
    <s v="GU"/>
    <x v="12"/>
    <x v="150"/>
    <n v="117"/>
    <n v="77"/>
    <n v="40"/>
  </r>
  <r>
    <x v="11"/>
    <x v="163"/>
    <s v="GU"/>
    <x v="12"/>
    <x v="96"/>
    <n v="762"/>
    <n v="473"/>
    <n v="289"/>
  </r>
  <r>
    <x v="11"/>
    <x v="164"/>
    <s v="GU"/>
    <x v="12"/>
    <x v="151"/>
    <n v="20"/>
    <n v="11"/>
    <n v="9"/>
  </r>
  <r>
    <x v="11"/>
    <x v="165"/>
    <s v="GU"/>
    <x v="12"/>
    <x v="152"/>
    <n v="34"/>
    <n v="21"/>
    <n v="13"/>
  </r>
  <r>
    <x v="11"/>
    <x v="166"/>
    <s v="GU"/>
    <x v="12"/>
    <x v="153"/>
    <n v="220"/>
    <n v="120"/>
    <n v="100"/>
  </r>
  <r>
    <x v="11"/>
    <x v="167"/>
    <s v="LA"/>
    <x v="13"/>
    <x v="154"/>
    <n v="117"/>
    <n v="69"/>
    <n v="48"/>
  </r>
  <r>
    <x v="11"/>
    <x v="168"/>
    <s v="LA"/>
    <x v="13"/>
    <x v="155"/>
    <n v="126"/>
    <n v="69"/>
    <n v="57"/>
  </r>
  <r>
    <x v="11"/>
    <x v="169"/>
    <s v="LA"/>
    <x v="13"/>
    <x v="156"/>
    <n v="5948"/>
    <n v="3464"/>
    <n v="2484"/>
  </r>
  <r>
    <x v="11"/>
    <x v="170"/>
    <s v="LA"/>
    <x v="13"/>
    <x v="157"/>
    <n v="273"/>
    <n v="174"/>
    <n v="99"/>
  </r>
  <r>
    <x v="11"/>
    <x v="171"/>
    <s v="LA"/>
    <x v="13"/>
    <x v="158"/>
    <n v="472"/>
    <n v="269"/>
    <n v="203"/>
  </r>
  <r>
    <x v="11"/>
    <x v="172"/>
    <s v="LA"/>
    <x v="13"/>
    <x v="159"/>
    <n v="249"/>
    <n v="152"/>
    <n v="97"/>
  </r>
  <r>
    <x v="11"/>
    <x v="173"/>
    <s v="LA"/>
    <x v="13"/>
    <x v="160"/>
    <n v="70"/>
    <n v="44"/>
    <n v="26"/>
  </r>
  <r>
    <x v="11"/>
    <x v="174"/>
    <s v="LA"/>
    <x v="13"/>
    <x v="161"/>
    <n v="734"/>
    <n v="451"/>
    <n v="283"/>
  </r>
  <r>
    <x v="11"/>
    <x v="175"/>
    <s v="LA"/>
    <x v="13"/>
    <x v="75"/>
    <n v="181"/>
    <n v="101"/>
    <n v="80"/>
  </r>
  <r>
    <x v="11"/>
    <x v="176"/>
    <s v="ME"/>
    <x v="14"/>
    <x v="162"/>
    <n v="565"/>
    <n v="364"/>
    <n v="201"/>
  </r>
  <r>
    <x v="11"/>
    <x v="177"/>
    <s v="ME"/>
    <x v="14"/>
    <x v="163"/>
    <n v="50"/>
    <n v="30"/>
    <n v="20"/>
  </r>
  <r>
    <x v="11"/>
    <x v="178"/>
    <s v="ME"/>
    <x v="14"/>
    <x v="164"/>
    <n v="80"/>
    <n v="42"/>
    <n v="38"/>
  </r>
  <r>
    <x v="11"/>
    <x v="179"/>
    <s v="ME"/>
    <x v="14"/>
    <x v="165"/>
    <n v="19"/>
    <n v="10"/>
    <n v="9"/>
  </r>
  <r>
    <x v="11"/>
    <x v="180"/>
    <s v="ME"/>
    <x v="14"/>
    <x v="166"/>
    <n v="61"/>
    <n v="37"/>
    <n v="24"/>
  </r>
  <r>
    <x v="11"/>
    <x v="181"/>
    <s v="ME"/>
    <x v="14"/>
    <x v="167"/>
    <n v="254"/>
    <n v="150"/>
    <n v="104"/>
  </r>
  <r>
    <x v="11"/>
    <x v="182"/>
    <s v="ME"/>
    <x v="14"/>
    <x v="168"/>
    <n v="42"/>
    <n v="28"/>
    <n v="14"/>
  </r>
  <r>
    <x v="11"/>
    <x v="183"/>
    <s v="ME"/>
    <x v="14"/>
    <x v="169"/>
    <n v="122"/>
    <n v="77"/>
    <n v="45"/>
  </r>
  <r>
    <x v="11"/>
    <x v="184"/>
    <s v="ME"/>
    <x v="14"/>
    <x v="170"/>
    <n v="37"/>
    <n v="19"/>
    <n v="18"/>
  </r>
  <r>
    <x v="11"/>
    <x v="185"/>
    <s v="ME"/>
    <x v="14"/>
    <x v="171"/>
    <n v="57"/>
    <n v="32"/>
    <n v="25"/>
  </r>
  <r>
    <x v="11"/>
    <x v="186"/>
    <s v="ME"/>
    <x v="14"/>
    <x v="172"/>
    <n v="24"/>
    <n v="11"/>
    <n v="13"/>
  </r>
  <r>
    <x v="11"/>
    <x v="187"/>
    <s v="ME"/>
    <x v="14"/>
    <x v="66"/>
    <n v="1980"/>
    <n v="1130"/>
    <n v="850"/>
  </r>
  <r>
    <x v="11"/>
    <x v="188"/>
    <s v="ME"/>
    <x v="14"/>
    <x v="104"/>
    <n v="84"/>
    <n v="49"/>
    <n v="35"/>
  </r>
  <r>
    <x v="11"/>
    <x v="189"/>
    <s v="ME"/>
    <x v="14"/>
    <x v="173"/>
    <n v="102"/>
    <n v="71"/>
    <n v="31"/>
  </r>
  <r>
    <x v="11"/>
    <x v="190"/>
    <s v="ME"/>
    <x v="14"/>
    <x v="174"/>
    <n v="5"/>
    <n v="2"/>
    <n v="3"/>
  </r>
  <r>
    <x v="11"/>
    <x v="191"/>
    <s v="ME"/>
    <x v="14"/>
    <x v="175"/>
    <n v="28"/>
    <n v="17"/>
    <n v="11"/>
  </r>
  <r>
    <x v="11"/>
    <x v="192"/>
    <s v="ME"/>
    <x v="14"/>
    <x v="176"/>
    <n v="72"/>
    <n v="45"/>
    <n v="27"/>
  </r>
  <r>
    <x v="11"/>
    <x v="193"/>
    <s v="ME"/>
    <x v="14"/>
    <x v="177"/>
    <n v="57"/>
    <n v="33"/>
    <n v="24"/>
  </r>
  <r>
    <x v="11"/>
    <x v="194"/>
    <s v="ME"/>
    <x v="14"/>
    <x v="178"/>
    <n v="43"/>
    <n v="22"/>
    <n v="21"/>
  </r>
  <r>
    <x v="11"/>
    <x v="195"/>
    <s v="ME"/>
    <x v="14"/>
    <x v="73"/>
    <n v="159"/>
    <n v="107"/>
    <n v="52"/>
  </r>
  <r>
    <x v="11"/>
    <x v="196"/>
    <s v="ME"/>
    <x v="14"/>
    <x v="74"/>
    <n v="150"/>
    <n v="85"/>
    <n v="65"/>
  </r>
  <r>
    <x v="11"/>
    <x v="197"/>
    <s v="ME"/>
    <x v="14"/>
    <x v="179"/>
    <n v="99"/>
    <n v="67"/>
    <n v="32"/>
  </r>
  <r>
    <x v="11"/>
    <x v="198"/>
    <s v="ME"/>
    <x v="14"/>
    <x v="180"/>
    <n v="49"/>
    <n v="33"/>
    <n v="16"/>
  </r>
  <r>
    <x v="11"/>
    <x v="199"/>
    <s v="MI"/>
    <x v="15"/>
    <x v="181"/>
    <n v="319"/>
    <n v="214"/>
    <n v="105"/>
  </r>
  <r>
    <x v="11"/>
    <x v="200"/>
    <s v="MI"/>
    <x v="15"/>
    <x v="163"/>
    <n v="44"/>
    <n v="32"/>
    <n v="12"/>
  </r>
  <r>
    <x v="11"/>
    <x v="201"/>
    <s v="MI"/>
    <x v="15"/>
    <x v="182"/>
    <n v="1332"/>
    <n v="692"/>
    <n v="640"/>
  </r>
  <r>
    <x v="11"/>
    <x v="202"/>
    <s v="MI"/>
    <x v="15"/>
    <x v="183"/>
    <n v="238"/>
    <n v="159"/>
    <n v="79"/>
  </r>
  <r>
    <x v="11"/>
    <x v="203"/>
    <s v="MI"/>
    <x v="15"/>
    <x v="184"/>
    <n v="59"/>
    <n v="31"/>
    <n v="28"/>
  </r>
  <r>
    <x v="11"/>
    <x v="204"/>
    <s v="MI"/>
    <x v="15"/>
    <x v="185"/>
    <n v="77"/>
    <n v="48"/>
    <n v="29"/>
  </r>
  <r>
    <x v="11"/>
    <x v="205"/>
    <s v="MI"/>
    <x v="15"/>
    <x v="186"/>
    <n v="693"/>
    <n v="343"/>
    <n v="350"/>
  </r>
  <r>
    <x v="11"/>
    <x v="206"/>
    <s v="MI"/>
    <x v="15"/>
    <x v="187"/>
    <n v="339"/>
    <n v="236"/>
    <n v="103"/>
  </r>
  <r>
    <x v="11"/>
    <x v="207"/>
    <s v="MI"/>
    <x v="15"/>
    <x v="188"/>
    <n v="138"/>
    <n v="87"/>
    <n v="51"/>
  </r>
  <r>
    <x v="11"/>
    <x v="208"/>
    <s v="MI"/>
    <x v="15"/>
    <x v="189"/>
    <n v="1198"/>
    <n v="719"/>
    <n v="479"/>
  </r>
  <r>
    <x v="11"/>
    <x v="209"/>
    <s v="MI"/>
    <x v="15"/>
    <x v="38"/>
    <n v="487"/>
    <n v="337"/>
    <n v="150"/>
  </r>
  <r>
    <x v="11"/>
    <x v="210"/>
    <s v="MI"/>
    <x v="15"/>
    <x v="190"/>
    <n v="725"/>
    <n v="468"/>
    <n v="257"/>
  </r>
  <r>
    <x v="11"/>
    <x v="211"/>
    <s v="MI"/>
    <x v="15"/>
    <x v="191"/>
    <n v="198"/>
    <n v="110"/>
    <n v="88"/>
  </r>
  <r>
    <x v="11"/>
    <x v="212"/>
    <s v="MI"/>
    <x v="15"/>
    <x v="55"/>
    <n v="165"/>
    <n v="110"/>
    <n v="55"/>
  </r>
  <r>
    <x v="11"/>
    <x v="213"/>
    <s v="MI"/>
    <x v="15"/>
    <x v="192"/>
    <n v="205"/>
    <n v="144"/>
    <n v="61"/>
  </r>
  <r>
    <x v="11"/>
    <x v="214"/>
    <s v="MI"/>
    <x v="15"/>
    <x v="193"/>
    <n v="58"/>
    <n v="35"/>
    <n v="23"/>
  </r>
  <r>
    <x v="11"/>
    <x v="215"/>
    <s v="MI"/>
    <x v="15"/>
    <x v="194"/>
    <n v="602"/>
    <n v="373"/>
    <n v="229"/>
  </r>
  <r>
    <x v="11"/>
    <x v="216"/>
    <s v="MI"/>
    <x v="15"/>
    <x v="49"/>
    <n v="123"/>
    <n v="95"/>
    <n v="28"/>
  </r>
  <r>
    <x v="11"/>
    <x v="217"/>
    <s v="MI"/>
    <x v="15"/>
    <x v="73"/>
    <n v="3231"/>
    <n v="2000"/>
    <n v="1231"/>
  </r>
  <r>
    <x v="11"/>
    <x v="218"/>
    <s v="MI"/>
    <x v="15"/>
    <x v="75"/>
    <n v="308"/>
    <n v="198"/>
    <n v="110"/>
  </r>
  <r>
    <x v="11"/>
    <x v="219"/>
    <s v="MI"/>
    <x v="15"/>
    <x v="76"/>
    <n v="616"/>
    <n v="374"/>
    <n v="242"/>
  </r>
  <r>
    <x v="11"/>
    <x v="220"/>
    <s v="MO"/>
    <x v="16"/>
    <x v="122"/>
    <n v="50"/>
    <n v="33"/>
    <n v="17"/>
  </r>
  <r>
    <x v="11"/>
    <x v="221"/>
    <s v="MO"/>
    <x v="16"/>
    <x v="195"/>
    <n v="15"/>
    <n v="13"/>
    <n v="2"/>
  </r>
  <r>
    <x v="11"/>
    <x v="222"/>
    <s v="MO"/>
    <x v="16"/>
    <x v="59"/>
    <n v="124"/>
    <n v="72"/>
    <n v="52"/>
  </r>
  <r>
    <x v="11"/>
    <x v="223"/>
    <s v="MO"/>
    <x v="16"/>
    <x v="196"/>
    <n v="92"/>
    <n v="56"/>
    <n v="36"/>
  </r>
  <r>
    <x v="11"/>
    <x v="224"/>
    <s v="MO"/>
    <x v="16"/>
    <x v="89"/>
    <n v="47"/>
    <n v="27"/>
    <n v="20"/>
  </r>
  <r>
    <x v="11"/>
    <x v="225"/>
    <s v="MO"/>
    <x v="16"/>
    <x v="83"/>
    <n v="137"/>
    <n v="78"/>
    <n v="59"/>
  </r>
  <r>
    <x v="11"/>
    <x v="226"/>
    <s v="MO"/>
    <x v="16"/>
    <x v="66"/>
    <n v="78"/>
    <n v="41"/>
    <n v="37"/>
  </r>
  <r>
    <x v="11"/>
    <x v="227"/>
    <s v="MO"/>
    <x v="16"/>
    <x v="197"/>
    <n v="2407"/>
    <n v="1531"/>
    <n v="876"/>
  </r>
  <r>
    <x v="11"/>
    <x v="228"/>
    <s v="MO"/>
    <x v="16"/>
    <x v="94"/>
    <n v="71"/>
    <n v="50"/>
    <n v="21"/>
  </r>
  <r>
    <x v="11"/>
    <x v="229"/>
    <s v="MO"/>
    <x v="16"/>
    <x v="198"/>
    <n v="64"/>
    <n v="36"/>
    <n v="28"/>
  </r>
  <r>
    <x v="11"/>
    <x v="230"/>
    <s v="MO"/>
    <x v="16"/>
    <x v="199"/>
    <n v="27"/>
    <n v="18"/>
    <n v="9"/>
  </r>
  <r>
    <x v="11"/>
    <x v="231"/>
    <s v="MO"/>
    <x v="16"/>
    <x v="200"/>
    <n v="64"/>
    <n v="38"/>
    <n v="26"/>
  </r>
  <r>
    <x v="11"/>
    <x v="232"/>
    <s v="MO"/>
    <x v="16"/>
    <x v="201"/>
    <n v="18"/>
    <n v="8"/>
    <n v="10"/>
  </r>
  <r>
    <x v="11"/>
    <x v="233"/>
    <s v="NU"/>
    <x v="17"/>
    <x v="202"/>
    <n v="43"/>
    <n v="29"/>
    <n v="14"/>
  </r>
  <r>
    <x v="11"/>
    <x v="234"/>
    <s v="NU"/>
    <x v="17"/>
    <x v="80"/>
    <n v="102"/>
    <n v="61"/>
    <n v="41"/>
  </r>
  <r>
    <x v="11"/>
    <x v="235"/>
    <s v="NU"/>
    <x v="17"/>
    <x v="203"/>
    <n v="108"/>
    <n v="74"/>
    <n v="34"/>
  </r>
  <r>
    <x v="11"/>
    <x v="236"/>
    <s v="NU"/>
    <x v="17"/>
    <x v="204"/>
    <n v="142"/>
    <n v="86"/>
    <n v="56"/>
  </r>
  <r>
    <x v="11"/>
    <x v="237"/>
    <s v="NU"/>
    <x v="17"/>
    <x v="205"/>
    <n v="100"/>
    <n v="49"/>
    <n v="51"/>
  </r>
  <r>
    <x v="11"/>
    <x v="238"/>
    <s v="NU"/>
    <x v="17"/>
    <x v="206"/>
    <n v="105"/>
    <n v="57"/>
    <n v="48"/>
  </r>
  <r>
    <x v="11"/>
    <x v="239"/>
    <s v="NU"/>
    <x v="17"/>
    <x v="207"/>
    <n v="128"/>
    <n v="74"/>
    <n v="54"/>
  </r>
  <r>
    <x v="11"/>
    <x v="240"/>
    <s v="NU"/>
    <x v="17"/>
    <x v="208"/>
    <n v="984"/>
    <n v="598"/>
    <n v="386"/>
  </r>
  <r>
    <x v="11"/>
    <x v="241"/>
    <s v="NU"/>
    <x v="17"/>
    <x v="209"/>
    <n v="43"/>
    <n v="26"/>
    <n v="17"/>
  </r>
  <r>
    <x v="11"/>
    <x v="242"/>
    <s v="NU"/>
    <x v="17"/>
    <x v="210"/>
    <n v="80"/>
    <n v="40"/>
    <n v="40"/>
  </r>
  <r>
    <x v="11"/>
    <x v="243"/>
    <s v="NU"/>
    <x v="17"/>
    <x v="211"/>
    <n v="18"/>
    <n v="13"/>
    <n v="5"/>
  </r>
  <r>
    <x v="11"/>
    <x v="244"/>
    <s v="PO"/>
    <x v="18"/>
    <x v="212"/>
    <n v="38"/>
    <n v="30"/>
    <n v="8"/>
  </r>
  <r>
    <x v="11"/>
    <x v="245"/>
    <s v="PO"/>
    <x v="18"/>
    <x v="213"/>
    <n v="1172"/>
    <n v="736"/>
    <n v="436"/>
  </r>
  <r>
    <x v="11"/>
    <x v="246"/>
    <s v="PO"/>
    <x v="18"/>
    <x v="214"/>
    <n v="108"/>
    <n v="55"/>
    <n v="53"/>
  </r>
  <r>
    <x v="11"/>
    <x v="247"/>
    <s v="PO"/>
    <x v="18"/>
    <x v="215"/>
    <n v="931"/>
    <n v="581"/>
    <n v="350"/>
  </r>
  <r>
    <x v="11"/>
    <x v="248"/>
    <s v="PO"/>
    <x v="18"/>
    <x v="216"/>
    <n v="99"/>
    <n v="57"/>
    <n v="42"/>
  </r>
  <r>
    <x v="11"/>
    <x v="249"/>
    <s v="PO"/>
    <x v="18"/>
    <x v="217"/>
    <n v="93"/>
    <n v="59"/>
    <n v="34"/>
  </r>
  <r>
    <x v="11"/>
    <x v="250"/>
    <s v="PO"/>
    <x v="18"/>
    <x v="218"/>
    <n v="135"/>
    <n v="86"/>
    <n v="49"/>
  </r>
  <r>
    <x v="11"/>
    <x v="251"/>
    <s v="PO"/>
    <x v="18"/>
    <x v="55"/>
    <n v="456"/>
    <n v="281"/>
    <n v="175"/>
  </r>
  <r>
    <x v="11"/>
    <x v="252"/>
    <s v="PO"/>
    <x v="18"/>
    <x v="219"/>
    <n v="27"/>
    <n v="17"/>
    <n v="10"/>
  </r>
  <r>
    <x v="11"/>
    <x v="253"/>
    <s v="PO"/>
    <x v="18"/>
    <x v="220"/>
    <n v="55"/>
    <n v="38"/>
    <n v="17"/>
  </r>
  <r>
    <x v="11"/>
    <x v="254"/>
    <s v="PO"/>
    <x v="18"/>
    <x v="221"/>
    <n v="47"/>
    <n v="33"/>
    <n v="14"/>
  </r>
  <r>
    <x v="11"/>
    <x v="255"/>
    <s v="PO"/>
    <x v="18"/>
    <x v="222"/>
    <n v="47"/>
    <n v="32"/>
    <n v="15"/>
  </r>
  <r>
    <x v="11"/>
    <x v="256"/>
    <s v="PO"/>
    <x v="18"/>
    <x v="73"/>
    <n v="153"/>
    <n v="101"/>
    <n v="52"/>
  </r>
  <r>
    <x v="11"/>
    <x v="257"/>
    <s v="PO"/>
    <x v="18"/>
    <x v="223"/>
    <n v="225"/>
    <n v="132"/>
    <n v="93"/>
  </r>
  <r>
    <x v="11"/>
    <x v="258"/>
    <s v="SU"/>
    <x v="19"/>
    <x v="154"/>
    <n v="85"/>
    <n v="55"/>
    <n v="30"/>
  </r>
  <r>
    <x v="11"/>
    <x v="259"/>
    <s v="SU"/>
    <x v="19"/>
    <x v="224"/>
    <n v="36"/>
    <n v="22"/>
    <n v="14"/>
  </r>
  <r>
    <x v="11"/>
    <x v="260"/>
    <s v="SU"/>
    <x v="19"/>
    <x v="80"/>
    <n v="177"/>
    <n v="91"/>
    <n v="86"/>
  </r>
  <r>
    <x v="11"/>
    <x v="261"/>
    <s v="SU"/>
    <x v="19"/>
    <x v="225"/>
    <n v="46"/>
    <n v="30"/>
    <n v="16"/>
  </r>
  <r>
    <x v="11"/>
    <x v="262"/>
    <s v="SU"/>
    <x v="19"/>
    <x v="226"/>
    <n v="883"/>
    <n v="500"/>
    <n v="383"/>
  </r>
  <r>
    <x v="11"/>
    <x v="263"/>
    <s v="SU"/>
    <x v="19"/>
    <x v="59"/>
    <n v="42"/>
    <n v="21"/>
    <n v="21"/>
  </r>
  <r>
    <x v="11"/>
    <x v="264"/>
    <s v="SU"/>
    <x v="19"/>
    <x v="227"/>
    <n v="60"/>
    <n v="33"/>
    <n v="27"/>
  </r>
  <r>
    <x v="11"/>
    <x v="265"/>
    <s v="SU"/>
    <x v="19"/>
    <x v="228"/>
    <n v="77"/>
    <n v="47"/>
    <n v="30"/>
  </r>
  <r>
    <x v="11"/>
    <x v="266"/>
    <s v="SU"/>
    <x v="19"/>
    <x v="66"/>
    <n v="29"/>
    <n v="16"/>
    <n v="13"/>
  </r>
  <r>
    <x v="11"/>
    <x v="267"/>
    <s v="SU"/>
    <x v="19"/>
    <x v="208"/>
    <n v="67"/>
    <n v="49"/>
    <n v="18"/>
  </r>
  <r>
    <x v="11"/>
    <x v="268"/>
    <s v="SU"/>
    <x v="19"/>
    <x v="229"/>
    <n v="27"/>
    <n v="19"/>
    <n v="8"/>
  </r>
  <r>
    <x v="11"/>
    <x v="269"/>
    <s v="SU"/>
    <x v="19"/>
    <x v="230"/>
    <n v="189"/>
    <n v="118"/>
    <n v="71"/>
  </r>
  <r>
    <x v="11"/>
    <x v="270"/>
    <s v="SU"/>
    <x v="19"/>
    <x v="231"/>
    <n v="202"/>
    <n v="120"/>
    <n v="82"/>
  </r>
  <r>
    <x v="11"/>
    <x v="271"/>
    <s v="SU"/>
    <x v="19"/>
    <x v="73"/>
    <n v="1730"/>
    <n v="1070"/>
    <n v="660"/>
  </r>
  <r>
    <x v="11"/>
    <x v="272"/>
    <s v="SU"/>
    <x v="19"/>
    <x v="232"/>
    <n v="106"/>
    <n v="64"/>
    <n v="42"/>
  </r>
  <r>
    <x v="11"/>
    <x v="273"/>
    <s v="TA"/>
    <x v="20"/>
    <x v="163"/>
    <n v="54"/>
    <n v="33"/>
    <n v="21"/>
  </r>
  <r>
    <x v="11"/>
    <x v="274"/>
    <s v="TA"/>
    <x v="20"/>
    <x v="233"/>
    <n v="22"/>
    <n v="13"/>
    <n v="9"/>
  </r>
  <r>
    <x v="11"/>
    <x v="275"/>
    <s v="TA"/>
    <x v="20"/>
    <x v="234"/>
    <n v="235"/>
    <n v="143"/>
    <n v="92"/>
  </r>
  <r>
    <x v="11"/>
    <x v="276"/>
    <s v="TA"/>
    <x v="20"/>
    <x v="59"/>
    <n v="228"/>
    <n v="144"/>
    <n v="84"/>
  </r>
  <r>
    <x v="11"/>
    <x v="277"/>
    <s v="TA"/>
    <x v="20"/>
    <x v="235"/>
    <n v="240"/>
    <n v="146"/>
    <n v="94"/>
  </r>
  <r>
    <x v="11"/>
    <x v="278"/>
    <s v="TA"/>
    <x v="20"/>
    <x v="236"/>
    <n v="72"/>
    <n v="52"/>
    <n v="20"/>
  </r>
  <r>
    <x v="11"/>
    <x v="279"/>
    <s v="TA"/>
    <x v="20"/>
    <x v="237"/>
    <n v="171"/>
    <n v="113"/>
    <n v="58"/>
  </r>
  <r>
    <x v="11"/>
    <x v="280"/>
    <s v="TA"/>
    <x v="20"/>
    <x v="35"/>
    <n v="19"/>
    <n v="14"/>
    <n v="5"/>
  </r>
  <r>
    <x v="11"/>
    <x v="281"/>
    <s v="TA"/>
    <x v="20"/>
    <x v="238"/>
    <n v="181"/>
    <n v="127"/>
    <n v="54"/>
  </r>
  <r>
    <x v="11"/>
    <x v="282"/>
    <s v="TA"/>
    <x v="20"/>
    <x v="239"/>
    <n v="68"/>
    <n v="41"/>
    <n v="27"/>
  </r>
  <r>
    <x v="11"/>
    <x v="283"/>
    <s v="TA"/>
    <x v="20"/>
    <x v="38"/>
    <n v="87"/>
    <n v="46"/>
    <n v="41"/>
  </r>
  <r>
    <x v="11"/>
    <x v="284"/>
    <s v="TA"/>
    <x v="20"/>
    <x v="240"/>
    <n v="189"/>
    <n v="116"/>
    <n v="73"/>
  </r>
  <r>
    <x v="11"/>
    <x v="285"/>
    <s v="TA"/>
    <x v="20"/>
    <x v="241"/>
    <n v="31"/>
    <n v="21"/>
    <n v="10"/>
  </r>
  <r>
    <x v="11"/>
    <x v="286"/>
    <s v="TA"/>
    <x v="20"/>
    <x v="242"/>
    <n v="322"/>
    <n v="183"/>
    <n v="139"/>
  </r>
  <r>
    <x v="11"/>
    <x v="287"/>
    <s v="TA"/>
    <x v="20"/>
    <x v="42"/>
    <n v="43"/>
    <n v="24"/>
    <n v="19"/>
  </r>
  <r>
    <x v="11"/>
    <x v="288"/>
    <s v="TA"/>
    <x v="20"/>
    <x v="66"/>
    <n v="77"/>
    <n v="57"/>
    <n v="20"/>
  </r>
  <r>
    <x v="11"/>
    <x v="289"/>
    <s v="TA"/>
    <x v="20"/>
    <x v="243"/>
    <n v="37"/>
    <n v="25"/>
    <n v="12"/>
  </r>
  <r>
    <x v="11"/>
    <x v="290"/>
    <s v="TA"/>
    <x v="20"/>
    <x v="244"/>
    <n v="72"/>
    <n v="51"/>
    <n v="21"/>
  </r>
  <r>
    <x v="11"/>
    <x v="291"/>
    <s v="TA"/>
    <x v="20"/>
    <x v="245"/>
    <n v="124"/>
    <n v="81"/>
    <n v="43"/>
  </r>
  <r>
    <x v="11"/>
    <x v="292"/>
    <s v="TA"/>
    <x v="20"/>
    <x v="246"/>
    <n v="105"/>
    <n v="68"/>
    <n v="37"/>
  </r>
  <r>
    <x v="11"/>
    <x v="293"/>
    <s v="TA"/>
    <x v="20"/>
    <x v="247"/>
    <n v="25"/>
    <n v="16"/>
    <n v="9"/>
  </r>
  <r>
    <x v="11"/>
    <x v="294"/>
    <s v="TA"/>
    <x v="20"/>
    <x v="248"/>
    <n v="35"/>
    <n v="23"/>
    <n v="12"/>
  </r>
  <r>
    <x v="11"/>
    <x v="295"/>
    <s v="TA"/>
    <x v="20"/>
    <x v="249"/>
    <n v="2905"/>
    <n v="1672"/>
    <n v="1233"/>
  </r>
  <r>
    <x v="11"/>
    <x v="296"/>
    <s v="TA"/>
    <x v="20"/>
    <x v="250"/>
    <n v="20"/>
    <n v="11"/>
    <n v="9"/>
  </r>
  <r>
    <x v="11"/>
    <x v="297"/>
    <s v="TA"/>
    <x v="20"/>
    <x v="251"/>
    <n v="24"/>
    <n v="17"/>
    <n v="7"/>
  </r>
  <r>
    <x v="11"/>
    <x v="298"/>
    <s v="TA"/>
    <x v="20"/>
    <x v="50"/>
    <n v="7"/>
    <n v="3"/>
    <n v="4"/>
  </r>
  <r>
    <x v="11"/>
    <x v="299"/>
    <s v="TA"/>
    <x v="20"/>
    <x v="73"/>
    <n v="34"/>
    <n v="28"/>
    <n v="6"/>
  </r>
  <r>
    <x v="11"/>
    <x v="300"/>
    <s v="TA"/>
    <x v="20"/>
    <x v="252"/>
    <n v="84"/>
    <n v="59"/>
    <n v="25"/>
  </r>
  <r>
    <x v="11"/>
    <x v="301"/>
    <s v="TA"/>
    <x v="20"/>
    <x v="253"/>
    <n v="87"/>
    <n v="47"/>
    <n v="40"/>
  </r>
  <r>
    <x v="11"/>
    <x v="302"/>
    <s v="TR"/>
    <x v="21"/>
    <x v="163"/>
    <n v="26"/>
    <n v="19"/>
    <n v="7"/>
  </r>
  <r>
    <x v="11"/>
    <x v="303"/>
    <s v="TR"/>
    <x v="21"/>
    <x v="254"/>
    <n v="500"/>
    <n v="278"/>
    <n v="222"/>
  </r>
  <r>
    <x v="11"/>
    <x v="304"/>
    <s v="TR"/>
    <x v="21"/>
    <x v="59"/>
    <n v="30"/>
    <n v="23"/>
    <n v="7"/>
  </r>
  <r>
    <x v="11"/>
    <x v="305"/>
    <s v="TR"/>
    <x v="21"/>
    <x v="255"/>
    <n v="56"/>
    <n v="33"/>
    <n v="23"/>
  </r>
  <r>
    <x v="11"/>
    <x v="306"/>
    <s v="TR"/>
    <x v="21"/>
    <x v="256"/>
    <n v="137"/>
    <n v="66"/>
    <n v="71"/>
  </r>
  <r>
    <x v="11"/>
    <x v="307"/>
    <s v="TR"/>
    <x v="21"/>
    <x v="257"/>
    <n v="43"/>
    <n v="23"/>
    <n v="20"/>
  </r>
  <r>
    <x v="11"/>
    <x v="308"/>
    <s v="TR"/>
    <x v="21"/>
    <x v="258"/>
    <n v="4"/>
    <n v="2"/>
    <n v="2"/>
  </r>
  <r>
    <x v="11"/>
    <x v="309"/>
    <s v="TR"/>
    <x v="21"/>
    <x v="259"/>
    <n v="24"/>
    <n v="11"/>
    <n v="13"/>
  </r>
  <r>
    <x v="11"/>
    <x v="310"/>
    <s v="TR"/>
    <x v="21"/>
    <x v="260"/>
    <n v="45"/>
    <n v="30"/>
    <n v="15"/>
  </r>
  <r>
    <x v="11"/>
    <x v="311"/>
    <s v="TR"/>
    <x v="21"/>
    <x v="104"/>
    <n v="42"/>
    <n v="24"/>
    <n v="18"/>
  </r>
  <r>
    <x v="11"/>
    <x v="312"/>
    <s v="TR"/>
    <x v="21"/>
    <x v="261"/>
    <n v="50"/>
    <n v="30"/>
    <n v="20"/>
  </r>
  <r>
    <x v="11"/>
    <x v="313"/>
    <s v="TR"/>
    <x v="21"/>
    <x v="262"/>
    <n v="31"/>
    <n v="20"/>
    <n v="11"/>
  </r>
  <r>
    <x v="11"/>
    <x v="314"/>
    <s v="TR"/>
    <x v="21"/>
    <x v="263"/>
    <n v="143"/>
    <n v="83"/>
    <n v="60"/>
  </r>
  <r>
    <x v="11"/>
    <x v="315"/>
    <s v="TR"/>
    <x v="21"/>
    <x v="264"/>
    <n v="42"/>
    <n v="25"/>
    <n v="17"/>
  </r>
  <r>
    <x v="11"/>
    <x v="316"/>
    <s v="TR"/>
    <x v="21"/>
    <x v="265"/>
    <n v="54"/>
    <n v="30"/>
    <n v="24"/>
  </r>
  <r>
    <x v="11"/>
    <x v="317"/>
    <s v="TR"/>
    <x v="21"/>
    <x v="266"/>
    <n v="114"/>
    <n v="67"/>
    <n v="47"/>
  </r>
  <r>
    <x v="11"/>
    <x v="318"/>
    <s v="TR"/>
    <x v="21"/>
    <x v="73"/>
    <n v="99"/>
    <n v="65"/>
    <n v="34"/>
  </r>
  <r>
    <x v="11"/>
    <x v="319"/>
    <s v="TR"/>
    <x v="21"/>
    <x v="267"/>
    <n v="477"/>
    <n v="270"/>
    <n v="207"/>
  </r>
  <r>
    <x v="11"/>
    <x v="320"/>
    <s v="TR"/>
    <x v="21"/>
    <x v="75"/>
    <n v="124"/>
    <n v="73"/>
    <n v="51"/>
  </r>
  <r>
    <x v="11"/>
    <x v="321"/>
    <s v="TR"/>
    <x v="21"/>
    <x v="268"/>
    <n v="1471"/>
    <n v="865"/>
    <n v="606"/>
  </r>
  <r>
    <x v="11"/>
    <x v="322"/>
    <s v="VA"/>
    <x v="0"/>
    <x v="269"/>
    <n v="109"/>
    <n v="75"/>
    <n v="34"/>
  </r>
  <r>
    <x v="11"/>
    <x v="323"/>
    <s v="VA"/>
    <x v="0"/>
    <x v="270"/>
    <n v="89"/>
    <n v="68"/>
    <n v="21"/>
  </r>
  <r>
    <x v="11"/>
    <x v="324"/>
    <s v="VA"/>
    <x v="0"/>
    <x v="271"/>
    <n v="95"/>
    <n v="60"/>
    <n v="35"/>
  </r>
  <r>
    <x v="11"/>
    <x v="325"/>
    <s v="VA"/>
    <x v="0"/>
    <x v="272"/>
    <n v="15"/>
    <n v="12"/>
    <n v="3"/>
  </r>
  <r>
    <x v="11"/>
    <x v="326"/>
    <s v="VA"/>
    <x v="0"/>
    <x v="273"/>
    <n v="275"/>
    <n v="195"/>
    <n v="80"/>
  </r>
  <r>
    <x v="11"/>
    <x v="327"/>
    <s v="VA"/>
    <x v="0"/>
    <x v="274"/>
    <n v="3"/>
    <n v="2"/>
    <n v="1"/>
  </r>
  <r>
    <x v="11"/>
    <x v="328"/>
    <s v="VA"/>
    <x v="0"/>
    <x v="275"/>
    <n v="297"/>
    <n v="191"/>
    <n v="106"/>
  </r>
  <r>
    <x v="11"/>
    <x v="329"/>
    <s v="VA"/>
    <x v="0"/>
    <x v="276"/>
    <n v="69"/>
    <n v="41"/>
    <n v="28"/>
  </r>
  <r>
    <x v="11"/>
    <x v="330"/>
    <s v="VA"/>
    <x v="0"/>
    <x v="277"/>
    <n v="594"/>
    <n v="397"/>
    <n v="197"/>
  </r>
  <r>
    <x v="11"/>
    <x v="331"/>
    <s v="VA"/>
    <x v="0"/>
    <x v="278"/>
    <n v="46"/>
    <n v="36"/>
    <n v="10"/>
  </r>
  <r>
    <x v="11"/>
    <x v="332"/>
    <s v="VA"/>
    <x v="0"/>
    <x v="279"/>
    <n v="89"/>
    <n v="62"/>
    <n v="27"/>
  </r>
  <r>
    <x v="11"/>
    <x v="333"/>
    <s v="YA"/>
    <x v="22"/>
    <x v="280"/>
    <n v="46"/>
    <n v="25"/>
    <n v="21"/>
  </r>
  <r>
    <x v="11"/>
    <x v="334"/>
    <s v="YA"/>
    <x v="22"/>
    <x v="59"/>
    <n v="94"/>
    <n v="64"/>
    <n v="30"/>
  </r>
  <r>
    <x v="11"/>
    <x v="335"/>
    <s v="YA"/>
    <x v="22"/>
    <x v="281"/>
    <n v="199"/>
    <n v="118"/>
    <n v="81"/>
  </r>
  <r>
    <x v="11"/>
    <x v="336"/>
    <s v="YA"/>
    <x v="22"/>
    <x v="282"/>
    <n v="82"/>
    <n v="60"/>
    <n v="22"/>
  </r>
  <r>
    <x v="11"/>
    <x v="337"/>
    <s v="YA"/>
    <x v="22"/>
    <x v="38"/>
    <n v="94"/>
    <n v="51"/>
    <n v="43"/>
  </r>
  <r>
    <x v="11"/>
    <x v="338"/>
    <s v="YA"/>
    <x v="22"/>
    <x v="283"/>
    <n v="36"/>
    <n v="19"/>
    <n v="17"/>
  </r>
  <r>
    <x v="11"/>
    <x v="339"/>
    <s v="YA"/>
    <x v="22"/>
    <x v="284"/>
    <n v="24"/>
    <n v="14"/>
    <n v="10"/>
  </r>
  <r>
    <x v="11"/>
    <x v="340"/>
    <s v="YA"/>
    <x v="22"/>
    <x v="285"/>
    <n v="18"/>
    <n v="13"/>
    <n v="5"/>
  </r>
  <r>
    <x v="11"/>
    <x v="341"/>
    <s v="YA"/>
    <x v="22"/>
    <x v="286"/>
    <n v="217"/>
    <n v="133"/>
    <n v="84"/>
  </r>
  <r>
    <x v="11"/>
    <x v="342"/>
    <s v="YA"/>
    <x v="22"/>
    <x v="287"/>
    <n v="358"/>
    <n v="215"/>
    <n v="143"/>
  </r>
  <r>
    <x v="11"/>
    <x v="343"/>
    <s v="YA"/>
    <x v="22"/>
    <x v="288"/>
    <n v="1126"/>
    <n v="662"/>
    <n v="464"/>
  </r>
  <r>
    <x v="11"/>
    <x v="344"/>
    <s v="YA"/>
    <x v="22"/>
    <x v="73"/>
    <n v="44"/>
    <n v="30"/>
    <n v="14"/>
  </r>
  <r>
    <x v="11"/>
    <x v="345"/>
    <s v="YA"/>
    <x v="22"/>
    <x v="289"/>
    <n v="68"/>
    <n v="51"/>
    <n v="17"/>
  </r>
  <r>
    <x v="11"/>
    <x v="346"/>
    <s v="YA"/>
    <x v="22"/>
    <x v="290"/>
    <n v="45"/>
    <n v="29"/>
    <n v="16"/>
  </r>
  <r>
    <x v="11"/>
    <x v="347"/>
    <s v="ZU"/>
    <x v="23"/>
    <x v="291"/>
    <n v="19"/>
    <n v="12"/>
    <n v="7"/>
  </r>
  <r>
    <x v="11"/>
    <x v="348"/>
    <s v="ZU"/>
    <x v="23"/>
    <x v="292"/>
    <n v="270"/>
    <n v="181"/>
    <n v="89"/>
  </r>
  <r>
    <x v="11"/>
    <x v="349"/>
    <s v="ZU"/>
    <x v="23"/>
    <x v="293"/>
    <n v="1096"/>
    <n v="615"/>
    <n v="481"/>
  </r>
  <r>
    <x v="11"/>
    <x v="350"/>
    <s v="ZU"/>
    <x v="23"/>
    <x v="294"/>
    <n v="111"/>
    <n v="82"/>
    <n v="29"/>
  </r>
  <r>
    <x v="11"/>
    <x v="351"/>
    <s v="ZU"/>
    <x v="23"/>
    <x v="295"/>
    <n v="492"/>
    <n v="328"/>
    <n v="164"/>
  </r>
  <r>
    <x v="11"/>
    <x v="352"/>
    <s v="ZU"/>
    <x v="23"/>
    <x v="296"/>
    <n v="72"/>
    <n v="51"/>
    <n v="21"/>
  </r>
  <r>
    <x v="11"/>
    <x v="353"/>
    <s v="ZU"/>
    <x v="23"/>
    <x v="297"/>
    <n v="379"/>
    <n v="247"/>
    <n v="132"/>
  </r>
  <r>
    <x v="11"/>
    <x v="354"/>
    <s v="ZU"/>
    <x v="23"/>
    <x v="298"/>
    <n v="83"/>
    <n v="55"/>
    <n v="28"/>
  </r>
  <r>
    <x v="11"/>
    <x v="355"/>
    <s v="ZU"/>
    <x v="23"/>
    <x v="299"/>
    <n v="209"/>
    <n v="135"/>
    <n v="74"/>
  </r>
  <r>
    <x v="11"/>
    <x v="356"/>
    <s v="ZU"/>
    <x v="23"/>
    <x v="300"/>
    <n v="965"/>
    <n v="542"/>
    <n v="423"/>
  </r>
  <r>
    <x v="11"/>
    <x v="357"/>
    <s v="ZU"/>
    <x v="23"/>
    <x v="301"/>
    <n v="407"/>
    <n v="256"/>
    <n v="151"/>
  </r>
  <r>
    <x v="11"/>
    <x v="358"/>
    <s v="ZU"/>
    <x v="23"/>
    <x v="302"/>
    <n v="676"/>
    <n v="428"/>
    <n v="248"/>
  </r>
  <r>
    <x v="11"/>
    <x v="359"/>
    <s v="ZU"/>
    <x v="23"/>
    <x v="303"/>
    <n v="8138"/>
    <n v="4681"/>
    <n v="3457"/>
  </r>
  <r>
    <x v="11"/>
    <x v="360"/>
    <s v="ZU"/>
    <x v="23"/>
    <x v="104"/>
    <n v="245"/>
    <n v="140"/>
    <n v="105"/>
  </r>
  <r>
    <x v="11"/>
    <x v="361"/>
    <s v="ZU"/>
    <x v="23"/>
    <x v="55"/>
    <n v="154"/>
    <n v="93"/>
    <n v="61"/>
  </r>
  <r>
    <x v="11"/>
    <x v="362"/>
    <s v="ZU"/>
    <x v="23"/>
    <x v="304"/>
    <n v="277"/>
    <n v="170"/>
    <n v="107"/>
  </r>
  <r>
    <x v="11"/>
    <x v="363"/>
    <s v="ZU"/>
    <x v="23"/>
    <x v="136"/>
    <n v="1168"/>
    <n v="681"/>
    <n v="487"/>
  </r>
  <r>
    <x v="11"/>
    <x v="364"/>
    <s v="ZU"/>
    <x v="23"/>
    <x v="305"/>
    <n v="170"/>
    <n v="127"/>
    <n v="43"/>
  </r>
  <r>
    <x v="11"/>
    <x v="365"/>
    <s v="ZU"/>
    <x v="23"/>
    <x v="49"/>
    <n v="96"/>
    <n v="66"/>
    <n v="30"/>
  </r>
  <r>
    <x v="11"/>
    <x v="366"/>
    <s v="ZU"/>
    <x v="23"/>
    <x v="73"/>
    <n v="216"/>
    <n v="135"/>
    <n v="81"/>
  </r>
  <r>
    <x v="11"/>
    <x v="367"/>
    <s v="ZU"/>
    <x v="23"/>
    <x v="306"/>
    <n v="103"/>
    <n v="57"/>
    <n v="46"/>
  </r>
  <r>
    <x v="11"/>
    <x v="368"/>
    <s v="DE"/>
    <x v="24"/>
    <x v="307"/>
    <n v="0"/>
    <n v="0"/>
    <n v="0"/>
  </r>
  <r>
    <x v="12"/>
    <x v="0"/>
    <s v="VA"/>
    <x v="0"/>
    <x v="0"/>
    <n v="0"/>
    <n v="0"/>
    <n v="0"/>
  </r>
  <r>
    <x v="12"/>
    <x v="1"/>
    <s v="DI"/>
    <x v="1"/>
    <x v="1"/>
    <n v="0"/>
    <n v="0"/>
    <n v="0"/>
  </r>
  <r>
    <x v="12"/>
    <x v="2"/>
    <s v="DI"/>
    <x v="1"/>
    <x v="2"/>
    <n v="69"/>
    <n v="38"/>
    <n v="31"/>
  </r>
  <r>
    <x v="12"/>
    <x v="3"/>
    <s v="DI"/>
    <x v="1"/>
    <x v="3"/>
    <n v="784"/>
    <n v="511"/>
    <n v="273"/>
  </r>
  <r>
    <x v="12"/>
    <x v="4"/>
    <s v="DI"/>
    <x v="1"/>
    <x v="4"/>
    <n v="227"/>
    <n v="130"/>
    <n v="97"/>
  </r>
  <r>
    <x v="12"/>
    <x v="5"/>
    <s v="DI"/>
    <x v="1"/>
    <x v="5"/>
    <n v="361"/>
    <n v="222"/>
    <n v="139"/>
  </r>
  <r>
    <x v="12"/>
    <x v="6"/>
    <s v="DI"/>
    <x v="1"/>
    <x v="6"/>
    <n v="32"/>
    <n v="22"/>
    <n v="10"/>
  </r>
  <r>
    <x v="12"/>
    <x v="7"/>
    <s v="DI"/>
    <x v="1"/>
    <x v="7"/>
    <n v="731"/>
    <n v="527"/>
    <n v="204"/>
  </r>
  <r>
    <x v="12"/>
    <x v="8"/>
    <s v="DI"/>
    <x v="1"/>
    <x v="8"/>
    <n v="92"/>
    <n v="58"/>
    <n v="34"/>
  </r>
  <r>
    <x v="12"/>
    <x v="9"/>
    <s v="DI"/>
    <x v="1"/>
    <x v="9"/>
    <n v="1727"/>
    <n v="1130"/>
    <n v="597"/>
  </r>
  <r>
    <x v="12"/>
    <x v="10"/>
    <s v="DI"/>
    <x v="1"/>
    <x v="10"/>
    <n v="696"/>
    <n v="385"/>
    <n v="311"/>
  </r>
  <r>
    <x v="12"/>
    <x v="11"/>
    <s v="DI"/>
    <x v="1"/>
    <x v="11"/>
    <n v="376"/>
    <n v="235"/>
    <n v="141"/>
  </r>
  <r>
    <x v="12"/>
    <x v="12"/>
    <s v="DI"/>
    <x v="1"/>
    <x v="12"/>
    <n v="497"/>
    <n v="322"/>
    <n v="175"/>
  </r>
  <r>
    <x v="12"/>
    <x v="13"/>
    <s v="DI"/>
    <x v="1"/>
    <x v="13"/>
    <n v="355"/>
    <n v="205"/>
    <n v="150"/>
  </r>
  <r>
    <x v="12"/>
    <x v="14"/>
    <s v="DI"/>
    <x v="1"/>
    <x v="14"/>
    <n v="128"/>
    <n v="104"/>
    <n v="24"/>
  </r>
  <r>
    <x v="12"/>
    <x v="15"/>
    <s v="DI"/>
    <x v="1"/>
    <x v="15"/>
    <n v="120"/>
    <n v="87"/>
    <n v="33"/>
  </r>
  <r>
    <x v="12"/>
    <x v="16"/>
    <s v="DI"/>
    <x v="1"/>
    <x v="16"/>
    <n v="975"/>
    <n v="517"/>
    <n v="458"/>
  </r>
  <r>
    <x v="12"/>
    <x v="17"/>
    <s v="DI"/>
    <x v="1"/>
    <x v="17"/>
    <n v="1553"/>
    <n v="891"/>
    <n v="662"/>
  </r>
  <r>
    <x v="12"/>
    <x v="18"/>
    <s v="DI"/>
    <x v="1"/>
    <x v="18"/>
    <n v="1016"/>
    <n v="594"/>
    <n v="422"/>
  </r>
  <r>
    <x v="12"/>
    <x v="19"/>
    <s v="DI"/>
    <x v="1"/>
    <x v="19"/>
    <n v="2233"/>
    <n v="1310"/>
    <n v="923"/>
  </r>
  <r>
    <x v="12"/>
    <x v="20"/>
    <s v="DI"/>
    <x v="1"/>
    <x v="20"/>
    <n v="402"/>
    <n v="237"/>
    <n v="165"/>
  </r>
  <r>
    <x v="12"/>
    <x v="21"/>
    <s v="DI"/>
    <x v="1"/>
    <x v="21"/>
    <n v="48"/>
    <n v="36"/>
    <n v="12"/>
  </r>
  <r>
    <x v="12"/>
    <x v="22"/>
    <s v="DI"/>
    <x v="1"/>
    <x v="22"/>
    <n v="1977"/>
    <n v="1316"/>
    <n v="661"/>
  </r>
  <r>
    <x v="12"/>
    <x v="23"/>
    <s v="DI"/>
    <x v="1"/>
    <x v="23"/>
    <n v="277"/>
    <n v="178"/>
    <n v="99"/>
  </r>
  <r>
    <x v="12"/>
    <x v="24"/>
    <s v="AM"/>
    <x v="2"/>
    <x v="24"/>
    <n v="30"/>
    <n v="18"/>
    <n v="12"/>
  </r>
  <r>
    <x v="12"/>
    <x v="25"/>
    <s v="AM"/>
    <x v="2"/>
    <x v="25"/>
    <n v="17"/>
    <n v="10"/>
    <n v="7"/>
  </r>
  <r>
    <x v="12"/>
    <x v="26"/>
    <s v="AM"/>
    <x v="2"/>
    <x v="26"/>
    <n v="364"/>
    <n v="205"/>
    <n v="159"/>
  </r>
  <r>
    <x v="12"/>
    <x v="27"/>
    <s v="AM"/>
    <x v="2"/>
    <x v="27"/>
    <n v="7"/>
    <n v="4"/>
    <n v="3"/>
  </r>
  <r>
    <x v="12"/>
    <x v="28"/>
    <s v="AM"/>
    <x v="2"/>
    <x v="28"/>
    <n v="5"/>
    <n v="1"/>
    <n v="4"/>
  </r>
  <r>
    <x v="12"/>
    <x v="29"/>
    <s v="AM"/>
    <x v="2"/>
    <x v="29"/>
    <n v="2"/>
    <n v="2"/>
    <n v="0"/>
  </r>
  <r>
    <x v="12"/>
    <x v="30"/>
    <s v="AM"/>
    <x v="2"/>
    <x v="30"/>
    <n v="13"/>
    <n v="8"/>
    <n v="5"/>
  </r>
  <r>
    <x v="12"/>
    <x v="31"/>
    <s v="AN"/>
    <x v="3"/>
    <x v="31"/>
    <n v="190"/>
    <n v="118"/>
    <n v="72"/>
  </r>
  <r>
    <x v="12"/>
    <x v="32"/>
    <s v="AN"/>
    <x v="3"/>
    <x v="32"/>
    <n v="83"/>
    <n v="44"/>
    <n v="39"/>
  </r>
  <r>
    <x v="12"/>
    <x v="33"/>
    <s v="AN"/>
    <x v="3"/>
    <x v="33"/>
    <n v="87"/>
    <n v="50"/>
    <n v="37"/>
  </r>
  <r>
    <x v="12"/>
    <x v="34"/>
    <s v="AN"/>
    <x v="3"/>
    <x v="34"/>
    <n v="68"/>
    <n v="45"/>
    <n v="23"/>
  </r>
  <r>
    <x v="12"/>
    <x v="35"/>
    <s v="AN"/>
    <x v="3"/>
    <x v="35"/>
    <n v="98"/>
    <n v="50"/>
    <n v="48"/>
  </r>
  <r>
    <x v="12"/>
    <x v="36"/>
    <s v="AN"/>
    <x v="3"/>
    <x v="36"/>
    <n v="42"/>
    <n v="23"/>
    <n v="19"/>
  </r>
  <r>
    <x v="12"/>
    <x v="37"/>
    <s v="AN"/>
    <x v="3"/>
    <x v="37"/>
    <n v="67"/>
    <n v="48"/>
    <n v="19"/>
  </r>
  <r>
    <x v="12"/>
    <x v="38"/>
    <s v="AN"/>
    <x v="3"/>
    <x v="38"/>
    <n v="93"/>
    <n v="57"/>
    <n v="36"/>
  </r>
  <r>
    <x v="12"/>
    <x v="39"/>
    <s v="AN"/>
    <x v="3"/>
    <x v="39"/>
    <n v="46"/>
    <n v="28"/>
    <n v="18"/>
  </r>
  <r>
    <x v="12"/>
    <x v="40"/>
    <s v="AN"/>
    <x v="3"/>
    <x v="40"/>
    <n v="591"/>
    <n v="359"/>
    <n v="232"/>
  </r>
  <r>
    <x v="12"/>
    <x v="41"/>
    <s v="AN"/>
    <x v="3"/>
    <x v="41"/>
    <n v="31"/>
    <n v="15"/>
    <n v="16"/>
  </r>
  <r>
    <x v="12"/>
    <x v="42"/>
    <s v="AN"/>
    <x v="3"/>
    <x v="42"/>
    <n v="47"/>
    <n v="34"/>
    <n v="13"/>
  </r>
  <r>
    <x v="12"/>
    <x v="43"/>
    <s v="AN"/>
    <x v="3"/>
    <x v="43"/>
    <n v="82"/>
    <n v="58"/>
    <n v="24"/>
  </r>
  <r>
    <x v="12"/>
    <x v="44"/>
    <s v="AN"/>
    <x v="3"/>
    <x v="44"/>
    <n v="202"/>
    <n v="119"/>
    <n v="83"/>
  </r>
  <r>
    <x v="12"/>
    <x v="45"/>
    <s v="AN"/>
    <x v="3"/>
    <x v="45"/>
    <n v="70"/>
    <n v="45"/>
    <n v="25"/>
  </r>
  <r>
    <x v="12"/>
    <x v="46"/>
    <s v="AN"/>
    <x v="3"/>
    <x v="46"/>
    <n v="99"/>
    <n v="53"/>
    <n v="46"/>
  </r>
  <r>
    <x v="12"/>
    <x v="47"/>
    <s v="AN"/>
    <x v="3"/>
    <x v="47"/>
    <n v="41"/>
    <n v="25"/>
    <n v="16"/>
  </r>
  <r>
    <x v="12"/>
    <x v="48"/>
    <s v="AN"/>
    <x v="3"/>
    <x v="48"/>
    <n v="36"/>
    <n v="19"/>
    <n v="17"/>
  </r>
  <r>
    <x v="12"/>
    <x v="49"/>
    <s v="AN"/>
    <x v="3"/>
    <x v="49"/>
    <n v="1227"/>
    <n v="750"/>
    <n v="477"/>
  </r>
  <r>
    <x v="12"/>
    <x v="50"/>
    <s v="AN"/>
    <x v="3"/>
    <x v="50"/>
    <n v="508"/>
    <n v="311"/>
    <n v="197"/>
  </r>
  <r>
    <x v="12"/>
    <x v="51"/>
    <s v="AN"/>
    <x v="3"/>
    <x v="51"/>
    <n v="36"/>
    <n v="25"/>
    <n v="11"/>
  </r>
  <r>
    <x v="12"/>
    <x v="52"/>
    <s v="AP"/>
    <x v="4"/>
    <x v="52"/>
    <n v="199"/>
    <n v="111"/>
    <n v="88"/>
  </r>
  <r>
    <x v="12"/>
    <x v="53"/>
    <s v="AP"/>
    <x v="4"/>
    <x v="53"/>
    <n v="99"/>
    <n v="53"/>
    <n v="46"/>
  </r>
  <r>
    <x v="12"/>
    <x v="54"/>
    <s v="AP"/>
    <x v="4"/>
    <x v="54"/>
    <n v="62"/>
    <n v="37"/>
    <n v="25"/>
  </r>
  <r>
    <x v="12"/>
    <x v="55"/>
    <s v="AP"/>
    <x v="4"/>
    <x v="55"/>
    <n v="278"/>
    <n v="193"/>
    <n v="85"/>
  </r>
  <r>
    <x v="12"/>
    <x v="56"/>
    <s v="AP"/>
    <x v="4"/>
    <x v="56"/>
    <n v="49"/>
    <n v="30"/>
    <n v="19"/>
  </r>
  <r>
    <x v="12"/>
    <x v="57"/>
    <s v="AP"/>
    <x v="4"/>
    <x v="57"/>
    <n v="46"/>
    <n v="23"/>
    <n v="23"/>
  </r>
  <r>
    <x v="12"/>
    <x v="58"/>
    <s v="AP"/>
    <x v="4"/>
    <x v="58"/>
    <n v="893"/>
    <n v="493"/>
    <n v="400"/>
  </r>
  <r>
    <x v="12"/>
    <x v="59"/>
    <s v="AR"/>
    <x v="5"/>
    <x v="59"/>
    <n v="129"/>
    <n v="79"/>
    <n v="50"/>
  </r>
  <r>
    <x v="12"/>
    <x v="60"/>
    <s v="AR"/>
    <x v="5"/>
    <x v="60"/>
    <n v="68"/>
    <n v="48"/>
    <n v="20"/>
  </r>
  <r>
    <x v="12"/>
    <x v="61"/>
    <s v="AR"/>
    <x v="5"/>
    <x v="61"/>
    <n v="238"/>
    <n v="163"/>
    <n v="75"/>
  </r>
  <r>
    <x v="12"/>
    <x v="62"/>
    <s v="AR"/>
    <x v="5"/>
    <x v="62"/>
    <n v="3325"/>
    <n v="1891"/>
    <n v="1434"/>
  </r>
  <r>
    <x v="12"/>
    <x v="63"/>
    <s v="AR"/>
    <x v="5"/>
    <x v="63"/>
    <n v="90"/>
    <n v="65"/>
    <n v="25"/>
  </r>
  <r>
    <x v="12"/>
    <x v="64"/>
    <s v="AR"/>
    <x v="5"/>
    <x v="64"/>
    <n v="921"/>
    <n v="557"/>
    <n v="364"/>
  </r>
  <r>
    <x v="12"/>
    <x v="65"/>
    <s v="AR"/>
    <x v="5"/>
    <x v="65"/>
    <n v="129"/>
    <n v="81"/>
    <n v="48"/>
  </r>
  <r>
    <x v="12"/>
    <x v="66"/>
    <s v="AR"/>
    <x v="5"/>
    <x v="66"/>
    <n v="491"/>
    <n v="273"/>
    <n v="218"/>
  </r>
  <r>
    <x v="12"/>
    <x v="67"/>
    <s v="AR"/>
    <x v="5"/>
    <x v="67"/>
    <n v="286"/>
    <n v="151"/>
    <n v="135"/>
  </r>
  <r>
    <x v="12"/>
    <x v="68"/>
    <s v="AR"/>
    <x v="5"/>
    <x v="68"/>
    <n v="0"/>
    <n v="0"/>
    <n v="0"/>
  </r>
  <r>
    <x v="12"/>
    <x v="69"/>
    <s v="AR"/>
    <x v="5"/>
    <x v="69"/>
    <n v="77"/>
    <n v="45"/>
    <n v="32"/>
  </r>
  <r>
    <x v="12"/>
    <x v="70"/>
    <s v="AR"/>
    <x v="5"/>
    <x v="70"/>
    <n v="68"/>
    <n v="47"/>
    <n v="21"/>
  </r>
  <r>
    <x v="12"/>
    <x v="71"/>
    <s v="AR"/>
    <x v="5"/>
    <x v="71"/>
    <n v="356"/>
    <n v="233"/>
    <n v="123"/>
  </r>
  <r>
    <x v="12"/>
    <x v="72"/>
    <s v="AR"/>
    <x v="5"/>
    <x v="72"/>
    <n v="150"/>
    <n v="109"/>
    <n v="41"/>
  </r>
  <r>
    <x v="12"/>
    <x v="73"/>
    <s v="AR"/>
    <x v="5"/>
    <x v="73"/>
    <n v="365"/>
    <n v="227"/>
    <n v="138"/>
  </r>
  <r>
    <x v="12"/>
    <x v="74"/>
    <s v="AR"/>
    <x v="5"/>
    <x v="74"/>
    <n v="44"/>
    <n v="27"/>
    <n v="17"/>
  </r>
  <r>
    <x v="12"/>
    <x v="75"/>
    <s v="AR"/>
    <x v="5"/>
    <x v="75"/>
    <n v="68"/>
    <n v="48"/>
    <n v="20"/>
  </r>
  <r>
    <x v="12"/>
    <x v="76"/>
    <s v="AR"/>
    <x v="5"/>
    <x v="76"/>
    <n v="509"/>
    <n v="301"/>
    <n v="208"/>
  </r>
  <r>
    <x v="12"/>
    <x v="77"/>
    <s v="BA"/>
    <x v="6"/>
    <x v="77"/>
    <n v="162"/>
    <n v="109"/>
    <n v="53"/>
  </r>
  <r>
    <x v="12"/>
    <x v="78"/>
    <s v="BA"/>
    <x v="6"/>
    <x v="78"/>
    <n v="0"/>
    <n v="0"/>
    <n v="0"/>
  </r>
  <r>
    <x v="12"/>
    <x v="79"/>
    <s v="BA"/>
    <x v="6"/>
    <x v="79"/>
    <n v="227"/>
    <n v="163"/>
    <n v="64"/>
  </r>
  <r>
    <x v="12"/>
    <x v="80"/>
    <s v="BA"/>
    <x v="6"/>
    <x v="80"/>
    <n v="43"/>
    <n v="24"/>
    <n v="19"/>
  </r>
  <r>
    <x v="12"/>
    <x v="81"/>
    <s v="BA"/>
    <x v="6"/>
    <x v="81"/>
    <n v="1693"/>
    <n v="1011"/>
    <n v="682"/>
  </r>
  <r>
    <x v="12"/>
    <x v="82"/>
    <s v="BA"/>
    <x v="6"/>
    <x v="59"/>
    <n v="138"/>
    <n v="85"/>
    <n v="53"/>
  </r>
  <r>
    <x v="12"/>
    <x v="83"/>
    <s v="BA"/>
    <x v="6"/>
    <x v="82"/>
    <n v="82"/>
    <n v="49"/>
    <n v="33"/>
  </r>
  <r>
    <x v="12"/>
    <x v="84"/>
    <s v="BA"/>
    <x v="6"/>
    <x v="83"/>
    <n v="229"/>
    <n v="135"/>
    <n v="94"/>
  </r>
  <r>
    <x v="12"/>
    <x v="85"/>
    <s v="BA"/>
    <x v="6"/>
    <x v="84"/>
    <n v="68"/>
    <n v="52"/>
    <n v="16"/>
  </r>
  <r>
    <x v="12"/>
    <x v="86"/>
    <s v="BA"/>
    <x v="6"/>
    <x v="85"/>
    <n v="163"/>
    <n v="111"/>
    <n v="52"/>
  </r>
  <r>
    <x v="12"/>
    <x v="87"/>
    <s v="BA"/>
    <x v="6"/>
    <x v="86"/>
    <n v="86"/>
    <n v="50"/>
    <n v="36"/>
  </r>
  <r>
    <x v="12"/>
    <x v="88"/>
    <s v="BA"/>
    <x v="6"/>
    <x v="87"/>
    <n v="32"/>
    <n v="20"/>
    <n v="12"/>
  </r>
  <r>
    <x v="12"/>
    <x v="89"/>
    <s v="BO"/>
    <x v="7"/>
    <x v="88"/>
    <n v="3616"/>
    <n v="2359"/>
    <n v="1257"/>
  </r>
  <r>
    <x v="12"/>
    <x v="90"/>
    <s v="BO"/>
    <x v="7"/>
    <x v="89"/>
    <n v="191"/>
    <n v="123"/>
    <n v="68"/>
  </r>
  <r>
    <x v="12"/>
    <x v="91"/>
    <s v="BO"/>
    <x v="7"/>
    <x v="90"/>
    <n v="53"/>
    <n v="36"/>
    <n v="17"/>
  </r>
  <r>
    <x v="12"/>
    <x v="92"/>
    <s v="BO"/>
    <x v="7"/>
    <x v="91"/>
    <n v="86"/>
    <n v="45"/>
    <n v="41"/>
  </r>
  <r>
    <x v="12"/>
    <x v="93"/>
    <s v="BO"/>
    <x v="7"/>
    <x v="92"/>
    <n v="2021"/>
    <n v="1224"/>
    <n v="797"/>
  </r>
  <r>
    <x v="12"/>
    <x v="94"/>
    <s v="BO"/>
    <x v="7"/>
    <x v="93"/>
    <n v="25"/>
    <n v="13"/>
    <n v="12"/>
  </r>
  <r>
    <x v="12"/>
    <x v="95"/>
    <s v="BO"/>
    <x v="7"/>
    <x v="94"/>
    <n v="353"/>
    <n v="218"/>
    <n v="135"/>
  </r>
  <r>
    <x v="12"/>
    <x v="96"/>
    <s v="BO"/>
    <x v="7"/>
    <x v="95"/>
    <n v="50"/>
    <n v="36"/>
    <n v="14"/>
  </r>
  <r>
    <x v="12"/>
    <x v="97"/>
    <s v="BO"/>
    <x v="7"/>
    <x v="96"/>
    <n v="57"/>
    <n v="37"/>
    <n v="20"/>
  </r>
  <r>
    <x v="12"/>
    <x v="98"/>
    <s v="BO"/>
    <x v="7"/>
    <x v="97"/>
    <n v="0"/>
    <n v="0"/>
    <n v="0"/>
  </r>
  <r>
    <x v="12"/>
    <x v="99"/>
    <s v="BO"/>
    <x v="7"/>
    <x v="73"/>
    <n v="26"/>
    <n v="17"/>
    <n v="9"/>
  </r>
  <r>
    <x v="12"/>
    <x v="100"/>
    <s v="CA"/>
    <x v="8"/>
    <x v="98"/>
    <n v="274"/>
    <n v="172"/>
    <n v="102"/>
  </r>
  <r>
    <x v="12"/>
    <x v="101"/>
    <s v="CA"/>
    <x v="8"/>
    <x v="99"/>
    <n v="486"/>
    <n v="319"/>
    <n v="167"/>
  </r>
  <r>
    <x v="12"/>
    <x v="102"/>
    <s v="CA"/>
    <x v="8"/>
    <x v="100"/>
    <n v="312"/>
    <n v="206"/>
    <n v="106"/>
  </r>
  <r>
    <x v="12"/>
    <x v="103"/>
    <s v="CA"/>
    <x v="8"/>
    <x v="101"/>
    <n v="515"/>
    <n v="337"/>
    <n v="178"/>
  </r>
  <r>
    <x v="12"/>
    <x v="104"/>
    <s v="CA"/>
    <x v="8"/>
    <x v="102"/>
    <n v="223"/>
    <n v="157"/>
    <n v="66"/>
  </r>
  <r>
    <x v="12"/>
    <x v="105"/>
    <s v="CA"/>
    <x v="8"/>
    <x v="66"/>
    <n v="487"/>
    <n v="350"/>
    <n v="137"/>
  </r>
  <r>
    <x v="12"/>
    <x v="106"/>
    <s v="CA"/>
    <x v="8"/>
    <x v="103"/>
    <n v="246"/>
    <n v="157"/>
    <n v="89"/>
  </r>
  <r>
    <x v="12"/>
    <x v="107"/>
    <s v="CA"/>
    <x v="8"/>
    <x v="104"/>
    <n v="111"/>
    <n v="66"/>
    <n v="45"/>
  </r>
  <r>
    <x v="12"/>
    <x v="108"/>
    <s v="CA"/>
    <x v="8"/>
    <x v="105"/>
    <n v="45"/>
    <n v="22"/>
    <n v="23"/>
  </r>
  <r>
    <x v="12"/>
    <x v="109"/>
    <s v="CA"/>
    <x v="8"/>
    <x v="106"/>
    <n v="1335"/>
    <n v="752"/>
    <n v="583"/>
  </r>
  <r>
    <x v="12"/>
    <x v="110"/>
    <s v="CA"/>
    <x v="8"/>
    <x v="107"/>
    <n v="1196"/>
    <n v="699"/>
    <n v="497"/>
  </r>
  <r>
    <x v="12"/>
    <x v="111"/>
    <s v="CA"/>
    <x v="8"/>
    <x v="108"/>
    <n v="111"/>
    <n v="66"/>
    <n v="45"/>
  </r>
  <r>
    <x v="12"/>
    <x v="112"/>
    <s v="CA"/>
    <x v="8"/>
    <x v="109"/>
    <n v="139"/>
    <n v="89"/>
    <n v="50"/>
  </r>
  <r>
    <x v="12"/>
    <x v="113"/>
    <s v="CA"/>
    <x v="8"/>
    <x v="110"/>
    <n v="4712"/>
    <n v="2900"/>
    <n v="1812"/>
  </r>
  <r>
    <x v="12"/>
    <x v="114"/>
    <s v="CO"/>
    <x v="9"/>
    <x v="111"/>
    <n v="45"/>
    <n v="31"/>
    <n v="14"/>
  </r>
  <r>
    <x v="12"/>
    <x v="115"/>
    <s v="CO"/>
    <x v="9"/>
    <x v="112"/>
    <n v="351"/>
    <n v="231"/>
    <n v="120"/>
  </r>
  <r>
    <x v="12"/>
    <x v="116"/>
    <s v="CO"/>
    <x v="9"/>
    <x v="62"/>
    <n v="33"/>
    <n v="22"/>
    <n v="11"/>
  </r>
  <r>
    <x v="12"/>
    <x v="117"/>
    <s v="CO"/>
    <x v="9"/>
    <x v="113"/>
    <n v="15"/>
    <n v="10"/>
    <n v="5"/>
  </r>
  <r>
    <x v="12"/>
    <x v="118"/>
    <s v="CO"/>
    <x v="9"/>
    <x v="114"/>
    <n v="58"/>
    <n v="39"/>
    <n v="19"/>
  </r>
  <r>
    <x v="12"/>
    <x v="119"/>
    <s v="CO"/>
    <x v="9"/>
    <x v="115"/>
    <n v="38"/>
    <n v="27"/>
    <n v="11"/>
  </r>
  <r>
    <x v="12"/>
    <x v="120"/>
    <s v="CO"/>
    <x v="9"/>
    <x v="57"/>
    <n v="51"/>
    <n v="26"/>
    <n v="25"/>
  </r>
  <r>
    <x v="12"/>
    <x v="121"/>
    <s v="CO"/>
    <x v="9"/>
    <x v="116"/>
    <n v="638"/>
    <n v="372"/>
    <n v="266"/>
  </r>
  <r>
    <x v="12"/>
    <x v="122"/>
    <s v="CO"/>
    <x v="9"/>
    <x v="117"/>
    <n v="85"/>
    <n v="52"/>
    <n v="33"/>
  </r>
  <r>
    <x v="12"/>
    <x v="123"/>
    <s v="DE"/>
    <x v="10"/>
    <x v="118"/>
    <n v="35"/>
    <n v="21"/>
    <n v="14"/>
  </r>
  <r>
    <x v="12"/>
    <x v="124"/>
    <s v="DE"/>
    <x v="10"/>
    <x v="119"/>
    <n v="37"/>
    <n v="24"/>
    <n v="13"/>
  </r>
  <r>
    <x v="12"/>
    <x v="125"/>
    <s v="DE"/>
    <x v="10"/>
    <x v="120"/>
    <n v="20"/>
    <n v="12"/>
    <n v="8"/>
  </r>
  <r>
    <x v="12"/>
    <x v="126"/>
    <s v="DE"/>
    <x v="10"/>
    <x v="121"/>
    <n v="366"/>
    <n v="214"/>
    <n v="152"/>
  </r>
  <r>
    <x v="12"/>
    <x v="127"/>
    <s v="FA"/>
    <x v="11"/>
    <x v="122"/>
    <n v="22"/>
    <n v="13"/>
    <n v="9"/>
  </r>
  <r>
    <x v="12"/>
    <x v="128"/>
    <s v="FA"/>
    <x v="11"/>
    <x v="59"/>
    <n v="27"/>
    <n v="12"/>
    <n v="15"/>
  </r>
  <r>
    <x v="12"/>
    <x v="129"/>
    <s v="FA"/>
    <x v="11"/>
    <x v="123"/>
    <n v="41"/>
    <n v="27"/>
    <n v="14"/>
  </r>
  <r>
    <x v="12"/>
    <x v="130"/>
    <s v="FA"/>
    <x v="11"/>
    <x v="124"/>
    <n v="25"/>
    <n v="15"/>
    <n v="10"/>
  </r>
  <r>
    <x v="12"/>
    <x v="131"/>
    <s v="FA"/>
    <x v="11"/>
    <x v="125"/>
    <n v="645"/>
    <n v="386"/>
    <n v="259"/>
  </r>
  <r>
    <x v="12"/>
    <x v="132"/>
    <s v="FA"/>
    <x v="11"/>
    <x v="126"/>
    <n v="77"/>
    <n v="45"/>
    <n v="32"/>
  </r>
  <r>
    <x v="12"/>
    <x v="133"/>
    <s v="FA"/>
    <x v="11"/>
    <x v="127"/>
    <n v="57"/>
    <n v="30"/>
    <n v="27"/>
  </r>
  <r>
    <x v="12"/>
    <x v="134"/>
    <s v="FA"/>
    <x v="11"/>
    <x v="128"/>
    <n v="14"/>
    <n v="7"/>
    <n v="7"/>
  </r>
  <r>
    <x v="12"/>
    <x v="135"/>
    <s v="FA"/>
    <x v="11"/>
    <x v="112"/>
    <n v="132"/>
    <n v="78"/>
    <n v="54"/>
  </r>
  <r>
    <x v="12"/>
    <x v="136"/>
    <s v="FA"/>
    <x v="11"/>
    <x v="129"/>
    <n v="88"/>
    <n v="59"/>
    <n v="29"/>
  </r>
  <r>
    <x v="12"/>
    <x v="137"/>
    <s v="FA"/>
    <x v="11"/>
    <x v="130"/>
    <n v="21"/>
    <n v="11"/>
    <n v="10"/>
  </r>
  <r>
    <x v="12"/>
    <x v="138"/>
    <s v="FA"/>
    <x v="11"/>
    <x v="131"/>
    <n v="138"/>
    <n v="85"/>
    <n v="53"/>
  </r>
  <r>
    <x v="12"/>
    <x v="139"/>
    <s v="FA"/>
    <x v="11"/>
    <x v="132"/>
    <n v="83"/>
    <n v="45"/>
    <n v="38"/>
  </r>
  <r>
    <x v="12"/>
    <x v="140"/>
    <s v="FA"/>
    <x v="11"/>
    <x v="104"/>
    <n v="1231"/>
    <n v="693"/>
    <n v="538"/>
  </r>
  <r>
    <x v="12"/>
    <x v="141"/>
    <s v="FA"/>
    <x v="11"/>
    <x v="133"/>
    <n v="81"/>
    <n v="49"/>
    <n v="32"/>
  </r>
  <r>
    <x v="12"/>
    <x v="142"/>
    <s v="FA"/>
    <x v="11"/>
    <x v="134"/>
    <n v="5"/>
    <n v="4"/>
    <n v="1"/>
  </r>
  <r>
    <x v="12"/>
    <x v="143"/>
    <s v="FA"/>
    <x v="11"/>
    <x v="135"/>
    <n v="5"/>
    <n v="1"/>
    <n v="4"/>
  </r>
  <r>
    <x v="12"/>
    <x v="144"/>
    <s v="FA"/>
    <x v="11"/>
    <x v="45"/>
    <n v="0"/>
    <n v="0"/>
    <n v="0"/>
  </r>
  <r>
    <x v="12"/>
    <x v="145"/>
    <s v="FA"/>
    <x v="11"/>
    <x v="136"/>
    <n v="19"/>
    <n v="13"/>
    <n v="6"/>
  </r>
  <r>
    <x v="12"/>
    <x v="146"/>
    <s v="FA"/>
    <x v="11"/>
    <x v="137"/>
    <n v="210"/>
    <n v="125"/>
    <n v="85"/>
  </r>
  <r>
    <x v="12"/>
    <x v="147"/>
    <s v="FA"/>
    <x v="11"/>
    <x v="73"/>
    <n v="5"/>
    <n v="4"/>
    <n v="1"/>
  </r>
  <r>
    <x v="12"/>
    <x v="148"/>
    <s v="FA"/>
    <x v="11"/>
    <x v="138"/>
    <n v="0"/>
    <n v="0"/>
    <n v="0"/>
  </r>
  <r>
    <x v="12"/>
    <x v="149"/>
    <s v="FA"/>
    <x v="11"/>
    <x v="139"/>
    <n v="33"/>
    <n v="18"/>
    <n v="15"/>
  </r>
  <r>
    <x v="12"/>
    <x v="150"/>
    <s v="FA"/>
    <x v="11"/>
    <x v="140"/>
    <n v="1"/>
    <n v="1"/>
    <n v="0"/>
  </r>
  <r>
    <x v="12"/>
    <x v="151"/>
    <s v="FA"/>
    <x v="11"/>
    <x v="76"/>
    <n v="8"/>
    <n v="5"/>
    <n v="3"/>
  </r>
  <r>
    <x v="12"/>
    <x v="152"/>
    <s v="GU"/>
    <x v="12"/>
    <x v="141"/>
    <n v="52"/>
    <n v="26"/>
    <n v="26"/>
  </r>
  <r>
    <x v="12"/>
    <x v="153"/>
    <s v="GU"/>
    <x v="12"/>
    <x v="142"/>
    <n v="28"/>
    <n v="17"/>
    <n v="11"/>
  </r>
  <r>
    <x v="12"/>
    <x v="154"/>
    <s v="GU"/>
    <x v="12"/>
    <x v="143"/>
    <n v="39"/>
    <n v="20"/>
    <n v="19"/>
  </r>
  <r>
    <x v="12"/>
    <x v="155"/>
    <s v="GU"/>
    <x v="12"/>
    <x v="144"/>
    <n v="34"/>
    <n v="21"/>
    <n v="13"/>
  </r>
  <r>
    <x v="12"/>
    <x v="156"/>
    <s v="GU"/>
    <x v="12"/>
    <x v="145"/>
    <n v="654"/>
    <n v="412"/>
    <n v="242"/>
  </r>
  <r>
    <x v="12"/>
    <x v="157"/>
    <s v="GU"/>
    <x v="12"/>
    <x v="146"/>
    <n v="98"/>
    <n v="66"/>
    <n v="32"/>
  </r>
  <r>
    <x v="12"/>
    <x v="158"/>
    <s v="GU"/>
    <x v="12"/>
    <x v="147"/>
    <n v="126"/>
    <n v="76"/>
    <n v="50"/>
  </r>
  <r>
    <x v="12"/>
    <x v="159"/>
    <s v="GU"/>
    <x v="12"/>
    <x v="104"/>
    <n v="602"/>
    <n v="363"/>
    <n v="239"/>
  </r>
  <r>
    <x v="12"/>
    <x v="160"/>
    <s v="GU"/>
    <x v="12"/>
    <x v="148"/>
    <n v="357"/>
    <n v="206"/>
    <n v="151"/>
  </r>
  <r>
    <x v="12"/>
    <x v="161"/>
    <s v="GU"/>
    <x v="12"/>
    <x v="149"/>
    <n v="36"/>
    <n v="24"/>
    <n v="12"/>
  </r>
  <r>
    <x v="12"/>
    <x v="162"/>
    <s v="GU"/>
    <x v="12"/>
    <x v="150"/>
    <n v="110"/>
    <n v="67"/>
    <n v="43"/>
  </r>
  <r>
    <x v="12"/>
    <x v="163"/>
    <s v="GU"/>
    <x v="12"/>
    <x v="96"/>
    <n v="768"/>
    <n v="451"/>
    <n v="317"/>
  </r>
  <r>
    <x v="12"/>
    <x v="164"/>
    <s v="GU"/>
    <x v="12"/>
    <x v="151"/>
    <n v="32"/>
    <n v="15"/>
    <n v="17"/>
  </r>
  <r>
    <x v="12"/>
    <x v="165"/>
    <s v="GU"/>
    <x v="12"/>
    <x v="152"/>
    <n v="42"/>
    <n v="21"/>
    <n v="21"/>
  </r>
  <r>
    <x v="12"/>
    <x v="166"/>
    <s v="GU"/>
    <x v="12"/>
    <x v="153"/>
    <n v="234"/>
    <n v="142"/>
    <n v="92"/>
  </r>
  <r>
    <x v="12"/>
    <x v="167"/>
    <s v="LA"/>
    <x v="13"/>
    <x v="154"/>
    <n v="129"/>
    <n v="76"/>
    <n v="53"/>
  </r>
  <r>
    <x v="12"/>
    <x v="168"/>
    <s v="LA"/>
    <x v="13"/>
    <x v="155"/>
    <n v="103"/>
    <n v="56"/>
    <n v="47"/>
  </r>
  <r>
    <x v="12"/>
    <x v="169"/>
    <s v="LA"/>
    <x v="13"/>
    <x v="156"/>
    <n v="5662"/>
    <n v="3400"/>
    <n v="2262"/>
  </r>
  <r>
    <x v="12"/>
    <x v="170"/>
    <s v="LA"/>
    <x v="13"/>
    <x v="157"/>
    <n v="296"/>
    <n v="174"/>
    <n v="122"/>
  </r>
  <r>
    <x v="12"/>
    <x v="171"/>
    <s v="LA"/>
    <x v="13"/>
    <x v="158"/>
    <n v="417"/>
    <n v="244"/>
    <n v="173"/>
  </r>
  <r>
    <x v="12"/>
    <x v="172"/>
    <s v="LA"/>
    <x v="13"/>
    <x v="159"/>
    <n v="287"/>
    <n v="165"/>
    <n v="122"/>
  </r>
  <r>
    <x v="12"/>
    <x v="173"/>
    <s v="LA"/>
    <x v="13"/>
    <x v="160"/>
    <n v="85"/>
    <n v="48"/>
    <n v="37"/>
  </r>
  <r>
    <x v="12"/>
    <x v="174"/>
    <s v="LA"/>
    <x v="13"/>
    <x v="161"/>
    <n v="731"/>
    <n v="406"/>
    <n v="325"/>
  </r>
  <r>
    <x v="12"/>
    <x v="175"/>
    <s v="LA"/>
    <x v="13"/>
    <x v="75"/>
    <n v="185"/>
    <n v="117"/>
    <n v="68"/>
  </r>
  <r>
    <x v="12"/>
    <x v="176"/>
    <s v="ME"/>
    <x v="14"/>
    <x v="162"/>
    <n v="579"/>
    <n v="357"/>
    <n v="222"/>
  </r>
  <r>
    <x v="12"/>
    <x v="177"/>
    <s v="ME"/>
    <x v="14"/>
    <x v="163"/>
    <n v="49"/>
    <n v="29"/>
    <n v="20"/>
  </r>
  <r>
    <x v="12"/>
    <x v="178"/>
    <s v="ME"/>
    <x v="14"/>
    <x v="164"/>
    <n v="110"/>
    <n v="71"/>
    <n v="39"/>
  </r>
  <r>
    <x v="12"/>
    <x v="179"/>
    <s v="ME"/>
    <x v="14"/>
    <x v="165"/>
    <n v="40"/>
    <n v="18"/>
    <n v="22"/>
  </r>
  <r>
    <x v="12"/>
    <x v="180"/>
    <s v="ME"/>
    <x v="14"/>
    <x v="166"/>
    <n v="56"/>
    <n v="35"/>
    <n v="21"/>
  </r>
  <r>
    <x v="12"/>
    <x v="181"/>
    <s v="ME"/>
    <x v="14"/>
    <x v="167"/>
    <n v="235"/>
    <n v="134"/>
    <n v="101"/>
  </r>
  <r>
    <x v="12"/>
    <x v="182"/>
    <s v="ME"/>
    <x v="14"/>
    <x v="168"/>
    <n v="59"/>
    <n v="33"/>
    <n v="26"/>
  </r>
  <r>
    <x v="12"/>
    <x v="183"/>
    <s v="ME"/>
    <x v="14"/>
    <x v="169"/>
    <n v="109"/>
    <n v="73"/>
    <n v="36"/>
  </r>
  <r>
    <x v="12"/>
    <x v="184"/>
    <s v="ME"/>
    <x v="14"/>
    <x v="170"/>
    <n v="43"/>
    <n v="22"/>
    <n v="21"/>
  </r>
  <r>
    <x v="12"/>
    <x v="185"/>
    <s v="ME"/>
    <x v="14"/>
    <x v="171"/>
    <n v="54"/>
    <n v="32"/>
    <n v="22"/>
  </r>
  <r>
    <x v="12"/>
    <x v="186"/>
    <s v="ME"/>
    <x v="14"/>
    <x v="172"/>
    <n v="14"/>
    <n v="6"/>
    <n v="8"/>
  </r>
  <r>
    <x v="12"/>
    <x v="187"/>
    <s v="ME"/>
    <x v="14"/>
    <x v="66"/>
    <n v="1803"/>
    <n v="1045"/>
    <n v="758"/>
  </r>
  <r>
    <x v="12"/>
    <x v="188"/>
    <s v="ME"/>
    <x v="14"/>
    <x v="104"/>
    <n v="107"/>
    <n v="65"/>
    <n v="42"/>
  </r>
  <r>
    <x v="12"/>
    <x v="189"/>
    <s v="ME"/>
    <x v="14"/>
    <x v="173"/>
    <n v="73"/>
    <n v="53"/>
    <n v="20"/>
  </r>
  <r>
    <x v="12"/>
    <x v="190"/>
    <s v="ME"/>
    <x v="14"/>
    <x v="174"/>
    <n v="10"/>
    <n v="5"/>
    <n v="5"/>
  </r>
  <r>
    <x v="12"/>
    <x v="191"/>
    <s v="ME"/>
    <x v="14"/>
    <x v="175"/>
    <n v="29"/>
    <n v="18"/>
    <n v="11"/>
  </r>
  <r>
    <x v="12"/>
    <x v="192"/>
    <s v="ME"/>
    <x v="14"/>
    <x v="176"/>
    <n v="69"/>
    <n v="35"/>
    <n v="34"/>
  </r>
  <r>
    <x v="12"/>
    <x v="193"/>
    <s v="ME"/>
    <x v="14"/>
    <x v="177"/>
    <n v="0"/>
    <n v="0"/>
    <n v="0"/>
  </r>
  <r>
    <x v="12"/>
    <x v="194"/>
    <s v="ME"/>
    <x v="14"/>
    <x v="178"/>
    <n v="53"/>
    <n v="37"/>
    <n v="16"/>
  </r>
  <r>
    <x v="12"/>
    <x v="195"/>
    <s v="ME"/>
    <x v="14"/>
    <x v="73"/>
    <n v="183"/>
    <n v="104"/>
    <n v="79"/>
  </r>
  <r>
    <x v="12"/>
    <x v="196"/>
    <s v="ME"/>
    <x v="14"/>
    <x v="74"/>
    <n v="153"/>
    <n v="78"/>
    <n v="75"/>
  </r>
  <r>
    <x v="12"/>
    <x v="197"/>
    <s v="ME"/>
    <x v="14"/>
    <x v="179"/>
    <n v="101"/>
    <n v="72"/>
    <n v="29"/>
  </r>
  <r>
    <x v="12"/>
    <x v="198"/>
    <s v="ME"/>
    <x v="14"/>
    <x v="180"/>
    <n v="33"/>
    <n v="15"/>
    <n v="18"/>
  </r>
  <r>
    <x v="12"/>
    <x v="199"/>
    <s v="MI"/>
    <x v="15"/>
    <x v="181"/>
    <n v="328"/>
    <n v="219"/>
    <n v="109"/>
  </r>
  <r>
    <x v="12"/>
    <x v="200"/>
    <s v="MI"/>
    <x v="15"/>
    <x v="163"/>
    <n v="68"/>
    <n v="35"/>
    <n v="33"/>
  </r>
  <r>
    <x v="12"/>
    <x v="201"/>
    <s v="MI"/>
    <x v="15"/>
    <x v="182"/>
    <n v="1348"/>
    <n v="684"/>
    <n v="664"/>
  </r>
  <r>
    <x v="12"/>
    <x v="202"/>
    <s v="MI"/>
    <x v="15"/>
    <x v="183"/>
    <n v="257"/>
    <n v="157"/>
    <n v="100"/>
  </r>
  <r>
    <x v="12"/>
    <x v="203"/>
    <s v="MI"/>
    <x v="15"/>
    <x v="184"/>
    <n v="55"/>
    <n v="35"/>
    <n v="20"/>
  </r>
  <r>
    <x v="12"/>
    <x v="204"/>
    <s v="MI"/>
    <x v="15"/>
    <x v="185"/>
    <n v="69"/>
    <n v="43"/>
    <n v="26"/>
  </r>
  <r>
    <x v="12"/>
    <x v="205"/>
    <s v="MI"/>
    <x v="15"/>
    <x v="186"/>
    <n v="649"/>
    <n v="320"/>
    <n v="329"/>
  </r>
  <r>
    <x v="12"/>
    <x v="206"/>
    <s v="MI"/>
    <x v="15"/>
    <x v="187"/>
    <n v="322"/>
    <n v="208"/>
    <n v="114"/>
  </r>
  <r>
    <x v="12"/>
    <x v="207"/>
    <s v="MI"/>
    <x v="15"/>
    <x v="188"/>
    <n v="156"/>
    <n v="82"/>
    <n v="74"/>
  </r>
  <r>
    <x v="12"/>
    <x v="208"/>
    <s v="MI"/>
    <x v="15"/>
    <x v="189"/>
    <n v="1254"/>
    <n v="755"/>
    <n v="499"/>
  </r>
  <r>
    <x v="12"/>
    <x v="209"/>
    <s v="MI"/>
    <x v="15"/>
    <x v="38"/>
    <n v="424"/>
    <n v="278"/>
    <n v="146"/>
  </r>
  <r>
    <x v="12"/>
    <x v="210"/>
    <s v="MI"/>
    <x v="15"/>
    <x v="190"/>
    <n v="916"/>
    <n v="579"/>
    <n v="337"/>
  </r>
  <r>
    <x v="12"/>
    <x v="211"/>
    <s v="MI"/>
    <x v="15"/>
    <x v="191"/>
    <n v="183"/>
    <n v="100"/>
    <n v="83"/>
  </r>
  <r>
    <x v="12"/>
    <x v="212"/>
    <s v="MI"/>
    <x v="15"/>
    <x v="55"/>
    <n v="154"/>
    <n v="86"/>
    <n v="68"/>
  </r>
  <r>
    <x v="12"/>
    <x v="213"/>
    <s v="MI"/>
    <x v="15"/>
    <x v="192"/>
    <n v="229"/>
    <n v="167"/>
    <n v="62"/>
  </r>
  <r>
    <x v="12"/>
    <x v="214"/>
    <s v="MI"/>
    <x v="15"/>
    <x v="193"/>
    <n v="71"/>
    <n v="41"/>
    <n v="30"/>
  </r>
  <r>
    <x v="12"/>
    <x v="215"/>
    <s v="MI"/>
    <x v="15"/>
    <x v="194"/>
    <n v="610"/>
    <n v="390"/>
    <n v="220"/>
  </r>
  <r>
    <x v="12"/>
    <x v="216"/>
    <s v="MI"/>
    <x v="15"/>
    <x v="49"/>
    <n v="184"/>
    <n v="149"/>
    <n v="35"/>
  </r>
  <r>
    <x v="12"/>
    <x v="217"/>
    <s v="MI"/>
    <x v="15"/>
    <x v="73"/>
    <n v="3323"/>
    <n v="2114"/>
    <n v="1209"/>
  </r>
  <r>
    <x v="12"/>
    <x v="218"/>
    <s v="MI"/>
    <x v="15"/>
    <x v="75"/>
    <n v="314"/>
    <n v="191"/>
    <n v="123"/>
  </r>
  <r>
    <x v="12"/>
    <x v="219"/>
    <s v="MI"/>
    <x v="15"/>
    <x v="76"/>
    <n v="661"/>
    <n v="434"/>
    <n v="227"/>
  </r>
  <r>
    <x v="12"/>
    <x v="220"/>
    <s v="MO"/>
    <x v="16"/>
    <x v="122"/>
    <n v="65"/>
    <n v="38"/>
    <n v="27"/>
  </r>
  <r>
    <x v="12"/>
    <x v="221"/>
    <s v="MO"/>
    <x v="16"/>
    <x v="195"/>
    <n v="34"/>
    <n v="19"/>
    <n v="15"/>
  </r>
  <r>
    <x v="12"/>
    <x v="222"/>
    <s v="MO"/>
    <x v="16"/>
    <x v="59"/>
    <n v="171"/>
    <n v="113"/>
    <n v="58"/>
  </r>
  <r>
    <x v="12"/>
    <x v="223"/>
    <s v="MO"/>
    <x v="16"/>
    <x v="196"/>
    <n v="118"/>
    <n v="74"/>
    <n v="44"/>
  </r>
  <r>
    <x v="12"/>
    <x v="224"/>
    <s v="MO"/>
    <x v="16"/>
    <x v="89"/>
    <n v="70"/>
    <n v="46"/>
    <n v="24"/>
  </r>
  <r>
    <x v="12"/>
    <x v="225"/>
    <s v="MO"/>
    <x v="16"/>
    <x v="83"/>
    <n v="145"/>
    <n v="103"/>
    <n v="42"/>
  </r>
  <r>
    <x v="12"/>
    <x v="226"/>
    <s v="MO"/>
    <x v="16"/>
    <x v="66"/>
    <n v="80"/>
    <n v="49"/>
    <n v="31"/>
  </r>
  <r>
    <x v="12"/>
    <x v="227"/>
    <s v="MO"/>
    <x v="16"/>
    <x v="197"/>
    <n v="2446"/>
    <n v="1531"/>
    <n v="915"/>
  </r>
  <r>
    <x v="12"/>
    <x v="228"/>
    <s v="MO"/>
    <x v="16"/>
    <x v="94"/>
    <n v="111"/>
    <n v="65"/>
    <n v="46"/>
  </r>
  <r>
    <x v="12"/>
    <x v="229"/>
    <s v="MO"/>
    <x v="16"/>
    <x v="198"/>
    <n v="77"/>
    <n v="45"/>
    <n v="32"/>
  </r>
  <r>
    <x v="12"/>
    <x v="230"/>
    <s v="MO"/>
    <x v="16"/>
    <x v="199"/>
    <n v="29"/>
    <n v="20"/>
    <n v="9"/>
  </r>
  <r>
    <x v="12"/>
    <x v="231"/>
    <s v="MO"/>
    <x v="16"/>
    <x v="200"/>
    <n v="74"/>
    <n v="52"/>
    <n v="22"/>
  </r>
  <r>
    <x v="12"/>
    <x v="232"/>
    <s v="MO"/>
    <x v="16"/>
    <x v="201"/>
    <n v="26"/>
    <n v="15"/>
    <n v="11"/>
  </r>
  <r>
    <x v="12"/>
    <x v="233"/>
    <s v="NU"/>
    <x v="17"/>
    <x v="202"/>
    <n v="67"/>
    <n v="36"/>
    <n v="31"/>
  </r>
  <r>
    <x v="12"/>
    <x v="234"/>
    <s v="NU"/>
    <x v="17"/>
    <x v="80"/>
    <n v="104"/>
    <n v="53"/>
    <n v="51"/>
  </r>
  <r>
    <x v="12"/>
    <x v="235"/>
    <s v="NU"/>
    <x v="17"/>
    <x v="203"/>
    <n v="106"/>
    <n v="60"/>
    <n v="46"/>
  </r>
  <r>
    <x v="12"/>
    <x v="236"/>
    <s v="NU"/>
    <x v="17"/>
    <x v="204"/>
    <n v="112"/>
    <n v="68"/>
    <n v="44"/>
  </r>
  <r>
    <x v="12"/>
    <x v="237"/>
    <s v="NU"/>
    <x v="17"/>
    <x v="205"/>
    <n v="102"/>
    <n v="48"/>
    <n v="54"/>
  </r>
  <r>
    <x v="12"/>
    <x v="238"/>
    <s v="NU"/>
    <x v="17"/>
    <x v="206"/>
    <n v="97"/>
    <n v="52"/>
    <n v="45"/>
  </r>
  <r>
    <x v="12"/>
    <x v="239"/>
    <s v="NU"/>
    <x v="17"/>
    <x v="207"/>
    <n v="137"/>
    <n v="77"/>
    <n v="60"/>
  </r>
  <r>
    <x v="12"/>
    <x v="240"/>
    <s v="NU"/>
    <x v="17"/>
    <x v="208"/>
    <n v="943"/>
    <n v="503"/>
    <n v="440"/>
  </r>
  <r>
    <x v="12"/>
    <x v="241"/>
    <s v="NU"/>
    <x v="17"/>
    <x v="209"/>
    <n v="72"/>
    <n v="37"/>
    <n v="35"/>
  </r>
  <r>
    <x v="12"/>
    <x v="242"/>
    <s v="NU"/>
    <x v="17"/>
    <x v="210"/>
    <n v="0"/>
    <n v="0"/>
    <n v="0"/>
  </r>
  <r>
    <x v="12"/>
    <x v="243"/>
    <s v="NU"/>
    <x v="17"/>
    <x v="211"/>
    <n v="26"/>
    <n v="12"/>
    <n v="14"/>
  </r>
  <r>
    <x v="12"/>
    <x v="244"/>
    <s v="PO"/>
    <x v="18"/>
    <x v="212"/>
    <n v="72"/>
    <n v="51"/>
    <n v="21"/>
  </r>
  <r>
    <x v="12"/>
    <x v="245"/>
    <s v="PO"/>
    <x v="18"/>
    <x v="213"/>
    <n v="1110"/>
    <n v="658"/>
    <n v="452"/>
  </r>
  <r>
    <x v="12"/>
    <x v="246"/>
    <s v="PO"/>
    <x v="18"/>
    <x v="214"/>
    <n v="117"/>
    <n v="74"/>
    <n v="43"/>
  </r>
  <r>
    <x v="12"/>
    <x v="247"/>
    <s v="PO"/>
    <x v="18"/>
    <x v="215"/>
    <n v="1058"/>
    <n v="639"/>
    <n v="419"/>
  </r>
  <r>
    <x v="12"/>
    <x v="248"/>
    <s v="PO"/>
    <x v="18"/>
    <x v="216"/>
    <n v="96"/>
    <n v="67"/>
    <n v="29"/>
  </r>
  <r>
    <x v="12"/>
    <x v="249"/>
    <s v="PO"/>
    <x v="18"/>
    <x v="217"/>
    <n v="101"/>
    <n v="56"/>
    <n v="45"/>
  </r>
  <r>
    <x v="12"/>
    <x v="250"/>
    <s v="PO"/>
    <x v="18"/>
    <x v="218"/>
    <n v="124"/>
    <n v="72"/>
    <n v="52"/>
  </r>
  <r>
    <x v="12"/>
    <x v="251"/>
    <s v="PO"/>
    <x v="18"/>
    <x v="55"/>
    <n v="566"/>
    <n v="356"/>
    <n v="210"/>
  </r>
  <r>
    <x v="12"/>
    <x v="252"/>
    <s v="PO"/>
    <x v="18"/>
    <x v="219"/>
    <n v="29"/>
    <n v="12"/>
    <n v="17"/>
  </r>
  <r>
    <x v="12"/>
    <x v="253"/>
    <s v="PO"/>
    <x v="18"/>
    <x v="220"/>
    <n v="54"/>
    <n v="36"/>
    <n v="18"/>
  </r>
  <r>
    <x v="12"/>
    <x v="254"/>
    <s v="PO"/>
    <x v="18"/>
    <x v="221"/>
    <n v="29"/>
    <n v="16"/>
    <n v="13"/>
  </r>
  <r>
    <x v="12"/>
    <x v="255"/>
    <s v="PO"/>
    <x v="18"/>
    <x v="222"/>
    <n v="40"/>
    <n v="24"/>
    <n v="16"/>
  </r>
  <r>
    <x v="12"/>
    <x v="256"/>
    <s v="PO"/>
    <x v="18"/>
    <x v="73"/>
    <n v="240"/>
    <n v="133"/>
    <n v="107"/>
  </r>
  <r>
    <x v="12"/>
    <x v="257"/>
    <s v="PO"/>
    <x v="18"/>
    <x v="223"/>
    <n v="196"/>
    <n v="121"/>
    <n v="75"/>
  </r>
  <r>
    <x v="12"/>
    <x v="258"/>
    <s v="SU"/>
    <x v="19"/>
    <x v="154"/>
    <n v="85"/>
    <n v="56"/>
    <n v="29"/>
  </r>
  <r>
    <x v="12"/>
    <x v="259"/>
    <s v="SU"/>
    <x v="19"/>
    <x v="224"/>
    <n v="24"/>
    <n v="16"/>
    <n v="8"/>
  </r>
  <r>
    <x v="12"/>
    <x v="260"/>
    <s v="SU"/>
    <x v="19"/>
    <x v="80"/>
    <n v="196"/>
    <n v="117"/>
    <n v="79"/>
  </r>
  <r>
    <x v="12"/>
    <x v="261"/>
    <s v="SU"/>
    <x v="19"/>
    <x v="225"/>
    <n v="26"/>
    <n v="20"/>
    <n v="6"/>
  </r>
  <r>
    <x v="12"/>
    <x v="262"/>
    <s v="SU"/>
    <x v="19"/>
    <x v="226"/>
    <n v="925"/>
    <n v="526"/>
    <n v="399"/>
  </r>
  <r>
    <x v="12"/>
    <x v="263"/>
    <s v="SU"/>
    <x v="19"/>
    <x v="59"/>
    <n v="40"/>
    <n v="26"/>
    <n v="14"/>
  </r>
  <r>
    <x v="12"/>
    <x v="264"/>
    <s v="SU"/>
    <x v="19"/>
    <x v="227"/>
    <n v="88"/>
    <n v="53"/>
    <n v="35"/>
  </r>
  <r>
    <x v="12"/>
    <x v="265"/>
    <s v="SU"/>
    <x v="19"/>
    <x v="228"/>
    <n v="95"/>
    <n v="48"/>
    <n v="47"/>
  </r>
  <r>
    <x v="12"/>
    <x v="266"/>
    <s v="SU"/>
    <x v="19"/>
    <x v="66"/>
    <n v="35"/>
    <n v="18"/>
    <n v="17"/>
  </r>
  <r>
    <x v="12"/>
    <x v="267"/>
    <s v="SU"/>
    <x v="19"/>
    <x v="208"/>
    <n v="94"/>
    <n v="61"/>
    <n v="33"/>
  </r>
  <r>
    <x v="12"/>
    <x v="268"/>
    <s v="SU"/>
    <x v="19"/>
    <x v="229"/>
    <n v="25"/>
    <n v="13"/>
    <n v="12"/>
  </r>
  <r>
    <x v="12"/>
    <x v="269"/>
    <s v="SU"/>
    <x v="19"/>
    <x v="230"/>
    <n v="174"/>
    <n v="98"/>
    <n v="76"/>
  </r>
  <r>
    <x v="12"/>
    <x v="270"/>
    <s v="SU"/>
    <x v="19"/>
    <x v="231"/>
    <n v="172"/>
    <n v="108"/>
    <n v="64"/>
  </r>
  <r>
    <x v="12"/>
    <x v="271"/>
    <s v="SU"/>
    <x v="19"/>
    <x v="73"/>
    <n v="1577"/>
    <n v="964"/>
    <n v="613"/>
  </r>
  <r>
    <x v="12"/>
    <x v="272"/>
    <s v="SU"/>
    <x v="19"/>
    <x v="232"/>
    <n v="122"/>
    <n v="77"/>
    <n v="45"/>
  </r>
  <r>
    <x v="12"/>
    <x v="273"/>
    <s v="TA"/>
    <x v="20"/>
    <x v="163"/>
    <n v="65"/>
    <n v="36"/>
    <n v="29"/>
  </r>
  <r>
    <x v="12"/>
    <x v="274"/>
    <s v="TA"/>
    <x v="20"/>
    <x v="233"/>
    <n v="29"/>
    <n v="18"/>
    <n v="11"/>
  </r>
  <r>
    <x v="12"/>
    <x v="275"/>
    <s v="TA"/>
    <x v="20"/>
    <x v="234"/>
    <n v="243"/>
    <n v="154"/>
    <n v="89"/>
  </r>
  <r>
    <x v="12"/>
    <x v="276"/>
    <s v="TA"/>
    <x v="20"/>
    <x v="59"/>
    <n v="241"/>
    <n v="165"/>
    <n v="76"/>
  </r>
  <r>
    <x v="12"/>
    <x v="277"/>
    <s v="TA"/>
    <x v="20"/>
    <x v="235"/>
    <n v="297"/>
    <n v="171"/>
    <n v="126"/>
  </r>
  <r>
    <x v="12"/>
    <x v="278"/>
    <s v="TA"/>
    <x v="20"/>
    <x v="236"/>
    <n v="67"/>
    <n v="48"/>
    <n v="19"/>
  </r>
  <r>
    <x v="12"/>
    <x v="279"/>
    <s v="TA"/>
    <x v="20"/>
    <x v="237"/>
    <n v="160"/>
    <n v="106"/>
    <n v="54"/>
  </r>
  <r>
    <x v="12"/>
    <x v="280"/>
    <s v="TA"/>
    <x v="20"/>
    <x v="35"/>
    <n v="25"/>
    <n v="13"/>
    <n v="12"/>
  </r>
  <r>
    <x v="12"/>
    <x v="281"/>
    <s v="TA"/>
    <x v="20"/>
    <x v="238"/>
    <n v="202"/>
    <n v="138"/>
    <n v="64"/>
  </r>
  <r>
    <x v="12"/>
    <x v="282"/>
    <s v="TA"/>
    <x v="20"/>
    <x v="239"/>
    <n v="83"/>
    <n v="50"/>
    <n v="33"/>
  </r>
  <r>
    <x v="12"/>
    <x v="283"/>
    <s v="TA"/>
    <x v="20"/>
    <x v="38"/>
    <n v="97"/>
    <n v="56"/>
    <n v="41"/>
  </r>
  <r>
    <x v="12"/>
    <x v="284"/>
    <s v="TA"/>
    <x v="20"/>
    <x v="240"/>
    <n v="211"/>
    <n v="141"/>
    <n v="70"/>
  </r>
  <r>
    <x v="12"/>
    <x v="285"/>
    <s v="TA"/>
    <x v="20"/>
    <x v="241"/>
    <n v="38"/>
    <n v="23"/>
    <n v="15"/>
  </r>
  <r>
    <x v="12"/>
    <x v="286"/>
    <s v="TA"/>
    <x v="20"/>
    <x v="242"/>
    <n v="280"/>
    <n v="165"/>
    <n v="115"/>
  </r>
  <r>
    <x v="12"/>
    <x v="287"/>
    <s v="TA"/>
    <x v="20"/>
    <x v="42"/>
    <n v="50"/>
    <n v="30"/>
    <n v="20"/>
  </r>
  <r>
    <x v="12"/>
    <x v="288"/>
    <s v="TA"/>
    <x v="20"/>
    <x v="66"/>
    <n v="74"/>
    <n v="46"/>
    <n v="28"/>
  </r>
  <r>
    <x v="12"/>
    <x v="289"/>
    <s v="TA"/>
    <x v="20"/>
    <x v="243"/>
    <n v="49"/>
    <n v="33"/>
    <n v="16"/>
  </r>
  <r>
    <x v="12"/>
    <x v="290"/>
    <s v="TA"/>
    <x v="20"/>
    <x v="244"/>
    <n v="64"/>
    <n v="38"/>
    <n v="26"/>
  </r>
  <r>
    <x v="12"/>
    <x v="291"/>
    <s v="TA"/>
    <x v="20"/>
    <x v="245"/>
    <n v="158"/>
    <n v="110"/>
    <n v="48"/>
  </r>
  <r>
    <x v="12"/>
    <x v="292"/>
    <s v="TA"/>
    <x v="20"/>
    <x v="246"/>
    <n v="112"/>
    <n v="77"/>
    <n v="35"/>
  </r>
  <r>
    <x v="12"/>
    <x v="293"/>
    <s v="TA"/>
    <x v="20"/>
    <x v="247"/>
    <n v="34"/>
    <n v="24"/>
    <n v="10"/>
  </r>
  <r>
    <x v="12"/>
    <x v="294"/>
    <s v="TA"/>
    <x v="20"/>
    <x v="248"/>
    <n v="57"/>
    <n v="39"/>
    <n v="18"/>
  </r>
  <r>
    <x v="12"/>
    <x v="295"/>
    <s v="TA"/>
    <x v="20"/>
    <x v="249"/>
    <n v="2687"/>
    <n v="1591"/>
    <n v="1096"/>
  </r>
  <r>
    <x v="12"/>
    <x v="296"/>
    <s v="TA"/>
    <x v="20"/>
    <x v="250"/>
    <n v="16"/>
    <n v="13"/>
    <n v="3"/>
  </r>
  <r>
    <x v="12"/>
    <x v="297"/>
    <s v="TA"/>
    <x v="20"/>
    <x v="251"/>
    <n v="40"/>
    <n v="27"/>
    <n v="13"/>
  </r>
  <r>
    <x v="12"/>
    <x v="298"/>
    <s v="TA"/>
    <x v="20"/>
    <x v="50"/>
    <n v="11"/>
    <n v="7"/>
    <n v="4"/>
  </r>
  <r>
    <x v="12"/>
    <x v="299"/>
    <s v="TA"/>
    <x v="20"/>
    <x v="73"/>
    <n v="43"/>
    <n v="22"/>
    <n v="21"/>
  </r>
  <r>
    <x v="12"/>
    <x v="300"/>
    <s v="TA"/>
    <x v="20"/>
    <x v="252"/>
    <n v="93"/>
    <n v="54"/>
    <n v="39"/>
  </r>
  <r>
    <x v="12"/>
    <x v="301"/>
    <s v="TA"/>
    <x v="20"/>
    <x v="253"/>
    <n v="102"/>
    <n v="58"/>
    <n v="44"/>
  </r>
  <r>
    <x v="12"/>
    <x v="302"/>
    <s v="TR"/>
    <x v="21"/>
    <x v="163"/>
    <n v="64"/>
    <n v="37"/>
    <n v="27"/>
  </r>
  <r>
    <x v="12"/>
    <x v="303"/>
    <s v="TR"/>
    <x v="21"/>
    <x v="254"/>
    <n v="532"/>
    <n v="311"/>
    <n v="221"/>
  </r>
  <r>
    <x v="12"/>
    <x v="304"/>
    <s v="TR"/>
    <x v="21"/>
    <x v="59"/>
    <n v="34"/>
    <n v="19"/>
    <n v="15"/>
  </r>
  <r>
    <x v="12"/>
    <x v="305"/>
    <s v="TR"/>
    <x v="21"/>
    <x v="255"/>
    <n v="76"/>
    <n v="46"/>
    <n v="30"/>
  </r>
  <r>
    <x v="12"/>
    <x v="306"/>
    <s v="TR"/>
    <x v="21"/>
    <x v="256"/>
    <n v="149"/>
    <n v="94"/>
    <n v="55"/>
  </r>
  <r>
    <x v="12"/>
    <x v="307"/>
    <s v="TR"/>
    <x v="21"/>
    <x v="257"/>
    <n v="54"/>
    <n v="26"/>
    <n v="28"/>
  </r>
  <r>
    <x v="12"/>
    <x v="308"/>
    <s v="TR"/>
    <x v="21"/>
    <x v="258"/>
    <n v="16"/>
    <n v="12"/>
    <n v="4"/>
  </r>
  <r>
    <x v="12"/>
    <x v="309"/>
    <s v="TR"/>
    <x v="21"/>
    <x v="259"/>
    <n v="19"/>
    <n v="9"/>
    <n v="10"/>
  </r>
  <r>
    <x v="12"/>
    <x v="310"/>
    <s v="TR"/>
    <x v="21"/>
    <x v="260"/>
    <n v="50"/>
    <n v="30"/>
    <n v="20"/>
  </r>
  <r>
    <x v="12"/>
    <x v="311"/>
    <s v="TR"/>
    <x v="21"/>
    <x v="104"/>
    <n v="48"/>
    <n v="30"/>
    <n v="18"/>
  </r>
  <r>
    <x v="12"/>
    <x v="312"/>
    <s v="TR"/>
    <x v="21"/>
    <x v="261"/>
    <n v="38"/>
    <n v="24"/>
    <n v="14"/>
  </r>
  <r>
    <x v="12"/>
    <x v="313"/>
    <s v="TR"/>
    <x v="21"/>
    <x v="262"/>
    <n v="32"/>
    <n v="17"/>
    <n v="15"/>
  </r>
  <r>
    <x v="12"/>
    <x v="314"/>
    <s v="TR"/>
    <x v="21"/>
    <x v="263"/>
    <n v="158"/>
    <n v="94"/>
    <n v="64"/>
  </r>
  <r>
    <x v="12"/>
    <x v="315"/>
    <s v="TR"/>
    <x v="21"/>
    <x v="264"/>
    <n v="57"/>
    <n v="42"/>
    <n v="15"/>
  </r>
  <r>
    <x v="12"/>
    <x v="316"/>
    <s v="TR"/>
    <x v="21"/>
    <x v="265"/>
    <n v="70"/>
    <n v="34"/>
    <n v="36"/>
  </r>
  <r>
    <x v="12"/>
    <x v="317"/>
    <s v="TR"/>
    <x v="21"/>
    <x v="266"/>
    <n v="111"/>
    <n v="70"/>
    <n v="41"/>
  </r>
  <r>
    <x v="12"/>
    <x v="318"/>
    <s v="TR"/>
    <x v="21"/>
    <x v="73"/>
    <n v="120"/>
    <n v="76"/>
    <n v="44"/>
  </r>
  <r>
    <x v="12"/>
    <x v="319"/>
    <s v="TR"/>
    <x v="21"/>
    <x v="267"/>
    <n v="471"/>
    <n v="295"/>
    <n v="176"/>
  </r>
  <r>
    <x v="12"/>
    <x v="320"/>
    <s v="TR"/>
    <x v="21"/>
    <x v="75"/>
    <n v="113"/>
    <n v="62"/>
    <n v="51"/>
  </r>
  <r>
    <x v="12"/>
    <x v="321"/>
    <s v="TR"/>
    <x v="21"/>
    <x v="268"/>
    <n v="1468"/>
    <n v="882"/>
    <n v="586"/>
  </r>
  <r>
    <x v="12"/>
    <x v="322"/>
    <s v="VA"/>
    <x v="0"/>
    <x v="269"/>
    <n v="110"/>
    <n v="78"/>
    <n v="32"/>
  </r>
  <r>
    <x v="12"/>
    <x v="323"/>
    <s v="VA"/>
    <x v="0"/>
    <x v="270"/>
    <n v="111"/>
    <n v="77"/>
    <n v="34"/>
  </r>
  <r>
    <x v="12"/>
    <x v="324"/>
    <s v="VA"/>
    <x v="0"/>
    <x v="271"/>
    <n v="136"/>
    <n v="92"/>
    <n v="44"/>
  </r>
  <r>
    <x v="12"/>
    <x v="325"/>
    <s v="VA"/>
    <x v="0"/>
    <x v="272"/>
    <n v="17"/>
    <n v="11"/>
    <n v="6"/>
  </r>
  <r>
    <x v="12"/>
    <x v="326"/>
    <s v="VA"/>
    <x v="0"/>
    <x v="273"/>
    <n v="279"/>
    <n v="199"/>
    <n v="80"/>
  </r>
  <r>
    <x v="12"/>
    <x v="327"/>
    <s v="VA"/>
    <x v="0"/>
    <x v="274"/>
    <n v="23"/>
    <n v="16"/>
    <n v="7"/>
  </r>
  <r>
    <x v="12"/>
    <x v="328"/>
    <s v="VA"/>
    <x v="0"/>
    <x v="275"/>
    <n v="319"/>
    <n v="205"/>
    <n v="114"/>
  </r>
  <r>
    <x v="12"/>
    <x v="329"/>
    <s v="VA"/>
    <x v="0"/>
    <x v="276"/>
    <n v="65"/>
    <n v="39"/>
    <n v="26"/>
  </r>
  <r>
    <x v="12"/>
    <x v="330"/>
    <s v="VA"/>
    <x v="0"/>
    <x v="277"/>
    <n v="532"/>
    <n v="325"/>
    <n v="207"/>
  </r>
  <r>
    <x v="12"/>
    <x v="331"/>
    <s v="VA"/>
    <x v="0"/>
    <x v="278"/>
    <n v="47"/>
    <n v="31"/>
    <n v="16"/>
  </r>
  <r>
    <x v="12"/>
    <x v="332"/>
    <s v="VA"/>
    <x v="0"/>
    <x v="279"/>
    <n v="85"/>
    <n v="57"/>
    <n v="28"/>
  </r>
  <r>
    <x v="12"/>
    <x v="333"/>
    <s v="YA"/>
    <x v="22"/>
    <x v="280"/>
    <n v="76"/>
    <n v="44"/>
    <n v="32"/>
  </r>
  <r>
    <x v="12"/>
    <x v="334"/>
    <s v="YA"/>
    <x v="22"/>
    <x v="59"/>
    <n v="80"/>
    <n v="48"/>
    <n v="32"/>
  </r>
  <r>
    <x v="12"/>
    <x v="335"/>
    <s v="YA"/>
    <x v="22"/>
    <x v="281"/>
    <n v="238"/>
    <n v="147"/>
    <n v="91"/>
  </r>
  <r>
    <x v="12"/>
    <x v="336"/>
    <s v="YA"/>
    <x v="22"/>
    <x v="282"/>
    <n v="89"/>
    <n v="62"/>
    <n v="27"/>
  </r>
  <r>
    <x v="12"/>
    <x v="337"/>
    <s v="YA"/>
    <x v="22"/>
    <x v="38"/>
    <n v="86"/>
    <n v="56"/>
    <n v="30"/>
  </r>
  <r>
    <x v="12"/>
    <x v="338"/>
    <s v="YA"/>
    <x v="22"/>
    <x v="283"/>
    <n v="37"/>
    <n v="23"/>
    <n v="14"/>
  </r>
  <r>
    <x v="12"/>
    <x v="339"/>
    <s v="YA"/>
    <x v="22"/>
    <x v="284"/>
    <n v="0"/>
    <n v="0"/>
    <n v="0"/>
  </r>
  <r>
    <x v="12"/>
    <x v="340"/>
    <s v="YA"/>
    <x v="22"/>
    <x v="285"/>
    <n v="34"/>
    <n v="23"/>
    <n v="11"/>
  </r>
  <r>
    <x v="12"/>
    <x v="341"/>
    <s v="YA"/>
    <x v="22"/>
    <x v="286"/>
    <n v="258"/>
    <n v="154"/>
    <n v="104"/>
  </r>
  <r>
    <x v="12"/>
    <x v="342"/>
    <s v="YA"/>
    <x v="22"/>
    <x v="287"/>
    <n v="242"/>
    <n v="157"/>
    <n v="85"/>
  </r>
  <r>
    <x v="12"/>
    <x v="343"/>
    <s v="YA"/>
    <x v="22"/>
    <x v="288"/>
    <n v="1249"/>
    <n v="727"/>
    <n v="522"/>
  </r>
  <r>
    <x v="12"/>
    <x v="344"/>
    <s v="YA"/>
    <x v="22"/>
    <x v="73"/>
    <n v="46"/>
    <n v="29"/>
    <n v="17"/>
  </r>
  <r>
    <x v="12"/>
    <x v="345"/>
    <s v="YA"/>
    <x v="22"/>
    <x v="289"/>
    <n v="55"/>
    <n v="36"/>
    <n v="19"/>
  </r>
  <r>
    <x v="12"/>
    <x v="346"/>
    <s v="YA"/>
    <x v="22"/>
    <x v="290"/>
    <n v="63"/>
    <n v="39"/>
    <n v="24"/>
  </r>
  <r>
    <x v="12"/>
    <x v="347"/>
    <s v="ZU"/>
    <x v="23"/>
    <x v="291"/>
    <n v="23"/>
    <n v="9"/>
    <n v="14"/>
  </r>
  <r>
    <x v="12"/>
    <x v="348"/>
    <s v="ZU"/>
    <x v="23"/>
    <x v="292"/>
    <n v="246"/>
    <n v="156"/>
    <n v="90"/>
  </r>
  <r>
    <x v="12"/>
    <x v="349"/>
    <s v="ZU"/>
    <x v="23"/>
    <x v="293"/>
    <n v="1195"/>
    <n v="647"/>
    <n v="548"/>
  </r>
  <r>
    <x v="12"/>
    <x v="350"/>
    <s v="ZU"/>
    <x v="23"/>
    <x v="294"/>
    <n v="122"/>
    <n v="87"/>
    <n v="35"/>
  </r>
  <r>
    <x v="12"/>
    <x v="351"/>
    <s v="ZU"/>
    <x v="23"/>
    <x v="295"/>
    <n v="500"/>
    <n v="333"/>
    <n v="167"/>
  </r>
  <r>
    <x v="12"/>
    <x v="352"/>
    <s v="ZU"/>
    <x v="23"/>
    <x v="296"/>
    <n v="80"/>
    <n v="55"/>
    <n v="25"/>
  </r>
  <r>
    <x v="12"/>
    <x v="353"/>
    <s v="ZU"/>
    <x v="23"/>
    <x v="297"/>
    <n v="392"/>
    <n v="248"/>
    <n v="144"/>
  </r>
  <r>
    <x v="12"/>
    <x v="354"/>
    <s v="ZU"/>
    <x v="23"/>
    <x v="298"/>
    <n v="82"/>
    <n v="65"/>
    <n v="17"/>
  </r>
  <r>
    <x v="12"/>
    <x v="355"/>
    <s v="ZU"/>
    <x v="23"/>
    <x v="299"/>
    <n v="180"/>
    <n v="115"/>
    <n v="65"/>
  </r>
  <r>
    <x v="12"/>
    <x v="356"/>
    <s v="ZU"/>
    <x v="23"/>
    <x v="300"/>
    <n v="965"/>
    <n v="592"/>
    <n v="373"/>
  </r>
  <r>
    <x v="12"/>
    <x v="357"/>
    <s v="ZU"/>
    <x v="23"/>
    <x v="301"/>
    <n v="436"/>
    <n v="274"/>
    <n v="162"/>
  </r>
  <r>
    <x v="12"/>
    <x v="358"/>
    <s v="ZU"/>
    <x v="23"/>
    <x v="302"/>
    <n v="878"/>
    <n v="523"/>
    <n v="355"/>
  </r>
  <r>
    <x v="12"/>
    <x v="359"/>
    <s v="ZU"/>
    <x v="23"/>
    <x v="303"/>
    <n v="8845"/>
    <n v="5117"/>
    <n v="3728"/>
  </r>
  <r>
    <x v="12"/>
    <x v="360"/>
    <s v="ZU"/>
    <x v="23"/>
    <x v="104"/>
    <n v="218"/>
    <n v="145"/>
    <n v="73"/>
  </r>
  <r>
    <x v="12"/>
    <x v="361"/>
    <s v="ZU"/>
    <x v="23"/>
    <x v="55"/>
    <n v="138"/>
    <n v="73"/>
    <n v="65"/>
  </r>
  <r>
    <x v="12"/>
    <x v="362"/>
    <s v="ZU"/>
    <x v="23"/>
    <x v="304"/>
    <n v="339"/>
    <n v="221"/>
    <n v="118"/>
  </r>
  <r>
    <x v="12"/>
    <x v="363"/>
    <s v="ZU"/>
    <x v="23"/>
    <x v="136"/>
    <n v="1251"/>
    <n v="729"/>
    <n v="522"/>
  </r>
  <r>
    <x v="12"/>
    <x v="364"/>
    <s v="ZU"/>
    <x v="23"/>
    <x v="305"/>
    <n v="147"/>
    <n v="99"/>
    <n v="48"/>
  </r>
  <r>
    <x v="12"/>
    <x v="365"/>
    <s v="ZU"/>
    <x v="23"/>
    <x v="49"/>
    <n v="93"/>
    <n v="68"/>
    <n v="25"/>
  </r>
  <r>
    <x v="12"/>
    <x v="366"/>
    <s v="ZU"/>
    <x v="23"/>
    <x v="73"/>
    <n v="225"/>
    <n v="146"/>
    <n v="79"/>
  </r>
  <r>
    <x v="12"/>
    <x v="367"/>
    <s v="ZU"/>
    <x v="23"/>
    <x v="306"/>
    <n v="166"/>
    <n v="95"/>
    <n v="71"/>
  </r>
  <r>
    <x v="12"/>
    <x v="368"/>
    <s v="DE"/>
    <x v="24"/>
    <x v="307"/>
    <n v="0"/>
    <n v="0"/>
    <n v="0"/>
  </r>
  <r>
    <x v="13"/>
    <x v="0"/>
    <s v="VA"/>
    <x v="0"/>
    <x v="0"/>
    <n v="0"/>
    <n v="0"/>
    <n v="0"/>
  </r>
  <r>
    <x v="13"/>
    <x v="1"/>
    <s v="DI"/>
    <x v="1"/>
    <x v="1"/>
    <n v="0"/>
    <n v="0"/>
    <n v="0"/>
  </r>
  <r>
    <x v="13"/>
    <x v="2"/>
    <s v="DI"/>
    <x v="1"/>
    <x v="2"/>
    <n v="121"/>
    <n v="69"/>
    <n v="52"/>
  </r>
  <r>
    <x v="13"/>
    <x v="3"/>
    <s v="DI"/>
    <x v="1"/>
    <x v="3"/>
    <n v="561"/>
    <n v="347"/>
    <n v="214"/>
  </r>
  <r>
    <x v="13"/>
    <x v="4"/>
    <s v="DI"/>
    <x v="1"/>
    <x v="4"/>
    <n v="223"/>
    <n v="130"/>
    <n v="93"/>
  </r>
  <r>
    <x v="13"/>
    <x v="5"/>
    <s v="DI"/>
    <x v="1"/>
    <x v="5"/>
    <n v="378"/>
    <n v="217"/>
    <n v="161"/>
  </r>
  <r>
    <x v="13"/>
    <x v="6"/>
    <s v="DI"/>
    <x v="1"/>
    <x v="6"/>
    <n v="93"/>
    <n v="65"/>
    <n v="28"/>
  </r>
  <r>
    <x v="13"/>
    <x v="7"/>
    <s v="DI"/>
    <x v="1"/>
    <x v="7"/>
    <n v="689"/>
    <n v="454"/>
    <n v="235"/>
  </r>
  <r>
    <x v="13"/>
    <x v="8"/>
    <s v="DI"/>
    <x v="1"/>
    <x v="8"/>
    <n v="93"/>
    <n v="60"/>
    <n v="33"/>
  </r>
  <r>
    <x v="13"/>
    <x v="9"/>
    <s v="DI"/>
    <x v="1"/>
    <x v="9"/>
    <n v="1976"/>
    <n v="1175"/>
    <n v="801"/>
  </r>
  <r>
    <x v="13"/>
    <x v="10"/>
    <s v="DI"/>
    <x v="1"/>
    <x v="10"/>
    <n v="702"/>
    <n v="346"/>
    <n v="356"/>
  </r>
  <r>
    <x v="13"/>
    <x v="11"/>
    <s v="DI"/>
    <x v="1"/>
    <x v="11"/>
    <n v="354"/>
    <n v="218"/>
    <n v="136"/>
  </r>
  <r>
    <x v="13"/>
    <x v="12"/>
    <s v="DI"/>
    <x v="1"/>
    <x v="12"/>
    <n v="477"/>
    <n v="287"/>
    <n v="190"/>
  </r>
  <r>
    <x v="13"/>
    <x v="13"/>
    <s v="DI"/>
    <x v="1"/>
    <x v="13"/>
    <n v="302"/>
    <n v="160"/>
    <n v="142"/>
  </r>
  <r>
    <x v="13"/>
    <x v="14"/>
    <s v="DI"/>
    <x v="1"/>
    <x v="14"/>
    <n v="130"/>
    <n v="83"/>
    <n v="47"/>
  </r>
  <r>
    <x v="13"/>
    <x v="15"/>
    <s v="DI"/>
    <x v="1"/>
    <x v="15"/>
    <n v="110"/>
    <n v="70"/>
    <n v="40"/>
  </r>
  <r>
    <x v="13"/>
    <x v="16"/>
    <s v="DI"/>
    <x v="1"/>
    <x v="16"/>
    <n v="964"/>
    <n v="488"/>
    <n v="476"/>
  </r>
  <r>
    <x v="13"/>
    <x v="17"/>
    <s v="DI"/>
    <x v="1"/>
    <x v="17"/>
    <n v="1499"/>
    <n v="824"/>
    <n v="675"/>
  </r>
  <r>
    <x v="13"/>
    <x v="18"/>
    <s v="DI"/>
    <x v="1"/>
    <x v="18"/>
    <n v="982"/>
    <n v="479"/>
    <n v="503"/>
  </r>
  <r>
    <x v="13"/>
    <x v="19"/>
    <s v="DI"/>
    <x v="1"/>
    <x v="19"/>
    <n v="2037"/>
    <n v="1059"/>
    <n v="978"/>
  </r>
  <r>
    <x v="13"/>
    <x v="20"/>
    <s v="DI"/>
    <x v="1"/>
    <x v="20"/>
    <n v="501"/>
    <n v="275"/>
    <n v="226"/>
  </r>
  <r>
    <x v="13"/>
    <x v="21"/>
    <s v="DI"/>
    <x v="1"/>
    <x v="21"/>
    <n v="59"/>
    <n v="32"/>
    <n v="27"/>
  </r>
  <r>
    <x v="13"/>
    <x v="22"/>
    <s v="DI"/>
    <x v="1"/>
    <x v="22"/>
    <n v="1868"/>
    <n v="1120"/>
    <n v="748"/>
  </r>
  <r>
    <x v="13"/>
    <x v="23"/>
    <s v="DI"/>
    <x v="1"/>
    <x v="23"/>
    <n v="193"/>
    <n v="121"/>
    <n v="72"/>
  </r>
  <r>
    <x v="13"/>
    <x v="24"/>
    <s v="AM"/>
    <x v="2"/>
    <x v="24"/>
    <n v="23"/>
    <n v="13"/>
    <n v="10"/>
  </r>
  <r>
    <x v="13"/>
    <x v="25"/>
    <s v="AM"/>
    <x v="2"/>
    <x v="25"/>
    <n v="1"/>
    <n v="0"/>
    <n v="1"/>
  </r>
  <r>
    <x v="13"/>
    <x v="26"/>
    <s v="AM"/>
    <x v="2"/>
    <x v="26"/>
    <n v="305"/>
    <n v="177"/>
    <n v="128"/>
  </r>
  <r>
    <x v="13"/>
    <x v="27"/>
    <s v="AM"/>
    <x v="2"/>
    <x v="27"/>
    <n v="6"/>
    <n v="3"/>
    <n v="3"/>
  </r>
  <r>
    <x v="13"/>
    <x v="28"/>
    <s v="AM"/>
    <x v="2"/>
    <x v="28"/>
    <n v="17"/>
    <n v="11"/>
    <n v="6"/>
  </r>
  <r>
    <x v="13"/>
    <x v="29"/>
    <s v="AM"/>
    <x v="2"/>
    <x v="29"/>
    <n v="5"/>
    <n v="3"/>
    <n v="2"/>
  </r>
  <r>
    <x v="13"/>
    <x v="30"/>
    <s v="AM"/>
    <x v="2"/>
    <x v="30"/>
    <n v="3"/>
    <n v="1"/>
    <n v="2"/>
  </r>
  <r>
    <x v="13"/>
    <x v="31"/>
    <s v="AN"/>
    <x v="3"/>
    <x v="31"/>
    <n v="187"/>
    <n v="114"/>
    <n v="73"/>
  </r>
  <r>
    <x v="13"/>
    <x v="32"/>
    <s v="AN"/>
    <x v="3"/>
    <x v="32"/>
    <n v="83"/>
    <n v="58"/>
    <n v="25"/>
  </r>
  <r>
    <x v="13"/>
    <x v="33"/>
    <s v="AN"/>
    <x v="3"/>
    <x v="33"/>
    <n v="78"/>
    <n v="49"/>
    <n v="29"/>
  </r>
  <r>
    <x v="13"/>
    <x v="34"/>
    <s v="AN"/>
    <x v="3"/>
    <x v="34"/>
    <n v="62"/>
    <n v="39"/>
    <n v="23"/>
  </r>
  <r>
    <x v="13"/>
    <x v="35"/>
    <s v="AN"/>
    <x v="3"/>
    <x v="35"/>
    <n v="86"/>
    <n v="59"/>
    <n v="27"/>
  </r>
  <r>
    <x v="13"/>
    <x v="36"/>
    <s v="AN"/>
    <x v="3"/>
    <x v="36"/>
    <n v="39"/>
    <n v="20"/>
    <n v="19"/>
  </r>
  <r>
    <x v="13"/>
    <x v="37"/>
    <s v="AN"/>
    <x v="3"/>
    <x v="37"/>
    <n v="39"/>
    <n v="28"/>
    <n v="11"/>
  </r>
  <r>
    <x v="13"/>
    <x v="38"/>
    <s v="AN"/>
    <x v="3"/>
    <x v="38"/>
    <n v="56"/>
    <n v="34"/>
    <n v="22"/>
  </r>
  <r>
    <x v="13"/>
    <x v="39"/>
    <s v="AN"/>
    <x v="3"/>
    <x v="39"/>
    <n v="37"/>
    <n v="20"/>
    <n v="17"/>
  </r>
  <r>
    <x v="13"/>
    <x v="40"/>
    <s v="AN"/>
    <x v="3"/>
    <x v="40"/>
    <n v="502"/>
    <n v="312"/>
    <n v="190"/>
  </r>
  <r>
    <x v="13"/>
    <x v="41"/>
    <s v="AN"/>
    <x v="3"/>
    <x v="41"/>
    <n v="15"/>
    <n v="9"/>
    <n v="6"/>
  </r>
  <r>
    <x v="13"/>
    <x v="42"/>
    <s v="AN"/>
    <x v="3"/>
    <x v="42"/>
    <n v="37"/>
    <n v="22"/>
    <n v="15"/>
  </r>
  <r>
    <x v="13"/>
    <x v="43"/>
    <s v="AN"/>
    <x v="3"/>
    <x v="43"/>
    <n v="107"/>
    <n v="67"/>
    <n v="40"/>
  </r>
  <r>
    <x v="13"/>
    <x v="44"/>
    <s v="AN"/>
    <x v="3"/>
    <x v="44"/>
    <n v="195"/>
    <n v="122"/>
    <n v="73"/>
  </r>
  <r>
    <x v="13"/>
    <x v="45"/>
    <s v="AN"/>
    <x v="3"/>
    <x v="45"/>
    <n v="85"/>
    <n v="47"/>
    <n v="38"/>
  </r>
  <r>
    <x v="13"/>
    <x v="46"/>
    <s v="AN"/>
    <x v="3"/>
    <x v="46"/>
    <n v="110"/>
    <n v="68"/>
    <n v="42"/>
  </r>
  <r>
    <x v="13"/>
    <x v="47"/>
    <s v="AN"/>
    <x v="3"/>
    <x v="47"/>
    <n v="33"/>
    <n v="22"/>
    <n v="11"/>
  </r>
  <r>
    <x v="13"/>
    <x v="48"/>
    <s v="AN"/>
    <x v="3"/>
    <x v="48"/>
    <n v="25"/>
    <n v="13"/>
    <n v="12"/>
  </r>
  <r>
    <x v="13"/>
    <x v="49"/>
    <s v="AN"/>
    <x v="3"/>
    <x v="49"/>
    <n v="1055"/>
    <n v="647"/>
    <n v="408"/>
  </r>
  <r>
    <x v="13"/>
    <x v="50"/>
    <s v="AN"/>
    <x v="3"/>
    <x v="50"/>
    <n v="425"/>
    <n v="272"/>
    <n v="153"/>
  </r>
  <r>
    <x v="13"/>
    <x v="51"/>
    <s v="AN"/>
    <x v="3"/>
    <x v="51"/>
    <n v="17"/>
    <n v="12"/>
    <n v="5"/>
  </r>
  <r>
    <x v="13"/>
    <x v="52"/>
    <s v="AP"/>
    <x v="4"/>
    <x v="52"/>
    <n v="181"/>
    <n v="103"/>
    <n v="78"/>
  </r>
  <r>
    <x v="13"/>
    <x v="53"/>
    <s v="AP"/>
    <x v="4"/>
    <x v="53"/>
    <n v="88"/>
    <n v="52"/>
    <n v="36"/>
  </r>
  <r>
    <x v="13"/>
    <x v="54"/>
    <s v="AP"/>
    <x v="4"/>
    <x v="54"/>
    <n v="33"/>
    <n v="19"/>
    <n v="14"/>
  </r>
  <r>
    <x v="13"/>
    <x v="55"/>
    <s v="AP"/>
    <x v="4"/>
    <x v="55"/>
    <n v="242"/>
    <n v="152"/>
    <n v="90"/>
  </r>
  <r>
    <x v="13"/>
    <x v="56"/>
    <s v="AP"/>
    <x v="4"/>
    <x v="56"/>
    <n v="38"/>
    <n v="23"/>
    <n v="15"/>
  </r>
  <r>
    <x v="13"/>
    <x v="57"/>
    <s v="AP"/>
    <x v="4"/>
    <x v="57"/>
    <n v="55"/>
    <n v="26"/>
    <n v="29"/>
  </r>
  <r>
    <x v="13"/>
    <x v="58"/>
    <s v="AP"/>
    <x v="4"/>
    <x v="58"/>
    <n v="846"/>
    <n v="462"/>
    <n v="384"/>
  </r>
  <r>
    <x v="13"/>
    <x v="59"/>
    <s v="AR"/>
    <x v="5"/>
    <x v="59"/>
    <n v="133"/>
    <n v="83"/>
    <n v="50"/>
  </r>
  <r>
    <x v="13"/>
    <x v="60"/>
    <s v="AR"/>
    <x v="5"/>
    <x v="60"/>
    <n v="48"/>
    <n v="34"/>
    <n v="14"/>
  </r>
  <r>
    <x v="13"/>
    <x v="61"/>
    <s v="AR"/>
    <x v="5"/>
    <x v="61"/>
    <n v="224"/>
    <n v="142"/>
    <n v="82"/>
  </r>
  <r>
    <x v="13"/>
    <x v="62"/>
    <s v="AR"/>
    <x v="5"/>
    <x v="62"/>
    <n v="3301"/>
    <n v="1925"/>
    <n v="1376"/>
  </r>
  <r>
    <x v="13"/>
    <x v="63"/>
    <s v="AR"/>
    <x v="5"/>
    <x v="63"/>
    <n v="77"/>
    <n v="46"/>
    <n v="31"/>
  </r>
  <r>
    <x v="13"/>
    <x v="64"/>
    <s v="AR"/>
    <x v="5"/>
    <x v="64"/>
    <n v="773"/>
    <n v="450"/>
    <n v="323"/>
  </r>
  <r>
    <x v="13"/>
    <x v="65"/>
    <s v="AR"/>
    <x v="5"/>
    <x v="65"/>
    <n v="116"/>
    <n v="68"/>
    <n v="48"/>
  </r>
  <r>
    <x v="13"/>
    <x v="66"/>
    <s v="AR"/>
    <x v="5"/>
    <x v="66"/>
    <n v="445"/>
    <n v="240"/>
    <n v="205"/>
  </r>
  <r>
    <x v="13"/>
    <x v="67"/>
    <s v="AR"/>
    <x v="5"/>
    <x v="67"/>
    <n v="259"/>
    <n v="138"/>
    <n v="121"/>
  </r>
  <r>
    <x v="13"/>
    <x v="68"/>
    <s v="AR"/>
    <x v="5"/>
    <x v="68"/>
    <n v="0"/>
    <n v="0"/>
    <n v="0"/>
  </r>
  <r>
    <x v="13"/>
    <x v="69"/>
    <s v="AR"/>
    <x v="5"/>
    <x v="69"/>
    <n v="82"/>
    <n v="52"/>
    <n v="30"/>
  </r>
  <r>
    <x v="13"/>
    <x v="70"/>
    <s v="AR"/>
    <x v="5"/>
    <x v="70"/>
    <n v="63"/>
    <n v="37"/>
    <n v="26"/>
  </r>
  <r>
    <x v="13"/>
    <x v="71"/>
    <s v="AR"/>
    <x v="5"/>
    <x v="71"/>
    <n v="349"/>
    <n v="231"/>
    <n v="118"/>
  </r>
  <r>
    <x v="13"/>
    <x v="72"/>
    <s v="AR"/>
    <x v="5"/>
    <x v="72"/>
    <n v="117"/>
    <n v="82"/>
    <n v="35"/>
  </r>
  <r>
    <x v="13"/>
    <x v="73"/>
    <s v="AR"/>
    <x v="5"/>
    <x v="73"/>
    <n v="340"/>
    <n v="213"/>
    <n v="127"/>
  </r>
  <r>
    <x v="13"/>
    <x v="74"/>
    <s v="AR"/>
    <x v="5"/>
    <x v="74"/>
    <n v="49"/>
    <n v="30"/>
    <n v="19"/>
  </r>
  <r>
    <x v="13"/>
    <x v="75"/>
    <s v="AR"/>
    <x v="5"/>
    <x v="75"/>
    <n v="59"/>
    <n v="35"/>
    <n v="24"/>
  </r>
  <r>
    <x v="13"/>
    <x v="76"/>
    <s v="AR"/>
    <x v="5"/>
    <x v="76"/>
    <n v="447"/>
    <n v="277"/>
    <n v="170"/>
  </r>
  <r>
    <x v="13"/>
    <x v="77"/>
    <s v="BA"/>
    <x v="6"/>
    <x v="77"/>
    <n v="112"/>
    <n v="59"/>
    <n v="53"/>
  </r>
  <r>
    <x v="13"/>
    <x v="78"/>
    <s v="BA"/>
    <x v="6"/>
    <x v="78"/>
    <n v="0"/>
    <n v="0"/>
    <n v="0"/>
  </r>
  <r>
    <x v="13"/>
    <x v="79"/>
    <s v="BA"/>
    <x v="6"/>
    <x v="79"/>
    <n v="209"/>
    <n v="128"/>
    <n v="81"/>
  </r>
  <r>
    <x v="13"/>
    <x v="80"/>
    <s v="BA"/>
    <x v="6"/>
    <x v="80"/>
    <n v="24"/>
    <n v="18"/>
    <n v="6"/>
  </r>
  <r>
    <x v="13"/>
    <x v="81"/>
    <s v="BA"/>
    <x v="6"/>
    <x v="81"/>
    <n v="1469"/>
    <n v="898"/>
    <n v="571"/>
  </r>
  <r>
    <x v="13"/>
    <x v="82"/>
    <s v="BA"/>
    <x v="6"/>
    <x v="59"/>
    <n v="98"/>
    <n v="55"/>
    <n v="43"/>
  </r>
  <r>
    <x v="13"/>
    <x v="83"/>
    <s v="BA"/>
    <x v="6"/>
    <x v="82"/>
    <n v="55"/>
    <n v="29"/>
    <n v="26"/>
  </r>
  <r>
    <x v="13"/>
    <x v="84"/>
    <s v="BA"/>
    <x v="6"/>
    <x v="83"/>
    <n v="189"/>
    <n v="115"/>
    <n v="74"/>
  </r>
  <r>
    <x v="13"/>
    <x v="85"/>
    <s v="BA"/>
    <x v="6"/>
    <x v="84"/>
    <n v="43"/>
    <n v="28"/>
    <n v="15"/>
  </r>
  <r>
    <x v="13"/>
    <x v="86"/>
    <s v="BA"/>
    <x v="6"/>
    <x v="85"/>
    <n v="172"/>
    <n v="106"/>
    <n v="66"/>
  </r>
  <r>
    <x v="13"/>
    <x v="87"/>
    <s v="BA"/>
    <x v="6"/>
    <x v="86"/>
    <n v="76"/>
    <n v="46"/>
    <n v="30"/>
  </r>
  <r>
    <x v="13"/>
    <x v="88"/>
    <s v="BA"/>
    <x v="6"/>
    <x v="87"/>
    <n v="35"/>
    <n v="25"/>
    <n v="10"/>
  </r>
  <r>
    <x v="13"/>
    <x v="89"/>
    <s v="BO"/>
    <x v="7"/>
    <x v="88"/>
    <n v="3106"/>
    <n v="2056"/>
    <n v="1050"/>
  </r>
  <r>
    <x v="13"/>
    <x v="90"/>
    <s v="BO"/>
    <x v="7"/>
    <x v="89"/>
    <n v="162"/>
    <n v="94"/>
    <n v="68"/>
  </r>
  <r>
    <x v="13"/>
    <x v="91"/>
    <s v="BO"/>
    <x v="7"/>
    <x v="90"/>
    <n v="79"/>
    <n v="48"/>
    <n v="31"/>
  </r>
  <r>
    <x v="13"/>
    <x v="92"/>
    <s v="BO"/>
    <x v="7"/>
    <x v="91"/>
    <n v="60"/>
    <n v="34"/>
    <n v="26"/>
  </r>
  <r>
    <x v="13"/>
    <x v="93"/>
    <s v="BO"/>
    <x v="7"/>
    <x v="92"/>
    <n v="1810"/>
    <n v="1060"/>
    <n v="750"/>
  </r>
  <r>
    <x v="13"/>
    <x v="94"/>
    <s v="BO"/>
    <x v="7"/>
    <x v="93"/>
    <n v="33"/>
    <n v="17"/>
    <n v="16"/>
  </r>
  <r>
    <x v="13"/>
    <x v="95"/>
    <s v="BO"/>
    <x v="7"/>
    <x v="94"/>
    <n v="259"/>
    <n v="141"/>
    <n v="118"/>
  </r>
  <r>
    <x v="13"/>
    <x v="96"/>
    <s v="BO"/>
    <x v="7"/>
    <x v="95"/>
    <n v="77"/>
    <n v="44"/>
    <n v="33"/>
  </r>
  <r>
    <x v="13"/>
    <x v="97"/>
    <s v="BO"/>
    <x v="7"/>
    <x v="96"/>
    <n v="45"/>
    <n v="28"/>
    <n v="17"/>
  </r>
  <r>
    <x v="13"/>
    <x v="98"/>
    <s v="BO"/>
    <x v="7"/>
    <x v="97"/>
    <n v="121"/>
    <n v="82"/>
    <n v="39"/>
  </r>
  <r>
    <x v="13"/>
    <x v="99"/>
    <s v="BO"/>
    <x v="7"/>
    <x v="73"/>
    <n v="10"/>
    <n v="7"/>
    <n v="3"/>
  </r>
  <r>
    <x v="13"/>
    <x v="100"/>
    <s v="CA"/>
    <x v="8"/>
    <x v="98"/>
    <n v="239"/>
    <n v="140"/>
    <n v="99"/>
  </r>
  <r>
    <x v="13"/>
    <x v="101"/>
    <s v="CA"/>
    <x v="8"/>
    <x v="99"/>
    <n v="432"/>
    <n v="296"/>
    <n v="136"/>
  </r>
  <r>
    <x v="13"/>
    <x v="102"/>
    <s v="CA"/>
    <x v="8"/>
    <x v="100"/>
    <n v="246"/>
    <n v="152"/>
    <n v="94"/>
  </r>
  <r>
    <x v="13"/>
    <x v="103"/>
    <s v="CA"/>
    <x v="8"/>
    <x v="101"/>
    <n v="439"/>
    <n v="273"/>
    <n v="166"/>
  </r>
  <r>
    <x v="13"/>
    <x v="104"/>
    <s v="CA"/>
    <x v="8"/>
    <x v="102"/>
    <n v="155"/>
    <n v="106"/>
    <n v="49"/>
  </r>
  <r>
    <x v="13"/>
    <x v="105"/>
    <s v="CA"/>
    <x v="8"/>
    <x v="66"/>
    <n v="439"/>
    <n v="327"/>
    <n v="112"/>
  </r>
  <r>
    <x v="13"/>
    <x v="106"/>
    <s v="CA"/>
    <x v="8"/>
    <x v="103"/>
    <n v="192"/>
    <n v="135"/>
    <n v="57"/>
  </r>
  <r>
    <x v="13"/>
    <x v="107"/>
    <s v="CA"/>
    <x v="8"/>
    <x v="104"/>
    <n v="64"/>
    <n v="31"/>
    <n v="33"/>
  </r>
  <r>
    <x v="13"/>
    <x v="108"/>
    <s v="CA"/>
    <x v="8"/>
    <x v="105"/>
    <n v="48"/>
    <n v="27"/>
    <n v="21"/>
  </r>
  <r>
    <x v="13"/>
    <x v="109"/>
    <s v="CA"/>
    <x v="8"/>
    <x v="106"/>
    <n v="1294"/>
    <n v="697"/>
    <n v="597"/>
  </r>
  <r>
    <x v="13"/>
    <x v="110"/>
    <s v="CA"/>
    <x v="8"/>
    <x v="107"/>
    <n v="1092"/>
    <n v="689"/>
    <n v="403"/>
  </r>
  <r>
    <x v="13"/>
    <x v="111"/>
    <s v="CA"/>
    <x v="8"/>
    <x v="108"/>
    <n v="86"/>
    <n v="49"/>
    <n v="37"/>
  </r>
  <r>
    <x v="13"/>
    <x v="112"/>
    <s v="CA"/>
    <x v="8"/>
    <x v="109"/>
    <n v="99"/>
    <n v="61"/>
    <n v="38"/>
  </r>
  <r>
    <x v="13"/>
    <x v="113"/>
    <s v="CA"/>
    <x v="8"/>
    <x v="110"/>
    <n v="4316"/>
    <n v="2646"/>
    <n v="1670"/>
  </r>
  <r>
    <x v="13"/>
    <x v="114"/>
    <s v="CO"/>
    <x v="9"/>
    <x v="111"/>
    <n v="48"/>
    <n v="26"/>
    <n v="22"/>
  </r>
  <r>
    <x v="13"/>
    <x v="115"/>
    <s v="CO"/>
    <x v="9"/>
    <x v="112"/>
    <n v="272"/>
    <n v="139"/>
    <n v="133"/>
  </r>
  <r>
    <x v="13"/>
    <x v="116"/>
    <s v="CO"/>
    <x v="9"/>
    <x v="62"/>
    <n v="35"/>
    <n v="18"/>
    <n v="17"/>
  </r>
  <r>
    <x v="13"/>
    <x v="117"/>
    <s v="CO"/>
    <x v="9"/>
    <x v="113"/>
    <n v="8"/>
    <n v="7"/>
    <n v="1"/>
  </r>
  <r>
    <x v="13"/>
    <x v="118"/>
    <s v="CO"/>
    <x v="9"/>
    <x v="114"/>
    <n v="56"/>
    <n v="37"/>
    <n v="19"/>
  </r>
  <r>
    <x v="13"/>
    <x v="119"/>
    <s v="CO"/>
    <x v="9"/>
    <x v="115"/>
    <n v="14"/>
    <n v="10"/>
    <n v="4"/>
  </r>
  <r>
    <x v="13"/>
    <x v="120"/>
    <s v="CO"/>
    <x v="9"/>
    <x v="57"/>
    <n v="38"/>
    <n v="22"/>
    <n v="16"/>
  </r>
  <r>
    <x v="13"/>
    <x v="121"/>
    <s v="CO"/>
    <x v="9"/>
    <x v="116"/>
    <n v="590"/>
    <n v="336"/>
    <n v="254"/>
  </r>
  <r>
    <x v="13"/>
    <x v="122"/>
    <s v="CO"/>
    <x v="9"/>
    <x v="117"/>
    <n v="69"/>
    <n v="41"/>
    <n v="28"/>
  </r>
  <r>
    <x v="13"/>
    <x v="123"/>
    <s v="DE"/>
    <x v="10"/>
    <x v="118"/>
    <n v="30"/>
    <n v="17"/>
    <n v="13"/>
  </r>
  <r>
    <x v="13"/>
    <x v="124"/>
    <s v="DE"/>
    <x v="10"/>
    <x v="119"/>
    <n v="29"/>
    <n v="22"/>
    <n v="7"/>
  </r>
  <r>
    <x v="13"/>
    <x v="125"/>
    <s v="DE"/>
    <x v="10"/>
    <x v="120"/>
    <n v="10"/>
    <n v="8"/>
    <n v="2"/>
  </r>
  <r>
    <x v="13"/>
    <x v="126"/>
    <s v="DE"/>
    <x v="10"/>
    <x v="121"/>
    <n v="330"/>
    <n v="205"/>
    <n v="125"/>
  </r>
  <r>
    <x v="13"/>
    <x v="127"/>
    <s v="FA"/>
    <x v="11"/>
    <x v="122"/>
    <n v="24"/>
    <n v="13"/>
    <n v="11"/>
  </r>
  <r>
    <x v="13"/>
    <x v="128"/>
    <s v="FA"/>
    <x v="11"/>
    <x v="59"/>
    <n v="23"/>
    <n v="9"/>
    <n v="14"/>
  </r>
  <r>
    <x v="13"/>
    <x v="129"/>
    <s v="FA"/>
    <x v="11"/>
    <x v="123"/>
    <n v="40"/>
    <n v="22"/>
    <n v="18"/>
  </r>
  <r>
    <x v="13"/>
    <x v="130"/>
    <s v="FA"/>
    <x v="11"/>
    <x v="124"/>
    <n v="14"/>
    <n v="8"/>
    <n v="6"/>
  </r>
  <r>
    <x v="13"/>
    <x v="131"/>
    <s v="FA"/>
    <x v="11"/>
    <x v="125"/>
    <n v="568"/>
    <n v="346"/>
    <n v="222"/>
  </r>
  <r>
    <x v="13"/>
    <x v="132"/>
    <s v="FA"/>
    <x v="11"/>
    <x v="126"/>
    <n v="46"/>
    <n v="23"/>
    <n v="23"/>
  </r>
  <r>
    <x v="13"/>
    <x v="133"/>
    <s v="FA"/>
    <x v="11"/>
    <x v="127"/>
    <n v="59"/>
    <n v="34"/>
    <n v="25"/>
  </r>
  <r>
    <x v="13"/>
    <x v="134"/>
    <s v="FA"/>
    <x v="11"/>
    <x v="128"/>
    <n v="14"/>
    <n v="10"/>
    <n v="4"/>
  </r>
  <r>
    <x v="13"/>
    <x v="135"/>
    <s v="FA"/>
    <x v="11"/>
    <x v="112"/>
    <n v="47"/>
    <n v="23"/>
    <n v="24"/>
  </r>
  <r>
    <x v="13"/>
    <x v="136"/>
    <s v="FA"/>
    <x v="11"/>
    <x v="129"/>
    <n v="101"/>
    <n v="48"/>
    <n v="53"/>
  </r>
  <r>
    <x v="13"/>
    <x v="137"/>
    <s v="FA"/>
    <x v="11"/>
    <x v="130"/>
    <n v="14"/>
    <n v="6"/>
    <n v="8"/>
  </r>
  <r>
    <x v="13"/>
    <x v="138"/>
    <s v="FA"/>
    <x v="11"/>
    <x v="131"/>
    <n v="77"/>
    <n v="44"/>
    <n v="33"/>
  </r>
  <r>
    <x v="13"/>
    <x v="139"/>
    <s v="FA"/>
    <x v="11"/>
    <x v="132"/>
    <n v="59"/>
    <n v="38"/>
    <n v="21"/>
  </r>
  <r>
    <x v="13"/>
    <x v="140"/>
    <s v="FA"/>
    <x v="11"/>
    <x v="104"/>
    <n v="989"/>
    <n v="538"/>
    <n v="451"/>
  </r>
  <r>
    <x v="13"/>
    <x v="141"/>
    <s v="FA"/>
    <x v="11"/>
    <x v="133"/>
    <n v="52"/>
    <n v="38"/>
    <n v="14"/>
  </r>
  <r>
    <x v="13"/>
    <x v="142"/>
    <s v="FA"/>
    <x v="11"/>
    <x v="134"/>
    <n v="2"/>
    <n v="0"/>
    <n v="2"/>
  </r>
  <r>
    <x v="13"/>
    <x v="143"/>
    <s v="FA"/>
    <x v="11"/>
    <x v="135"/>
    <n v="30"/>
    <n v="13"/>
    <n v="17"/>
  </r>
  <r>
    <x v="13"/>
    <x v="144"/>
    <s v="FA"/>
    <x v="11"/>
    <x v="45"/>
    <n v="28"/>
    <n v="18"/>
    <n v="10"/>
  </r>
  <r>
    <x v="13"/>
    <x v="145"/>
    <s v="FA"/>
    <x v="11"/>
    <x v="136"/>
    <n v="27"/>
    <n v="20"/>
    <n v="7"/>
  </r>
  <r>
    <x v="13"/>
    <x v="146"/>
    <s v="FA"/>
    <x v="11"/>
    <x v="137"/>
    <n v="179"/>
    <n v="106"/>
    <n v="73"/>
  </r>
  <r>
    <x v="13"/>
    <x v="147"/>
    <s v="FA"/>
    <x v="11"/>
    <x v="73"/>
    <n v="17"/>
    <n v="7"/>
    <n v="10"/>
  </r>
  <r>
    <x v="13"/>
    <x v="148"/>
    <s v="FA"/>
    <x v="11"/>
    <x v="138"/>
    <n v="20"/>
    <n v="11"/>
    <n v="9"/>
  </r>
  <r>
    <x v="13"/>
    <x v="149"/>
    <s v="FA"/>
    <x v="11"/>
    <x v="139"/>
    <n v="31"/>
    <n v="17"/>
    <n v="14"/>
  </r>
  <r>
    <x v="13"/>
    <x v="150"/>
    <s v="FA"/>
    <x v="11"/>
    <x v="140"/>
    <n v="1"/>
    <n v="1"/>
    <n v="0"/>
  </r>
  <r>
    <x v="13"/>
    <x v="151"/>
    <s v="FA"/>
    <x v="11"/>
    <x v="76"/>
    <n v="8"/>
    <n v="5"/>
    <n v="3"/>
  </r>
  <r>
    <x v="13"/>
    <x v="152"/>
    <s v="GU"/>
    <x v="12"/>
    <x v="141"/>
    <n v="44"/>
    <n v="24"/>
    <n v="20"/>
  </r>
  <r>
    <x v="13"/>
    <x v="153"/>
    <s v="GU"/>
    <x v="12"/>
    <x v="142"/>
    <n v="20"/>
    <n v="14"/>
    <n v="6"/>
  </r>
  <r>
    <x v="13"/>
    <x v="154"/>
    <s v="GU"/>
    <x v="12"/>
    <x v="143"/>
    <n v="50"/>
    <n v="23"/>
    <n v="27"/>
  </r>
  <r>
    <x v="13"/>
    <x v="155"/>
    <s v="GU"/>
    <x v="12"/>
    <x v="144"/>
    <n v="22"/>
    <n v="10"/>
    <n v="12"/>
  </r>
  <r>
    <x v="13"/>
    <x v="156"/>
    <s v="GU"/>
    <x v="12"/>
    <x v="145"/>
    <n v="600"/>
    <n v="353"/>
    <n v="247"/>
  </r>
  <r>
    <x v="13"/>
    <x v="157"/>
    <s v="GU"/>
    <x v="12"/>
    <x v="146"/>
    <n v="48"/>
    <n v="23"/>
    <n v="25"/>
  </r>
  <r>
    <x v="13"/>
    <x v="158"/>
    <s v="GU"/>
    <x v="12"/>
    <x v="147"/>
    <n v="121"/>
    <n v="66"/>
    <n v="55"/>
  </r>
  <r>
    <x v="13"/>
    <x v="159"/>
    <s v="GU"/>
    <x v="12"/>
    <x v="104"/>
    <n v="495"/>
    <n v="288"/>
    <n v="207"/>
  </r>
  <r>
    <x v="13"/>
    <x v="160"/>
    <s v="GU"/>
    <x v="12"/>
    <x v="148"/>
    <n v="310"/>
    <n v="174"/>
    <n v="136"/>
  </r>
  <r>
    <x v="13"/>
    <x v="161"/>
    <s v="GU"/>
    <x v="12"/>
    <x v="149"/>
    <n v="45"/>
    <n v="29"/>
    <n v="16"/>
  </r>
  <r>
    <x v="13"/>
    <x v="162"/>
    <s v="GU"/>
    <x v="12"/>
    <x v="150"/>
    <n v="87"/>
    <n v="53"/>
    <n v="34"/>
  </r>
  <r>
    <x v="13"/>
    <x v="163"/>
    <s v="GU"/>
    <x v="12"/>
    <x v="96"/>
    <n v="655"/>
    <n v="342"/>
    <n v="313"/>
  </r>
  <r>
    <x v="13"/>
    <x v="164"/>
    <s v="GU"/>
    <x v="12"/>
    <x v="151"/>
    <n v="33"/>
    <n v="15"/>
    <n v="18"/>
  </r>
  <r>
    <x v="13"/>
    <x v="165"/>
    <s v="GU"/>
    <x v="12"/>
    <x v="152"/>
    <n v="29"/>
    <n v="16"/>
    <n v="13"/>
  </r>
  <r>
    <x v="13"/>
    <x v="166"/>
    <s v="GU"/>
    <x v="12"/>
    <x v="153"/>
    <n v="220"/>
    <n v="117"/>
    <n v="103"/>
  </r>
  <r>
    <x v="13"/>
    <x v="167"/>
    <s v="LA"/>
    <x v="13"/>
    <x v="154"/>
    <n v="124"/>
    <n v="66"/>
    <n v="58"/>
  </r>
  <r>
    <x v="13"/>
    <x v="168"/>
    <s v="LA"/>
    <x v="13"/>
    <x v="155"/>
    <n v="140"/>
    <n v="87"/>
    <n v="53"/>
  </r>
  <r>
    <x v="13"/>
    <x v="169"/>
    <s v="LA"/>
    <x v="13"/>
    <x v="156"/>
    <n v="5132"/>
    <n v="2858"/>
    <n v="2274"/>
  </r>
  <r>
    <x v="13"/>
    <x v="170"/>
    <s v="LA"/>
    <x v="13"/>
    <x v="157"/>
    <n v="252"/>
    <n v="155"/>
    <n v="97"/>
  </r>
  <r>
    <x v="13"/>
    <x v="171"/>
    <s v="LA"/>
    <x v="13"/>
    <x v="158"/>
    <n v="389"/>
    <n v="214"/>
    <n v="175"/>
  </r>
  <r>
    <x v="13"/>
    <x v="172"/>
    <s v="LA"/>
    <x v="13"/>
    <x v="159"/>
    <n v="246"/>
    <n v="130"/>
    <n v="116"/>
  </r>
  <r>
    <x v="13"/>
    <x v="173"/>
    <s v="LA"/>
    <x v="13"/>
    <x v="160"/>
    <n v="65"/>
    <n v="49"/>
    <n v="16"/>
  </r>
  <r>
    <x v="13"/>
    <x v="174"/>
    <s v="LA"/>
    <x v="13"/>
    <x v="161"/>
    <n v="729"/>
    <n v="410"/>
    <n v="319"/>
  </r>
  <r>
    <x v="13"/>
    <x v="175"/>
    <s v="LA"/>
    <x v="13"/>
    <x v="75"/>
    <n v="172"/>
    <n v="97"/>
    <n v="75"/>
  </r>
  <r>
    <x v="13"/>
    <x v="176"/>
    <s v="ME"/>
    <x v="14"/>
    <x v="162"/>
    <n v="497"/>
    <n v="326"/>
    <n v="171"/>
  </r>
  <r>
    <x v="13"/>
    <x v="177"/>
    <s v="ME"/>
    <x v="14"/>
    <x v="163"/>
    <n v="35"/>
    <n v="22"/>
    <n v="13"/>
  </r>
  <r>
    <x v="13"/>
    <x v="178"/>
    <s v="ME"/>
    <x v="14"/>
    <x v="164"/>
    <n v="79"/>
    <n v="47"/>
    <n v="32"/>
  </r>
  <r>
    <x v="13"/>
    <x v="179"/>
    <s v="ME"/>
    <x v="14"/>
    <x v="165"/>
    <n v="11"/>
    <n v="8"/>
    <n v="3"/>
  </r>
  <r>
    <x v="13"/>
    <x v="180"/>
    <s v="ME"/>
    <x v="14"/>
    <x v="166"/>
    <n v="44"/>
    <n v="27"/>
    <n v="17"/>
  </r>
  <r>
    <x v="13"/>
    <x v="181"/>
    <s v="ME"/>
    <x v="14"/>
    <x v="167"/>
    <n v="221"/>
    <n v="120"/>
    <n v="101"/>
  </r>
  <r>
    <x v="13"/>
    <x v="182"/>
    <s v="ME"/>
    <x v="14"/>
    <x v="168"/>
    <n v="28"/>
    <n v="16"/>
    <n v="12"/>
  </r>
  <r>
    <x v="13"/>
    <x v="183"/>
    <s v="ME"/>
    <x v="14"/>
    <x v="169"/>
    <n v="88"/>
    <n v="56"/>
    <n v="32"/>
  </r>
  <r>
    <x v="13"/>
    <x v="184"/>
    <s v="ME"/>
    <x v="14"/>
    <x v="170"/>
    <n v="34"/>
    <n v="20"/>
    <n v="14"/>
  </r>
  <r>
    <x v="13"/>
    <x v="185"/>
    <s v="ME"/>
    <x v="14"/>
    <x v="171"/>
    <n v="41"/>
    <n v="27"/>
    <n v="14"/>
  </r>
  <r>
    <x v="13"/>
    <x v="186"/>
    <s v="ME"/>
    <x v="14"/>
    <x v="172"/>
    <n v="22"/>
    <n v="13"/>
    <n v="9"/>
  </r>
  <r>
    <x v="13"/>
    <x v="187"/>
    <s v="ME"/>
    <x v="14"/>
    <x v="66"/>
    <n v="1767"/>
    <n v="1068"/>
    <n v="699"/>
  </r>
  <r>
    <x v="13"/>
    <x v="188"/>
    <s v="ME"/>
    <x v="14"/>
    <x v="104"/>
    <n v="91"/>
    <n v="59"/>
    <n v="32"/>
  </r>
  <r>
    <x v="13"/>
    <x v="189"/>
    <s v="ME"/>
    <x v="14"/>
    <x v="173"/>
    <n v="92"/>
    <n v="75"/>
    <n v="17"/>
  </r>
  <r>
    <x v="13"/>
    <x v="190"/>
    <s v="ME"/>
    <x v="14"/>
    <x v="174"/>
    <n v="3"/>
    <n v="2"/>
    <n v="1"/>
  </r>
  <r>
    <x v="13"/>
    <x v="191"/>
    <s v="ME"/>
    <x v="14"/>
    <x v="175"/>
    <n v="23"/>
    <n v="16"/>
    <n v="7"/>
  </r>
  <r>
    <x v="13"/>
    <x v="192"/>
    <s v="ME"/>
    <x v="14"/>
    <x v="176"/>
    <n v="50"/>
    <n v="29"/>
    <n v="21"/>
  </r>
  <r>
    <x v="13"/>
    <x v="193"/>
    <s v="ME"/>
    <x v="14"/>
    <x v="177"/>
    <n v="63"/>
    <n v="31"/>
    <n v="32"/>
  </r>
  <r>
    <x v="13"/>
    <x v="194"/>
    <s v="ME"/>
    <x v="14"/>
    <x v="178"/>
    <n v="45"/>
    <n v="32"/>
    <n v="13"/>
  </r>
  <r>
    <x v="13"/>
    <x v="195"/>
    <s v="ME"/>
    <x v="14"/>
    <x v="73"/>
    <n v="157"/>
    <n v="96"/>
    <n v="61"/>
  </r>
  <r>
    <x v="13"/>
    <x v="196"/>
    <s v="ME"/>
    <x v="14"/>
    <x v="74"/>
    <n v="130"/>
    <n v="74"/>
    <n v="56"/>
  </r>
  <r>
    <x v="13"/>
    <x v="197"/>
    <s v="ME"/>
    <x v="14"/>
    <x v="179"/>
    <n v="80"/>
    <n v="48"/>
    <n v="32"/>
  </r>
  <r>
    <x v="13"/>
    <x v="198"/>
    <s v="ME"/>
    <x v="14"/>
    <x v="180"/>
    <n v="38"/>
    <n v="22"/>
    <n v="16"/>
  </r>
  <r>
    <x v="13"/>
    <x v="199"/>
    <s v="MI"/>
    <x v="15"/>
    <x v="181"/>
    <n v="307"/>
    <n v="190"/>
    <n v="117"/>
  </r>
  <r>
    <x v="13"/>
    <x v="200"/>
    <s v="MI"/>
    <x v="15"/>
    <x v="163"/>
    <n v="64"/>
    <n v="33"/>
    <n v="31"/>
  </r>
  <r>
    <x v="13"/>
    <x v="201"/>
    <s v="MI"/>
    <x v="15"/>
    <x v="182"/>
    <n v="1239"/>
    <n v="597"/>
    <n v="642"/>
  </r>
  <r>
    <x v="13"/>
    <x v="202"/>
    <s v="MI"/>
    <x v="15"/>
    <x v="183"/>
    <n v="222"/>
    <n v="144"/>
    <n v="78"/>
  </r>
  <r>
    <x v="13"/>
    <x v="203"/>
    <s v="MI"/>
    <x v="15"/>
    <x v="184"/>
    <n v="42"/>
    <n v="23"/>
    <n v="19"/>
  </r>
  <r>
    <x v="13"/>
    <x v="204"/>
    <s v="MI"/>
    <x v="15"/>
    <x v="185"/>
    <n v="120"/>
    <n v="59"/>
    <n v="61"/>
  </r>
  <r>
    <x v="13"/>
    <x v="205"/>
    <s v="MI"/>
    <x v="15"/>
    <x v="186"/>
    <n v="601"/>
    <n v="315"/>
    <n v="286"/>
  </r>
  <r>
    <x v="13"/>
    <x v="206"/>
    <s v="MI"/>
    <x v="15"/>
    <x v="187"/>
    <n v="235"/>
    <n v="164"/>
    <n v="71"/>
  </r>
  <r>
    <x v="13"/>
    <x v="207"/>
    <s v="MI"/>
    <x v="15"/>
    <x v="188"/>
    <n v="132"/>
    <n v="71"/>
    <n v="61"/>
  </r>
  <r>
    <x v="13"/>
    <x v="208"/>
    <s v="MI"/>
    <x v="15"/>
    <x v="189"/>
    <n v="1098"/>
    <n v="685"/>
    <n v="413"/>
  </r>
  <r>
    <x v="13"/>
    <x v="209"/>
    <s v="MI"/>
    <x v="15"/>
    <x v="38"/>
    <n v="384"/>
    <n v="248"/>
    <n v="136"/>
  </r>
  <r>
    <x v="13"/>
    <x v="210"/>
    <s v="MI"/>
    <x v="15"/>
    <x v="190"/>
    <n v="789"/>
    <n v="503"/>
    <n v="286"/>
  </r>
  <r>
    <x v="13"/>
    <x v="211"/>
    <s v="MI"/>
    <x v="15"/>
    <x v="191"/>
    <n v="204"/>
    <n v="107"/>
    <n v="97"/>
  </r>
  <r>
    <x v="13"/>
    <x v="212"/>
    <s v="MI"/>
    <x v="15"/>
    <x v="55"/>
    <n v="175"/>
    <n v="105"/>
    <n v="70"/>
  </r>
  <r>
    <x v="13"/>
    <x v="213"/>
    <s v="MI"/>
    <x v="15"/>
    <x v="192"/>
    <n v="194"/>
    <n v="115"/>
    <n v="79"/>
  </r>
  <r>
    <x v="13"/>
    <x v="214"/>
    <s v="MI"/>
    <x v="15"/>
    <x v="193"/>
    <n v="48"/>
    <n v="33"/>
    <n v="15"/>
  </r>
  <r>
    <x v="13"/>
    <x v="215"/>
    <s v="MI"/>
    <x v="15"/>
    <x v="194"/>
    <n v="488"/>
    <n v="308"/>
    <n v="180"/>
  </r>
  <r>
    <x v="13"/>
    <x v="216"/>
    <s v="MI"/>
    <x v="15"/>
    <x v="49"/>
    <n v="146"/>
    <n v="105"/>
    <n v="41"/>
  </r>
  <r>
    <x v="13"/>
    <x v="217"/>
    <s v="MI"/>
    <x v="15"/>
    <x v="73"/>
    <n v="3147"/>
    <n v="1931"/>
    <n v="1216"/>
  </r>
  <r>
    <x v="13"/>
    <x v="218"/>
    <s v="MI"/>
    <x v="15"/>
    <x v="75"/>
    <n v="289"/>
    <n v="185"/>
    <n v="104"/>
  </r>
  <r>
    <x v="13"/>
    <x v="219"/>
    <s v="MI"/>
    <x v="15"/>
    <x v="76"/>
    <n v="640"/>
    <n v="402"/>
    <n v="238"/>
  </r>
  <r>
    <x v="13"/>
    <x v="220"/>
    <s v="MO"/>
    <x v="16"/>
    <x v="122"/>
    <n v="48"/>
    <n v="36"/>
    <n v="12"/>
  </r>
  <r>
    <x v="13"/>
    <x v="221"/>
    <s v="MO"/>
    <x v="16"/>
    <x v="195"/>
    <n v="25"/>
    <n v="16"/>
    <n v="9"/>
  </r>
  <r>
    <x v="13"/>
    <x v="222"/>
    <s v="MO"/>
    <x v="16"/>
    <x v="59"/>
    <n v="76"/>
    <n v="43"/>
    <n v="33"/>
  </r>
  <r>
    <x v="13"/>
    <x v="223"/>
    <s v="MO"/>
    <x v="16"/>
    <x v="196"/>
    <n v="92"/>
    <n v="56"/>
    <n v="36"/>
  </r>
  <r>
    <x v="13"/>
    <x v="224"/>
    <s v="MO"/>
    <x v="16"/>
    <x v="89"/>
    <n v="56"/>
    <n v="32"/>
    <n v="24"/>
  </r>
  <r>
    <x v="13"/>
    <x v="225"/>
    <s v="MO"/>
    <x v="16"/>
    <x v="83"/>
    <n v="148"/>
    <n v="88"/>
    <n v="60"/>
  </r>
  <r>
    <x v="13"/>
    <x v="226"/>
    <s v="MO"/>
    <x v="16"/>
    <x v="66"/>
    <n v="84"/>
    <n v="55"/>
    <n v="29"/>
  </r>
  <r>
    <x v="13"/>
    <x v="227"/>
    <s v="MO"/>
    <x v="16"/>
    <x v="197"/>
    <n v="2276"/>
    <n v="1374"/>
    <n v="902"/>
  </r>
  <r>
    <x v="13"/>
    <x v="228"/>
    <s v="MO"/>
    <x v="16"/>
    <x v="94"/>
    <n v="108"/>
    <n v="70"/>
    <n v="38"/>
  </r>
  <r>
    <x v="13"/>
    <x v="229"/>
    <s v="MO"/>
    <x v="16"/>
    <x v="198"/>
    <n v="87"/>
    <n v="54"/>
    <n v="33"/>
  </r>
  <r>
    <x v="13"/>
    <x v="230"/>
    <s v="MO"/>
    <x v="16"/>
    <x v="199"/>
    <n v="21"/>
    <n v="15"/>
    <n v="6"/>
  </r>
  <r>
    <x v="13"/>
    <x v="231"/>
    <s v="MO"/>
    <x v="16"/>
    <x v="200"/>
    <n v="63"/>
    <n v="37"/>
    <n v="26"/>
  </r>
  <r>
    <x v="13"/>
    <x v="232"/>
    <s v="MO"/>
    <x v="16"/>
    <x v="201"/>
    <n v="20"/>
    <n v="9"/>
    <n v="11"/>
  </r>
  <r>
    <x v="13"/>
    <x v="233"/>
    <s v="NU"/>
    <x v="17"/>
    <x v="202"/>
    <n v="57"/>
    <n v="38"/>
    <n v="19"/>
  </r>
  <r>
    <x v="13"/>
    <x v="234"/>
    <s v="NU"/>
    <x v="17"/>
    <x v="80"/>
    <n v="104"/>
    <n v="46"/>
    <n v="58"/>
  </r>
  <r>
    <x v="13"/>
    <x v="235"/>
    <s v="NU"/>
    <x v="17"/>
    <x v="203"/>
    <n v="108"/>
    <n v="66"/>
    <n v="42"/>
  </r>
  <r>
    <x v="13"/>
    <x v="236"/>
    <s v="NU"/>
    <x v="17"/>
    <x v="204"/>
    <n v="101"/>
    <n v="69"/>
    <n v="32"/>
  </r>
  <r>
    <x v="13"/>
    <x v="237"/>
    <s v="NU"/>
    <x v="17"/>
    <x v="205"/>
    <n v="81"/>
    <n v="42"/>
    <n v="39"/>
  </r>
  <r>
    <x v="13"/>
    <x v="238"/>
    <s v="NU"/>
    <x v="17"/>
    <x v="206"/>
    <n v="96"/>
    <n v="49"/>
    <n v="47"/>
  </r>
  <r>
    <x v="13"/>
    <x v="239"/>
    <s v="NU"/>
    <x v="17"/>
    <x v="207"/>
    <n v="123"/>
    <n v="71"/>
    <n v="52"/>
  </r>
  <r>
    <x v="13"/>
    <x v="240"/>
    <s v="NU"/>
    <x v="17"/>
    <x v="208"/>
    <n v="876"/>
    <n v="534"/>
    <n v="342"/>
  </r>
  <r>
    <x v="13"/>
    <x v="241"/>
    <s v="NU"/>
    <x v="17"/>
    <x v="209"/>
    <n v="64"/>
    <n v="34"/>
    <n v="30"/>
  </r>
  <r>
    <x v="13"/>
    <x v="242"/>
    <s v="NU"/>
    <x v="17"/>
    <x v="210"/>
    <n v="66"/>
    <n v="34"/>
    <n v="32"/>
  </r>
  <r>
    <x v="13"/>
    <x v="243"/>
    <s v="NU"/>
    <x v="17"/>
    <x v="211"/>
    <n v="27"/>
    <n v="17"/>
    <n v="10"/>
  </r>
  <r>
    <x v="13"/>
    <x v="244"/>
    <s v="PO"/>
    <x v="18"/>
    <x v="212"/>
    <n v="40"/>
    <n v="29"/>
    <n v="11"/>
  </r>
  <r>
    <x v="13"/>
    <x v="245"/>
    <s v="PO"/>
    <x v="18"/>
    <x v="213"/>
    <n v="1065"/>
    <n v="652"/>
    <n v="413"/>
  </r>
  <r>
    <x v="13"/>
    <x v="246"/>
    <s v="PO"/>
    <x v="18"/>
    <x v="214"/>
    <n v="118"/>
    <n v="74"/>
    <n v="44"/>
  </r>
  <r>
    <x v="13"/>
    <x v="247"/>
    <s v="PO"/>
    <x v="18"/>
    <x v="215"/>
    <n v="978"/>
    <n v="605"/>
    <n v="373"/>
  </r>
  <r>
    <x v="13"/>
    <x v="248"/>
    <s v="PO"/>
    <x v="18"/>
    <x v="216"/>
    <n v="77"/>
    <n v="51"/>
    <n v="26"/>
  </r>
  <r>
    <x v="13"/>
    <x v="249"/>
    <s v="PO"/>
    <x v="18"/>
    <x v="217"/>
    <n v="82"/>
    <n v="42"/>
    <n v="40"/>
  </r>
  <r>
    <x v="13"/>
    <x v="250"/>
    <s v="PO"/>
    <x v="18"/>
    <x v="218"/>
    <n v="88"/>
    <n v="55"/>
    <n v="33"/>
  </r>
  <r>
    <x v="13"/>
    <x v="251"/>
    <s v="PO"/>
    <x v="18"/>
    <x v="55"/>
    <n v="441"/>
    <n v="290"/>
    <n v="151"/>
  </r>
  <r>
    <x v="13"/>
    <x v="252"/>
    <s v="PO"/>
    <x v="18"/>
    <x v="219"/>
    <n v="20"/>
    <n v="18"/>
    <n v="2"/>
  </r>
  <r>
    <x v="13"/>
    <x v="253"/>
    <s v="PO"/>
    <x v="18"/>
    <x v="220"/>
    <n v="47"/>
    <n v="32"/>
    <n v="15"/>
  </r>
  <r>
    <x v="13"/>
    <x v="254"/>
    <s v="PO"/>
    <x v="18"/>
    <x v="221"/>
    <n v="22"/>
    <n v="15"/>
    <n v="7"/>
  </r>
  <r>
    <x v="13"/>
    <x v="255"/>
    <s v="PO"/>
    <x v="18"/>
    <x v="222"/>
    <n v="37"/>
    <n v="22"/>
    <n v="15"/>
  </r>
  <r>
    <x v="13"/>
    <x v="256"/>
    <s v="PO"/>
    <x v="18"/>
    <x v="73"/>
    <n v="124"/>
    <n v="69"/>
    <n v="55"/>
  </r>
  <r>
    <x v="13"/>
    <x v="257"/>
    <s v="PO"/>
    <x v="18"/>
    <x v="223"/>
    <n v="191"/>
    <n v="112"/>
    <n v="79"/>
  </r>
  <r>
    <x v="13"/>
    <x v="258"/>
    <s v="SU"/>
    <x v="19"/>
    <x v="154"/>
    <n v="88"/>
    <n v="53"/>
    <n v="35"/>
  </r>
  <r>
    <x v="13"/>
    <x v="259"/>
    <s v="SU"/>
    <x v="19"/>
    <x v="224"/>
    <n v="26"/>
    <n v="17"/>
    <n v="9"/>
  </r>
  <r>
    <x v="13"/>
    <x v="260"/>
    <s v="SU"/>
    <x v="19"/>
    <x v="80"/>
    <n v="155"/>
    <n v="79"/>
    <n v="76"/>
  </r>
  <r>
    <x v="13"/>
    <x v="261"/>
    <s v="SU"/>
    <x v="19"/>
    <x v="225"/>
    <n v="30"/>
    <n v="20"/>
    <n v="10"/>
  </r>
  <r>
    <x v="13"/>
    <x v="262"/>
    <s v="SU"/>
    <x v="19"/>
    <x v="226"/>
    <n v="723"/>
    <n v="390"/>
    <n v="333"/>
  </r>
  <r>
    <x v="13"/>
    <x v="263"/>
    <s v="SU"/>
    <x v="19"/>
    <x v="59"/>
    <n v="47"/>
    <n v="27"/>
    <n v="20"/>
  </r>
  <r>
    <x v="13"/>
    <x v="264"/>
    <s v="SU"/>
    <x v="19"/>
    <x v="227"/>
    <n v="59"/>
    <n v="34"/>
    <n v="25"/>
  </r>
  <r>
    <x v="13"/>
    <x v="265"/>
    <s v="SU"/>
    <x v="19"/>
    <x v="228"/>
    <n v="66"/>
    <n v="37"/>
    <n v="29"/>
  </r>
  <r>
    <x v="13"/>
    <x v="266"/>
    <s v="SU"/>
    <x v="19"/>
    <x v="66"/>
    <n v="26"/>
    <n v="14"/>
    <n v="12"/>
  </r>
  <r>
    <x v="13"/>
    <x v="267"/>
    <s v="SU"/>
    <x v="19"/>
    <x v="208"/>
    <n v="72"/>
    <n v="42"/>
    <n v="30"/>
  </r>
  <r>
    <x v="13"/>
    <x v="268"/>
    <s v="SU"/>
    <x v="19"/>
    <x v="229"/>
    <n v="18"/>
    <n v="14"/>
    <n v="4"/>
  </r>
  <r>
    <x v="13"/>
    <x v="269"/>
    <s v="SU"/>
    <x v="19"/>
    <x v="230"/>
    <n v="172"/>
    <n v="101"/>
    <n v="71"/>
  </r>
  <r>
    <x v="13"/>
    <x v="270"/>
    <s v="SU"/>
    <x v="19"/>
    <x v="231"/>
    <n v="142"/>
    <n v="84"/>
    <n v="58"/>
  </r>
  <r>
    <x v="13"/>
    <x v="271"/>
    <s v="SU"/>
    <x v="19"/>
    <x v="73"/>
    <n v="1354"/>
    <n v="806"/>
    <n v="548"/>
  </r>
  <r>
    <x v="13"/>
    <x v="272"/>
    <s v="SU"/>
    <x v="19"/>
    <x v="232"/>
    <n v="90"/>
    <n v="57"/>
    <n v="33"/>
  </r>
  <r>
    <x v="13"/>
    <x v="273"/>
    <s v="TA"/>
    <x v="20"/>
    <x v="163"/>
    <n v="43"/>
    <n v="29"/>
    <n v="14"/>
  </r>
  <r>
    <x v="13"/>
    <x v="274"/>
    <s v="TA"/>
    <x v="20"/>
    <x v="233"/>
    <n v="33"/>
    <n v="16"/>
    <n v="17"/>
  </r>
  <r>
    <x v="13"/>
    <x v="275"/>
    <s v="TA"/>
    <x v="20"/>
    <x v="234"/>
    <n v="226"/>
    <n v="144"/>
    <n v="82"/>
  </r>
  <r>
    <x v="13"/>
    <x v="276"/>
    <s v="TA"/>
    <x v="20"/>
    <x v="59"/>
    <n v="178"/>
    <n v="108"/>
    <n v="70"/>
  </r>
  <r>
    <x v="13"/>
    <x v="277"/>
    <s v="TA"/>
    <x v="20"/>
    <x v="235"/>
    <n v="229"/>
    <n v="142"/>
    <n v="87"/>
  </r>
  <r>
    <x v="13"/>
    <x v="278"/>
    <s v="TA"/>
    <x v="20"/>
    <x v="236"/>
    <n v="76"/>
    <n v="49"/>
    <n v="27"/>
  </r>
  <r>
    <x v="13"/>
    <x v="279"/>
    <s v="TA"/>
    <x v="20"/>
    <x v="237"/>
    <n v="116"/>
    <n v="75"/>
    <n v="41"/>
  </r>
  <r>
    <x v="13"/>
    <x v="280"/>
    <s v="TA"/>
    <x v="20"/>
    <x v="35"/>
    <n v="17"/>
    <n v="12"/>
    <n v="5"/>
  </r>
  <r>
    <x v="13"/>
    <x v="281"/>
    <s v="TA"/>
    <x v="20"/>
    <x v="238"/>
    <n v="167"/>
    <n v="113"/>
    <n v="54"/>
  </r>
  <r>
    <x v="13"/>
    <x v="282"/>
    <s v="TA"/>
    <x v="20"/>
    <x v="239"/>
    <n v="63"/>
    <n v="35"/>
    <n v="28"/>
  </r>
  <r>
    <x v="13"/>
    <x v="283"/>
    <s v="TA"/>
    <x v="20"/>
    <x v="38"/>
    <n v="74"/>
    <n v="44"/>
    <n v="30"/>
  </r>
  <r>
    <x v="13"/>
    <x v="284"/>
    <s v="TA"/>
    <x v="20"/>
    <x v="240"/>
    <n v="212"/>
    <n v="123"/>
    <n v="89"/>
  </r>
  <r>
    <x v="13"/>
    <x v="285"/>
    <s v="TA"/>
    <x v="20"/>
    <x v="241"/>
    <n v="20"/>
    <n v="13"/>
    <n v="7"/>
  </r>
  <r>
    <x v="13"/>
    <x v="286"/>
    <s v="TA"/>
    <x v="20"/>
    <x v="242"/>
    <n v="236"/>
    <n v="132"/>
    <n v="104"/>
  </r>
  <r>
    <x v="13"/>
    <x v="287"/>
    <s v="TA"/>
    <x v="20"/>
    <x v="42"/>
    <n v="45"/>
    <n v="30"/>
    <n v="15"/>
  </r>
  <r>
    <x v="13"/>
    <x v="288"/>
    <s v="TA"/>
    <x v="20"/>
    <x v="66"/>
    <n v="71"/>
    <n v="49"/>
    <n v="22"/>
  </r>
  <r>
    <x v="13"/>
    <x v="289"/>
    <s v="TA"/>
    <x v="20"/>
    <x v="243"/>
    <n v="51"/>
    <n v="34"/>
    <n v="17"/>
  </r>
  <r>
    <x v="13"/>
    <x v="290"/>
    <s v="TA"/>
    <x v="20"/>
    <x v="244"/>
    <n v="69"/>
    <n v="43"/>
    <n v="26"/>
  </r>
  <r>
    <x v="13"/>
    <x v="291"/>
    <s v="TA"/>
    <x v="20"/>
    <x v="245"/>
    <n v="137"/>
    <n v="76"/>
    <n v="61"/>
  </r>
  <r>
    <x v="13"/>
    <x v="292"/>
    <s v="TA"/>
    <x v="20"/>
    <x v="246"/>
    <n v="125"/>
    <n v="85"/>
    <n v="40"/>
  </r>
  <r>
    <x v="13"/>
    <x v="293"/>
    <s v="TA"/>
    <x v="20"/>
    <x v="247"/>
    <n v="24"/>
    <n v="15"/>
    <n v="9"/>
  </r>
  <r>
    <x v="13"/>
    <x v="294"/>
    <s v="TA"/>
    <x v="20"/>
    <x v="248"/>
    <n v="52"/>
    <n v="31"/>
    <n v="21"/>
  </r>
  <r>
    <x v="13"/>
    <x v="295"/>
    <s v="TA"/>
    <x v="20"/>
    <x v="249"/>
    <n v="2630"/>
    <n v="1584"/>
    <n v="1046"/>
  </r>
  <r>
    <x v="13"/>
    <x v="296"/>
    <s v="TA"/>
    <x v="20"/>
    <x v="250"/>
    <n v="32"/>
    <n v="20"/>
    <n v="12"/>
  </r>
  <r>
    <x v="13"/>
    <x v="297"/>
    <s v="TA"/>
    <x v="20"/>
    <x v="251"/>
    <n v="26"/>
    <n v="17"/>
    <n v="9"/>
  </r>
  <r>
    <x v="13"/>
    <x v="298"/>
    <s v="TA"/>
    <x v="20"/>
    <x v="50"/>
    <n v="8"/>
    <n v="6"/>
    <n v="2"/>
  </r>
  <r>
    <x v="13"/>
    <x v="299"/>
    <s v="TA"/>
    <x v="20"/>
    <x v="73"/>
    <n v="42"/>
    <n v="29"/>
    <n v="13"/>
  </r>
  <r>
    <x v="13"/>
    <x v="300"/>
    <s v="TA"/>
    <x v="20"/>
    <x v="252"/>
    <n v="72"/>
    <n v="51"/>
    <n v="21"/>
  </r>
  <r>
    <x v="13"/>
    <x v="301"/>
    <s v="TA"/>
    <x v="20"/>
    <x v="253"/>
    <n v="89"/>
    <n v="55"/>
    <n v="34"/>
  </r>
  <r>
    <x v="13"/>
    <x v="302"/>
    <s v="TR"/>
    <x v="21"/>
    <x v="163"/>
    <n v="62"/>
    <n v="40"/>
    <n v="22"/>
  </r>
  <r>
    <x v="13"/>
    <x v="303"/>
    <s v="TR"/>
    <x v="21"/>
    <x v="254"/>
    <n v="511"/>
    <n v="307"/>
    <n v="204"/>
  </r>
  <r>
    <x v="13"/>
    <x v="304"/>
    <s v="TR"/>
    <x v="21"/>
    <x v="59"/>
    <n v="29"/>
    <n v="18"/>
    <n v="11"/>
  </r>
  <r>
    <x v="13"/>
    <x v="305"/>
    <s v="TR"/>
    <x v="21"/>
    <x v="255"/>
    <n v="87"/>
    <n v="46"/>
    <n v="41"/>
  </r>
  <r>
    <x v="13"/>
    <x v="306"/>
    <s v="TR"/>
    <x v="21"/>
    <x v="256"/>
    <n v="161"/>
    <n v="89"/>
    <n v="72"/>
  </r>
  <r>
    <x v="13"/>
    <x v="307"/>
    <s v="TR"/>
    <x v="21"/>
    <x v="257"/>
    <n v="52"/>
    <n v="27"/>
    <n v="25"/>
  </r>
  <r>
    <x v="13"/>
    <x v="308"/>
    <s v="TR"/>
    <x v="21"/>
    <x v="258"/>
    <n v="9"/>
    <n v="3"/>
    <n v="6"/>
  </r>
  <r>
    <x v="13"/>
    <x v="309"/>
    <s v="TR"/>
    <x v="21"/>
    <x v="259"/>
    <n v="19"/>
    <n v="10"/>
    <n v="9"/>
  </r>
  <r>
    <x v="13"/>
    <x v="310"/>
    <s v="TR"/>
    <x v="21"/>
    <x v="260"/>
    <n v="38"/>
    <n v="21"/>
    <n v="17"/>
  </r>
  <r>
    <x v="13"/>
    <x v="311"/>
    <s v="TR"/>
    <x v="21"/>
    <x v="104"/>
    <n v="44"/>
    <n v="24"/>
    <n v="20"/>
  </r>
  <r>
    <x v="13"/>
    <x v="312"/>
    <s v="TR"/>
    <x v="21"/>
    <x v="261"/>
    <n v="32"/>
    <n v="15"/>
    <n v="17"/>
  </r>
  <r>
    <x v="13"/>
    <x v="313"/>
    <s v="TR"/>
    <x v="21"/>
    <x v="262"/>
    <n v="40"/>
    <n v="28"/>
    <n v="12"/>
  </r>
  <r>
    <x v="13"/>
    <x v="314"/>
    <s v="TR"/>
    <x v="21"/>
    <x v="263"/>
    <n v="139"/>
    <n v="104"/>
    <n v="35"/>
  </r>
  <r>
    <x v="13"/>
    <x v="315"/>
    <s v="TR"/>
    <x v="21"/>
    <x v="264"/>
    <n v="45"/>
    <n v="24"/>
    <n v="21"/>
  </r>
  <r>
    <x v="13"/>
    <x v="316"/>
    <s v="TR"/>
    <x v="21"/>
    <x v="265"/>
    <n v="66"/>
    <n v="31"/>
    <n v="35"/>
  </r>
  <r>
    <x v="13"/>
    <x v="317"/>
    <s v="TR"/>
    <x v="21"/>
    <x v="266"/>
    <n v="113"/>
    <n v="67"/>
    <n v="46"/>
  </r>
  <r>
    <x v="13"/>
    <x v="318"/>
    <s v="TR"/>
    <x v="21"/>
    <x v="73"/>
    <n v="127"/>
    <n v="84"/>
    <n v="43"/>
  </r>
  <r>
    <x v="13"/>
    <x v="319"/>
    <s v="TR"/>
    <x v="21"/>
    <x v="267"/>
    <n v="438"/>
    <n v="247"/>
    <n v="191"/>
  </r>
  <r>
    <x v="13"/>
    <x v="320"/>
    <s v="TR"/>
    <x v="21"/>
    <x v="75"/>
    <n v="131"/>
    <n v="79"/>
    <n v="52"/>
  </r>
  <r>
    <x v="13"/>
    <x v="321"/>
    <s v="TR"/>
    <x v="21"/>
    <x v="268"/>
    <n v="1418"/>
    <n v="859"/>
    <n v="559"/>
  </r>
  <r>
    <x v="13"/>
    <x v="322"/>
    <s v="VA"/>
    <x v="0"/>
    <x v="269"/>
    <n v="109"/>
    <n v="78"/>
    <n v="31"/>
  </r>
  <r>
    <x v="13"/>
    <x v="323"/>
    <s v="VA"/>
    <x v="0"/>
    <x v="270"/>
    <n v="83"/>
    <n v="52"/>
    <n v="31"/>
  </r>
  <r>
    <x v="13"/>
    <x v="324"/>
    <s v="VA"/>
    <x v="0"/>
    <x v="271"/>
    <n v="43"/>
    <n v="34"/>
    <n v="9"/>
  </r>
  <r>
    <x v="13"/>
    <x v="325"/>
    <s v="VA"/>
    <x v="0"/>
    <x v="272"/>
    <n v="20"/>
    <n v="13"/>
    <n v="7"/>
  </r>
  <r>
    <x v="13"/>
    <x v="326"/>
    <s v="VA"/>
    <x v="0"/>
    <x v="273"/>
    <n v="291"/>
    <n v="216"/>
    <n v="75"/>
  </r>
  <r>
    <x v="13"/>
    <x v="327"/>
    <s v="VA"/>
    <x v="0"/>
    <x v="274"/>
    <n v="7"/>
    <n v="4"/>
    <n v="3"/>
  </r>
  <r>
    <x v="13"/>
    <x v="328"/>
    <s v="VA"/>
    <x v="0"/>
    <x v="275"/>
    <n v="395"/>
    <n v="265"/>
    <n v="130"/>
  </r>
  <r>
    <x v="13"/>
    <x v="329"/>
    <s v="VA"/>
    <x v="0"/>
    <x v="276"/>
    <n v="72"/>
    <n v="42"/>
    <n v="30"/>
  </r>
  <r>
    <x v="13"/>
    <x v="330"/>
    <s v="VA"/>
    <x v="0"/>
    <x v="277"/>
    <n v="541"/>
    <n v="360"/>
    <n v="181"/>
  </r>
  <r>
    <x v="13"/>
    <x v="331"/>
    <s v="VA"/>
    <x v="0"/>
    <x v="278"/>
    <n v="46"/>
    <n v="32"/>
    <n v="14"/>
  </r>
  <r>
    <x v="13"/>
    <x v="332"/>
    <s v="VA"/>
    <x v="0"/>
    <x v="279"/>
    <n v="55"/>
    <n v="35"/>
    <n v="20"/>
  </r>
  <r>
    <x v="13"/>
    <x v="333"/>
    <s v="YA"/>
    <x v="22"/>
    <x v="280"/>
    <n v="45"/>
    <n v="30"/>
    <n v="15"/>
  </r>
  <r>
    <x v="13"/>
    <x v="334"/>
    <s v="YA"/>
    <x v="22"/>
    <x v="59"/>
    <n v="76"/>
    <n v="45"/>
    <n v="31"/>
  </r>
  <r>
    <x v="13"/>
    <x v="335"/>
    <s v="YA"/>
    <x v="22"/>
    <x v="281"/>
    <n v="178"/>
    <n v="108"/>
    <n v="70"/>
  </r>
  <r>
    <x v="13"/>
    <x v="336"/>
    <s v="YA"/>
    <x v="22"/>
    <x v="282"/>
    <n v="81"/>
    <n v="48"/>
    <n v="33"/>
  </r>
  <r>
    <x v="13"/>
    <x v="337"/>
    <s v="YA"/>
    <x v="22"/>
    <x v="38"/>
    <n v="67"/>
    <n v="39"/>
    <n v="28"/>
  </r>
  <r>
    <x v="13"/>
    <x v="338"/>
    <s v="YA"/>
    <x v="22"/>
    <x v="283"/>
    <n v="28"/>
    <n v="21"/>
    <n v="7"/>
  </r>
  <r>
    <x v="13"/>
    <x v="339"/>
    <s v="YA"/>
    <x v="22"/>
    <x v="284"/>
    <n v="16"/>
    <n v="11"/>
    <n v="5"/>
  </r>
  <r>
    <x v="13"/>
    <x v="340"/>
    <s v="YA"/>
    <x v="22"/>
    <x v="285"/>
    <n v="23"/>
    <n v="14"/>
    <n v="9"/>
  </r>
  <r>
    <x v="13"/>
    <x v="341"/>
    <s v="YA"/>
    <x v="22"/>
    <x v="286"/>
    <n v="253"/>
    <n v="166"/>
    <n v="87"/>
  </r>
  <r>
    <x v="13"/>
    <x v="342"/>
    <s v="YA"/>
    <x v="22"/>
    <x v="287"/>
    <n v="232"/>
    <n v="125"/>
    <n v="107"/>
  </r>
  <r>
    <x v="13"/>
    <x v="343"/>
    <s v="YA"/>
    <x v="22"/>
    <x v="288"/>
    <n v="1054"/>
    <n v="621"/>
    <n v="433"/>
  </r>
  <r>
    <x v="13"/>
    <x v="344"/>
    <s v="YA"/>
    <x v="22"/>
    <x v="73"/>
    <n v="41"/>
    <n v="31"/>
    <n v="10"/>
  </r>
  <r>
    <x v="13"/>
    <x v="345"/>
    <s v="YA"/>
    <x v="22"/>
    <x v="289"/>
    <n v="40"/>
    <n v="28"/>
    <n v="12"/>
  </r>
  <r>
    <x v="13"/>
    <x v="346"/>
    <s v="YA"/>
    <x v="22"/>
    <x v="290"/>
    <n v="51"/>
    <n v="30"/>
    <n v="21"/>
  </r>
  <r>
    <x v="13"/>
    <x v="347"/>
    <s v="ZU"/>
    <x v="23"/>
    <x v="291"/>
    <n v="23"/>
    <n v="15"/>
    <n v="8"/>
  </r>
  <r>
    <x v="13"/>
    <x v="348"/>
    <s v="ZU"/>
    <x v="23"/>
    <x v="292"/>
    <n v="222"/>
    <n v="146"/>
    <n v="76"/>
  </r>
  <r>
    <x v="13"/>
    <x v="349"/>
    <s v="ZU"/>
    <x v="23"/>
    <x v="293"/>
    <n v="1066"/>
    <n v="613"/>
    <n v="453"/>
  </r>
  <r>
    <x v="13"/>
    <x v="350"/>
    <s v="ZU"/>
    <x v="23"/>
    <x v="294"/>
    <n v="86"/>
    <n v="62"/>
    <n v="24"/>
  </r>
  <r>
    <x v="13"/>
    <x v="351"/>
    <s v="ZU"/>
    <x v="23"/>
    <x v="295"/>
    <n v="423"/>
    <n v="263"/>
    <n v="160"/>
  </r>
  <r>
    <x v="13"/>
    <x v="352"/>
    <s v="ZU"/>
    <x v="23"/>
    <x v="296"/>
    <n v="83"/>
    <n v="52"/>
    <n v="31"/>
  </r>
  <r>
    <x v="13"/>
    <x v="353"/>
    <s v="ZU"/>
    <x v="23"/>
    <x v="297"/>
    <n v="282"/>
    <n v="172"/>
    <n v="110"/>
  </r>
  <r>
    <x v="13"/>
    <x v="354"/>
    <s v="ZU"/>
    <x v="23"/>
    <x v="298"/>
    <n v="68"/>
    <n v="50"/>
    <n v="18"/>
  </r>
  <r>
    <x v="13"/>
    <x v="355"/>
    <s v="ZU"/>
    <x v="23"/>
    <x v="299"/>
    <n v="214"/>
    <n v="134"/>
    <n v="80"/>
  </r>
  <r>
    <x v="13"/>
    <x v="356"/>
    <s v="ZU"/>
    <x v="23"/>
    <x v="300"/>
    <n v="864"/>
    <n v="516"/>
    <n v="348"/>
  </r>
  <r>
    <x v="13"/>
    <x v="357"/>
    <s v="ZU"/>
    <x v="23"/>
    <x v="301"/>
    <n v="350"/>
    <n v="196"/>
    <n v="154"/>
  </r>
  <r>
    <x v="13"/>
    <x v="358"/>
    <s v="ZU"/>
    <x v="23"/>
    <x v="302"/>
    <n v="594"/>
    <n v="393"/>
    <n v="201"/>
  </r>
  <r>
    <x v="13"/>
    <x v="359"/>
    <s v="ZU"/>
    <x v="23"/>
    <x v="303"/>
    <n v="7912"/>
    <n v="4623"/>
    <n v="3289"/>
  </r>
  <r>
    <x v="13"/>
    <x v="360"/>
    <s v="ZU"/>
    <x v="23"/>
    <x v="104"/>
    <n v="221"/>
    <n v="141"/>
    <n v="80"/>
  </r>
  <r>
    <x v="13"/>
    <x v="361"/>
    <s v="ZU"/>
    <x v="23"/>
    <x v="55"/>
    <n v="154"/>
    <n v="77"/>
    <n v="77"/>
  </r>
  <r>
    <x v="13"/>
    <x v="362"/>
    <s v="ZU"/>
    <x v="23"/>
    <x v="304"/>
    <n v="278"/>
    <n v="169"/>
    <n v="109"/>
  </r>
  <r>
    <x v="13"/>
    <x v="363"/>
    <s v="ZU"/>
    <x v="23"/>
    <x v="136"/>
    <n v="1198"/>
    <n v="686"/>
    <n v="512"/>
  </r>
  <r>
    <x v="13"/>
    <x v="364"/>
    <s v="ZU"/>
    <x v="23"/>
    <x v="305"/>
    <n v="132"/>
    <n v="87"/>
    <n v="45"/>
  </r>
  <r>
    <x v="13"/>
    <x v="365"/>
    <s v="ZU"/>
    <x v="23"/>
    <x v="49"/>
    <n v="117"/>
    <n v="85"/>
    <n v="32"/>
  </r>
  <r>
    <x v="13"/>
    <x v="366"/>
    <s v="ZU"/>
    <x v="23"/>
    <x v="73"/>
    <n v="177"/>
    <n v="99"/>
    <n v="78"/>
  </r>
  <r>
    <x v="13"/>
    <x v="367"/>
    <s v="ZU"/>
    <x v="23"/>
    <x v="306"/>
    <n v="128"/>
    <n v="93"/>
    <n v="35"/>
  </r>
  <r>
    <x v="13"/>
    <x v="368"/>
    <s v="DE"/>
    <x v="24"/>
    <x v="307"/>
    <n v="0"/>
    <n v="0"/>
    <n v="0"/>
  </r>
  <r>
    <x v="14"/>
    <x v="0"/>
    <s v="VA"/>
    <x v="0"/>
    <x v="0"/>
    <n v="0"/>
    <n v="0"/>
    <n v="0"/>
  </r>
  <r>
    <x v="14"/>
    <x v="1"/>
    <s v="DI"/>
    <x v="1"/>
    <x v="1"/>
    <n v="0"/>
    <n v="0"/>
    <n v="0"/>
  </r>
  <r>
    <x v="14"/>
    <x v="2"/>
    <s v="DI"/>
    <x v="1"/>
    <x v="2"/>
    <n v="151"/>
    <n v="83"/>
    <n v="68"/>
  </r>
  <r>
    <x v="14"/>
    <x v="3"/>
    <s v="DI"/>
    <x v="1"/>
    <x v="3"/>
    <n v="633"/>
    <n v="446"/>
    <n v="187"/>
  </r>
  <r>
    <x v="14"/>
    <x v="4"/>
    <s v="DI"/>
    <x v="1"/>
    <x v="4"/>
    <n v="281"/>
    <n v="171"/>
    <n v="110"/>
  </r>
  <r>
    <x v="14"/>
    <x v="5"/>
    <s v="DI"/>
    <x v="1"/>
    <x v="5"/>
    <n v="313"/>
    <n v="168"/>
    <n v="145"/>
  </r>
  <r>
    <x v="14"/>
    <x v="6"/>
    <s v="DI"/>
    <x v="1"/>
    <x v="6"/>
    <n v="35"/>
    <n v="26"/>
    <n v="9"/>
  </r>
  <r>
    <x v="14"/>
    <x v="7"/>
    <s v="DI"/>
    <x v="1"/>
    <x v="7"/>
    <n v="617"/>
    <n v="413"/>
    <n v="204"/>
  </r>
  <r>
    <x v="14"/>
    <x v="8"/>
    <s v="DI"/>
    <x v="1"/>
    <x v="8"/>
    <n v="102"/>
    <n v="73"/>
    <n v="29"/>
  </r>
  <r>
    <x v="14"/>
    <x v="9"/>
    <s v="DI"/>
    <x v="1"/>
    <x v="9"/>
    <n v="1699"/>
    <n v="1018"/>
    <n v="681"/>
  </r>
  <r>
    <x v="14"/>
    <x v="10"/>
    <s v="DI"/>
    <x v="1"/>
    <x v="10"/>
    <n v="648"/>
    <n v="340"/>
    <n v="308"/>
  </r>
  <r>
    <x v="14"/>
    <x v="11"/>
    <s v="DI"/>
    <x v="1"/>
    <x v="11"/>
    <n v="294"/>
    <n v="179"/>
    <n v="115"/>
  </r>
  <r>
    <x v="14"/>
    <x v="12"/>
    <s v="DI"/>
    <x v="1"/>
    <x v="12"/>
    <n v="521"/>
    <n v="325"/>
    <n v="196"/>
  </r>
  <r>
    <x v="14"/>
    <x v="13"/>
    <s v="DI"/>
    <x v="1"/>
    <x v="13"/>
    <n v="342"/>
    <n v="193"/>
    <n v="149"/>
  </r>
  <r>
    <x v="14"/>
    <x v="14"/>
    <s v="DI"/>
    <x v="1"/>
    <x v="14"/>
    <n v="100"/>
    <n v="67"/>
    <n v="33"/>
  </r>
  <r>
    <x v="14"/>
    <x v="15"/>
    <s v="DI"/>
    <x v="1"/>
    <x v="15"/>
    <n v="147"/>
    <n v="92"/>
    <n v="55"/>
  </r>
  <r>
    <x v="14"/>
    <x v="16"/>
    <s v="DI"/>
    <x v="1"/>
    <x v="16"/>
    <n v="901"/>
    <n v="474"/>
    <n v="427"/>
  </r>
  <r>
    <x v="14"/>
    <x v="17"/>
    <s v="DI"/>
    <x v="1"/>
    <x v="17"/>
    <n v="1496"/>
    <n v="874"/>
    <n v="622"/>
  </r>
  <r>
    <x v="14"/>
    <x v="18"/>
    <s v="DI"/>
    <x v="1"/>
    <x v="18"/>
    <n v="1004"/>
    <n v="560"/>
    <n v="444"/>
  </r>
  <r>
    <x v="14"/>
    <x v="19"/>
    <s v="DI"/>
    <x v="1"/>
    <x v="19"/>
    <n v="2153"/>
    <n v="1245"/>
    <n v="908"/>
  </r>
  <r>
    <x v="14"/>
    <x v="20"/>
    <s v="DI"/>
    <x v="1"/>
    <x v="20"/>
    <n v="449"/>
    <n v="243"/>
    <n v="206"/>
  </r>
  <r>
    <x v="14"/>
    <x v="21"/>
    <s v="DI"/>
    <x v="1"/>
    <x v="21"/>
    <n v="51"/>
    <n v="36"/>
    <n v="15"/>
  </r>
  <r>
    <x v="14"/>
    <x v="22"/>
    <s v="DI"/>
    <x v="1"/>
    <x v="22"/>
    <n v="1913"/>
    <n v="1259"/>
    <n v="654"/>
  </r>
  <r>
    <x v="14"/>
    <x v="23"/>
    <s v="DI"/>
    <x v="1"/>
    <x v="23"/>
    <n v="266"/>
    <n v="155"/>
    <n v="111"/>
  </r>
  <r>
    <x v="14"/>
    <x v="24"/>
    <s v="AM"/>
    <x v="2"/>
    <x v="24"/>
    <n v="29"/>
    <n v="16"/>
    <n v="13"/>
  </r>
  <r>
    <x v="14"/>
    <x v="25"/>
    <s v="AM"/>
    <x v="2"/>
    <x v="25"/>
    <n v="6"/>
    <n v="5"/>
    <n v="1"/>
  </r>
  <r>
    <x v="14"/>
    <x v="26"/>
    <s v="AM"/>
    <x v="2"/>
    <x v="26"/>
    <n v="363"/>
    <n v="221"/>
    <n v="142"/>
  </r>
  <r>
    <x v="14"/>
    <x v="27"/>
    <s v="AM"/>
    <x v="2"/>
    <x v="27"/>
    <n v="4"/>
    <n v="3"/>
    <n v="1"/>
  </r>
  <r>
    <x v="14"/>
    <x v="28"/>
    <s v="AM"/>
    <x v="2"/>
    <x v="28"/>
    <n v="5"/>
    <n v="3"/>
    <n v="2"/>
  </r>
  <r>
    <x v="14"/>
    <x v="29"/>
    <s v="AM"/>
    <x v="2"/>
    <x v="29"/>
    <n v="1"/>
    <n v="1"/>
    <n v="0"/>
  </r>
  <r>
    <x v="14"/>
    <x v="30"/>
    <s v="AM"/>
    <x v="2"/>
    <x v="30"/>
    <n v="3"/>
    <n v="3"/>
    <n v="0"/>
  </r>
  <r>
    <x v="14"/>
    <x v="31"/>
    <s v="AN"/>
    <x v="3"/>
    <x v="31"/>
    <n v="252"/>
    <n v="151"/>
    <n v="101"/>
  </r>
  <r>
    <x v="14"/>
    <x v="32"/>
    <s v="AN"/>
    <x v="3"/>
    <x v="32"/>
    <n v="109"/>
    <n v="49"/>
    <n v="60"/>
  </r>
  <r>
    <x v="14"/>
    <x v="33"/>
    <s v="AN"/>
    <x v="3"/>
    <x v="33"/>
    <n v="77"/>
    <n v="48"/>
    <n v="29"/>
  </r>
  <r>
    <x v="14"/>
    <x v="34"/>
    <s v="AN"/>
    <x v="3"/>
    <x v="34"/>
    <n v="61"/>
    <n v="36"/>
    <n v="25"/>
  </r>
  <r>
    <x v="14"/>
    <x v="35"/>
    <s v="AN"/>
    <x v="3"/>
    <x v="35"/>
    <n v="127"/>
    <n v="77"/>
    <n v="50"/>
  </r>
  <r>
    <x v="14"/>
    <x v="36"/>
    <s v="AN"/>
    <x v="3"/>
    <x v="36"/>
    <n v="47"/>
    <n v="31"/>
    <n v="16"/>
  </r>
  <r>
    <x v="14"/>
    <x v="37"/>
    <s v="AN"/>
    <x v="3"/>
    <x v="37"/>
    <n v="43"/>
    <n v="33"/>
    <n v="10"/>
  </r>
  <r>
    <x v="14"/>
    <x v="38"/>
    <s v="AN"/>
    <x v="3"/>
    <x v="38"/>
    <n v="84"/>
    <n v="55"/>
    <n v="29"/>
  </r>
  <r>
    <x v="14"/>
    <x v="39"/>
    <s v="AN"/>
    <x v="3"/>
    <x v="39"/>
    <n v="47"/>
    <n v="30"/>
    <n v="17"/>
  </r>
  <r>
    <x v="14"/>
    <x v="40"/>
    <s v="AN"/>
    <x v="3"/>
    <x v="40"/>
    <n v="558"/>
    <n v="345"/>
    <n v="213"/>
  </r>
  <r>
    <x v="14"/>
    <x v="41"/>
    <s v="AN"/>
    <x v="3"/>
    <x v="41"/>
    <n v="20"/>
    <n v="14"/>
    <n v="6"/>
  </r>
  <r>
    <x v="14"/>
    <x v="42"/>
    <s v="AN"/>
    <x v="3"/>
    <x v="42"/>
    <n v="38"/>
    <n v="26"/>
    <n v="12"/>
  </r>
  <r>
    <x v="14"/>
    <x v="43"/>
    <s v="AN"/>
    <x v="3"/>
    <x v="43"/>
    <n v="79"/>
    <n v="46"/>
    <n v="33"/>
  </r>
  <r>
    <x v="14"/>
    <x v="44"/>
    <s v="AN"/>
    <x v="3"/>
    <x v="44"/>
    <n v="282"/>
    <n v="179"/>
    <n v="103"/>
  </r>
  <r>
    <x v="14"/>
    <x v="45"/>
    <s v="AN"/>
    <x v="3"/>
    <x v="45"/>
    <n v="59"/>
    <n v="34"/>
    <n v="25"/>
  </r>
  <r>
    <x v="14"/>
    <x v="46"/>
    <s v="AN"/>
    <x v="3"/>
    <x v="46"/>
    <n v="128"/>
    <n v="75"/>
    <n v="53"/>
  </r>
  <r>
    <x v="14"/>
    <x v="47"/>
    <s v="AN"/>
    <x v="3"/>
    <x v="47"/>
    <n v="33"/>
    <n v="21"/>
    <n v="12"/>
  </r>
  <r>
    <x v="14"/>
    <x v="48"/>
    <s v="AN"/>
    <x v="3"/>
    <x v="48"/>
    <n v="28"/>
    <n v="20"/>
    <n v="8"/>
  </r>
  <r>
    <x v="14"/>
    <x v="49"/>
    <s v="AN"/>
    <x v="3"/>
    <x v="49"/>
    <n v="1077"/>
    <n v="649"/>
    <n v="428"/>
  </r>
  <r>
    <x v="14"/>
    <x v="50"/>
    <s v="AN"/>
    <x v="3"/>
    <x v="50"/>
    <n v="469"/>
    <n v="294"/>
    <n v="175"/>
  </r>
  <r>
    <x v="14"/>
    <x v="51"/>
    <s v="AN"/>
    <x v="3"/>
    <x v="51"/>
    <n v="35"/>
    <n v="20"/>
    <n v="15"/>
  </r>
  <r>
    <x v="14"/>
    <x v="52"/>
    <s v="AP"/>
    <x v="4"/>
    <x v="52"/>
    <n v="186"/>
    <n v="104"/>
    <n v="82"/>
  </r>
  <r>
    <x v="14"/>
    <x v="53"/>
    <s v="AP"/>
    <x v="4"/>
    <x v="53"/>
    <n v="93"/>
    <n v="52"/>
    <n v="41"/>
  </r>
  <r>
    <x v="14"/>
    <x v="54"/>
    <s v="AP"/>
    <x v="4"/>
    <x v="54"/>
    <n v="60"/>
    <n v="37"/>
    <n v="23"/>
  </r>
  <r>
    <x v="14"/>
    <x v="55"/>
    <s v="AP"/>
    <x v="4"/>
    <x v="55"/>
    <n v="266"/>
    <n v="175"/>
    <n v="91"/>
  </r>
  <r>
    <x v="14"/>
    <x v="56"/>
    <s v="AP"/>
    <x v="4"/>
    <x v="56"/>
    <n v="47"/>
    <n v="27"/>
    <n v="20"/>
  </r>
  <r>
    <x v="14"/>
    <x v="57"/>
    <s v="AP"/>
    <x v="4"/>
    <x v="57"/>
    <n v="60"/>
    <n v="36"/>
    <n v="24"/>
  </r>
  <r>
    <x v="14"/>
    <x v="58"/>
    <s v="AP"/>
    <x v="4"/>
    <x v="58"/>
    <n v="849"/>
    <n v="479"/>
    <n v="370"/>
  </r>
  <r>
    <x v="14"/>
    <x v="59"/>
    <s v="AR"/>
    <x v="5"/>
    <x v="59"/>
    <n v="125"/>
    <n v="82"/>
    <n v="43"/>
  </r>
  <r>
    <x v="14"/>
    <x v="60"/>
    <s v="AR"/>
    <x v="5"/>
    <x v="60"/>
    <n v="62"/>
    <n v="38"/>
    <n v="24"/>
  </r>
  <r>
    <x v="14"/>
    <x v="61"/>
    <s v="AR"/>
    <x v="5"/>
    <x v="61"/>
    <n v="201"/>
    <n v="137"/>
    <n v="64"/>
  </r>
  <r>
    <x v="14"/>
    <x v="62"/>
    <s v="AR"/>
    <x v="5"/>
    <x v="62"/>
    <n v="3235"/>
    <n v="1861"/>
    <n v="1374"/>
  </r>
  <r>
    <x v="14"/>
    <x v="63"/>
    <s v="AR"/>
    <x v="5"/>
    <x v="63"/>
    <n v="74"/>
    <n v="46"/>
    <n v="28"/>
  </r>
  <r>
    <x v="14"/>
    <x v="64"/>
    <s v="AR"/>
    <x v="5"/>
    <x v="64"/>
    <n v="830"/>
    <n v="495"/>
    <n v="335"/>
  </r>
  <r>
    <x v="14"/>
    <x v="65"/>
    <s v="AR"/>
    <x v="5"/>
    <x v="65"/>
    <n v="89"/>
    <n v="61"/>
    <n v="28"/>
  </r>
  <r>
    <x v="14"/>
    <x v="66"/>
    <s v="AR"/>
    <x v="5"/>
    <x v="66"/>
    <n v="506"/>
    <n v="288"/>
    <n v="218"/>
  </r>
  <r>
    <x v="14"/>
    <x v="67"/>
    <s v="AR"/>
    <x v="5"/>
    <x v="67"/>
    <n v="304"/>
    <n v="162"/>
    <n v="142"/>
  </r>
  <r>
    <x v="14"/>
    <x v="68"/>
    <s v="AR"/>
    <x v="5"/>
    <x v="68"/>
    <n v="0"/>
    <n v="0"/>
    <n v="0"/>
  </r>
  <r>
    <x v="14"/>
    <x v="69"/>
    <s v="AR"/>
    <x v="5"/>
    <x v="69"/>
    <n v="95"/>
    <n v="53"/>
    <n v="42"/>
  </r>
  <r>
    <x v="14"/>
    <x v="70"/>
    <s v="AR"/>
    <x v="5"/>
    <x v="70"/>
    <n v="61"/>
    <n v="43"/>
    <n v="18"/>
  </r>
  <r>
    <x v="14"/>
    <x v="71"/>
    <s v="AR"/>
    <x v="5"/>
    <x v="71"/>
    <n v="379"/>
    <n v="239"/>
    <n v="140"/>
  </r>
  <r>
    <x v="14"/>
    <x v="72"/>
    <s v="AR"/>
    <x v="5"/>
    <x v="72"/>
    <n v="115"/>
    <n v="81"/>
    <n v="34"/>
  </r>
  <r>
    <x v="14"/>
    <x v="73"/>
    <s v="AR"/>
    <x v="5"/>
    <x v="73"/>
    <n v="380"/>
    <n v="244"/>
    <n v="136"/>
  </r>
  <r>
    <x v="14"/>
    <x v="74"/>
    <s v="AR"/>
    <x v="5"/>
    <x v="74"/>
    <n v="41"/>
    <n v="29"/>
    <n v="12"/>
  </r>
  <r>
    <x v="14"/>
    <x v="75"/>
    <s v="AR"/>
    <x v="5"/>
    <x v="75"/>
    <n v="60"/>
    <n v="40"/>
    <n v="20"/>
  </r>
  <r>
    <x v="14"/>
    <x v="76"/>
    <s v="AR"/>
    <x v="5"/>
    <x v="76"/>
    <n v="496"/>
    <n v="304"/>
    <n v="192"/>
  </r>
  <r>
    <x v="14"/>
    <x v="77"/>
    <s v="BA"/>
    <x v="6"/>
    <x v="77"/>
    <n v="104"/>
    <n v="64"/>
    <n v="40"/>
  </r>
  <r>
    <x v="14"/>
    <x v="78"/>
    <s v="BA"/>
    <x v="6"/>
    <x v="78"/>
    <n v="0"/>
    <n v="0"/>
    <n v="0"/>
  </r>
  <r>
    <x v="14"/>
    <x v="79"/>
    <s v="BA"/>
    <x v="6"/>
    <x v="79"/>
    <n v="215"/>
    <n v="133"/>
    <n v="82"/>
  </r>
  <r>
    <x v="14"/>
    <x v="80"/>
    <s v="BA"/>
    <x v="6"/>
    <x v="80"/>
    <n v="33"/>
    <n v="24"/>
    <n v="9"/>
  </r>
  <r>
    <x v="14"/>
    <x v="81"/>
    <s v="BA"/>
    <x v="6"/>
    <x v="81"/>
    <n v="1386"/>
    <n v="846"/>
    <n v="540"/>
  </r>
  <r>
    <x v="14"/>
    <x v="82"/>
    <s v="BA"/>
    <x v="6"/>
    <x v="59"/>
    <n v="133"/>
    <n v="86"/>
    <n v="47"/>
  </r>
  <r>
    <x v="14"/>
    <x v="83"/>
    <s v="BA"/>
    <x v="6"/>
    <x v="82"/>
    <n v="54"/>
    <n v="39"/>
    <n v="15"/>
  </r>
  <r>
    <x v="14"/>
    <x v="84"/>
    <s v="BA"/>
    <x v="6"/>
    <x v="83"/>
    <n v="219"/>
    <n v="141"/>
    <n v="78"/>
  </r>
  <r>
    <x v="14"/>
    <x v="85"/>
    <s v="BA"/>
    <x v="6"/>
    <x v="84"/>
    <n v="62"/>
    <n v="38"/>
    <n v="24"/>
  </r>
  <r>
    <x v="14"/>
    <x v="86"/>
    <s v="BA"/>
    <x v="6"/>
    <x v="85"/>
    <n v="130"/>
    <n v="84"/>
    <n v="46"/>
  </r>
  <r>
    <x v="14"/>
    <x v="87"/>
    <s v="BA"/>
    <x v="6"/>
    <x v="86"/>
    <n v="50"/>
    <n v="29"/>
    <n v="21"/>
  </r>
  <r>
    <x v="14"/>
    <x v="88"/>
    <s v="BA"/>
    <x v="6"/>
    <x v="87"/>
    <n v="32"/>
    <n v="18"/>
    <n v="14"/>
  </r>
  <r>
    <x v="14"/>
    <x v="89"/>
    <s v="BO"/>
    <x v="7"/>
    <x v="88"/>
    <n v="3015"/>
    <n v="1906"/>
    <n v="1109"/>
  </r>
  <r>
    <x v="14"/>
    <x v="90"/>
    <s v="BO"/>
    <x v="7"/>
    <x v="89"/>
    <n v="169"/>
    <n v="103"/>
    <n v="66"/>
  </r>
  <r>
    <x v="14"/>
    <x v="91"/>
    <s v="BO"/>
    <x v="7"/>
    <x v="90"/>
    <n v="67"/>
    <n v="45"/>
    <n v="22"/>
  </r>
  <r>
    <x v="14"/>
    <x v="92"/>
    <s v="BO"/>
    <x v="7"/>
    <x v="91"/>
    <n v="59"/>
    <n v="32"/>
    <n v="27"/>
  </r>
  <r>
    <x v="14"/>
    <x v="93"/>
    <s v="BO"/>
    <x v="7"/>
    <x v="92"/>
    <n v="1882"/>
    <n v="1089"/>
    <n v="793"/>
  </r>
  <r>
    <x v="14"/>
    <x v="94"/>
    <s v="BO"/>
    <x v="7"/>
    <x v="93"/>
    <n v="27"/>
    <n v="15"/>
    <n v="12"/>
  </r>
  <r>
    <x v="14"/>
    <x v="95"/>
    <s v="BO"/>
    <x v="7"/>
    <x v="94"/>
    <n v="319"/>
    <n v="188"/>
    <n v="131"/>
  </r>
  <r>
    <x v="14"/>
    <x v="96"/>
    <s v="BO"/>
    <x v="7"/>
    <x v="95"/>
    <n v="92"/>
    <n v="77"/>
    <n v="15"/>
  </r>
  <r>
    <x v="14"/>
    <x v="97"/>
    <s v="BO"/>
    <x v="7"/>
    <x v="96"/>
    <n v="54"/>
    <n v="33"/>
    <n v="21"/>
  </r>
  <r>
    <x v="14"/>
    <x v="98"/>
    <s v="BO"/>
    <x v="7"/>
    <x v="97"/>
    <n v="99"/>
    <n v="65"/>
    <n v="34"/>
  </r>
  <r>
    <x v="14"/>
    <x v="99"/>
    <s v="BO"/>
    <x v="7"/>
    <x v="73"/>
    <n v="17"/>
    <n v="12"/>
    <n v="5"/>
  </r>
  <r>
    <x v="14"/>
    <x v="100"/>
    <s v="CA"/>
    <x v="8"/>
    <x v="98"/>
    <n v="255"/>
    <n v="142"/>
    <n v="113"/>
  </r>
  <r>
    <x v="14"/>
    <x v="101"/>
    <s v="CA"/>
    <x v="8"/>
    <x v="99"/>
    <n v="429"/>
    <n v="259"/>
    <n v="170"/>
  </r>
  <r>
    <x v="14"/>
    <x v="102"/>
    <s v="CA"/>
    <x v="8"/>
    <x v="100"/>
    <n v="233"/>
    <n v="135"/>
    <n v="98"/>
  </r>
  <r>
    <x v="14"/>
    <x v="103"/>
    <s v="CA"/>
    <x v="8"/>
    <x v="101"/>
    <n v="420"/>
    <n v="253"/>
    <n v="167"/>
  </r>
  <r>
    <x v="14"/>
    <x v="104"/>
    <s v="CA"/>
    <x v="8"/>
    <x v="102"/>
    <n v="162"/>
    <n v="109"/>
    <n v="53"/>
  </r>
  <r>
    <x v="14"/>
    <x v="105"/>
    <s v="CA"/>
    <x v="8"/>
    <x v="66"/>
    <n v="403"/>
    <n v="296"/>
    <n v="107"/>
  </r>
  <r>
    <x v="14"/>
    <x v="106"/>
    <s v="CA"/>
    <x v="8"/>
    <x v="103"/>
    <n v="200"/>
    <n v="131"/>
    <n v="69"/>
  </r>
  <r>
    <x v="14"/>
    <x v="107"/>
    <s v="CA"/>
    <x v="8"/>
    <x v="104"/>
    <n v="61"/>
    <n v="37"/>
    <n v="24"/>
  </r>
  <r>
    <x v="14"/>
    <x v="108"/>
    <s v="CA"/>
    <x v="8"/>
    <x v="105"/>
    <n v="36"/>
    <n v="23"/>
    <n v="13"/>
  </r>
  <r>
    <x v="14"/>
    <x v="109"/>
    <s v="CA"/>
    <x v="8"/>
    <x v="106"/>
    <n v="1360"/>
    <n v="738"/>
    <n v="622"/>
  </r>
  <r>
    <x v="14"/>
    <x v="110"/>
    <s v="CA"/>
    <x v="8"/>
    <x v="107"/>
    <n v="1127"/>
    <n v="689"/>
    <n v="438"/>
  </r>
  <r>
    <x v="14"/>
    <x v="111"/>
    <s v="CA"/>
    <x v="8"/>
    <x v="108"/>
    <n v="103"/>
    <n v="57"/>
    <n v="46"/>
  </r>
  <r>
    <x v="14"/>
    <x v="112"/>
    <s v="CA"/>
    <x v="8"/>
    <x v="109"/>
    <n v="104"/>
    <n v="68"/>
    <n v="36"/>
  </r>
  <r>
    <x v="14"/>
    <x v="113"/>
    <s v="CA"/>
    <x v="8"/>
    <x v="110"/>
    <n v="4231"/>
    <n v="2583"/>
    <n v="1648"/>
  </r>
  <r>
    <x v="14"/>
    <x v="114"/>
    <s v="CO"/>
    <x v="9"/>
    <x v="111"/>
    <n v="50"/>
    <n v="32"/>
    <n v="18"/>
  </r>
  <r>
    <x v="14"/>
    <x v="115"/>
    <s v="CO"/>
    <x v="9"/>
    <x v="112"/>
    <n v="314"/>
    <n v="203"/>
    <n v="111"/>
  </r>
  <r>
    <x v="14"/>
    <x v="116"/>
    <s v="CO"/>
    <x v="9"/>
    <x v="62"/>
    <n v="30"/>
    <n v="17"/>
    <n v="13"/>
  </r>
  <r>
    <x v="14"/>
    <x v="117"/>
    <s v="CO"/>
    <x v="9"/>
    <x v="113"/>
    <n v="17"/>
    <n v="9"/>
    <n v="8"/>
  </r>
  <r>
    <x v="14"/>
    <x v="118"/>
    <s v="CO"/>
    <x v="9"/>
    <x v="114"/>
    <n v="34"/>
    <n v="26"/>
    <n v="8"/>
  </r>
  <r>
    <x v="14"/>
    <x v="119"/>
    <s v="CO"/>
    <x v="9"/>
    <x v="115"/>
    <n v="24"/>
    <n v="21"/>
    <n v="3"/>
  </r>
  <r>
    <x v="14"/>
    <x v="120"/>
    <s v="CO"/>
    <x v="9"/>
    <x v="57"/>
    <n v="23"/>
    <n v="16"/>
    <n v="7"/>
  </r>
  <r>
    <x v="14"/>
    <x v="121"/>
    <s v="CO"/>
    <x v="9"/>
    <x v="116"/>
    <n v="569"/>
    <n v="329"/>
    <n v="240"/>
  </r>
  <r>
    <x v="14"/>
    <x v="122"/>
    <s v="CO"/>
    <x v="9"/>
    <x v="117"/>
    <n v="91"/>
    <n v="62"/>
    <n v="29"/>
  </r>
  <r>
    <x v="14"/>
    <x v="123"/>
    <s v="DE"/>
    <x v="10"/>
    <x v="118"/>
    <n v="25"/>
    <n v="14"/>
    <n v="11"/>
  </r>
  <r>
    <x v="14"/>
    <x v="124"/>
    <s v="DE"/>
    <x v="10"/>
    <x v="119"/>
    <n v="23"/>
    <n v="17"/>
    <n v="6"/>
  </r>
  <r>
    <x v="14"/>
    <x v="125"/>
    <s v="DE"/>
    <x v="10"/>
    <x v="120"/>
    <n v="6"/>
    <n v="4"/>
    <n v="2"/>
  </r>
  <r>
    <x v="14"/>
    <x v="126"/>
    <s v="DE"/>
    <x v="10"/>
    <x v="121"/>
    <n v="362"/>
    <n v="228"/>
    <n v="134"/>
  </r>
  <r>
    <x v="14"/>
    <x v="127"/>
    <s v="FA"/>
    <x v="11"/>
    <x v="122"/>
    <n v="48"/>
    <n v="26"/>
    <n v="22"/>
  </r>
  <r>
    <x v="14"/>
    <x v="128"/>
    <s v="FA"/>
    <x v="11"/>
    <x v="59"/>
    <n v="26"/>
    <n v="17"/>
    <n v="9"/>
  </r>
  <r>
    <x v="14"/>
    <x v="129"/>
    <s v="FA"/>
    <x v="11"/>
    <x v="123"/>
    <n v="48"/>
    <n v="22"/>
    <n v="26"/>
  </r>
  <r>
    <x v="14"/>
    <x v="130"/>
    <s v="FA"/>
    <x v="11"/>
    <x v="124"/>
    <n v="22"/>
    <n v="16"/>
    <n v="6"/>
  </r>
  <r>
    <x v="14"/>
    <x v="131"/>
    <s v="FA"/>
    <x v="11"/>
    <x v="125"/>
    <n v="632"/>
    <n v="356"/>
    <n v="276"/>
  </r>
  <r>
    <x v="14"/>
    <x v="132"/>
    <s v="FA"/>
    <x v="11"/>
    <x v="126"/>
    <n v="46"/>
    <n v="23"/>
    <n v="23"/>
  </r>
  <r>
    <x v="14"/>
    <x v="133"/>
    <s v="FA"/>
    <x v="11"/>
    <x v="127"/>
    <n v="52"/>
    <n v="30"/>
    <n v="22"/>
  </r>
  <r>
    <x v="14"/>
    <x v="134"/>
    <s v="FA"/>
    <x v="11"/>
    <x v="128"/>
    <n v="3"/>
    <n v="3"/>
    <n v="0"/>
  </r>
  <r>
    <x v="14"/>
    <x v="135"/>
    <s v="FA"/>
    <x v="11"/>
    <x v="112"/>
    <n v="104"/>
    <n v="53"/>
    <n v="51"/>
  </r>
  <r>
    <x v="14"/>
    <x v="136"/>
    <s v="FA"/>
    <x v="11"/>
    <x v="129"/>
    <n v="70"/>
    <n v="42"/>
    <n v="28"/>
  </r>
  <r>
    <x v="14"/>
    <x v="137"/>
    <s v="FA"/>
    <x v="11"/>
    <x v="130"/>
    <n v="19"/>
    <n v="12"/>
    <n v="7"/>
  </r>
  <r>
    <x v="14"/>
    <x v="138"/>
    <s v="FA"/>
    <x v="11"/>
    <x v="131"/>
    <n v="97"/>
    <n v="68"/>
    <n v="29"/>
  </r>
  <r>
    <x v="14"/>
    <x v="139"/>
    <s v="FA"/>
    <x v="11"/>
    <x v="132"/>
    <n v="70"/>
    <n v="42"/>
    <n v="28"/>
  </r>
  <r>
    <x v="14"/>
    <x v="140"/>
    <s v="FA"/>
    <x v="11"/>
    <x v="104"/>
    <n v="959"/>
    <n v="544"/>
    <n v="415"/>
  </r>
  <r>
    <x v="14"/>
    <x v="141"/>
    <s v="FA"/>
    <x v="11"/>
    <x v="133"/>
    <n v="46"/>
    <n v="38"/>
    <n v="8"/>
  </r>
  <r>
    <x v="14"/>
    <x v="142"/>
    <s v="FA"/>
    <x v="11"/>
    <x v="134"/>
    <n v="3"/>
    <n v="2"/>
    <n v="1"/>
  </r>
  <r>
    <x v="14"/>
    <x v="143"/>
    <s v="FA"/>
    <x v="11"/>
    <x v="135"/>
    <n v="41"/>
    <n v="23"/>
    <n v="18"/>
  </r>
  <r>
    <x v="14"/>
    <x v="144"/>
    <s v="FA"/>
    <x v="11"/>
    <x v="45"/>
    <n v="28"/>
    <n v="15"/>
    <n v="13"/>
  </r>
  <r>
    <x v="14"/>
    <x v="145"/>
    <s v="FA"/>
    <x v="11"/>
    <x v="136"/>
    <n v="21"/>
    <n v="15"/>
    <n v="6"/>
  </r>
  <r>
    <x v="14"/>
    <x v="146"/>
    <s v="FA"/>
    <x v="11"/>
    <x v="137"/>
    <n v="232"/>
    <n v="156"/>
    <n v="76"/>
  </r>
  <r>
    <x v="14"/>
    <x v="147"/>
    <s v="FA"/>
    <x v="11"/>
    <x v="73"/>
    <n v="16"/>
    <n v="9"/>
    <n v="7"/>
  </r>
  <r>
    <x v="14"/>
    <x v="148"/>
    <s v="FA"/>
    <x v="11"/>
    <x v="138"/>
    <n v="5"/>
    <n v="3"/>
    <n v="2"/>
  </r>
  <r>
    <x v="14"/>
    <x v="149"/>
    <s v="FA"/>
    <x v="11"/>
    <x v="139"/>
    <n v="35"/>
    <n v="22"/>
    <n v="13"/>
  </r>
  <r>
    <x v="14"/>
    <x v="150"/>
    <s v="FA"/>
    <x v="11"/>
    <x v="140"/>
    <n v="14"/>
    <n v="8"/>
    <n v="6"/>
  </r>
  <r>
    <x v="14"/>
    <x v="151"/>
    <s v="FA"/>
    <x v="11"/>
    <x v="76"/>
    <n v="4"/>
    <n v="1"/>
    <n v="3"/>
  </r>
  <r>
    <x v="14"/>
    <x v="152"/>
    <s v="GU"/>
    <x v="12"/>
    <x v="141"/>
    <n v="20"/>
    <n v="7"/>
    <n v="13"/>
  </r>
  <r>
    <x v="14"/>
    <x v="153"/>
    <s v="GU"/>
    <x v="12"/>
    <x v="142"/>
    <n v="28"/>
    <n v="19"/>
    <n v="9"/>
  </r>
  <r>
    <x v="14"/>
    <x v="154"/>
    <s v="GU"/>
    <x v="12"/>
    <x v="143"/>
    <n v="36"/>
    <n v="19"/>
    <n v="17"/>
  </r>
  <r>
    <x v="14"/>
    <x v="155"/>
    <s v="GU"/>
    <x v="12"/>
    <x v="144"/>
    <n v="8"/>
    <n v="5"/>
    <n v="3"/>
  </r>
  <r>
    <x v="14"/>
    <x v="156"/>
    <s v="GU"/>
    <x v="12"/>
    <x v="145"/>
    <n v="666"/>
    <n v="397"/>
    <n v="269"/>
  </r>
  <r>
    <x v="14"/>
    <x v="157"/>
    <s v="GU"/>
    <x v="12"/>
    <x v="146"/>
    <n v="84"/>
    <n v="56"/>
    <n v="28"/>
  </r>
  <r>
    <x v="14"/>
    <x v="158"/>
    <s v="GU"/>
    <x v="12"/>
    <x v="147"/>
    <n v="107"/>
    <n v="66"/>
    <n v="41"/>
  </r>
  <r>
    <x v="14"/>
    <x v="159"/>
    <s v="GU"/>
    <x v="12"/>
    <x v="104"/>
    <n v="524"/>
    <n v="318"/>
    <n v="206"/>
  </r>
  <r>
    <x v="14"/>
    <x v="160"/>
    <s v="GU"/>
    <x v="12"/>
    <x v="148"/>
    <n v="336"/>
    <n v="208"/>
    <n v="128"/>
  </r>
  <r>
    <x v="14"/>
    <x v="161"/>
    <s v="GU"/>
    <x v="12"/>
    <x v="149"/>
    <n v="39"/>
    <n v="20"/>
    <n v="19"/>
  </r>
  <r>
    <x v="14"/>
    <x v="162"/>
    <s v="GU"/>
    <x v="12"/>
    <x v="150"/>
    <n v="95"/>
    <n v="60"/>
    <n v="35"/>
  </r>
  <r>
    <x v="14"/>
    <x v="163"/>
    <s v="GU"/>
    <x v="12"/>
    <x v="96"/>
    <n v="752"/>
    <n v="479"/>
    <n v="273"/>
  </r>
  <r>
    <x v="14"/>
    <x v="164"/>
    <s v="GU"/>
    <x v="12"/>
    <x v="151"/>
    <n v="21"/>
    <n v="15"/>
    <n v="6"/>
  </r>
  <r>
    <x v="14"/>
    <x v="165"/>
    <s v="GU"/>
    <x v="12"/>
    <x v="152"/>
    <n v="36"/>
    <n v="28"/>
    <n v="8"/>
  </r>
  <r>
    <x v="14"/>
    <x v="166"/>
    <s v="GU"/>
    <x v="12"/>
    <x v="153"/>
    <n v="236"/>
    <n v="148"/>
    <n v="88"/>
  </r>
  <r>
    <x v="14"/>
    <x v="167"/>
    <s v="LA"/>
    <x v="13"/>
    <x v="154"/>
    <n v="129"/>
    <n v="82"/>
    <n v="47"/>
  </r>
  <r>
    <x v="14"/>
    <x v="168"/>
    <s v="LA"/>
    <x v="13"/>
    <x v="155"/>
    <n v="133"/>
    <n v="65"/>
    <n v="68"/>
  </r>
  <r>
    <x v="14"/>
    <x v="169"/>
    <s v="LA"/>
    <x v="13"/>
    <x v="156"/>
    <n v="5074"/>
    <n v="2973"/>
    <n v="2101"/>
  </r>
  <r>
    <x v="14"/>
    <x v="170"/>
    <s v="LA"/>
    <x v="13"/>
    <x v="157"/>
    <n v="253"/>
    <n v="166"/>
    <n v="87"/>
  </r>
  <r>
    <x v="14"/>
    <x v="171"/>
    <s v="LA"/>
    <x v="13"/>
    <x v="158"/>
    <n v="332"/>
    <n v="203"/>
    <n v="129"/>
  </r>
  <r>
    <x v="14"/>
    <x v="172"/>
    <s v="LA"/>
    <x v="13"/>
    <x v="159"/>
    <n v="259"/>
    <n v="155"/>
    <n v="104"/>
  </r>
  <r>
    <x v="14"/>
    <x v="173"/>
    <s v="LA"/>
    <x v="13"/>
    <x v="160"/>
    <n v="41"/>
    <n v="25"/>
    <n v="16"/>
  </r>
  <r>
    <x v="14"/>
    <x v="174"/>
    <s v="LA"/>
    <x v="13"/>
    <x v="161"/>
    <n v="723"/>
    <n v="399"/>
    <n v="324"/>
  </r>
  <r>
    <x v="14"/>
    <x v="175"/>
    <s v="LA"/>
    <x v="13"/>
    <x v="75"/>
    <n v="143"/>
    <n v="83"/>
    <n v="60"/>
  </r>
  <r>
    <x v="14"/>
    <x v="176"/>
    <s v="ME"/>
    <x v="14"/>
    <x v="162"/>
    <n v="475"/>
    <n v="308"/>
    <n v="167"/>
  </r>
  <r>
    <x v="14"/>
    <x v="177"/>
    <s v="ME"/>
    <x v="14"/>
    <x v="163"/>
    <n v="31"/>
    <n v="23"/>
    <n v="8"/>
  </r>
  <r>
    <x v="14"/>
    <x v="178"/>
    <s v="ME"/>
    <x v="14"/>
    <x v="164"/>
    <n v="63"/>
    <n v="40"/>
    <n v="23"/>
  </r>
  <r>
    <x v="14"/>
    <x v="179"/>
    <s v="ME"/>
    <x v="14"/>
    <x v="165"/>
    <n v="20"/>
    <n v="12"/>
    <n v="8"/>
  </r>
  <r>
    <x v="14"/>
    <x v="180"/>
    <s v="ME"/>
    <x v="14"/>
    <x v="166"/>
    <n v="64"/>
    <n v="34"/>
    <n v="30"/>
  </r>
  <r>
    <x v="14"/>
    <x v="181"/>
    <s v="ME"/>
    <x v="14"/>
    <x v="167"/>
    <n v="233"/>
    <n v="150"/>
    <n v="83"/>
  </r>
  <r>
    <x v="14"/>
    <x v="182"/>
    <s v="ME"/>
    <x v="14"/>
    <x v="168"/>
    <n v="33"/>
    <n v="22"/>
    <n v="11"/>
  </r>
  <r>
    <x v="14"/>
    <x v="183"/>
    <s v="ME"/>
    <x v="14"/>
    <x v="169"/>
    <n v="102"/>
    <n v="66"/>
    <n v="36"/>
  </r>
  <r>
    <x v="14"/>
    <x v="184"/>
    <s v="ME"/>
    <x v="14"/>
    <x v="170"/>
    <n v="31"/>
    <n v="19"/>
    <n v="12"/>
  </r>
  <r>
    <x v="14"/>
    <x v="185"/>
    <s v="ME"/>
    <x v="14"/>
    <x v="171"/>
    <n v="50"/>
    <n v="32"/>
    <n v="18"/>
  </r>
  <r>
    <x v="14"/>
    <x v="186"/>
    <s v="ME"/>
    <x v="14"/>
    <x v="172"/>
    <n v="16"/>
    <n v="12"/>
    <n v="4"/>
  </r>
  <r>
    <x v="14"/>
    <x v="187"/>
    <s v="ME"/>
    <x v="14"/>
    <x v="66"/>
    <n v="1660"/>
    <n v="959"/>
    <n v="701"/>
  </r>
  <r>
    <x v="14"/>
    <x v="188"/>
    <s v="ME"/>
    <x v="14"/>
    <x v="104"/>
    <n v="78"/>
    <n v="49"/>
    <n v="29"/>
  </r>
  <r>
    <x v="14"/>
    <x v="189"/>
    <s v="ME"/>
    <x v="14"/>
    <x v="173"/>
    <n v="90"/>
    <n v="66"/>
    <n v="24"/>
  </r>
  <r>
    <x v="14"/>
    <x v="190"/>
    <s v="ME"/>
    <x v="14"/>
    <x v="174"/>
    <n v="3"/>
    <n v="1"/>
    <n v="2"/>
  </r>
  <r>
    <x v="14"/>
    <x v="191"/>
    <s v="ME"/>
    <x v="14"/>
    <x v="175"/>
    <n v="30"/>
    <n v="20"/>
    <n v="10"/>
  </r>
  <r>
    <x v="14"/>
    <x v="192"/>
    <s v="ME"/>
    <x v="14"/>
    <x v="176"/>
    <n v="56"/>
    <n v="32"/>
    <n v="24"/>
  </r>
  <r>
    <x v="14"/>
    <x v="193"/>
    <s v="ME"/>
    <x v="14"/>
    <x v="177"/>
    <n v="63"/>
    <n v="37"/>
    <n v="26"/>
  </r>
  <r>
    <x v="14"/>
    <x v="194"/>
    <s v="ME"/>
    <x v="14"/>
    <x v="178"/>
    <n v="47"/>
    <n v="30"/>
    <n v="17"/>
  </r>
  <r>
    <x v="14"/>
    <x v="195"/>
    <s v="ME"/>
    <x v="14"/>
    <x v="73"/>
    <n v="163"/>
    <n v="105"/>
    <n v="58"/>
  </r>
  <r>
    <x v="14"/>
    <x v="196"/>
    <s v="ME"/>
    <x v="14"/>
    <x v="74"/>
    <n v="177"/>
    <n v="94"/>
    <n v="83"/>
  </r>
  <r>
    <x v="14"/>
    <x v="197"/>
    <s v="ME"/>
    <x v="14"/>
    <x v="179"/>
    <n v="82"/>
    <n v="52"/>
    <n v="30"/>
  </r>
  <r>
    <x v="14"/>
    <x v="198"/>
    <s v="ME"/>
    <x v="14"/>
    <x v="180"/>
    <n v="38"/>
    <n v="23"/>
    <n v="15"/>
  </r>
  <r>
    <x v="14"/>
    <x v="199"/>
    <s v="MI"/>
    <x v="15"/>
    <x v="181"/>
    <n v="311"/>
    <n v="214"/>
    <n v="97"/>
  </r>
  <r>
    <x v="14"/>
    <x v="200"/>
    <s v="MI"/>
    <x v="15"/>
    <x v="163"/>
    <n v="41"/>
    <n v="23"/>
    <n v="18"/>
  </r>
  <r>
    <x v="14"/>
    <x v="201"/>
    <s v="MI"/>
    <x v="15"/>
    <x v="182"/>
    <n v="1174"/>
    <n v="604"/>
    <n v="570"/>
  </r>
  <r>
    <x v="14"/>
    <x v="202"/>
    <s v="MI"/>
    <x v="15"/>
    <x v="183"/>
    <n v="209"/>
    <n v="141"/>
    <n v="68"/>
  </r>
  <r>
    <x v="14"/>
    <x v="203"/>
    <s v="MI"/>
    <x v="15"/>
    <x v="184"/>
    <n v="59"/>
    <n v="42"/>
    <n v="17"/>
  </r>
  <r>
    <x v="14"/>
    <x v="204"/>
    <s v="MI"/>
    <x v="15"/>
    <x v="185"/>
    <n v="93"/>
    <n v="54"/>
    <n v="39"/>
  </r>
  <r>
    <x v="14"/>
    <x v="205"/>
    <s v="MI"/>
    <x v="15"/>
    <x v="186"/>
    <n v="652"/>
    <n v="313"/>
    <n v="339"/>
  </r>
  <r>
    <x v="14"/>
    <x v="206"/>
    <s v="MI"/>
    <x v="15"/>
    <x v="187"/>
    <n v="278"/>
    <n v="188"/>
    <n v="90"/>
  </r>
  <r>
    <x v="14"/>
    <x v="207"/>
    <s v="MI"/>
    <x v="15"/>
    <x v="188"/>
    <n v="138"/>
    <n v="73"/>
    <n v="65"/>
  </r>
  <r>
    <x v="14"/>
    <x v="208"/>
    <s v="MI"/>
    <x v="15"/>
    <x v="189"/>
    <n v="1206"/>
    <n v="725"/>
    <n v="481"/>
  </r>
  <r>
    <x v="14"/>
    <x v="209"/>
    <s v="MI"/>
    <x v="15"/>
    <x v="38"/>
    <n v="353"/>
    <n v="232"/>
    <n v="121"/>
  </r>
  <r>
    <x v="14"/>
    <x v="210"/>
    <s v="MI"/>
    <x v="15"/>
    <x v="190"/>
    <n v="694"/>
    <n v="424"/>
    <n v="270"/>
  </r>
  <r>
    <x v="14"/>
    <x v="211"/>
    <s v="MI"/>
    <x v="15"/>
    <x v="191"/>
    <n v="131"/>
    <n v="62"/>
    <n v="69"/>
  </r>
  <r>
    <x v="14"/>
    <x v="212"/>
    <s v="MI"/>
    <x v="15"/>
    <x v="55"/>
    <n v="164"/>
    <n v="106"/>
    <n v="58"/>
  </r>
  <r>
    <x v="14"/>
    <x v="213"/>
    <s v="MI"/>
    <x v="15"/>
    <x v="192"/>
    <n v="188"/>
    <n v="137"/>
    <n v="51"/>
  </r>
  <r>
    <x v="14"/>
    <x v="214"/>
    <s v="MI"/>
    <x v="15"/>
    <x v="193"/>
    <n v="69"/>
    <n v="47"/>
    <n v="22"/>
  </r>
  <r>
    <x v="14"/>
    <x v="215"/>
    <s v="MI"/>
    <x v="15"/>
    <x v="194"/>
    <n v="487"/>
    <n v="310"/>
    <n v="177"/>
  </r>
  <r>
    <x v="14"/>
    <x v="216"/>
    <s v="MI"/>
    <x v="15"/>
    <x v="49"/>
    <n v="130"/>
    <n v="98"/>
    <n v="32"/>
  </r>
  <r>
    <x v="14"/>
    <x v="217"/>
    <s v="MI"/>
    <x v="15"/>
    <x v="73"/>
    <n v="2908"/>
    <n v="1871"/>
    <n v="1037"/>
  </r>
  <r>
    <x v="14"/>
    <x v="218"/>
    <s v="MI"/>
    <x v="15"/>
    <x v="75"/>
    <n v="257"/>
    <n v="174"/>
    <n v="83"/>
  </r>
  <r>
    <x v="14"/>
    <x v="219"/>
    <s v="MI"/>
    <x v="15"/>
    <x v="76"/>
    <n v="605"/>
    <n v="380"/>
    <n v="225"/>
  </r>
  <r>
    <x v="14"/>
    <x v="220"/>
    <s v="MO"/>
    <x v="16"/>
    <x v="122"/>
    <n v="66"/>
    <n v="45"/>
    <n v="21"/>
  </r>
  <r>
    <x v="14"/>
    <x v="221"/>
    <s v="MO"/>
    <x v="16"/>
    <x v="195"/>
    <n v="20"/>
    <n v="15"/>
    <n v="5"/>
  </r>
  <r>
    <x v="14"/>
    <x v="222"/>
    <s v="MO"/>
    <x v="16"/>
    <x v="59"/>
    <n v="87"/>
    <n v="50"/>
    <n v="37"/>
  </r>
  <r>
    <x v="14"/>
    <x v="223"/>
    <s v="MO"/>
    <x v="16"/>
    <x v="196"/>
    <n v="99"/>
    <n v="54"/>
    <n v="45"/>
  </r>
  <r>
    <x v="14"/>
    <x v="224"/>
    <s v="MO"/>
    <x v="16"/>
    <x v="89"/>
    <n v="61"/>
    <n v="36"/>
    <n v="25"/>
  </r>
  <r>
    <x v="14"/>
    <x v="225"/>
    <s v="MO"/>
    <x v="16"/>
    <x v="83"/>
    <n v="138"/>
    <n v="95"/>
    <n v="43"/>
  </r>
  <r>
    <x v="14"/>
    <x v="226"/>
    <s v="MO"/>
    <x v="16"/>
    <x v="66"/>
    <n v="60"/>
    <n v="45"/>
    <n v="15"/>
  </r>
  <r>
    <x v="14"/>
    <x v="227"/>
    <s v="MO"/>
    <x v="16"/>
    <x v="197"/>
    <n v="2056"/>
    <n v="1254"/>
    <n v="802"/>
  </r>
  <r>
    <x v="14"/>
    <x v="228"/>
    <s v="MO"/>
    <x v="16"/>
    <x v="94"/>
    <n v="85"/>
    <n v="58"/>
    <n v="27"/>
  </r>
  <r>
    <x v="14"/>
    <x v="229"/>
    <s v="MO"/>
    <x v="16"/>
    <x v="198"/>
    <n v="74"/>
    <n v="49"/>
    <n v="25"/>
  </r>
  <r>
    <x v="14"/>
    <x v="230"/>
    <s v="MO"/>
    <x v="16"/>
    <x v="199"/>
    <n v="17"/>
    <n v="6"/>
    <n v="11"/>
  </r>
  <r>
    <x v="14"/>
    <x v="231"/>
    <s v="MO"/>
    <x v="16"/>
    <x v="200"/>
    <n v="62"/>
    <n v="31"/>
    <n v="31"/>
  </r>
  <r>
    <x v="14"/>
    <x v="232"/>
    <s v="MO"/>
    <x v="16"/>
    <x v="201"/>
    <n v="23"/>
    <n v="14"/>
    <n v="9"/>
  </r>
  <r>
    <x v="14"/>
    <x v="233"/>
    <s v="NU"/>
    <x v="17"/>
    <x v="202"/>
    <n v="47"/>
    <n v="23"/>
    <n v="24"/>
  </r>
  <r>
    <x v="14"/>
    <x v="234"/>
    <s v="NU"/>
    <x v="17"/>
    <x v="80"/>
    <n v="103"/>
    <n v="55"/>
    <n v="48"/>
  </r>
  <r>
    <x v="14"/>
    <x v="235"/>
    <s v="NU"/>
    <x v="17"/>
    <x v="203"/>
    <n v="107"/>
    <n v="65"/>
    <n v="42"/>
  </r>
  <r>
    <x v="14"/>
    <x v="236"/>
    <s v="NU"/>
    <x v="17"/>
    <x v="204"/>
    <n v="120"/>
    <n v="78"/>
    <n v="42"/>
  </r>
  <r>
    <x v="14"/>
    <x v="237"/>
    <s v="NU"/>
    <x v="17"/>
    <x v="205"/>
    <n v="82"/>
    <n v="43"/>
    <n v="39"/>
  </r>
  <r>
    <x v="14"/>
    <x v="238"/>
    <s v="NU"/>
    <x v="17"/>
    <x v="206"/>
    <n v="106"/>
    <n v="68"/>
    <n v="38"/>
  </r>
  <r>
    <x v="14"/>
    <x v="239"/>
    <s v="NU"/>
    <x v="17"/>
    <x v="207"/>
    <n v="112"/>
    <n v="61"/>
    <n v="51"/>
  </r>
  <r>
    <x v="14"/>
    <x v="240"/>
    <s v="NU"/>
    <x v="17"/>
    <x v="208"/>
    <n v="905"/>
    <n v="544"/>
    <n v="361"/>
  </r>
  <r>
    <x v="14"/>
    <x v="241"/>
    <s v="NU"/>
    <x v="17"/>
    <x v="209"/>
    <n v="59"/>
    <n v="28"/>
    <n v="31"/>
  </r>
  <r>
    <x v="14"/>
    <x v="242"/>
    <s v="NU"/>
    <x v="17"/>
    <x v="210"/>
    <n v="62"/>
    <n v="33"/>
    <n v="29"/>
  </r>
  <r>
    <x v="14"/>
    <x v="243"/>
    <s v="NU"/>
    <x v="17"/>
    <x v="211"/>
    <n v="21"/>
    <n v="14"/>
    <n v="7"/>
  </r>
  <r>
    <x v="14"/>
    <x v="244"/>
    <s v="PO"/>
    <x v="18"/>
    <x v="212"/>
    <n v="38"/>
    <n v="22"/>
    <n v="16"/>
  </r>
  <r>
    <x v="14"/>
    <x v="245"/>
    <s v="PO"/>
    <x v="18"/>
    <x v="213"/>
    <n v="1059"/>
    <n v="631"/>
    <n v="428"/>
  </r>
  <r>
    <x v="14"/>
    <x v="246"/>
    <s v="PO"/>
    <x v="18"/>
    <x v="214"/>
    <n v="104"/>
    <n v="63"/>
    <n v="41"/>
  </r>
  <r>
    <x v="14"/>
    <x v="247"/>
    <s v="PO"/>
    <x v="18"/>
    <x v="215"/>
    <n v="968"/>
    <n v="610"/>
    <n v="358"/>
  </r>
  <r>
    <x v="14"/>
    <x v="248"/>
    <s v="PO"/>
    <x v="18"/>
    <x v="216"/>
    <n v="81"/>
    <n v="53"/>
    <n v="28"/>
  </r>
  <r>
    <x v="14"/>
    <x v="249"/>
    <s v="PO"/>
    <x v="18"/>
    <x v="217"/>
    <n v="90"/>
    <n v="54"/>
    <n v="36"/>
  </r>
  <r>
    <x v="14"/>
    <x v="250"/>
    <s v="PO"/>
    <x v="18"/>
    <x v="218"/>
    <n v="95"/>
    <n v="67"/>
    <n v="28"/>
  </r>
  <r>
    <x v="14"/>
    <x v="251"/>
    <s v="PO"/>
    <x v="18"/>
    <x v="55"/>
    <n v="440"/>
    <n v="284"/>
    <n v="156"/>
  </r>
  <r>
    <x v="14"/>
    <x v="252"/>
    <s v="PO"/>
    <x v="18"/>
    <x v="219"/>
    <n v="19"/>
    <n v="11"/>
    <n v="8"/>
  </r>
  <r>
    <x v="14"/>
    <x v="253"/>
    <s v="PO"/>
    <x v="18"/>
    <x v="220"/>
    <n v="68"/>
    <n v="42"/>
    <n v="26"/>
  </r>
  <r>
    <x v="14"/>
    <x v="254"/>
    <s v="PO"/>
    <x v="18"/>
    <x v="221"/>
    <n v="42"/>
    <n v="29"/>
    <n v="13"/>
  </r>
  <r>
    <x v="14"/>
    <x v="255"/>
    <s v="PO"/>
    <x v="18"/>
    <x v="222"/>
    <n v="33"/>
    <n v="20"/>
    <n v="13"/>
  </r>
  <r>
    <x v="14"/>
    <x v="256"/>
    <s v="PO"/>
    <x v="18"/>
    <x v="73"/>
    <n v="142"/>
    <n v="90"/>
    <n v="52"/>
  </r>
  <r>
    <x v="14"/>
    <x v="257"/>
    <s v="PO"/>
    <x v="18"/>
    <x v="223"/>
    <n v="203"/>
    <n v="110"/>
    <n v="93"/>
  </r>
  <r>
    <x v="14"/>
    <x v="258"/>
    <s v="SU"/>
    <x v="19"/>
    <x v="154"/>
    <n v="75"/>
    <n v="39"/>
    <n v="36"/>
  </r>
  <r>
    <x v="14"/>
    <x v="259"/>
    <s v="SU"/>
    <x v="19"/>
    <x v="224"/>
    <n v="33"/>
    <n v="21"/>
    <n v="12"/>
  </r>
  <r>
    <x v="14"/>
    <x v="260"/>
    <s v="SU"/>
    <x v="19"/>
    <x v="80"/>
    <n v="129"/>
    <n v="74"/>
    <n v="55"/>
  </r>
  <r>
    <x v="14"/>
    <x v="261"/>
    <s v="SU"/>
    <x v="19"/>
    <x v="225"/>
    <n v="50"/>
    <n v="28"/>
    <n v="22"/>
  </r>
  <r>
    <x v="14"/>
    <x v="262"/>
    <s v="SU"/>
    <x v="19"/>
    <x v="226"/>
    <n v="491"/>
    <n v="266"/>
    <n v="225"/>
  </r>
  <r>
    <x v="14"/>
    <x v="263"/>
    <s v="SU"/>
    <x v="19"/>
    <x v="59"/>
    <n v="46"/>
    <n v="27"/>
    <n v="19"/>
  </r>
  <r>
    <x v="14"/>
    <x v="264"/>
    <s v="SU"/>
    <x v="19"/>
    <x v="227"/>
    <n v="49"/>
    <n v="26"/>
    <n v="23"/>
  </r>
  <r>
    <x v="14"/>
    <x v="265"/>
    <s v="SU"/>
    <x v="19"/>
    <x v="228"/>
    <n v="49"/>
    <n v="22"/>
    <n v="27"/>
  </r>
  <r>
    <x v="14"/>
    <x v="266"/>
    <s v="SU"/>
    <x v="19"/>
    <x v="66"/>
    <n v="23"/>
    <n v="15"/>
    <n v="8"/>
  </r>
  <r>
    <x v="14"/>
    <x v="267"/>
    <s v="SU"/>
    <x v="19"/>
    <x v="208"/>
    <n v="68"/>
    <n v="37"/>
    <n v="31"/>
  </r>
  <r>
    <x v="14"/>
    <x v="268"/>
    <s v="SU"/>
    <x v="19"/>
    <x v="229"/>
    <n v="25"/>
    <n v="14"/>
    <n v="11"/>
  </r>
  <r>
    <x v="14"/>
    <x v="269"/>
    <s v="SU"/>
    <x v="19"/>
    <x v="230"/>
    <n v="155"/>
    <n v="81"/>
    <n v="74"/>
  </r>
  <r>
    <x v="14"/>
    <x v="270"/>
    <s v="SU"/>
    <x v="19"/>
    <x v="231"/>
    <n v="112"/>
    <n v="61"/>
    <n v="51"/>
  </r>
  <r>
    <x v="14"/>
    <x v="271"/>
    <s v="SU"/>
    <x v="19"/>
    <x v="73"/>
    <n v="1416"/>
    <n v="896"/>
    <n v="520"/>
  </r>
  <r>
    <x v="14"/>
    <x v="272"/>
    <s v="SU"/>
    <x v="19"/>
    <x v="232"/>
    <n v="100"/>
    <n v="57"/>
    <n v="43"/>
  </r>
  <r>
    <x v="14"/>
    <x v="273"/>
    <s v="TA"/>
    <x v="20"/>
    <x v="163"/>
    <n v="48"/>
    <n v="26"/>
    <n v="22"/>
  </r>
  <r>
    <x v="14"/>
    <x v="274"/>
    <s v="TA"/>
    <x v="20"/>
    <x v="233"/>
    <n v="18"/>
    <n v="11"/>
    <n v="7"/>
  </r>
  <r>
    <x v="14"/>
    <x v="275"/>
    <s v="TA"/>
    <x v="20"/>
    <x v="234"/>
    <n v="233"/>
    <n v="136"/>
    <n v="97"/>
  </r>
  <r>
    <x v="14"/>
    <x v="276"/>
    <s v="TA"/>
    <x v="20"/>
    <x v="59"/>
    <n v="190"/>
    <n v="105"/>
    <n v="85"/>
  </r>
  <r>
    <x v="14"/>
    <x v="277"/>
    <s v="TA"/>
    <x v="20"/>
    <x v="235"/>
    <n v="223"/>
    <n v="134"/>
    <n v="89"/>
  </r>
  <r>
    <x v="14"/>
    <x v="278"/>
    <s v="TA"/>
    <x v="20"/>
    <x v="236"/>
    <n v="76"/>
    <n v="46"/>
    <n v="30"/>
  </r>
  <r>
    <x v="14"/>
    <x v="279"/>
    <s v="TA"/>
    <x v="20"/>
    <x v="237"/>
    <n v="141"/>
    <n v="82"/>
    <n v="59"/>
  </r>
  <r>
    <x v="14"/>
    <x v="280"/>
    <s v="TA"/>
    <x v="20"/>
    <x v="35"/>
    <n v="11"/>
    <n v="8"/>
    <n v="3"/>
  </r>
  <r>
    <x v="14"/>
    <x v="281"/>
    <s v="TA"/>
    <x v="20"/>
    <x v="238"/>
    <n v="174"/>
    <n v="108"/>
    <n v="66"/>
  </r>
  <r>
    <x v="14"/>
    <x v="282"/>
    <s v="TA"/>
    <x v="20"/>
    <x v="239"/>
    <n v="73"/>
    <n v="46"/>
    <n v="27"/>
  </r>
  <r>
    <x v="14"/>
    <x v="283"/>
    <s v="TA"/>
    <x v="20"/>
    <x v="38"/>
    <n v="74"/>
    <n v="45"/>
    <n v="29"/>
  </r>
  <r>
    <x v="14"/>
    <x v="284"/>
    <s v="TA"/>
    <x v="20"/>
    <x v="240"/>
    <n v="227"/>
    <n v="135"/>
    <n v="92"/>
  </r>
  <r>
    <x v="14"/>
    <x v="285"/>
    <s v="TA"/>
    <x v="20"/>
    <x v="241"/>
    <n v="41"/>
    <n v="27"/>
    <n v="14"/>
  </r>
  <r>
    <x v="14"/>
    <x v="286"/>
    <s v="TA"/>
    <x v="20"/>
    <x v="242"/>
    <n v="265"/>
    <n v="158"/>
    <n v="107"/>
  </r>
  <r>
    <x v="14"/>
    <x v="287"/>
    <s v="TA"/>
    <x v="20"/>
    <x v="42"/>
    <n v="60"/>
    <n v="36"/>
    <n v="24"/>
  </r>
  <r>
    <x v="14"/>
    <x v="288"/>
    <s v="TA"/>
    <x v="20"/>
    <x v="66"/>
    <n v="66"/>
    <n v="50"/>
    <n v="16"/>
  </r>
  <r>
    <x v="14"/>
    <x v="289"/>
    <s v="TA"/>
    <x v="20"/>
    <x v="243"/>
    <n v="33"/>
    <n v="17"/>
    <n v="16"/>
  </r>
  <r>
    <x v="14"/>
    <x v="290"/>
    <s v="TA"/>
    <x v="20"/>
    <x v="244"/>
    <n v="71"/>
    <n v="35"/>
    <n v="36"/>
  </r>
  <r>
    <x v="14"/>
    <x v="291"/>
    <s v="TA"/>
    <x v="20"/>
    <x v="245"/>
    <n v="135"/>
    <n v="76"/>
    <n v="59"/>
  </r>
  <r>
    <x v="14"/>
    <x v="292"/>
    <s v="TA"/>
    <x v="20"/>
    <x v="246"/>
    <n v="100"/>
    <n v="59"/>
    <n v="41"/>
  </r>
  <r>
    <x v="14"/>
    <x v="293"/>
    <s v="TA"/>
    <x v="20"/>
    <x v="247"/>
    <n v="17"/>
    <n v="11"/>
    <n v="6"/>
  </r>
  <r>
    <x v="14"/>
    <x v="294"/>
    <s v="TA"/>
    <x v="20"/>
    <x v="248"/>
    <n v="51"/>
    <n v="27"/>
    <n v="24"/>
  </r>
  <r>
    <x v="14"/>
    <x v="295"/>
    <s v="TA"/>
    <x v="20"/>
    <x v="249"/>
    <n v="2634"/>
    <n v="1518"/>
    <n v="1116"/>
  </r>
  <r>
    <x v="14"/>
    <x v="296"/>
    <s v="TA"/>
    <x v="20"/>
    <x v="250"/>
    <n v="20"/>
    <n v="14"/>
    <n v="6"/>
  </r>
  <r>
    <x v="14"/>
    <x v="297"/>
    <s v="TA"/>
    <x v="20"/>
    <x v="251"/>
    <n v="32"/>
    <n v="16"/>
    <n v="16"/>
  </r>
  <r>
    <x v="14"/>
    <x v="298"/>
    <s v="TA"/>
    <x v="20"/>
    <x v="50"/>
    <n v="8"/>
    <n v="3"/>
    <n v="5"/>
  </r>
  <r>
    <x v="14"/>
    <x v="299"/>
    <s v="TA"/>
    <x v="20"/>
    <x v="73"/>
    <n v="49"/>
    <n v="32"/>
    <n v="17"/>
  </r>
  <r>
    <x v="14"/>
    <x v="300"/>
    <s v="TA"/>
    <x v="20"/>
    <x v="252"/>
    <n v="78"/>
    <n v="50"/>
    <n v="28"/>
  </r>
  <r>
    <x v="14"/>
    <x v="301"/>
    <s v="TA"/>
    <x v="20"/>
    <x v="253"/>
    <n v="84"/>
    <n v="46"/>
    <n v="38"/>
  </r>
  <r>
    <x v="14"/>
    <x v="302"/>
    <s v="TR"/>
    <x v="21"/>
    <x v="163"/>
    <n v="52"/>
    <n v="37"/>
    <n v="15"/>
  </r>
  <r>
    <x v="14"/>
    <x v="303"/>
    <s v="TR"/>
    <x v="21"/>
    <x v="254"/>
    <n v="566"/>
    <n v="310"/>
    <n v="256"/>
  </r>
  <r>
    <x v="14"/>
    <x v="304"/>
    <s v="TR"/>
    <x v="21"/>
    <x v="59"/>
    <n v="30"/>
    <n v="24"/>
    <n v="6"/>
  </r>
  <r>
    <x v="14"/>
    <x v="305"/>
    <s v="TR"/>
    <x v="21"/>
    <x v="255"/>
    <n v="90"/>
    <n v="56"/>
    <n v="34"/>
  </r>
  <r>
    <x v="14"/>
    <x v="306"/>
    <s v="TR"/>
    <x v="21"/>
    <x v="256"/>
    <n v="120"/>
    <n v="58"/>
    <n v="62"/>
  </r>
  <r>
    <x v="14"/>
    <x v="307"/>
    <s v="TR"/>
    <x v="21"/>
    <x v="257"/>
    <n v="44"/>
    <n v="23"/>
    <n v="21"/>
  </r>
  <r>
    <x v="14"/>
    <x v="308"/>
    <s v="TR"/>
    <x v="21"/>
    <x v="258"/>
    <n v="6"/>
    <n v="4"/>
    <n v="2"/>
  </r>
  <r>
    <x v="14"/>
    <x v="309"/>
    <s v="TR"/>
    <x v="21"/>
    <x v="259"/>
    <n v="20"/>
    <n v="9"/>
    <n v="11"/>
  </r>
  <r>
    <x v="14"/>
    <x v="310"/>
    <s v="TR"/>
    <x v="21"/>
    <x v="260"/>
    <n v="53"/>
    <n v="31"/>
    <n v="22"/>
  </r>
  <r>
    <x v="14"/>
    <x v="311"/>
    <s v="TR"/>
    <x v="21"/>
    <x v="104"/>
    <n v="36"/>
    <n v="25"/>
    <n v="11"/>
  </r>
  <r>
    <x v="14"/>
    <x v="312"/>
    <s v="TR"/>
    <x v="21"/>
    <x v="261"/>
    <n v="32"/>
    <n v="20"/>
    <n v="12"/>
  </r>
  <r>
    <x v="14"/>
    <x v="313"/>
    <s v="TR"/>
    <x v="21"/>
    <x v="262"/>
    <n v="17"/>
    <n v="12"/>
    <n v="5"/>
  </r>
  <r>
    <x v="14"/>
    <x v="314"/>
    <s v="TR"/>
    <x v="21"/>
    <x v="263"/>
    <n v="128"/>
    <n v="79"/>
    <n v="49"/>
  </r>
  <r>
    <x v="14"/>
    <x v="315"/>
    <s v="TR"/>
    <x v="21"/>
    <x v="264"/>
    <n v="32"/>
    <n v="19"/>
    <n v="13"/>
  </r>
  <r>
    <x v="14"/>
    <x v="316"/>
    <s v="TR"/>
    <x v="21"/>
    <x v="265"/>
    <n v="61"/>
    <n v="32"/>
    <n v="29"/>
  </r>
  <r>
    <x v="14"/>
    <x v="317"/>
    <s v="TR"/>
    <x v="21"/>
    <x v="266"/>
    <n v="126"/>
    <n v="73"/>
    <n v="53"/>
  </r>
  <r>
    <x v="14"/>
    <x v="318"/>
    <s v="TR"/>
    <x v="21"/>
    <x v="73"/>
    <n v="115"/>
    <n v="69"/>
    <n v="46"/>
  </r>
  <r>
    <x v="14"/>
    <x v="319"/>
    <s v="TR"/>
    <x v="21"/>
    <x v="267"/>
    <n v="459"/>
    <n v="264"/>
    <n v="195"/>
  </r>
  <r>
    <x v="14"/>
    <x v="320"/>
    <s v="TR"/>
    <x v="21"/>
    <x v="75"/>
    <n v="159"/>
    <n v="82"/>
    <n v="77"/>
  </r>
  <r>
    <x v="14"/>
    <x v="321"/>
    <s v="TR"/>
    <x v="21"/>
    <x v="268"/>
    <n v="1363"/>
    <n v="823"/>
    <n v="540"/>
  </r>
  <r>
    <x v="14"/>
    <x v="322"/>
    <s v="VA"/>
    <x v="0"/>
    <x v="269"/>
    <n v="130"/>
    <n v="89"/>
    <n v="41"/>
  </r>
  <r>
    <x v="14"/>
    <x v="323"/>
    <s v="VA"/>
    <x v="0"/>
    <x v="270"/>
    <n v="115"/>
    <n v="77"/>
    <n v="38"/>
  </r>
  <r>
    <x v="14"/>
    <x v="324"/>
    <s v="VA"/>
    <x v="0"/>
    <x v="271"/>
    <n v="185"/>
    <n v="118"/>
    <n v="67"/>
  </r>
  <r>
    <x v="14"/>
    <x v="325"/>
    <s v="VA"/>
    <x v="0"/>
    <x v="272"/>
    <n v="22"/>
    <n v="12"/>
    <n v="10"/>
  </r>
  <r>
    <x v="14"/>
    <x v="326"/>
    <s v="VA"/>
    <x v="0"/>
    <x v="273"/>
    <n v="202"/>
    <n v="146"/>
    <n v="56"/>
  </r>
  <r>
    <x v="14"/>
    <x v="327"/>
    <s v="VA"/>
    <x v="0"/>
    <x v="274"/>
    <n v="8"/>
    <n v="6"/>
    <n v="2"/>
  </r>
  <r>
    <x v="14"/>
    <x v="328"/>
    <s v="VA"/>
    <x v="0"/>
    <x v="275"/>
    <n v="263"/>
    <n v="166"/>
    <n v="97"/>
  </r>
  <r>
    <x v="14"/>
    <x v="329"/>
    <s v="VA"/>
    <x v="0"/>
    <x v="276"/>
    <n v="54"/>
    <n v="35"/>
    <n v="19"/>
  </r>
  <r>
    <x v="14"/>
    <x v="330"/>
    <s v="VA"/>
    <x v="0"/>
    <x v="277"/>
    <n v="321"/>
    <n v="211"/>
    <n v="110"/>
  </r>
  <r>
    <x v="14"/>
    <x v="331"/>
    <s v="VA"/>
    <x v="0"/>
    <x v="278"/>
    <n v="47"/>
    <n v="34"/>
    <n v="13"/>
  </r>
  <r>
    <x v="14"/>
    <x v="332"/>
    <s v="VA"/>
    <x v="0"/>
    <x v="279"/>
    <n v="56"/>
    <n v="38"/>
    <n v="18"/>
  </r>
  <r>
    <x v="14"/>
    <x v="333"/>
    <s v="YA"/>
    <x v="22"/>
    <x v="280"/>
    <n v="32"/>
    <n v="20"/>
    <n v="12"/>
  </r>
  <r>
    <x v="14"/>
    <x v="334"/>
    <s v="YA"/>
    <x v="22"/>
    <x v="59"/>
    <n v="76"/>
    <n v="49"/>
    <n v="27"/>
  </r>
  <r>
    <x v="14"/>
    <x v="335"/>
    <s v="YA"/>
    <x v="22"/>
    <x v="281"/>
    <n v="198"/>
    <n v="128"/>
    <n v="70"/>
  </r>
  <r>
    <x v="14"/>
    <x v="336"/>
    <s v="YA"/>
    <x v="22"/>
    <x v="282"/>
    <n v="57"/>
    <n v="36"/>
    <n v="21"/>
  </r>
  <r>
    <x v="14"/>
    <x v="337"/>
    <s v="YA"/>
    <x v="22"/>
    <x v="38"/>
    <n v="70"/>
    <n v="40"/>
    <n v="30"/>
  </r>
  <r>
    <x v="14"/>
    <x v="338"/>
    <s v="YA"/>
    <x v="22"/>
    <x v="283"/>
    <n v="44"/>
    <n v="32"/>
    <n v="12"/>
  </r>
  <r>
    <x v="14"/>
    <x v="339"/>
    <s v="YA"/>
    <x v="22"/>
    <x v="284"/>
    <n v="22"/>
    <n v="12"/>
    <n v="10"/>
  </r>
  <r>
    <x v="14"/>
    <x v="340"/>
    <s v="YA"/>
    <x v="22"/>
    <x v="285"/>
    <n v="29"/>
    <n v="17"/>
    <n v="12"/>
  </r>
  <r>
    <x v="14"/>
    <x v="341"/>
    <s v="YA"/>
    <x v="22"/>
    <x v="286"/>
    <n v="227"/>
    <n v="160"/>
    <n v="67"/>
  </r>
  <r>
    <x v="14"/>
    <x v="342"/>
    <s v="YA"/>
    <x v="22"/>
    <x v="287"/>
    <n v="236"/>
    <n v="143"/>
    <n v="93"/>
  </r>
  <r>
    <x v="14"/>
    <x v="343"/>
    <s v="YA"/>
    <x v="22"/>
    <x v="288"/>
    <n v="1019"/>
    <n v="585"/>
    <n v="434"/>
  </r>
  <r>
    <x v="14"/>
    <x v="344"/>
    <s v="YA"/>
    <x v="22"/>
    <x v="73"/>
    <n v="41"/>
    <n v="19"/>
    <n v="22"/>
  </r>
  <r>
    <x v="14"/>
    <x v="345"/>
    <s v="YA"/>
    <x v="22"/>
    <x v="289"/>
    <n v="49"/>
    <n v="28"/>
    <n v="21"/>
  </r>
  <r>
    <x v="14"/>
    <x v="346"/>
    <s v="YA"/>
    <x v="22"/>
    <x v="290"/>
    <n v="49"/>
    <n v="35"/>
    <n v="14"/>
  </r>
  <r>
    <x v="14"/>
    <x v="347"/>
    <s v="ZU"/>
    <x v="23"/>
    <x v="291"/>
    <n v="26"/>
    <n v="16"/>
    <n v="10"/>
  </r>
  <r>
    <x v="14"/>
    <x v="348"/>
    <s v="ZU"/>
    <x v="23"/>
    <x v="292"/>
    <n v="263"/>
    <n v="171"/>
    <n v="92"/>
  </r>
  <r>
    <x v="14"/>
    <x v="349"/>
    <s v="ZU"/>
    <x v="23"/>
    <x v="293"/>
    <n v="1104"/>
    <n v="646"/>
    <n v="458"/>
  </r>
  <r>
    <x v="14"/>
    <x v="350"/>
    <s v="ZU"/>
    <x v="23"/>
    <x v="294"/>
    <n v="75"/>
    <n v="53"/>
    <n v="22"/>
  </r>
  <r>
    <x v="14"/>
    <x v="351"/>
    <s v="ZU"/>
    <x v="23"/>
    <x v="295"/>
    <n v="465"/>
    <n v="288"/>
    <n v="177"/>
  </r>
  <r>
    <x v="14"/>
    <x v="352"/>
    <s v="ZU"/>
    <x v="23"/>
    <x v="296"/>
    <n v="73"/>
    <n v="46"/>
    <n v="27"/>
  </r>
  <r>
    <x v="14"/>
    <x v="353"/>
    <s v="ZU"/>
    <x v="23"/>
    <x v="297"/>
    <n v="404"/>
    <n v="243"/>
    <n v="161"/>
  </r>
  <r>
    <x v="14"/>
    <x v="354"/>
    <s v="ZU"/>
    <x v="23"/>
    <x v="298"/>
    <n v="102"/>
    <n v="68"/>
    <n v="34"/>
  </r>
  <r>
    <x v="14"/>
    <x v="355"/>
    <s v="ZU"/>
    <x v="23"/>
    <x v="299"/>
    <n v="197"/>
    <n v="133"/>
    <n v="64"/>
  </r>
  <r>
    <x v="14"/>
    <x v="356"/>
    <s v="ZU"/>
    <x v="23"/>
    <x v="300"/>
    <n v="1018"/>
    <n v="623"/>
    <n v="395"/>
  </r>
  <r>
    <x v="14"/>
    <x v="357"/>
    <s v="ZU"/>
    <x v="23"/>
    <x v="301"/>
    <n v="424"/>
    <n v="276"/>
    <n v="148"/>
  </r>
  <r>
    <x v="14"/>
    <x v="358"/>
    <s v="ZU"/>
    <x v="23"/>
    <x v="302"/>
    <n v="703"/>
    <n v="446"/>
    <n v="257"/>
  </r>
  <r>
    <x v="14"/>
    <x v="359"/>
    <s v="ZU"/>
    <x v="23"/>
    <x v="303"/>
    <n v="8090"/>
    <n v="4711"/>
    <n v="3379"/>
  </r>
  <r>
    <x v="14"/>
    <x v="360"/>
    <s v="ZU"/>
    <x v="23"/>
    <x v="104"/>
    <n v="259"/>
    <n v="160"/>
    <n v="99"/>
  </r>
  <r>
    <x v="14"/>
    <x v="361"/>
    <s v="ZU"/>
    <x v="23"/>
    <x v="55"/>
    <n v="120"/>
    <n v="69"/>
    <n v="51"/>
  </r>
  <r>
    <x v="14"/>
    <x v="362"/>
    <s v="ZU"/>
    <x v="23"/>
    <x v="304"/>
    <n v="280"/>
    <n v="156"/>
    <n v="124"/>
  </r>
  <r>
    <x v="14"/>
    <x v="363"/>
    <s v="ZU"/>
    <x v="23"/>
    <x v="136"/>
    <n v="1244"/>
    <n v="713"/>
    <n v="531"/>
  </r>
  <r>
    <x v="14"/>
    <x v="364"/>
    <s v="ZU"/>
    <x v="23"/>
    <x v="305"/>
    <n v="158"/>
    <n v="91"/>
    <n v="67"/>
  </r>
  <r>
    <x v="14"/>
    <x v="365"/>
    <s v="ZU"/>
    <x v="23"/>
    <x v="49"/>
    <n v="76"/>
    <n v="53"/>
    <n v="23"/>
  </r>
  <r>
    <x v="14"/>
    <x v="366"/>
    <s v="ZU"/>
    <x v="23"/>
    <x v="73"/>
    <n v="219"/>
    <n v="152"/>
    <n v="67"/>
  </r>
  <r>
    <x v="14"/>
    <x v="367"/>
    <s v="ZU"/>
    <x v="23"/>
    <x v="306"/>
    <n v="132"/>
    <n v="96"/>
    <n v="36"/>
  </r>
  <r>
    <x v="14"/>
    <x v="368"/>
    <s v="DE"/>
    <x v="24"/>
    <x v="307"/>
    <n v="0"/>
    <n v="0"/>
    <n v="0"/>
  </r>
  <r>
    <x v="15"/>
    <x v="0"/>
    <s v="VA"/>
    <x v="0"/>
    <x v="0"/>
    <n v="855"/>
    <n v="0"/>
    <n v="0"/>
  </r>
  <r>
    <x v="15"/>
    <x v="1"/>
    <s v="DI"/>
    <x v="1"/>
    <x v="1"/>
    <n v="14475"/>
    <n v="0"/>
    <n v="0"/>
  </r>
  <r>
    <x v="15"/>
    <x v="2"/>
    <s v="DI"/>
    <x v="1"/>
    <x v="2"/>
    <n v="0"/>
    <n v="0"/>
    <n v="0"/>
  </r>
  <r>
    <x v="15"/>
    <x v="3"/>
    <s v="DI"/>
    <x v="1"/>
    <x v="3"/>
    <n v="0"/>
    <n v="0"/>
    <n v="0"/>
  </r>
  <r>
    <x v="15"/>
    <x v="4"/>
    <s v="DI"/>
    <x v="1"/>
    <x v="4"/>
    <n v="0"/>
    <n v="0"/>
    <n v="0"/>
  </r>
  <r>
    <x v="15"/>
    <x v="5"/>
    <s v="DI"/>
    <x v="1"/>
    <x v="5"/>
    <n v="0"/>
    <n v="0"/>
    <n v="0"/>
  </r>
  <r>
    <x v="15"/>
    <x v="6"/>
    <s v="DI"/>
    <x v="1"/>
    <x v="6"/>
    <n v="0"/>
    <n v="0"/>
    <n v="0"/>
  </r>
  <r>
    <x v="15"/>
    <x v="7"/>
    <s v="DI"/>
    <x v="1"/>
    <x v="7"/>
    <n v="0"/>
    <n v="0"/>
    <n v="0"/>
  </r>
  <r>
    <x v="15"/>
    <x v="8"/>
    <s v="DI"/>
    <x v="1"/>
    <x v="8"/>
    <n v="0"/>
    <n v="0"/>
    <n v="0"/>
  </r>
  <r>
    <x v="15"/>
    <x v="9"/>
    <s v="DI"/>
    <x v="1"/>
    <x v="9"/>
    <n v="0"/>
    <n v="0"/>
    <n v="0"/>
  </r>
  <r>
    <x v="15"/>
    <x v="10"/>
    <s v="DI"/>
    <x v="1"/>
    <x v="10"/>
    <n v="0"/>
    <n v="0"/>
    <n v="0"/>
  </r>
  <r>
    <x v="15"/>
    <x v="11"/>
    <s v="DI"/>
    <x v="1"/>
    <x v="11"/>
    <n v="0"/>
    <n v="0"/>
    <n v="0"/>
  </r>
  <r>
    <x v="15"/>
    <x v="12"/>
    <s v="DI"/>
    <x v="1"/>
    <x v="12"/>
    <n v="0"/>
    <n v="0"/>
    <n v="0"/>
  </r>
  <r>
    <x v="15"/>
    <x v="13"/>
    <s v="DI"/>
    <x v="1"/>
    <x v="13"/>
    <n v="0"/>
    <n v="0"/>
    <n v="0"/>
  </r>
  <r>
    <x v="15"/>
    <x v="14"/>
    <s v="DI"/>
    <x v="1"/>
    <x v="14"/>
    <n v="0"/>
    <n v="0"/>
    <n v="0"/>
  </r>
  <r>
    <x v="15"/>
    <x v="15"/>
    <s v="DI"/>
    <x v="1"/>
    <x v="15"/>
    <n v="0"/>
    <n v="0"/>
    <n v="0"/>
  </r>
  <r>
    <x v="15"/>
    <x v="16"/>
    <s v="DI"/>
    <x v="1"/>
    <x v="16"/>
    <n v="0"/>
    <n v="0"/>
    <n v="0"/>
  </r>
  <r>
    <x v="15"/>
    <x v="17"/>
    <s v="DI"/>
    <x v="1"/>
    <x v="17"/>
    <n v="0"/>
    <n v="0"/>
    <n v="0"/>
  </r>
  <r>
    <x v="15"/>
    <x v="18"/>
    <s v="DI"/>
    <x v="1"/>
    <x v="18"/>
    <n v="0"/>
    <n v="0"/>
    <n v="0"/>
  </r>
  <r>
    <x v="15"/>
    <x v="19"/>
    <s v="DI"/>
    <x v="1"/>
    <x v="19"/>
    <n v="0"/>
    <n v="0"/>
    <n v="0"/>
  </r>
  <r>
    <x v="15"/>
    <x v="20"/>
    <s v="DI"/>
    <x v="1"/>
    <x v="20"/>
    <n v="0"/>
    <n v="0"/>
    <n v="0"/>
  </r>
  <r>
    <x v="15"/>
    <x v="21"/>
    <s v="DI"/>
    <x v="1"/>
    <x v="21"/>
    <n v="0"/>
    <n v="0"/>
    <n v="0"/>
  </r>
  <r>
    <x v="15"/>
    <x v="22"/>
    <s v="DI"/>
    <x v="1"/>
    <x v="22"/>
    <n v="0"/>
    <n v="0"/>
    <n v="0"/>
  </r>
  <r>
    <x v="15"/>
    <x v="23"/>
    <s v="DI"/>
    <x v="1"/>
    <x v="23"/>
    <n v="0"/>
    <n v="0"/>
    <n v="0"/>
  </r>
  <r>
    <x v="15"/>
    <x v="24"/>
    <s v="AM"/>
    <x v="2"/>
    <x v="24"/>
    <n v="27"/>
    <n v="0"/>
    <n v="0"/>
  </r>
  <r>
    <x v="15"/>
    <x v="25"/>
    <s v="AM"/>
    <x v="2"/>
    <x v="25"/>
    <n v="18"/>
    <n v="0"/>
    <n v="0"/>
  </r>
  <r>
    <x v="15"/>
    <x v="26"/>
    <s v="AM"/>
    <x v="2"/>
    <x v="26"/>
    <n v="387"/>
    <n v="0"/>
    <n v="0"/>
  </r>
  <r>
    <x v="15"/>
    <x v="27"/>
    <s v="AM"/>
    <x v="2"/>
    <x v="27"/>
    <n v="8"/>
    <n v="0"/>
    <n v="0"/>
  </r>
  <r>
    <x v="15"/>
    <x v="28"/>
    <s v="AM"/>
    <x v="2"/>
    <x v="28"/>
    <n v="7"/>
    <n v="0"/>
    <n v="0"/>
  </r>
  <r>
    <x v="15"/>
    <x v="29"/>
    <s v="AM"/>
    <x v="2"/>
    <x v="29"/>
    <n v="7"/>
    <n v="0"/>
    <n v="0"/>
  </r>
  <r>
    <x v="15"/>
    <x v="30"/>
    <s v="AM"/>
    <x v="2"/>
    <x v="30"/>
    <n v="0"/>
    <n v="0"/>
    <n v="0"/>
  </r>
  <r>
    <x v="15"/>
    <x v="31"/>
    <s v="AN"/>
    <x v="3"/>
    <x v="31"/>
    <n v="205"/>
    <n v="0"/>
    <n v="0"/>
  </r>
  <r>
    <x v="15"/>
    <x v="32"/>
    <s v="AN"/>
    <x v="3"/>
    <x v="32"/>
    <n v="87"/>
    <n v="0"/>
    <n v="0"/>
  </r>
  <r>
    <x v="15"/>
    <x v="33"/>
    <s v="AN"/>
    <x v="3"/>
    <x v="33"/>
    <n v="83"/>
    <n v="0"/>
    <n v="0"/>
  </r>
  <r>
    <x v="15"/>
    <x v="34"/>
    <s v="AN"/>
    <x v="3"/>
    <x v="34"/>
    <n v="58"/>
    <n v="0"/>
    <n v="0"/>
  </r>
  <r>
    <x v="15"/>
    <x v="35"/>
    <s v="AN"/>
    <x v="3"/>
    <x v="35"/>
    <n v="99"/>
    <n v="0"/>
    <n v="0"/>
  </r>
  <r>
    <x v="15"/>
    <x v="36"/>
    <s v="AN"/>
    <x v="3"/>
    <x v="36"/>
    <n v="37"/>
    <n v="0"/>
    <n v="0"/>
  </r>
  <r>
    <x v="15"/>
    <x v="37"/>
    <s v="AN"/>
    <x v="3"/>
    <x v="37"/>
    <n v="49"/>
    <n v="0"/>
    <n v="0"/>
  </r>
  <r>
    <x v="15"/>
    <x v="38"/>
    <s v="AN"/>
    <x v="3"/>
    <x v="38"/>
    <n v="77"/>
    <n v="0"/>
    <n v="0"/>
  </r>
  <r>
    <x v="15"/>
    <x v="39"/>
    <s v="AN"/>
    <x v="3"/>
    <x v="39"/>
    <n v="45"/>
    <n v="0"/>
    <n v="0"/>
  </r>
  <r>
    <x v="15"/>
    <x v="40"/>
    <s v="AN"/>
    <x v="3"/>
    <x v="40"/>
    <n v="516"/>
    <n v="0"/>
    <n v="0"/>
  </r>
  <r>
    <x v="15"/>
    <x v="41"/>
    <s v="AN"/>
    <x v="3"/>
    <x v="41"/>
    <n v="15"/>
    <n v="0"/>
    <n v="0"/>
  </r>
  <r>
    <x v="15"/>
    <x v="42"/>
    <s v="AN"/>
    <x v="3"/>
    <x v="42"/>
    <n v="38"/>
    <n v="0"/>
    <n v="0"/>
  </r>
  <r>
    <x v="15"/>
    <x v="43"/>
    <s v="AN"/>
    <x v="3"/>
    <x v="43"/>
    <n v="82"/>
    <n v="0"/>
    <n v="0"/>
  </r>
  <r>
    <x v="15"/>
    <x v="44"/>
    <s v="AN"/>
    <x v="3"/>
    <x v="44"/>
    <n v="220"/>
    <n v="0"/>
    <n v="0"/>
  </r>
  <r>
    <x v="15"/>
    <x v="45"/>
    <s v="AN"/>
    <x v="3"/>
    <x v="45"/>
    <n v="58"/>
    <n v="0"/>
    <n v="0"/>
  </r>
  <r>
    <x v="15"/>
    <x v="46"/>
    <s v="AN"/>
    <x v="3"/>
    <x v="46"/>
    <n v="120"/>
    <n v="0"/>
    <n v="0"/>
  </r>
  <r>
    <x v="15"/>
    <x v="47"/>
    <s v="AN"/>
    <x v="3"/>
    <x v="47"/>
    <n v="30"/>
    <n v="0"/>
    <n v="0"/>
  </r>
  <r>
    <x v="15"/>
    <x v="48"/>
    <s v="AN"/>
    <x v="3"/>
    <x v="48"/>
    <n v="6"/>
    <n v="0"/>
    <n v="0"/>
  </r>
  <r>
    <x v="15"/>
    <x v="49"/>
    <s v="AN"/>
    <x v="3"/>
    <x v="49"/>
    <n v="1132"/>
    <n v="0"/>
    <n v="0"/>
  </r>
  <r>
    <x v="15"/>
    <x v="50"/>
    <s v="AN"/>
    <x v="3"/>
    <x v="50"/>
    <n v="535"/>
    <n v="0"/>
    <n v="0"/>
  </r>
  <r>
    <x v="15"/>
    <x v="51"/>
    <s v="AN"/>
    <x v="3"/>
    <x v="51"/>
    <n v="19"/>
    <n v="0"/>
    <n v="0"/>
  </r>
  <r>
    <x v="15"/>
    <x v="52"/>
    <s v="AP"/>
    <x v="4"/>
    <x v="52"/>
    <n v="159"/>
    <n v="0"/>
    <n v="0"/>
  </r>
  <r>
    <x v="15"/>
    <x v="53"/>
    <s v="AP"/>
    <x v="4"/>
    <x v="53"/>
    <n v="53"/>
    <n v="0"/>
    <n v="0"/>
  </r>
  <r>
    <x v="15"/>
    <x v="54"/>
    <s v="AP"/>
    <x v="4"/>
    <x v="54"/>
    <n v="63"/>
    <n v="0"/>
    <n v="0"/>
  </r>
  <r>
    <x v="15"/>
    <x v="55"/>
    <s v="AP"/>
    <x v="4"/>
    <x v="55"/>
    <n v="278"/>
    <n v="0"/>
    <n v="0"/>
  </r>
  <r>
    <x v="15"/>
    <x v="56"/>
    <s v="AP"/>
    <x v="4"/>
    <x v="56"/>
    <n v="28"/>
    <n v="0"/>
    <n v="0"/>
  </r>
  <r>
    <x v="15"/>
    <x v="57"/>
    <s v="AP"/>
    <x v="4"/>
    <x v="57"/>
    <n v="38"/>
    <n v="0"/>
    <n v="0"/>
  </r>
  <r>
    <x v="15"/>
    <x v="58"/>
    <s v="AP"/>
    <x v="4"/>
    <x v="58"/>
    <n v="793"/>
    <n v="0"/>
    <n v="0"/>
  </r>
  <r>
    <x v="15"/>
    <x v="59"/>
    <s v="AR"/>
    <x v="5"/>
    <x v="59"/>
    <n v="133"/>
    <n v="0"/>
    <n v="0"/>
  </r>
  <r>
    <x v="15"/>
    <x v="60"/>
    <s v="AR"/>
    <x v="5"/>
    <x v="60"/>
    <n v="50"/>
    <n v="0"/>
    <n v="0"/>
  </r>
  <r>
    <x v="15"/>
    <x v="61"/>
    <s v="AR"/>
    <x v="5"/>
    <x v="61"/>
    <n v="205"/>
    <n v="0"/>
    <n v="0"/>
  </r>
  <r>
    <x v="15"/>
    <x v="62"/>
    <s v="AR"/>
    <x v="5"/>
    <x v="62"/>
    <n v="3170"/>
    <n v="0"/>
    <n v="0"/>
  </r>
  <r>
    <x v="15"/>
    <x v="63"/>
    <s v="AR"/>
    <x v="5"/>
    <x v="63"/>
    <n v="67"/>
    <n v="0"/>
    <n v="0"/>
  </r>
  <r>
    <x v="15"/>
    <x v="64"/>
    <s v="AR"/>
    <x v="5"/>
    <x v="64"/>
    <n v="757"/>
    <n v="0"/>
    <n v="0"/>
  </r>
  <r>
    <x v="15"/>
    <x v="65"/>
    <s v="AR"/>
    <x v="5"/>
    <x v="65"/>
    <n v="114"/>
    <n v="0"/>
    <n v="0"/>
  </r>
  <r>
    <x v="15"/>
    <x v="66"/>
    <s v="AR"/>
    <x v="5"/>
    <x v="66"/>
    <n v="443"/>
    <n v="0"/>
    <n v="0"/>
  </r>
  <r>
    <x v="15"/>
    <x v="67"/>
    <s v="AR"/>
    <x v="5"/>
    <x v="67"/>
    <n v="250"/>
    <n v="0"/>
    <n v="0"/>
  </r>
  <r>
    <x v="15"/>
    <x v="68"/>
    <s v="AR"/>
    <x v="5"/>
    <x v="68"/>
    <n v="0"/>
    <n v="0"/>
    <n v="0"/>
  </r>
  <r>
    <x v="15"/>
    <x v="69"/>
    <s v="AR"/>
    <x v="5"/>
    <x v="69"/>
    <n v="97"/>
    <n v="0"/>
    <n v="0"/>
  </r>
  <r>
    <x v="15"/>
    <x v="70"/>
    <s v="AR"/>
    <x v="5"/>
    <x v="70"/>
    <n v="61"/>
    <n v="0"/>
    <n v="0"/>
  </r>
  <r>
    <x v="15"/>
    <x v="71"/>
    <s v="AR"/>
    <x v="5"/>
    <x v="71"/>
    <n v="358"/>
    <n v="0"/>
    <n v="0"/>
  </r>
  <r>
    <x v="15"/>
    <x v="72"/>
    <s v="AR"/>
    <x v="5"/>
    <x v="72"/>
    <n v="120"/>
    <n v="0"/>
    <n v="0"/>
  </r>
  <r>
    <x v="15"/>
    <x v="73"/>
    <s v="AR"/>
    <x v="5"/>
    <x v="73"/>
    <n v="367"/>
    <n v="0"/>
    <n v="0"/>
  </r>
  <r>
    <x v="15"/>
    <x v="74"/>
    <s v="AR"/>
    <x v="5"/>
    <x v="74"/>
    <n v="28"/>
    <n v="0"/>
    <n v="0"/>
  </r>
  <r>
    <x v="15"/>
    <x v="75"/>
    <s v="AR"/>
    <x v="5"/>
    <x v="75"/>
    <n v="66"/>
    <n v="0"/>
    <n v="0"/>
  </r>
  <r>
    <x v="15"/>
    <x v="76"/>
    <s v="AR"/>
    <x v="5"/>
    <x v="76"/>
    <n v="405"/>
    <n v="0"/>
    <n v="0"/>
  </r>
  <r>
    <x v="15"/>
    <x v="77"/>
    <s v="BA"/>
    <x v="6"/>
    <x v="77"/>
    <n v="91"/>
    <n v="0"/>
    <n v="0"/>
  </r>
  <r>
    <x v="15"/>
    <x v="78"/>
    <s v="BA"/>
    <x v="6"/>
    <x v="78"/>
    <n v="0"/>
    <n v="0"/>
    <n v="0"/>
  </r>
  <r>
    <x v="15"/>
    <x v="79"/>
    <s v="BA"/>
    <x v="6"/>
    <x v="79"/>
    <n v="207"/>
    <n v="0"/>
    <n v="0"/>
  </r>
  <r>
    <x v="15"/>
    <x v="80"/>
    <s v="BA"/>
    <x v="6"/>
    <x v="80"/>
    <n v="25"/>
    <n v="0"/>
    <n v="0"/>
  </r>
  <r>
    <x v="15"/>
    <x v="81"/>
    <s v="BA"/>
    <x v="6"/>
    <x v="81"/>
    <n v="1405"/>
    <n v="0"/>
    <n v="0"/>
  </r>
  <r>
    <x v="15"/>
    <x v="82"/>
    <s v="BA"/>
    <x v="6"/>
    <x v="59"/>
    <n v="122"/>
    <n v="0"/>
    <n v="0"/>
  </r>
  <r>
    <x v="15"/>
    <x v="83"/>
    <s v="BA"/>
    <x v="6"/>
    <x v="82"/>
    <n v="71"/>
    <n v="0"/>
    <n v="0"/>
  </r>
  <r>
    <x v="15"/>
    <x v="84"/>
    <s v="BA"/>
    <x v="6"/>
    <x v="83"/>
    <n v="172"/>
    <n v="0"/>
    <n v="0"/>
  </r>
  <r>
    <x v="15"/>
    <x v="85"/>
    <s v="BA"/>
    <x v="6"/>
    <x v="84"/>
    <n v="56"/>
    <n v="0"/>
    <n v="0"/>
  </r>
  <r>
    <x v="15"/>
    <x v="86"/>
    <s v="BA"/>
    <x v="6"/>
    <x v="85"/>
    <n v="114"/>
    <n v="0"/>
    <n v="0"/>
  </r>
  <r>
    <x v="15"/>
    <x v="87"/>
    <s v="BA"/>
    <x v="6"/>
    <x v="86"/>
    <n v="85"/>
    <n v="0"/>
    <n v="0"/>
  </r>
  <r>
    <x v="15"/>
    <x v="88"/>
    <s v="BA"/>
    <x v="6"/>
    <x v="87"/>
    <n v="27"/>
    <n v="0"/>
    <n v="0"/>
  </r>
  <r>
    <x v="15"/>
    <x v="89"/>
    <s v="BO"/>
    <x v="7"/>
    <x v="88"/>
    <n v="2987"/>
    <n v="0"/>
    <n v="0"/>
  </r>
  <r>
    <x v="15"/>
    <x v="90"/>
    <s v="BO"/>
    <x v="7"/>
    <x v="89"/>
    <n v="171"/>
    <n v="0"/>
    <n v="0"/>
  </r>
  <r>
    <x v="15"/>
    <x v="91"/>
    <s v="BO"/>
    <x v="7"/>
    <x v="90"/>
    <n v="69"/>
    <n v="0"/>
    <n v="0"/>
  </r>
  <r>
    <x v="15"/>
    <x v="92"/>
    <s v="BO"/>
    <x v="7"/>
    <x v="91"/>
    <n v="48"/>
    <n v="0"/>
    <n v="0"/>
  </r>
  <r>
    <x v="15"/>
    <x v="93"/>
    <s v="BO"/>
    <x v="7"/>
    <x v="92"/>
    <n v="1808"/>
    <n v="0"/>
    <n v="0"/>
  </r>
  <r>
    <x v="15"/>
    <x v="94"/>
    <s v="BO"/>
    <x v="7"/>
    <x v="93"/>
    <n v="31"/>
    <n v="0"/>
    <n v="0"/>
  </r>
  <r>
    <x v="15"/>
    <x v="95"/>
    <s v="BO"/>
    <x v="7"/>
    <x v="94"/>
    <n v="319"/>
    <n v="0"/>
    <n v="0"/>
  </r>
  <r>
    <x v="15"/>
    <x v="96"/>
    <s v="BO"/>
    <x v="7"/>
    <x v="95"/>
    <n v="34"/>
    <n v="0"/>
    <n v="0"/>
  </r>
  <r>
    <x v="15"/>
    <x v="97"/>
    <s v="BO"/>
    <x v="7"/>
    <x v="96"/>
    <n v="40"/>
    <n v="0"/>
    <n v="0"/>
  </r>
  <r>
    <x v="15"/>
    <x v="98"/>
    <s v="BO"/>
    <x v="7"/>
    <x v="97"/>
    <n v="101"/>
    <n v="0"/>
    <n v="0"/>
  </r>
  <r>
    <x v="15"/>
    <x v="99"/>
    <s v="BO"/>
    <x v="7"/>
    <x v="73"/>
    <n v="15"/>
    <n v="0"/>
    <n v="0"/>
  </r>
  <r>
    <x v="15"/>
    <x v="100"/>
    <s v="CA"/>
    <x v="8"/>
    <x v="98"/>
    <n v="273"/>
    <n v="0"/>
    <n v="0"/>
  </r>
  <r>
    <x v="15"/>
    <x v="101"/>
    <s v="CA"/>
    <x v="8"/>
    <x v="99"/>
    <n v="425"/>
    <n v="0"/>
    <n v="0"/>
  </r>
  <r>
    <x v="15"/>
    <x v="102"/>
    <s v="CA"/>
    <x v="8"/>
    <x v="100"/>
    <n v="267"/>
    <n v="0"/>
    <n v="0"/>
  </r>
  <r>
    <x v="15"/>
    <x v="103"/>
    <s v="CA"/>
    <x v="8"/>
    <x v="101"/>
    <n v="441"/>
    <n v="0"/>
    <n v="0"/>
  </r>
  <r>
    <x v="15"/>
    <x v="104"/>
    <s v="CA"/>
    <x v="8"/>
    <x v="102"/>
    <n v="195"/>
    <n v="0"/>
    <n v="0"/>
  </r>
  <r>
    <x v="15"/>
    <x v="105"/>
    <s v="CA"/>
    <x v="8"/>
    <x v="66"/>
    <n v="373"/>
    <n v="0"/>
    <n v="0"/>
  </r>
  <r>
    <x v="15"/>
    <x v="106"/>
    <s v="CA"/>
    <x v="8"/>
    <x v="103"/>
    <n v="208"/>
    <n v="0"/>
    <n v="0"/>
  </r>
  <r>
    <x v="15"/>
    <x v="107"/>
    <s v="CA"/>
    <x v="8"/>
    <x v="104"/>
    <n v="85"/>
    <n v="0"/>
    <n v="0"/>
  </r>
  <r>
    <x v="15"/>
    <x v="108"/>
    <s v="CA"/>
    <x v="8"/>
    <x v="105"/>
    <n v="51"/>
    <n v="0"/>
    <n v="0"/>
  </r>
  <r>
    <x v="15"/>
    <x v="109"/>
    <s v="CA"/>
    <x v="8"/>
    <x v="106"/>
    <n v="1183"/>
    <n v="0"/>
    <n v="0"/>
  </r>
  <r>
    <x v="15"/>
    <x v="110"/>
    <s v="CA"/>
    <x v="8"/>
    <x v="107"/>
    <n v="1011"/>
    <n v="0"/>
    <n v="0"/>
  </r>
  <r>
    <x v="15"/>
    <x v="111"/>
    <s v="CA"/>
    <x v="8"/>
    <x v="108"/>
    <n v="112"/>
    <n v="0"/>
    <n v="0"/>
  </r>
  <r>
    <x v="15"/>
    <x v="112"/>
    <s v="CA"/>
    <x v="8"/>
    <x v="109"/>
    <n v="103"/>
    <n v="0"/>
    <n v="0"/>
  </r>
  <r>
    <x v="15"/>
    <x v="113"/>
    <s v="CA"/>
    <x v="8"/>
    <x v="110"/>
    <n v="4402"/>
    <n v="0"/>
    <n v="0"/>
  </r>
  <r>
    <x v="15"/>
    <x v="114"/>
    <s v="CO"/>
    <x v="9"/>
    <x v="111"/>
    <n v="94"/>
    <n v="0"/>
    <n v="0"/>
  </r>
  <r>
    <x v="15"/>
    <x v="115"/>
    <s v="CO"/>
    <x v="9"/>
    <x v="112"/>
    <n v="303"/>
    <n v="0"/>
    <n v="0"/>
  </r>
  <r>
    <x v="15"/>
    <x v="116"/>
    <s v="CO"/>
    <x v="9"/>
    <x v="62"/>
    <n v="30"/>
    <n v="0"/>
    <n v="0"/>
  </r>
  <r>
    <x v="15"/>
    <x v="117"/>
    <s v="CO"/>
    <x v="9"/>
    <x v="113"/>
    <n v="22"/>
    <n v="0"/>
    <n v="0"/>
  </r>
  <r>
    <x v="15"/>
    <x v="118"/>
    <s v="CO"/>
    <x v="9"/>
    <x v="114"/>
    <n v="44"/>
    <n v="0"/>
    <n v="0"/>
  </r>
  <r>
    <x v="15"/>
    <x v="119"/>
    <s v="CO"/>
    <x v="9"/>
    <x v="115"/>
    <n v="19"/>
    <n v="0"/>
    <n v="0"/>
  </r>
  <r>
    <x v="15"/>
    <x v="120"/>
    <s v="CO"/>
    <x v="9"/>
    <x v="57"/>
    <n v="33"/>
    <n v="0"/>
    <n v="0"/>
  </r>
  <r>
    <x v="15"/>
    <x v="121"/>
    <s v="CO"/>
    <x v="9"/>
    <x v="116"/>
    <n v="430"/>
    <n v="0"/>
    <n v="0"/>
  </r>
  <r>
    <x v="15"/>
    <x v="122"/>
    <s v="CO"/>
    <x v="9"/>
    <x v="117"/>
    <n v="76"/>
    <n v="0"/>
    <n v="0"/>
  </r>
  <r>
    <x v="15"/>
    <x v="123"/>
    <s v="DE"/>
    <x v="10"/>
    <x v="118"/>
    <n v="42"/>
    <n v="0"/>
    <n v="0"/>
  </r>
  <r>
    <x v="15"/>
    <x v="124"/>
    <s v="DE"/>
    <x v="10"/>
    <x v="119"/>
    <n v="35"/>
    <n v="0"/>
    <n v="0"/>
  </r>
  <r>
    <x v="15"/>
    <x v="125"/>
    <s v="DE"/>
    <x v="10"/>
    <x v="120"/>
    <n v="10"/>
    <n v="0"/>
    <n v="0"/>
  </r>
  <r>
    <x v="15"/>
    <x v="126"/>
    <s v="DE"/>
    <x v="10"/>
    <x v="121"/>
    <n v="338"/>
    <n v="0"/>
    <n v="0"/>
  </r>
  <r>
    <x v="15"/>
    <x v="127"/>
    <s v="FA"/>
    <x v="11"/>
    <x v="122"/>
    <n v="19"/>
    <n v="0"/>
    <n v="0"/>
  </r>
  <r>
    <x v="15"/>
    <x v="128"/>
    <s v="FA"/>
    <x v="11"/>
    <x v="59"/>
    <n v="21"/>
    <n v="0"/>
    <n v="0"/>
  </r>
  <r>
    <x v="15"/>
    <x v="129"/>
    <s v="FA"/>
    <x v="11"/>
    <x v="123"/>
    <n v="38"/>
    <n v="0"/>
    <n v="0"/>
  </r>
  <r>
    <x v="15"/>
    <x v="130"/>
    <s v="FA"/>
    <x v="11"/>
    <x v="124"/>
    <n v="18"/>
    <n v="0"/>
    <n v="0"/>
  </r>
  <r>
    <x v="15"/>
    <x v="131"/>
    <s v="FA"/>
    <x v="11"/>
    <x v="125"/>
    <n v="654"/>
    <n v="0"/>
    <n v="0"/>
  </r>
  <r>
    <x v="15"/>
    <x v="132"/>
    <s v="FA"/>
    <x v="11"/>
    <x v="126"/>
    <n v="52"/>
    <n v="0"/>
    <n v="0"/>
  </r>
  <r>
    <x v="15"/>
    <x v="133"/>
    <s v="FA"/>
    <x v="11"/>
    <x v="127"/>
    <n v="45"/>
    <n v="0"/>
    <n v="0"/>
  </r>
  <r>
    <x v="15"/>
    <x v="134"/>
    <s v="FA"/>
    <x v="11"/>
    <x v="128"/>
    <n v="20"/>
    <n v="0"/>
    <n v="0"/>
  </r>
  <r>
    <x v="15"/>
    <x v="135"/>
    <s v="FA"/>
    <x v="11"/>
    <x v="112"/>
    <n v="67"/>
    <n v="0"/>
    <n v="0"/>
  </r>
  <r>
    <x v="15"/>
    <x v="136"/>
    <s v="FA"/>
    <x v="11"/>
    <x v="129"/>
    <n v="68"/>
    <n v="0"/>
    <n v="0"/>
  </r>
  <r>
    <x v="15"/>
    <x v="137"/>
    <s v="FA"/>
    <x v="11"/>
    <x v="130"/>
    <n v="14"/>
    <n v="0"/>
    <n v="0"/>
  </r>
  <r>
    <x v="15"/>
    <x v="138"/>
    <s v="FA"/>
    <x v="11"/>
    <x v="131"/>
    <n v="65"/>
    <n v="0"/>
    <n v="0"/>
  </r>
  <r>
    <x v="15"/>
    <x v="139"/>
    <s v="FA"/>
    <x v="11"/>
    <x v="132"/>
    <n v="47"/>
    <n v="0"/>
    <n v="0"/>
  </r>
  <r>
    <x v="15"/>
    <x v="140"/>
    <s v="FA"/>
    <x v="11"/>
    <x v="104"/>
    <n v="903"/>
    <n v="0"/>
    <n v="0"/>
  </r>
  <r>
    <x v="15"/>
    <x v="141"/>
    <s v="FA"/>
    <x v="11"/>
    <x v="133"/>
    <n v="23"/>
    <n v="0"/>
    <n v="0"/>
  </r>
  <r>
    <x v="15"/>
    <x v="142"/>
    <s v="FA"/>
    <x v="11"/>
    <x v="134"/>
    <n v="4"/>
    <n v="0"/>
    <n v="0"/>
  </r>
  <r>
    <x v="15"/>
    <x v="143"/>
    <s v="FA"/>
    <x v="11"/>
    <x v="135"/>
    <n v="31"/>
    <n v="0"/>
    <n v="0"/>
  </r>
  <r>
    <x v="15"/>
    <x v="144"/>
    <s v="FA"/>
    <x v="11"/>
    <x v="45"/>
    <n v="36"/>
    <n v="0"/>
    <n v="0"/>
  </r>
  <r>
    <x v="15"/>
    <x v="145"/>
    <s v="FA"/>
    <x v="11"/>
    <x v="136"/>
    <n v="23"/>
    <n v="0"/>
    <n v="0"/>
  </r>
  <r>
    <x v="15"/>
    <x v="146"/>
    <s v="FA"/>
    <x v="11"/>
    <x v="137"/>
    <n v="45"/>
    <n v="0"/>
    <n v="0"/>
  </r>
  <r>
    <x v="15"/>
    <x v="147"/>
    <s v="FA"/>
    <x v="11"/>
    <x v="73"/>
    <n v="11"/>
    <n v="0"/>
    <n v="0"/>
  </r>
  <r>
    <x v="15"/>
    <x v="148"/>
    <s v="FA"/>
    <x v="11"/>
    <x v="138"/>
    <n v="0"/>
    <n v="0"/>
    <n v="0"/>
  </r>
  <r>
    <x v="15"/>
    <x v="149"/>
    <s v="FA"/>
    <x v="11"/>
    <x v="139"/>
    <n v="28"/>
    <n v="0"/>
    <n v="0"/>
  </r>
  <r>
    <x v="15"/>
    <x v="150"/>
    <s v="FA"/>
    <x v="11"/>
    <x v="140"/>
    <n v="16"/>
    <n v="0"/>
    <n v="0"/>
  </r>
  <r>
    <x v="15"/>
    <x v="151"/>
    <s v="FA"/>
    <x v="11"/>
    <x v="76"/>
    <n v="72"/>
    <n v="0"/>
    <n v="0"/>
  </r>
  <r>
    <x v="15"/>
    <x v="152"/>
    <s v="GU"/>
    <x v="12"/>
    <x v="141"/>
    <n v="62"/>
    <n v="0"/>
    <n v="0"/>
  </r>
  <r>
    <x v="15"/>
    <x v="153"/>
    <s v="GU"/>
    <x v="12"/>
    <x v="142"/>
    <n v="26"/>
    <n v="0"/>
    <n v="0"/>
  </r>
  <r>
    <x v="15"/>
    <x v="154"/>
    <s v="GU"/>
    <x v="12"/>
    <x v="143"/>
    <n v="30"/>
    <n v="0"/>
    <n v="0"/>
  </r>
  <r>
    <x v="15"/>
    <x v="155"/>
    <s v="GU"/>
    <x v="12"/>
    <x v="144"/>
    <n v="20"/>
    <n v="0"/>
    <n v="0"/>
  </r>
  <r>
    <x v="15"/>
    <x v="156"/>
    <s v="GU"/>
    <x v="12"/>
    <x v="145"/>
    <n v="597"/>
    <n v="0"/>
    <n v="0"/>
  </r>
  <r>
    <x v="15"/>
    <x v="157"/>
    <s v="GU"/>
    <x v="12"/>
    <x v="146"/>
    <n v="72"/>
    <n v="0"/>
    <n v="0"/>
  </r>
  <r>
    <x v="15"/>
    <x v="158"/>
    <s v="GU"/>
    <x v="12"/>
    <x v="147"/>
    <n v="119"/>
    <n v="0"/>
    <n v="0"/>
  </r>
  <r>
    <x v="15"/>
    <x v="159"/>
    <s v="GU"/>
    <x v="12"/>
    <x v="104"/>
    <n v="475"/>
    <n v="0"/>
    <n v="0"/>
  </r>
  <r>
    <x v="15"/>
    <x v="160"/>
    <s v="GU"/>
    <x v="12"/>
    <x v="148"/>
    <n v="296"/>
    <n v="0"/>
    <n v="0"/>
  </r>
  <r>
    <x v="15"/>
    <x v="161"/>
    <s v="GU"/>
    <x v="12"/>
    <x v="149"/>
    <n v="27"/>
    <n v="0"/>
    <n v="0"/>
  </r>
  <r>
    <x v="15"/>
    <x v="162"/>
    <s v="GU"/>
    <x v="12"/>
    <x v="150"/>
    <n v="107"/>
    <n v="0"/>
    <n v="0"/>
  </r>
  <r>
    <x v="15"/>
    <x v="163"/>
    <s v="GU"/>
    <x v="12"/>
    <x v="96"/>
    <n v="596"/>
    <n v="0"/>
    <n v="0"/>
  </r>
  <r>
    <x v="15"/>
    <x v="164"/>
    <s v="GU"/>
    <x v="12"/>
    <x v="151"/>
    <n v="23"/>
    <n v="0"/>
    <n v="0"/>
  </r>
  <r>
    <x v="15"/>
    <x v="165"/>
    <s v="GU"/>
    <x v="12"/>
    <x v="152"/>
    <n v="45"/>
    <n v="0"/>
    <n v="0"/>
  </r>
  <r>
    <x v="15"/>
    <x v="166"/>
    <s v="GU"/>
    <x v="12"/>
    <x v="153"/>
    <n v="228"/>
    <n v="0"/>
    <n v="0"/>
  </r>
  <r>
    <x v="15"/>
    <x v="167"/>
    <s v="LA"/>
    <x v="13"/>
    <x v="154"/>
    <n v="104"/>
    <n v="0"/>
    <n v="0"/>
  </r>
  <r>
    <x v="15"/>
    <x v="168"/>
    <s v="LA"/>
    <x v="13"/>
    <x v="155"/>
    <n v="102"/>
    <n v="0"/>
    <n v="0"/>
  </r>
  <r>
    <x v="15"/>
    <x v="169"/>
    <s v="LA"/>
    <x v="13"/>
    <x v="156"/>
    <n v="5268"/>
    <n v="0"/>
    <n v="0"/>
  </r>
  <r>
    <x v="15"/>
    <x v="170"/>
    <s v="LA"/>
    <x v="13"/>
    <x v="157"/>
    <n v="257"/>
    <n v="0"/>
    <n v="0"/>
  </r>
  <r>
    <x v="15"/>
    <x v="171"/>
    <s v="LA"/>
    <x v="13"/>
    <x v="158"/>
    <n v="388"/>
    <n v="0"/>
    <n v="0"/>
  </r>
  <r>
    <x v="15"/>
    <x v="172"/>
    <s v="LA"/>
    <x v="13"/>
    <x v="159"/>
    <n v="258"/>
    <n v="0"/>
    <n v="0"/>
  </r>
  <r>
    <x v="15"/>
    <x v="173"/>
    <s v="LA"/>
    <x v="13"/>
    <x v="160"/>
    <n v="44"/>
    <n v="0"/>
    <n v="0"/>
  </r>
  <r>
    <x v="15"/>
    <x v="174"/>
    <s v="LA"/>
    <x v="13"/>
    <x v="161"/>
    <n v="632"/>
    <n v="0"/>
    <n v="0"/>
  </r>
  <r>
    <x v="15"/>
    <x v="175"/>
    <s v="LA"/>
    <x v="13"/>
    <x v="75"/>
    <n v="140"/>
    <n v="0"/>
    <n v="0"/>
  </r>
  <r>
    <x v="15"/>
    <x v="176"/>
    <s v="ME"/>
    <x v="14"/>
    <x v="162"/>
    <n v="494"/>
    <n v="0"/>
    <n v="0"/>
  </r>
  <r>
    <x v="15"/>
    <x v="177"/>
    <s v="ME"/>
    <x v="14"/>
    <x v="163"/>
    <n v="38"/>
    <n v="0"/>
    <n v="0"/>
  </r>
  <r>
    <x v="15"/>
    <x v="178"/>
    <s v="ME"/>
    <x v="14"/>
    <x v="164"/>
    <n v="71"/>
    <n v="0"/>
    <n v="0"/>
  </r>
  <r>
    <x v="15"/>
    <x v="179"/>
    <s v="ME"/>
    <x v="14"/>
    <x v="165"/>
    <n v="21"/>
    <n v="0"/>
    <n v="0"/>
  </r>
  <r>
    <x v="15"/>
    <x v="180"/>
    <s v="ME"/>
    <x v="14"/>
    <x v="166"/>
    <n v="53"/>
    <n v="0"/>
    <n v="0"/>
  </r>
  <r>
    <x v="15"/>
    <x v="181"/>
    <s v="ME"/>
    <x v="14"/>
    <x v="167"/>
    <n v="240"/>
    <n v="0"/>
    <n v="0"/>
  </r>
  <r>
    <x v="15"/>
    <x v="182"/>
    <s v="ME"/>
    <x v="14"/>
    <x v="168"/>
    <n v="38"/>
    <n v="0"/>
    <n v="0"/>
  </r>
  <r>
    <x v="15"/>
    <x v="183"/>
    <s v="ME"/>
    <x v="14"/>
    <x v="169"/>
    <n v="102"/>
    <n v="0"/>
    <n v="0"/>
  </r>
  <r>
    <x v="15"/>
    <x v="184"/>
    <s v="ME"/>
    <x v="14"/>
    <x v="170"/>
    <n v="34"/>
    <n v="0"/>
    <n v="0"/>
  </r>
  <r>
    <x v="15"/>
    <x v="185"/>
    <s v="ME"/>
    <x v="14"/>
    <x v="171"/>
    <n v="34"/>
    <n v="0"/>
    <n v="0"/>
  </r>
  <r>
    <x v="15"/>
    <x v="186"/>
    <s v="ME"/>
    <x v="14"/>
    <x v="172"/>
    <n v="17"/>
    <n v="0"/>
    <n v="0"/>
  </r>
  <r>
    <x v="15"/>
    <x v="187"/>
    <s v="ME"/>
    <x v="14"/>
    <x v="66"/>
    <n v="1612"/>
    <n v="0"/>
    <n v="0"/>
  </r>
  <r>
    <x v="15"/>
    <x v="188"/>
    <s v="ME"/>
    <x v="14"/>
    <x v="104"/>
    <n v="89"/>
    <n v="0"/>
    <n v="0"/>
  </r>
  <r>
    <x v="15"/>
    <x v="189"/>
    <s v="ME"/>
    <x v="14"/>
    <x v="173"/>
    <n v="73"/>
    <n v="0"/>
    <n v="0"/>
  </r>
  <r>
    <x v="15"/>
    <x v="190"/>
    <s v="ME"/>
    <x v="14"/>
    <x v="174"/>
    <n v="10"/>
    <n v="0"/>
    <n v="0"/>
  </r>
  <r>
    <x v="15"/>
    <x v="191"/>
    <s v="ME"/>
    <x v="14"/>
    <x v="175"/>
    <n v="75"/>
    <n v="0"/>
    <n v="0"/>
  </r>
  <r>
    <x v="15"/>
    <x v="192"/>
    <s v="ME"/>
    <x v="14"/>
    <x v="176"/>
    <n v="63"/>
    <n v="0"/>
    <n v="0"/>
  </r>
  <r>
    <x v="15"/>
    <x v="193"/>
    <s v="ME"/>
    <x v="14"/>
    <x v="177"/>
    <n v="51"/>
    <n v="0"/>
    <n v="0"/>
  </r>
  <r>
    <x v="15"/>
    <x v="194"/>
    <s v="ME"/>
    <x v="14"/>
    <x v="178"/>
    <n v="38"/>
    <n v="0"/>
    <n v="0"/>
  </r>
  <r>
    <x v="15"/>
    <x v="195"/>
    <s v="ME"/>
    <x v="14"/>
    <x v="73"/>
    <n v="179"/>
    <n v="0"/>
    <n v="0"/>
  </r>
  <r>
    <x v="15"/>
    <x v="196"/>
    <s v="ME"/>
    <x v="14"/>
    <x v="74"/>
    <n v="145"/>
    <n v="0"/>
    <n v="0"/>
  </r>
  <r>
    <x v="15"/>
    <x v="197"/>
    <s v="ME"/>
    <x v="14"/>
    <x v="179"/>
    <n v="67"/>
    <n v="0"/>
    <n v="0"/>
  </r>
  <r>
    <x v="15"/>
    <x v="198"/>
    <s v="ME"/>
    <x v="14"/>
    <x v="180"/>
    <n v="36"/>
    <n v="0"/>
    <n v="0"/>
  </r>
  <r>
    <x v="15"/>
    <x v="199"/>
    <s v="MI"/>
    <x v="15"/>
    <x v="181"/>
    <n v="286"/>
    <n v="0"/>
    <n v="0"/>
  </r>
  <r>
    <x v="15"/>
    <x v="200"/>
    <s v="MI"/>
    <x v="15"/>
    <x v="163"/>
    <n v="35"/>
    <n v="0"/>
    <n v="0"/>
  </r>
  <r>
    <x v="15"/>
    <x v="201"/>
    <s v="MI"/>
    <x v="15"/>
    <x v="182"/>
    <n v="1139"/>
    <n v="0"/>
    <n v="0"/>
  </r>
  <r>
    <x v="15"/>
    <x v="202"/>
    <s v="MI"/>
    <x v="15"/>
    <x v="183"/>
    <n v="218"/>
    <n v="0"/>
    <n v="0"/>
  </r>
  <r>
    <x v="15"/>
    <x v="203"/>
    <s v="MI"/>
    <x v="15"/>
    <x v="184"/>
    <n v="37"/>
    <n v="0"/>
    <n v="0"/>
  </r>
  <r>
    <x v="15"/>
    <x v="204"/>
    <s v="MI"/>
    <x v="15"/>
    <x v="185"/>
    <n v="60"/>
    <n v="0"/>
    <n v="0"/>
  </r>
  <r>
    <x v="15"/>
    <x v="205"/>
    <s v="MI"/>
    <x v="15"/>
    <x v="186"/>
    <n v="592"/>
    <n v="0"/>
    <n v="0"/>
  </r>
  <r>
    <x v="15"/>
    <x v="206"/>
    <s v="MI"/>
    <x v="15"/>
    <x v="187"/>
    <n v="222"/>
    <n v="0"/>
    <n v="0"/>
  </r>
  <r>
    <x v="15"/>
    <x v="207"/>
    <s v="MI"/>
    <x v="15"/>
    <x v="188"/>
    <n v="102"/>
    <n v="0"/>
    <n v="0"/>
  </r>
  <r>
    <x v="15"/>
    <x v="208"/>
    <s v="MI"/>
    <x v="15"/>
    <x v="189"/>
    <n v="1067"/>
    <n v="0"/>
    <n v="0"/>
  </r>
  <r>
    <x v="15"/>
    <x v="209"/>
    <s v="MI"/>
    <x v="15"/>
    <x v="38"/>
    <n v="344"/>
    <n v="0"/>
    <n v="0"/>
  </r>
  <r>
    <x v="15"/>
    <x v="210"/>
    <s v="MI"/>
    <x v="15"/>
    <x v="190"/>
    <n v="714"/>
    <n v="0"/>
    <n v="0"/>
  </r>
  <r>
    <x v="15"/>
    <x v="211"/>
    <s v="MI"/>
    <x v="15"/>
    <x v="191"/>
    <n v="150"/>
    <n v="0"/>
    <n v="0"/>
  </r>
  <r>
    <x v="15"/>
    <x v="212"/>
    <s v="MI"/>
    <x v="15"/>
    <x v="55"/>
    <n v="128"/>
    <n v="0"/>
    <n v="0"/>
  </r>
  <r>
    <x v="15"/>
    <x v="213"/>
    <s v="MI"/>
    <x v="15"/>
    <x v="192"/>
    <n v="150"/>
    <n v="0"/>
    <n v="0"/>
  </r>
  <r>
    <x v="15"/>
    <x v="214"/>
    <s v="MI"/>
    <x v="15"/>
    <x v="193"/>
    <n v="69"/>
    <n v="0"/>
    <n v="0"/>
  </r>
  <r>
    <x v="15"/>
    <x v="215"/>
    <s v="MI"/>
    <x v="15"/>
    <x v="194"/>
    <n v="480"/>
    <n v="0"/>
    <n v="0"/>
  </r>
  <r>
    <x v="15"/>
    <x v="216"/>
    <s v="MI"/>
    <x v="15"/>
    <x v="49"/>
    <n v="100"/>
    <n v="0"/>
    <n v="0"/>
  </r>
  <r>
    <x v="15"/>
    <x v="217"/>
    <s v="MI"/>
    <x v="15"/>
    <x v="73"/>
    <n v="2881"/>
    <n v="0"/>
    <n v="0"/>
  </r>
  <r>
    <x v="15"/>
    <x v="218"/>
    <s v="MI"/>
    <x v="15"/>
    <x v="75"/>
    <n v="305"/>
    <n v="0"/>
    <n v="0"/>
  </r>
  <r>
    <x v="15"/>
    <x v="219"/>
    <s v="MI"/>
    <x v="15"/>
    <x v="76"/>
    <n v="555"/>
    <n v="0"/>
    <n v="0"/>
  </r>
  <r>
    <x v="15"/>
    <x v="220"/>
    <s v="MO"/>
    <x v="16"/>
    <x v="122"/>
    <n v="54"/>
    <n v="0"/>
    <n v="0"/>
  </r>
  <r>
    <x v="15"/>
    <x v="221"/>
    <s v="MO"/>
    <x v="16"/>
    <x v="195"/>
    <n v="19"/>
    <n v="0"/>
    <n v="0"/>
  </r>
  <r>
    <x v="15"/>
    <x v="222"/>
    <s v="MO"/>
    <x v="16"/>
    <x v="59"/>
    <n v="69"/>
    <n v="0"/>
    <n v="0"/>
  </r>
  <r>
    <x v="15"/>
    <x v="223"/>
    <s v="MO"/>
    <x v="16"/>
    <x v="196"/>
    <n v="97"/>
    <n v="0"/>
    <n v="0"/>
  </r>
  <r>
    <x v="15"/>
    <x v="224"/>
    <s v="MO"/>
    <x v="16"/>
    <x v="89"/>
    <n v="62"/>
    <n v="0"/>
    <n v="0"/>
  </r>
  <r>
    <x v="15"/>
    <x v="225"/>
    <s v="MO"/>
    <x v="16"/>
    <x v="83"/>
    <n v="101"/>
    <n v="0"/>
    <n v="0"/>
  </r>
  <r>
    <x v="15"/>
    <x v="226"/>
    <s v="MO"/>
    <x v="16"/>
    <x v="66"/>
    <n v="90"/>
    <n v="0"/>
    <n v="0"/>
  </r>
  <r>
    <x v="15"/>
    <x v="227"/>
    <s v="MO"/>
    <x v="16"/>
    <x v="197"/>
    <n v="1960"/>
    <n v="0"/>
    <n v="0"/>
  </r>
  <r>
    <x v="15"/>
    <x v="228"/>
    <s v="MO"/>
    <x v="16"/>
    <x v="94"/>
    <n v="82"/>
    <n v="0"/>
    <n v="0"/>
  </r>
  <r>
    <x v="15"/>
    <x v="229"/>
    <s v="MO"/>
    <x v="16"/>
    <x v="198"/>
    <n v="53"/>
    <n v="0"/>
    <n v="0"/>
  </r>
  <r>
    <x v="15"/>
    <x v="230"/>
    <s v="MO"/>
    <x v="16"/>
    <x v="199"/>
    <n v="15"/>
    <n v="0"/>
    <n v="0"/>
  </r>
  <r>
    <x v="15"/>
    <x v="231"/>
    <s v="MO"/>
    <x v="16"/>
    <x v="200"/>
    <n v="41"/>
    <n v="0"/>
    <n v="0"/>
  </r>
  <r>
    <x v="15"/>
    <x v="232"/>
    <s v="MO"/>
    <x v="16"/>
    <x v="201"/>
    <n v="23"/>
    <n v="0"/>
    <n v="0"/>
  </r>
  <r>
    <x v="15"/>
    <x v="233"/>
    <s v="NU"/>
    <x v="17"/>
    <x v="202"/>
    <n v="65"/>
    <n v="0"/>
    <n v="0"/>
  </r>
  <r>
    <x v="15"/>
    <x v="234"/>
    <s v="NU"/>
    <x v="17"/>
    <x v="80"/>
    <n v="71"/>
    <n v="0"/>
    <n v="0"/>
  </r>
  <r>
    <x v="15"/>
    <x v="235"/>
    <s v="NU"/>
    <x v="17"/>
    <x v="203"/>
    <n v="95"/>
    <n v="0"/>
    <n v="0"/>
  </r>
  <r>
    <x v="15"/>
    <x v="236"/>
    <s v="NU"/>
    <x v="17"/>
    <x v="204"/>
    <n v="88"/>
    <n v="0"/>
    <n v="0"/>
  </r>
  <r>
    <x v="15"/>
    <x v="237"/>
    <s v="NU"/>
    <x v="17"/>
    <x v="205"/>
    <n v="75"/>
    <n v="0"/>
    <n v="0"/>
  </r>
  <r>
    <x v="15"/>
    <x v="238"/>
    <s v="NU"/>
    <x v="17"/>
    <x v="206"/>
    <n v="87"/>
    <n v="0"/>
    <n v="0"/>
  </r>
  <r>
    <x v="15"/>
    <x v="239"/>
    <s v="NU"/>
    <x v="17"/>
    <x v="207"/>
    <n v="91"/>
    <n v="0"/>
    <n v="0"/>
  </r>
  <r>
    <x v="15"/>
    <x v="240"/>
    <s v="NU"/>
    <x v="17"/>
    <x v="208"/>
    <n v="910"/>
    <n v="0"/>
    <n v="0"/>
  </r>
  <r>
    <x v="15"/>
    <x v="241"/>
    <s v="NU"/>
    <x v="17"/>
    <x v="209"/>
    <n v="54"/>
    <n v="0"/>
    <n v="0"/>
  </r>
  <r>
    <x v="15"/>
    <x v="242"/>
    <s v="NU"/>
    <x v="17"/>
    <x v="210"/>
    <n v="65"/>
    <n v="0"/>
    <n v="0"/>
  </r>
  <r>
    <x v="15"/>
    <x v="243"/>
    <s v="NU"/>
    <x v="17"/>
    <x v="211"/>
    <n v="30"/>
    <n v="0"/>
    <n v="0"/>
  </r>
  <r>
    <x v="15"/>
    <x v="244"/>
    <s v="PO"/>
    <x v="18"/>
    <x v="212"/>
    <n v="46"/>
    <n v="0"/>
    <n v="0"/>
  </r>
  <r>
    <x v="15"/>
    <x v="245"/>
    <s v="PO"/>
    <x v="18"/>
    <x v="213"/>
    <n v="956"/>
    <n v="0"/>
    <n v="0"/>
  </r>
  <r>
    <x v="15"/>
    <x v="246"/>
    <s v="PO"/>
    <x v="18"/>
    <x v="214"/>
    <n v="119"/>
    <n v="0"/>
    <n v="0"/>
  </r>
  <r>
    <x v="15"/>
    <x v="247"/>
    <s v="PO"/>
    <x v="18"/>
    <x v="215"/>
    <n v="516"/>
    <n v="0"/>
    <n v="0"/>
  </r>
  <r>
    <x v="15"/>
    <x v="248"/>
    <s v="PO"/>
    <x v="18"/>
    <x v="216"/>
    <n v="68"/>
    <n v="0"/>
    <n v="0"/>
  </r>
  <r>
    <x v="15"/>
    <x v="249"/>
    <s v="PO"/>
    <x v="18"/>
    <x v="217"/>
    <n v="78"/>
    <n v="0"/>
    <n v="0"/>
  </r>
  <r>
    <x v="15"/>
    <x v="250"/>
    <s v="PO"/>
    <x v="18"/>
    <x v="218"/>
    <n v="110"/>
    <n v="0"/>
    <n v="0"/>
  </r>
  <r>
    <x v="15"/>
    <x v="251"/>
    <s v="PO"/>
    <x v="18"/>
    <x v="55"/>
    <n v="404"/>
    <n v="0"/>
    <n v="0"/>
  </r>
  <r>
    <x v="15"/>
    <x v="252"/>
    <s v="PO"/>
    <x v="18"/>
    <x v="219"/>
    <n v="20"/>
    <n v="0"/>
    <n v="0"/>
  </r>
  <r>
    <x v="15"/>
    <x v="253"/>
    <s v="PO"/>
    <x v="18"/>
    <x v="220"/>
    <n v="62"/>
    <n v="0"/>
    <n v="0"/>
  </r>
  <r>
    <x v="15"/>
    <x v="254"/>
    <s v="PO"/>
    <x v="18"/>
    <x v="221"/>
    <n v="45"/>
    <n v="0"/>
    <n v="0"/>
  </r>
  <r>
    <x v="15"/>
    <x v="255"/>
    <s v="PO"/>
    <x v="18"/>
    <x v="222"/>
    <n v="36"/>
    <n v="0"/>
    <n v="0"/>
  </r>
  <r>
    <x v="15"/>
    <x v="256"/>
    <s v="PO"/>
    <x v="18"/>
    <x v="73"/>
    <n v="110"/>
    <n v="0"/>
    <n v="0"/>
  </r>
  <r>
    <x v="15"/>
    <x v="257"/>
    <s v="PO"/>
    <x v="18"/>
    <x v="223"/>
    <n v="165"/>
    <n v="0"/>
    <n v="0"/>
  </r>
  <r>
    <x v="15"/>
    <x v="258"/>
    <s v="SU"/>
    <x v="19"/>
    <x v="154"/>
    <n v="67"/>
    <n v="0"/>
    <n v="0"/>
  </r>
  <r>
    <x v="15"/>
    <x v="259"/>
    <s v="SU"/>
    <x v="19"/>
    <x v="224"/>
    <n v="37"/>
    <n v="0"/>
    <n v="0"/>
  </r>
  <r>
    <x v="15"/>
    <x v="260"/>
    <s v="SU"/>
    <x v="19"/>
    <x v="80"/>
    <n v="148"/>
    <n v="0"/>
    <n v="0"/>
  </r>
  <r>
    <x v="15"/>
    <x v="261"/>
    <s v="SU"/>
    <x v="19"/>
    <x v="225"/>
    <n v="56"/>
    <n v="0"/>
    <n v="0"/>
  </r>
  <r>
    <x v="15"/>
    <x v="262"/>
    <s v="SU"/>
    <x v="19"/>
    <x v="226"/>
    <n v="621"/>
    <n v="0"/>
    <n v="0"/>
  </r>
  <r>
    <x v="15"/>
    <x v="263"/>
    <s v="SU"/>
    <x v="19"/>
    <x v="59"/>
    <n v="34"/>
    <n v="0"/>
    <n v="0"/>
  </r>
  <r>
    <x v="15"/>
    <x v="264"/>
    <s v="SU"/>
    <x v="19"/>
    <x v="227"/>
    <n v="67"/>
    <n v="0"/>
    <n v="0"/>
  </r>
  <r>
    <x v="15"/>
    <x v="265"/>
    <s v="SU"/>
    <x v="19"/>
    <x v="228"/>
    <n v="68"/>
    <n v="0"/>
    <n v="0"/>
  </r>
  <r>
    <x v="15"/>
    <x v="266"/>
    <s v="SU"/>
    <x v="19"/>
    <x v="66"/>
    <n v="16"/>
    <n v="0"/>
    <n v="0"/>
  </r>
  <r>
    <x v="15"/>
    <x v="267"/>
    <s v="SU"/>
    <x v="19"/>
    <x v="208"/>
    <n v="44"/>
    <n v="0"/>
    <n v="0"/>
  </r>
  <r>
    <x v="15"/>
    <x v="268"/>
    <s v="SU"/>
    <x v="19"/>
    <x v="229"/>
    <n v="9"/>
    <n v="0"/>
    <n v="0"/>
  </r>
  <r>
    <x v="15"/>
    <x v="269"/>
    <s v="SU"/>
    <x v="19"/>
    <x v="230"/>
    <n v="185"/>
    <n v="0"/>
    <n v="0"/>
  </r>
  <r>
    <x v="15"/>
    <x v="270"/>
    <s v="SU"/>
    <x v="19"/>
    <x v="231"/>
    <n v="156"/>
    <n v="0"/>
    <n v="0"/>
  </r>
  <r>
    <x v="15"/>
    <x v="271"/>
    <s v="SU"/>
    <x v="19"/>
    <x v="73"/>
    <n v="1100"/>
    <n v="0"/>
    <n v="0"/>
  </r>
  <r>
    <x v="15"/>
    <x v="272"/>
    <s v="SU"/>
    <x v="19"/>
    <x v="232"/>
    <n v="82"/>
    <n v="0"/>
    <n v="0"/>
  </r>
  <r>
    <x v="15"/>
    <x v="273"/>
    <s v="TA"/>
    <x v="20"/>
    <x v="163"/>
    <n v="58"/>
    <n v="0"/>
    <n v="0"/>
  </r>
  <r>
    <x v="15"/>
    <x v="274"/>
    <s v="TA"/>
    <x v="20"/>
    <x v="233"/>
    <n v="28"/>
    <n v="0"/>
    <n v="0"/>
  </r>
  <r>
    <x v="15"/>
    <x v="275"/>
    <s v="TA"/>
    <x v="20"/>
    <x v="234"/>
    <n v="228"/>
    <n v="0"/>
    <n v="0"/>
  </r>
  <r>
    <x v="15"/>
    <x v="276"/>
    <s v="TA"/>
    <x v="20"/>
    <x v="59"/>
    <n v="208"/>
    <n v="0"/>
    <n v="0"/>
  </r>
  <r>
    <x v="15"/>
    <x v="277"/>
    <s v="TA"/>
    <x v="20"/>
    <x v="235"/>
    <n v="233"/>
    <n v="0"/>
    <n v="0"/>
  </r>
  <r>
    <x v="15"/>
    <x v="278"/>
    <s v="TA"/>
    <x v="20"/>
    <x v="236"/>
    <n v="83"/>
    <n v="0"/>
    <n v="0"/>
  </r>
  <r>
    <x v="15"/>
    <x v="279"/>
    <s v="TA"/>
    <x v="20"/>
    <x v="237"/>
    <n v="148"/>
    <n v="0"/>
    <n v="0"/>
  </r>
  <r>
    <x v="15"/>
    <x v="280"/>
    <s v="TA"/>
    <x v="20"/>
    <x v="35"/>
    <n v="15"/>
    <n v="0"/>
    <n v="0"/>
  </r>
  <r>
    <x v="15"/>
    <x v="281"/>
    <s v="TA"/>
    <x v="20"/>
    <x v="238"/>
    <n v="146"/>
    <n v="0"/>
    <n v="0"/>
  </r>
  <r>
    <x v="15"/>
    <x v="282"/>
    <s v="TA"/>
    <x v="20"/>
    <x v="239"/>
    <n v="55"/>
    <n v="0"/>
    <n v="0"/>
  </r>
  <r>
    <x v="15"/>
    <x v="283"/>
    <s v="TA"/>
    <x v="20"/>
    <x v="38"/>
    <n v="77"/>
    <n v="0"/>
    <n v="0"/>
  </r>
  <r>
    <x v="15"/>
    <x v="284"/>
    <s v="TA"/>
    <x v="20"/>
    <x v="240"/>
    <n v="187"/>
    <n v="0"/>
    <n v="0"/>
  </r>
  <r>
    <x v="15"/>
    <x v="285"/>
    <s v="TA"/>
    <x v="20"/>
    <x v="241"/>
    <n v="34"/>
    <n v="0"/>
    <n v="0"/>
  </r>
  <r>
    <x v="15"/>
    <x v="286"/>
    <s v="TA"/>
    <x v="20"/>
    <x v="242"/>
    <n v="261"/>
    <n v="0"/>
    <n v="0"/>
  </r>
  <r>
    <x v="15"/>
    <x v="287"/>
    <s v="TA"/>
    <x v="20"/>
    <x v="42"/>
    <n v="62"/>
    <n v="0"/>
    <n v="0"/>
  </r>
  <r>
    <x v="15"/>
    <x v="288"/>
    <s v="TA"/>
    <x v="20"/>
    <x v="66"/>
    <n v="57"/>
    <n v="0"/>
    <n v="0"/>
  </r>
  <r>
    <x v="15"/>
    <x v="289"/>
    <s v="TA"/>
    <x v="20"/>
    <x v="243"/>
    <n v="38"/>
    <n v="0"/>
    <n v="0"/>
  </r>
  <r>
    <x v="15"/>
    <x v="290"/>
    <s v="TA"/>
    <x v="20"/>
    <x v="244"/>
    <n v="74"/>
    <n v="0"/>
    <n v="0"/>
  </r>
  <r>
    <x v="15"/>
    <x v="291"/>
    <s v="TA"/>
    <x v="20"/>
    <x v="245"/>
    <n v="111"/>
    <n v="0"/>
    <n v="0"/>
  </r>
  <r>
    <x v="15"/>
    <x v="292"/>
    <s v="TA"/>
    <x v="20"/>
    <x v="246"/>
    <n v="100"/>
    <n v="0"/>
    <n v="0"/>
  </r>
  <r>
    <x v="15"/>
    <x v="293"/>
    <s v="TA"/>
    <x v="20"/>
    <x v="247"/>
    <n v="19"/>
    <n v="0"/>
    <n v="0"/>
  </r>
  <r>
    <x v="15"/>
    <x v="294"/>
    <s v="TA"/>
    <x v="20"/>
    <x v="248"/>
    <n v="46"/>
    <n v="0"/>
    <n v="0"/>
  </r>
  <r>
    <x v="15"/>
    <x v="295"/>
    <s v="TA"/>
    <x v="20"/>
    <x v="249"/>
    <n v="2352"/>
    <n v="0"/>
    <n v="0"/>
  </r>
  <r>
    <x v="15"/>
    <x v="296"/>
    <s v="TA"/>
    <x v="20"/>
    <x v="250"/>
    <n v="11"/>
    <n v="0"/>
    <n v="0"/>
  </r>
  <r>
    <x v="15"/>
    <x v="297"/>
    <s v="TA"/>
    <x v="20"/>
    <x v="251"/>
    <n v="35"/>
    <n v="0"/>
    <n v="0"/>
  </r>
  <r>
    <x v="15"/>
    <x v="298"/>
    <s v="TA"/>
    <x v="20"/>
    <x v="50"/>
    <n v="16"/>
    <n v="0"/>
    <n v="0"/>
  </r>
  <r>
    <x v="15"/>
    <x v="299"/>
    <s v="TA"/>
    <x v="20"/>
    <x v="73"/>
    <n v="35"/>
    <n v="0"/>
    <n v="0"/>
  </r>
  <r>
    <x v="15"/>
    <x v="300"/>
    <s v="TA"/>
    <x v="20"/>
    <x v="252"/>
    <n v="80"/>
    <n v="0"/>
    <n v="0"/>
  </r>
  <r>
    <x v="15"/>
    <x v="301"/>
    <s v="TA"/>
    <x v="20"/>
    <x v="253"/>
    <n v="81"/>
    <n v="0"/>
    <n v="0"/>
  </r>
  <r>
    <x v="15"/>
    <x v="302"/>
    <s v="TR"/>
    <x v="21"/>
    <x v="163"/>
    <n v="47"/>
    <n v="0"/>
    <n v="0"/>
  </r>
  <r>
    <x v="15"/>
    <x v="303"/>
    <s v="TR"/>
    <x v="21"/>
    <x v="254"/>
    <n v="574"/>
    <n v="0"/>
    <n v="0"/>
  </r>
  <r>
    <x v="15"/>
    <x v="304"/>
    <s v="TR"/>
    <x v="21"/>
    <x v="59"/>
    <n v="32"/>
    <n v="0"/>
    <n v="0"/>
  </r>
  <r>
    <x v="15"/>
    <x v="305"/>
    <s v="TR"/>
    <x v="21"/>
    <x v="255"/>
    <n v="65"/>
    <n v="0"/>
    <n v="0"/>
  </r>
  <r>
    <x v="15"/>
    <x v="306"/>
    <s v="TR"/>
    <x v="21"/>
    <x v="256"/>
    <n v="157"/>
    <n v="0"/>
    <n v="0"/>
  </r>
  <r>
    <x v="15"/>
    <x v="307"/>
    <s v="TR"/>
    <x v="21"/>
    <x v="257"/>
    <n v="65"/>
    <n v="0"/>
    <n v="0"/>
  </r>
  <r>
    <x v="15"/>
    <x v="308"/>
    <s v="TR"/>
    <x v="21"/>
    <x v="258"/>
    <n v="11"/>
    <n v="0"/>
    <n v="0"/>
  </r>
  <r>
    <x v="15"/>
    <x v="309"/>
    <s v="TR"/>
    <x v="21"/>
    <x v="259"/>
    <n v="26"/>
    <n v="0"/>
    <n v="0"/>
  </r>
  <r>
    <x v="15"/>
    <x v="310"/>
    <s v="TR"/>
    <x v="21"/>
    <x v="260"/>
    <n v="43"/>
    <n v="0"/>
    <n v="0"/>
  </r>
  <r>
    <x v="15"/>
    <x v="311"/>
    <s v="TR"/>
    <x v="21"/>
    <x v="104"/>
    <n v="33"/>
    <n v="0"/>
    <n v="0"/>
  </r>
  <r>
    <x v="15"/>
    <x v="312"/>
    <s v="TR"/>
    <x v="21"/>
    <x v="261"/>
    <n v="49"/>
    <n v="0"/>
    <n v="0"/>
  </r>
  <r>
    <x v="15"/>
    <x v="313"/>
    <s v="TR"/>
    <x v="21"/>
    <x v="262"/>
    <n v="34"/>
    <n v="0"/>
    <n v="0"/>
  </r>
  <r>
    <x v="15"/>
    <x v="314"/>
    <s v="TR"/>
    <x v="21"/>
    <x v="263"/>
    <n v="143"/>
    <n v="0"/>
    <n v="0"/>
  </r>
  <r>
    <x v="15"/>
    <x v="315"/>
    <s v="TR"/>
    <x v="21"/>
    <x v="264"/>
    <n v="26"/>
    <n v="0"/>
    <n v="0"/>
  </r>
  <r>
    <x v="15"/>
    <x v="316"/>
    <s v="TR"/>
    <x v="21"/>
    <x v="265"/>
    <n v="64"/>
    <n v="0"/>
    <n v="0"/>
  </r>
  <r>
    <x v="15"/>
    <x v="317"/>
    <s v="TR"/>
    <x v="21"/>
    <x v="266"/>
    <n v="133"/>
    <n v="0"/>
    <n v="0"/>
  </r>
  <r>
    <x v="15"/>
    <x v="318"/>
    <s v="TR"/>
    <x v="21"/>
    <x v="73"/>
    <n v="116"/>
    <n v="0"/>
    <n v="0"/>
  </r>
  <r>
    <x v="15"/>
    <x v="319"/>
    <s v="TR"/>
    <x v="21"/>
    <x v="267"/>
    <n v="481"/>
    <n v="0"/>
    <n v="0"/>
  </r>
  <r>
    <x v="15"/>
    <x v="320"/>
    <s v="TR"/>
    <x v="21"/>
    <x v="75"/>
    <n v="134"/>
    <n v="0"/>
    <n v="0"/>
  </r>
  <r>
    <x v="15"/>
    <x v="321"/>
    <s v="TR"/>
    <x v="21"/>
    <x v="268"/>
    <n v="1372"/>
    <n v="0"/>
    <n v="0"/>
  </r>
  <r>
    <x v="15"/>
    <x v="322"/>
    <s v="VA"/>
    <x v="0"/>
    <x v="269"/>
    <n v="0"/>
    <n v="0"/>
    <n v="0"/>
  </r>
  <r>
    <x v="15"/>
    <x v="323"/>
    <s v="VA"/>
    <x v="0"/>
    <x v="270"/>
    <n v="0"/>
    <n v="0"/>
    <n v="0"/>
  </r>
  <r>
    <x v="15"/>
    <x v="324"/>
    <s v="VA"/>
    <x v="0"/>
    <x v="271"/>
    <n v="0"/>
    <n v="0"/>
    <n v="0"/>
  </r>
  <r>
    <x v="15"/>
    <x v="325"/>
    <s v="VA"/>
    <x v="0"/>
    <x v="272"/>
    <n v="0"/>
    <n v="0"/>
    <n v="0"/>
  </r>
  <r>
    <x v="15"/>
    <x v="326"/>
    <s v="VA"/>
    <x v="0"/>
    <x v="273"/>
    <n v="0"/>
    <n v="0"/>
    <n v="0"/>
  </r>
  <r>
    <x v="15"/>
    <x v="327"/>
    <s v="VA"/>
    <x v="0"/>
    <x v="274"/>
    <n v="0"/>
    <n v="0"/>
    <n v="0"/>
  </r>
  <r>
    <x v="15"/>
    <x v="328"/>
    <s v="VA"/>
    <x v="0"/>
    <x v="275"/>
    <n v="0"/>
    <n v="0"/>
    <n v="0"/>
  </r>
  <r>
    <x v="15"/>
    <x v="329"/>
    <s v="VA"/>
    <x v="0"/>
    <x v="276"/>
    <n v="0"/>
    <n v="0"/>
    <n v="0"/>
  </r>
  <r>
    <x v="15"/>
    <x v="330"/>
    <s v="VA"/>
    <x v="0"/>
    <x v="277"/>
    <n v="0"/>
    <n v="0"/>
    <n v="0"/>
  </r>
  <r>
    <x v="15"/>
    <x v="331"/>
    <s v="VA"/>
    <x v="0"/>
    <x v="278"/>
    <n v="0"/>
    <n v="0"/>
    <n v="0"/>
  </r>
  <r>
    <x v="15"/>
    <x v="332"/>
    <s v="VA"/>
    <x v="0"/>
    <x v="279"/>
    <n v="0"/>
    <n v="0"/>
    <n v="0"/>
  </r>
  <r>
    <x v="15"/>
    <x v="333"/>
    <s v="YA"/>
    <x v="22"/>
    <x v="280"/>
    <n v="37"/>
    <n v="0"/>
    <n v="0"/>
  </r>
  <r>
    <x v="15"/>
    <x v="334"/>
    <s v="YA"/>
    <x v="22"/>
    <x v="59"/>
    <n v="92"/>
    <n v="0"/>
    <n v="0"/>
  </r>
  <r>
    <x v="15"/>
    <x v="335"/>
    <s v="YA"/>
    <x v="22"/>
    <x v="281"/>
    <n v="184"/>
    <n v="0"/>
    <n v="0"/>
  </r>
  <r>
    <x v="15"/>
    <x v="336"/>
    <s v="YA"/>
    <x v="22"/>
    <x v="282"/>
    <n v="80"/>
    <n v="0"/>
    <n v="0"/>
  </r>
  <r>
    <x v="15"/>
    <x v="337"/>
    <s v="YA"/>
    <x v="22"/>
    <x v="38"/>
    <n v="75"/>
    <n v="0"/>
    <n v="0"/>
  </r>
  <r>
    <x v="15"/>
    <x v="338"/>
    <s v="YA"/>
    <x v="22"/>
    <x v="283"/>
    <n v="24"/>
    <n v="0"/>
    <n v="0"/>
  </r>
  <r>
    <x v="15"/>
    <x v="339"/>
    <s v="YA"/>
    <x v="22"/>
    <x v="284"/>
    <n v="16"/>
    <n v="0"/>
    <n v="0"/>
  </r>
  <r>
    <x v="15"/>
    <x v="340"/>
    <s v="YA"/>
    <x v="22"/>
    <x v="285"/>
    <n v="15"/>
    <n v="0"/>
    <n v="0"/>
  </r>
  <r>
    <x v="15"/>
    <x v="341"/>
    <s v="YA"/>
    <x v="22"/>
    <x v="286"/>
    <n v="210"/>
    <n v="0"/>
    <n v="0"/>
  </r>
  <r>
    <x v="15"/>
    <x v="342"/>
    <s v="YA"/>
    <x v="22"/>
    <x v="287"/>
    <n v="246"/>
    <n v="0"/>
    <n v="0"/>
  </r>
  <r>
    <x v="15"/>
    <x v="343"/>
    <s v="YA"/>
    <x v="22"/>
    <x v="288"/>
    <n v="1127"/>
    <n v="0"/>
    <n v="0"/>
  </r>
  <r>
    <x v="15"/>
    <x v="344"/>
    <s v="YA"/>
    <x v="22"/>
    <x v="73"/>
    <n v="40"/>
    <n v="0"/>
    <n v="0"/>
  </r>
  <r>
    <x v="15"/>
    <x v="345"/>
    <s v="YA"/>
    <x v="22"/>
    <x v="289"/>
    <n v="45"/>
    <n v="0"/>
    <n v="0"/>
  </r>
  <r>
    <x v="15"/>
    <x v="346"/>
    <s v="YA"/>
    <x v="22"/>
    <x v="290"/>
    <n v="51"/>
    <n v="0"/>
    <n v="0"/>
  </r>
  <r>
    <x v="15"/>
    <x v="347"/>
    <s v="ZU"/>
    <x v="23"/>
    <x v="291"/>
    <n v="26"/>
    <n v="0"/>
    <n v="0"/>
  </r>
  <r>
    <x v="15"/>
    <x v="348"/>
    <s v="ZU"/>
    <x v="23"/>
    <x v="292"/>
    <n v="256"/>
    <n v="0"/>
    <n v="0"/>
  </r>
  <r>
    <x v="15"/>
    <x v="349"/>
    <s v="ZU"/>
    <x v="23"/>
    <x v="293"/>
    <n v="1003"/>
    <n v="0"/>
    <n v="0"/>
  </r>
  <r>
    <x v="15"/>
    <x v="350"/>
    <s v="ZU"/>
    <x v="23"/>
    <x v="294"/>
    <n v="86"/>
    <n v="0"/>
    <n v="0"/>
  </r>
  <r>
    <x v="15"/>
    <x v="351"/>
    <s v="ZU"/>
    <x v="23"/>
    <x v="295"/>
    <n v="407"/>
    <n v="0"/>
    <n v="0"/>
  </r>
  <r>
    <x v="15"/>
    <x v="352"/>
    <s v="ZU"/>
    <x v="23"/>
    <x v="296"/>
    <n v="63"/>
    <n v="0"/>
    <n v="0"/>
  </r>
  <r>
    <x v="15"/>
    <x v="353"/>
    <s v="ZU"/>
    <x v="23"/>
    <x v="297"/>
    <n v="327"/>
    <n v="0"/>
    <n v="0"/>
  </r>
  <r>
    <x v="15"/>
    <x v="354"/>
    <s v="ZU"/>
    <x v="23"/>
    <x v="298"/>
    <n v="56"/>
    <n v="0"/>
    <n v="0"/>
  </r>
  <r>
    <x v="15"/>
    <x v="355"/>
    <s v="ZU"/>
    <x v="23"/>
    <x v="299"/>
    <n v="140"/>
    <n v="0"/>
    <n v="0"/>
  </r>
  <r>
    <x v="15"/>
    <x v="356"/>
    <s v="ZU"/>
    <x v="23"/>
    <x v="300"/>
    <n v="843"/>
    <n v="0"/>
    <n v="0"/>
  </r>
  <r>
    <x v="15"/>
    <x v="357"/>
    <s v="ZU"/>
    <x v="23"/>
    <x v="301"/>
    <n v="356"/>
    <n v="0"/>
    <n v="0"/>
  </r>
  <r>
    <x v="15"/>
    <x v="358"/>
    <s v="ZU"/>
    <x v="23"/>
    <x v="302"/>
    <n v="633"/>
    <n v="0"/>
    <n v="0"/>
  </r>
  <r>
    <x v="15"/>
    <x v="359"/>
    <s v="ZU"/>
    <x v="23"/>
    <x v="303"/>
    <n v="7660"/>
    <n v="0"/>
    <n v="0"/>
  </r>
  <r>
    <x v="15"/>
    <x v="360"/>
    <s v="ZU"/>
    <x v="23"/>
    <x v="104"/>
    <n v="251"/>
    <n v="0"/>
    <n v="0"/>
  </r>
  <r>
    <x v="15"/>
    <x v="361"/>
    <s v="ZU"/>
    <x v="23"/>
    <x v="55"/>
    <n v="106"/>
    <n v="0"/>
    <n v="0"/>
  </r>
  <r>
    <x v="15"/>
    <x v="362"/>
    <s v="ZU"/>
    <x v="23"/>
    <x v="304"/>
    <n v="223"/>
    <n v="0"/>
    <n v="0"/>
  </r>
  <r>
    <x v="15"/>
    <x v="363"/>
    <s v="ZU"/>
    <x v="23"/>
    <x v="136"/>
    <n v="1045"/>
    <n v="0"/>
    <n v="0"/>
  </r>
  <r>
    <x v="15"/>
    <x v="364"/>
    <s v="ZU"/>
    <x v="23"/>
    <x v="305"/>
    <n v="142"/>
    <n v="0"/>
    <n v="0"/>
  </r>
  <r>
    <x v="15"/>
    <x v="365"/>
    <s v="ZU"/>
    <x v="23"/>
    <x v="49"/>
    <n v="59"/>
    <n v="0"/>
    <n v="0"/>
  </r>
  <r>
    <x v="15"/>
    <x v="366"/>
    <s v="ZU"/>
    <x v="23"/>
    <x v="73"/>
    <n v="234"/>
    <n v="0"/>
    <n v="0"/>
  </r>
  <r>
    <x v="15"/>
    <x v="367"/>
    <s v="ZU"/>
    <x v="23"/>
    <x v="306"/>
    <n v="133"/>
    <n v="0"/>
    <n v="0"/>
  </r>
  <r>
    <x v="15"/>
    <x v="368"/>
    <s v="DE"/>
    <x v="24"/>
    <x v="307"/>
    <n v="0"/>
    <n v="0"/>
    <n v="0"/>
  </r>
  <r>
    <x v="16"/>
    <x v="0"/>
    <s v="VA"/>
    <x v="0"/>
    <x v="0"/>
    <n v="1579"/>
    <n v="0"/>
    <n v="0"/>
  </r>
  <r>
    <x v="16"/>
    <x v="1"/>
    <s v="DI"/>
    <x v="1"/>
    <x v="1"/>
    <n v="14242"/>
    <n v="0"/>
    <n v="0"/>
  </r>
  <r>
    <x v="16"/>
    <x v="2"/>
    <s v="DI"/>
    <x v="1"/>
    <x v="2"/>
    <n v="0"/>
    <n v="0"/>
    <n v="0"/>
  </r>
  <r>
    <x v="16"/>
    <x v="3"/>
    <s v="DI"/>
    <x v="1"/>
    <x v="3"/>
    <n v="0"/>
    <n v="0"/>
    <n v="0"/>
  </r>
  <r>
    <x v="16"/>
    <x v="4"/>
    <s v="DI"/>
    <x v="1"/>
    <x v="4"/>
    <n v="0"/>
    <n v="0"/>
    <n v="0"/>
  </r>
  <r>
    <x v="16"/>
    <x v="5"/>
    <s v="DI"/>
    <x v="1"/>
    <x v="5"/>
    <n v="0"/>
    <n v="0"/>
    <n v="0"/>
  </r>
  <r>
    <x v="16"/>
    <x v="6"/>
    <s v="DI"/>
    <x v="1"/>
    <x v="6"/>
    <n v="0"/>
    <n v="0"/>
    <n v="0"/>
  </r>
  <r>
    <x v="16"/>
    <x v="7"/>
    <s v="DI"/>
    <x v="1"/>
    <x v="7"/>
    <n v="0"/>
    <n v="0"/>
    <n v="0"/>
  </r>
  <r>
    <x v="16"/>
    <x v="8"/>
    <s v="DI"/>
    <x v="1"/>
    <x v="8"/>
    <n v="0"/>
    <n v="0"/>
    <n v="0"/>
  </r>
  <r>
    <x v="16"/>
    <x v="9"/>
    <s v="DI"/>
    <x v="1"/>
    <x v="9"/>
    <n v="0"/>
    <n v="0"/>
    <n v="0"/>
  </r>
  <r>
    <x v="16"/>
    <x v="10"/>
    <s v="DI"/>
    <x v="1"/>
    <x v="10"/>
    <n v="0"/>
    <n v="0"/>
    <n v="0"/>
  </r>
  <r>
    <x v="16"/>
    <x v="11"/>
    <s v="DI"/>
    <x v="1"/>
    <x v="11"/>
    <n v="0"/>
    <n v="0"/>
    <n v="0"/>
  </r>
  <r>
    <x v="16"/>
    <x v="12"/>
    <s v="DI"/>
    <x v="1"/>
    <x v="12"/>
    <n v="0"/>
    <n v="0"/>
    <n v="0"/>
  </r>
  <r>
    <x v="16"/>
    <x v="13"/>
    <s v="DI"/>
    <x v="1"/>
    <x v="13"/>
    <n v="0"/>
    <n v="0"/>
    <n v="0"/>
  </r>
  <r>
    <x v="16"/>
    <x v="14"/>
    <s v="DI"/>
    <x v="1"/>
    <x v="14"/>
    <n v="0"/>
    <n v="0"/>
    <n v="0"/>
  </r>
  <r>
    <x v="16"/>
    <x v="15"/>
    <s v="DI"/>
    <x v="1"/>
    <x v="15"/>
    <n v="0"/>
    <n v="0"/>
    <n v="0"/>
  </r>
  <r>
    <x v="16"/>
    <x v="16"/>
    <s v="DI"/>
    <x v="1"/>
    <x v="16"/>
    <n v="0"/>
    <n v="0"/>
    <n v="0"/>
  </r>
  <r>
    <x v="16"/>
    <x v="17"/>
    <s v="DI"/>
    <x v="1"/>
    <x v="17"/>
    <n v="0"/>
    <n v="0"/>
    <n v="0"/>
  </r>
  <r>
    <x v="16"/>
    <x v="18"/>
    <s v="DI"/>
    <x v="1"/>
    <x v="18"/>
    <n v="0"/>
    <n v="0"/>
    <n v="0"/>
  </r>
  <r>
    <x v="16"/>
    <x v="19"/>
    <s v="DI"/>
    <x v="1"/>
    <x v="19"/>
    <n v="0"/>
    <n v="0"/>
    <n v="0"/>
  </r>
  <r>
    <x v="16"/>
    <x v="20"/>
    <s v="DI"/>
    <x v="1"/>
    <x v="20"/>
    <n v="0"/>
    <n v="0"/>
    <n v="0"/>
  </r>
  <r>
    <x v="16"/>
    <x v="21"/>
    <s v="DI"/>
    <x v="1"/>
    <x v="21"/>
    <n v="0"/>
    <n v="0"/>
    <n v="0"/>
  </r>
  <r>
    <x v="16"/>
    <x v="22"/>
    <s v="DI"/>
    <x v="1"/>
    <x v="22"/>
    <n v="0"/>
    <n v="0"/>
    <n v="0"/>
  </r>
  <r>
    <x v="16"/>
    <x v="23"/>
    <s v="DI"/>
    <x v="1"/>
    <x v="23"/>
    <n v="0"/>
    <n v="0"/>
    <n v="0"/>
  </r>
  <r>
    <x v="16"/>
    <x v="24"/>
    <s v="AM"/>
    <x v="2"/>
    <x v="24"/>
    <n v="29"/>
    <n v="0"/>
    <n v="0"/>
  </r>
  <r>
    <x v="16"/>
    <x v="25"/>
    <s v="AM"/>
    <x v="2"/>
    <x v="25"/>
    <n v="3"/>
    <n v="0"/>
    <n v="0"/>
  </r>
  <r>
    <x v="16"/>
    <x v="26"/>
    <s v="AM"/>
    <x v="2"/>
    <x v="26"/>
    <n v="359"/>
    <n v="0"/>
    <n v="0"/>
  </r>
  <r>
    <x v="16"/>
    <x v="27"/>
    <s v="AM"/>
    <x v="2"/>
    <x v="27"/>
    <n v="20"/>
    <n v="0"/>
    <n v="0"/>
  </r>
  <r>
    <x v="16"/>
    <x v="28"/>
    <s v="AM"/>
    <x v="2"/>
    <x v="28"/>
    <n v="3"/>
    <n v="0"/>
    <n v="0"/>
  </r>
  <r>
    <x v="16"/>
    <x v="29"/>
    <s v="AM"/>
    <x v="2"/>
    <x v="29"/>
    <n v="5"/>
    <n v="0"/>
    <n v="0"/>
  </r>
  <r>
    <x v="16"/>
    <x v="30"/>
    <s v="AM"/>
    <x v="2"/>
    <x v="30"/>
    <n v="0"/>
    <n v="0"/>
    <n v="0"/>
  </r>
  <r>
    <x v="16"/>
    <x v="31"/>
    <s v="AN"/>
    <x v="3"/>
    <x v="31"/>
    <n v="204"/>
    <n v="0"/>
    <n v="0"/>
  </r>
  <r>
    <x v="16"/>
    <x v="32"/>
    <s v="AN"/>
    <x v="3"/>
    <x v="32"/>
    <n v="103"/>
    <n v="0"/>
    <n v="0"/>
  </r>
  <r>
    <x v="16"/>
    <x v="33"/>
    <s v="AN"/>
    <x v="3"/>
    <x v="33"/>
    <n v="57"/>
    <n v="0"/>
    <n v="0"/>
  </r>
  <r>
    <x v="16"/>
    <x v="34"/>
    <s v="AN"/>
    <x v="3"/>
    <x v="34"/>
    <n v="39"/>
    <n v="0"/>
    <n v="0"/>
  </r>
  <r>
    <x v="16"/>
    <x v="35"/>
    <s v="AN"/>
    <x v="3"/>
    <x v="35"/>
    <n v="95"/>
    <n v="0"/>
    <n v="0"/>
  </r>
  <r>
    <x v="16"/>
    <x v="36"/>
    <s v="AN"/>
    <x v="3"/>
    <x v="36"/>
    <n v="45"/>
    <n v="0"/>
    <n v="0"/>
  </r>
  <r>
    <x v="16"/>
    <x v="37"/>
    <s v="AN"/>
    <x v="3"/>
    <x v="37"/>
    <n v="45"/>
    <n v="0"/>
    <n v="0"/>
  </r>
  <r>
    <x v="16"/>
    <x v="38"/>
    <s v="AN"/>
    <x v="3"/>
    <x v="38"/>
    <n v="76"/>
    <n v="0"/>
    <n v="0"/>
  </r>
  <r>
    <x v="16"/>
    <x v="39"/>
    <s v="AN"/>
    <x v="3"/>
    <x v="39"/>
    <n v="37"/>
    <n v="0"/>
    <n v="0"/>
  </r>
  <r>
    <x v="16"/>
    <x v="40"/>
    <s v="AN"/>
    <x v="3"/>
    <x v="40"/>
    <n v="457"/>
    <n v="0"/>
    <n v="0"/>
  </r>
  <r>
    <x v="16"/>
    <x v="41"/>
    <s v="AN"/>
    <x v="3"/>
    <x v="41"/>
    <n v="29"/>
    <n v="0"/>
    <n v="0"/>
  </r>
  <r>
    <x v="16"/>
    <x v="42"/>
    <s v="AN"/>
    <x v="3"/>
    <x v="42"/>
    <n v="36"/>
    <n v="0"/>
    <n v="0"/>
  </r>
  <r>
    <x v="16"/>
    <x v="43"/>
    <s v="AN"/>
    <x v="3"/>
    <x v="43"/>
    <n v="82"/>
    <n v="0"/>
    <n v="0"/>
  </r>
  <r>
    <x v="16"/>
    <x v="44"/>
    <s v="AN"/>
    <x v="3"/>
    <x v="44"/>
    <n v="238"/>
    <n v="0"/>
    <n v="0"/>
  </r>
  <r>
    <x v="16"/>
    <x v="45"/>
    <s v="AN"/>
    <x v="3"/>
    <x v="45"/>
    <n v="78"/>
    <n v="0"/>
    <n v="0"/>
  </r>
  <r>
    <x v="16"/>
    <x v="46"/>
    <s v="AN"/>
    <x v="3"/>
    <x v="46"/>
    <n v="119"/>
    <n v="0"/>
    <n v="0"/>
  </r>
  <r>
    <x v="16"/>
    <x v="47"/>
    <s v="AN"/>
    <x v="3"/>
    <x v="47"/>
    <n v="35"/>
    <n v="0"/>
    <n v="0"/>
  </r>
  <r>
    <x v="16"/>
    <x v="48"/>
    <s v="AN"/>
    <x v="3"/>
    <x v="48"/>
    <n v="21"/>
    <n v="0"/>
    <n v="0"/>
  </r>
  <r>
    <x v="16"/>
    <x v="49"/>
    <s v="AN"/>
    <x v="3"/>
    <x v="49"/>
    <n v="1112"/>
    <n v="0"/>
    <n v="0"/>
  </r>
  <r>
    <x v="16"/>
    <x v="50"/>
    <s v="AN"/>
    <x v="3"/>
    <x v="50"/>
    <n v="524"/>
    <n v="0"/>
    <n v="0"/>
  </r>
  <r>
    <x v="16"/>
    <x v="51"/>
    <s v="AN"/>
    <x v="3"/>
    <x v="51"/>
    <n v="25"/>
    <n v="0"/>
    <n v="0"/>
  </r>
  <r>
    <x v="16"/>
    <x v="52"/>
    <s v="AP"/>
    <x v="4"/>
    <x v="52"/>
    <n v="147"/>
    <n v="0"/>
    <n v="0"/>
  </r>
  <r>
    <x v="16"/>
    <x v="53"/>
    <s v="AP"/>
    <x v="4"/>
    <x v="53"/>
    <n v="61"/>
    <n v="0"/>
    <n v="0"/>
  </r>
  <r>
    <x v="16"/>
    <x v="54"/>
    <s v="AP"/>
    <x v="4"/>
    <x v="54"/>
    <n v="40"/>
    <n v="0"/>
    <n v="0"/>
  </r>
  <r>
    <x v="16"/>
    <x v="55"/>
    <s v="AP"/>
    <x v="4"/>
    <x v="55"/>
    <n v="289"/>
    <n v="0"/>
    <n v="0"/>
  </r>
  <r>
    <x v="16"/>
    <x v="56"/>
    <s v="AP"/>
    <x v="4"/>
    <x v="56"/>
    <n v="27"/>
    <n v="0"/>
    <n v="0"/>
  </r>
  <r>
    <x v="16"/>
    <x v="57"/>
    <s v="AP"/>
    <x v="4"/>
    <x v="57"/>
    <n v="30"/>
    <n v="0"/>
    <n v="0"/>
  </r>
  <r>
    <x v="16"/>
    <x v="58"/>
    <s v="AP"/>
    <x v="4"/>
    <x v="58"/>
    <n v="814"/>
    <n v="0"/>
    <n v="0"/>
  </r>
  <r>
    <x v="16"/>
    <x v="59"/>
    <s v="AR"/>
    <x v="5"/>
    <x v="59"/>
    <n v="103"/>
    <n v="0"/>
    <n v="0"/>
  </r>
  <r>
    <x v="16"/>
    <x v="60"/>
    <s v="AR"/>
    <x v="5"/>
    <x v="60"/>
    <n v="44"/>
    <n v="0"/>
    <n v="0"/>
  </r>
  <r>
    <x v="16"/>
    <x v="61"/>
    <s v="AR"/>
    <x v="5"/>
    <x v="61"/>
    <n v="169"/>
    <n v="0"/>
    <n v="0"/>
  </r>
  <r>
    <x v="16"/>
    <x v="62"/>
    <s v="AR"/>
    <x v="5"/>
    <x v="62"/>
    <n v="3270"/>
    <n v="0"/>
    <n v="0"/>
  </r>
  <r>
    <x v="16"/>
    <x v="63"/>
    <s v="AR"/>
    <x v="5"/>
    <x v="63"/>
    <n v="61"/>
    <n v="0"/>
    <n v="0"/>
  </r>
  <r>
    <x v="16"/>
    <x v="64"/>
    <s v="AR"/>
    <x v="5"/>
    <x v="64"/>
    <n v="798"/>
    <n v="0"/>
    <n v="0"/>
  </r>
  <r>
    <x v="16"/>
    <x v="65"/>
    <s v="AR"/>
    <x v="5"/>
    <x v="65"/>
    <n v="90"/>
    <n v="0"/>
    <n v="0"/>
  </r>
  <r>
    <x v="16"/>
    <x v="66"/>
    <s v="AR"/>
    <x v="5"/>
    <x v="66"/>
    <n v="396"/>
    <n v="0"/>
    <n v="0"/>
  </r>
  <r>
    <x v="16"/>
    <x v="67"/>
    <s v="AR"/>
    <x v="5"/>
    <x v="67"/>
    <n v="257"/>
    <n v="0"/>
    <n v="0"/>
  </r>
  <r>
    <x v="16"/>
    <x v="68"/>
    <s v="AR"/>
    <x v="5"/>
    <x v="68"/>
    <n v="0"/>
    <n v="0"/>
    <n v="0"/>
  </r>
  <r>
    <x v="16"/>
    <x v="69"/>
    <s v="AR"/>
    <x v="5"/>
    <x v="69"/>
    <n v="79"/>
    <n v="0"/>
    <n v="0"/>
  </r>
  <r>
    <x v="16"/>
    <x v="70"/>
    <s v="AR"/>
    <x v="5"/>
    <x v="70"/>
    <n v="70"/>
    <n v="0"/>
    <n v="0"/>
  </r>
  <r>
    <x v="16"/>
    <x v="71"/>
    <s v="AR"/>
    <x v="5"/>
    <x v="71"/>
    <n v="357"/>
    <n v="0"/>
    <n v="0"/>
  </r>
  <r>
    <x v="16"/>
    <x v="72"/>
    <s v="AR"/>
    <x v="5"/>
    <x v="72"/>
    <n v="100"/>
    <n v="0"/>
    <n v="0"/>
  </r>
  <r>
    <x v="16"/>
    <x v="73"/>
    <s v="AR"/>
    <x v="5"/>
    <x v="73"/>
    <n v="352"/>
    <n v="0"/>
    <n v="0"/>
  </r>
  <r>
    <x v="16"/>
    <x v="74"/>
    <s v="AR"/>
    <x v="5"/>
    <x v="74"/>
    <n v="39"/>
    <n v="0"/>
    <n v="0"/>
  </r>
  <r>
    <x v="16"/>
    <x v="75"/>
    <s v="AR"/>
    <x v="5"/>
    <x v="75"/>
    <n v="85"/>
    <n v="0"/>
    <n v="0"/>
  </r>
  <r>
    <x v="16"/>
    <x v="76"/>
    <s v="AR"/>
    <x v="5"/>
    <x v="76"/>
    <n v="520"/>
    <n v="0"/>
    <n v="0"/>
  </r>
  <r>
    <x v="16"/>
    <x v="77"/>
    <s v="BA"/>
    <x v="6"/>
    <x v="77"/>
    <n v="107"/>
    <n v="0"/>
    <n v="0"/>
  </r>
  <r>
    <x v="16"/>
    <x v="78"/>
    <s v="BA"/>
    <x v="6"/>
    <x v="78"/>
    <n v="0"/>
    <n v="0"/>
    <n v="0"/>
  </r>
  <r>
    <x v="16"/>
    <x v="79"/>
    <s v="BA"/>
    <x v="6"/>
    <x v="79"/>
    <n v="191"/>
    <n v="0"/>
    <n v="0"/>
  </r>
  <r>
    <x v="16"/>
    <x v="80"/>
    <s v="BA"/>
    <x v="6"/>
    <x v="80"/>
    <n v="23"/>
    <n v="0"/>
    <n v="0"/>
  </r>
  <r>
    <x v="16"/>
    <x v="81"/>
    <s v="BA"/>
    <x v="6"/>
    <x v="81"/>
    <n v="1295"/>
    <n v="0"/>
    <n v="0"/>
  </r>
  <r>
    <x v="16"/>
    <x v="82"/>
    <s v="BA"/>
    <x v="6"/>
    <x v="59"/>
    <n v="142"/>
    <n v="0"/>
    <n v="0"/>
  </r>
  <r>
    <x v="16"/>
    <x v="83"/>
    <s v="BA"/>
    <x v="6"/>
    <x v="82"/>
    <n v="47"/>
    <n v="0"/>
    <n v="0"/>
  </r>
  <r>
    <x v="16"/>
    <x v="84"/>
    <s v="BA"/>
    <x v="6"/>
    <x v="83"/>
    <n v="195"/>
    <n v="0"/>
    <n v="0"/>
  </r>
  <r>
    <x v="16"/>
    <x v="85"/>
    <s v="BA"/>
    <x v="6"/>
    <x v="84"/>
    <n v="46"/>
    <n v="0"/>
    <n v="0"/>
  </r>
  <r>
    <x v="16"/>
    <x v="86"/>
    <s v="BA"/>
    <x v="6"/>
    <x v="85"/>
    <n v="146"/>
    <n v="0"/>
    <n v="0"/>
  </r>
  <r>
    <x v="16"/>
    <x v="87"/>
    <s v="BA"/>
    <x v="6"/>
    <x v="86"/>
    <n v="60"/>
    <n v="0"/>
    <n v="0"/>
  </r>
  <r>
    <x v="16"/>
    <x v="88"/>
    <s v="BA"/>
    <x v="6"/>
    <x v="87"/>
    <n v="22"/>
    <n v="0"/>
    <n v="0"/>
  </r>
  <r>
    <x v="16"/>
    <x v="89"/>
    <s v="BO"/>
    <x v="7"/>
    <x v="88"/>
    <n v="2649"/>
    <n v="0"/>
    <n v="0"/>
  </r>
  <r>
    <x v="16"/>
    <x v="90"/>
    <s v="BO"/>
    <x v="7"/>
    <x v="89"/>
    <n v="212"/>
    <n v="0"/>
    <n v="0"/>
  </r>
  <r>
    <x v="16"/>
    <x v="91"/>
    <s v="BO"/>
    <x v="7"/>
    <x v="90"/>
    <n v="64"/>
    <n v="0"/>
    <n v="0"/>
  </r>
  <r>
    <x v="16"/>
    <x v="92"/>
    <s v="BO"/>
    <x v="7"/>
    <x v="91"/>
    <n v="45"/>
    <n v="0"/>
    <n v="0"/>
  </r>
  <r>
    <x v="16"/>
    <x v="93"/>
    <s v="BO"/>
    <x v="7"/>
    <x v="92"/>
    <n v="1747"/>
    <n v="0"/>
    <n v="0"/>
  </r>
  <r>
    <x v="16"/>
    <x v="94"/>
    <s v="BO"/>
    <x v="7"/>
    <x v="93"/>
    <n v="28"/>
    <n v="0"/>
    <n v="0"/>
  </r>
  <r>
    <x v="16"/>
    <x v="95"/>
    <s v="BO"/>
    <x v="7"/>
    <x v="94"/>
    <n v="340"/>
    <n v="0"/>
    <n v="0"/>
  </r>
  <r>
    <x v="16"/>
    <x v="96"/>
    <s v="BO"/>
    <x v="7"/>
    <x v="95"/>
    <n v="24"/>
    <n v="0"/>
    <n v="0"/>
  </r>
  <r>
    <x v="16"/>
    <x v="97"/>
    <s v="BO"/>
    <x v="7"/>
    <x v="96"/>
    <n v="45"/>
    <n v="0"/>
    <n v="0"/>
  </r>
  <r>
    <x v="16"/>
    <x v="98"/>
    <s v="BO"/>
    <x v="7"/>
    <x v="97"/>
    <n v="108"/>
    <n v="0"/>
    <n v="0"/>
  </r>
  <r>
    <x v="16"/>
    <x v="99"/>
    <s v="BO"/>
    <x v="7"/>
    <x v="73"/>
    <n v="23"/>
    <n v="0"/>
    <n v="0"/>
  </r>
  <r>
    <x v="16"/>
    <x v="100"/>
    <s v="CA"/>
    <x v="8"/>
    <x v="98"/>
    <n v="234"/>
    <n v="0"/>
    <n v="0"/>
  </r>
  <r>
    <x v="16"/>
    <x v="101"/>
    <s v="CA"/>
    <x v="8"/>
    <x v="99"/>
    <n v="372"/>
    <n v="0"/>
    <n v="0"/>
  </r>
  <r>
    <x v="16"/>
    <x v="102"/>
    <s v="CA"/>
    <x v="8"/>
    <x v="100"/>
    <n v="231"/>
    <n v="0"/>
    <n v="0"/>
  </r>
  <r>
    <x v="16"/>
    <x v="103"/>
    <s v="CA"/>
    <x v="8"/>
    <x v="101"/>
    <n v="390"/>
    <n v="0"/>
    <n v="0"/>
  </r>
  <r>
    <x v="16"/>
    <x v="104"/>
    <s v="CA"/>
    <x v="8"/>
    <x v="102"/>
    <n v="131"/>
    <n v="0"/>
    <n v="0"/>
  </r>
  <r>
    <x v="16"/>
    <x v="105"/>
    <s v="CA"/>
    <x v="8"/>
    <x v="66"/>
    <n v="373"/>
    <n v="0"/>
    <n v="0"/>
  </r>
  <r>
    <x v="16"/>
    <x v="106"/>
    <s v="CA"/>
    <x v="8"/>
    <x v="103"/>
    <n v="194"/>
    <n v="0"/>
    <n v="0"/>
  </r>
  <r>
    <x v="16"/>
    <x v="107"/>
    <s v="CA"/>
    <x v="8"/>
    <x v="104"/>
    <n v="54"/>
    <n v="0"/>
    <n v="0"/>
  </r>
  <r>
    <x v="16"/>
    <x v="108"/>
    <s v="CA"/>
    <x v="8"/>
    <x v="105"/>
    <n v="56"/>
    <n v="0"/>
    <n v="0"/>
  </r>
  <r>
    <x v="16"/>
    <x v="109"/>
    <s v="CA"/>
    <x v="8"/>
    <x v="106"/>
    <n v="992"/>
    <n v="0"/>
    <n v="0"/>
  </r>
  <r>
    <x v="16"/>
    <x v="110"/>
    <s v="CA"/>
    <x v="8"/>
    <x v="107"/>
    <n v="945"/>
    <n v="0"/>
    <n v="0"/>
  </r>
  <r>
    <x v="16"/>
    <x v="111"/>
    <s v="CA"/>
    <x v="8"/>
    <x v="108"/>
    <n v="105"/>
    <n v="0"/>
    <n v="0"/>
  </r>
  <r>
    <x v="16"/>
    <x v="112"/>
    <s v="CA"/>
    <x v="8"/>
    <x v="109"/>
    <n v="109"/>
    <n v="0"/>
    <n v="0"/>
  </r>
  <r>
    <x v="16"/>
    <x v="113"/>
    <s v="CA"/>
    <x v="8"/>
    <x v="110"/>
    <n v="4231"/>
    <n v="0"/>
    <n v="0"/>
  </r>
  <r>
    <x v="16"/>
    <x v="114"/>
    <s v="CO"/>
    <x v="9"/>
    <x v="111"/>
    <n v="311"/>
    <n v="0"/>
    <n v="0"/>
  </r>
  <r>
    <x v="16"/>
    <x v="115"/>
    <s v="CO"/>
    <x v="9"/>
    <x v="112"/>
    <n v="264"/>
    <n v="0"/>
    <n v="0"/>
  </r>
  <r>
    <x v="16"/>
    <x v="116"/>
    <s v="CO"/>
    <x v="9"/>
    <x v="62"/>
    <n v="27"/>
    <n v="0"/>
    <n v="0"/>
  </r>
  <r>
    <x v="16"/>
    <x v="117"/>
    <s v="CO"/>
    <x v="9"/>
    <x v="113"/>
    <n v="24"/>
    <n v="0"/>
    <n v="0"/>
  </r>
  <r>
    <x v="16"/>
    <x v="118"/>
    <s v="CO"/>
    <x v="9"/>
    <x v="114"/>
    <n v="24"/>
    <n v="0"/>
    <n v="0"/>
  </r>
  <r>
    <x v="16"/>
    <x v="119"/>
    <s v="CO"/>
    <x v="9"/>
    <x v="115"/>
    <n v="21"/>
    <n v="0"/>
    <n v="0"/>
  </r>
  <r>
    <x v="16"/>
    <x v="120"/>
    <s v="CO"/>
    <x v="9"/>
    <x v="57"/>
    <n v="31"/>
    <n v="0"/>
    <n v="0"/>
  </r>
  <r>
    <x v="16"/>
    <x v="121"/>
    <s v="CO"/>
    <x v="9"/>
    <x v="116"/>
    <n v="263"/>
    <n v="0"/>
    <n v="0"/>
  </r>
  <r>
    <x v="16"/>
    <x v="122"/>
    <s v="CO"/>
    <x v="9"/>
    <x v="117"/>
    <n v="71"/>
    <n v="0"/>
    <n v="0"/>
  </r>
  <r>
    <x v="16"/>
    <x v="123"/>
    <s v="DE"/>
    <x v="10"/>
    <x v="118"/>
    <n v="26"/>
    <n v="0"/>
    <n v="0"/>
  </r>
  <r>
    <x v="16"/>
    <x v="124"/>
    <s v="DE"/>
    <x v="10"/>
    <x v="119"/>
    <n v="39"/>
    <n v="0"/>
    <n v="0"/>
  </r>
  <r>
    <x v="16"/>
    <x v="125"/>
    <s v="DE"/>
    <x v="10"/>
    <x v="120"/>
    <n v="26"/>
    <n v="0"/>
    <n v="0"/>
  </r>
  <r>
    <x v="16"/>
    <x v="126"/>
    <s v="DE"/>
    <x v="10"/>
    <x v="121"/>
    <n v="351"/>
    <n v="0"/>
    <n v="0"/>
  </r>
  <r>
    <x v="16"/>
    <x v="127"/>
    <s v="FA"/>
    <x v="11"/>
    <x v="122"/>
    <n v="47"/>
    <n v="0"/>
    <n v="0"/>
  </r>
  <r>
    <x v="16"/>
    <x v="128"/>
    <s v="FA"/>
    <x v="11"/>
    <x v="59"/>
    <n v="23"/>
    <n v="0"/>
    <n v="0"/>
  </r>
  <r>
    <x v="16"/>
    <x v="129"/>
    <s v="FA"/>
    <x v="11"/>
    <x v="123"/>
    <n v="66"/>
    <n v="0"/>
    <n v="0"/>
  </r>
  <r>
    <x v="16"/>
    <x v="130"/>
    <s v="FA"/>
    <x v="11"/>
    <x v="124"/>
    <n v="10"/>
    <n v="0"/>
    <n v="0"/>
  </r>
  <r>
    <x v="16"/>
    <x v="131"/>
    <s v="FA"/>
    <x v="11"/>
    <x v="125"/>
    <n v="744"/>
    <n v="0"/>
    <n v="0"/>
  </r>
  <r>
    <x v="16"/>
    <x v="132"/>
    <s v="FA"/>
    <x v="11"/>
    <x v="126"/>
    <n v="55"/>
    <n v="0"/>
    <n v="0"/>
  </r>
  <r>
    <x v="16"/>
    <x v="133"/>
    <s v="FA"/>
    <x v="11"/>
    <x v="127"/>
    <n v="44"/>
    <n v="0"/>
    <n v="0"/>
  </r>
  <r>
    <x v="16"/>
    <x v="134"/>
    <s v="FA"/>
    <x v="11"/>
    <x v="128"/>
    <n v="9"/>
    <n v="0"/>
    <n v="0"/>
  </r>
  <r>
    <x v="16"/>
    <x v="135"/>
    <s v="FA"/>
    <x v="11"/>
    <x v="112"/>
    <n v="124"/>
    <n v="0"/>
    <n v="0"/>
  </r>
  <r>
    <x v="16"/>
    <x v="136"/>
    <s v="FA"/>
    <x v="11"/>
    <x v="129"/>
    <n v="81"/>
    <n v="0"/>
    <n v="0"/>
  </r>
  <r>
    <x v="16"/>
    <x v="137"/>
    <s v="FA"/>
    <x v="11"/>
    <x v="130"/>
    <n v="14"/>
    <n v="0"/>
    <n v="0"/>
  </r>
  <r>
    <x v="16"/>
    <x v="138"/>
    <s v="FA"/>
    <x v="11"/>
    <x v="131"/>
    <n v="65"/>
    <n v="0"/>
    <n v="0"/>
  </r>
  <r>
    <x v="16"/>
    <x v="139"/>
    <s v="FA"/>
    <x v="11"/>
    <x v="132"/>
    <n v="71"/>
    <n v="0"/>
    <n v="0"/>
  </r>
  <r>
    <x v="16"/>
    <x v="140"/>
    <s v="FA"/>
    <x v="11"/>
    <x v="104"/>
    <n v="904"/>
    <n v="0"/>
    <n v="0"/>
  </r>
  <r>
    <x v="16"/>
    <x v="141"/>
    <s v="FA"/>
    <x v="11"/>
    <x v="133"/>
    <n v="48"/>
    <n v="0"/>
    <n v="0"/>
  </r>
  <r>
    <x v="16"/>
    <x v="142"/>
    <s v="FA"/>
    <x v="11"/>
    <x v="134"/>
    <n v="14"/>
    <n v="0"/>
    <n v="0"/>
  </r>
  <r>
    <x v="16"/>
    <x v="143"/>
    <s v="FA"/>
    <x v="11"/>
    <x v="135"/>
    <n v="53"/>
    <n v="0"/>
    <n v="0"/>
  </r>
  <r>
    <x v="16"/>
    <x v="144"/>
    <s v="FA"/>
    <x v="11"/>
    <x v="45"/>
    <n v="32"/>
    <n v="0"/>
    <n v="0"/>
  </r>
  <r>
    <x v="16"/>
    <x v="145"/>
    <s v="FA"/>
    <x v="11"/>
    <x v="136"/>
    <n v="26"/>
    <n v="0"/>
    <n v="0"/>
  </r>
  <r>
    <x v="16"/>
    <x v="146"/>
    <s v="FA"/>
    <x v="11"/>
    <x v="137"/>
    <n v="144"/>
    <n v="0"/>
    <n v="0"/>
  </r>
  <r>
    <x v="16"/>
    <x v="147"/>
    <s v="FA"/>
    <x v="11"/>
    <x v="73"/>
    <n v="16"/>
    <n v="0"/>
    <n v="0"/>
  </r>
  <r>
    <x v="16"/>
    <x v="148"/>
    <s v="FA"/>
    <x v="11"/>
    <x v="138"/>
    <n v="23"/>
    <n v="0"/>
    <n v="0"/>
  </r>
  <r>
    <x v="16"/>
    <x v="149"/>
    <s v="FA"/>
    <x v="11"/>
    <x v="139"/>
    <n v="23"/>
    <n v="0"/>
    <n v="0"/>
  </r>
  <r>
    <x v="16"/>
    <x v="150"/>
    <s v="FA"/>
    <x v="11"/>
    <x v="140"/>
    <n v="10"/>
    <n v="0"/>
    <n v="0"/>
  </r>
  <r>
    <x v="16"/>
    <x v="151"/>
    <s v="FA"/>
    <x v="11"/>
    <x v="76"/>
    <n v="84"/>
    <n v="0"/>
    <n v="0"/>
  </r>
  <r>
    <x v="16"/>
    <x v="152"/>
    <s v="GU"/>
    <x v="12"/>
    <x v="141"/>
    <n v="74"/>
    <n v="0"/>
    <n v="0"/>
  </r>
  <r>
    <x v="16"/>
    <x v="153"/>
    <s v="GU"/>
    <x v="12"/>
    <x v="142"/>
    <n v="27"/>
    <n v="0"/>
    <n v="0"/>
  </r>
  <r>
    <x v="16"/>
    <x v="154"/>
    <s v="GU"/>
    <x v="12"/>
    <x v="143"/>
    <n v="66"/>
    <n v="0"/>
    <n v="0"/>
  </r>
  <r>
    <x v="16"/>
    <x v="155"/>
    <s v="GU"/>
    <x v="12"/>
    <x v="144"/>
    <n v="25"/>
    <n v="0"/>
    <n v="0"/>
  </r>
  <r>
    <x v="16"/>
    <x v="156"/>
    <s v="GU"/>
    <x v="12"/>
    <x v="145"/>
    <n v="616"/>
    <n v="0"/>
    <n v="0"/>
  </r>
  <r>
    <x v="16"/>
    <x v="157"/>
    <s v="GU"/>
    <x v="12"/>
    <x v="146"/>
    <n v="84"/>
    <n v="0"/>
    <n v="0"/>
  </r>
  <r>
    <x v="16"/>
    <x v="158"/>
    <s v="GU"/>
    <x v="12"/>
    <x v="147"/>
    <n v="105"/>
    <n v="0"/>
    <n v="0"/>
  </r>
  <r>
    <x v="16"/>
    <x v="159"/>
    <s v="GU"/>
    <x v="12"/>
    <x v="104"/>
    <n v="468"/>
    <n v="0"/>
    <n v="0"/>
  </r>
  <r>
    <x v="16"/>
    <x v="160"/>
    <s v="GU"/>
    <x v="12"/>
    <x v="148"/>
    <n v="371"/>
    <n v="0"/>
    <n v="0"/>
  </r>
  <r>
    <x v="16"/>
    <x v="161"/>
    <s v="GU"/>
    <x v="12"/>
    <x v="149"/>
    <n v="31"/>
    <n v="0"/>
    <n v="0"/>
  </r>
  <r>
    <x v="16"/>
    <x v="162"/>
    <s v="GU"/>
    <x v="12"/>
    <x v="150"/>
    <n v="78"/>
    <n v="0"/>
    <n v="0"/>
  </r>
  <r>
    <x v="16"/>
    <x v="163"/>
    <s v="GU"/>
    <x v="12"/>
    <x v="96"/>
    <n v="637"/>
    <n v="0"/>
    <n v="0"/>
  </r>
  <r>
    <x v="16"/>
    <x v="164"/>
    <s v="GU"/>
    <x v="12"/>
    <x v="151"/>
    <n v="34"/>
    <n v="0"/>
    <n v="0"/>
  </r>
  <r>
    <x v="16"/>
    <x v="165"/>
    <s v="GU"/>
    <x v="12"/>
    <x v="152"/>
    <n v="55"/>
    <n v="0"/>
    <n v="0"/>
  </r>
  <r>
    <x v="16"/>
    <x v="166"/>
    <s v="GU"/>
    <x v="12"/>
    <x v="153"/>
    <n v="177"/>
    <n v="0"/>
    <n v="0"/>
  </r>
  <r>
    <x v="16"/>
    <x v="167"/>
    <s v="LA"/>
    <x v="13"/>
    <x v="154"/>
    <n v="108"/>
    <n v="0"/>
    <n v="0"/>
  </r>
  <r>
    <x v="16"/>
    <x v="168"/>
    <s v="LA"/>
    <x v="13"/>
    <x v="155"/>
    <n v="97"/>
    <n v="0"/>
    <n v="0"/>
  </r>
  <r>
    <x v="16"/>
    <x v="169"/>
    <s v="LA"/>
    <x v="13"/>
    <x v="156"/>
    <n v="4919"/>
    <n v="0"/>
    <n v="0"/>
  </r>
  <r>
    <x v="16"/>
    <x v="170"/>
    <s v="LA"/>
    <x v="13"/>
    <x v="157"/>
    <n v="232"/>
    <n v="0"/>
    <n v="0"/>
  </r>
  <r>
    <x v="16"/>
    <x v="171"/>
    <s v="LA"/>
    <x v="13"/>
    <x v="158"/>
    <n v="372"/>
    <n v="0"/>
    <n v="0"/>
  </r>
  <r>
    <x v="16"/>
    <x v="172"/>
    <s v="LA"/>
    <x v="13"/>
    <x v="159"/>
    <n v="230"/>
    <n v="0"/>
    <n v="0"/>
  </r>
  <r>
    <x v="16"/>
    <x v="173"/>
    <s v="LA"/>
    <x v="13"/>
    <x v="160"/>
    <n v="32"/>
    <n v="0"/>
    <n v="0"/>
  </r>
  <r>
    <x v="16"/>
    <x v="174"/>
    <s v="LA"/>
    <x v="13"/>
    <x v="161"/>
    <n v="708"/>
    <n v="0"/>
    <n v="0"/>
  </r>
  <r>
    <x v="16"/>
    <x v="175"/>
    <s v="LA"/>
    <x v="13"/>
    <x v="75"/>
    <n v="82"/>
    <n v="0"/>
    <n v="0"/>
  </r>
  <r>
    <x v="16"/>
    <x v="176"/>
    <s v="ME"/>
    <x v="14"/>
    <x v="162"/>
    <n v="492"/>
    <n v="0"/>
    <n v="0"/>
  </r>
  <r>
    <x v="16"/>
    <x v="177"/>
    <s v="ME"/>
    <x v="14"/>
    <x v="163"/>
    <n v="40"/>
    <n v="0"/>
    <n v="0"/>
  </r>
  <r>
    <x v="16"/>
    <x v="178"/>
    <s v="ME"/>
    <x v="14"/>
    <x v="164"/>
    <n v="76"/>
    <n v="0"/>
    <n v="0"/>
  </r>
  <r>
    <x v="16"/>
    <x v="179"/>
    <s v="ME"/>
    <x v="14"/>
    <x v="165"/>
    <n v="16"/>
    <n v="0"/>
    <n v="0"/>
  </r>
  <r>
    <x v="16"/>
    <x v="180"/>
    <s v="ME"/>
    <x v="14"/>
    <x v="166"/>
    <n v="72"/>
    <n v="0"/>
    <n v="0"/>
  </r>
  <r>
    <x v="16"/>
    <x v="181"/>
    <s v="ME"/>
    <x v="14"/>
    <x v="167"/>
    <n v="232"/>
    <n v="0"/>
    <n v="0"/>
  </r>
  <r>
    <x v="16"/>
    <x v="182"/>
    <s v="ME"/>
    <x v="14"/>
    <x v="168"/>
    <n v="32"/>
    <n v="0"/>
    <n v="0"/>
  </r>
  <r>
    <x v="16"/>
    <x v="183"/>
    <s v="ME"/>
    <x v="14"/>
    <x v="169"/>
    <n v="79"/>
    <n v="0"/>
    <n v="0"/>
  </r>
  <r>
    <x v="16"/>
    <x v="184"/>
    <s v="ME"/>
    <x v="14"/>
    <x v="170"/>
    <n v="41"/>
    <n v="0"/>
    <n v="0"/>
  </r>
  <r>
    <x v="16"/>
    <x v="185"/>
    <s v="ME"/>
    <x v="14"/>
    <x v="171"/>
    <n v="49"/>
    <n v="0"/>
    <n v="0"/>
  </r>
  <r>
    <x v="16"/>
    <x v="186"/>
    <s v="ME"/>
    <x v="14"/>
    <x v="172"/>
    <n v="23"/>
    <n v="0"/>
    <n v="0"/>
  </r>
  <r>
    <x v="16"/>
    <x v="187"/>
    <s v="ME"/>
    <x v="14"/>
    <x v="66"/>
    <n v="1657"/>
    <n v="0"/>
    <n v="0"/>
  </r>
  <r>
    <x v="16"/>
    <x v="188"/>
    <s v="ME"/>
    <x v="14"/>
    <x v="104"/>
    <n v="99"/>
    <n v="0"/>
    <n v="0"/>
  </r>
  <r>
    <x v="16"/>
    <x v="189"/>
    <s v="ME"/>
    <x v="14"/>
    <x v="173"/>
    <n v="66"/>
    <n v="0"/>
    <n v="0"/>
  </r>
  <r>
    <x v="16"/>
    <x v="190"/>
    <s v="ME"/>
    <x v="14"/>
    <x v="174"/>
    <n v="13"/>
    <n v="0"/>
    <n v="0"/>
  </r>
  <r>
    <x v="16"/>
    <x v="191"/>
    <s v="ME"/>
    <x v="14"/>
    <x v="175"/>
    <n v="46"/>
    <n v="0"/>
    <n v="0"/>
  </r>
  <r>
    <x v="16"/>
    <x v="192"/>
    <s v="ME"/>
    <x v="14"/>
    <x v="176"/>
    <n v="62"/>
    <n v="0"/>
    <n v="0"/>
  </r>
  <r>
    <x v="16"/>
    <x v="193"/>
    <s v="ME"/>
    <x v="14"/>
    <x v="177"/>
    <n v="55"/>
    <n v="0"/>
    <n v="0"/>
  </r>
  <r>
    <x v="16"/>
    <x v="194"/>
    <s v="ME"/>
    <x v="14"/>
    <x v="178"/>
    <n v="39"/>
    <n v="0"/>
    <n v="0"/>
  </r>
  <r>
    <x v="16"/>
    <x v="195"/>
    <s v="ME"/>
    <x v="14"/>
    <x v="73"/>
    <n v="159"/>
    <n v="0"/>
    <n v="0"/>
  </r>
  <r>
    <x v="16"/>
    <x v="196"/>
    <s v="ME"/>
    <x v="14"/>
    <x v="74"/>
    <n v="215"/>
    <n v="0"/>
    <n v="0"/>
  </r>
  <r>
    <x v="16"/>
    <x v="197"/>
    <s v="ME"/>
    <x v="14"/>
    <x v="179"/>
    <n v="87"/>
    <n v="0"/>
    <n v="0"/>
  </r>
  <r>
    <x v="16"/>
    <x v="198"/>
    <s v="ME"/>
    <x v="14"/>
    <x v="180"/>
    <n v="39"/>
    <n v="0"/>
    <n v="0"/>
  </r>
  <r>
    <x v="16"/>
    <x v="199"/>
    <s v="MI"/>
    <x v="15"/>
    <x v="181"/>
    <n v="292"/>
    <n v="0"/>
    <n v="0"/>
  </r>
  <r>
    <x v="16"/>
    <x v="200"/>
    <s v="MI"/>
    <x v="15"/>
    <x v="163"/>
    <n v="46"/>
    <n v="0"/>
    <n v="0"/>
  </r>
  <r>
    <x v="16"/>
    <x v="201"/>
    <s v="MI"/>
    <x v="15"/>
    <x v="182"/>
    <n v="1145"/>
    <n v="0"/>
    <n v="0"/>
  </r>
  <r>
    <x v="16"/>
    <x v="202"/>
    <s v="MI"/>
    <x v="15"/>
    <x v="183"/>
    <n v="199"/>
    <n v="0"/>
    <n v="0"/>
  </r>
  <r>
    <x v="16"/>
    <x v="203"/>
    <s v="MI"/>
    <x v="15"/>
    <x v="184"/>
    <n v="40"/>
    <n v="0"/>
    <n v="0"/>
  </r>
  <r>
    <x v="16"/>
    <x v="204"/>
    <s v="MI"/>
    <x v="15"/>
    <x v="185"/>
    <n v="55"/>
    <n v="0"/>
    <n v="0"/>
  </r>
  <r>
    <x v="16"/>
    <x v="205"/>
    <s v="MI"/>
    <x v="15"/>
    <x v="186"/>
    <n v="637"/>
    <n v="0"/>
    <n v="0"/>
  </r>
  <r>
    <x v="16"/>
    <x v="206"/>
    <s v="MI"/>
    <x v="15"/>
    <x v="187"/>
    <n v="209"/>
    <n v="0"/>
    <n v="0"/>
  </r>
  <r>
    <x v="16"/>
    <x v="207"/>
    <s v="MI"/>
    <x v="15"/>
    <x v="188"/>
    <n v="118"/>
    <n v="0"/>
    <n v="0"/>
  </r>
  <r>
    <x v="16"/>
    <x v="208"/>
    <s v="MI"/>
    <x v="15"/>
    <x v="189"/>
    <n v="1059"/>
    <n v="0"/>
    <n v="0"/>
  </r>
  <r>
    <x v="16"/>
    <x v="209"/>
    <s v="MI"/>
    <x v="15"/>
    <x v="38"/>
    <n v="313"/>
    <n v="0"/>
    <n v="0"/>
  </r>
  <r>
    <x v="16"/>
    <x v="210"/>
    <s v="MI"/>
    <x v="15"/>
    <x v="190"/>
    <n v="706"/>
    <n v="0"/>
    <n v="0"/>
  </r>
  <r>
    <x v="16"/>
    <x v="211"/>
    <s v="MI"/>
    <x v="15"/>
    <x v="191"/>
    <n v="184"/>
    <n v="0"/>
    <n v="0"/>
  </r>
  <r>
    <x v="16"/>
    <x v="212"/>
    <s v="MI"/>
    <x v="15"/>
    <x v="55"/>
    <n v="130"/>
    <n v="0"/>
    <n v="0"/>
  </r>
  <r>
    <x v="16"/>
    <x v="213"/>
    <s v="MI"/>
    <x v="15"/>
    <x v="192"/>
    <n v="134"/>
    <n v="0"/>
    <n v="0"/>
  </r>
  <r>
    <x v="16"/>
    <x v="214"/>
    <s v="MI"/>
    <x v="15"/>
    <x v="193"/>
    <n v="79"/>
    <n v="0"/>
    <n v="0"/>
  </r>
  <r>
    <x v="16"/>
    <x v="215"/>
    <s v="MI"/>
    <x v="15"/>
    <x v="194"/>
    <n v="453"/>
    <n v="0"/>
    <n v="0"/>
  </r>
  <r>
    <x v="16"/>
    <x v="216"/>
    <s v="MI"/>
    <x v="15"/>
    <x v="49"/>
    <n v="106"/>
    <n v="0"/>
    <n v="0"/>
  </r>
  <r>
    <x v="16"/>
    <x v="217"/>
    <s v="MI"/>
    <x v="15"/>
    <x v="73"/>
    <n v="2596"/>
    <n v="0"/>
    <n v="0"/>
  </r>
  <r>
    <x v="16"/>
    <x v="218"/>
    <s v="MI"/>
    <x v="15"/>
    <x v="75"/>
    <n v="234"/>
    <n v="0"/>
    <n v="0"/>
  </r>
  <r>
    <x v="16"/>
    <x v="219"/>
    <s v="MI"/>
    <x v="15"/>
    <x v="76"/>
    <n v="584"/>
    <n v="0"/>
    <n v="0"/>
  </r>
  <r>
    <x v="16"/>
    <x v="220"/>
    <s v="MO"/>
    <x v="16"/>
    <x v="122"/>
    <n v="39"/>
    <n v="0"/>
    <n v="0"/>
  </r>
  <r>
    <x v="16"/>
    <x v="221"/>
    <s v="MO"/>
    <x v="16"/>
    <x v="195"/>
    <n v="15"/>
    <n v="0"/>
    <n v="0"/>
  </r>
  <r>
    <x v="16"/>
    <x v="222"/>
    <s v="MO"/>
    <x v="16"/>
    <x v="59"/>
    <n v="77"/>
    <n v="0"/>
    <n v="0"/>
  </r>
  <r>
    <x v="16"/>
    <x v="223"/>
    <s v="MO"/>
    <x v="16"/>
    <x v="196"/>
    <n v="86"/>
    <n v="0"/>
    <n v="0"/>
  </r>
  <r>
    <x v="16"/>
    <x v="224"/>
    <s v="MO"/>
    <x v="16"/>
    <x v="89"/>
    <n v="51"/>
    <n v="0"/>
    <n v="0"/>
  </r>
  <r>
    <x v="16"/>
    <x v="225"/>
    <s v="MO"/>
    <x v="16"/>
    <x v="83"/>
    <n v="94"/>
    <n v="0"/>
    <n v="0"/>
  </r>
  <r>
    <x v="16"/>
    <x v="226"/>
    <s v="MO"/>
    <x v="16"/>
    <x v="66"/>
    <n v="74"/>
    <n v="0"/>
    <n v="0"/>
  </r>
  <r>
    <x v="16"/>
    <x v="227"/>
    <s v="MO"/>
    <x v="16"/>
    <x v="197"/>
    <n v="1879"/>
    <n v="0"/>
    <n v="0"/>
  </r>
  <r>
    <x v="16"/>
    <x v="228"/>
    <s v="MO"/>
    <x v="16"/>
    <x v="94"/>
    <n v="75"/>
    <n v="0"/>
    <n v="0"/>
  </r>
  <r>
    <x v="16"/>
    <x v="229"/>
    <s v="MO"/>
    <x v="16"/>
    <x v="198"/>
    <n v="43"/>
    <n v="0"/>
    <n v="0"/>
  </r>
  <r>
    <x v="16"/>
    <x v="230"/>
    <s v="MO"/>
    <x v="16"/>
    <x v="199"/>
    <n v="10"/>
    <n v="0"/>
    <n v="0"/>
  </r>
  <r>
    <x v="16"/>
    <x v="231"/>
    <s v="MO"/>
    <x v="16"/>
    <x v="200"/>
    <n v="57"/>
    <n v="0"/>
    <n v="0"/>
  </r>
  <r>
    <x v="16"/>
    <x v="232"/>
    <s v="MO"/>
    <x v="16"/>
    <x v="201"/>
    <n v="8"/>
    <n v="0"/>
    <n v="0"/>
  </r>
  <r>
    <x v="16"/>
    <x v="233"/>
    <s v="NU"/>
    <x v="17"/>
    <x v="202"/>
    <n v="43"/>
    <n v="0"/>
    <n v="0"/>
  </r>
  <r>
    <x v="16"/>
    <x v="234"/>
    <s v="NU"/>
    <x v="17"/>
    <x v="80"/>
    <n v="63"/>
    <n v="0"/>
    <n v="0"/>
  </r>
  <r>
    <x v="16"/>
    <x v="235"/>
    <s v="NU"/>
    <x v="17"/>
    <x v="203"/>
    <n v="82"/>
    <n v="0"/>
    <n v="0"/>
  </r>
  <r>
    <x v="16"/>
    <x v="236"/>
    <s v="NU"/>
    <x v="17"/>
    <x v="204"/>
    <n v="59"/>
    <n v="0"/>
    <n v="0"/>
  </r>
  <r>
    <x v="16"/>
    <x v="237"/>
    <s v="NU"/>
    <x v="17"/>
    <x v="205"/>
    <n v="65"/>
    <n v="0"/>
    <n v="0"/>
  </r>
  <r>
    <x v="16"/>
    <x v="238"/>
    <s v="NU"/>
    <x v="17"/>
    <x v="206"/>
    <n v="85"/>
    <n v="0"/>
    <n v="0"/>
  </r>
  <r>
    <x v="16"/>
    <x v="239"/>
    <s v="NU"/>
    <x v="17"/>
    <x v="207"/>
    <n v="149"/>
    <n v="0"/>
    <n v="0"/>
  </r>
  <r>
    <x v="16"/>
    <x v="240"/>
    <s v="NU"/>
    <x v="17"/>
    <x v="208"/>
    <n v="929"/>
    <n v="0"/>
    <n v="0"/>
  </r>
  <r>
    <x v="16"/>
    <x v="241"/>
    <s v="NU"/>
    <x v="17"/>
    <x v="209"/>
    <n v="11"/>
    <n v="0"/>
    <n v="0"/>
  </r>
  <r>
    <x v="16"/>
    <x v="242"/>
    <s v="NU"/>
    <x v="17"/>
    <x v="210"/>
    <n v="73"/>
    <n v="0"/>
    <n v="0"/>
  </r>
  <r>
    <x v="16"/>
    <x v="243"/>
    <s v="NU"/>
    <x v="17"/>
    <x v="211"/>
    <n v="16"/>
    <n v="0"/>
    <n v="0"/>
  </r>
  <r>
    <x v="16"/>
    <x v="244"/>
    <s v="PO"/>
    <x v="18"/>
    <x v="212"/>
    <n v="60"/>
    <n v="0"/>
    <n v="0"/>
  </r>
  <r>
    <x v="16"/>
    <x v="245"/>
    <s v="PO"/>
    <x v="18"/>
    <x v="213"/>
    <n v="1020"/>
    <n v="0"/>
    <n v="0"/>
  </r>
  <r>
    <x v="16"/>
    <x v="246"/>
    <s v="PO"/>
    <x v="18"/>
    <x v="214"/>
    <n v="116"/>
    <n v="0"/>
    <n v="0"/>
  </r>
  <r>
    <x v="16"/>
    <x v="247"/>
    <s v="PO"/>
    <x v="18"/>
    <x v="215"/>
    <n v="519"/>
    <n v="0"/>
    <n v="0"/>
  </r>
  <r>
    <x v="16"/>
    <x v="248"/>
    <s v="PO"/>
    <x v="18"/>
    <x v="216"/>
    <n v="61"/>
    <n v="0"/>
    <n v="0"/>
  </r>
  <r>
    <x v="16"/>
    <x v="249"/>
    <s v="PO"/>
    <x v="18"/>
    <x v="217"/>
    <n v="83"/>
    <n v="0"/>
    <n v="0"/>
  </r>
  <r>
    <x v="16"/>
    <x v="250"/>
    <s v="PO"/>
    <x v="18"/>
    <x v="218"/>
    <n v="87"/>
    <n v="0"/>
    <n v="0"/>
  </r>
  <r>
    <x v="16"/>
    <x v="251"/>
    <s v="PO"/>
    <x v="18"/>
    <x v="55"/>
    <n v="378"/>
    <n v="0"/>
    <n v="0"/>
  </r>
  <r>
    <x v="16"/>
    <x v="252"/>
    <s v="PO"/>
    <x v="18"/>
    <x v="219"/>
    <n v="18"/>
    <n v="0"/>
    <n v="0"/>
  </r>
  <r>
    <x v="16"/>
    <x v="253"/>
    <s v="PO"/>
    <x v="18"/>
    <x v="220"/>
    <n v="54"/>
    <n v="0"/>
    <n v="0"/>
  </r>
  <r>
    <x v="16"/>
    <x v="254"/>
    <s v="PO"/>
    <x v="18"/>
    <x v="221"/>
    <n v="32"/>
    <n v="0"/>
    <n v="0"/>
  </r>
  <r>
    <x v="16"/>
    <x v="255"/>
    <s v="PO"/>
    <x v="18"/>
    <x v="222"/>
    <n v="34"/>
    <n v="0"/>
    <n v="0"/>
  </r>
  <r>
    <x v="16"/>
    <x v="256"/>
    <s v="PO"/>
    <x v="18"/>
    <x v="73"/>
    <n v="109"/>
    <n v="0"/>
    <n v="0"/>
  </r>
  <r>
    <x v="16"/>
    <x v="257"/>
    <s v="PO"/>
    <x v="18"/>
    <x v="223"/>
    <n v="143"/>
    <n v="0"/>
    <n v="0"/>
  </r>
  <r>
    <x v="16"/>
    <x v="258"/>
    <s v="SU"/>
    <x v="19"/>
    <x v="154"/>
    <n v="101"/>
    <n v="0"/>
    <n v="0"/>
  </r>
  <r>
    <x v="16"/>
    <x v="259"/>
    <s v="SU"/>
    <x v="19"/>
    <x v="224"/>
    <n v="55"/>
    <n v="0"/>
    <n v="0"/>
  </r>
  <r>
    <x v="16"/>
    <x v="260"/>
    <s v="SU"/>
    <x v="19"/>
    <x v="80"/>
    <n v="145"/>
    <n v="0"/>
    <n v="0"/>
  </r>
  <r>
    <x v="16"/>
    <x v="261"/>
    <s v="SU"/>
    <x v="19"/>
    <x v="225"/>
    <n v="78"/>
    <n v="0"/>
    <n v="0"/>
  </r>
  <r>
    <x v="16"/>
    <x v="262"/>
    <s v="SU"/>
    <x v="19"/>
    <x v="226"/>
    <n v="681"/>
    <n v="0"/>
    <n v="0"/>
  </r>
  <r>
    <x v="16"/>
    <x v="263"/>
    <s v="SU"/>
    <x v="19"/>
    <x v="59"/>
    <n v="13"/>
    <n v="0"/>
    <n v="0"/>
  </r>
  <r>
    <x v="16"/>
    <x v="264"/>
    <s v="SU"/>
    <x v="19"/>
    <x v="227"/>
    <n v="47"/>
    <n v="0"/>
    <n v="0"/>
  </r>
  <r>
    <x v="16"/>
    <x v="265"/>
    <s v="SU"/>
    <x v="19"/>
    <x v="228"/>
    <n v="92"/>
    <n v="0"/>
    <n v="0"/>
  </r>
  <r>
    <x v="16"/>
    <x v="266"/>
    <s v="SU"/>
    <x v="19"/>
    <x v="66"/>
    <n v="22"/>
    <n v="0"/>
    <n v="0"/>
  </r>
  <r>
    <x v="16"/>
    <x v="267"/>
    <s v="SU"/>
    <x v="19"/>
    <x v="208"/>
    <n v="86"/>
    <n v="0"/>
    <n v="0"/>
  </r>
  <r>
    <x v="16"/>
    <x v="268"/>
    <s v="SU"/>
    <x v="19"/>
    <x v="229"/>
    <n v="21"/>
    <n v="0"/>
    <n v="0"/>
  </r>
  <r>
    <x v="16"/>
    <x v="269"/>
    <s v="SU"/>
    <x v="19"/>
    <x v="230"/>
    <n v="126"/>
    <n v="0"/>
    <n v="0"/>
  </r>
  <r>
    <x v="16"/>
    <x v="270"/>
    <s v="SU"/>
    <x v="19"/>
    <x v="231"/>
    <n v="104"/>
    <n v="0"/>
    <n v="0"/>
  </r>
  <r>
    <x v="16"/>
    <x v="271"/>
    <s v="SU"/>
    <x v="19"/>
    <x v="73"/>
    <n v="1092"/>
    <n v="0"/>
    <n v="0"/>
  </r>
  <r>
    <x v="16"/>
    <x v="272"/>
    <s v="SU"/>
    <x v="19"/>
    <x v="232"/>
    <n v="97"/>
    <n v="0"/>
    <n v="0"/>
  </r>
  <r>
    <x v="16"/>
    <x v="273"/>
    <s v="TA"/>
    <x v="20"/>
    <x v="163"/>
    <n v="41"/>
    <n v="0"/>
    <n v="0"/>
  </r>
  <r>
    <x v="16"/>
    <x v="274"/>
    <s v="TA"/>
    <x v="20"/>
    <x v="233"/>
    <n v="17"/>
    <n v="0"/>
    <n v="0"/>
  </r>
  <r>
    <x v="16"/>
    <x v="275"/>
    <s v="TA"/>
    <x v="20"/>
    <x v="234"/>
    <n v="209"/>
    <n v="0"/>
    <n v="0"/>
  </r>
  <r>
    <x v="16"/>
    <x v="276"/>
    <s v="TA"/>
    <x v="20"/>
    <x v="59"/>
    <n v="175"/>
    <n v="0"/>
    <n v="0"/>
  </r>
  <r>
    <x v="16"/>
    <x v="277"/>
    <s v="TA"/>
    <x v="20"/>
    <x v="235"/>
    <n v="245"/>
    <n v="0"/>
    <n v="0"/>
  </r>
  <r>
    <x v="16"/>
    <x v="278"/>
    <s v="TA"/>
    <x v="20"/>
    <x v="236"/>
    <n v="70"/>
    <n v="0"/>
    <n v="0"/>
  </r>
  <r>
    <x v="16"/>
    <x v="279"/>
    <s v="TA"/>
    <x v="20"/>
    <x v="237"/>
    <n v="133"/>
    <n v="0"/>
    <n v="0"/>
  </r>
  <r>
    <x v="16"/>
    <x v="280"/>
    <s v="TA"/>
    <x v="20"/>
    <x v="35"/>
    <n v="22"/>
    <n v="0"/>
    <n v="0"/>
  </r>
  <r>
    <x v="16"/>
    <x v="281"/>
    <s v="TA"/>
    <x v="20"/>
    <x v="238"/>
    <n v="140"/>
    <n v="0"/>
    <n v="0"/>
  </r>
  <r>
    <x v="16"/>
    <x v="282"/>
    <s v="TA"/>
    <x v="20"/>
    <x v="239"/>
    <n v="50"/>
    <n v="0"/>
    <n v="0"/>
  </r>
  <r>
    <x v="16"/>
    <x v="283"/>
    <s v="TA"/>
    <x v="20"/>
    <x v="38"/>
    <n v="77"/>
    <n v="0"/>
    <n v="0"/>
  </r>
  <r>
    <x v="16"/>
    <x v="284"/>
    <s v="TA"/>
    <x v="20"/>
    <x v="240"/>
    <n v="189"/>
    <n v="0"/>
    <n v="0"/>
  </r>
  <r>
    <x v="16"/>
    <x v="285"/>
    <s v="TA"/>
    <x v="20"/>
    <x v="241"/>
    <n v="35"/>
    <n v="0"/>
    <n v="0"/>
  </r>
  <r>
    <x v="16"/>
    <x v="286"/>
    <s v="TA"/>
    <x v="20"/>
    <x v="242"/>
    <n v="297"/>
    <n v="0"/>
    <n v="0"/>
  </r>
  <r>
    <x v="16"/>
    <x v="287"/>
    <s v="TA"/>
    <x v="20"/>
    <x v="42"/>
    <n v="55"/>
    <n v="0"/>
    <n v="0"/>
  </r>
  <r>
    <x v="16"/>
    <x v="288"/>
    <s v="TA"/>
    <x v="20"/>
    <x v="66"/>
    <n v="65"/>
    <n v="0"/>
    <n v="0"/>
  </r>
  <r>
    <x v="16"/>
    <x v="289"/>
    <s v="TA"/>
    <x v="20"/>
    <x v="243"/>
    <n v="33"/>
    <n v="0"/>
    <n v="0"/>
  </r>
  <r>
    <x v="16"/>
    <x v="290"/>
    <s v="TA"/>
    <x v="20"/>
    <x v="244"/>
    <n v="55"/>
    <n v="0"/>
    <n v="0"/>
  </r>
  <r>
    <x v="16"/>
    <x v="291"/>
    <s v="TA"/>
    <x v="20"/>
    <x v="245"/>
    <n v="125"/>
    <n v="0"/>
    <n v="0"/>
  </r>
  <r>
    <x v="16"/>
    <x v="292"/>
    <s v="TA"/>
    <x v="20"/>
    <x v="246"/>
    <n v="97"/>
    <n v="0"/>
    <n v="0"/>
  </r>
  <r>
    <x v="16"/>
    <x v="293"/>
    <s v="TA"/>
    <x v="20"/>
    <x v="247"/>
    <n v="20"/>
    <n v="0"/>
    <n v="0"/>
  </r>
  <r>
    <x v="16"/>
    <x v="294"/>
    <s v="TA"/>
    <x v="20"/>
    <x v="248"/>
    <n v="63"/>
    <n v="0"/>
    <n v="0"/>
  </r>
  <r>
    <x v="16"/>
    <x v="295"/>
    <s v="TA"/>
    <x v="20"/>
    <x v="249"/>
    <n v="2487"/>
    <n v="0"/>
    <n v="0"/>
  </r>
  <r>
    <x v="16"/>
    <x v="296"/>
    <s v="TA"/>
    <x v="20"/>
    <x v="250"/>
    <n v="34"/>
    <n v="0"/>
    <n v="0"/>
  </r>
  <r>
    <x v="16"/>
    <x v="297"/>
    <s v="TA"/>
    <x v="20"/>
    <x v="251"/>
    <n v="32"/>
    <n v="0"/>
    <n v="0"/>
  </r>
  <r>
    <x v="16"/>
    <x v="298"/>
    <s v="TA"/>
    <x v="20"/>
    <x v="50"/>
    <n v="16"/>
    <n v="0"/>
    <n v="0"/>
  </r>
  <r>
    <x v="16"/>
    <x v="299"/>
    <s v="TA"/>
    <x v="20"/>
    <x v="73"/>
    <n v="41"/>
    <n v="0"/>
    <n v="0"/>
  </r>
  <r>
    <x v="16"/>
    <x v="300"/>
    <s v="TA"/>
    <x v="20"/>
    <x v="252"/>
    <n v="62"/>
    <n v="0"/>
    <n v="0"/>
  </r>
  <r>
    <x v="16"/>
    <x v="301"/>
    <s v="TA"/>
    <x v="20"/>
    <x v="253"/>
    <n v="95"/>
    <n v="0"/>
    <n v="0"/>
  </r>
  <r>
    <x v="16"/>
    <x v="302"/>
    <s v="TR"/>
    <x v="21"/>
    <x v="163"/>
    <n v="64"/>
    <n v="0"/>
    <n v="0"/>
  </r>
  <r>
    <x v="16"/>
    <x v="303"/>
    <s v="TR"/>
    <x v="21"/>
    <x v="254"/>
    <n v="554"/>
    <n v="0"/>
    <n v="0"/>
  </r>
  <r>
    <x v="16"/>
    <x v="304"/>
    <s v="TR"/>
    <x v="21"/>
    <x v="59"/>
    <n v="20"/>
    <n v="0"/>
    <n v="0"/>
  </r>
  <r>
    <x v="16"/>
    <x v="305"/>
    <s v="TR"/>
    <x v="21"/>
    <x v="255"/>
    <n v="83"/>
    <n v="0"/>
    <n v="0"/>
  </r>
  <r>
    <x v="16"/>
    <x v="306"/>
    <s v="TR"/>
    <x v="21"/>
    <x v="256"/>
    <n v="148"/>
    <n v="0"/>
    <n v="0"/>
  </r>
  <r>
    <x v="16"/>
    <x v="307"/>
    <s v="TR"/>
    <x v="21"/>
    <x v="257"/>
    <n v="59"/>
    <n v="0"/>
    <n v="0"/>
  </r>
  <r>
    <x v="16"/>
    <x v="308"/>
    <s v="TR"/>
    <x v="21"/>
    <x v="258"/>
    <n v="4"/>
    <n v="0"/>
    <n v="0"/>
  </r>
  <r>
    <x v="16"/>
    <x v="309"/>
    <s v="TR"/>
    <x v="21"/>
    <x v="259"/>
    <n v="20"/>
    <n v="0"/>
    <n v="0"/>
  </r>
  <r>
    <x v="16"/>
    <x v="310"/>
    <s v="TR"/>
    <x v="21"/>
    <x v="260"/>
    <n v="29"/>
    <n v="0"/>
    <n v="0"/>
  </r>
  <r>
    <x v="16"/>
    <x v="311"/>
    <s v="TR"/>
    <x v="21"/>
    <x v="104"/>
    <n v="36"/>
    <n v="0"/>
    <n v="0"/>
  </r>
  <r>
    <x v="16"/>
    <x v="312"/>
    <s v="TR"/>
    <x v="21"/>
    <x v="261"/>
    <n v="52"/>
    <n v="0"/>
    <n v="0"/>
  </r>
  <r>
    <x v="16"/>
    <x v="313"/>
    <s v="TR"/>
    <x v="21"/>
    <x v="262"/>
    <n v="23"/>
    <n v="0"/>
    <n v="0"/>
  </r>
  <r>
    <x v="16"/>
    <x v="314"/>
    <s v="TR"/>
    <x v="21"/>
    <x v="263"/>
    <n v="111"/>
    <n v="0"/>
    <n v="0"/>
  </r>
  <r>
    <x v="16"/>
    <x v="315"/>
    <s v="TR"/>
    <x v="21"/>
    <x v="264"/>
    <n v="32"/>
    <n v="0"/>
    <n v="0"/>
  </r>
  <r>
    <x v="16"/>
    <x v="316"/>
    <s v="TR"/>
    <x v="21"/>
    <x v="265"/>
    <n v="61"/>
    <n v="0"/>
    <n v="0"/>
  </r>
  <r>
    <x v="16"/>
    <x v="317"/>
    <s v="TR"/>
    <x v="21"/>
    <x v="266"/>
    <n v="102"/>
    <n v="0"/>
    <n v="0"/>
  </r>
  <r>
    <x v="16"/>
    <x v="318"/>
    <s v="TR"/>
    <x v="21"/>
    <x v="73"/>
    <n v="116"/>
    <n v="0"/>
    <n v="0"/>
  </r>
  <r>
    <x v="16"/>
    <x v="319"/>
    <s v="TR"/>
    <x v="21"/>
    <x v="267"/>
    <n v="423"/>
    <n v="0"/>
    <n v="0"/>
  </r>
  <r>
    <x v="16"/>
    <x v="320"/>
    <s v="TR"/>
    <x v="21"/>
    <x v="75"/>
    <n v="141"/>
    <n v="0"/>
    <n v="0"/>
  </r>
  <r>
    <x v="16"/>
    <x v="321"/>
    <s v="TR"/>
    <x v="21"/>
    <x v="268"/>
    <n v="1274"/>
    <n v="0"/>
    <n v="0"/>
  </r>
  <r>
    <x v="16"/>
    <x v="322"/>
    <s v="VA"/>
    <x v="0"/>
    <x v="269"/>
    <n v="0"/>
    <n v="0"/>
    <n v="0"/>
  </r>
  <r>
    <x v="16"/>
    <x v="323"/>
    <s v="VA"/>
    <x v="0"/>
    <x v="270"/>
    <n v="0"/>
    <n v="0"/>
    <n v="0"/>
  </r>
  <r>
    <x v="16"/>
    <x v="324"/>
    <s v="VA"/>
    <x v="0"/>
    <x v="271"/>
    <n v="0"/>
    <n v="0"/>
    <n v="0"/>
  </r>
  <r>
    <x v="16"/>
    <x v="325"/>
    <s v="VA"/>
    <x v="0"/>
    <x v="272"/>
    <n v="0"/>
    <n v="0"/>
    <n v="0"/>
  </r>
  <r>
    <x v="16"/>
    <x v="326"/>
    <s v="VA"/>
    <x v="0"/>
    <x v="273"/>
    <n v="0"/>
    <n v="0"/>
    <n v="0"/>
  </r>
  <r>
    <x v="16"/>
    <x v="327"/>
    <s v="VA"/>
    <x v="0"/>
    <x v="274"/>
    <n v="0"/>
    <n v="0"/>
    <n v="0"/>
  </r>
  <r>
    <x v="16"/>
    <x v="328"/>
    <s v="VA"/>
    <x v="0"/>
    <x v="275"/>
    <n v="0"/>
    <n v="0"/>
    <n v="0"/>
  </r>
  <r>
    <x v="16"/>
    <x v="329"/>
    <s v="VA"/>
    <x v="0"/>
    <x v="276"/>
    <n v="0"/>
    <n v="0"/>
    <n v="0"/>
  </r>
  <r>
    <x v="16"/>
    <x v="330"/>
    <s v="VA"/>
    <x v="0"/>
    <x v="277"/>
    <n v="0"/>
    <n v="0"/>
    <n v="0"/>
  </r>
  <r>
    <x v="16"/>
    <x v="331"/>
    <s v="VA"/>
    <x v="0"/>
    <x v="278"/>
    <n v="0"/>
    <n v="0"/>
    <n v="0"/>
  </r>
  <r>
    <x v="16"/>
    <x v="332"/>
    <s v="VA"/>
    <x v="0"/>
    <x v="279"/>
    <n v="0"/>
    <n v="0"/>
    <n v="0"/>
  </r>
  <r>
    <x v="16"/>
    <x v="333"/>
    <s v="YA"/>
    <x v="22"/>
    <x v="280"/>
    <n v="21"/>
    <n v="0"/>
    <n v="0"/>
  </r>
  <r>
    <x v="16"/>
    <x v="334"/>
    <s v="YA"/>
    <x v="22"/>
    <x v="59"/>
    <n v="89"/>
    <n v="0"/>
    <n v="0"/>
  </r>
  <r>
    <x v="16"/>
    <x v="335"/>
    <s v="YA"/>
    <x v="22"/>
    <x v="281"/>
    <n v="188"/>
    <n v="0"/>
    <n v="0"/>
  </r>
  <r>
    <x v="16"/>
    <x v="336"/>
    <s v="YA"/>
    <x v="22"/>
    <x v="282"/>
    <n v="53"/>
    <n v="0"/>
    <n v="0"/>
  </r>
  <r>
    <x v="16"/>
    <x v="337"/>
    <s v="YA"/>
    <x v="22"/>
    <x v="38"/>
    <n v="69"/>
    <n v="0"/>
    <n v="0"/>
  </r>
  <r>
    <x v="16"/>
    <x v="338"/>
    <s v="YA"/>
    <x v="22"/>
    <x v="283"/>
    <n v="27"/>
    <n v="0"/>
    <n v="0"/>
  </r>
  <r>
    <x v="16"/>
    <x v="339"/>
    <s v="YA"/>
    <x v="22"/>
    <x v="284"/>
    <n v="18"/>
    <n v="0"/>
    <n v="0"/>
  </r>
  <r>
    <x v="16"/>
    <x v="340"/>
    <s v="YA"/>
    <x v="22"/>
    <x v="285"/>
    <n v="16"/>
    <n v="0"/>
    <n v="0"/>
  </r>
  <r>
    <x v="16"/>
    <x v="341"/>
    <s v="YA"/>
    <x v="22"/>
    <x v="286"/>
    <n v="177"/>
    <n v="0"/>
    <n v="0"/>
  </r>
  <r>
    <x v="16"/>
    <x v="342"/>
    <s v="YA"/>
    <x v="22"/>
    <x v="287"/>
    <n v="221"/>
    <n v="0"/>
    <n v="0"/>
  </r>
  <r>
    <x v="16"/>
    <x v="343"/>
    <s v="YA"/>
    <x v="22"/>
    <x v="288"/>
    <n v="1060"/>
    <n v="0"/>
    <n v="0"/>
  </r>
  <r>
    <x v="16"/>
    <x v="344"/>
    <s v="YA"/>
    <x v="22"/>
    <x v="73"/>
    <n v="37"/>
    <n v="0"/>
    <n v="0"/>
  </r>
  <r>
    <x v="16"/>
    <x v="345"/>
    <s v="YA"/>
    <x v="22"/>
    <x v="289"/>
    <n v="52"/>
    <n v="0"/>
    <n v="0"/>
  </r>
  <r>
    <x v="16"/>
    <x v="346"/>
    <s v="YA"/>
    <x v="22"/>
    <x v="290"/>
    <n v="46"/>
    <n v="0"/>
    <n v="0"/>
  </r>
  <r>
    <x v="16"/>
    <x v="347"/>
    <s v="ZU"/>
    <x v="23"/>
    <x v="291"/>
    <n v="31"/>
    <n v="0"/>
    <n v="0"/>
  </r>
  <r>
    <x v="16"/>
    <x v="348"/>
    <s v="ZU"/>
    <x v="23"/>
    <x v="292"/>
    <n v="253"/>
    <n v="0"/>
    <n v="0"/>
  </r>
  <r>
    <x v="16"/>
    <x v="349"/>
    <s v="ZU"/>
    <x v="23"/>
    <x v="293"/>
    <n v="1015"/>
    <n v="0"/>
    <n v="0"/>
  </r>
  <r>
    <x v="16"/>
    <x v="350"/>
    <s v="ZU"/>
    <x v="23"/>
    <x v="294"/>
    <n v="69"/>
    <n v="0"/>
    <n v="0"/>
  </r>
  <r>
    <x v="16"/>
    <x v="351"/>
    <s v="ZU"/>
    <x v="23"/>
    <x v="295"/>
    <n v="406"/>
    <n v="0"/>
    <n v="0"/>
  </r>
  <r>
    <x v="16"/>
    <x v="352"/>
    <s v="ZU"/>
    <x v="23"/>
    <x v="296"/>
    <n v="65"/>
    <n v="0"/>
    <n v="0"/>
  </r>
  <r>
    <x v="16"/>
    <x v="353"/>
    <s v="ZU"/>
    <x v="23"/>
    <x v="297"/>
    <n v="284"/>
    <n v="0"/>
    <n v="0"/>
  </r>
  <r>
    <x v="16"/>
    <x v="354"/>
    <s v="ZU"/>
    <x v="23"/>
    <x v="298"/>
    <n v="61"/>
    <n v="0"/>
    <n v="0"/>
  </r>
  <r>
    <x v="16"/>
    <x v="355"/>
    <s v="ZU"/>
    <x v="23"/>
    <x v="299"/>
    <n v="169"/>
    <n v="0"/>
    <n v="0"/>
  </r>
  <r>
    <x v="16"/>
    <x v="356"/>
    <s v="ZU"/>
    <x v="23"/>
    <x v="300"/>
    <n v="818"/>
    <n v="0"/>
    <n v="0"/>
  </r>
  <r>
    <x v="16"/>
    <x v="357"/>
    <s v="ZU"/>
    <x v="23"/>
    <x v="301"/>
    <n v="366"/>
    <n v="0"/>
    <n v="0"/>
  </r>
  <r>
    <x v="16"/>
    <x v="358"/>
    <s v="ZU"/>
    <x v="23"/>
    <x v="302"/>
    <n v="643"/>
    <n v="0"/>
    <n v="0"/>
  </r>
  <r>
    <x v="16"/>
    <x v="359"/>
    <s v="ZU"/>
    <x v="23"/>
    <x v="303"/>
    <n v="7733"/>
    <n v="0"/>
    <n v="0"/>
  </r>
  <r>
    <x v="16"/>
    <x v="360"/>
    <s v="ZU"/>
    <x v="23"/>
    <x v="104"/>
    <n v="226"/>
    <n v="0"/>
    <n v="0"/>
  </r>
  <r>
    <x v="16"/>
    <x v="361"/>
    <s v="ZU"/>
    <x v="23"/>
    <x v="55"/>
    <n v="127"/>
    <n v="0"/>
    <n v="0"/>
  </r>
  <r>
    <x v="16"/>
    <x v="362"/>
    <s v="ZU"/>
    <x v="23"/>
    <x v="304"/>
    <n v="246"/>
    <n v="0"/>
    <n v="0"/>
  </r>
  <r>
    <x v="16"/>
    <x v="363"/>
    <s v="ZU"/>
    <x v="23"/>
    <x v="136"/>
    <n v="932"/>
    <n v="0"/>
    <n v="0"/>
  </r>
  <r>
    <x v="16"/>
    <x v="364"/>
    <s v="ZU"/>
    <x v="23"/>
    <x v="305"/>
    <n v="114"/>
    <n v="0"/>
    <n v="0"/>
  </r>
  <r>
    <x v="16"/>
    <x v="365"/>
    <s v="ZU"/>
    <x v="23"/>
    <x v="49"/>
    <n v="60"/>
    <n v="0"/>
    <n v="0"/>
  </r>
  <r>
    <x v="16"/>
    <x v="366"/>
    <s v="ZU"/>
    <x v="23"/>
    <x v="73"/>
    <n v="224"/>
    <n v="0"/>
    <n v="0"/>
  </r>
  <r>
    <x v="16"/>
    <x v="367"/>
    <s v="ZU"/>
    <x v="23"/>
    <x v="306"/>
    <n v="105"/>
    <n v="0"/>
    <n v="0"/>
  </r>
  <r>
    <x v="16"/>
    <x v="368"/>
    <s v="DE"/>
    <x v="24"/>
    <x v="307"/>
    <n v="0"/>
    <n v="0"/>
    <n v="0"/>
  </r>
  <r>
    <x v="17"/>
    <x v="0"/>
    <s v="VA"/>
    <x v="0"/>
    <x v="0"/>
    <n v="0"/>
    <n v="0"/>
    <n v="0"/>
  </r>
  <r>
    <x v="17"/>
    <x v="369"/>
    <s v="DI"/>
    <x v="25"/>
    <x v="0"/>
    <n v="1418"/>
    <n v="0"/>
    <n v="0"/>
  </r>
  <r>
    <x v="17"/>
    <x v="1"/>
    <s v="DI"/>
    <x v="1"/>
    <x v="1"/>
    <n v="13246"/>
    <n v="0"/>
    <n v="0"/>
  </r>
  <r>
    <x v="17"/>
    <x v="2"/>
    <s v="DI"/>
    <x v="1"/>
    <x v="2"/>
    <n v="0"/>
    <n v="0"/>
    <n v="0"/>
  </r>
  <r>
    <x v="17"/>
    <x v="3"/>
    <s v="DI"/>
    <x v="1"/>
    <x v="3"/>
    <n v="0"/>
    <n v="0"/>
    <n v="0"/>
  </r>
  <r>
    <x v="17"/>
    <x v="4"/>
    <s v="DI"/>
    <x v="1"/>
    <x v="4"/>
    <n v="0"/>
    <n v="0"/>
    <n v="0"/>
  </r>
  <r>
    <x v="17"/>
    <x v="5"/>
    <s v="DI"/>
    <x v="1"/>
    <x v="5"/>
    <n v="0"/>
    <n v="0"/>
    <n v="0"/>
  </r>
  <r>
    <x v="17"/>
    <x v="6"/>
    <s v="DI"/>
    <x v="1"/>
    <x v="6"/>
    <n v="0"/>
    <n v="0"/>
    <n v="0"/>
  </r>
  <r>
    <x v="17"/>
    <x v="7"/>
    <s v="DI"/>
    <x v="1"/>
    <x v="7"/>
    <n v="0"/>
    <n v="0"/>
    <n v="0"/>
  </r>
  <r>
    <x v="17"/>
    <x v="8"/>
    <s v="DI"/>
    <x v="1"/>
    <x v="8"/>
    <n v="0"/>
    <n v="0"/>
    <n v="0"/>
  </r>
  <r>
    <x v="17"/>
    <x v="9"/>
    <s v="DI"/>
    <x v="1"/>
    <x v="9"/>
    <n v="0"/>
    <n v="0"/>
    <n v="0"/>
  </r>
  <r>
    <x v="17"/>
    <x v="10"/>
    <s v="DI"/>
    <x v="1"/>
    <x v="10"/>
    <n v="0"/>
    <n v="0"/>
    <n v="0"/>
  </r>
  <r>
    <x v="17"/>
    <x v="11"/>
    <s v="DI"/>
    <x v="1"/>
    <x v="11"/>
    <n v="0"/>
    <n v="0"/>
    <n v="0"/>
  </r>
  <r>
    <x v="17"/>
    <x v="12"/>
    <s v="DI"/>
    <x v="1"/>
    <x v="12"/>
    <n v="0"/>
    <n v="0"/>
    <n v="0"/>
  </r>
  <r>
    <x v="17"/>
    <x v="13"/>
    <s v="DI"/>
    <x v="1"/>
    <x v="13"/>
    <n v="0"/>
    <n v="0"/>
    <n v="0"/>
  </r>
  <r>
    <x v="17"/>
    <x v="14"/>
    <s v="DI"/>
    <x v="1"/>
    <x v="14"/>
    <n v="0"/>
    <n v="0"/>
    <n v="0"/>
  </r>
  <r>
    <x v="17"/>
    <x v="15"/>
    <s v="DI"/>
    <x v="1"/>
    <x v="15"/>
    <n v="0"/>
    <n v="0"/>
    <n v="0"/>
  </r>
  <r>
    <x v="17"/>
    <x v="16"/>
    <s v="DI"/>
    <x v="1"/>
    <x v="16"/>
    <n v="0"/>
    <n v="0"/>
    <n v="0"/>
  </r>
  <r>
    <x v="17"/>
    <x v="17"/>
    <s v="DI"/>
    <x v="1"/>
    <x v="17"/>
    <n v="0"/>
    <n v="0"/>
    <n v="0"/>
  </r>
  <r>
    <x v="17"/>
    <x v="18"/>
    <s v="DI"/>
    <x v="1"/>
    <x v="18"/>
    <n v="0"/>
    <n v="0"/>
    <n v="0"/>
  </r>
  <r>
    <x v="17"/>
    <x v="19"/>
    <s v="DI"/>
    <x v="1"/>
    <x v="19"/>
    <n v="0"/>
    <n v="0"/>
    <n v="0"/>
  </r>
  <r>
    <x v="17"/>
    <x v="20"/>
    <s v="DI"/>
    <x v="1"/>
    <x v="20"/>
    <n v="0"/>
    <n v="0"/>
    <n v="0"/>
  </r>
  <r>
    <x v="17"/>
    <x v="21"/>
    <s v="DI"/>
    <x v="1"/>
    <x v="21"/>
    <n v="0"/>
    <n v="0"/>
    <n v="0"/>
  </r>
  <r>
    <x v="17"/>
    <x v="22"/>
    <s v="DI"/>
    <x v="1"/>
    <x v="22"/>
    <n v="0"/>
    <n v="0"/>
    <n v="0"/>
  </r>
  <r>
    <x v="17"/>
    <x v="23"/>
    <s v="DI"/>
    <x v="1"/>
    <x v="23"/>
    <n v="0"/>
    <n v="0"/>
    <n v="0"/>
  </r>
  <r>
    <x v="17"/>
    <x v="24"/>
    <s v="AM"/>
    <x v="2"/>
    <x v="24"/>
    <n v="39"/>
    <n v="0"/>
    <n v="0"/>
  </r>
  <r>
    <x v="17"/>
    <x v="25"/>
    <s v="AM"/>
    <x v="2"/>
    <x v="25"/>
    <n v="6"/>
    <n v="0"/>
    <n v="0"/>
  </r>
  <r>
    <x v="17"/>
    <x v="26"/>
    <s v="AM"/>
    <x v="2"/>
    <x v="26"/>
    <n v="288"/>
    <n v="0"/>
    <n v="0"/>
  </r>
  <r>
    <x v="17"/>
    <x v="27"/>
    <s v="AM"/>
    <x v="2"/>
    <x v="27"/>
    <n v="0"/>
    <n v="0"/>
    <n v="0"/>
  </r>
  <r>
    <x v="17"/>
    <x v="28"/>
    <s v="AM"/>
    <x v="2"/>
    <x v="28"/>
    <n v="2"/>
    <n v="0"/>
    <n v="0"/>
  </r>
  <r>
    <x v="17"/>
    <x v="29"/>
    <s v="AM"/>
    <x v="2"/>
    <x v="29"/>
    <n v="0"/>
    <n v="0"/>
    <n v="0"/>
  </r>
  <r>
    <x v="17"/>
    <x v="30"/>
    <s v="AM"/>
    <x v="2"/>
    <x v="30"/>
    <n v="14"/>
    <n v="0"/>
    <n v="0"/>
  </r>
  <r>
    <x v="17"/>
    <x v="31"/>
    <s v="AN"/>
    <x v="3"/>
    <x v="31"/>
    <n v="215"/>
    <n v="0"/>
    <n v="0"/>
  </r>
  <r>
    <x v="17"/>
    <x v="32"/>
    <s v="AN"/>
    <x v="3"/>
    <x v="32"/>
    <n v="79"/>
    <n v="0"/>
    <n v="0"/>
  </r>
  <r>
    <x v="17"/>
    <x v="33"/>
    <s v="AN"/>
    <x v="3"/>
    <x v="33"/>
    <n v="92"/>
    <n v="0"/>
    <n v="0"/>
  </r>
  <r>
    <x v="17"/>
    <x v="34"/>
    <s v="AN"/>
    <x v="3"/>
    <x v="34"/>
    <n v="30"/>
    <n v="0"/>
    <n v="0"/>
  </r>
  <r>
    <x v="17"/>
    <x v="35"/>
    <s v="AN"/>
    <x v="3"/>
    <x v="35"/>
    <n v="110"/>
    <n v="0"/>
    <n v="0"/>
  </r>
  <r>
    <x v="17"/>
    <x v="36"/>
    <s v="AN"/>
    <x v="3"/>
    <x v="36"/>
    <n v="34"/>
    <n v="0"/>
    <n v="0"/>
  </r>
  <r>
    <x v="17"/>
    <x v="37"/>
    <s v="AN"/>
    <x v="3"/>
    <x v="37"/>
    <n v="46"/>
    <n v="0"/>
    <n v="0"/>
  </r>
  <r>
    <x v="17"/>
    <x v="38"/>
    <s v="AN"/>
    <x v="3"/>
    <x v="38"/>
    <n v="76"/>
    <n v="0"/>
    <n v="0"/>
  </r>
  <r>
    <x v="17"/>
    <x v="39"/>
    <s v="AN"/>
    <x v="3"/>
    <x v="39"/>
    <n v="54"/>
    <n v="0"/>
    <n v="0"/>
  </r>
  <r>
    <x v="17"/>
    <x v="40"/>
    <s v="AN"/>
    <x v="3"/>
    <x v="40"/>
    <n v="431"/>
    <n v="0"/>
    <n v="0"/>
  </r>
  <r>
    <x v="17"/>
    <x v="41"/>
    <s v="AN"/>
    <x v="3"/>
    <x v="41"/>
    <n v="33"/>
    <n v="0"/>
    <n v="0"/>
  </r>
  <r>
    <x v="17"/>
    <x v="42"/>
    <s v="AN"/>
    <x v="3"/>
    <x v="42"/>
    <n v="31"/>
    <n v="0"/>
    <n v="0"/>
  </r>
  <r>
    <x v="17"/>
    <x v="43"/>
    <s v="AN"/>
    <x v="3"/>
    <x v="43"/>
    <n v="76"/>
    <n v="0"/>
    <n v="0"/>
  </r>
  <r>
    <x v="17"/>
    <x v="44"/>
    <s v="AN"/>
    <x v="3"/>
    <x v="44"/>
    <n v="240"/>
    <n v="0"/>
    <n v="0"/>
  </r>
  <r>
    <x v="17"/>
    <x v="45"/>
    <s v="AN"/>
    <x v="3"/>
    <x v="45"/>
    <n v="63"/>
    <n v="0"/>
    <n v="0"/>
  </r>
  <r>
    <x v="17"/>
    <x v="46"/>
    <s v="AN"/>
    <x v="3"/>
    <x v="46"/>
    <n v="100"/>
    <n v="0"/>
    <n v="0"/>
  </r>
  <r>
    <x v="17"/>
    <x v="47"/>
    <s v="AN"/>
    <x v="3"/>
    <x v="47"/>
    <n v="19"/>
    <n v="0"/>
    <n v="0"/>
  </r>
  <r>
    <x v="17"/>
    <x v="48"/>
    <s v="AN"/>
    <x v="3"/>
    <x v="48"/>
    <n v="22"/>
    <n v="0"/>
    <n v="0"/>
  </r>
  <r>
    <x v="17"/>
    <x v="49"/>
    <s v="AN"/>
    <x v="3"/>
    <x v="49"/>
    <n v="1124"/>
    <n v="0"/>
    <n v="0"/>
  </r>
  <r>
    <x v="17"/>
    <x v="50"/>
    <s v="AN"/>
    <x v="3"/>
    <x v="50"/>
    <n v="403"/>
    <n v="0"/>
    <n v="0"/>
  </r>
  <r>
    <x v="17"/>
    <x v="51"/>
    <s v="AN"/>
    <x v="3"/>
    <x v="51"/>
    <n v="21"/>
    <n v="0"/>
    <n v="0"/>
  </r>
  <r>
    <x v="17"/>
    <x v="52"/>
    <s v="AP"/>
    <x v="4"/>
    <x v="52"/>
    <n v="158"/>
    <n v="0"/>
    <n v="0"/>
  </r>
  <r>
    <x v="17"/>
    <x v="53"/>
    <s v="AP"/>
    <x v="4"/>
    <x v="53"/>
    <n v="69"/>
    <n v="0"/>
    <n v="0"/>
  </r>
  <r>
    <x v="17"/>
    <x v="54"/>
    <s v="AP"/>
    <x v="4"/>
    <x v="54"/>
    <n v="58"/>
    <n v="0"/>
    <n v="0"/>
  </r>
  <r>
    <x v="17"/>
    <x v="55"/>
    <s v="AP"/>
    <x v="4"/>
    <x v="55"/>
    <n v="283"/>
    <n v="0"/>
    <n v="0"/>
  </r>
  <r>
    <x v="17"/>
    <x v="56"/>
    <s v="AP"/>
    <x v="4"/>
    <x v="56"/>
    <n v="42"/>
    <n v="0"/>
    <n v="0"/>
  </r>
  <r>
    <x v="17"/>
    <x v="57"/>
    <s v="AP"/>
    <x v="4"/>
    <x v="57"/>
    <n v="38"/>
    <n v="0"/>
    <n v="0"/>
  </r>
  <r>
    <x v="17"/>
    <x v="58"/>
    <s v="AP"/>
    <x v="4"/>
    <x v="58"/>
    <n v="766"/>
    <n v="0"/>
    <n v="0"/>
  </r>
  <r>
    <x v="17"/>
    <x v="59"/>
    <s v="AR"/>
    <x v="5"/>
    <x v="59"/>
    <n v="125"/>
    <n v="0"/>
    <n v="0"/>
  </r>
  <r>
    <x v="17"/>
    <x v="60"/>
    <s v="AR"/>
    <x v="5"/>
    <x v="60"/>
    <n v="66"/>
    <n v="0"/>
    <n v="0"/>
  </r>
  <r>
    <x v="17"/>
    <x v="61"/>
    <s v="AR"/>
    <x v="5"/>
    <x v="61"/>
    <n v="0"/>
    <n v="0"/>
    <n v="0"/>
  </r>
  <r>
    <x v="17"/>
    <x v="62"/>
    <s v="AR"/>
    <x v="5"/>
    <x v="62"/>
    <n v="3152"/>
    <n v="0"/>
    <n v="0"/>
  </r>
  <r>
    <x v="17"/>
    <x v="63"/>
    <s v="AR"/>
    <x v="5"/>
    <x v="63"/>
    <n v="49"/>
    <n v="0"/>
    <n v="0"/>
  </r>
  <r>
    <x v="17"/>
    <x v="64"/>
    <s v="AR"/>
    <x v="5"/>
    <x v="64"/>
    <n v="790"/>
    <n v="0"/>
    <n v="0"/>
  </r>
  <r>
    <x v="17"/>
    <x v="65"/>
    <s v="AR"/>
    <x v="5"/>
    <x v="65"/>
    <n v="99"/>
    <n v="0"/>
    <n v="0"/>
  </r>
  <r>
    <x v="17"/>
    <x v="66"/>
    <s v="AR"/>
    <x v="5"/>
    <x v="66"/>
    <n v="360"/>
    <n v="0"/>
    <n v="0"/>
  </r>
  <r>
    <x v="17"/>
    <x v="67"/>
    <s v="AR"/>
    <x v="5"/>
    <x v="67"/>
    <n v="202"/>
    <n v="0"/>
    <n v="0"/>
  </r>
  <r>
    <x v="17"/>
    <x v="68"/>
    <s v="AR"/>
    <x v="5"/>
    <x v="68"/>
    <n v="0"/>
    <n v="0"/>
    <n v="0"/>
  </r>
  <r>
    <x v="17"/>
    <x v="69"/>
    <s v="AR"/>
    <x v="5"/>
    <x v="69"/>
    <n v="59"/>
    <n v="0"/>
    <n v="0"/>
  </r>
  <r>
    <x v="17"/>
    <x v="70"/>
    <s v="AR"/>
    <x v="5"/>
    <x v="70"/>
    <n v="97"/>
    <n v="0"/>
    <n v="0"/>
  </r>
  <r>
    <x v="17"/>
    <x v="71"/>
    <s v="AR"/>
    <x v="5"/>
    <x v="71"/>
    <n v="450"/>
    <n v="0"/>
    <n v="0"/>
  </r>
  <r>
    <x v="17"/>
    <x v="72"/>
    <s v="AR"/>
    <x v="5"/>
    <x v="72"/>
    <n v="90"/>
    <n v="0"/>
    <n v="0"/>
  </r>
  <r>
    <x v="17"/>
    <x v="73"/>
    <s v="AR"/>
    <x v="5"/>
    <x v="73"/>
    <n v="310"/>
    <n v="0"/>
    <n v="0"/>
  </r>
  <r>
    <x v="17"/>
    <x v="74"/>
    <s v="AR"/>
    <x v="5"/>
    <x v="74"/>
    <n v="40"/>
    <n v="0"/>
    <n v="0"/>
  </r>
  <r>
    <x v="17"/>
    <x v="75"/>
    <s v="AR"/>
    <x v="5"/>
    <x v="75"/>
    <n v="47"/>
    <n v="0"/>
    <n v="0"/>
  </r>
  <r>
    <x v="17"/>
    <x v="76"/>
    <s v="AR"/>
    <x v="5"/>
    <x v="76"/>
    <n v="488"/>
    <n v="0"/>
    <n v="0"/>
  </r>
  <r>
    <x v="17"/>
    <x v="77"/>
    <s v="BA"/>
    <x v="6"/>
    <x v="77"/>
    <n v="100"/>
    <n v="0"/>
    <n v="0"/>
  </r>
  <r>
    <x v="17"/>
    <x v="78"/>
    <s v="BA"/>
    <x v="6"/>
    <x v="78"/>
    <n v="0"/>
    <n v="0"/>
    <n v="0"/>
  </r>
  <r>
    <x v="17"/>
    <x v="79"/>
    <s v="BA"/>
    <x v="6"/>
    <x v="79"/>
    <n v="205"/>
    <n v="0"/>
    <n v="0"/>
  </r>
  <r>
    <x v="17"/>
    <x v="80"/>
    <s v="BA"/>
    <x v="6"/>
    <x v="80"/>
    <n v="41"/>
    <n v="0"/>
    <n v="0"/>
  </r>
  <r>
    <x v="17"/>
    <x v="81"/>
    <s v="BA"/>
    <x v="6"/>
    <x v="81"/>
    <n v="1316"/>
    <n v="0"/>
    <n v="0"/>
  </r>
  <r>
    <x v="17"/>
    <x v="82"/>
    <s v="BA"/>
    <x v="6"/>
    <x v="59"/>
    <n v="129"/>
    <n v="0"/>
    <n v="0"/>
  </r>
  <r>
    <x v="17"/>
    <x v="83"/>
    <s v="BA"/>
    <x v="6"/>
    <x v="82"/>
    <n v="48"/>
    <n v="0"/>
    <n v="0"/>
  </r>
  <r>
    <x v="17"/>
    <x v="84"/>
    <s v="BA"/>
    <x v="6"/>
    <x v="83"/>
    <n v="169"/>
    <n v="0"/>
    <n v="0"/>
  </r>
  <r>
    <x v="17"/>
    <x v="85"/>
    <s v="BA"/>
    <x v="6"/>
    <x v="84"/>
    <n v="67"/>
    <n v="0"/>
    <n v="0"/>
  </r>
  <r>
    <x v="17"/>
    <x v="86"/>
    <s v="BA"/>
    <x v="6"/>
    <x v="85"/>
    <n v="137"/>
    <n v="0"/>
    <n v="0"/>
  </r>
  <r>
    <x v="17"/>
    <x v="87"/>
    <s v="BA"/>
    <x v="6"/>
    <x v="86"/>
    <n v="75"/>
    <n v="0"/>
    <n v="0"/>
  </r>
  <r>
    <x v="17"/>
    <x v="88"/>
    <s v="BA"/>
    <x v="6"/>
    <x v="87"/>
    <n v="21"/>
    <n v="0"/>
    <n v="0"/>
  </r>
  <r>
    <x v="17"/>
    <x v="89"/>
    <s v="BO"/>
    <x v="7"/>
    <x v="88"/>
    <n v="2591"/>
    <n v="0"/>
    <n v="0"/>
  </r>
  <r>
    <x v="17"/>
    <x v="90"/>
    <s v="BO"/>
    <x v="7"/>
    <x v="89"/>
    <n v="189"/>
    <n v="0"/>
    <n v="0"/>
  </r>
  <r>
    <x v="17"/>
    <x v="91"/>
    <s v="BO"/>
    <x v="7"/>
    <x v="90"/>
    <n v="62"/>
    <n v="0"/>
    <n v="0"/>
  </r>
  <r>
    <x v="17"/>
    <x v="92"/>
    <s v="BO"/>
    <x v="7"/>
    <x v="91"/>
    <n v="63"/>
    <n v="0"/>
    <n v="0"/>
  </r>
  <r>
    <x v="17"/>
    <x v="93"/>
    <s v="BO"/>
    <x v="7"/>
    <x v="92"/>
    <n v="1929"/>
    <n v="0"/>
    <n v="0"/>
  </r>
  <r>
    <x v="17"/>
    <x v="94"/>
    <s v="BO"/>
    <x v="7"/>
    <x v="93"/>
    <n v="18"/>
    <n v="0"/>
    <n v="0"/>
  </r>
  <r>
    <x v="17"/>
    <x v="95"/>
    <s v="BO"/>
    <x v="7"/>
    <x v="94"/>
    <n v="368"/>
    <n v="0"/>
    <n v="0"/>
  </r>
  <r>
    <x v="17"/>
    <x v="96"/>
    <s v="BO"/>
    <x v="7"/>
    <x v="95"/>
    <n v="14"/>
    <n v="0"/>
    <n v="0"/>
  </r>
  <r>
    <x v="17"/>
    <x v="97"/>
    <s v="BO"/>
    <x v="7"/>
    <x v="96"/>
    <n v="64"/>
    <n v="0"/>
    <n v="0"/>
  </r>
  <r>
    <x v="17"/>
    <x v="98"/>
    <s v="BO"/>
    <x v="7"/>
    <x v="97"/>
    <n v="117"/>
    <n v="0"/>
    <n v="0"/>
  </r>
  <r>
    <x v="17"/>
    <x v="99"/>
    <s v="BO"/>
    <x v="7"/>
    <x v="73"/>
    <n v="6"/>
    <n v="0"/>
    <n v="0"/>
  </r>
  <r>
    <x v="17"/>
    <x v="100"/>
    <s v="CA"/>
    <x v="8"/>
    <x v="98"/>
    <n v="256"/>
    <n v="0"/>
    <n v="0"/>
  </r>
  <r>
    <x v="17"/>
    <x v="101"/>
    <s v="CA"/>
    <x v="8"/>
    <x v="99"/>
    <n v="374"/>
    <n v="0"/>
    <n v="0"/>
  </r>
  <r>
    <x v="17"/>
    <x v="102"/>
    <s v="CA"/>
    <x v="8"/>
    <x v="100"/>
    <n v="261"/>
    <n v="0"/>
    <n v="0"/>
  </r>
  <r>
    <x v="17"/>
    <x v="103"/>
    <s v="CA"/>
    <x v="8"/>
    <x v="101"/>
    <n v="383"/>
    <n v="0"/>
    <n v="0"/>
  </r>
  <r>
    <x v="17"/>
    <x v="104"/>
    <s v="CA"/>
    <x v="8"/>
    <x v="102"/>
    <n v="127"/>
    <n v="0"/>
    <n v="0"/>
  </r>
  <r>
    <x v="17"/>
    <x v="105"/>
    <s v="CA"/>
    <x v="8"/>
    <x v="66"/>
    <n v="406"/>
    <n v="0"/>
    <n v="0"/>
  </r>
  <r>
    <x v="17"/>
    <x v="106"/>
    <s v="CA"/>
    <x v="8"/>
    <x v="103"/>
    <n v="194"/>
    <n v="0"/>
    <n v="0"/>
  </r>
  <r>
    <x v="17"/>
    <x v="107"/>
    <s v="CA"/>
    <x v="8"/>
    <x v="104"/>
    <n v="63"/>
    <n v="0"/>
    <n v="0"/>
  </r>
  <r>
    <x v="17"/>
    <x v="108"/>
    <s v="CA"/>
    <x v="8"/>
    <x v="105"/>
    <n v="53"/>
    <n v="0"/>
    <n v="0"/>
  </r>
  <r>
    <x v="17"/>
    <x v="109"/>
    <s v="CA"/>
    <x v="8"/>
    <x v="106"/>
    <n v="865"/>
    <n v="0"/>
    <n v="0"/>
  </r>
  <r>
    <x v="17"/>
    <x v="110"/>
    <s v="CA"/>
    <x v="8"/>
    <x v="107"/>
    <n v="975"/>
    <n v="0"/>
    <n v="0"/>
  </r>
  <r>
    <x v="17"/>
    <x v="111"/>
    <s v="CA"/>
    <x v="8"/>
    <x v="108"/>
    <n v="92"/>
    <n v="0"/>
    <n v="0"/>
  </r>
  <r>
    <x v="17"/>
    <x v="112"/>
    <s v="CA"/>
    <x v="8"/>
    <x v="109"/>
    <n v="92"/>
    <n v="0"/>
    <n v="0"/>
  </r>
  <r>
    <x v="17"/>
    <x v="113"/>
    <s v="CA"/>
    <x v="8"/>
    <x v="110"/>
    <n v="3895"/>
    <n v="0"/>
    <n v="0"/>
  </r>
  <r>
    <x v="17"/>
    <x v="114"/>
    <s v="CO"/>
    <x v="9"/>
    <x v="111"/>
    <n v="34"/>
    <n v="0"/>
    <n v="0"/>
  </r>
  <r>
    <x v="17"/>
    <x v="115"/>
    <s v="CO"/>
    <x v="9"/>
    <x v="112"/>
    <n v="267"/>
    <n v="0"/>
    <n v="0"/>
  </r>
  <r>
    <x v="17"/>
    <x v="116"/>
    <s v="CO"/>
    <x v="9"/>
    <x v="62"/>
    <n v="22"/>
    <n v="0"/>
    <n v="0"/>
  </r>
  <r>
    <x v="17"/>
    <x v="117"/>
    <s v="CO"/>
    <x v="9"/>
    <x v="113"/>
    <n v="16"/>
    <n v="0"/>
    <n v="0"/>
  </r>
  <r>
    <x v="17"/>
    <x v="118"/>
    <s v="CO"/>
    <x v="9"/>
    <x v="114"/>
    <n v="51"/>
    <n v="0"/>
    <n v="0"/>
  </r>
  <r>
    <x v="17"/>
    <x v="119"/>
    <s v="CO"/>
    <x v="9"/>
    <x v="115"/>
    <n v="24"/>
    <n v="0"/>
    <n v="0"/>
  </r>
  <r>
    <x v="17"/>
    <x v="120"/>
    <s v="CO"/>
    <x v="9"/>
    <x v="57"/>
    <n v="28"/>
    <n v="0"/>
    <n v="0"/>
  </r>
  <r>
    <x v="17"/>
    <x v="121"/>
    <s v="CO"/>
    <x v="9"/>
    <x v="116"/>
    <n v="530"/>
    <n v="0"/>
    <n v="0"/>
  </r>
  <r>
    <x v="17"/>
    <x v="122"/>
    <s v="CO"/>
    <x v="9"/>
    <x v="117"/>
    <n v="91"/>
    <n v="0"/>
    <n v="0"/>
  </r>
  <r>
    <x v="17"/>
    <x v="123"/>
    <s v="DE"/>
    <x v="10"/>
    <x v="118"/>
    <n v="21"/>
    <n v="0"/>
    <n v="0"/>
  </r>
  <r>
    <x v="17"/>
    <x v="124"/>
    <s v="DE"/>
    <x v="10"/>
    <x v="119"/>
    <n v="18"/>
    <n v="0"/>
    <n v="0"/>
  </r>
  <r>
    <x v="17"/>
    <x v="125"/>
    <s v="DE"/>
    <x v="10"/>
    <x v="120"/>
    <n v="42"/>
    <n v="0"/>
    <n v="0"/>
  </r>
  <r>
    <x v="17"/>
    <x v="126"/>
    <s v="DE"/>
    <x v="10"/>
    <x v="121"/>
    <n v="293"/>
    <n v="0"/>
    <n v="0"/>
  </r>
  <r>
    <x v="17"/>
    <x v="127"/>
    <s v="FA"/>
    <x v="11"/>
    <x v="122"/>
    <n v="31"/>
    <n v="0"/>
    <n v="0"/>
  </r>
  <r>
    <x v="17"/>
    <x v="128"/>
    <s v="FA"/>
    <x v="11"/>
    <x v="59"/>
    <n v="25"/>
    <n v="0"/>
    <n v="0"/>
  </r>
  <r>
    <x v="17"/>
    <x v="129"/>
    <s v="FA"/>
    <x v="11"/>
    <x v="123"/>
    <n v="32"/>
    <n v="0"/>
    <n v="0"/>
  </r>
  <r>
    <x v="17"/>
    <x v="130"/>
    <s v="FA"/>
    <x v="11"/>
    <x v="124"/>
    <n v="0"/>
    <n v="0"/>
    <n v="0"/>
  </r>
  <r>
    <x v="17"/>
    <x v="131"/>
    <s v="FA"/>
    <x v="11"/>
    <x v="125"/>
    <n v="727"/>
    <n v="0"/>
    <n v="0"/>
  </r>
  <r>
    <x v="17"/>
    <x v="132"/>
    <s v="FA"/>
    <x v="11"/>
    <x v="126"/>
    <n v="4"/>
    <n v="0"/>
    <n v="0"/>
  </r>
  <r>
    <x v="17"/>
    <x v="133"/>
    <s v="FA"/>
    <x v="11"/>
    <x v="127"/>
    <n v="60"/>
    <n v="0"/>
    <n v="0"/>
  </r>
  <r>
    <x v="17"/>
    <x v="134"/>
    <s v="FA"/>
    <x v="11"/>
    <x v="128"/>
    <n v="18"/>
    <n v="0"/>
    <n v="0"/>
  </r>
  <r>
    <x v="17"/>
    <x v="135"/>
    <s v="FA"/>
    <x v="11"/>
    <x v="112"/>
    <n v="112"/>
    <n v="0"/>
    <n v="0"/>
  </r>
  <r>
    <x v="17"/>
    <x v="136"/>
    <s v="FA"/>
    <x v="11"/>
    <x v="129"/>
    <n v="86"/>
    <n v="0"/>
    <n v="0"/>
  </r>
  <r>
    <x v="17"/>
    <x v="137"/>
    <s v="FA"/>
    <x v="11"/>
    <x v="130"/>
    <n v="5"/>
    <n v="0"/>
    <n v="0"/>
  </r>
  <r>
    <x v="17"/>
    <x v="138"/>
    <s v="FA"/>
    <x v="11"/>
    <x v="131"/>
    <n v="72"/>
    <n v="0"/>
    <n v="0"/>
  </r>
  <r>
    <x v="17"/>
    <x v="139"/>
    <s v="FA"/>
    <x v="11"/>
    <x v="132"/>
    <n v="67"/>
    <n v="0"/>
    <n v="0"/>
  </r>
  <r>
    <x v="17"/>
    <x v="140"/>
    <s v="FA"/>
    <x v="11"/>
    <x v="104"/>
    <n v="954"/>
    <n v="0"/>
    <n v="0"/>
  </r>
  <r>
    <x v="17"/>
    <x v="141"/>
    <s v="FA"/>
    <x v="11"/>
    <x v="133"/>
    <n v="32"/>
    <n v="0"/>
    <n v="0"/>
  </r>
  <r>
    <x v="17"/>
    <x v="142"/>
    <s v="FA"/>
    <x v="11"/>
    <x v="134"/>
    <n v="4"/>
    <n v="0"/>
    <n v="0"/>
  </r>
  <r>
    <x v="17"/>
    <x v="143"/>
    <s v="FA"/>
    <x v="11"/>
    <x v="135"/>
    <n v="30"/>
    <n v="0"/>
    <n v="0"/>
  </r>
  <r>
    <x v="17"/>
    <x v="144"/>
    <s v="FA"/>
    <x v="11"/>
    <x v="45"/>
    <n v="39"/>
    <n v="0"/>
    <n v="0"/>
  </r>
  <r>
    <x v="17"/>
    <x v="145"/>
    <s v="FA"/>
    <x v="11"/>
    <x v="136"/>
    <n v="14"/>
    <n v="0"/>
    <n v="0"/>
  </r>
  <r>
    <x v="17"/>
    <x v="146"/>
    <s v="FA"/>
    <x v="11"/>
    <x v="137"/>
    <n v="96"/>
    <n v="0"/>
    <n v="0"/>
  </r>
  <r>
    <x v="17"/>
    <x v="147"/>
    <s v="FA"/>
    <x v="11"/>
    <x v="73"/>
    <n v="8"/>
    <n v="0"/>
    <n v="0"/>
  </r>
  <r>
    <x v="17"/>
    <x v="148"/>
    <s v="FA"/>
    <x v="11"/>
    <x v="138"/>
    <n v="24"/>
    <n v="0"/>
    <n v="0"/>
  </r>
  <r>
    <x v="17"/>
    <x v="149"/>
    <s v="FA"/>
    <x v="11"/>
    <x v="139"/>
    <n v="19"/>
    <n v="0"/>
    <n v="0"/>
  </r>
  <r>
    <x v="17"/>
    <x v="150"/>
    <s v="FA"/>
    <x v="11"/>
    <x v="140"/>
    <n v="13"/>
    <n v="0"/>
    <n v="0"/>
  </r>
  <r>
    <x v="17"/>
    <x v="151"/>
    <s v="FA"/>
    <x v="11"/>
    <x v="76"/>
    <n v="75"/>
    <n v="0"/>
    <n v="0"/>
  </r>
  <r>
    <x v="17"/>
    <x v="152"/>
    <s v="GU"/>
    <x v="12"/>
    <x v="141"/>
    <n v="49"/>
    <n v="0"/>
    <n v="0"/>
  </r>
  <r>
    <x v="17"/>
    <x v="153"/>
    <s v="GU"/>
    <x v="12"/>
    <x v="142"/>
    <n v="32"/>
    <n v="0"/>
    <n v="0"/>
  </r>
  <r>
    <x v="17"/>
    <x v="154"/>
    <s v="GU"/>
    <x v="12"/>
    <x v="143"/>
    <n v="36"/>
    <n v="0"/>
    <n v="0"/>
  </r>
  <r>
    <x v="17"/>
    <x v="155"/>
    <s v="GU"/>
    <x v="12"/>
    <x v="144"/>
    <n v="17"/>
    <n v="0"/>
    <n v="0"/>
  </r>
  <r>
    <x v="17"/>
    <x v="156"/>
    <s v="GU"/>
    <x v="12"/>
    <x v="145"/>
    <n v="501"/>
    <n v="0"/>
    <n v="0"/>
  </r>
  <r>
    <x v="17"/>
    <x v="157"/>
    <s v="GU"/>
    <x v="12"/>
    <x v="146"/>
    <n v="74"/>
    <n v="0"/>
    <n v="0"/>
  </r>
  <r>
    <x v="17"/>
    <x v="158"/>
    <s v="GU"/>
    <x v="12"/>
    <x v="147"/>
    <n v="116"/>
    <n v="0"/>
    <n v="0"/>
  </r>
  <r>
    <x v="17"/>
    <x v="159"/>
    <s v="GU"/>
    <x v="12"/>
    <x v="104"/>
    <n v="465"/>
    <n v="0"/>
    <n v="0"/>
  </r>
  <r>
    <x v="17"/>
    <x v="160"/>
    <s v="GU"/>
    <x v="12"/>
    <x v="148"/>
    <n v="281"/>
    <n v="0"/>
    <n v="0"/>
  </r>
  <r>
    <x v="17"/>
    <x v="161"/>
    <s v="GU"/>
    <x v="12"/>
    <x v="149"/>
    <n v="40"/>
    <n v="0"/>
    <n v="0"/>
  </r>
  <r>
    <x v="17"/>
    <x v="162"/>
    <s v="GU"/>
    <x v="12"/>
    <x v="150"/>
    <n v="61"/>
    <n v="0"/>
    <n v="0"/>
  </r>
  <r>
    <x v="17"/>
    <x v="163"/>
    <s v="GU"/>
    <x v="12"/>
    <x v="96"/>
    <n v="541"/>
    <n v="0"/>
    <n v="0"/>
  </r>
  <r>
    <x v="17"/>
    <x v="164"/>
    <s v="GU"/>
    <x v="12"/>
    <x v="151"/>
    <n v="18"/>
    <n v="0"/>
    <n v="0"/>
  </r>
  <r>
    <x v="17"/>
    <x v="165"/>
    <s v="GU"/>
    <x v="12"/>
    <x v="152"/>
    <n v="21"/>
    <n v="0"/>
    <n v="0"/>
  </r>
  <r>
    <x v="17"/>
    <x v="166"/>
    <s v="GU"/>
    <x v="12"/>
    <x v="153"/>
    <n v="203"/>
    <n v="0"/>
    <n v="0"/>
  </r>
  <r>
    <x v="17"/>
    <x v="167"/>
    <s v="LA"/>
    <x v="13"/>
    <x v="154"/>
    <n v="125"/>
    <n v="0"/>
    <n v="0"/>
  </r>
  <r>
    <x v="17"/>
    <x v="168"/>
    <s v="LA"/>
    <x v="13"/>
    <x v="155"/>
    <n v="126"/>
    <n v="0"/>
    <n v="0"/>
  </r>
  <r>
    <x v="17"/>
    <x v="169"/>
    <s v="LA"/>
    <x v="13"/>
    <x v="156"/>
    <n v="4733"/>
    <n v="0"/>
    <n v="0"/>
  </r>
  <r>
    <x v="17"/>
    <x v="170"/>
    <s v="LA"/>
    <x v="13"/>
    <x v="157"/>
    <n v="222"/>
    <n v="0"/>
    <n v="0"/>
  </r>
  <r>
    <x v="17"/>
    <x v="171"/>
    <s v="LA"/>
    <x v="13"/>
    <x v="158"/>
    <n v="359"/>
    <n v="0"/>
    <n v="0"/>
  </r>
  <r>
    <x v="17"/>
    <x v="172"/>
    <s v="LA"/>
    <x v="13"/>
    <x v="159"/>
    <n v="200"/>
    <n v="0"/>
    <n v="0"/>
  </r>
  <r>
    <x v="17"/>
    <x v="173"/>
    <s v="LA"/>
    <x v="13"/>
    <x v="160"/>
    <n v="16"/>
    <n v="0"/>
    <n v="0"/>
  </r>
  <r>
    <x v="17"/>
    <x v="174"/>
    <s v="LA"/>
    <x v="13"/>
    <x v="161"/>
    <n v="633"/>
    <n v="0"/>
    <n v="0"/>
  </r>
  <r>
    <x v="17"/>
    <x v="175"/>
    <s v="LA"/>
    <x v="13"/>
    <x v="75"/>
    <n v="115"/>
    <n v="0"/>
    <n v="0"/>
  </r>
  <r>
    <x v="17"/>
    <x v="176"/>
    <s v="ME"/>
    <x v="14"/>
    <x v="162"/>
    <n v="534"/>
    <n v="0"/>
    <n v="0"/>
  </r>
  <r>
    <x v="17"/>
    <x v="177"/>
    <s v="ME"/>
    <x v="14"/>
    <x v="163"/>
    <n v="39"/>
    <n v="0"/>
    <n v="0"/>
  </r>
  <r>
    <x v="17"/>
    <x v="178"/>
    <s v="ME"/>
    <x v="14"/>
    <x v="164"/>
    <n v="89"/>
    <n v="0"/>
    <n v="0"/>
  </r>
  <r>
    <x v="17"/>
    <x v="179"/>
    <s v="ME"/>
    <x v="14"/>
    <x v="165"/>
    <n v="19"/>
    <n v="0"/>
    <n v="0"/>
  </r>
  <r>
    <x v="17"/>
    <x v="180"/>
    <s v="ME"/>
    <x v="14"/>
    <x v="166"/>
    <n v="55"/>
    <n v="0"/>
    <n v="0"/>
  </r>
  <r>
    <x v="17"/>
    <x v="181"/>
    <s v="ME"/>
    <x v="14"/>
    <x v="167"/>
    <n v="220"/>
    <n v="0"/>
    <n v="0"/>
  </r>
  <r>
    <x v="17"/>
    <x v="182"/>
    <s v="ME"/>
    <x v="14"/>
    <x v="168"/>
    <n v="38"/>
    <n v="0"/>
    <n v="0"/>
  </r>
  <r>
    <x v="17"/>
    <x v="183"/>
    <s v="ME"/>
    <x v="14"/>
    <x v="169"/>
    <n v="93"/>
    <n v="0"/>
    <n v="0"/>
  </r>
  <r>
    <x v="17"/>
    <x v="184"/>
    <s v="ME"/>
    <x v="14"/>
    <x v="170"/>
    <n v="38"/>
    <n v="0"/>
    <n v="0"/>
  </r>
  <r>
    <x v="17"/>
    <x v="185"/>
    <s v="ME"/>
    <x v="14"/>
    <x v="171"/>
    <n v="43"/>
    <n v="0"/>
    <n v="0"/>
  </r>
  <r>
    <x v="17"/>
    <x v="186"/>
    <s v="ME"/>
    <x v="14"/>
    <x v="172"/>
    <n v="22"/>
    <n v="0"/>
    <n v="0"/>
  </r>
  <r>
    <x v="17"/>
    <x v="187"/>
    <s v="ME"/>
    <x v="14"/>
    <x v="66"/>
    <n v="1499"/>
    <n v="0"/>
    <n v="0"/>
  </r>
  <r>
    <x v="17"/>
    <x v="188"/>
    <s v="ME"/>
    <x v="14"/>
    <x v="104"/>
    <n v="98"/>
    <n v="0"/>
    <n v="0"/>
  </r>
  <r>
    <x v="17"/>
    <x v="189"/>
    <s v="ME"/>
    <x v="14"/>
    <x v="173"/>
    <n v="80"/>
    <n v="0"/>
    <n v="0"/>
  </r>
  <r>
    <x v="17"/>
    <x v="190"/>
    <s v="ME"/>
    <x v="14"/>
    <x v="174"/>
    <n v="2"/>
    <n v="0"/>
    <n v="0"/>
  </r>
  <r>
    <x v="17"/>
    <x v="191"/>
    <s v="ME"/>
    <x v="14"/>
    <x v="175"/>
    <n v="39"/>
    <n v="0"/>
    <n v="0"/>
  </r>
  <r>
    <x v="17"/>
    <x v="192"/>
    <s v="ME"/>
    <x v="14"/>
    <x v="176"/>
    <n v="73"/>
    <n v="0"/>
    <n v="0"/>
  </r>
  <r>
    <x v="17"/>
    <x v="193"/>
    <s v="ME"/>
    <x v="14"/>
    <x v="177"/>
    <n v="52"/>
    <n v="0"/>
    <n v="0"/>
  </r>
  <r>
    <x v="17"/>
    <x v="194"/>
    <s v="ME"/>
    <x v="14"/>
    <x v="178"/>
    <n v="44"/>
    <n v="0"/>
    <n v="0"/>
  </r>
  <r>
    <x v="17"/>
    <x v="195"/>
    <s v="ME"/>
    <x v="14"/>
    <x v="73"/>
    <n v="189"/>
    <n v="0"/>
    <n v="0"/>
  </r>
  <r>
    <x v="17"/>
    <x v="196"/>
    <s v="ME"/>
    <x v="14"/>
    <x v="74"/>
    <n v="191"/>
    <n v="0"/>
    <n v="0"/>
  </r>
  <r>
    <x v="17"/>
    <x v="197"/>
    <s v="ME"/>
    <x v="14"/>
    <x v="179"/>
    <n v="100"/>
    <n v="0"/>
    <n v="0"/>
  </r>
  <r>
    <x v="17"/>
    <x v="198"/>
    <s v="ME"/>
    <x v="14"/>
    <x v="180"/>
    <n v="41"/>
    <n v="0"/>
    <n v="0"/>
  </r>
  <r>
    <x v="17"/>
    <x v="199"/>
    <s v="MI"/>
    <x v="15"/>
    <x v="181"/>
    <n v="244"/>
    <n v="0"/>
    <n v="0"/>
  </r>
  <r>
    <x v="17"/>
    <x v="200"/>
    <s v="MI"/>
    <x v="15"/>
    <x v="163"/>
    <n v="63"/>
    <n v="0"/>
    <n v="0"/>
  </r>
  <r>
    <x v="17"/>
    <x v="201"/>
    <s v="MI"/>
    <x v="15"/>
    <x v="182"/>
    <n v="1087"/>
    <n v="0"/>
    <n v="0"/>
  </r>
  <r>
    <x v="17"/>
    <x v="202"/>
    <s v="MI"/>
    <x v="15"/>
    <x v="183"/>
    <n v="193"/>
    <n v="0"/>
    <n v="0"/>
  </r>
  <r>
    <x v="17"/>
    <x v="203"/>
    <s v="MI"/>
    <x v="15"/>
    <x v="184"/>
    <n v="55"/>
    <n v="0"/>
    <n v="0"/>
  </r>
  <r>
    <x v="17"/>
    <x v="204"/>
    <s v="MI"/>
    <x v="15"/>
    <x v="185"/>
    <n v="63"/>
    <n v="0"/>
    <n v="0"/>
  </r>
  <r>
    <x v="17"/>
    <x v="205"/>
    <s v="MI"/>
    <x v="15"/>
    <x v="186"/>
    <n v="665"/>
    <n v="0"/>
    <n v="0"/>
  </r>
  <r>
    <x v="17"/>
    <x v="206"/>
    <s v="MI"/>
    <x v="15"/>
    <x v="187"/>
    <n v="191"/>
    <n v="0"/>
    <n v="0"/>
  </r>
  <r>
    <x v="17"/>
    <x v="207"/>
    <s v="MI"/>
    <x v="15"/>
    <x v="188"/>
    <n v="116"/>
    <n v="0"/>
    <n v="0"/>
  </r>
  <r>
    <x v="17"/>
    <x v="208"/>
    <s v="MI"/>
    <x v="15"/>
    <x v="189"/>
    <n v="1052"/>
    <n v="0"/>
    <n v="0"/>
  </r>
  <r>
    <x v="17"/>
    <x v="209"/>
    <s v="MI"/>
    <x v="15"/>
    <x v="38"/>
    <n v="276"/>
    <n v="0"/>
    <n v="0"/>
  </r>
  <r>
    <x v="17"/>
    <x v="210"/>
    <s v="MI"/>
    <x v="15"/>
    <x v="190"/>
    <n v="825"/>
    <n v="0"/>
    <n v="0"/>
  </r>
  <r>
    <x v="17"/>
    <x v="211"/>
    <s v="MI"/>
    <x v="15"/>
    <x v="191"/>
    <n v="165"/>
    <n v="0"/>
    <n v="0"/>
  </r>
  <r>
    <x v="17"/>
    <x v="212"/>
    <s v="MI"/>
    <x v="15"/>
    <x v="55"/>
    <n v="125"/>
    <n v="0"/>
    <n v="0"/>
  </r>
  <r>
    <x v="17"/>
    <x v="213"/>
    <s v="MI"/>
    <x v="15"/>
    <x v="192"/>
    <n v="165"/>
    <n v="0"/>
    <n v="0"/>
  </r>
  <r>
    <x v="17"/>
    <x v="214"/>
    <s v="MI"/>
    <x v="15"/>
    <x v="193"/>
    <n v="51"/>
    <n v="0"/>
    <n v="0"/>
  </r>
  <r>
    <x v="17"/>
    <x v="215"/>
    <s v="MI"/>
    <x v="15"/>
    <x v="194"/>
    <n v="383"/>
    <n v="0"/>
    <n v="0"/>
  </r>
  <r>
    <x v="17"/>
    <x v="216"/>
    <s v="MI"/>
    <x v="15"/>
    <x v="49"/>
    <n v="48"/>
    <n v="0"/>
    <n v="0"/>
  </r>
  <r>
    <x v="17"/>
    <x v="217"/>
    <s v="MI"/>
    <x v="15"/>
    <x v="73"/>
    <n v="2369"/>
    <n v="0"/>
    <n v="0"/>
  </r>
  <r>
    <x v="17"/>
    <x v="218"/>
    <s v="MI"/>
    <x v="15"/>
    <x v="75"/>
    <n v="220"/>
    <n v="0"/>
    <n v="0"/>
  </r>
  <r>
    <x v="17"/>
    <x v="219"/>
    <s v="MI"/>
    <x v="15"/>
    <x v="76"/>
    <n v="479"/>
    <n v="0"/>
    <n v="0"/>
  </r>
  <r>
    <x v="17"/>
    <x v="220"/>
    <s v="MO"/>
    <x v="16"/>
    <x v="122"/>
    <n v="75"/>
    <n v="0"/>
    <n v="0"/>
  </r>
  <r>
    <x v="17"/>
    <x v="221"/>
    <s v="MO"/>
    <x v="16"/>
    <x v="195"/>
    <n v="14"/>
    <n v="0"/>
    <n v="0"/>
  </r>
  <r>
    <x v="17"/>
    <x v="222"/>
    <s v="MO"/>
    <x v="16"/>
    <x v="59"/>
    <n v="96"/>
    <n v="0"/>
    <n v="0"/>
  </r>
  <r>
    <x v="17"/>
    <x v="223"/>
    <s v="MO"/>
    <x v="16"/>
    <x v="196"/>
    <n v="98"/>
    <n v="0"/>
    <n v="0"/>
  </r>
  <r>
    <x v="17"/>
    <x v="224"/>
    <s v="MO"/>
    <x v="16"/>
    <x v="89"/>
    <n v="64"/>
    <n v="0"/>
    <n v="0"/>
  </r>
  <r>
    <x v="17"/>
    <x v="225"/>
    <s v="MO"/>
    <x v="16"/>
    <x v="83"/>
    <n v="100"/>
    <n v="0"/>
    <n v="0"/>
  </r>
  <r>
    <x v="17"/>
    <x v="226"/>
    <s v="MO"/>
    <x v="16"/>
    <x v="66"/>
    <n v="105"/>
    <n v="0"/>
    <n v="0"/>
  </r>
  <r>
    <x v="17"/>
    <x v="227"/>
    <s v="MO"/>
    <x v="16"/>
    <x v="197"/>
    <n v="1808"/>
    <n v="0"/>
    <n v="0"/>
  </r>
  <r>
    <x v="17"/>
    <x v="228"/>
    <s v="MO"/>
    <x v="16"/>
    <x v="94"/>
    <n v="75"/>
    <n v="0"/>
    <n v="0"/>
  </r>
  <r>
    <x v="17"/>
    <x v="229"/>
    <s v="MO"/>
    <x v="16"/>
    <x v="198"/>
    <n v="33"/>
    <n v="0"/>
    <n v="0"/>
  </r>
  <r>
    <x v="17"/>
    <x v="230"/>
    <s v="MO"/>
    <x v="16"/>
    <x v="199"/>
    <n v="10"/>
    <n v="0"/>
    <n v="0"/>
  </r>
  <r>
    <x v="17"/>
    <x v="231"/>
    <s v="MO"/>
    <x v="16"/>
    <x v="200"/>
    <n v="67"/>
    <n v="0"/>
    <n v="0"/>
  </r>
  <r>
    <x v="17"/>
    <x v="232"/>
    <s v="MO"/>
    <x v="16"/>
    <x v="201"/>
    <n v="15"/>
    <n v="0"/>
    <n v="0"/>
  </r>
  <r>
    <x v="17"/>
    <x v="233"/>
    <s v="NU"/>
    <x v="17"/>
    <x v="202"/>
    <n v="48"/>
    <n v="0"/>
    <n v="0"/>
  </r>
  <r>
    <x v="17"/>
    <x v="234"/>
    <s v="NU"/>
    <x v="17"/>
    <x v="80"/>
    <n v="90"/>
    <n v="0"/>
    <n v="0"/>
  </r>
  <r>
    <x v="17"/>
    <x v="235"/>
    <s v="NU"/>
    <x v="17"/>
    <x v="203"/>
    <n v="84"/>
    <n v="0"/>
    <n v="0"/>
  </r>
  <r>
    <x v="17"/>
    <x v="236"/>
    <s v="NU"/>
    <x v="17"/>
    <x v="204"/>
    <n v="45"/>
    <n v="0"/>
    <n v="0"/>
  </r>
  <r>
    <x v="17"/>
    <x v="237"/>
    <s v="NU"/>
    <x v="17"/>
    <x v="205"/>
    <n v="74"/>
    <n v="0"/>
    <n v="0"/>
  </r>
  <r>
    <x v="17"/>
    <x v="238"/>
    <s v="NU"/>
    <x v="17"/>
    <x v="206"/>
    <n v="67"/>
    <n v="0"/>
    <n v="0"/>
  </r>
  <r>
    <x v="17"/>
    <x v="239"/>
    <s v="NU"/>
    <x v="17"/>
    <x v="207"/>
    <n v="91"/>
    <n v="0"/>
    <n v="0"/>
  </r>
  <r>
    <x v="17"/>
    <x v="240"/>
    <s v="NU"/>
    <x v="17"/>
    <x v="208"/>
    <n v="985"/>
    <n v="0"/>
    <n v="0"/>
  </r>
  <r>
    <x v="17"/>
    <x v="241"/>
    <s v="NU"/>
    <x v="17"/>
    <x v="209"/>
    <n v="46"/>
    <n v="0"/>
    <n v="0"/>
  </r>
  <r>
    <x v="17"/>
    <x v="242"/>
    <s v="NU"/>
    <x v="17"/>
    <x v="210"/>
    <n v="52"/>
    <n v="0"/>
    <n v="0"/>
  </r>
  <r>
    <x v="17"/>
    <x v="243"/>
    <s v="NU"/>
    <x v="17"/>
    <x v="211"/>
    <n v="19"/>
    <n v="0"/>
    <n v="0"/>
  </r>
  <r>
    <x v="17"/>
    <x v="244"/>
    <s v="PO"/>
    <x v="18"/>
    <x v="212"/>
    <n v="37"/>
    <n v="0"/>
    <n v="0"/>
  </r>
  <r>
    <x v="17"/>
    <x v="245"/>
    <s v="PO"/>
    <x v="18"/>
    <x v="213"/>
    <n v="949"/>
    <n v="0"/>
    <n v="0"/>
  </r>
  <r>
    <x v="17"/>
    <x v="246"/>
    <s v="PO"/>
    <x v="18"/>
    <x v="214"/>
    <n v="114"/>
    <n v="0"/>
    <n v="0"/>
  </r>
  <r>
    <x v="17"/>
    <x v="247"/>
    <s v="PO"/>
    <x v="18"/>
    <x v="215"/>
    <n v="654"/>
    <n v="0"/>
    <n v="0"/>
  </r>
  <r>
    <x v="17"/>
    <x v="248"/>
    <s v="PO"/>
    <x v="18"/>
    <x v="216"/>
    <n v="88"/>
    <n v="0"/>
    <n v="0"/>
  </r>
  <r>
    <x v="17"/>
    <x v="249"/>
    <s v="PO"/>
    <x v="18"/>
    <x v="217"/>
    <n v="79"/>
    <n v="0"/>
    <n v="0"/>
  </r>
  <r>
    <x v="17"/>
    <x v="250"/>
    <s v="PO"/>
    <x v="18"/>
    <x v="218"/>
    <n v="84"/>
    <n v="0"/>
    <n v="0"/>
  </r>
  <r>
    <x v="17"/>
    <x v="251"/>
    <s v="PO"/>
    <x v="18"/>
    <x v="55"/>
    <n v="424"/>
    <n v="0"/>
    <n v="0"/>
  </r>
  <r>
    <x v="17"/>
    <x v="252"/>
    <s v="PO"/>
    <x v="18"/>
    <x v="219"/>
    <n v="24"/>
    <n v="0"/>
    <n v="0"/>
  </r>
  <r>
    <x v="17"/>
    <x v="253"/>
    <s v="PO"/>
    <x v="18"/>
    <x v="220"/>
    <n v="62"/>
    <n v="0"/>
    <n v="0"/>
  </r>
  <r>
    <x v="17"/>
    <x v="254"/>
    <s v="PO"/>
    <x v="18"/>
    <x v="221"/>
    <n v="31"/>
    <n v="0"/>
    <n v="0"/>
  </r>
  <r>
    <x v="17"/>
    <x v="255"/>
    <s v="PO"/>
    <x v="18"/>
    <x v="222"/>
    <n v="30"/>
    <n v="0"/>
    <n v="0"/>
  </r>
  <r>
    <x v="17"/>
    <x v="256"/>
    <s v="PO"/>
    <x v="18"/>
    <x v="73"/>
    <n v="122"/>
    <n v="0"/>
    <n v="0"/>
  </r>
  <r>
    <x v="17"/>
    <x v="257"/>
    <s v="PO"/>
    <x v="18"/>
    <x v="223"/>
    <n v="189"/>
    <n v="0"/>
    <n v="0"/>
  </r>
  <r>
    <x v="17"/>
    <x v="258"/>
    <s v="SU"/>
    <x v="19"/>
    <x v="154"/>
    <n v="61"/>
    <n v="0"/>
    <n v="0"/>
  </r>
  <r>
    <x v="17"/>
    <x v="259"/>
    <s v="SU"/>
    <x v="19"/>
    <x v="224"/>
    <n v="65"/>
    <n v="0"/>
    <n v="0"/>
  </r>
  <r>
    <x v="17"/>
    <x v="260"/>
    <s v="SU"/>
    <x v="19"/>
    <x v="80"/>
    <n v="133"/>
    <n v="0"/>
    <n v="0"/>
  </r>
  <r>
    <x v="17"/>
    <x v="261"/>
    <s v="SU"/>
    <x v="19"/>
    <x v="225"/>
    <n v="77"/>
    <n v="0"/>
    <n v="0"/>
  </r>
  <r>
    <x v="17"/>
    <x v="262"/>
    <s v="SU"/>
    <x v="19"/>
    <x v="226"/>
    <n v="703"/>
    <n v="0"/>
    <n v="0"/>
  </r>
  <r>
    <x v="17"/>
    <x v="263"/>
    <s v="SU"/>
    <x v="19"/>
    <x v="59"/>
    <n v="34"/>
    <n v="0"/>
    <n v="0"/>
  </r>
  <r>
    <x v="17"/>
    <x v="264"/>
    <s v="SU"/>
    <x v="19"/>
    <x v="227"/>
    <n v="83"/>
    <n v="0"/>
    <n v="0"/>
  </r>
  <r>
    <x v="17"/>
    <x v="265"/>
    <s v="SU"/>
    <x v="19"/>
    <x v="228"/>
    <n v="52"/>
    <n v="0"/>
    <n v="0"/>
  </r>
  <r>
    <x v="17"/>
    <x v="266"/>
    <s v="SU"/>
    <x v="19"/>
    <x v="66"/>
    <n v="31"/>
    <n v="0"/>
    <n v="0"/>
  </r>
  <r>
    <x v="17"/>
    <x v="267"/>
    <s v="SU"/>
    <x v="19"/>
    <x v="208"/>
    <n v="87"/>
    <n v="0"/>
    <n v="0"/>
  </r>
  <r>
    <x v="17"/>
    <x v="268"/>
    <s v="SU"/>
    <x v="19"/>
    <x v="229"/>
    <n v="15"/>
    <n v="0"/>
    <n v="0"/>
  </r>
  <r>
    <x v="17"/>
    <x v="269"/>
    <s v="SU"/>
    <x v="19"/>
    <x v="230"/>
    <n v="180"/>
    <n v="0"/>
    <n v="0"/>
  </r>
  <r>
    <x v="17"/>
    <x v="270"/>
    <s v="SU"/>
    <x v="19"/>
    <x v="231"/>
    <n v="160"/>
    <n v="0"/>
    <n v="0"/>
  </r>
  <r>
    <x v="17"/>
    <x v="271"/>
    <s v="SU"/>
    <x v="19"/>
    <x v="73"/>
    <n v="1237"/>
    <n v="0"/>
    <n v="0"/>
  </r>
  <r>
    <x v="17"/>
    <x v="272"/>
    <s v="SU"/>
    <x v="19"/>
    <x v="232"/>
    <n v="123"/>
    <n v="0"/>
    <n v="0"/>
  </r>
  <r>
    <x v="17"/>
    <x v="273"/>
    <s v="TA"/>
    <x v="20"/>
    <x v="163"/>
    <n v="38"/>
    <n v="0"/>
    <n v="0"/>
  </r>
  <r>
    <x v="17"/>
    <x v="274"/>
    <s v="TA"/>
    <x v="20"/>
    <x v="233"/>
    <n v="25"/>
    <n v="0"/>
    <n v="0"/>
  </r>
  <r>
    <x v="17"/>
    <x v="275"/>
    <s v="TA"/>
    <x v="20"/>
    <x v="234"/>
    <n v="226"/>
    <n v="0"/>
    <n v="0"/>
  </r>
  <r>
    <x v="17"/>
    <x v="276"/>
    <s v="TA"/>
    <x v="20"/>
    <x v="59"/>
    <n v="159"/>
    <n v="0"/>
    <n v="0"/>
  </r>
  <r>
    <x v="17"/>
    <x v="277"/>
    <s v="TA"/>
    <x v="20"/>
    <x v="235"/>
    <n v="250"/>
    <n v="0"/>
    <n v="0"/>
  </r>
  <r>
    <x v="17"/>
    <x v="278"/>
    <s v="TA"/>
    <x v="20"/>
    <x v="236"/>
    <n v="64"/>
    <n v="0"/>
    <n v="0"/>
  </r>
  <r>
    <x v="17"/>
    <x v="279"/>
    <s v="TA"/>
    <x v="20"/>
    <x v="237"/>
    <n v="150"/>
    <n v="0"/>
    <n v="0"/>
  </r>
  <r>
    <x v="17"/>
    <x v="280"/>
    <s v="TA"/>
    <x v="20"/>
    <x v="35"/>
    <n v="25"/>
    <n v="0"/>
    <n v="0"/>
  </r>
  <r>
    <x v="17"/>
    <x v="281"/>
    <s v="TA"/>
    <x v="20"/>
    <x v="238"/>
    <n v="158"/>
    <n v="0"/>
    <n v="0"/>
  </r>
  <r>
    <x v="17"/>
    <x v="282"/>
    <s v="TA"/>
    <x v="20"/>
    <x v="239"/>
    <n v="63"/>
    <n v="0"/>
    <n v="0"/>
  </r>
  <r>
    <x v="17"/>
    <x v="283"/>
    <s v="TA"/>
    <x v="20"/>
    <x v="38"/>
    <n v="79"/>
    <n v="0"/>
    <n v="0"/>
  </r>
  <r>
    <x v="17"/>
    <x v="284"/>
    <s v="TA"/>
    <x v="20"/>
    <x v="240"/>
    <n v="197"/>
    <n v="0"/>
    <n v="0"/>
  </r>
  <r>
    <x v="17"/>
    <x v="285"/>
    <s v="TA"/>
    <x v="20"/>
    <x v="241"/>
    <n v="32"/>
    <n v="0"/>
    <n v="0"/>
  </r>
  <r>
    <x v="17"/>
    <x v="286"/>
    <s v="TA"/>
    <x v="20"/>
    <x v="242"/>
    <n v="265"/>
    <n v="0"/>
    <n v="0"/>
  </r>
  <r>
    <x v="17"/>
    <x v="287"/>
    <s v="TA"/>
    <x v="20"/>
    <x v="42"/>
    <n v="59"/>
    <n v="0"/>
    <n v="0"/>
  </r>
  <r>
    <x v="17"/>
    <x v="288"/>
    <s v="TA"/>
    <x v="20"/>
    <x v="66"/>
    <n v="73"/>
    <n v="0"/>
    <n v="0"/>
  </r>
  <r>
    <x v="17"/>
    <x v="289"/>
    <s v="TA"/>
    <x v="20"/>
    <x v="243"/>
    <n v="48"/>
    <n v="0"/>
    <n v="0"/>
  </r>
  <r>
    <x v="17"/>
    <x v="290"/>
    <s v="TA"/>
    <x v="20"/>
    <x v="244"/>
    <n v="68"/>
    <n v="0"/>
    <n v="0"/>
  </r>
  <r>
    <x v="17"/>
    <x v="291"/>
    <s v="TA"/>
    <x v="20"/>
    <x v="245"/>
    <n v="148"/>
    <n v="0"/>
    <n v="0"/>
  </r>
  <r>
    <x v="17"/>
    <x v="292"/>
    <s v="TA"/>
    <x v="20"/>
    <x v="246"/>
    <n v="116"/>
    <n v="0"/>
    <n v="0"/>
  </r>
  <r>
    <x v="17"/>
    <x v="293"/>
    <s v="TA"/>
    <x v="20"/>
    <x v="247"/>
    <n v="18"/>
    <n v="0"/>
    <n v="0"/>
  </r>
  <r>
    <x v="17"/>
    <x v="294"/>
    <s v="TA"/>
    <x v="20"/>
    <x v="248"/>
    <n v="39"/>
    <n v="0"/>
    <n v="0"/>
  </r>
  <r>
    <x v="17"/>
    <x v="295"/>
    <s v="TA"/>
    <x v="20"/>
    <x v="249"/>
    <n v="2220"/>
    <n v="0"/>
    <n v="0"/>
  </r>
  <r>
    <x v="17"/>
    <x v="296"/>
    <s v="TA"/>
    <x v="20"/>
    <x v="250"/>
    <n v="0"/>
    <n v="0"/>
    <n v="0"/>
  </r>
  <r>
    <x v="17"/>
    <x v="297"/>
    <s v="TA"/>
    <x v="20"/>
    <x v="251"/>
    <n v="23"/>
    <n v="0"/>
    <n v="0"/>
  </r>
  <r>
    <x v="17"/>
    <x v="298"/>
    <s v="TA"/>
    <x v="20"/>
    <x v="50"/>
    <n v="16"/>
    <n v="0"/>
    <n v="0"/>
  </r>
  <r>
    <x v="17"/>
    <x v="299"/>
    <s v="TA"/>
    <x v="20"/>
    <x v="73"/>
    <n v="18"/>
    <n v="0"/>
    <n v="0"/>
  </r>
  <r>
    <x v="17"/>
    <x v="300"/>
    <s v="TA"/>
    <x v="20"/>
    <x v="252"/>
    <n v="44"/>
    <n v="0"/>
    <n v="0"/>
  </r>
  <r>
    <x v="17"/>
    <x v="301"/>
    <s v="TA"/>
    <x v="20"/>
    <x v="253"/>
    <n v="73"/>
    <n v="0"/>
    <n v="0"/>
  </r>
  <r>
    <x v="17"/>
    <x v="302"/>
    <s v="TR"/>
    <x v="21"/>
    <x v="163"/>
    <n v="39"/>
    <n v="0"/>
    <n v="0"/>
  </r>
  <r>
    <x v="17"/>
    <x v="303"/>
    <s v="TR"/>
    <x v="21"/>
    <x v="254"/>
    <n v="552"/>
    <n v="0"/>
    <n v="0"/>
  </r>
  <r>
    <x v="17"/>
    <x v="304"/>
    <s v="TR"/>
    <x v="21"/>
    <x v="59"/>
    <n v="21"/>
    <n v="0"/>
    <n v="0"/>
  </r>
  <r>
    <x v="17"/>
    <x v="305"/>
    <s v="TR"/>
    <x v="21"/>
    <x v="255"/>
    <n v="68"/>
    <n v="0"/>
    <n v="0"/>
  </r>
  <r>
    <x v="17"/>
    <x v="306"/>
    <s v="TR"/>
    <x v="21"/>
    <x v="256"/>
    <n v="148"/>
    <n v="0"/>
    <n v="0"/>
  </r>
  <r>
    <x v="17"/>
    <x v="307"/>
    <s v="TR"/>
    <x v="21"/>
    <x v="257"/>
    <n v="56"/>
    <n v="0"/>
    <n v="0"/>
  </r>
  <r>
    <x v="17"/>
    <x v="308"/>
    <s v="TR"/>
    <x v="21"/>
    <x v="258"/>
    <n v="6"/>
    <n v="0"/>
    <n v="0"/>
  </r>
  <r>
    <x v="17"/>
    <x v="309"/>
    <s v="TR"/>
    <x v="21"/>
    <x v="259"/>
    <n v="16"/>
    <n v="0"/>
    <n v="0"/>
  </r>
  <r>
    <x v="17"/>
    <x v="310"/>
    <s v="TR"/>
    <x v="21"/>
    <x v="260"/>
    <n v="28"/>
    <n v="0"/>
    <n v="0"/>
  </r>
  <r>
    <x v="17"/>
    <x v="311"/>
    <s v="TR"/>
    <x v="21"/>
    <x v="104"/>
    <n v="36"/>
    <n v="0"/>
    <n v="0"/>
  </r>
  <r>
    <x v="17"/>
    <x v="312"/>
    <s v="TR"/>
    <x v="21"/>
    <x v="261"/>
    <n v="55"/>
    <n v="0"/>
    <n v="0"/>
  </r>
  <r>
    <x v="17"/>
    <x v="313"/>
    <s v="TR"/>
    <x v="21"/>
    <x v="262"/>
    <n v="30"/>
    <n v="0"/>
    <n v="0"/>
  </r>
  <r>
    <x v="17"/>
    <x v="314"/>
    <s v="TR"/>
    <x v="21"/>
    <x v="263"/>
    <n v="144"/>
    <n v="0"/>
    <n v="0"/>
  </r>
  <r>
    <x v="17"/>
    <x v="315"/>
    <s v="TR"/>
    <x v="21"/>
    <x v="264"/>
    <n v="39"/>
    <n v="0"/>
    <n v="0"/>
  </r>
  <r>
    <x v="17"/>
    <x v="316"/>
    <s v="TR"/>
    <x v="21"/>
    <x v="265"/>
    <n v="49"/>
    <n v="0"/>
    <n v="0"/>
  </r>
  <r>
    <x v="17"/>
    <x v="317"/>
    <s v="TR"/>
    <x v="21"/>
    <x v="266"/>
    <n v="117"/>
    <n v="0"/>
    <n v="0"/>
  </r>
  <r>
    <x v="17"/>
    <x v="318"/>
    <s v="TR"/>
    <x v="21"/>
    <x v="73"/>
    <n v="107"/>
    <n v="0"/>
    <n v="0"/>
  </r>
  <r>
    <x v="17"/>
    <x v="319"/>
    <s v="TR"/>
    <x v="21"/>
    <x v="267"/>
    <n v="397"/>
    <n v="0"/>
    <n v="0"/>
  </r>
  <r>
    <x v="17"/>
    <x v="320"/>
    <s v="TR"/>
    <x v="21"/>
    <x v="75"/>
    <n v="131"/>
    <n v="0"/>
    <n v="0"/>
  </r>
  <r>
    <x v="17"/>
    <x v="321"/>
    <s v="TR"/>
    <x v="21"/>
    <x v="268"/>
    <n v="1218"/>
    <n v="0"/>
    <n v="0"/>
  </r>
  <r>
    <x v="17"/>
    <x v="322"/>
    <s v="VA"/>
    <x v="0"/>
    <x v="269"/>
    <n v="0"/>
    <n v="0"/>
    <n v="0"/>
  </r>
  <r>
    <x v="17"/>
    <x v="323"/>
    <s v="VA"/>
    <x v="0"/>
    <x v="270"/>
    <n v="0"/>
    <n v="0"/>
    <n v="0"/>
  </r>
  <r>
    <x v="17"/>
    <x v="324"/>
    <s v="VA"/>
    <x v="0"/>
    <x v="271"/>
    <n v="0"/>
    <n v="0"/>
    <n v="0"/>
  </r>
  <r>
    <x v="17"/>
    <x v="325"/>
    <s v="VA"/>
    <x v="0"/>
    <x v="272"/>
    <n v="0"/>
    <n v="0"/>
    <n v="0"/>
  </r>
  <r>
    <x v="17"/>
    <x v="326"/>
    <s v="VA"/>
    <x v="0"/>
    <x v="273"/>
    <n v="0"/>
    <n v="0"/>
    <n v="0"/>
  </r>
  <r>
    <x v="17"/>
    <x v="327"/>
    <s v="VA"/>
    <x v="0"/>
    <x v="274"/>
    <n v="0"/>
    <n v="0"/>
    <n v="0"/>
  </r>
  <r>
    <x v="17"/>
    <x v="328"/>
    <s v="VA"/>
    <x v="0"/>
    <x v="275"/>
    <n v="0"/>
    <n v="0"/>
    <n v="0"/>
  </r>
  <r>
    <x v="17"/>
    <x v="329"/>
    <s v="VA"/>
    <x v="0"/>
    <x v="276"/>
    <n v="0"/>
    <n v="0"/>
    <n v="0"/>
  </r>
  <r>
    <x v="17"/>
    <x v="330"/>
    <s v="VA"/>
    <x v="0"/>
    <x v="277"/>
    <n v="0"/>
    <n v="0"/>
    <n v="0"/>
  </r>
  <r>
    <x v="17"/>
    <x v="331"/>
    <s v="VA"/>
    <x v="0"/>
    <x v="278"/>
    <n v="0"/>
    <n v="0"/>
    <n v="0"/>
  </r>
  <r>
    <x v="17"/>
    <x v="332"/>
    <s v="VA"/>
    <x v="0"/>
    <x v="279"/>
    <n v="0"/>
    <n v="0"/>
    <n v="0"/>
  </r>
  <r>
    <x v="17"/>
    <x v="333"/>
    <s v="YA"/>
    <x v="22"/>
    <x v="280"/>
    <n v="30"/>
    <n v="0"/>
    <n v="0"/>
  </r>
  <r>
    <x v="17"/>
    <x v="334"/>
    <s v="YA"/>
    <x v="22"/>
    <x v="59"/>
    <n v="62"/>
    <n v="0"/>
    <n v="0"/>
  </r>
  <r>
    <x v="17"/>
    <x v="335"/>
    <s v="YA"/>
    <x v="22"/>
    <x v="281"/>
    <n v="159"/>
    <n v="0"/>
    <n v="0"/>
  </r>
  <r>
    <x v="17"/>
    <x v="336"/>
    <s v="YA"/>
    <x v="22"/>
    <x v="282"/>
    <n v="80"/>
    <n v="0"/>
    <n v="0"/>
  </r>
  <r>
    <x v="17"/>
    <x v="337"/>
    <s v="YA"/>
    <x v="22"/>
    <x v="38"/>
    <n v="77"/>
    <n v="0"/>
    <n v="0"/>
  </r>
  <r>
    <x v="17"/>
    <x v="338"/>
    <s v="YA"/>
    <x v="22"/>
    <x v="283"/>
    <n v="34"/>
    <n v="0"/>
    <n v="0"/>
  </r>
  <r>
    <x v="17"/>
    <x v="339"/>
    <s v="YA"/>
    <x v="22"/>
    <x v="284"/>
    <n v="8"/>
    <n v="0"/>
    <n v="0"/>
  </r>
  <r>
    <x v="17"/>
    <x v="340"/>
    <s v="YA"/>
    <x v="22"/>
    <x v="285"/>
    <n v="20"/>
    <n v="0"/>
    <n v="0"/>
  </r>
  <r>
    <x v="17"/>
    <x v="341"/>
    <s v="YA"/>
    <x v="22"/>
    <x v="286"/>
    <n v="224"/>
    <n v="0"/>
    <n v="0"/>
  </r>
  <r>
    <x v="17"/>
    <x v="342"/>
    <s v="YA"/>
    <x v="22"/>
    <x v="287"/>
    <n v="206"/>
    <n v="0"/>
    <n v="0"/>
  </r>
  <r>
    <x v="17"/>
    <x v="343"/>
    <s v="YA"/>
    <x v="22"/>
    <x v="288"/>
    <n v="984"/>
    <n v="0"/>
    <n v="0"/>
  </r>
  <r>
    <x v="17"/>
    <x v="344"/>
    <s v="YA"/>
    <x v="22"/>
    <x v="73"/>
    <n v="42"/>
    <n v="0"/>
    <n v="0"/>
  </r>
  <r>
    <x v="17"/>
    <x v="345"/>
    <s v="YA"/>
    <x v="22"/>
    <x v="289"/>
    <n v="44"/>
    <n v="0"/>
    <n v="0"/>
  </r>
  <r>
    <x v="17"/>
    <x v="346"/>
    <s v="YA"/>
    <x v="22"/>
    <x v="290"/>
    <n v="49"/>
    <n v="0"/>
    <n v="0"/>
  </r>
  <r>
    <x v="17"/>
    <x v="347"/>
    <s v="ZU"/>
    <x v="23"/>
    <x v="291"/>
    <n v="26"/>
    <n v="0"/>
    <n v="0"/>
  </r>
  <r>
    <x v="17"/>
    <x v="348"/>
    <s v="ZU"/>
    <x v="23"/>
    <x v="292"/>
    <n v="263"/>
    <n v="0"/>
    <n v="0"/>
  </r>
  <r>
    <x v="17"/>
    <x v="349"/>
    <s v="ZU"/>
    <x v="23"/>
    <x v="293"/>
    <n v="1039"/>
    <n v="0"/>
    <n v="0"/>
  </r>
  <r>
    <x v="17"/>
    <x v="350"/>
    <s v="ZU"/>
    <x v="23"/>
    <x v="294"/>
    <n v="96"/>
    <n v="0"/>
    <n v="0"/>
  </r>
  <r>
    <x v="17"/>
    <x v="351"/>
    <s v="ZU"/>
    <x v="23"/>
    <x v="295"/>
    <n v="396"/>
    <n v="0"/>
    <n v="0"/>
  </r>
  <r>
    <x v="17"/>
    <x v="352"/>
    <s v="ZU"/>
    <x v="23"/>
    <x v="296"/>
    <n v="58"/>
    <n v="0"/>
    <n v="0"/>
  </r>
  <r>
    <x v="17"/>
    <x v="353"/>
    <s v="ZU"/>
    <x v="23"/>
    <x v="297"/>
    <n v="279"/>
    <n v="0"/>
    <n v="0"/>
  </r>
  <r>
    <x v="17"/>
    <x v="354"/>
    <s v="ZU"/>
    <x v="23"/>
    <x v="298"/>
    <n v="39"/>
    <n v="0"/>
    <n v="0"/>
  </r>
  <r>
    <x v="17"/>
    <x v="355"/>
    <s v="ZU"/>
    <x v="23"/>
    <x v="299"/>
    <n v="189"/>
    <n v="0"/>
    <n v="0"/>
  </r>
  <r>
    <x v="17"/>
    <x v="356"/>
    <s v="ZU"/>
    <x v="23"/>
    <x v="300"/>
    <n v="787"/>
    <n v="0"/>
    <n v="0"/>
  </r>
  <r>
    <x v="17"/>
    <x v="357"/>
    <s v="ZU"/>
    <x v="23"/>
    <x v="301"/>
    <n v="380"/>
    <n v="0"/>
    <n v="0"/>
  </r>
  <r>
    <x v="17"/>
    <x v="358"/>
    <s v="ZU"/>
    <x v="23"/>
    <x v="302"/>
    <n v="608"/>
    <n v="0"/>
    <n v="0"/>
  </r>
  <r>
    <x v="17"/>
    <x v="359"/>
    <s v="ZU"/>
    <x v="23"/>
    <x v="303"/>
    <n v="7579"/>
    <n v="0"/>
    <n v="0"/>
  </r>
  <r>
    <x v="17"/>
    <x v="360"/>
    <s v="ZU"/>
    <x v="23"/>
    <x v="104"/>
    <n v="209"/>
    <n v="0"/>
    <n v="0"/>
  </r>
  <r>
    <x v="17"/>
    <x v="361"/>
    <s v="ZU"/>
    <x v="23"/>
    <x v="55"/>
    <n v="113"/>
    <n v="0"/>
    <n v="0"/>
  </r>
  <r>
    <x v="17"/>
    <x v="362"/>
    <s v="ZU"/>
    <x v="23"/>
    <x v="304"/>
    <n v="213"/>
    <n v="0"/>
    <n v="0"/>
  </r>
  <r>
    <x v="17"/>
    <x v="363"/>
    <s v="ZU"/>
    <x v="23"/>
    <x v="136"/>
    <n v="792"/>
    <n v="0"/>
    <n v="0"/>
  </r>
  <r>
    <x v="17"/>
    <x v="364"/>
    <s v="ZU"/>
    <x v="23"/>
    <x v="305"/>
    <n v="106"/>
    <n v="0"/>
    <n v="0"/>
  </r>
  <r>
    <x v="17"/>
    <x v="365"/>
    <s v="ZU"/>
    <x v="23"/>
    <x v="49"/>
    <n v="65"/>
    <n v="0"/>
    <n v="0"/>
  </r>
  <r>
    <x v="17"/>
    <x v="366"/>
    <s v="ZU"/>
    <x v="23"/>
    <x v="73"/>
    <n v="222"/>
    <n v="0"/>
    <n v="0"/>
  </r>
  <r>
    <x v="17"/>
    <x v="367"/>
    <s v="ZU"/>
    <x v="23"/>
    <x v="306"/>
    <n v="129"/>
    <n v="0"/>
    <n v="0"/>
  </r>
  <r>
    <x v="17"/>
    <x v="368"/>
    <s v="DE"/>
    <x v="24"/>
    <x v="307"/>
    <n v="0"/>
    <n v="0"/>
    <n v="0"/>
  </r>
  <r>
    <x v="18"/>
    <x v="0"/>
    <s v="VA"/>
    <x v="0"/>
    <x v="0"/>
    <n v="0"/>
    <n v="0"/>
    <n v="0"/>
  </r>
  <r>
    <x v="18"/>
    <x v="369"/>
    <s v="DI"/>
    <x v="25"/>
    <x v="0"/>
    <n v="1370"/>
    <n v="0"/>
    <n v="0"/>
  </r>
  <r>
    <x v="18"/>
    <x v="1"/>
    <s v="DI"/>
    <x v="1"/>
    <x v="1"/>
    <n v="12934"/>
    <n v="0"/>
    <n v="0"/>
  </r>
  <r>
    <x v="18"/>
    <x v="2"/>
    <s v="DI"/>
    <x v="1"/>
    <x v="2"/>
    <n v="0"/>
    <n v="0"/>
    <n v="0"/>
  </r>
  <r>
    <x v="18"/>
    <x v="3"/>
    <s v="DI"/>
    <x v="1"/>
    <x v="3"/>
    <n v="0"/>
    <n v="0"/>
    <n v="0"/>
  </r>
  <r>
    <x v="18"/>
    <x v="4"/>
    <s v="DI"/>
    <x v="1"/>
    <x v="4"/>
    <n v="0"/>
    <n v="0"/>
    <n v="0"/>
  </r>
  <r>
    <x v="18"/>
    <x v="5"/>
    <s v="DI"/>
    <x v="1"/>
    <x v="5"/>
    <n v="0"/>
    <n v="0"/>
    <n v="0"/>
  </r>
  <r>
    <x v="18"/>
    <x v="6"/>
    <s v="DI"/>
    <x v="1"/>
    <x v="6"/>
    <n v="0"/>
    <n v="0"/>
    <n v="0"/>
  </r>
  <r>
    <x v="18"/>
    <x v="7"/>
    <s v="DI"/>
    <x v="1"/>
    <x v="7"/>
    <n v="0"/>
    <n v="0"/>
    <n v="0"/>
  </r>
  <r>
    <x v="18"/>
    <x v="8"/>
    <s v="DI"/>
    <x v="1"/>
    <x v="8"/>
    <n v="0"/>
    <n v="0"/>
    <n v="0"/>
  </r>
  <r>
    <x v="18"/>
    <x v="9"/>
    <s v="DI"/>
    <x v="1"/>
    <x v="9"/>
    <n v="0"/>
    <n v="0"/>
    <n v="0"/>
  </r>
  <r>
    <x v="18"/>
    <x v="10"/>
    <s v="DI"/>
    <x v="1"/>
    <x v="10"/>
    <n v="0"/>
    <n v="0"/>
    <n v="0"/>
  </r>
  <r>
    <x v="18"/>
    <x v="11"/>
    <s v="DI"/>
    <x v="1"/>
    <x v="11"/>
    <n v="0"/>
    <n v="0"/>
    <n v="0"/>
  </r>
  <r>
    <x v="18"/>
    <x v="12"/>
    <s v="DI"/>
    <x v="1"/>
    <x v="12"/>
    <n v="0"/>
    <n v="0"/>
    <n v="0"/>
  </r>
  <r>
    <x v="18"/>
    <x v="13"/>
    <s v="DI"/>
    <x v="1"/>
    <x v="13"/>
    <n v="0"/>
    <n v="0"/>
    <n v="0"/>
  </r>
  <r>
    <x v="18"/>
    <x v="14"/>
    <s v="DI"/>
    <x v="1"/>
    <x v="14"/>
    <n v="0"/>
    <n v="0"/>
    <n v="0"/>
  </r>
  <r>
    <x v="18"/>
    <x v="15"/>
    <s v="DI"/>
    <x v="1"/>
    <x v="15"/>
    <n v="0"/>
    <n v="0"/>
    <n v="0"/>
  </r>
  <r>
    <x v="18"/>
    <x v="16"/>
    <s v="DI"/>
    <x v="1"/>
    <x v="16"/>
    <n v="0"/>
    <n v="0"/>
    <n v="0"/>
  </r>
  <r>
    <x v="18"/>
    <x v="17"/>
    <s v="DI"/>
    <x v="1"/>
    <x v="17"/>
    <n v="0"/>
    <n v="0"/>
    <n v="0"/>
  </r>
  <r>
    <x v="18"/>
    <x v="18"/>
    <s v="DI"/>
    <x v="1"/>
    <x v="18"/>
    <n v="0"/>
    <n v="0"/>
    <n v="0"/>
  </r>
  <r>
    <x v="18"/>
    <x v="19"/>
    <s v="DI"/>
    <x v="1"/>
    <x v="19"/>
    <n v="0"/>
    <n v="0"/>
    <n v="0"/>
  </r>
  <r>
    <x v="18"/>
    <x v="20"/>
    <s v="DI"/>
    <x v="1"/>
    <x v="20"/>
    <n v="0"/>
    <n v="0"/>
    <n v="0"/>
  </r>
  <r>
    <x v="18"/>
    <x v="21"/>
    <s v="DI"/>
    <x v="1"/>
    <x v="21"/>
    <n v="0"/>
    <n v="0"/>
    <n v="0"/>
  </r>
  <r>
    <x v="18"/>
    <x v="22"/>
    <s v="DI"/>
    <x v="1"/>
    <x v="22"/>
    <n v="0"/>
    <n v="0"/>
    <n v="0"/>
  </r>
  <r>
    <x v="18"/>
    <x v="23"/>
    <s v="DI"/>
    <x v="1"/>
    <x v="23"/>
    <n v="0"/>
    <n v="0"/>
    <n v="0"/>
  </r>
  <r>
    <x v="18"/>
    <x v="24"/>
    <s v="AM"/>
    <x v="2"/>
    <x v="24"/>
    <n v="45"/>
    <n v="0"/>
    <n v="0"/>
  </r>
  <r>
    <x v="18"/>
    <x v="25"/>
    <s v="AM"/>
    <x v="2"/>
    <x v="25"/>
    <n v="14"/>
    <n v="0"/>
    <n v="0"/>
  </r>
  <r>
    <x v="18"/>
    <x v="26"/>
    <s v="AM"/>
    <x v="2"/>
    <x v="26"/>
    <n v="274"/>
    <n v="0"/>
    <n v="0"/>
  </r>
  <r>
    <x v="18"/>
    <x v="27"/>
    <s v="AM"/>
    <x v="2"/>
    <x v="27"/>
    <n v="9"/>
    <n v="0"/>
    <n v="0"/>
  </r>
  <r>
    <x v="18"/>
    <x v="28"/>
    <s v="AM"/>
    <x v="2"/>
    <x v="28"/>
    <n v="2"/>
    <n v="0"/>
    <n v="0"/>
  </r>
  <r>
    <x v="18"/>
    <x v="29"/>
    <s v="AM"/>
    <x v="2"/>
    <x v="29"/>
    <n v="4"/>
    <n v="0"/>
    <n v="0"/>
  </r>
  <r>
    <x v="18"/>
    <x v="30"/>
    <s v="AM"/>
    <x v="2"/>
    <x v="30"/>
    <n v="2"/>
    <n v="0"/>
    <n v="0"/>
  </r>
  <r>
    <x v="18"/>
    <x v="31"/>
    <s v="AN"/>
    <x v="3"/>
    <x v="31"/>
    <n v="196"/>
    <n v="0"/>
    <n v="0"/>
  </r>
  <r>
    <x v="18"/>
    <x v="32"/>
    <s v="AN"/>
    <x v="3"/>
    <x v="32"/>
    <n v="92"/>
    <n v="0"/>
    <n v="0"/>
  </r>
  <r>
    <x v="18"/>
    <x v="33"/>
    <s v="AN"/>
    <x v="3"/>
    <x v="33"/>
    <n v="86"/>
    <n v="0"/>
    <n v="0"/>
  </r>
  <r>
    <x v="18"/>
    <x v="34"/>
    <s v="AN"/>
    <x v="3"/>
    <x v="34"/>
    <n v="48"/>
    <n v="0"/>
    <n v="0"/>
  </r>
  <r>
    <x v="18"/>
    <x v="35"/>
    <s v="AN"/>
    <x v="3"/>
    <x v="35"/>
    <n v="65"/>
    <n v="0"/>
    <n v="0"/>
  </r>
  <r>
    <x v="18"/>
    <x v="36"/>
    <s v="AN"/>
    <x v="3"/>
    <x v="36"/>
    <n v="41"/>
    <n v="0"/>
    <n v="0"/>
  </r>
  <r>
    <x v="18"/>
    <x v="37"/>
    <s v="AN"/>
    <x v="3"/>
    <x v="37"/>
    <n v="45"/>
    <n v="0"/>
    <n v="0"/>
  </r>
  <r>
    <x v="18"/>
    <x v="38"/>
    <s v="AN"/>
    <x v="3"/>
    <x v="38"/>
    <n v="78"/>
    <n v="0"/>
    <n v="0"/>
  </r>
  <r>
    <x v="18"/>
    <x v="39"/>
    <s v="AN"/>
    <x v="3"/>
    <x v="39"/>
    <n v="36"/>
    <n v="0"/>
    <n v="0"/>
  </r>
  <r>
    <x v="18"/>
    <x v="40"/>
    <s v="AN"/>
    <x v="3"/>
    <x v="40"/>
    <n v="461"/>
    <n v="0"/>
    <n v="0"/>
  </r>
  <r>
    <x v="18"/>
    <x v="41"/>
    <s v="AN"/>
    <x v="3"/>
    <x v="41"/>
    <n v="33"/>
    <n v="0"/>
    <n v="0"/>
  </r>
  <r>
    <x v="18"/>
    <x v="42"/>
    <s v="AN"/>
    <x v="3"/>
    <x v="42"/>
    <n v="30"/>
    <n v="0"/>
    <n v="0"/>
  </r>
  <r>
    <x v="18"/>
    <x v="43"/>
    <s v="AN"/>
    <x v="3"/>
    <x v="43"/>
    <n v="67"/>
    <n v="0"/>
    <n v="0"/>
  </r>
  <r>
    <x v="18"/>
    <x v="44"/>
    <s v="AN"/>
    <x v="3"/>
    <x v="44"/>
    <n v="219"/>
    <n v="0"/>
    <n v="0"/>
  </r>
  <r>
    <x v="18"/>
    <x v="45"/>
    <s v="AN"/>
    <x v="3"/>
    <x v="45"/>
    <n v="44"/>
    <n v="0"/>
    <n v="0"/>
  </r>
  <r>
    <x v="18"/>
    <x v="46"/>
    <s v="AN"/>
    <x v="3"/>
    <x v="46"/>
    <n v="103"/>
    <n v="0"/>
    <n v="0"/>
  </r>
  <r>
    <x v="18"/>
    <x v="47"/>
    <s v="AN"/>
    <x v="3"/>
    <x v="47"/>
    <n v="35"/>
    <n v="0"/>
    <n v="0"/>
  </r>
  <r>
    <x v="18"/>
    <x v="48"/>
    <s v="AN"/>
    <x v="3"/>
    <x v="48"/>
    <n v="27"/>
    <n v="0"/>
    <n v="0"/>
  </r>
  <r>
    <x v="18"/>
    <x v="49"/>
    <s v="AN"/>
    <x v="3"/>
    <x v="49"/>
    <n v="1070"/>
    <n v="0"/>
    <n v="0"/>
  </r>
  <r>
    <x v="18"/>
    <x v="50"/>
    <s v="AN"/>
    <x v="3"/>
    <x v="50"/>
    <n v="472"/>
    <n v="0"/>
    <n v="0"/>
  </r>
  <r>
    <x v="18"/>
    <x v="51"/>
    <s v="AN"/>
    <x v="3"/>
    <x v="51"/>
    <n v="9"/>
    <n v="0"/>
    <n v="0"/>
  </r>
  <r>
    <x v="18"/>
    <x v="52"/>
    <s v="AP"/>
    <x v="4"/>
    <x v="52"/>
    <n v="160"/>
    <n v="0"/>
    <n v="0"/>
  </r>
  <r>
    <x v="18"/>
    <x v="53"/>
    <s v="AP"/>
    <x v="4"/>
    <x v="53"/>
    <n v="52"/>
    <n v="0"/>
    <n v="0"/>
  </r>
  <r>
    <x v="18"/>
    <x v="54"/>
    <s v="AP"/>
    <x v="4"/>
    <x v="54"/>
    <n v="40"/>
    <n v="0"/>
    <n v="0"/>
  </r>
  <r>
    <x v="18"/>
    <x v="55"/>
    <s v="AP"/>
    <x v="4"/>
    <x v="55"/>
    <n v="247"/>
    <n v="0"/>
    <n v="0"/>
  </r>
  <r>
    <x v="18"/>
    <x v="56"/>
    <s v="AP"/>
    <x v="4"/>
    <x v="56"/>
    <n v="35"/>
    <n v="0"/>
    <n v="0"/>
  </r>
  <r>
    <x v="18"/>
    <x v="57"/>
    <s v="AP"/>
    <x v="4"/>
    <x v="57"/>
    <n v="29"/>
    <n v="0"/>
    <n v="0"/>
  </r>
  <r>
    <x v="18"/>
    <x v="58"/>
    <s v="AP"/>
    <x v="4"/>
    <x v="58"/>
    <n v="793"/>
    <n v="0"/>
    <n v="0"/>
  </r>
  <r>
    <x v="18"/>
    <x v="59"/>
    <s v="AR"/>
    <x v="5"/>
    <x v="59"/>
    <n v="108"/>
    <n v="0"/>
    <n v="0"/>
  </r>
  <r>
    <x v="18"/>
    <x v="60"/>
    <s v="AR"/>
    <x v="5"/>
    <x v="60"/>
    <n v="31"/>
    <n v="0"/>
    <n v="0"/>
  </r>
  <r>
    <x v="18"/>
    <x v="61"/>
    <s v="AR"/>
    <x v="5"/>
    <x v="61"/>
    <n v="0"/>
    <n v="0"/>
    <n v="0"/>
  </r>
  <r>
    <x v="18"/>
    <x v="62"/>
    <s v="AR"/>
    <x v="5"/>
    <x v="62"/>
    <n v="3117"/>
    <n v="0"/>
    <n v="0"/>
  </r>
  <r>
    <x v="18"/>
    <x v="63"/>
    <s v="AR"/>
    <x v="5"/>
    <x v="63"/>
    <n v="56"/>
    <n v="0"/>
    <n v="0"/>
  </r>
  <r>
    <x v="18"/>
    <x v="64"/>
    <s v="AR"/>
    <x v="5"/>
    <x v="64"/>
    <n v="666"/>
    <n v="0"/>
    <n v="0"/>
  </r>
  <r>
    <x v="18"/>
    <x v="65"/>
    <s v="AR"/>
    <x v="5"/>
    <x v="65"/>
    <n v="85"/>
    <n v="0"/>
    <n v="0"/>
  </r>
  <r>
    <x v="18"/>
    <x v="66"/>
    <s v="AR"/>
    <x v="5"/>
    <x v="66"/>
    <n v="220"/>
    <n v="0"/>
    <n v="0"/>
  </r>
  <r>
    <x v="18"/>
    <x v="67"/>
    <s v="AR"/>
    <x v="5"/>
    <x v="67"/>
    <n v="262"/>
    <n v="0"/>
    <n v="0"/>
  </r>
  <r>
    <x v="18"/>
    <x v="68"/>
    <s v="AR"/>
    <x v="5"/>
    <x v="68"/>
    <n v="0"/>
    <n v="0"/>
    <n v="0"/>
  </r>
  <r>
    <x v="18"/>
    <x v="69"/>
    <s v="AR"/>
    <x v="5"/>
    <x v="69"/>
    <n v="73"/>
    <n v="0"/>
    <n v="0"/>
  </r>
  <r>
    <x v="18"/>
    <x v="70"/>
    <s v="AR"/>
    <x v="5"/>
    <x v="70"/>
    <n v="55"/>
    <n v="0"/>
    <n v="0"/>
  </r>
  <r>
    <x v="18"/>
    <x v="71"/>
    <s v="AR"/>
    <x v="5"/>
    <x v="71"/>
    <n v="460"/>
    <n v="0"/>
    <n v="0"/>
  </r>
  <r>
    <x v="18"/>
    <x v="72"/>
    <s v="AR"/>
    <x v="5"/>
    <x v="72"/>
    <n v="97"/>
    <n v="0"/>
    <n v="0"/>
  </r>
  <r>
    <x v="18"/>
    <x v="73"/>
    <s v="AR"/>
    <x v="5"/>
    <x v="73"/>
    <n v="280"/>
    <n v="0"/>
    <n v="0"/>
  </r>
  <r>
    <x v="18"/>
    <x v="74"/>
    <s v="AR"/>
    <x v="5"/>
    <x v="74"/>
    <n v="38"/>
    <n v="0"/>
    <n v="0"/>
  </r>
  <r>
    <x v="18"/>
    <x v="75"/>
    <s v="AR"/>
    <x v="5"/>
    <x v="75"/>
    <n v="45"/>
    <n v="0"/>
    <n v="0"/>
  </r>
  <r>
    <x v="18"/>
    <x v="76"/>
    <s v="AR"/>
    <x v="5"/>
    <x v="76"/>
    <n v="449"/>
    <n v="0"/>
    <n v="0"/>
  </r>
  <r>
    <x v="18"/>
    <x v="77"/>
    <s v="BA"/>
    <x v="6"/>
    <x v="77"/>
    <n v="122"/>
    <n v="0"/>
    <n v="0"/>
  </r>
  <r>
    <x v="18"/>
    <x v="78"/>
    <s v="BA"/>
    <x v="6"/>
    <x v="78"/>
    <n v="0"/>
    <n v="0"/>
    <n v="0"/>
  </r>
  <r>
    <x v="18"/>
    <x v="79"/>
    <s v="BA"/>
    <x v="6"/>
    <x v="79"/>
    <n v="206"/>
    <n v="0"/>
    <n v="0"/>
  </r>
  <r>
    <x v="18"/>
    <x v="80"/>
    <s v="BA"/>
    <x v="6"/>
    <x v="80"/>
    <n v="41"/>
    <n v="0"/>
    <n v="0"/>
  </r>
  <r>
    <x v="18"/>
    <x v="81"/>
    <s v="BA"/>
    <x v="6"/>
    <x v="81"/>
    <n v="1190"/>
    <n v="0"/>
    <n v="0"/>
  </r>
  <r>
    <x v="18"/>
    <x v="82"/>
    <s v="BA"/>
    <x v="6"/>
    <x v="59"/>
    <n v="132"/>
    <n v="0"/>
    <n v="0"/>
  </r>
  <r>
    <x v="18"/>
    <x v="83"/>
    <s v="BA"/>
    <x v="6"/>
    <x v="82"/>
    <n v="43"/>
    <n v="0"/>
    <n v="0"/>
  </r>
  <r>
    <x v="18"/>
    <x v="84"/>
    <s v="BA"/>
    <x v="6"/>
    <x v="83"/>
    <n v="167"/>
    <n v="0"/>
    <n v="0"/>
  </r>
  <r>
    <x v="18"/>
    <x v="85"/>
    <s v="BA"/>
    <x v="6"/>
    <x v="84"/>
    <n v="60"/>
    <n v="0"/>
    <n v="0"/>
  </r>
  <r>
    <x v="18"/>
    <x v="86"/>
    <s v="BA"/>
    <x v="6"/>
    <x v="85"/>
    <n v="133"/>
    <n v="0"/>
    <n v="0"/>
  </r>
  <r>
    <x v="18"/>
    <x v="87"/>
    <s v="BA"/>
    <x v="6"/>
    <x v="86"/>
    <n v="96"/>
    <n v="0"/>
    <n v="0"/>
  </r>
  <r>
    <x v="18"/>
    <x v="88"/>
    <s v="BA"/>
    <x v="6"/>
    <x v="87"/>
    <n v="48"/>
    <n v="0"/>
    <n v="0"/>
  </r>
  <r>
    <x v="18"/>
    <x v="89"/>
    <s v="BO"/>
    <x v="7"/>
    <x v="88"/>
    <n v="2298"/>
    <n v="0"/>
    <n v="0"/>
  </r>
  <r>
    <x v="18"/>
    <x v="90"/>
    <s v="BO"/>
    <x v="7"/>
    <x v="89"/>
    <n v="171"/>
    <n v="0"/>
    <n v="0"/>
  </r>
  <r>
    <x v="18"/>
    <x v="91"/>
    <s v="BO"/>
    <x v="7"/>
    <x v="90"/>
    <n v="66"/>
    <n v="0"/>
    <n v="0"/>
  </r>
  <r>
    <x v="18"/>
    <x v="92"/>
    <s v="BO"/>
    <x v="7"/>
    <x v="91"/>
    <n v="49"/>
    <n v="0"/>
    <n v="0"/>
  </r>
  <r>
    <x v="18"/>
    <x v="93"/>
    <s v="BO"/>
    <x v="7"/>
    <x v="92"/>
    <n v="1598"/>
    <n v="0"/>
    <n v="0"/>
  </r>
  <r>
    <x v="18"/>
    <x v="94"/>
    <s v="BO"/>
    <x v="7"/>
    <x v="93"/>
    <n v="0"/>
    <n v="0"/>
    <n v="0"/>
  </r>
  <r>
    <x v="18"/>
    <x v="95"/>
    <s v="BO"/>
    <x v="7"/>
    <x v="94"/>
    <n v="417"/>
    <n v="0"/>
    <n v="0"/>
  </r>
  <r>
    <x v="18"/>
    <x v="96"/>
    <s v="BO"/>
    <x v="7"/>
    <x v="95"/>
    <n v="107"/>
    <n v="0"/>
    <n v="0"/>
  </r>
  <r>
    <x v="18"/>
    <x v="97"/>
    <s v="BO"/>
    <x v="7"/>
    <x v="96"/>
    <n v="56"/>
    <n v="0"/>
    <n v="0"/>
  </r>
  <r>
    <x v="18"/>
    <x v="98"/>
    <s v="BO"/>
    <x v="7"/>
    <x v="97"/>
    <n v="142"/>
    <n v="0"/>
    <n v="0"/>
  </r>
  <r>
    <x v="18"/>
    <x v="99"/>
    <s v="BO"/>
    <x v="7"/>
    <x v="73"/>
    <n v="10"/>
    <n v="0"/>
    <n v="0"/>
  </r>
  <r>
    <x v="18"/>
    <x v="100"/>
    <s v="CA"/>
    <x v="8"/>
    <x v="98"/>
    <n v="209"/>
    <n v="0"/>
    <n v="0"/>
  </r>
  <r>
    <x v="18"/>
    <x v="101"/>
    <s v="CA"/>
    <x v="8"/>
    <x v="99"/>
    <n v="308"/>
    <n v="0"/>
    <n v="0"/>
  </r>
  <r>
    <x v="18"/>
    <x v="102"/>
    <s v="CA"/>
    <x v="8"/>
    <x v="100"/>
    <n v="205"/>
    <n v="0"/>
    <n v="0"/>
  </r>
  <r>
    <x v="18"/>
    <x v="103"/>
    <s v="CA"/>
    <x v="8"/>
    <x v="101"/>
    <n v="375"/>
    <n v="0"/>
    <n v="0"/>
  </r>
  <r>
    <x v="18"/>
    <x v="104"/>
    <s v="CA"/>
    <x v="8"/>
    <x v="102"/>
    <n v="145"/>
    <n v="0"/>
    <n v="0"/>
  </r>
  <r>
    <x v="18"/>
    <x v="105"/>
    <s v="CA"/>
    <x v="8"/>
    <x v="66"/>
    <n v="393"/>
    <n v="0"/>
    <n v="0"/>
  </r>
  <r>
    <x v="18"/>
    <x v="106"/>
    <s v="CA"/>
    <x v="8"/>
    <x v="103"/>
    <n v="180"/>
    <n v="0"/>
    <n v="0"/>
  </r>
  <r>
    <x v="18"/>
    <x v="107"/>
    <s v="CA"/>
    <x v="8"/>
    <x v="104"/>
    <n v="48"/>
    <n v="0"/>
    <n v="0"/>
  </r>
  <r>
    <x v="18"/>
    <x v="108"/>
    <s v="CA"/>
    <x v="8"/>
    <x v="105"/>
    <n v="41"/>
    <n v="0"/>
    <n v="0"/>
  </r>
  <r>
    <x v="18"/>
    <x v="109"/>
    <s v="CA"/>
    <x v="8"/>
    <x v="106"/>
    <n v="820"/>
    <n v="0"/>
    <n v="0"/>
  </r>
  <r>
    <x v="18"/>
    <x v="110"/>
    <s v="CA"/>
    <x v="8"/>
    <x v="107"/>
    <n v="900"/>
    <n v="0"/>
    <n v="0"/>
  </r>
  <r>
    <x v="18"/>
    <x v="111"/>
    <s v="CA"/>
    <x v="8"/>
    <x v="108"/>
    <n v="78"/>
    <n v="0"/>
    <n v="0"/>
  </r>
  <r>
    <x v="18"/>
    <x v="112"/>
    <s v="CA"/>
    <x v="8"/>
    <x v="109"/>
    <n v="101"/>
    <n v="0"/>
    <n v="0"/>
  </r>
  <r>
    <x v="18"/>
    <x v="113"/>
    <s v="CA"/>
    <x v="8"/>
    <x v="110"/>
    <n v="3711"/>
    <n v="0"/>
    <n v="0"/>
  </r>
  <r>
    <x v="18"/>
    <x v="114"/>
    <s v="CO"/>
    <x v="9"/>
    <x v="111"/>
    <n v="33"/>
    <n v="0"/>
    <n v="0"/>
  </r>
  <r>
    <x v="18"/>
    <x v="115"/>
    <s v="CO"/>
    <x v="9"/>
    <x v="112"/>
    <n v="227"/>
    <n v="0"/>
    <n v="0"/>
  </r>
  <r>
    <x v="18"/>
    <x v="116"/>
    <s v="CO"/>
    <x v="9"/>
    <x v="62"/>
    <n v="26"/>
    <n v="0"/>
    <n v="0"/>
  </r>
  <r>
    <x v="18"/>
    <x v="117"/>
    <s v="CO"/>
    <x v="9"/>
    <x v="113"/>
    <n v="20"/>
    <n v="0"/>
    <n v="0"/>
  </r>
  <r>
    <x v="18"/>
    <x v="118"/>
    <s v="CO"/>
    <x v="9"/>
    <x v="114"/>
    <n v="32"/>
    <n v="0"/>
    <n v="0"/>
  </r>
  <r>
    <x v="18"/>
    <x v="119"/>
    <s v="CO"/>
    <x v="9"/>
    <x v="115"/>
    <n v="27"/>
    <n v="0"/>
    <n v="0"/>
  </r>
  <r>
    <x v="18"/>
    <x v="120"/>
    <s v="CO"/>
    <x v="9"/>
    <x v="57"/>
    <n v="20"/>
    <n v="0"/>
    <n v="0"/>
  </r>
  <r>
    <x v="18"/>
    <x v="121"/>
    <s v="CO"/>
    <x v="9"/>
    <x v="116"/>
    <n v="449"/>
    <n v="0"/>
    <n v="0"/>
  </r>
  <r>
    <x v="18"/>
    <x v="122"/>
    <s v="CO"/>
    <x v="9"/>
    <x v="117"/>
    <n v="62"/>
    <n v="0"/>
    <n v="0"/>
  </r>
  <r>
    <x v="18"/>
    <x v="123"/>
    <s v="DE"/>
    <x v="10"/>
    <x v="118"/>
    <n v="27"/>
    <n v="0"/>
    <n v="0"/>
  </r>
  <r>
    <x v="18"/>
    <x v="124"/>
    <s v="DE"/>
    <x v="10"/>
    <x v="119"/>
    <n v="33"/>
    <n v="0"/>
    <n v="0"/>
  </r>
  <r>
    <x v="18"/>
    <x v="125"/>
    <s v="DE"/>
    <x v="10"/>
    <x v="120"/>
    <n v="24"/>
    <n v="0"/>
    <n v="0"/>
  </r>
  <r>
    <x v="18"/>
    <x v="126"/>
    <s v="DE"/>
    <x v="10"/>
    <x v="121"/>
    <n v="383"/>
    <n v="0"/>
    <n v="0"/>
  </r>
  <r>
    <x v="18"/>
    <x v="127"/>
    <s v="FA"/>
    <x v="11"/>
    <x v="122"/>
    <n v="38"/>
    <n v="0"/>
    <n v="0"/>
  </r>
  <r>
    <x v="18"/>
    <x v="128"/>
    <s v="FA"/>
    <x v="11"/>
    <x v="59"/>
    <n v="22"/>
    <n v="0"/>
    <n v="0"/>
  </r>
  <r>
    <x v="18"/>
    <x v="129"/>
    <s v="FA"/>
    <x v="11"/>
    <x v="123"/>
    <n v="57"/>
    <n v="0"/>
    <n v="0"/>
  </r>
  <r>
    <x v="18"/>
    <x v="130"/>
    <s v="FA"/>
    <x v="11"/>
    <x v="124"/>
    <n v="9"/>
    <n v="0"/>
    <n v="0"/>
  </r>
  <r>
    <x v="18"/>
    <x v="131"/>
    <s v="FA"/>
    <x v="11"/>
    <x v="125"/>
    <n v="622"/>
    <n v="0"/>
    <n v="0"/>
  </r>
  <r>
    <x v="18"/>
    <x v="132"/>
    <s v="FA"/>
    <x v="11"/>
    <x v="126"/>
    <n v="48"/>
    <n v="0"/>
    <n v="0"/>
  </r>
  <r>
    <x v="18"/>
    <x v="133"/>
    <s v="FA"/>
    <x v="11"/>
    <x v="127"/>
    <n v="52"/>
    <n v="0"/>
    <n v="0"/>
  </r>
  <r>
    <x v="18"/>
    <x v="134"/>
    <s v="FA"/>
    <x v="11"/>
    <x v="128"/>
    <n v="19"/>
    <n v="0"/>
    <n v="0"/>
  </r>
  <r>
    <x v="18"/>
    <x v="135"/>
    <s v="FA"/>
    <x v="11"/>
    <x v="112"/>
    <n v="79"/>
    <n v="0"/>
    <n v="0"/>
  </r>
  <r>
    <x v="18"/>
    <x v="136"/>
    <s v="FA"/>
    <x v="11"/>
    <x v="129"/>
    <n v="94"/>
    <n v="0"/>
    <n v="0"/>
  </r>
  <r>
    <x v="18"/>
    <x v="137"/>
    <s v="FA"/>
    <x v="11"/>
    <x v="130"/>
    <n v="10"/>
    <n v="0"/>
    <n v="0"/>
  </r>
  <r>
    <x v="18"/>
    <x v="138"/>
    <s v="FA"/>
    <x v="11"/>
    <x v="131"/>
    <n v="78"/>
    <n v="0"/>
    <n v="0"/>
  </r>
  <r>
    <x v="18"/>
    <x v="139"/>
    <s v="FA"/>
    <x v="11"/>
    <x v="132"/>
    <n v="38"/>
    <n v="0"/>
    <n v="0"/>
  </r>
  <r>
    <x v="18"/>
    <x v="140"/>
    <s v="FA"/>
    <x v="11"/>
    <x v="104"/>
    <n v="902"/>
    <n v="0"/>
    <n v="0"/>
  </r>
  <r>
    <x v="18"/>
    <x v="141"/>
    <s v="FA"/>
    <x v="11"/>
    <x v="133"/>
    <n v="35"/>
    <n v="0"/>
    <n v="0"/>
  </r>
  <r>
    <x v="18"/>
    <x v="142"/>
    <s v="FA"/>
    <x v="11"/>
    <x v="134"/>
    <n v="11"/>
    <n v="0"/>
    <n v="0"/>
  </r>
  <r>
    <x v="18"/>
    <x v="143"/>
    <s v="FA"/>
    <x v="11"/>
    <x v="135"/>
    <n v="35"/>
    <n v="0"/>
    <n v="0"/>
  </r>
  <r>
    <x v="18"/>
    <x v="144"/>
    <s v="FA"/>
    <x v="11"/>
    <x v="45"/>
    <n v="15"/>
    <n v="0"/>
    <n v="0"/>
  </r>
  <r>
    <x v="18"/>
    <x v="145"/>
    <s v="FA"/>
    <x v="11"/>
    <x v="136"/>
    <n v="17"/>
    <n v="0"/>
    <n v="0"/>
  </r>
  <r>
    <x v="18"/>
    <x v="146"/>
    <s v="FA"/>
    <x v="11"/>
    <x v="137"/>
    <n v="47"/>
    <n v="0"/>
    <n v="0"/>
  </r>
  <r>
    <x v="18"/>
    <x v="147"/>
    <s v="FA"/>
    <x v="11"/>
    <x v="73"/>
    <n v="14"/>
    <n v="0"/>
    <n v="0"/>
  </r>
  <r>
    <x v="18"/>
    <x v="148"/>
    <s v="FA"/>
    <x v="11"/>
    <x v="138"/>
    <n v="19"/>
    <n v="0"/>
    <n v="0"/>
  </r>
  <r>
    <x v="18"/>
    <x v="149"/>
    <s v="FA"/>
    <x v="11"/>
    <x v="139"/>
    <n v="22"/>
    <n v="0"/>
    <n v="0"/>
  </r>
  <r>
    <x v="18"/>
    <x v="150"/>
    <s v="FA"/>
    <x v="11"/>
    <x v="140"/>
    <n v="21"/>
    <n v="0"/>
    <n v="0"/>
  </r>
  <r>
    <x v="18"/>
    <x v="151"/>
    <s v="FA"/>
    <x v="11"/>
    <x v="76"/>
    <n v="5"/>
    <n v="0"/>
    <n v="0"/>
  </r>
  <r>
    <x v="18"/>
    <x v="152"/>
    <s v="GU"/>
    <x v="12"/>
    <x v="141"/>
    <n v="9"/>
    <n v="0"/>
    <n v="0"/>
  </r>
  <r>
    <x v="18"/>
    <x v="153"/>
    <s v="GU"/>
    <x v="12"/>
    <x v="142"/>
    <n v="31"/>
    <n v="0"/>
    <n v="0"/>
  </r>
  <r>
    <x v="18"/>
    <x v="154"/>
    <s v="GU"/>
    <x v="12"/>
    <x v="143"/>
    <n v="40"/>
    <n v="0"/>
    <n v="0"/>
  </r>
  <r>
    <x v="18"/>
    <x v="155"/>
    <s v="GU"/>
    <x v="12"/>
    <x v="144"/>
    <n v="25"/>
    <n v="0"/>
    <n v="0"/>
  </r>
  <r>
    <x v="18"/>
    <x v="156"/>
    <s v="GU"/>
    <x v="12"/>
    <x v="145"/>
    <n v="524"/>
    <n v="0"/>
    <n v="0"/>
  </r>
  <r>
    <x v="18"/>
    <x v="157"/>
    <s v="GU"/>
    <x v="12"/>
    <x v="146"/>
    <n v="55"/>
    <n v="0"/>
    <n v="0"/>
  </r>
  <r>
    <x v="18"/>
    <x v="158"/>
    <s v="GU"/>
    <x v="12"/>
    <x v="147"/>
    <n v="97"/>
    <n v="0"/>
    <n v="0"/>
  </r>
  <r>
    <x v="18"/>
    <x v="159"/>
    <s v="GU"/>
    <x v="12"/>
    <x v="104"/>
    <n v="538"/>
    <n v="0"/>
    <n v="0"/>
  </r>
  <r>
    <x v="18"/>
    <x v="160"/>
    <s v="GU"/>
    <x v="12"/>
    <x v="148"/>
    <n v="269"/>
    <n v="0"/>
    <n v="0"/>
  </r>
  <r>
    <x v="18"/>
    <x v="161"/>
    <s v="GU"/>
    <x v="12"/>
    <x v="149"/>
    <n v="30"/>
    <n v="0"/>
    <n v="0"/>
  </r>
  <r>
    <x v="18"/>
    <x v="162"/>
    <s v="GU"/>
    <x v="12"/>
    <x v="150"/>
    <n v="99"/>
    <n v="0"/>
    <n v="0"/>
  </r>
  <r>
    <x v="18"/>
    <x v="163"/>
    <s v="GU"/>
    <x v="12"/>
    <x v="96"/>
    <n v="460"/>
    <n v="0"/>
    <n v="0"/>
  </r>
  <r>
    <x v="18"/>
    <x v="164"/>
    <s v="GU"/>
    <x v="12"/>
    <x v="151"/>
    <n v="11"/>
    <n v="0"/>
    <n v="0"/>
  </r>
  <r>
    <x v="18"/>
    <x v="165"/>
    <s v="GU"/>
    <x v="12"/>
    <x v="152"/>
    <n v="36"/>
    <n v="0"/>
    <n v="0"/>
  </r>
  <r>
    <x v="18"/>
    <x v="166"/>
    <s v="GU"/>
    <x v="12"/>
    <x v="153"/>
    <n v="234"/>
    <n v="0"/>
    <n v="0"/>
  </r>
  <r>
    <x v="18"/>
    <x v="167"/>
    <s v="LA"/>
    <x v="13"/>
    <x v="154"/>
    <n v="110"/>
    <n v="0"/>
    <n v="0"/>
  </r>
  <r>
    <x v="18"/>
    <x v="168"/>
    <s v="LA"/>
    <x v="13"/>
    <x v="155"/>
    <n v="120"/>
    <n v="0"/>
    <n v="0"/>
  </r>
  <r>
    <x v="18"/>
    <x v="169"/>
    <s v="LA"/>
    <x v="13"/>
    <x v="156"/>
    <n v="4614"/>
    <n v="0"/>
    <n v="0"/>
  </r>
  <r>
    <x v="18"/>
    <x v="170"/>
    <s v="LA"/>
    <x v="13"/>
    <x v="157"/>
    <n v="212"/>
    <n v="0"/>
    <n v="0"/>
  </r>
  <r>
    <x v="18"/>
    <x v="171"/>
    <s v="LA"/>
    <x v="13"/>
    <x v="158"/>
    <n v="426"/>
    <n v="0"/>
    <n v="0"/>
  </r>
  <r>
    <x v="18"/>
    <x v="172"/>
    <s v="LA"/>
    <x v="13"/>
    <x v="159"/>
    <n v="214"/>
    <n v="0"/>
    <n v="0"/>
  </r>
  <r>
    <x v="18"/>
    <x v="173"/>
    <s v="LA"/>
    <x v="13"/>
    <x v="160"/>
    <n v="61"/>
    <n v="0"/>
    <n v="0"/>
  </r>
  <r>
    <x v="18"/>
    <x v="174"/>
    <s v="LA"/>
    <x v="13"/>
    <x v="161"/>
    <n v="663"/>
    <n v="0"/>
    <n v="0"/>
  </r>
  <r>
    <x v="18"/>
    <x v="175"/>
    <s v="LA"/>
    <x v="13"/>
    <x v="75"/>
    <n v="106"/>
    <n v="0"/>
    <n v="0"/>
  </r>
  <r>
    <x v="18"/>
    <x v="176"/>
    <s v="ME"/>
    <x v="14"/>
    <x v="162"/>
    <n v="481"/>
    <n v="0"/>
    <n v="0"/>
  </r>
  <r>
    <x v="18"/>
    <x v="177"/>
    <s v="ME"/>
    <x v="14"/>
    <x v="163"/>
    <n v="36"/>
    <n v="0"/>
    <n v="0"/>
  </r>
  <r>
    <x v="18"/>
    <x v="178"/>
    <s v="ME"/>
    <x v="14"/>
    <x v="164"/>
    <n v="103"/>
    <n v="0"/>
    <n v="0"/>
  </r>
  <r>
    <x v="18"/>
    <x v="179"/>
    <s v="ME"/>
    <x v="14"/>
    <x v="165"/>
    <n v="18"/>
    <n v="0"/>
    <n v="0"/>
  </r>
  <r>
    <x v="18"/>
    <x v="180"/>
    <s v="ME"/>
    <x v="14"/>
    <x v="166"/>
    <n v="65"/>
    <n v="0"/>
    <n v="0"/>
  </r>
  <r>
    <x v="18"/>
    <x v="181"/>
    <s v="ME"/>
    <x v="14"/>
    <x v="167"/>
    <n v="237"/>
    <n v="0"/>
    <n v="0"/>
  </r>
  <r>
    <x v="18"/>
    <x v="182"/>
    <s v="ME"/>
    <x v="14"/>
    <x v="168"/>
    <n v="39"/>
    <n v="0"/>
    <n v="0"/>
  </r>
  <r>
    <x v="18"/>
    <x v="183"/>
    <s v="ME"/>
    <x v="14"/>
    <x v="169"/>
    <n v="119"/>
    <n v="0"/>
    <n v="0"/>
  </r>
  <r>
    <x v="18"/>
    <x v="184"/>
    <s v="ME"/>
    <x v="14"/>
    <x v="170"/>
    <n v="48"/>
    <n v="0"/>
    <n v="0"/>
  </r>
  <r>
    <x v="18"/>
    <x v="185"/>
    <s v="ME"/>
    <x v="14"/>
    <x v="171"/>
    <n v="59"/>
    <n v="0"/>
    <n v="0"/>
  </r>
  <r>
    <x v="18"/>
    <x v="186"/>
    <s v="ME"/>
    <x v="14"/>
    <x v="172"/>
    <n v="26"/>
    <n v="0"/>
    <n v="0"/>
  </r>
  <r>
    <x v="18"/>
    <x v="187"/>
    <s v="ME"/>
    <x v="14"/>
    <x v="66"/>
    <n v="1515"/>
    <n v="0"/>
    <n v="0"/>
  </r>
  <r>
    <x v="18"/>
    <x v="188"/>
    <s v="ME"/>
    <x v="14"/>
    <x v="104"/>
    <n v="90"/>
    <n v="0"/>
    <n v="0"/>
  </r>
  <r>
    <x v="18"/>
    <x v="189"/>
    <s v="ME"/>
    <x v="14"/>
    <x v="173"/>
    <n v="70"/>
    <n v="0"/>
    <n v="0"/>
  </r>
  <r>
    <x v="18"/>
    <x v="190"/>
    <s v="ME"/>
    <x v="14"/>
    <x v="174"/>
    <n v="11"/>
    <n v="0"/>
    <n v="0"/>
  </r>
  <r>
    <x v="18"/>
    <x v="191"/>
    <s v="ME"/>
    <x v="14"/>
    <x v="175"/>
    <n v="43"/>
    <n v="0"/>
    <n v="0"/>
  </r>
  <r>
    <x v="18"/>
    <x v="192"/>
    <s v="ME"/>
    <x v="14"/>
    <x v="176"/>
    <n v="75"/>
    <n v="0"/>
    <n v="0"/>
  </r>
  <r>
    <x v="18"/>
    <x v="193"/>
    <s v="ME"/>
    <x v="14"/>
    <x v="177"/>
    <n v="75"/>
    <n v="0"/>
    <n v="0"/>
  </r>
  <r>
    <x v="18"/>
    <x v="194"/>
    <s v="ME"/>
    <x v="14"/>
    <x v="178"/>
    <n v="44"/>
    <n v="0"/>
    <n v="0"/>
  </r>
  <r>
    <x v="18"/>
    <x v="195"/>
    <s v="ME"/>
    <x v="14"/>
    <x v="73"/>
    <n v="166"/>
    <n v="0"/>
    <n v="0"/>
  </r>
  <r>
    <x v="18"/>
    <x v="196"/>
    <s v="ME"/>
    <x v="14"/>
    <x v="74"/>
    <n v="180"/>
    <n v="0"/>
    <n v="0"/>
  </r>
  <r>
    <x v="18"/>
    <x v="197"/>
    <s v="ME"/>
    <x v="14"/>
    <x v="179"/>
    <n v="98"/>
    <n v="0"/>
    <n v="0"/>
  </r>
  <r>
    <x v="18"/>
    <x v="198"/>
    <s v="ME"/>
    <x v="14"/>
    <x v="180"/>
    <n v="27"/>
    <n v="0"/>
    <n v="0"/>
  </r>
  <r>
    <x v="18"/>
    <x v="199"/>
    <s v="MI"/>
    <x v="15"/>
    <x v="181"/>
    <n v="297"/>
    <n v="0"/>
    <n v="0"/>
  </r>
  <r>
    <x v="18"/>
    <x v="200"/>
    <s v="MI"/>
    <x v="15"/>
    <x v="163"/>
    <n v="48"/>
    <n v="0"/>
    <n v="0"/>
  </r>
  <r>
    <x v="18"/>
    <x v="201"/>
    <s v="MI"/>
    <x v="15"/>
    <x v="182"/>
    <n v="1128"/>
    <n v="0"/>
    <n v="0"/>
  </r>
  <r>
    <x v="18"/>
    <x v="202"/>
    <s v="MI"/>
    <x v="15"/>
    <x v="183"/>
    <n v="187"/>
    <n v="0"/>
    <n v="0"/>
  </r>
  <r>
    <x v="18"/>
    <x v="203"/>
    <s v="MI"/>
    <x v="15"/>
    <x v="184"/>
    <n v="39"/>
    <n v="0"/>
    <n v="0"/>
  </r>
  <r>
    <x v="18"/>
    <x v="204"/>
    <s v="MI"/>
    <x v="15"/>
    <x v="185"/>
    <n v="55"/>
    <n v="0"/>
    <n v="0"/>
  </r>
  <r>
    <x v="18"/>
    <x v="205"/>
    <s v="MI"/>
    <x v="15"/>
    <x v="186"/>
    <n v="658"/>
    <n v="0"/>
    <n v="0"/>
  </r>
  <r>
    <x v="18"/>
    <x v="206"/>
    <s v="MI"/>
    <x v="15"/>
    <x v="187"/>
    <n v="173"/>
    <n v="0"/>
    <n v="0"/>
  </r>
  <r>
    <x v="18"/>
    <x v="207"/>
    <s v="MI"/>
    <x v="15"/>
    <x v="188"/>
    <n v="100"/>
    <n v="0"/>
    <n v="0"/>
  </r>
  <r>
    <x v="18"/>
    <x v="208"/>
    <s v="MI"/>
    <x v="15"/>
    <x v="189"/>
    <n v="1056"/>
    <n v="0"/>
    <n v="0"/>
  </r>
  <r>
    <x v="18"/>
    <x v="209"/>
    <s v="MI"/>
    <x v="15"/>
    <x v="38"/>
    <n v="292"/>
    <n v="0"/>
    <n v="0"/>
  </r>
  <r>
    <x v="18"/>
    <x v="210"/>
    <s v="MI"/>
    <x v="15"/>
    <x v="190"/>
    <n v="753"/>
    <n v="0"/>
    <n v="0"/>
  </r>
  <r>
    <x v="18"/>
    <x v="211"/>
    <s v="MI"/>
    <x v="15"/>
    <x v="191"/>
    <n v="130"/>
    <n v="0"/>
    <n v="0"/>
  </r>
  <r>
    <x v="18"/>
    <x v="212"/>
    <s v="MI"/>
    <x v="15"/>
    <x v="55"/>
    <n v="136"/>
    <n v="0"/>
    <n v="0"/>
  </r>
  <r>
    <x v="18"/>
    <x v="213"/>
    <s v="MI"/>
    <x v="15"/>
    <x v="192"/>
    <n v="134"/>
    <n v="0"/>
    <n v="0"/>
  </r>
  <r>
    <x v="18"/>
    <x v="214"/>
    <s v="MI"/>
    <x v="15"/>
    <x v="193"/>
    <n v="56"/>
    <n v="0"/>
    <n v="0"/>
  </r>
  <r>
    <x v="18"/>
    <x v="215"/>
    <s v="MI"/>
    <x v="15"/>
    <x v="194"/>
    <n v="305"/>
    <n v="0"/>
    <n v="0"/>
  </r>
  <r>
    <x v="18"/>
    <x v="216"/>
    <s v="MI"/>
    <x v="15"/>
    <x v="49"/>
    <n v="42"/>
    <n v="0"/>
    <n v="0"/>
  </r>
  <r>
    <x v="18"/>
    <x v="217"/>
    <s v="MI"/>
    <x v="15"/>
    <x v="73"/>
    <n v="2268"/>
    <n v="0"/>
    <n v="0"/>
  </r>
  <r>
    <x v="18"/>
    <x v="218"/>
    <s v="MI"/>
    <x v="15"/>
    <x v="75"/>
    <n v="228"/>
    <n v="0"/>
    <n v="0"/>
  </r>
  <r>
    <x v="18"/>
    <x v="219"/>
    <s v="MI"/>
    <x v="15"/>
    <x v="76"/>
    <n v="555"/>
    <n v="0"/>
    <n v="0"/>
  </r>
  <r>
    <x v="18"/>
    <x v="220"/>
    <s v="MO"/>
    <x v="16"/>
    <x v="122"/>
    <n v="61"/>
    <n v="0"/>
    <n v="0"/>
  </r>
  <r>
    <x v="18"/>
    <x v="221"/>
    <s v="MO"/>
    <x v="16"/>
    <x v="195"/>
    <n v="11"/>
    <n v="0"/>
    <n v="0"/>
  </r>
  <r>
    <x v="18"/>
    <x v="222"/>
    <s v="MO"/>
    <x v="16"/>
    <x v="59"/>
    <n v="65"/>
    <n v="0"/>
    <n v="0"/>
  </r>
  <r>
    <x v="18"/>
    <x v="223"/>
    <s v="MO"/>
    <x v="16"/>
    <x v="196"/>
    <n v="111"/>
    <n v="0"/>
    <n v="0"/>
  </r>
  <r>
    <x v="18"/>
    <x v="224"/>
    <s v="MO"/>
    <x v="16"/>
    <x v="89"/>
    <n v="85"/>
    <n v="0"/>
    <n v="0"/>
  </r>
  <r>
    <x v="18"/>
    <x v="225"/>
    <s v="MO"/>
    <x v="16"/>
    <x v="83"/>
    <n v="92"/>
    <n v="0"/>
    <n v="0"/>
  </r>
  <r>
    <x v="18"/>
    <x v="226"/>
    <s v="MO"/>
    <x v="16"/>
    <x v="66"/>
    <n v="88"/>
    <n v="0"/>
    <n v="0"/>
  </r>
  <r>
    <x v="18"/>
    <x v="227"/>
    <s v="MO"/>
    <x v="16"/>
    <x v="197"/>
    <n v="1693"/>
    <n v="0"/>
    <n v="0"/>
  </r>
  <r>
    <x v="18"/>
    <x v="228"/>
    <s v="MO"/>
    <x v="16"/>
    <x v="94"/>
    <n v="58"/>
    <n v="0"/>
    <n v="0"/>
  </r>
  <r>
    <x v="18"/>
    <x v="229"/>
    <s v="MO"/>
    <x v="16"/>
    <x v="198"/>
    <n v="49"/>
    <n v="0"/>
    <n v="0"/>
  </r>
  <r>
    <x v="18"/>
    <x v="230"/>
    <s v="MO"/>
    <x v="16"/>
    <x v="199"/>
    <n v="16"/>
    <n v="0"/>
    <n v="0"/>
  </r>
  <r>
    <x v="18"/>
    <x v="231"/>
    <s v="MO"/>
    <x v="16"/>
    <x v="200"/>
    <n v="58"/>
    <n v="0"/>
    <n v="0"/>
  </r>
  <r>
    <x v="18"/>
    <x v="232"/>
    <s v="MO"/>
    <x v="16"/>
    <x v="201"/>
    <n v="12"/>
    <n v="0"/>
    <n v="0"/>
  </r>
  <r>
    <x v="18"/>
    <x v="233"/>
    <s v="NU"/>
    <x v="17"/>
    <x v="202"/>
    <n v="46"/>
    <n v="0"/>
    <n v="0"/>
  </r>
  <r>
    <x v="18"/>
    <x v="234"/>
    <s v="NU"/>
    <x v="17"/>
    <x v="80"/>
    <n v="88"/>
    <n v="0"/>
    <n v="0"/>
  </r>
  <r>
    <x v="18"/>
    <x v="235"/>
    <s v="NU"/>
    <x v="17"/>
    <x v="203"/>
    <n v="85"/>
    <n v="0"/>
    <n v="0"/>
  </r>
  <r>
    <x v="18"/>
    <x v="236"/>
    <s v="NU"/>
    <x v="17"/>
    <x v="204"/>
    <n v="47"/>
    <n v="0"/>
    <n v="0"/>
  </r>
  <r>
    <x v="18"/>
    <x v="237"/>
    <s v="NU"/>
    <x v="17"/>
    <x v="205"/>
    <n v="70"/>
    <n v="0"/>
    <n v="0"/>
  </r>
  <r>
    <x v="18"/>
    <x v="238"/>
    <s v="NU"/>
    <x v="17"/>
    <x v="206"/>
    <n v="76"/>
    <n v="0"/>
    <n v="0"/>
  </r>
  <r>
    <x v="18"/>
    <x v="239"/>
    <s v="NU"/>
    <x v="17"/>
    <x v="207"/>
    <n v="95"/>
    <n v="0"/>
    <n v="0"/>
  </r>
  <r>
    <x v="18"/>
    <x v="240"/>
    <s v="NU"/>
    <x v="17"/>
    <x v="208"/>
    <n v="964"/>
    <n v="0"/>
    <n v="0"/>
  </r>
  <r>
    <x v="18"/>
    <x v="241"/>
    <s v="NU"/>
    <x v="17"/>
    <x v="209"/>
    <n v="56"/>
    <n v="0"/>
    <n v="0"/>
  </r>
  <r>
    <x v="18"/>
    <x v="242"/>
    <s v="NU"/>
    <x v="17"/>
    <x v="210"/>
    <n v="56"/>
    <n v="0"/>
    <n v="0"/>
  </r>
  <r>
    <x v="18"/>
    <x v="243"/>
    <s v="NU"/>
    <x v="17"/>
    <x v="211"/>
    <n v="24"/>
    <n v="0"/>
    <n v="0"/>
  </r>
  <r>
    <x v="18"/>
    <x v="244"/>
    <s v="PO"/>
    <x v="18"/>
    <x v="212"/>
    <n v="39"/>
    <n v="0"/>
    <n v="0"/>
  </r>
  <r>
    <x v="18"/>
    <x v="245"/>
    <s v="PO"/>
    <x v="18"/>
    <x v="213"/>
    <n v="1060"/>
    <n v="0"/>
    <n v="0"/>
  </r>
  <r>
    <x v="18"/>
    <x v="246"/>
    <s v="PO"/>
    <x v="18"/>
    <x v="214"/>
    <n v="117"/>
    <n v="0"/>
    <n v="0"/>
  </r>
  <r>
    <x v="18"/>
    <x v="247"/>
    <s v="PO"/>
    <x v="18"/>
    <x v="215"/>
    <n v="579"/>
    <n v="0"/>
    <n v="0"/>
  </r>
  <r>
    <x v="18"/>
    <x v="248"/>
    <s v="PO"/>
    <x v="18"/>
    <x v="216"/>
    <n v="73"/>
    <n v="0"/>
    <n v="0"/>
  </r>
  <r>
    <x v="18"/>
    <x v="249"/>
    <s v="PO"/>
    <x v="18"/>
    <x v="217"/>
    <n v="58"/>
    <n v="0"/>
    <n v="0"/>
  </r>
  <r>
    <x v="18"/>
    <x v="250"/>
    <s v="PO"/>
    <x v="18"/>
    <x v="218"/>
    <n v="97"/>
    <n v="0"/>
    <n v="0"/>
  </r>
  <r>
    <x v="18"/>
    <x v="251"/>
    <s v="PO"/>
    <x v="18"/>
    <x v="55"/>
    <n v="405"/>
    <n v="0"/>
    <n v="0"/>
  </r>
  <r>
    <x v="18"/>
    <x v="252"/>
    <s v="PO"/>
    <x v="18"/>
    <x v="219"/>
    <n v="22"/>
    <n v="0"/>
    <n v="0"/>
  </r>
  <r>
    <x v="18"/>
    <x v="253"/>
    <s v="PO"/>
    <x v="18"/>
    <x v="220"/>
    <n v="64"/>
    <n v="0"/>
    <n v="0"/>
  </r>
  <r>
    <x v="18"/>
    <x v="254"/>
    <s v="PO"/>
    <x v="18"/>
    <x v="221"/>
    <n v="33"/>
    <n v="0"/>
    <n v="0"/>
  </r>
  <r>
    <x v="18"/>
    <x v="255"/>
    <s v="PO"/>
    <x v="18"/>
    <x v="222"/>
    <n v="28"/>
    <n v="0"/>
    <n v="0"/>
  </r>
  <r>
    <x v="18"/>
    <x v="256"/>
    <s v="PO"/>
    <x v="18"/>
    <x v="73"/>
    <n v="124"/>
    <n v="0"/>
    <n v="0"/>
  </r>
  <r>
    <x v="18"/>
    <x v="257"/>
    <s v="PO"/>
    <x v="18"/>
    <x v="223"/>
    <n v="169"/>
    <n v="0"/>
    <n v="0"/>
  </r>
  <r>
    <x v="18"/>
    <x v="258"/>
    <s v="SU"/>
    <x v="19"/>
    <x v="154"/>
    <n v="67"/>
    <n v="0"/>
    <n v="0"/>
  </r>
  <r>
    <x v="18"/>
    <x v="259"/>
    <s v="SU"/>
    <x v="19"/>
    <x v="224"/>
    <n v="51"/>
    <n v="0"/>
    <n v="0"/>
  </r>
  <r>
    <x v="18"/>
    <x v="260"/>
    <s v="SU"/>
    <x v="19"/>
    <x v="80"/>
    <n v="123"/>
    <n v="0"/>
    <n v="0"/>
  </r>
  <r>
    <x v="18"/>
    <x v="261"/>
    <s v="SU"/>
    <x v="19"/>
    <x v="225"/>
    <n v="57"/>
    <n v="0"/>
    <n v="0"/>
  </r>
  <r>
    <x v="18"/>
    <x v="262"/>
    <s v="SU"/>
    <x v="19"/>
    <x v="226"/>
    <n v="590"/>
    <n v="0"/>
    <n v="0"/>
  </r>
  <r>
    <x v="18"/>
    <x v="263"/>
    <s v="SU"/>
    <x v="19"/>
    <x v="59"/>
    <n v="54"/>
    <n v="0"/>
    <n v="0"/>
  </r>
  <r>
    <x v="18"/>
    <x v="264"/>
    <s v="SU"/>
    <x v="19"/>
    <x v="227"/>
    <n v="68"/>
    <n v="0"/>
    <n v="0"/>
  </r>
  <r>
    <x v="18"/>
    <x v="265"/>
    <s v="SU"/>
    <x v="19"/>
    <x v="228"/>
    <n v="51"/>
    <n v="0"/>
    <n v="0"/>
  </r>
  <r>
    <x v="18"/>
    <x v="266"/>
    <s v="SU"/>
    <x v="19"/>
    <x v="66"/>
    <n v="21"/>
    <n v="0"/>
    <n v="0"/>
  </r>
  <r>
    <x v="18"/>
    <x v="267"/>
    <s v="SU"/>
    <x v="19"/>
    <x v="208"/>
    <n v="68"/>
    <n v="0"/>
    <n v="0"/>
  </r>
  <r>
    <x v="18"/>
    <x v="268"/>
    <s v="SU"/>
    <x v="19"/>
    <x v="229"/>
    <n v="28"/>
    <n v="0"/>
    <n v="0"/>
  </r>
  <r>
    <x v="18"/>
    <x v="269"/>
    <s v="SU"/>
    <x v="19"/>
    <x v="230"/>
    <n v="179"/>
    <n v="0"/>
    <n v="0"/>
  </r>
  <r>
    <x v="18"/>
    <x v="270"/>
    <s v="SU"/>
    <x v="19"/>
    <x v="231"/>
    <n v="138"/>
    <n v="0"/>
    <n v="0"/>
  </r>
  <r>
    <x v="18"/>
    <x v="271"/>
    <s v="SU"/>
    <x v="19"/>
    <x v="73"/>
    <n v="1254"/>
    <n v="0"/>
    <n v="0"/>
  </r>
  <r>
    <x v="18"/>
    <x v="272"/>
    <s v="SU"/>
    <x v="19"/>
    <x v="232"/>
    <n v="107"/>
    <n v="0"/>
    <n v="0"/>
  </r>
  <r>
    <x v="18"/>
    <x v="273"/>
    <s v="TA"/>
    <x v="20"/>
    <x v="163"/>
    <n v="46"/>
    <n v="0"/>
    <n v="0"/>
  </r>
  <r>
    <x v="18"/>
    <x v="274"/>
    <s v="TA"/>
    <x v="20"/>
    <x v="233"/>
    <n v="15"/>
    <n v="0"/>
    <n v="0"/>
  </r>
  <r>
    <x v="18"/>
    <x v="275"/>
    <s v="TA"/>
    <x v="20"/>
    <x v="234"/>
    <n v="216"/>
    <n v="0"/>
    <n v="0"/>
  </r>
  <r>
    <x v="18"/>
    <x v="276"/>
    <s v="TA"/>
    <x v="20"/>
    <x v="59"/>
    <n v="187"/>
    <n v="0"/>
    <n v="0"/>
  </r>
  <r>
    <x v="18"/>
    <x v="277"/>
    <s v="TA"/>
    <x v="20"/>
    <x v="235"/>
    <n v="296"/>
    <n v="0"/>
    <n v="0"/>
  </r>
  <r>
    <x v="18"/>
    <x v="278"/>
    <s v="TA"/>
    <x v="20"/>
    <x v="236"/>
    <n v="70"/>
    <n v="0"/>
    <n v="0"/>
  </r>
  <r>
    <x v="18"/>
    <x v="279"/>
    <s v="TA"/>
    <x v="20"/>
    <x v="237"/>
    <n v="150"/>
    <n v="0"/>
    <n v="0"/>
  </r>
  <r>
    <x v="18"/>
    <x v="280"/>
    <s v="TA"/>
    <x v="20"/>
    <x v="35"/>
    <n v="21"/>
    <n v="0"/>
    <n v="0"/>
  </r>
  <r>
    <x v="18"/>
    <x v="281"/>
    <s v="TA"/>
    <x v="20"/>
    <x v="238"/>
    <n v="160"/>
    <n v="0"/>
    <n v="0"/>
  </r>
  <r>
    <x v="18"/>
    <x v="282"/>
    <s v="TA"/>
    <x v="20"/>
    <x v="239"/>
    <n v="57"/>
    <n v="0"/>
    <n v="0"/>
  </r>
  <r>
    <x v="18"/>
    <x v="283"/>
    <s v="TA"/>
    <x v="20"/>
    <x v="38"/>
    <n v="103"/>
    <n v="0"/>
    <n v="0"/>
  </r>
  <r>
    <x v="18"/>
    <x v="284"/>
    <s v="TA"/>
    <x v="20"/>
    <x v="240"/>
    <n v="222"/>
    <n v="0"/>
    <n v="0"/>
  </r>
  <r>
    <x v="18"/>
    <x v="285"/>
    <s v="TA"/>
    <x v="20"/>
    <x v="241"/>
    <n v="36"/>
    <n v="0"/>
    <n v="0"/>
  </r>
  <r>
    <x v="18"/>
    <x v="286"/>
    <s v="TA"/>
    <x v="20"/>
    <x v="242"/>
    <n v="254"/>
    <n v="0"/>
    <n v="0"/>
  </r>
  <r>
    <x v="18"/>
    <x v="287"/>
    <s v="TA"/>
    <x v="20"/>
    <x v="42"/>
    <n v="58"/>
    <n v="0"/>
    <n v="0"/>
  </r>
  <r>
    <x v="18"/>
    <x v="288"/>
    <s v="TA"/>
    <x v="20"/>
    <x v="66"/>
    <n v="62"/>
    <n v="0"/>
    <n v="0"/>
  </r>
  <r>
    <x v="18"/>
    <x v="289"/>
    <s v="TA"/>
    <x v="20"/>
    <x v="243"/>
    <n v="45"/>
    <n v="0"/>
    <n v="0"/>
  </r>
  <r>
    <x v="18"/>
    <x v="290"/>
    <s v="TA"/>
    <x v="20"/>
    <x v="244"/>
    <n v="86"/>
    <n v="0"/>
    <n v="0"/>
  </r>
  <r>
    <x v="18"/>
    <x v="291"/>
    <s v="TA"/>
    <x v="20"/>
    <x v="245"/>
    <n v="146"/>
    <n v="0"/>
    <n v="0"/>
  </r>
  <r>
    <x v="18"/>
    <x v="292"/>
    <s v="TA"/>
    <x v="20"/>
    <x v="246"/>
    <n v="99"/>
    <n v="0"/>
    <n v="0"/>
  </r>
  <r>
    <x v="18"/>
    <x v="293"/>
    <s v="TA"/>
    <x v="20"/>
    <x v="247"/>
    <n v="24"/>
    <n v="0"/>
    <n v="0"/>
  </r>
  <r>
    <x v="18"/>
    <x v="294"/>
    <s v="TA"/>
    <x v="20"/>
    <x v="248"/>
    <n v="35"/>
    <n v="0"/>
    <n v="0"/>
  </r>
  <r>
    <x v="18"/>
    <x v="295"/>
    <s v="TA"/>
    <x v="20"/>
    <x v="249"/>
    <n v="2121"/>
    <n v="0"/>
    <n v="0"/>
  </r>
  <r>
    <x v="18"/>
    <x v="296"/>
    <s v="TA"/>
    <x v="20"/>
    <x v="250"/>
    <n v="0"/>
    <n v="0"/>
    <n v="0"/>
  </r>
  <r>
    <x v="18"/>
    <x v="297"/>
    <s v="TA"/>
    <x v="20"/>
    <x v="251"/>
    <n v="47"/>
    <n v="0"/>
    <n v="0"/>
  </r>
  <r>
    <x v="18"/>
    <x v="298"/>
    <s v="TA"/>
    <x v="20"/>
    <x v="50"/>
    <n v="11"/>
    <n v="0"/>
    <n v="0"/>
  </r>
  <r>
    <x v="18"/>
    <x v="299"/>
    <s v="TA"/>
    <x v="20"/>
    <x v="73"/>
    <n v="47"/>
    <n v="0"/>
    <n v="0"/>
  </r>
  <r>
    <x v="18"/>
    <x v="300"/>
    <s v="TA"/>
    <x v="20"/>
    <x v="252"/>
    <n v="55"/>
    <n v="0"/>
    <n v="0"/>
  </r>
  <r>
    <x v="18"/>
    <x v="301"/>
    <s v="TA"/>
    <x v="20"/>
    <x v="253"/>
    <n v="92"/>
    <n v="0"/>
    <n v="0"/>
  </r>
  <r>
    <x v="18"/>
    <x v="302"/>
    <s v="TR"/>
    <x v="21"/>
    <x v="163"/>
    <n v="23"/>
    <n v="0"/>
    <n v="0"/>
  </r>
  <r>
    <x v="18"/>
    <x v="303"/>
    <s v="TR"/>
    <x v="21"/>
    <x v="254"/>
    <n v="582"/>
    <n v="0"/>
    <n v="0"/>
  </r>
  <r>
    <x v="18"/>
    <x v="304"/>
    <s v="TR"/>
    <x v="21"/>
    <x v="59"/>
    <n v="4"/>
    <n v="0"/>
    <n v="0"/>
  </r>
  <r>
    <x v="18"/>
    <x v="305"/>
    <s v="TR"/>
    <x v="21"/>
    <x v="255"/>
    <n v="80"/>
    <n v="0"/>
    <n v="0"/>
  </r>
  <r>
    <x v="18"/>
    <x v="306"/>
    <s v="TR"/>
    <x v="21"/>
    <x v="256"/>
    <n v="151"/>
    <n v="0"/>
    <n v="0"/>
  </r>
  <r>
    <x v="18"/>
    <x v="307"/>
    <s v="TR"/>
    <x v="21"/>
    <x v="257"/>
    <n v="56"/>
    <n v="0"/>
    <n v="0"/>
  </r>
  <r>
    <x v="18"/>
    <x v="308"/>
    <s v="TR"/>
    <x v="21"/>
    <x v="258"/>
    <n v="0"/>
    <n v="0"/>
    <n v="0"/>
  </r>
  <r>
    <x v="18"/>
    <x v="309"/>
    <s v="TR"/>
    <x v="21"/>
    <x v="259"/>
    <n v="8"/>
    <n v="0"/>
    <n v="0"/>
  </r>
  <r>
    <x v="18"/>
    <x v="310"/>
    <s v="TR"/>
    <x v="21"/>
    <x v="260"/>
    <n v="25"/>
    <n v="0"/>
    <n v="0"/>
  </r>
  <r>
    <x v="18"/>
    <x v="311"/>
    <s v="TR"/>
    <x v="21"/>
    <x v="104"/>
    <n v="70"/>
    <n v="0"/>
    <n v="0"/>
  </r>
  <r>
    <x v="18"/>
    <x v="312"/>
    <s v="TR"/>
    <x v="21"/>
    <x v="261"/>
    <n v="45"/>
    <n v="0"/>
    <n v="0"/>
  </r>
  <r>
    <x v="18"/>
    <x v="313"/>
    <s v="TR"/>
    <x v="21"/>
    <x v="262"/>
    <n v="15"/>
    <n v="0"/>
    <n v="0"/>
  </r>
  <r>
    <x v="18"/>
    <x v="314"/>
    <s v="TR"/>
    <x v="21"/>
    <x v="263"/>
    <n v="119"/>
    <n v="0"/>
    <n v="0"/>
  </r>
  <r>
    <x v="18"/>
    <x v="315"/>
    <s v="TR"/>
    <x v="21"/>
    <x v="264"/>
    <n v="20"/>
    <n v="0"/>
    <n v="0"/>
  </r>
  <r>
    <x v="18"/>
    <x v="316"/>
    <s v="TR"/>
    <x v="21"/>
    <x v="265"/>
    <n v="90"/>
    <n v="0"/>
    <n v="0"/>
  </r>
  <r>
    <x v="18"/>
    <x v="317"/>
    <s v="TR"/>
    <x v="21"/>
    <x v="266"/>
    <n v="92"/>
    <n v="0"/>
    <n v="0"/>
  </r>
  <r>
    <x v="18"/>
    <x v="318"/>
    <s v="TR"/>
    <x v="21"/>
    <x v="73"/>
    <n v="112"/>
    <n v="0"/>
    <n v="0"/>
  </r>
  <r>
    <x v="18"/>
    <x v="319"/>
    <s v="TR"/>
    <x v="21"/>
    <x v="267"/>
    <n v="447"/>
    <n v="0"/>
    <n v="0"/>
  </r>
  <r>
    <x v="18"/>
    <x v="320"/>
    <s v="TR"/>
    <x v="21"/>
    <x v="75"/>
    <n v="150"/>
    <n v="0"/>
    <n v="0"/>
  </r>
  <r>
    <x v="18"/>
    <x v="321"/>
    <s v="TR"/>
    <x v="21"/>
    <x v="268"/>
    <n v="1239"/>
    <n v="0"/>
    <n v="0"/>
  </r>
  <r>
    <x v="18"/>
    <x v="322"/>
    <s v="VA"/>
    <x v="0"/>
    <x v="269"/>
    <n v="0"/>
    <n v="0"/>
    <n v="0"/>
  </r>
  <r>
    <x v="18"/>
    <x v="323"/>
    <s v="VA"/>
    <x v="0"/>
    <x v="270"/>
    <n v="0"/>
    <n v="0"/>
    <n v="0"/>
  </r>
  <r>
    <x v="18"/>
    <x v="324"/>
    <s v="VA"/>
    <x v="0"/>
    <x v="271"/>
    <n v="0"/>
    <n v="0"/>
    <n v="0"/>
  </r>
  <r>
    <x v="18"/>
    <x v="325"/>
    <s v="VA"/>
    <x v="0"/>
    <x v="272"/>
    <n v="0"/>
    <n v="0"/>
    <n v="0"/>
  </r>
  <r>
    <x v="18"/>
    <x v="326"/>
    <s v="VA"/>
    <x v="0"/>
    <x v="273"/>
    <n v="0"/>
    <n v="0"/>
    <n v="0"/>
  </r>
  <r>
    <x v="18"/>
    <x v="327"/>
    <s v="VA"/>
    <x v="0"/>
    <x v="274"/>
    <n v="0"/>
    <n v="0"/>
    <n v="0"/>
  </r>
  <r>
    <x v="18"/>
    <x v="328"/>
    <s v="VA"/>
    <x v="0"/>
    <x v="275"/>
    <n v="0"/>
    <n v="0"/>
    <n v="0"/>
  </r>
  <r>
    <x v="18"/>
    <x v="329"/>
    <s v="VA"/>
    <x v="0"/>
    <x v="276"/>
    <n v="0"/>
    <n v="0"/>
    <n v="0"/>
  </r>
  <r>
    <x v="18"/>
    <x v="330"/>
    <s v="VA"/>
    <x v="0"/>
    <x v="277"/>
    <n v="0"/>
    <n v="0"/>
    <n v="0"/>
  </r>
  <r>
    <x v="18"/>
    <x v="331"/>
    <s v="VA"/>
    <x v="0"/>
    <x v="278"/>
    <n v="0"/>
    <n v="0"/>
    <n v="0"/>
  </r>
  <r>
    <x v="18"/>
    <x v="332"/>
    <s v="VA"/>
    <x v="0"/>
    <x v="279"/>
    <n v="0"/>
    <n v="0"/>
    <n v="0"/>
  </r>
  <r>
    <x v="18"/>
    <x v="333"/>
    <s v="YA"/>
    <x v="22"/>
    <x v="280"/>
    <n v="37"/>
    <n v="0"/>
    <n v="0"/>
  </r>
  <r>
    <x v="18"/>
    <x v="334"/>
    <s v="YA"/>
    <x v="22"/>
    <x v="59"/>
    <n v="61"/>
    <n v="0"/>
    <n v="0"/>
  </r>
  <r>
    <x v="18"/>
    <x v="335"/>
    <s v="YA"/>
    <x v="22"/>
    <x v="281"/>
    <n v="208"/>
    <n v="0"/>
    <n v="0"/>
  </r>
  <r>
    <x v="18"/>
    <x v="336"/>
    <s v="YA"/>
    <x v="22"/>
    <x v="282"/>
    <n v="71"/>
    <n v="0"/>
    <n v="0"/>
  </r>
  <r>
    <x v="18"/>
    <x v="337"/>
    <s v="YA"/>
    <x v="22"/>
    <x v="38"/>
    <n v="50"/>
    <n v="0"/>
    <n v="0"/>
  </r>
  <r>
    <x v="18"/>
    <x v="338"/>
    <s v="YA"/>
    <x v="22"/>
    <x v="283"/>
    <n v="25"/>
    <n v="0"/>
    <n v="0"/>
  </r>
  <r>
    <x v="18"/>
    <x v="339"/>
    <s v="YA"/>
    <x v="22"/>
    <x v="284"/>
    <n v="15"/>
    <n v="0"/>
    <n v="0"/>
  </r>
  <r>
    <x v="18"/>
    <x v="340"/>
    <s v="YA"/>
    <x v="22"/>
    <x v="285"/>
    <n v="20"/>
    <n v="0"/>
    <n v="0"/>
  </r>
  <r>
    <x v="18"/>
    <x v="341"/>
    <s v="YA"/>
    <x v="22"/>
    <x v="286"/>
    <n v="236"/>
    <n v="0"/>
    <n v="0"/>
  </r>
  <r>
    <x v="18"/>
    <x v="342"/>
    <s v="YA"/>
    <x v="22"/>
    <x v="287"/>
    <n v="208"/>
    <n v="0"/>
    <n v="0"/>
  </r>
  <r>
    <x v="18"/>
    <x v="343"/>
    <s v="YA"/>
    <x v="22"/>
    <x v="288"/>
    <n v="945"/>
    <n v="0"/>
    <n v="0"/>
  </r>
  <r>
    <x v="18"/>
    <x v="344"/>
    <s v="YA"/>
    <x v="22"/>
    <x v="73"/>
    <n v="48"/>
    <n v="0"/>
    <n v="0"/>
  </r>
  <r>
    <x v="18"/>
    <x v="345"/>
    <s v="YA"/>
    <x v="22"/>
    <x v="289"/>
    <n v="56"/>
    <n v="0"/>
    <n v="0"/>
  </r>
  <r>
    <x v="18"/>
    <x v="346"/>
    <s v="YA"/>
    <x v="22"/>
    <x v="290"/>
    <n v="40"/>
    <n v="0"/>
    <n v="0"/>
  </r>
  <r>
    <x v="18"/>
    <x v="347"/>
    <s v="ZU"/>
    <x v="23"/>
    <x v="291"/>
    <n v="33"/>
    <n v="0"/>
    <n v="0"/>
  </r>
  <r>
    <x v="18"/>
    <x v="348"/>
    <s v="ZU"/>
    <x v="23"/>
    <x v="292"/>
    <n v="221"/>
    <n v="0"/>
    <n v="0"/>
  </r>
  <r>
    <x v="18"/>
    <x v="349"/>
    <s v="ZU"/>
    <x v="23"/>
    <x v="293"/>
    <n v="1096"/>
    <n v="0"/>
    <n v="0"/>
  </r>
  <r>
    <x v="18"/>
    <x v="350"/>
    <s v="ZU"/>
    <x v="23"/>
    <x v="294"/>
    <n v="155"/>
    <n v="0"/>
    <n v="0"/>
  </r>
  <r>
    <x v="18"/>
    <x v="351"/>
    <s v="ZU"/>
    <x v="23"/>
    <x v="295"/>
    <n v="497"/>
    <n v="0"/>
    <n v="0"/>
  </r>
  <r>
    <x v="18"/>
    <x v="352"/>
    <s v="ZU"/>
    <x v="23"/>
    <x v="296"/>
    <n v="0"/>
    <n v="0"/>
    <n v="0"/>
  </r>
  <r>
    <x v="18"/>
    <x v="353"/>
    <s v="ZU"/>
    <x v="23"/>
    <x v="297"/>
    <n v="274"/>
    <n v="0"/>
    <n v="0"/>
  </r>
  <r>
    <x v="18"/>
    <x v="354"/>
    <s v="ZU"/>
    <x v="23"/>
    <x v="298"/>
    <n v="14"/>
    <n v="0"/>
    <n v="0"/>
  </r>
  <r>
    <x v="18"/>
    <x v="355"/>
    <s v="ZU"/>
    <x v="23"/>
    <x v="299"/>
    <n v="164"/>
    <n v="0"/>
    <n v="0"/>
  </r>
  <r>
    <x v="18"/>
    <x v="356"/>
    <s v="ZU"/>
    <x v="23"/>
    <x v="300"/>
    <n v="707"/>
    <n v="0"/>
    <n v="0"/>
  </r>
  <r>
    <x v="18"/>
    <x v="357"/>
    <s v="ZU"/>
    <x v="23"/>
    <x v="301"/>
    <n v="377"/>
    <n v="0"/>
    <n v="0"/>
  </r>
  <r>
    <x v="18"/>
    <x v="358"/>
    <s v="ZU"/>
    <x v="23"/>
    <x v="302"/>
    <n v="581"/>
    <n v="0"/>
    <n v="0"/>
  </r>
  <r>
    <x v="18"/>
    <x v="359"/>
    <s v="ZU"/>
    <x v="23"/>
    <x v="303"/>
    <n v="8154"/>
    <n v="0"/>
    <n v="0"/>
  </r>
  <r>
    <x v="18"/>
    <x v="360"/>
    <s v="ZU"/>
    <x v="23"/>
    <x v="104"/>
    <n v="182"/>
    <n v="0"/>
    <n v="0"/>
  </r>
  <r>
    <x v="18"/>
    <x v="361"/>
    <s v="ZU"/>
    <x v="23"/>
    <x v="55"/>
    <n v="121"/>
    <n v="0"/>
    <n v="0"/>
  </r>
  <r>
    <x v="18"/>
    <x v="362"/>
    <s v="ZU"/>
    <x v="23"/>
    <x v="304"/>
    <n v="218"/>
    <n v="0"/>
    <n v="0"/>
  </r>
  <r>
    <x v="18"/>
    <x v="363"/>
    <s v="ZU"/>
    <x v="23"/>
    <x v="136"/>
    <n v="50"/>
    <n v="0"/>
    <n v="0"/>
  </r>
  <r>
    <x v="18"/>
    <x v="364"/>
    <s v="ZU"/>
    <x v="23"/>
    <x v="305"/>
    <n v="85"/>
    <n v="0"/>
    <n v="0"/>
  </r>
  <r>
    <x v="18"/>
    <x v="365"/>
    <s v="ZU"/>
    <x v="23"/>
    <x v="49"/>
    <n v="20"/>
    <n v="0"/>
    <n v="0"/>
  </r>
  <r>
    <x v="18"/>
    <x v="366"/>
    <s v="ZU"/>
    <x v="23"/>
    <x v="73"/>
    <n v="210"/>
    <n v="0"/>
    <n v="0"/>
  </r>
  <r>
    <x v="18"/>
    <x v="367"/>
    <s v="ZU"/>
    <x v="23"/>
    <x v="306"/>
    <n v="117"/>
    <n v="0"/>
    <n v="0"/>
  </r>
  <r>
    <x v="18"/>
    <x v="368"/>
    <s v="DE"/>
    <x v="24"/>
    <x v="307"/>
    <n v="0"/>
    <n v="0"/>
    <n v="0"/>
  </r>
  <r>
    <x v="19"/>
    <x v="0"/>
    <s v="VA"/>
    <x v="0"/>
    <x v="0"/>
    <n v="0"/>
    <n v="0"/>
    <n v="0"/>
  </r>
  <r>
    <x v="19"/>
    <x v="369"/>
    <s v="DI"/>
    <x v="25"/>
    <x v="0"/>
    <n v="1354"/>
    <n v="0"/>
    <n v="0"/>
  </r>
  <r>
    <x v="19"/>
    <x v="1"/>
    <s v="DI"/>
    <x v="1"/>
    <x v="1"/>
    <n v="13512"/>
    <n v="0"/>
    <n v="0"/>
  </r>
  <r>
    <x v="19"/>
    <x v="2"/>
    <s v="DI"/>
    <x v="1"/>
    <x v="2"/>
    <n v="0"/>
    <n v="0"/>
    <n v="0"/>
  </r>
  <r>
    <x v="19"/>
    <x v="3"/>
    <s v="DI"/>
    <x v="1"/>
    <x v="3"/>
    <n v="0"/>
    <n v="0"/>
    <n v="0"/>
  </r>
  <r>
    <x v="19"/>
    <x v="4"/>
    <s v="DI"/>
    <x v="1"/>
    <x v="4"/>
    <n v="0"/>
    <n v="0"/>
    <n v="0"/>
  </r>
  <r>
    <x v="19"/>
    <x v="5"/>
    <s v="DI"/>
    <x v="1"/>
    <x v="5"/>
    <n v="0"/>
    <n v="0"/>
    <n v="0"/>
  </r>
  <r>
    <x v="19"/>
    <x v="6"/>
    <s v="DI"/>
    <x v="1"/>
    <x v="6"/>
    <n v="0"/>
    <n v="0"/>
    <n v="0"/>
  </r>
  <r>
    <x v="19"/>
    <x v="7"/>
    <s v="DI"/>
    <x v="1"/>
    <x v="7"/>
    <n v="0"/>
    <n v="0"/>
    <n v="0"/>
  </r>
  <r>
    <x v="19"/>
    <x v="8"/>
    <s v="DI"/>
    <x v="1"/>
    <x v="8"/>
    <n v="0"/>
    <n v="0"/>
    <n v="0"/>
  </r>
  <r>
    <x v="19"/>
    <x v="9"/>
    <s v="DI"/>
    <x v="1"/>
    <x v="9"/>
    <n v="0"/>
    <n v="0"/>
    <n v="0"/>
  </r>
  <r>
    <x v="19"/>
    <x v="10"/>
    <s v="DI"/>
    <x v="1"/>
    <x v="10"/>
    <n v="0"/>
    <n v="0"/>
    <n v="0"/>
  </r>
  <r>
    <x v="19"/>
    <x v="11"/>
    <s v="DI"/>
    <x v="1"/>
    <x v="11"/>
    <n v="0"/>
    <n v="0"/>
    <n v="0"/>
  </r>
  <r>
    <x v="19"/>
    <x v="12"/>
    <s v="DI"/>
    <x v="1"/>
    <x v="12"/>
    <n v="0"/>
    <n v="0"/>
    <n v="0"/>
  </r>
  <r>
    <x v="19"/>
    <x v="13"/>
    <s v="DI"/>
    <x v="1"/>
    <x v="13"/>
    <n v="0"/>
    <n v="0"/>
    <n v="0"/>
  </r>
  <r>
    <x v="19"/>
    <x v="14"/>
    <s v="DI"/>
    <x v="1"/>
    <x v="14"/>
    <n v="0"/>
    <n v="0"/>
    <n v="0"/>
  </r>
  <r>
    <x v="19"/>
    <x v="15"/>
    <s v="DI"/>
    <x v="1"/>
    <x v="15"/>
    <n v="0"/>
    <n v="0"/>
    <n v="0"/>
  </r>
  <r>
    <x v="19"/>
    <x v="16"/>
    <s v="DI"/>
    <x v="1"/>
    <x v="16"/>
    <n v="0"/>
    <n v="0"/>
    <n v="0"/>
  </r>
  <r>
    <x v="19"/>
    <x v="17"/>
    <s v="DI"/>
    <x v="1"/>
    <x v="17"/>
    <n v="0"/>
    <n v="0"/>
    <n v="0"/>
  </r>
  <r>
    <x v="19"/>
    <x v="18"/>
    <s v="DI"/>
    <x v="1"/>
    <x v="18"/>
    <n v="0"/>
    <n v="0"/>
    <n v="0"/>
  </r>
  <r>
    <x v="19"/>
    <x v="19"/>
    <s v="DI"/>
    <x v="1"/>
    <x v="19"/>
    <n v="0"/>
    <n v="0"/>
    <n v="0"/>
  </r>
  <r>
    <x v="19"/>
    <x v="20"/>
    <s v="DI"/>
    <x v="1"/>
    <x v="20"/>
    <n v="0"/>
    <n v="0"/>
    <n v="0"/>
  </r>
  <r>
    <x v="19"/>
    <x v="21"/>
    <s v="DI"/>
    <x v="1"/>
    <x v="21"/>
    <n v="0"/>
    <n v="0"/>
    <n v="0"/>
  </r>
  <r>
    <x v="19"/>
    <x v="22"/>
    <s v="DI"/>
    <x v="1"/>
    <x v="22"/>
    <n v="0"/>
    <n v="0"/>
    <n v="0"/>
  </r>
  <r>
    <x v="19"/>
    <x v="23"/>
    <s v="DI"/>
    <x v="1"/>
    <x v="23"/>
    <n v="0"/>
    <n v="0"/>
    <n v="0"/>
  </r>
  <r>
    <x v="19"/>
    <x v="24"/>
    <s v="AM"/>
    <x v="2"/>
    <x v="24"/>
    <n v="59"/>
    <n v="0"/>
    <n v="0"/>
  </r>
  <r>
    <x v="19"/>
    <x v="25"/>
    <s v="AM"/>
    <x v="2"/>
    <x v="25"/>
    <n v="4"/>
    <n v="0"/>
    <n v="0"/>
  </r>
  <r>
    <x v="19"/>
    <x v="26"/>
    <s v="AM"/>
    <x v="2"/>
    <x v="26"/>
    <n v="316"/>
    <n v="0"/>
    <n v="0"/>
  </r>
  <r>
    <x v="19"/>
    <x v="27"/>
    <s v="AM"/>
    <x v="2"/>
    <x v="27"/>
    <n v="1"/>
    <n v="0"/>
    <n v="0"/>
  </r>
  <r>
    <x v="19"/>
    <x v="28"/>
    <s v="AM"/>
    <x v="2"/>
    <x v="28"/>
    <n v="4"/>
    <n v="0"/>
    <n v="0"/>
  </r>
  <r>
    <x v="19"/>
    <x v="29"/>
    <s v="AM"/>
    <x v="2"/>
    <x v="29"/>
    <n v="6"/>
    <n v="0"/>
    <n v="0"/>
  </r>
  <r>
    <x v="19"/>
    <x v="30"/>
    <s v="AM"/>
    <x v="2"/>
    <x v="30"/>
    <n v="6"/>
    <n v="0"/>
    <n v="0"/>
  </r>
  <r>
    <x v="19"/>
    <x v="31"/>
    <s v="AN"/>
    <x v="3"/>
    <x v="31"/>
    <n v="212"/>
    <n v="0"/>
    <n v="0"/>
  </r>
  <r>
    <x v="19"/>
    <x v="32"/>
    <s v="AN"/>
    <x v="3"/>
    <x v="32"/>
    <n v="91"/>
    <n v="0"/>
    <n v="0"/>
  </r>
  <r>
    <x v="19"/>
    <x v="33"/>
    <s v="AN"/>
    <x v="3"/>
    <x v="33"/>
    <n v="67"/>
    <n v="0"/>
    <n v="0"/>
  </r>
  <r>
    <x v="19"/>
    <x v="34"/>
    <s v="AN"/>
    <x v="3"/>
    <x v="34"/>
    <n v="34"/>
    <n v="0"/>
    <n v="0"/>
  </r>
  <r>
    <x v="19"/>
    <x v="35"/>
    <s v="AN"/>
    <x v="3"/>
    <x v="35"/>
    <n v="65"/>
    <n v="0"/>
    <n v="0"/>
  </r>
  <r>
    <x v="19"/>
    <x v="36"/>
    <s v="AN"/>
    <x v="3"/>
    <x v="36"/>
    <n v="36"/>
    <n v="0"/>
    <n v="0"/>
  </r>
  <r>
    <x v="19"/>
    <x v="37"/>
    <s v="AN"/>
    <x v="3"/>
    <x v="37"/>
    <n v="42"/>
    <n v="0"/>
    <n v="0"/>
  </r>
  <r>
    <x v="19"/>
    <x v="38"/>
    <s v="AN"/>
    <x v="3"/>
    <x v="38"/>
    <n v="66"/>
    <n v="0"/>
    <n v="0"/>
  </r>
  <r>
    <x v="19"/>
    <x v="39"/>
    <s v="AN"/>
    <x v="3"/>
    <x v="39"/>
    <n v="26"/>
    <n v="0"/>
    <n v="0"/>
  </r>
  <r>
    <x v="19"/>
    <x v="40"/>
    <s v="AN"/>
    <x v="3"/>
    <x v="40"/>
    <n v="497"/>
    <n v="0"/>
    <n v="0"/>
  </r>
  <r>
    <x v="19"/>
    <x v="41"/>
    <s v="AN"/>
    <x v="3"/>
    <x v="41"/>
    <n v="24"/>
    <n v="0"/>
    <n v="0"/>
  </r>
  <r>
    <x v="19"/>
    <x v="42"/>
    <s v="AN"/>
    <x v="3"/>
    <x v="42"/>
    <n v="29"/>
    <n v="0"/>
    <n v="0"/>
  </r>
  <r>
    <x v="19"/>
    <x v="43"/>
    <s v="AN"/>
    <x v="3"/>
    <x v="43"/>
    <n v="70"/>
    <n v="0"/>
    <n v="0"/>
  </r>
  <r>
    <x v="19"/>
    <x v="44"/>
    <s v="AN"/>
    <x v="3"/>
    <x v="44"/>
    <n v="183"/>
    <n v="0"/>
    <n v="0"/>
  </r>
  <r>
    <x v="19"/>
    <x v="45"/>
    <s v="AN"/>
    <x v="3"/>
    <x v="45"/>
    <n v="35"/>
    <n v="0"/>
    <n v="0"/>
  </r>
  <r>
    <x v="19"/>
    <x v="46"/>
    <s v="AN"/>
    <x v="3"/>
    <x v="46"/>
    <n v="108"/>
    <n v="0"/>
    <n v="0"/>
  </r>
  <r>
    <x v="19"/>
    <x v="47"/>
    <s v="AN"/>
    <x v="3"/>
    <x v="47"/>
    <n v="42"/>
    <n v="0"/>
    <n v="0"/>
  </r>
  <r>
    <x v="19"/>
    <x v="48"/>
    <s v="AN"/>
    <x v="3"/>
    <x v="48"/>
    <n v="22"/>
    <n v="0"/>
    <n v="0"/>
  </r>
  <r>
    <x v="19"/>
    <x v="49"/>
    <s v="AN"/>
    <x v="3"/>
    <x v="49"/>
    <n v="1057"/>
    <n v="0"/>
    <n v="0"/>
  </r>
  <r>
    <x v="19"/>
    <x v="50"/>
    <s v="AN"/>
    <x v="3"/>
    <x v="50"/>
    <n v="532"/>
    <n v="0"/>
    <n v="0"/>
  </r>
  <r>
    <x v="19"/>
    <x v="51"/>
    <s v="AN"/>
    <x v="3"/>
    <x v="51"/>
    <n v="24"/>
    <n v="0"/>
    <n v="0"/>
  </r>
  <r>
    <x v="19"/>
    <x v="52"/>
    <s v="AP"/>
    <x v="4"/>
    <x v="52"/>
    <n v="126"/>
    <n v="0"/>
    <n v="0"/>
  </r>
  <r>
    <x v="19"/>
    <x v="53"/>
    <s v="AP"/>
    <x v="4"/>
    <x v="53"/>
    <n v="47"/>
    <n v="0"/>
    <n v="0"/>
  </r>
  <r>
    <x v="19"/>
    <x v="54"/>
    <s v="AP"/>
    <x v="4"/>
    <x v="54"/>
    <n v="33"/>
    <n v="0"/>
    <n v="0"/>
  </r>
  <r>
    <x v="19"/>
    <x v="55"/>
    <s v="AP"/>
    <x v="4"/>
    <x v="55"/>
    <n v="201"/>
    <n v="0"/>
    <n v="0"/>
  </r>
  <r>
    <x v="19"/>
    <x v="56"/>
    <s v="AP"/>
    <x v="4"/>
    <x v="56"/>
    <n v="25"/>
    <n v="0"/>
    <n v="0"/>
  </r>
  <r>
    <x v="19"/>
    <x v="57"/>
    <s v="AP"/>
    <x v="4"/>
    <x v="57"/>
    <n v="30"/>
    <n v="0"/>
    <n v="0"/>
  </r>
  <r>
    <x v="19"/>
    <x v="58"/>
    <s v="AP"/>
    <x v="4"/>
    <x v="58"/>
    <n v="761"/>
    <n v="0"/>
    <n v="0"/>
  </r>
  <r>
    <x v="19"/>
    <x v="59"/>
    <s v="AR"/>
    <x v="5"/>
    <x v="59"/>
    <n v="90"/>
    <n v="0"/>
    <n v="0"/>
  </r>
  <r>
    <x v="19"/>
    <x v="60"/>
    <s v="AR"/>
    <x v="5"/>
    <x v="60"/>
    <n v="51"/>
    <n v="0"/>
    <n v="0"/>
  </r>
  <r>
    <x v="19"/>
    <x v="61"/>
    <s v="AR"/>
    <x v="5"/>
    <x v="61"/>
    <n v="0"/>
    <n v="0"/>
    <n v="0"/>
  </r>
  <r>
    <x v="19"/>
    <x v="62"/>
    <s v="AR"/>
    <x v="5"/>
    <x v="62"/>
    <n v="2996"/>
    <n v="0"/>
    <n v="0"/>
  </r>
  <r>
    <x v="19"/>
    <x v="63"/>
    <s v="AR"/>
    <x v="5"/>
    <x v="63"/>
    <n v="65"/>
    <n v="0"/>
    <n v="0"/>
  </r>
  <r>
    <x v="19"/>
    <x v="64"/>
    <s v="AR"/>
    <x v="5"/>
    <x v="64"/>
    <n v="721"/>
    <n v="0"/>
    <n v="0"/>
  </r>
  <r>
    <x v="19"/>
    <x v="65"/>
    <s v="AR"/>
    <x v="5"/>
    <x v="65"/>
    <n v="98"/>
    <n v="0"/>
    <n v="0"/>
  </r>
  <r>
    <x v="19"/>
    <x v="66"/>
    <s v="AR"/>
    <x v="5"/>
    <x v="66"/>
    <n v="308"/>
    <n v="0"/>
    <n v="0"/>
  </r>
  <r>
    <x v="19"/>
    <x v="67"/>
    <s v="AR"/>
    <x v="5"/>
    <x v="67"/>
    <n v="237"/>
    <n v="0"/>
    <n v="0"/>
  </r>
  <r>
    <x v="19"/>
    <x v="68"/>
    <s v="AR"/>
    <x v="5"/>
    <x v="68"/>
    <n v="0"/>
    <n v="0"/>
    <n v="0"/>
  </r>
  <r>
    <x v="19"/>
    <x v="69"/>
    <s v="AR"/>
    <x v="5"/>
    <x v="69"/>
    <n v="84"/>
    <n v="0"/>
    <n v="0"/>
  </r>
  <r>
    <x v="19"/>
    <x v="70"/>
    <s v="AR"/>
    <x v="5"/>
    <x v="70"/>
    <n v="82"/>
    <n v="0"/>
    <n v="0"/>
  </r>
  <r>
    <x v="19"/>
    <x v="71"/>
    <s v="AR"/>
    <x v="5"/>
    <x v="71"/>
    <n v="434"/>
    <n v="0"/>
    <n v="0"/>
  </r>
  <r>
    <x v="19"/>
    <x v="72"/>
    <s v="AR"/>
    <x v="5"/>
    <x v="72"/>
    <n v="73"/>
    <n v="0"/>
    <n v="0"/>
  </r>
  <r>
    <x v="19"/>
    <x v="73"/>
    <s v="AR"/>
    <x v="5"/>
    <x v="73"/>
    <n v="294"/>
    <n v="0"/>
    <n v="0"/>
  </r>
  <r>
    <x v="19"/>
    <x v="74"/>
    <s v="AR"/>
    <x v="5"/>
    <x v="74"/>
    <n v="36"/>
    <n v="0"/>
    <n v="0"/>
  </r>
  <r>
    <x v="19"/>
    <x v="75"/>
    <s v="AR"/>
    <x v="5"/>
    <x v="75"/>
    <n v="70"/>
    <n v="0"/>
    <n v="0"/>
  </r>
  <r>
    <x v="19"/>
    <x v="76"/>
    <s v="AR"/>
    <x v="5"/>
    <x v="76"/>
    <n v="419"/>
    <n v="0"/>
    <n v="0"/>
  </r>
  <r>
    <x v="19"/>
    <x v="77"/>
    <s v="BA"/>
    <x v="6"/>
    <x v="77"/>
    <n v="129"/>
    <n v="0"/>
    <n v="0"/>
  </r>
  <r>
    <x v="19"/>
    <x v="78"/>
    <s v="BA"/>
    <x v="6"/>
    <x v="78"/>
    <n v="0"/>
    <n v="0"/>
    <n v="0"/>
  </r>
  <r>
    <x v="19"/>
    <x v="79"/>
    <s v="BA"/>
    <x v="6"/>
    <x v="79"/>
    <n v="160"/>
    <n v="0"/>
    <n v="0"/>
  </r>
  <r>
    <x v="19"/>
    <x v="80"/>
    <s v="BA"/>
    <x v="6"/>
    <x v="80"/>
    <n v="38"/>
    <n v="0"/>
    <n v="0"/>
  </r>
  <r>
    <x v="19"/>
    <x v="81"/>
    <s v="BA"/>
    <x v="6"/>
    <x v="81"/>
    <n v="1281"/>
    <n v="0"/>
    <n v="0"/>
  </r>
  <r>
    <x v="19"/>
    <x v="82"/>
    <s v="BA"/>
    <x v="6"/>
    <x v="59"/>
    <n v="135"/>
    <n v="0"/>
    <n v="0"/>
  </r>
  <r>
    <x v="19"/>
    <x v="83"/>
    <s v="BA"/>
    <x v="6"/>
    <x v="82"/>
    <n v="58"/>
    <n v="0"/>
    <n v="0"/>
  </r>
  <r>
    <x v="19"/>
    <x v="84"/>
    <s v="BA"/>
    <x v="6"/>
    <x v="83"/>
    <n v="193"/>
    <n v="0"/>
    <n v="0"/>
  </r>
  <r>
    <x v="19"/>
    <x v="85"/>
    <s v="BA"/>
    <x v="6"/>
    <x v="84"/>
    <n v="54"/>
    <n v="0"/>
    <n v="0"/>
  </r>
  <r>
    <x v="19"/>
    <x v="86"/>
    <s v="BA"/>
    <x v="6"/>
    <x v="85"/>
    <n v="149"/>
    <n v="0"/>
    <n v="0"/>
  </r>
  <r>
    <x v="19"/>
    <x v="87"/>
    <s v="BA"/>
    <x v="6"/>
    <x v="86"/>
    <n v="88"/>
    <n v="0"/>
    <n v="0"/>
  </r>
  <r>
    <x v="19"/>
    <x v="88"/>
    <s v="BA"/>
    <x v="6"/>
    <x v="87"/>
    <n v="36"/>
    <n v="0"/>
    <n v="0"/>
  </r>
  <r>
    <x v="19"/>
    <x v="89"/>
    <s v="BO"/>
    <x v="7"/>
    <x v="88"/>
    <n v="2491"/>
    <n v="0"/>
    <n v="0"/>
  </r>
  <r>
    <x v="19"/>
    <x v="90"/>
    <s v="BO"/>
    <x v="7"/>
    <x v="89"/>
    <n v="187"/>
    <n v="0"/>
    <n v="0"/>
  </r>
  <r>
    <x v="19"/>
    <x v="91"/>
    <s v="BO"/>
    <x v="7"/>
    <x v="90"/>
    <n v="70"/>
    <n v="0"/>
    <n v="0"/>
  </r>
  <r>
    <x v="19"/>
    <x v="92"/>
    <s v="BO"/>
    <x v="7"/>
    <x v="91"/>
    <n v="24"/>
    <n v="0"/>
    <n v="0"/>
  </r>
  <r>
    <x v="19"/>
    <x v="93"/>
    <s v="BO"/>
    <x v="7"/>
    <x v="92"/>
    <n v="1691"/>
    <n v="0"/>
    <n v="0"/>
  </r>
  <r>
    <x v="19"/>
    <x v="94"/>
    <s v="BO"/>
    <x v="7"/>
    <x v="93"/>
    <n v="0"/>
    <n v="0"/>
    <n v="0"/>
  </r>
  <r>
    <x v="19"/>
    <x v="95"/>
    <s v="BO"/>
    <x v="7"/>
    <x v="94"/>
    <n v="354"/>
    <n v="0"/>
    <n v="0"/>
  </r>
  <r>
    <x v="19"/>
    <x v="96"/>
    <s v="BO"/>
    <x v="7"/>
    <x v="95"/>
    <n v="24"/>
    <n v="0"/>
    <n v="0"/>
  </r>
  <r>
    <x v="19"/>
    <x v="97"/>
    <s v="BO"/>
    <x v="7"/>
    <x v="96"/>
    <n v="53"/>
    <n v="0"/>
    <n v="0"/>
  </r>
  <r>
    <x v="19"/>
    <x v="98"/>
    <s v="BO"/>
    <x v="7"/>
    <x v="97"/>
    <n v="149"/>
    <n v="0"/>
    <n v="0"/>
  </r>
  <r>
    <x v="19"/>
    <x v="99"/>
    <s v="BO"/>
    <x v="7"/>
    <x v="73"/>
    <n v="4"/>
    <n v="0"/>
    <n v="0"/>
  </r>
  <r>
    <x v="19"/>
    <x v="100"/>
    <s v="CA"/>
    <x v="8"/>
    <x v="98"/>
    <n v="255"/>
    <n v="0"/>
    <n v="0"/>
  </r>
  <r>
    <x v="19"/>
    <x v="101"/>
    <s v="CA"/>
    <x v="8"/>
    <x v="99"/>
    <n v="365"/>
    <n v="0"/>
    <n v="0"/>
  </r>
  <r>
    <x v="19"/>
    <x v="102"/>
    <s v="CA"/>
    <x v="8"/>
    <x v="100"/>
    <n v="232"/>
    <n v="0"/>
    <n v="0"/>
  </r>
  <r>
    <x v="19"/>
    <x v="103"/>
    <s v="CA"/>
    <x v="8"/>
    <x v="101"/>
    <n v="356"/>
    <n v="0"/>
    <n v="0"/>
  </r>
  <r>
    <x v="19"/>
    <x v="104"/>
    <s v="CA"/>
    <x v="8"/>
    <x v="102"/>
    <n v="144"/>
    <n v="0"/>
    <n v="0"/>
  </r>
  <r>
    <x v="19"/>
    <x v="105"/>
    <s v="CA"/>
    <x v="8"/>
    <x v="66"/>
    <n v="351"/>
    <n v="0"/>
    <n v="0"/>
  </r>
  <r>
    <x v="19"/>
    <x v="106"/>
    <s v="CA"/>
    <x v="8"/>
    <x v="103"/>
    <n v="192"/>
    <n v="0"/>
    <n v="0"/>
  </r>
  <r>
    <x v="19"/>
    <x v="107"/>
    <s v="CA"/>
    <x v="8"/>
    <x v="104"/>
    <n v="71"/>
    <n v="0"/>
    <n v="0"/>
  </r>
  <r>
    <x v="19"/>
    <x v="108"/>
    <s v="CA"/>
    <x v="8"/>
    <x v="105"/>
    <n v="37"/>
    <n v="0"/>
    <n v="0"/>
  </r>
  <r>
    <x v="19"/>
    <x v="109"/>
    <s v="CA"/>
    <x v="8"/>
    <x v="106"/>
    <n v="856"/>
    <n v="0"/>
    <n v="0"/>
  </r>
  <r>
    <x v="19"/>
    <x v="110"/>
    <s v="CA"/>
    <x v="8"/>
    <x v="107"/>
    <n v="923"/>
    <n v="0"/>
    <n v="0"/>
  </r>
  <r>
    <x v="19"/>
    <x v="111"/>
    <s v="CA"/>
    <x v="8"/>
    <x v="108"/>
    <n v="88"/>
    <n v="0"/>
    <n v="0"/>
  </r>
  <r>
    <x v="19"/>
    <x v="112"/>
    <s v="CA"/>
    <x v="8"/>
    <x v="109"/>
    <n v="83"/>
    <n v="0"/>
    <n v="0"/>
  </r>
  <r>
    <x v="19"/>
    <x v="113"/>
    <s v="CA"/>
    <x v="8"/>
    <x v="110"/>
    <n v="4007"/>
    <n v="0"/>
    <n v="0"/>
  </r>
  <r>
    <x v="19"/>
    <x v="114"/>
    <s v="CO"/>
    <x v="9"/>
    <x v="111"/>
    <n v="25"/>
    <n v="0"/>
    <n v="0"/>
  </r>
  <r>
    <x v="19"/>
    <x v="115"/>
    <s v="CO"/>
    <x v="9"/>
    <x v="112"/>
    <n v="254"/>
    <n v="0"/>
    <n v="0"/>
  </r>
  <r>
    <x v="19"/>
    <x v="116"/>
    <s v="CO"/>
    <x v="9"/>
    <x v="62"/>
    <n v="26"/>
    <n v="0"/>
    <n v="0"/>
  </r>
  <r>
    <x v="19"/>
    <x v="117"/>
    <s v="CO"/>
    <x v="9"/>
    <x v="113"/>
    <n v="32"/>
    <n v="0"/>
    <n v="0"/>
  </r>
  <r>
    <x v="19"/>
    <x v="118"/>
    <s v="CO"/>
    <x v="9"/>
    <x v="114"/>
    <n v="32"/>
    <n v="0"/>
    <n v="0"/>
  </r>
  <r>
    <x v="19"/>
    <x v="119"/>
    <s v="CO"/>
    <x v="9"/>
    <x v="115"/>
    <n v="27"/>
    <n v="0"/>
    <n v="0"/>
  </r>
  <r>
    <x v="19"/>
    <x v="120"/>
    <s v="CO"/>
    <x v="9"/>
    <x v="57"/>
    <n v="15"/>
    <n v="0"/>
    <n v="0"/>
  </r>
  <r>
    <x v="19"/>
    <x v="121"/>
    <s v="CO"/>
    <x v="9"/>
    <x v="116"/>
    <n v="520"/>
    <n v="0"/>
    <n v="0"/>
  </r>
  <r>
    <x v="19"/>
    <x v="122"/>
    <s v="CO"/>
    <x v="9"/>
    <x v="117"/>
    <n v="96"/>
    <n v="0"/>
    <n v="0"/>
  </r>
  <r>
    <x v="19"/>
    <x v="123"/>
    <s v="DE"/>
    <x v="10"/>
    <x v="118"/>
    <n v="21"/>
    <n v="0"/>
    <n v="0"/>
  </r>
  <r>
    <x v="19"/>
    <x v="124"/>
    <s v="DE"/>
    <x v="10"/>
    <x v="119"/>
    <n v="19"/>
    <n v="0"/>
    <n v="0"/>
  </r>
  <r>
    <x v="19"/>
    <x v="125"/>
    <s v="DE"/>
    <x v="10"/>
    <x v="120"/>
    <n v="13"/>
    <n v="0"/>
    <n v="0"/>
  </r>
  <r>
    <x v="19"/>
    <x v="126"/>
    <s v="DE"/>
    <x v="10"/>
    <x v="121"/>
    <n v="340"/>
    <n v="0"/>
    <n v="0"/>
  </r>
  <r>
    <x v="19"/>
    <x v="127"/>
    <s v="FA"/>
    <x v="11"/>
    <x v="122"/>
    <n v="122"/>
    <n v="0"/>
    <n v="0"/>
  </r>
  <r>
    <x v="19"/>
    <x v="128"/>
    <s v="FA"/>
    <x v="11"/>
    <x v="59"/>
    <n v="27"/>
    <n v="0"/>
    <n v="0"/>
  </r>
  <r>
    <x v="19"/>
    <x v="129"/>
    <s v="FA"/>
    <x v="11"/>
    <x v="123"/>
    <n v="48"/>
    <n v="0"/>
    <n v="0"/>
  </r>
  <r>
    <x v="19"/>
    <x v="130"/>
    <s v="FA"/>
    <x v="11"/>
    <x v="124"/>
    <n v="20"/>
    <n v="0"/>
    <n v="0"/>
  </r>
  <r>
    <x v="19"/>
    <x v="131"/>
    <s v="FA"/>
    <x v="11"/>
    <x v="125"/>
    <n v="609"/>
    <n v="0"/>
    <n v="0"/>
  </r>
  <r>
    <x v="19"/>
    <x v="132"/>
    <s v="FA"/>
    <x v="11"/>
    <x v="126"/>
    <n v="47"/>
    <n v="0"/>
    <n v="0"/>
  </r>
  <r>
    <x v="19"/>
    <x v="133"/>
    <s v="FA"/>
    <x v="11"/>
    <x v="127"/>
    <n v="59"/>
    <n v="0"/>
    <n v="0"/>
  </r>
  <r>
    <x v="19"/>
    <x v="134"/>
    <s v="FA"/>
    <x v="11"/>
    <x v="128"/>
    <n v="19"/>
    <n v="0"/>
    <n v="0"/>
  </r>
  <r>
    <x v="19"/>
    <x v="135"/>
    <s v="FA"/>
    <x v="11"/>
    <x v="112"/>
    <n v="58"/>
    <n v="0"/>
    <n v="0"/>
  </r>
  <r>
    <x v="19"/>
    <x v="136"/>
    <s v="FA"/>
    <x v="11"/>
    <x v="129"/>
    <n v="110"/>
    <n v="0"/>
    <n v="0"/>
  </r>
  <r>
    <x v="19"/>
    <x v="137"/>
    <s v="FA"/>
    <x v="11"/>
    <x v="130"/>
    <n v="25"/>
    <n v="0"/>
    <n v="0"/>
  </r>
  <r>
    <x v="19"/>
    <x v="138"/>
    <s v="FA"/>
    <x v="11"/>
    <x v="131"/>
    <n v="66"/>
    <n v="0"/>
    <n v="0"/>
  </r>
  <r>
    <x v="19"/>
    <x v="139"/>
    <s v="FA"/>
    <x v="11"/>
    <x v="132"/>
    <n v="56"/>
    <n v="0"/>
    <n v="0"/>
  </r>
  <r>
    <x v="19"/>
    <x v="140"/>
    <s v="FA"/>
    <x v="11"/>
    <x v="104"/>
    <n v="852"/>
    <n v="0"/>
    <n v="0"/>
  </r>
  <r>
    <x v="19"/>
    <x v="141"/>
    <s v="FA"/>
    <x v="11"/>
    <x v="133"/>
    <n v="60"/>
    <n v="0"/>
    <n v="0"/>
  </r>
  <r>
    <x v="19"/>
    <x v="142"/>
    <s v="FA"/>
    <x v="11"/>
    <x v="134"/>
    <n v="3"/>
    <n v="0"/>
    <n v="0"/>
  </r>
  <r>
    <x v="19"/>
    <x v="143"/>
    <s v="FA"/>
    <x v="11"/>
    <x v="135"/>
    <n v="33"/>
    <n v="0"/>
    <n v="0"/>
  </r>
  <r>
    <x v="19"/>
    <x v="144"/>
    <s v="FA"/>
    <x v="11"/>
    <x v="45"/>
    <n v="23"/>
    <n v="0"/>
    <n v="0"/>
  </r>
  <r>
    <x v="19"/>
    <x v="145"/>
    <s v="FA"/>
    <x v="11"/>
    <x v="136"/>
    <n v="33"/>
    <n v="0"/>
    <n v="0"/>
  </r>
  <r>
    <x v="19"/>
    <x v="146"/>
    <s v="FA"/>
    <x v="11"/>
    <x v="137"/>
    <n v="85"/>
    <n v="0"/>
    <n v="0"/>
  </r>
  <r>
    <x v="19"/>
    <x v="147"/>
    <s v="FA"/>
    <x v="11"/>
    <x v="73"/>
    <n v="21"/>
    <n v="0"/>
    <n v="0"/>
  </r>
  <r>
    <x v="19"/>
    <x v="148"/>
    <s v="FA"/>
    <x v="11"/>
    <x v="138"/>
    <n v="19"/>
    <n v="0"/>
    <n v="0"/>
  </r>
  <r>
    <x v="19"/>
    <x v="149"/>
    <s v="FA"/>
    <x v="11"/>
    <x v="139"/>
    <n v="41"/>
    <n v="0"/>
    <n v="0"/>
  </r>
  <r>
    <x v="19"/>
    <x v="150"/>
    <s v="FA"/>
    <x v="11"/>
    <x v="140"/>
    <n v="25"/>
    <n v="0"/>
    <n v="0"/>
  </r>
  <r>
    <x v="19"/>
    <x v="151"/>
    <s v="FA"/>
    <x v="11"/>
    <x v="76"/>
    <n v="82"/>
    <n v="0"/>
    <n v="0"/>
  </r>
  <r>
    <x v="19"/>
    <x v="152"/>
    <s v="GU"/>
    <x v="12"/>
    <x v="141"/>
    <n v="55"/>
    <n v="0"/>
    <n v="0"/>
  </r>
  <r>
    <x v="19"/>
    <x v="153"/>
    <s v="GU"/>
    <x v="12"/>
    <x v="142"/>
    <n v="32"/>
    <n v="0"/>
    <n v="0"/>
  </r>
  <r>
    <x v="19"/>
    <x v="154"/>
    <s v="GU"/>
    <x v="12"/>
    <x v="143"/>
    <n v="41"/>
    <n v="0"/>
    <n v="0"/>
  </r>
  <r>
    <x v="19"/>
    <x v="155"/>
    <s v="GU"/>
    <x v="12"/>
    <x v="144"/>
    <n v="24"/>
    <n v="0"/>
    <n v="0"/>
  </r>
  <r>
    <x v="19"/>
    <x v="156"/>
    <s v="GU"/>
    <x v="12"/>
    <x v="145"/>
    <n v="548"/>
    <n v="0"/>
    <n v="0"/>
  </r>
  <r>
    <x v="19"/>
    <x v="157"/>
    <s v="GU"/>
    <x v="12"/>
    <x v="146"/>
    <n v="90"/>
    <n v="0"/>
    <n v="0"/>
  </r>
  <r>
    <x v="19"/>
    <x v="158"/>
    <s v="GU"/>
    <x v="12"/>
    <x v="147"/>
    <n v="110"/>
    <n v="0"/>
    <n v="0"/>
  </r>
  <r>
    <x v="19"/>
    <x v="159"/>
    <s v="GU"/>
    <x v="12"/>
    <x v="104"/>
    <n v="562"/>
    <n v="0"/>
    <n v="0"/>
  </r>
  <r>
    <x v="19"/>
    <x v="160"/>
    <s v="GU"/>
    <x v="12"/>
    <x v="148"/>
    <n v="294"/>
    <n v="0"/>
    <n v="0"/>
  </r>
  <r>
    <x v="19"/>
    <x v="161"/>
    <s v="GU"/>
    <x v="12"/>
    <x v="149"/>
    <n v="36"/>
    <n v="0"/>
    <n v="0"/>
  </r>
  <r>
    <x v="19"/>
    <x v="162"/>
    <s v="GU"/>
    <x v="12"/>
    <x v="150"/>
    <n v="113"/>
    <n v="0"/>
    <n v="0"/>
  </r>
  <r>
    <x v="19"/>
    <x v="163"/>
    <s v="GU"/>
    <x v="12"/>
    <x v="96"/>
    <n v="581"/>
    <n v="0"/>
    <n v="0"/>
  </r>
  <r>
    <x v="19"/>
    <x v="164"/>
    <s v="GU"/>
    <x v="12"/>
    <x v="151"/>
    <n v="25"/>
    <n v="0"/>
    <n v="0"/>
  </r>
  <r>
    <x v="19"/>
    <x v="165"/>
    <s v="GU"/>
    <x v="12"/>
    <x v="152"/>
    <n v="47"/>
    <n v="0"/>
    <n v="0"/>
  </r>
  <r>
    <x v="19"/>
    <x v="166"/>
    <s v="GU"/>
    <x v="12"/>
    <x v="153"/>
    <n v="240"/>
    <n v="0"/>
    <n v="0"/>
  </r>
  <r>
    <x v="19"/>
    <x v="167"/>
    <s v="LA"/>
    <x v="13"/>
    <x v="154"/>
    <n v="161"/>
    <n v="0"/>
    <n v="0"/>
  </r>
  <r>
    <x v="19"/>
    <x v="168"/>
    <s v="LA"/>
    <x v="13"/>
    <x v="155"/>
    <n v="140"/>
    <n v="0"/>
    <n v="0"/>
  </r>
  <r>
    <x v="19"/>
    <x v="169"/>
    <s v="LA"/>
    <x v="13"/>
    <x v="156"/>
    <n v="4666"/>
    <n v="0"/>
    <n v="0"/>
  </r>
  <r>
    <x v="19"/>
    <x v="170"/>
    <s v="LA"/>
    <x v="13"/>
    <x v="157"/>
    <n v="239"/>
    <n v="0"/>
    <n v="0"/>
  </r>
  <r>
    <x v="19"/>
    <x v="171"/>
    <s v="LA"/>
    <x v="13"/>
    <x v="158"/>
    <n v="445"/>
    <n v="0"/>
    <n v="0"/>
  </r>
  <r>
    <x v="19"/>
    <x v="172"/>
    <s v="LA"/>
    <x v="13"/>
    <x v="159"/>
    <n v="214"/>
    <n v="0"/>
    <n v="0"/>
  </r>
  <r>
    <x v="19"/>
    <x v="173"/>
    <s v="LA"/>
    <x v="13"/>
    <x v="160"/>
    <n v="73"/>
    <n v="0"/>
    <n v="0"/>
  </r>
  <r>
    <x v="19"/>
    <x v="174"/>
    <s v="LA"/>
    <x v="13"/>
    <x v="161"/>
    <n v="692"/>
    <n v="0"/>
    <n v="0"/>
  </r>
  <r>
    <x v="19"/>
    <x v="175"/>
    <s v="LA"/>
    <x v="13"/>
    <x v="75"/>
    <n v="117"/>
    <n v="0"/>
    <n v="0"/>
  </r>
  <r>
    <x v="19"/>
    <x v="176"/>
    <s v="ME"/>
    <x v="14"/>
    <x v="162"/>
    <n v="539"/>
    <n v="0"/>
    <n v="0"/>
  </r>
  <r>
    <x v="19"/>
    <x v="177"/>
    <s v="ME"/>
    <x v="14"/>
    <x v="163"/>
    <n v="46"/>
    <n v="0"/>
    <n v="0"/>
  </r>
  <r>
    <x v="19"/>
    <x v="178"/>
    <s v="ME"/>
    <x v="14"/>
    <x v="164"/>
    <n v="96"/>
    <n v="0"/>
    <n v="0"/>
  </r>
  <r>
    <x v="19"/>
    <x v="179"/>
    <s v="ME"/>
    <x v="14"/>
    <x v="165"/>
    <n v="29"/>
    <n v="0"/>
    <n v="0"/>
  </r>
  <r>
    <x v="19"/>
    <x v="180"/>
    <s v="ME"/>
    <x v="14"/>
    <x v="166"/>
    <n v="84"/>
    <n v="0"/>
    <n v="0"/>
  </r>
  <r>
    <x v="19"/>
    <x v="181"/>
    <s v="ME"/>
    <x v="14"/>
    <x v="167"/>
    <n v="224"/>
    <n v="0"/>
    <n v="0"/>
  </r>
  <r>
    <x v="19"/>
    <x v="182"/>
    <s v="ME"/>
    <x v="14"/>
    <x v="168"/>
    <n v="20"/>
    <n v="0"/>
    <n v="0"/>
  </r>
  <r>
    <x v="19"/>
    <x v="183"/>
    <s v="ME"/>
    <x v="14"/>
    <x v="169"/>
    <n v="104"/>
    <n v="0"/>
    <n v="0"/>
  </r>
  <r>
    <x v="19"/>
    <x v="184"/>
    <s v="ME"/>
    <x v="14"/>
    <x v="170"/>
    <n v="47"/>
    <n v="0"/>
    <n v="0"/>
  </r>
  <r>
    <x v="19"/>
    <x v="185"/>
    <s v="ME"/>
    <x v="14"/>
    <x v="171"/>
    <n v="57"/>
    <n v="0"/>
    <n v="0"/>
  </r>
  <r>
    <x v="19"/>
    <x v="186"/>
    <s v="ME"/>
    <x v="14"/>
    <x v="172"/>
    <n v="21"/>
    <n v="0"/>
    <n v="0"/>
  </r>
  <r>
    <x v="19"/>
    <x v="187"/>
    <s v="ME"/>
    <x v="14"/>
    <x v="66"/>
    <n v="1410"/>
    <n v="0"/>
    <n v="0"/>
  </r>
  <r>
    <x v="19"/>
    <x v="188"/>
    <s v="ME"/>
    <x v="14"/>
    <x v="104"/>
    <n v="87"/>
    <n v="0"/>
    <n v="0"/>
  </r>
  <r>
    <x v="19"/>
    <x v="189"/>
    <s v="ME"/>
    <x v="14"/>
    <x v="173"/>
    <n v="79"/>
    <n v="0"/>
    <n v="0"/>
  </r>
  <r>
    <x v="19"/>
    <x v="190"/>
    <s v="ME"/>
    <x v="14"/>
    <x v="174"/>
    <n v="6"/>
    <n v="0"/>
    <n v="0"/>
  </r>
  <r>
    <x v="19"/>
    <x v="191"/>
    <s v="ME"/>
    <x v="14"/>
    <x v="175"/>
    <n v="55"/>
    <n v="0"/>
    <n v="0"/>
  </r>
  <r>
    <x v="19"/>
    <x v="192"/>
    <s v="ME"/>
    <x v="14"/>
    <x v="176"/>
    <n v="76"/>
    <n v="0"/>
    <n v="0"/>
  </r>
  <r>
    <x v="19"/>
    <x v="193"/>
    <s v="ME"/>
    <x v="14"/>
    <x v="177"/>
    <n v="54"/>
    <n v="0"/>
    <n v="0"/>
  </r>
  <r>
    <x v="19"/>
    <x v="194"/>
    <s v="ME"/>
    <x v="14"/>
    <x v="178"/>
    <n v="47"/>
    <n v="0"/>
    <n v="0"/>
  </r>
  <r>
    <x v="19"/>
    <x v="195"/>
    <s v="ME"/>
    <x v="14"/>
    <x v="73"/>
    <n v="169"/>
    <n v="0"/>
    <n v="0"/>
  </r>
  <r>
    <x v="19"/>
    <x v="196"/>
    <s v="ME"/>
    <x v="14"/>
    <x v="74"/>
    <n v="183"/>
    <n v="0"/>
    <n v="0"/>
  </r>
  <r>
    <x v="19"/>
    <x v="197"/>
    <s v="ME"/>
    <x v="14"/>
    <x v="179"/>
    <n v="78"/>
    <n v="0"/>
    <n v="0"/>
  </r>
  <r>
    <x v="19"/>
    <x v="198"/>
    <s v="ME"/>
    <x v="14"/>
    <x v="180"/>
    <n v="41"/>
    <n v="0"/>
    <n v="0"/>
  </r>
  <r>
    <x v="19"/>
    <x v="199"/>
    <s v="MI"/>
    <x v="15"/>
    <x v="181"/>
    <n v="302"/>
    <n v="0"/>
    <n v="0"/>
  </r>
  <r>
    <x v="19"/>
    <x v="200"/>
    <s v="MI"/>
    <x v="15"/>
    <x v="163"/>
    <n v="57"/>
    <n v="0"/>
    <n v="0"/>
  </r>
  <r>
    <x v="19"/>
    <x v="201"/>
    <s v="MI"/>
    <x v="15"/>
    <x v="182"/>
    <n v="1051"/>
    <n v="0"/>
    <n v="0"/>
  </r>
  <r>
    <x v="19"/>
    <x v="202"/>
    <s v="MI"/>
    <x v="15"/>
    <x v="183"/>
    <n v="151"/>
    <n v="0"/>
    <n v="0"/>
  </r>
  <r>
    <x v="19"/>
    <x v="203"/>
    <s v="MI"/>
    <x v="15"/>
    <x v="184"/>
    <n v="54"/>
    <n v="0"/>
    <n v="0"/>
  </r>
  <r>
    <x v="19"/>
    <x v="204"/>
    <s v="MI"/>
    <x v="15"/>
    <x v="185"/>
    <n v="64"/>
    <n v="0"/>
    <n v="0"/>
  </r>
  <r>
    <x v="19"/>
    <x v="205"/>
    <s v="MI"/>
    <x v="15"/>
    <x v="186"/>
    <n v="654"/>
    <n v="0"/>
    <n v="0"/>
  </r>
  <r>
    <x v="19"/>
    <x v="206"/>
    <s v="MI"/>
    <x v="15"/>
    <x v="187"/>
    <n v="221"/>
    <n v="0"/>
    <n v="0"/>
  </r>
  <r>
    <x v="19"/>
    <x v="207"/>
    <s v="MI"/>
    <x v="15"/>
    <x v="188"/>
    <n v="110"/>
    <n v="0"/>
    <n v="0"/>
  </r>
  <r>
    <x v="19"/>
    <x v="208"/>
    <s v="MI"/>
    <x v="15"/>
    <x v="189"/>
    <n v="1028"/>
    <n v="0"/>
    <n v="0"/>
  </r>
  <r>
    <x v="19"/>
    <x v="209"/>
    <s v="MI"/>
    <x v="15"/>
    <x v="38"/>
    <n v="295"/>
    <n v="0"/>
    <n v="0"/>
  </r>
  <r>
    <x v="19"/>
    <x v="210"/>
    <s v="MI"/>
    <x v="15"/>
    <x v="190"/>
    <n v="810"/>
    <n v="0"/>
    <n v="0"/>
  </r>
  <r>
    <x v="19"/>
    <x v="211"/>
    <s v="MI"/>
    <x v="15"/>
    <x v="191"/>
    <n v="150"/>
    <n v="0"/>
    <n v="0"/>
  </r>
  <r>
    <x v="19"/>
    <x v="212"/>
    <s v="MI"/>
    <x v="15"/>
    <x v="55"/>
    <n v="169"/>
    <n v="0"/>
    <n v="0"/>
  </r>
  <r>
    <x v="19"/>
    <x v="213"/>
    <s v="MI"/>
    <x v="15"/>
    <x v="192"/>
    <n v="160"/>
    <n v="0"/>
    <n v="0"/>
  </r>
  <r>
    <x v="19"/>
    <x v="214"/>
    <s v="MI"/>
    <x v="15"/>
    <x v="193"/>
    <n v="71"/>
    <n v="0"/>
    <n v="0"/>
  </r>
  <r>
    <x v="19"/>
    <x v="215"/>
    <s v="MI"/>
    <x v="15"/>
    <x v="194"/>
    <n v="421"/>
    <n v="0"/>
    <n v="0"/>
  </r>
  <r>
    <x v="19"/>
    <x v="216"/>
    <s v="MI"/>
    <x v="15"/>
    <x v="49"/>
    <n v="77"/>
    <n v="0"/>
    <n v="0"/>
  </r>
  <r>
    <x v="19"/>
    <x v="217"/>
    <s v="MI"/>
    <x v="15"/>
    <x v="73"/>
    <n v="2469"/>
    <n v="0"/>
    <n v="0"/>
  </r>
  <r>
    <x v="19"/>
    <x v="218"/>
    <s v="MI"/>
    <x v="15"/>
    <x v="75"/>
    <n v="280"/>
    <n v="0"/>
    <n v="0"/>
  </r>
  <r>
    <x v="19"/>
    <x v="219"/>
    <s v="MI"/>
    <x v="15"/>
    <x v="76"/>
    <n v="427"/>
    <n v="0"/>
    <n v="0"/>
  </r>
  <r>
    <x v="19"/>
    <x v="220"/>
    <s v="MO"/>
    <x v="16"/>
    <x v="122"/>
    <n v="69"/>
    <n v="0"/>
    <n v="0"/>
  </r>
  <r>
    <x v="19"/>
    <x v="221"/>
    <s v="MO"/>
    <x v="16"/>
    <x v="195"/>
    <n v="21"/>
    <n v="0"/>
    <n v="0"/>
  </r>
  <r>
    <x v="19"/>
    <x v="222"/>
    <s v="MO"/>
    <x v="16"/>
    <x v="59"/>
    <n v="86"/>
    <n v="0"/>
    <n v="0"/>
  </r>
  <r>
    <x v="19"/>
    <x v="223"/>
    <s v="MO"/>
    <x v="16"/>
    <x v="196"/>
    <n v="99"/>
    <n v="0"/>
    <n v="0"/>
  </r>
  <r>
    <x v="19"/>
    <x v="224"/>
    <s v="MO"/>
    <x v="16"/>
    <x v="89"/>
    <n v="70"/>
    <n v="0"/>
    <n v="0"/>
  </r>
  <r>
    <x v="19"/>
    <x v="225"/>
    <s v="MO"/>
    <x v="16"/>
    <x v="83"/>
    <n v="96"/>
    <n v="0"/>
    <n v="0"/>
  </r>
  <r>
    <x v="19"/>
    <x v="226"/>
    <s v="MO"/>
    <x v="16"/>
    <x v="66"/>
    <n v="68"/>
    <n v="0"/>
    <n v="0"/>
  </r>
  <r>
    <x v="19"/>
    <x v="227"/>
    <s v="MO"/>
    <x v="16"/>
    <x v="197"/>
    <n v="1745"/>
    <n v="0"/>
    <n v="0"/>
  </r>
  <r>
    <x v="19"/>
    <x v="228"/>
    <s v="MO"/>
    <x v="16"/>
    <x v="94"/>
    <n v="83"/>
    <n v="0"/>
    <n v="0"/>
  </r>
  <r>
    <x v="19"/>
    <x v="229"/>
    <s v="MO"/>
    <x v="16"/>
    <x v="198"/>
    <n v="39"/>
    <n v="0"/>
    <n v="0"/>
  </r>
  <r>
    <x v="19"/>
    <x v="230"/>
    <s v="MO"/>
    <x v="16"/>
    <x v="199"/>
    <n v="12"/>
    <n v="0"/>
    <n v="0"/>
  </r>
  <r>
    <x v="19"/>
    <x v="231"/>
    <s v="MO"/>
    <x v="16"/>
    <x v="200"/>
    <n v="74"/>
    <n v="0"/>
    <n v="0"/>
  </r>
  <r>
    <x v="19"/>
    <x v="232"/>
    <s v="MO"/>
    <x v="16"/>
    <x v="201"/>
    <n v="21"/>
    <n v="0"/>
    <n v="0"/>
  </r>
  <r>
    <x v="19"/>
    <x v="233"/>
    <s v="NU"/>
    <x v="17"/>
    <x v="202"/>
    <n v="72"/>
    <n v="0"/>
    <n v="0"/>
  </r>
  <r>
    <x v="19"/>
    <x v="234"/>
    <s v="NU"/>
    <x v="17"/>
    <x v="80"/>
    <n v="88"/>
    <n v="0"/>
    <n v="0"/>
  </r>
  <r>
    <x v="19"/>
    <x v="235"/>
    <s v="NU"/>
    <x v="17"/>
    <x v="203"/>
    <n v="77"/>
    <n v="0"/>
    <n v="0"/>
  </r>
  <r>
    <x v="19"/>
    <x v="236"/>
    <s v="NU"/>
    <x v="17"/>
    <x v="204"/>
    <n v="51"/>
    <n v="0"/>
    <n v="0"/>
  </r>
  <r>
    <x v="19"/>
    <x v="237"/>
    <s v="NU"/>
    <x v="17"/>
    <x v="205"/>
    <n v="70"/>
    <n v="0"/>
    <n v="0"/>
  </r>
  <r>
    <x v="19"/>
    <x v="238"/>
    <s v="NU"/>
    <x v="17"/>
    <x v="206"/>
    <n v="66"/>
    <n v="0"/>
    <n v="0"/>
  </r>
  <r>
    <x v="19"/>
    <x v="239"/>
    <s v="NU"/>
    <x v="17"/>
    <x v="207"/>
    <n v="74"/>
    <n v="0"/>
    <n v="0"/>
  </r>
  <r>
    <x v="19"/>
    <x v="240"/>
    <s v="NU"/>
    <x v="17"/>
    <x v="208"/>
    <n v="923"/>
    <n v="0"/>
    <n v="0"/>
  </r>
  <r>
    <x v="19"/>
    <x v="241"/>
    <s v="NU"/>
    <x v="17"/>
    <x v="209"/>
    <n v="48"/>
    <n v="0"/>
    <n v="0"/>
  </r>
  <r>
    <x v="19"/>
    <x v="242"/>
    <s v="NU"/>
    <x v="17"/>
    <x v="210"/>
    <n v="53"/>
    <n v="0"/>
    <n v="0"/>
  </r>
  <r>
    <x v="19"/>
    <x v="243"/>
    <s v="NU"/>
    <x v="17"/>
    <x v="211"/>
    <n v="0"/>
    <n v="0"/>
    <n v="0"/>
  </r>
  <r>
    <x v="19"/>
    <x v="244"/>
    <s v="PO"/>
    <x v="18"/>
    <x v="212"/>
    <n v="53"/>
    <n v="0"/>
    <n v="0"/>
  </r>
  <r>
    <x v="19"/>
    <x v="245"/>
    <s v="PO"/>
    <x v="18"/>
    <x v="213"/>
    <n v="947"/>
    <n v="0"/>
    <n v="0"/>
  </r>
  <r>
    <x v="19"/>
    <x v="246"/>
    <s v="PO"/>
    <x v="18"/>
    <x v="214"/>
    <n v="122"/>
    <n v="0"/>
    <n v="0"/>
  </r>
  <r>
    <x v="19"/>
    <x v="247"/>
    <s v="PO"/>
    <x v="18"/>
    <x v="215"/>
    <n v="683"/>
    <n v="0"/>
    <n v="0"/>
  </r>
  <r>
    <x v="19"/>
    <x v="248"/>
    <s v="PO"/>
    <x v="18"/>
    <x v="216"/>
    <n v="81"/>
    <n v="0"/>
    <n v="0"/>
  </r>
  <r>
    <x v="19"/>
    <x v="249"/>
    <s v="PO"/>
    <x v="18"/>
    <x v="217"/>
    <n v="61"/>
    <n v="0"/>
    <n v="0"/>
  </r>
  <r>
    <x v="19"/>
    <x v="250"/>
    <s v="PO"/>
    <x v="18"/>
    <x v="218"/>
    <n v="120"/>
    <n v="0"/>
    <n v="0"/>
  </r>
  <r>
    <x v="19"/>
    <x v="251"/>
    <s v="PO"/>
    <x v="18"/>
    <x v="55"/>
    <n v="389"/>
    <n v="0"/>
    <n v="0"/>
  </r>
  <r>
    <x v="19"/>
    <x v="252"/>
    <s v="PO"/>
    <x v="18"/>
    <x v="219"/>
    <n v="27"/>
    <n v="0"/>
    <n v="0"/>
  </r>
  <r>
    <x v="19"/>
    <x v="253"/>
    <s v="PO"/>
    <x v="18"/>
    <x v="220"/>
    <n v="63"/>
    <n v="0"/>
    <n v="0"/>
  </r>
  <r>
    <x v="19"/>
    <x v="254"/>
    <s v="PO"/>
    <x v="18"/>
    <x v="221"/>
    <n v="37"/>
    <n v="0"/>
    <n v="0"/>
  </r>
  <r>
    <x v="19"/>
    <x v="255"/>
    <s v="PO"/>
    <x v="18"/>
    <x v="222"/>
    <n v="25"/>
    <n v="0"/>
    <n v="0"/>
  </r>
  <r>
    <x v="19"/>
    <x v="256"/>
    <s v="PO"/>
    <x v="18"/>
    <x v="73"/>
    <n v="140"/>
    <n v="0"/>
    <n v="0"/>
  </r>
  <r>
    <x v="19"/>
    <x v="257"/>
    <s v="PO"/>
    <x v="18"/>
    <x v="223"/>
    <n v="151"/>
    <n v="0"/>
    <n v="0"/>
  </r>
  <r>
    <x v="19"/>
    <x v="258"/>
    <s v="SU"/>
    <x v="19"/>
    <x v="154"/>
    <n v="55"/>
    <n v="0"/>
    <n v="0"/>
  </r>
  <r>
    <x v="19"/>
    <x v="259"/>
    <s v="SU"/>
    <x v="19"/>
    <x v="224"/>
    <n v="39"/>
    <n v="0"/>
    <n v="0"/>
  </r>
  <r>
    <x v="19"/>
    <x v="260"/>
    <s v="SU"/>
    <x v="19"/>
    <x v="80"/>
    <n v="155"/>
    <n v="0"/>
    <n v="0"/>
  </r>
  <r>
    <x v="19"/>
    <x v="261"/>
    <s v="SU"/>
    <x v="19"/>
    <x v="225"/>
    <n v="93"/>
    <n v="0"/>
    <n v="0"/>
  </r>
  <r>
    <x v="19"/>
    <x v="262"/>
    <s v="SU"/>
    <x v="19"/>
    <x v="226"/>
    <n v="635"/>
    <n v="0"/>
    <n v="0"/>
  </r>
  <r>
    <x v="19"/>
    <x v="263"/>
    <s v="SU"/>
    <x v="19"/>
    <x v="59"/>
    <n v="46"/>
    <n v="0"/>
    <n v="0"/>
  </r>
  <r>
    <x v="19"/>
    <x v="264"/>
    <s v="SU"/>
    <x v="19"/>
    <x v="227"/>
    <n v="46"/>
    <n v="0"/>
    <n v="0"/>
  </r>
  <r>
    <x v="19"/>
    <x v="265"/>
    <s v="SU"/>
    <x v="19"/>
    <x v="228"/>
    <n v="27"/>
    <n v="0"/>
    <n v="0"/>
  </r>
  <r>
    <x v="19"/>
    <x v="266"/>
    <s v="SU"/>
    <x v="19"/>
    <x v="66"/>
    <n v="31"/>
    <n v="0"/>
    <n v="0"/>
  </r>
  <r>
    <x v="19"/>
    <x v="267"/>
    <s v="SU"/>
    <x v="19"/>
    <x v="208"/>
    <n v="75"/>
    <n v="0"/>
    <n v="0"/>
  </r>
  <r>
    <x v="19"/>
    <x v="268"/>
    <s v="SU"/>
    <x v="19"/>
    <x v="229"/>
    <n v="19"/>
    <n v="0"/>
    <n v="0"/>
  </r>
  <r>
    <x v="19"/>
    <x v="269"/>
    <s v="SU"/>
    <x v="19"/>
    <x v="230"/>
    <n v="178"/>
    <n v="0"/>
    <n v="0"/>
  </r>
  <r>
    <x v="19"/>
    <x v="270"/>
    <s v="SU"/>
    <x v="19"/>
    <x v="231"/>
    <n v="106"/>
    <n v="0"/>
    <n v="0"/>
  </r>
  <r>
    <x v="19"/>
    <x v="271"/>
    <s v="SU"/>
    <x v="19"/>
    <x v="73"/>
    <n v="1195"/>
    <n v="0"/>
    <n v="0"/>
  </r>
  <r>
    <x v="19"/>
    <x v="272"/>
    <s v="SU"/>
    <x v="19"/>
    <x v="232"/>
    <n v="82"/>
    <n v="0"/>
    <n v="0"/>
  </r>
  <r>
    <x v="19"/>
    <x v="273"/>
    <s v="TA"/>
    <x v="20"/>
    <x v="163"/>
    <n v="70"/>
    <n v="0"/>
    <n v="0"/>
  </r>
  <r>
    <x v="19"/>
    <x v="274"/>
    <s v="TA"/>
    <x v="20"/>
    <x v="233"/>
    <n v="25"/>
    <n v="0"/>
    <n v="0"/>
  </r>
  <r>
    <x v="19"/>
    <x v="275"/>
    <s v="TA"/>
    <x v="20"/>
    <x v="234"/>
    <n v="220"/>
    <n v="0"/>
    <n v="0"/>
  </r>
  <r>
    <x v="19"/>
    <x v="276"/>
    <s v="TA"/>
    <x v="20"/>
    <x v="59"/>
    <n v="220"/>
    <n v="0"/>
    <n v="0"/>
  </r>
  <r>
    <x v="19"/>
    <x v="277"/>
    <s v="TA"/>
    <x v="20"/>
    <x v="235"/>
    <n v="277"/>
    <n v="0"/>
    <n v="0"/>
  </r>
  <r>
    <x v="19"/>
    <x v="278"/>
    <s v="TA"/>
    <x v="20"/>
    <x v="236"/>
    <n v="73"/>
    <n v="0"/>
    <n v="0"/>
  </r>
  <r>
    <x v="19"/>
    <x v="279"/>
    <s v="TA"/>
    <x v="20"/>
    <x v="237"/>
    <n v="123"/>
    <n v="0"/>
    <n v="0"/>
  </r>
  <r>
    <x v="19"/>
    <x v="280"/>
    <s v="TA"/>
    <x v="20"/>
    <x v="35"/>
    <n v="15"/>
    <n v="0"/>
    <n v="0"/>
  </r>
  <r>
    <x v="19"/>
    <x v="281"/>
    <s v="TA"/>
    <x v="20"/>
    <x v="238"/>
    <n v="146"/>
    <n v="0"/>
    <n v="0"/>
  </r>
  <r>
    <x v="19"/>
    <x v="282"/>
    <s v="TA"/>
    <x v="20"/>
    <x v="239"/>
    <n v="76"/>
    <n v="0"/>
    <n v="0"/>
  </r>
  <r>
    <x v="19"/>
    <x v="283"/>
    <s v="TA"/>
    <x v="20"/>
    <x v="38"/>
    <n v="97"/>
    <n v="0"/>
    <n v="0"/>
  </r>
  <r>
    <x v="19"/>
    <x v="284"/>
    <s v="TA"/>
    <x v="20"/>
    <x v="240"/>
    <n v="226"/>
    <n v="0"/>
    <n v="0"/>
  </r>
  <r>
    <x v="19"/>
    <x v="285"/>
    <s v="TA"/>
    <x v="20"/>
    <x v="241"/>
    <n v="26"/>
    <n v="0"/>
    <n v="0"/>
  </r>
  <r>
    <x v="19"/>
    <x v="286"/>
    <s v="TA"/>
    <x v="20"/>
    <x v="242"/>
    <n v="271"/>
    <n v="0"/>
    <n v="0"/>
  </r>
  <r>
    <x v="19"/>
    <x v="287"/>
    <s v="TA"/>
    <x v="20"/>
    <x v="42"/>
    <n v="62"/>
    <n v="0"/>
    <n v="0"/>
  </r>
  <r>
    <x v="19"/>
    <x v="288"/>
    <s v="TA"/>
    <x v="20"/>
    <x v="66"/>
    <n v="55"/>
    <n v="0"/>
    <n v="0"/>
  </r>
  <r>
    <x v="19"/>
    <x v="289"/>
    <s v="TA"/>
    <x v="20"/>
    <x v="243"/>
    <n v="35"/>
    <n v="0"/>
    <n v="0"/>
  </r>
  <r>
    <x v="19"/>
    <x v="290"/>
    <s v="TA"/>
    <x v="20"/>
    <x v="244"/>
    <n v="70"/>
    <n v="0"/>
    <n v="0"/>
  </r>
  <r>
    <x v="19"/>
    <x v="291"/>
    <s v="TA"/>
    <x v="20"/>
    <x v="245"/>
    <n v="136"/>
    <n v="0"/>
    <n v="0"/>
  </r>
  <r>
    <x v="19"/>
    <x v="292"/>
    <s v="TA"/>
    <x v="20"/>
    <x v="246"/>
    <n v="87"/>
    <n v="0"/>
    <n v="0"/>
  </r>
  <r>
    <x v="19"/>
    <x v="293"/>
    <s v="TA"/>
    <x v="20"/>
    <x v="247"/>
    <n v="19"/>
    <n v="0"/>
    <n v="0"/>
  </r>
  <r>
    <x v="19"/>
    <x v="294"/>
    <s v="TA"/>
    <x v="20"/>
    <x v="248"/>
    <n v="34"/>
    <n v="0"/>
    <n v="0"/>
  </r>
  <r>
    <x v="19"/>
    <x v="295"/>
    <s v="TA"/>
    <x v="20"/>
    <x v="249"/>
    <n v="2143"/>
    <n v="0"/>
    <n v="0"/>
  </r>
  <r>
    <x v="19"/>
    <x v="296"/>
    <s v="TA"/>
    <x v="20"/>
    <x v="250"/>
    <n v="0"/>
    <n v="0"/>
    <n v="0"/>
  </r>
  <r>
    <x v="19"/>
    <x v="297"/>
    <s v="TA"/>
    <x v="20"/>
    <x v="251"/>
    <n v="34"/>
    <n v="0"/>
    <n v="0"/>
  </r>
  <r>
    <x v="19"/>
    <x v="298"/>
    <s v="TA"/>
    <x v="20"/>
    <x v="50"/>
    <n v="10"/>
    <n v="0"/>
    <n v="0"/>
  </r>
  <r>
    <x v="19"/>
    <x v="299"/>
    <s v="TA"/>
    <x v="20"/>
    <x v="73"/>
    <n v="44"/>
    <n v="0"/>
    <n v="0"/>
  </r>
  <r>
    <x v="19"/>
    <x v="300"/>
    <s v="TA"/>
    <x v="20"/>
    <x v="252"/>
    <n v="64"/>
    <n v="0"/>
    <n v="0"/>
  </r>
  <r>
    <x v="19"/>
    <x v="301"/>
    <s v="TA"/>
    <x v="20"/>
    <x v="253"/>
    <n v="88"/>
    <n v="0"/>
    <n v="0"/>
  </r>
  <r>
    <x v="19"/>
    <x v="302"/>
    <s v="TR"/>
    <x v="21"/>
    <x v="163"/>
    <n v="0"/>
    <n v="0"/>
    <n v="0"/>
  </r>
  <r>
    <x v="19"/>
    <x v="303"/>
    <s v="TR"/>
    <x v="21"/>
    <x v="254"/>
    <n v="581"/>
    <n v="0"/>
    <n v="0"/>
  </r>
  <r>
    <x v="19"/>
    <x v="304"/>
    <s v="TR"/>
    <x v="21"/>
    <x v="59"/>
    <n v="0"/>
    <n v="0"/>
    <n v="0"/>
  </r>
  <r>
    <x v="19"/>
    <x v="305"/>
    <s v="TR"/>
    <x v="21"/>
    <x v="255"/>
    <n v="92"/>
    <n v="0"/>
    <n v="0"/>
  </r>
  <r>
    <x v="19"/>
    <x v="306"/>
    <s v="TR"/>
    <x v="21"/>
    <x v="256"/>
    <n v="163"/>
    <n v="0"/>
    <n v="0"/>
  </r>
  <r>
    <x v="19"/>
    <x v="307"/>
    <s v="TR"/>
    <x v="21"/>
    <x v="257"/>
    <n v="62"/>
    <n v="0"/>
    <n v="0"/>
  </r>
  <r>
    <x v="19"/>
    <x v="308"/>
    <s v="TR"/>
    <x v="21"/>
    <x v="258"/>
    <n v="0"/>
    <n v="0"/>
    <n v="0"/>
  </r>
  <r>
    <x v="19"/>
    <x v="309"/>
    <s v="TR"/>
    <x v="21"/>
    <x v="259"/>
    <n v="0"/>
    <n v="0"/>
    <n v="0"/>
  </r>
  <r>
    <x v="19"/>
    <x v="310"/>
    <s v="TR"/>
    <x v="21"/>
    <x v="260"/>
    <n v="0"/>
    <n v="0"/>
    <n v="0"/>
  </r>
  <r>
    <x v="19"/>
    <x v="311"/>
    <s v="TR"/>
    <x v="21"/>
    <x v="104"/>
    <n v="71"/>
    <n v="0"/>
    <n v="0"/>
  </r>
  <r>
    <x v="19"/>
    <x v="312"/>
    <s v="TR"/>
    <x v="21"/>
    <x v="261"/>
    <n v="50"/>
    <n v="0"/>
    <n v="0"/>
  </r>
  <r>
    <x v="19"/>
    <x v="313"/>
    <s v="TR"/>
    <x v="21"/>
    <x v="262"/>
    <n v="36"/>
    <n v="0"/>
    <n v="0"/>
  </r>
  <r>
    <x v="19"/>
    <x v="314"/>
    <s v="TR"/>
    <x v="21"/>
    <x v="263"/>
    <n v="158"/>
    <n v="0"/>
    <n v="0"/>
  </r>
  <r>
    <x v="19"/>
    <x v="315"/>
    <s v="TR"/>
    <x v="21"/>
    <x v="264"/>
    <n v="0"/>
    <n v="0"/>
    <n v="0"/>
  </r>
  <r>
    <x v="19"/>
    <x v="316"/>
    <s v="TR"/>
    <x v="21"/>
    <x v="265"/>
    <n v="73"/>
    <n v="0"/>
    <n v="0"/>
  </r>
  <r>
    <x v="19"/>
    <x v="317"/>
    <s v="TR"/>
    <x v="21"/>
    <x v="266"/>
    <n v="103"/>
    <n v="0"/>
    <n v="0"/>
  </r>
  <r>
    <x v="19"/>
    <x v="318"/>
    <s v="TR"/>
    <x v="21"/>
    <x v="73"/>
    <n v="109"/>
    <n v="0"/>
    <n v="0"/>
  </r>
  <r>
    <x v="19"/>
    <x v="319"/>
    <s v="TR"/>
    <x v="21"/>
    <x v="267"/>
    <n v="477"/>
    <n v="0"/>
    <n v="0"/>
  </r>
  <r>
    <x v="19"/>
    <x v="320"/>
    <s v="TR"/>
    <x v="21"/>
    <x v="75"/>
    <n v="147"/>
    <n v="0"/>
    <n v="0"/>
  </r>
  <r>
    <x v="19"/>
    <x v="321"/>
    <s v="TR"/>
    <x v="21"/>
    <x v="268"/>
    <n v="1227"/>
    <n v="0"/>
    <n v="0"/>
  </r>
  <r>
    <x v="19"/>
    <x v="322"/>
    <s v="VA"/>
    <x v="0"/>
    <x v="269"/>
    <n v="0"/>
    <n v="0"/>
    <n v="0"/>
  </r>
  <r>
    <x v="19"/>
    <x v="323"/>
    <s v="VA"/>
    <x v="0"/>
    <x v="270"/>
    <n v="0"/>
    <n v="0"/>
    <n v="0"/>
  </r>
  <r>
    <x v="19"/>
    <x v="324"/>
    <s v="VA"/>
    <x v="0"/>
    <x v="271"/>
    <n v="0"/>
    <n v="0"/>
    <n v="0"/>
  </r>
  <r>
    <x v="19"/>
    <x v="325"/>
    <s v="VA"/>
    <x v="0"/>
    <x v="272"/>
    <n v="0"/>
    <n v="0"/>
    <n v="0"/>
  </r>
  <r>
    <x v="19"/>
    <x v="326"/>
    <s v="VA"/>
    <x v="0"/>
    <x v="273"/>
    <n v="0"/>
    <n v="0"/>
    <n v="0"/>
  </r>
  <r>
    <x v="19"/>
    <x v="327"/>
    <s v="VA"/>
    <x v="0"/>
    <x v="274"/>
    <n v="0"/>
    <n v="0"/>
    <n v="0"/>
  </r>
  <r>
    <x v="19"/>
    <x v="328"/>
    <s v="VA"/>
    <x v="0"/>
    <x v="275"/>
    <n v="0"/>
    <n v="0"/>
    <n v="0"/>
  </r>
  <r>
    <x v="19"/>
    <x v="329"/>
    <s v="VA"/>
    <x v="0"/>
    <x v="276"/>
    <n v="0"/>
    <n v="0"/>
    <n v="0"/>
  </r>
  <r>
    <x v="19"/>
    <x v="330"/>
    <s v="VA"/>
    <x v="0"/>
    <x v="277"/>
    <n v="0"/>
    <n v="0"/>
    <n v="0"/>
  </r>
  <r>
    <x v="19"/>
    <x v="331"/>
    <s v="VA"/>
    <x v="0"/>
    <x v="278"/>
    <n v="0"/>
    <n v="0"/>
    <n v="0"/>
  </r>
  <r>
    <x v="19"/>
    <x v="332"/>
    <s v="VA"/>
    <x v="0"/>
    <x v="279"/>
    <n v="0"/>
    <n v="0"/>
    <n v="0"/>
  </r>
  <r>
    <x v="19"/>
    <x v="333"/>
    <s v="YA"/>
    <x v="22"/>
    <x v="280"/>
    <n v="39"/>
    <n v="0"/>
    <n v="0"/>
  </r>
  <r>
    <x v="19"/>
    <x v="334"/>
    <s v="YA"/>
    <x v="22"/>
    <x v="59"/>
    <n v="73"/>
    <n v="0"/>
    <n v="0"/>
  </r>
  <r>
    <x v="19"/>
    <x v="335"/>
    <s v="YA"/>
    <x v="22"/>
    <x v="281"/>
    <n v="173"/>
    <n v="0"/>
    <n v="0"/>
  </r>
  <r>
    <x v="19"/>
    <x v="336"/>
    <s v="YA"/>
    <x v="22"/>
    <x v="282"/>
    <n v="68"/>
    <n v="0"/>
    <n v="0"/>
  </r>
  <r>
    <x v="19"/>
    <x v="337"/>
    <s v="YA"/>
    <x v="22"/>
    <x v="38"/>
    <n v="65"/>
    <n v="0"/>
    <n v="0"/>
  </r>
  <r>
    <x v="19"/>
    <x v="338"/>
    <s v="YA"/>
    <x v="22"/>
    <x v="283"/>
    <n v="28"/>
    <n v="0"/>
    <n v="0"/>
  </r>
  <r>
    <x v="19"/>
    <x v="339"/>
    <s v="YA"/>
    <x v="22"/>
    <x v="284"/>
    <n v="20"/>
    <n v="0"/>
    <n v="0"/>
  </r>
  <r>
    <x v="19"/>
    <x v="340"/>
    <s v="YA"/>
    <x v="22"/>
    <x v="285"/>
    <n v="31"/>
    <n v="0"/>
    <n v="0"/>
  </r>
  <r>
    <x v="19"/>
    <x v="341"/>
    <s v="YA"/>
    <x v="22"/>
    <x v="286"/>
    <n v="239"/>
    <n v="0"/>
    <n v="0"/>
  </r>
  <r>
    <x v="19"/>
    <x v="342"/>
    <s v="YA"/>
    <x v="22"/>
    <x v="287"/>
    <n v="240"/>
    <n v="0"/>
    <n v="0"/>
  </r>
  <r>
    <x v="19"/>
    <x v="343"/>
    <s v="YA"/>
    <x v="22"/>
    <x v="288"/>
    <n v="885"/>
    <n v="0"/>
    <n v="0"/>
  </r>
  <r>
    <x v="19"/>
    <x v="344"/>
    <s v="YA"/>
    <x v="22"/>
    <x v="73"/>
    <n v="45"/>
    <n v="0"/>
    <n v="0"/>
  </r>
  <r>
    <x v="19"/>
    <x v="345"/>
    <s v="YA"/>
    <x v="22"/>
    <x v="289"/>
    <n v="65"/>
    <n v="0"/>
    <n v="0"/>
  </r>
  <r>
    <x v="19"/>
    <x v="346"/>
    <s v="YA"/>
    <x v="22"/>
    <x v="290"/>
    <n v="50"/>
    <n v="0"/>
    <n v="0"/>
  </r>
  <r>
    <x v="19"/>
    <x v="347"/>
    <s v="ZU"/>
    <x v="23"/>
    <x v="291"/>
    <n v="32"/>
    <n v="0"/>
    <n v="0"/>
  </r>
  <r>
    <x v="19"/>
    <x v="348"/>
    <s v="ZU"/>
    <x v="23"/>
    <x v="292"/>
    <n v="221"/>
    <n v="0"/>
    <n v="0"/>
  </r>
  <r>
    <x v="19"/>
    <x v="349"/>
    <s v="ZU"/>
    <x v="23"/>
    <x v="293"/>
    <n v="1026"/>
    <n v="0"/>
    <n v="0"/>
  </r>
  <r>
    <x v="19"/>
    <x v="350"/>
    <s v="ZU"/>
    <x v="23"/>
    <x v="294"/>
    <n v="130"/>
    <n v="0"/>
    <n v="0"/>
  </r>
  <r>
    <x v="19"/>
    <x v="351"/>
    <s v="ZU"/>
    <x v="23"/>
    <x v="295"/>
    <n v="485"/>
    <n v="0"/>
    <n v="0"/>
  </r>
  <r>
    <x v="19"/>
    <x v="352"/>
    <s v="ZU"/>
    <x v="23"/>
    <x v="296"/>
    <n v="0"/>
    <n v="0"/>
    <n v="0"/>
  </r>
  <r>
    <x v="19"/>
    <x v="353"/>
    <s v="ZU"/>
    <x v="23"/>
    <x v="297"/>
    <n v="330"/>
    <n v="0"/>
    <n v="0"/>
  </r>
  <r>
    <x v="19"/>
    <x v="354"/>
    <s v="ZU"/>
    <x v="23"/>
    <x v="298"/>
    <n v="9"/>
    <n v="0"/>
    <n v="0"/>
  </r>
  <r>
    <x v="19"/>
    <x v="355"/>
    <s v="ZU"/>
    <x v="23"/>
    <x v="299"/>
    <n v="164"/>
    <n v="0"/>
    <n v="0"/>
  </r>
  <r>
    <x v="19"/>
    <x v="356"/>
    <s v="ZU"/>
    <x v="23"/>
    <x v="300"/>
    <n v="617"/>
    <n v="0"/>
    <n v="0"/>
  </r>
  <r>
    <x v="19"/>
    <x v="357"/>
    <s v="ZU"/>
    <x v="23"/>
    <x v="301"/>
    <n v="347"/>
    <n v="0"/>
    <n v="0"/>
  </r>
  <r>
    <x v="19"/>
    <x v="358"/>
    <s v="ZU"/>
    <x v="23"/>
    <x v="302"/>
    <n v="605"/>
    <n v="0"/>
    <n v="0"/>
  </r>
  <r>
    <x v="19"/>
    <x v="359"/>
    <s v="ZU"/>
    <x v="23"/>
    <x v="303"/>
    <n v="8092"/>
    <n v="0"/>
    <n v="0"/>
  </r>
  <r>
    <x v="19"/>
    <x v="360"/>
    <s v="ZU"/>
    <x v="23"/>
    <x v="104"/>
    <n v="183"/>
    <n v="0"/>
    <n v="0"/>
  </r>
  <r>
    <x v="19"/>
    <x v="361"/>
    <s v="ZU"/>
    <x v="23"/>
    <x v="55"/>
    <n v="102"/>
    <n v="0"/>
    <n v="0"/>
  </r>
  <r>
    <x v="19"/>
    <x v="362"/>
    <s v="ZU"/>
    <x v="23"/>
    <x v="304"/>
    <n v="212"/>
    <n v="0"/>
    <n v="0"/>
  </r>
  <r>
    <x v="19"/>
    <x v="363"/>
    <s v="ZU"/>
    <x v="23"/>
    <x v="136"/>
    <n v="23"/>
    <n v="0"/>
    <n v="0"/>
  </r>
  <r>
    <x v="19"/>
    <x v="364"/>
    <s v="ZU"/>
    <x v="23"/>
    <x v="305"/>
    <n v="105"/>
    <n v="0"/>
    <n v="0"/>
  </r>
  <r>
    <x v="19"/>
    <x v="365"/>
    <s v="ZU"/>
    <x v="23"/>
    <x v="49"/>
    <n v="17"/>
    <n v="0"/>
    <n v="0"/>
  </r>
  <r>
    <x v="19"/>
    <x v="366"/>
    <s v="ZU"/>
    <x v="23"/>
    <x v="73"/>
    <n v="231"/>
    <n v="0"/>
    <n v="0"/>
  </r>
  <r>
    <x v="19"/>
    <x v="367"/>
    <s v="ZU"/>
    <x v="23"/>
    <x v="306"/>
    <n v="98"/>
    <n v="0"/>
    <n v="0"/>
  </r>
  <r>
    <x v="19"/>
    <x v="368"/>
    <s v="DE"/>
    <x v="24"/>
    <x v="307"/>
    <n v="0"/>
    <n v="0"/>
    <n v="0"/>
  </r>
  <r>
    <x v="20"/>
    <x v="370"/>
    <m/>
    <x v="26"/>
    <x v="30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A5614-B951-46C3-BCCD-D4A1AEB277E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39:W412" firstHeaderRow="1" firstDataRow="2" firstDataCol="1"/>
  <pivotFields count="8">
    <pivotField axis="axisCol" showAll="0">
      <items count="22">
        <item x="5"/>
        <item x="4"/>
        <item x="3"/>
        <item x="2"/>
        <item x="1"/>
        <item x="0"/>
        <item x="6"/>
        <item x="7"/>
        <item x="8"/>
        <item x="20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372"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368"/>
        <item x="1"/>
        <item x="369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0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70"/>
        <item t="default"/>
      </items>
    </pivotField>
    <pivotField showAll="0"/>
    <pivotField showAll="0">
      <items count="28">
        <item x="2"/>
        <item x="3"/>
        <item x="4"/>
        <item x="5"/>
        <item x="6"/>
        <item x="7"/>
        <item x="8"/>
        <item x="9"/>
        <item x="10"/>
        <item x="24"/>
        <item x="1"/>
        <item x="11"/>
        <item x="12"/>
        <item x="13"/>
        <item x="14"/>
        <item x="15"/>
        <item x="16"/>
        <item x="17"/>
        <item x="18"/>
        <item x="19"/>
        <item x="20"/>
        <item x="21"/>
        <item x="0"/>
        <item x="22"/>
        <item x="23"/>
        <item x="26"/>
        <item x="25"/>
        <item t="default"/>
      </items>
    </pivotField>
    <pivotField showAll="0">
      <items count="310">
        <item x="181"/>
        <item x="52"/>
        <item x="122"/>
        <item x="212"/>
        <item x="195"/>
        <item x="162"/>
        <item x="77"/>
        <item x="291"/>
        <item x="31"/>
        <item x="163"/>
        <item x="78"/>
        <item x="154"/>
        <item x="224"/>
        <item x="202"/>
        <item x="118"/>
        <item x="79"/>
        <item x="164"/>
        <item x="233"/>
        <item x="111"/>
        <item x="32"/>
        <item x="213"/>
        <item x="165"/>
        <item x="80"/>
        <item x="280"/>
        <item x="166"/>
        <item x="24"/>
        <item x="25"/>
        <item x="26"/>
        <item x="27"/>
        <item x="1"/>
        <item x="28"/>
        <item x="29"/>
        <item x="30"/>
        <item x="0"/>
        <item x="234"/>
        <item x="292"/>
        <item x="81"/>
        <item x="182"/>
        <item x="98"/>
        <item x="225"/>
        <item x="226"/>
        <item x="53"/>
        <item x="254"/>
        <item x="59"/>
        <item x="183"/>
        <item x="281"/>
        <item x="123"/>
        <item x="184"/>
        <item x="293"/>
        <item x="124"/>
        <item x="227"/>
        <item x="141"/>
        <item x="60"/>
        <item x="167"/>
        <item x="255"/>
        <item x="256"/>
        <item x="168"/>
        <item x="235"/>
        <item x="196"/>
        <item x="125"/>
        <item x="99"/>
        <item x="88"/>
        <item x="169"/>
        <item x="185"/>
        <item x="119"/>
        <item x="294"/>
        <item x="89"/>
        <item x="186"/>
        <item x="142"/>
        <item x="282"/>
        <item x="126"/>
        <item x="295"/>
        <item x="236"/>
        <item x="155"/>
        <item x="187"/>
        <item x="82"/>
        <item x="228"/>
        <item x="127"/>
        <item x="128"/>
        <item x="203"/>
        <item x="33"/>
        <item x="100"/>
        <item x="90"/>
        <item x="188"/>
        <item x="143"/>
        <item x="257"/>
        <item x="214"/>
        <item x="83"/>
        <item x="112"/>
        <item x="129"/>
        <item x="237"/>
        <item x="34"/>
        <item x="35"/>
        <item x="36"/>
        <item x="296"/>
        <item x="61"/>
        <item x="204"/>
        <item x="238"/>
        <item x="62"/>
        <item x="205"/>
        <item x="91"/>
        <item x="101"/>
        <item x="189"/>
        <item x="215"/>
        <item x="216"/>
        <item x="37"/>
        <item x="170"/>
        <item x="239"/>
        <item x="144"/>
        <item x="92"/>
        <item x="38"/>
        <item x="145"/>
        <item x="156"/>
        <item x="130"/>
        <item x="240"/>
        <item x="297"/>
        <item x="298"/>
        <item x="157"/>
        <item x="63"/>
        <item x="283"/>
        <item x="258"/>
        <item x="64"/>
        <item x="39"/>
        <item x="241"/>
        <item x="65"/>
        <item x="40"/>
        <item x="102"/>
        <item x="41"/>
        <item x="259"/>
        <item x="171"/>
        <item x="242"/>
        <item x="172"/>
        <item x="299"/>
        <item x="260"/>
        <item x="284"/>
        <item x="300"/>
        <item x="190"/>
        <item x="146"/>
        <item x="42"/>
        <item x="66"/>
        <item x="113"/>
        <item x="243"/>
        <item x="103"/>
        <item x="191"/>
        <item x="131"/>
        <item x="301"/>
        <item x="206"/>
        <item x="43"/>
        <item x="285"/>
        <item x="302"/>
        <item x="303"/>
        <item x="207"/>
        <item x="208"/>
        <item x="67"/>
        <item x="197"/>
        <item x="132"/>
        <item x="229"/>
        <item x="147"/>
        <item x="244"/>
        <item x="104"/>
        <item x="148"/>
        <item x="133"/>
        <item x="217"/>
        <item x="105"/>
        <item x="261"/>
        <item x="230"/>
        <item x="158"/>
        <item x="262"/>
        <item x="54"/>
        <item x="106"/>
        <item x="286"/>
        <item x="173"/>
        <item x="84"/>
        <item x="68"/>
        <item x="149"/>
        <item x="218"/>
        <item x="174"/>
        <item x="93"/>
        <item x="55"/>
        <item x="159"/>
        <item x="134"/>
        <item x="263"/>
        <item x="264"/>
        <item x="245"/>
        <item x="114"/>
        <item x="219"/>
        <item x="192"/>
        <item x="120"/>
        <item x="85"/>
        <item x="56"/>
        <item x="193"/>
        <item x="44"/>
        <item x="246"/>
        <item x="287"/>
        <item x="209"/>
        <item x="135"/>
        <item x="94"/>
        <item x="45"/>
        <item x="194"/>
        <item x="175"/>
        <item x="107"/>
        <item x="198"/>
        <item x="265"/>
        <item x="247"/>
        <item x="176"/>
        <item x="95"/>
        <item x="150"/>
        <item x="231"/>
        <item x="115"/>
        <item x="177"/>
        <item x="86"/>
        <item x="57"/>
        <item x="304"/>
        <item x="96"/>
        <item x="248"/>
        <item x="116"/>
        <item x="69"/>
        <item x="249"/>
        <item x="108"/>
        <item x="288"/>
        <item x="58"/>
        <item x="136"/>
        <item x="220"/>
        <item x="109"/>
        <item x="46"/>
        <item x="151"/>
        <item x="47"/>
        <item x="250"/>
        <item x="266"/>
        <item x="221"/>
        <item x="70"/>
        <item x="48"/>
        <item x="199"/>
        <item x="152"/>
        <item x="305"/>
        <item x="222"/>
        <item x="71"/>
        <item x="178"/>
        <item x="72"/>
        <item x="251"/>
        <item x="97"/>
        <item x="137"/>
        <item x="49"/>
        <item x="160"/>
        <item x="50"/>
        <item x="51"/>
        <item x="87"/>
        <item x="200"/>
        <item x="73"/>
        <item x="117"/>
        <item x="138"/>
        <item x="252"/>
        <item x="161"/>
        <item x="74"/>
        <item x="267"/>
        <item x="210"/>
        <item x="121"/>
        <item x="179"/>
        <item x="223"/>
        <item x="139"/>
        <item x="289"/>
        <item x="201"/>
        <item x="75"/>
        <item x="253"/>
        <item x="140"/>
        <item x="232"/>
        <item x="110"/>
        <item x="306"/>
        <item x="268"/>
        <item x="290"/>
        <item x="211"/>
        <item x="76"/>
        <item x="153"/>
        <item x="180"/>
        <item x="2"/>
        <item x="3"/>
        <item x="4"/>
        <item x="269"/>
        <item x="270"/>
        <item x="5"/>
        <item x="271"/>
        <item x="272"/>
        <item x="6"/>
        <item x="273"/>
        <item x="7"/>
        <item x="274"/>
        <item x="8"/>
        <item x="9"/>
        <item x="10"/>
        <item x="11"/>
        <item x="307"/>
        <item x="275"/>
        <item x="12"/>
        <item x="13"/>
        <item x="14"/>
        <item x="276"/>
        <item x="277"/>
        <item x="278"/>
        <item x="279"/>
        <item x="15"/>
        <item x="16"/>
        <item x="17"/>
        <item x="18"/>
        <item x="19"/>
        <item x="20"/>
        <item x="21"/>
        <item x="22"/>
        <item x="23"/>
        <item x="308"/>
        <item t="default"/>
      </items>
    </pivotField>
    <pivotField dataField="1" numFmtId="164" showAll="0"/>
    <pivotField showAll="0"/>
    <pivotField showAll="0"/>
  </pivotFields>
  <rowFields count="1">
    <field x="1"/>
  </rowFields>
  <rowItems count="3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 t="grand">
      <x/>
    </i>
  </rowItems>
  <colFields count="1">
    <field x="0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Suma de Total" fld="5" baseField="0" baseItem="0" numFmtId="164"/>
  </dataFields>
  <formats count="5">
    <format dxfId="20">
      <pivotArea outline="0" collapsedLevelsAreSubtotals="1" fieldPosition="0"/>
    </format>
    <format dxfId="21">
      <pivotArea field="0" type="button" dataOnly="0" labelOnly="1" outline="0" axis="axisCol" fieldPosition="0"/>
    </format>
    <format dxfId="22">
      <pivotArea type="topRight" dataOnly="0" labelOnly="1" outline="0" fieldPosition="0"/>
    </format>
    <format dxfId="23">
      <pivotArea dataOnly="0" labelOnly="1" fieldPosition="0">
        <references count="1">
          <reference field="0" count="0"/>
        </references>
      </pivotArea>
    </format>
    <format dxfId="2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ABBFD-AD89-4284-89AD-EA69E70A0A21}" name="TablaDinámica4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3:W32" firstHeaderRow="1" firstDataRow="2" firstDataCol="1"/>
  <pivotFields count="8">
    <pivotField axis="axisCol" showAll="0">
      <items count="22">
        <item x="5"/>
        <item x="4"/>
        <item x="3"/>
        <item x="2"/>
        <item x="1"/>
        <item x="0"/>
        <item x="6"/>
        <item x="7"/>
        <item x="8"/>
        <item x="20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axis="axisRow" showAll="0">
      <items count="28">
        <item x="2"/>
        <item x="3"/>
        <item x="4"/>
        <item x="5"/>
        <item x="6"/>
        <item x="7"/>
        <item x="8"/>
        <item x="9"/>
        <item x="10"/>
        <item x="24"/>
        <item x="1"/>
        <item x="11"/>
        <item x="12"/>
        <item x="13"/>
        <item x="14"/>
        <item x="15"/>
        <item x="16"/>
        <item x="17"/>
        <item x="18"/>
        <item x="19"/>
        <item x="20"/>
        <item x="21"/>
        <item x="0"/>
        <item x="22"/>
        <item x="23"/>
        <item x="26"/>
        <item x="25"/>
        <item t="default"/>
      </items>
    </pivotField>
    <pivotField showAll="0"/>
    <pivotField dataField="1" numFmtId="164" showAll="0"/>
    <pivotField showAll="0"/>
    <pivotField showAll="0"/>
  </pivotFields>
  <rowFields count="1">
    <field x="3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0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Suma de Total" fld="5" baseField="0" baseItem="0" numFmtId="164"/>
  </dataFields>
  <formats count="5">
    <format dxfId="31">
      <pivotArea outline="0" collapsedLevelsAreSubtotals="1" fieldPosition="0"/>
    </format>
    <format dxfId="30">
      <pivotArea field="0" type="button" dataOnly="0" labelOnly="1" outline="0" axis="axisCol" fieldPosition="0"/>
    </format>
    <format dxfId="29">
      <pivotArea type="topRight" dataOnly="0" labelOnly="1" outline="0" fieldPosition="0"/>
    </format>
    <format dxfId="28">
      <pivotArea dataOnly="0" labelOnly="1" fieldPosition="0">
        <references count="1">
          <reference field="0" count="0"/>
        </references>
      </pivotArea>
    </format>
    <format dxfId="2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E5B89-F0B3-4D26-95BB-CB518F8A995F}" name="TablaDinámica2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C3:AD28" firstHeaderRow="1" firstDataRow="1" firstDataCol="1"/>
  <pivotFields count="7">
    <pivotField showAll="0"/>
    <pivotField showAll="0"/>
    <pivotField axis="axisRow" showAll="0" sortType="ascending">
      <items count="36">
        <item x="1"/>
        <item x="2"/>
        <item m="1" x="29"/>
        <item x="3"/>
        <item x="4"/>
        <item x="5"/>
        <item x="6"/>
        <item m="1" x="27"/>
        <item x="7"/>
        <item x="8"/>
        <item x="9"/>
        <item m="1" x="34"/>
        <item m="1" x="30"/>
        <item m="1" x="31"/>
        <item m="1" x="28"/>
        <item x="0"/>
        <item m="1" x="26"/>
        <item x="10"/>
        <item m="1" x="25"/>
        <item x="11"/>
        <item x="12"/>
        <item x="13"/>
        <item m="1" x="32"/>
        <item x="14"/>
        <item x="15"/>
        <item x="16"/>
        <item x="17"/>
        <item x="18"/>
        <item x="19"/>
        <item m="1" x="33"/>
        <item x="20"/>
        <item m="1" x="24"/>
        <item x="21"/>
        <item x="22"/>
        <item x="23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25">
    <i>
      <x/>
    </i>
    <i>
      <x v="1"/>
    </i>
    <i>
      <x v="3"/>
    </i>
    <i>
      <x v="4"/>
    </i>
    <i>
      <x v="5"/>
    </i>
    <i>
      <x v="6"/>
    </i>
    <i>
      <x v="8"/>
    </i>
    <i>
      <x v="9"/>
    </i>
    <i>
      <x v="10"/>
    </i>
    <i>
      <x v="15"/>
    </i>
    <i>
      <x v="17"/>
    </i>
    <i>
      <x v="19"/>
    </i>
    <i>
      <x v="20"/>
    </i>
    <i>
      <x v="21"/>
    </i>
    <i>
      <x v="23"/>
    </i>
    <i>
      <x v="24"/>
    </i>
    <i>
      <x v="25"/>
    </i>
    <i>
      <x v="26"/>
    </i>
    <i>
      <x v="27"/>
    </i>
    <i>
      <x v="28"/>
    </i>
    <i>
      <x v="30"/>
    </i>
    <i>
      <x v="32"/>
    </i>
    <i>
      <x v="33"/>
    </i>
    <i>
      <x v="34"/>
    </i>
    <i t="grand">
      <x/>
    </i>
  </rowItems>
  <colItems count="1">
    <i/>
  </colItems>
  <dataFields count="1">
    <dataField name="Suma de Total" fld="4" baseField="0" baseItem="0" numFmtId="164"/>
  </dataFields>
  <formats count="2">
    <format dxfId="26">
      <pivotArea outline="0" collapsedLevelsAreSubtotals="1" fieldPosition="0"/>
    </format>
    <format dxfId="2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8B9C0F-8633-4552-90F5-7D5A937C9508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Z3:AA30" firstHeaderRow="1" firstDataRow="1" firstDataCol="1"/>
  <pivotFields count="7">
    <pivotField showAll="0"/>
    <pivotField showAll="0"/>
    <pivotField axis="axisRow" showAll="0" sortType="ascending">
      <items count="28">
        <item x="3"/>
        <item x="4"/>
        <item x="5"/>
        <item x="6"/>
        <item x="7"/>
        <item x="8"/>
        <item x="9"/>
        <item x="10"/>
        <item x="11"/>
        <item x="25"/>
        <item x="2"/>
        <item x="1"/>
        <item x="12"/>
        <item x="13"/>
        <item x="14"/>
        <item x="15"/>
        <item x="16"/>
        <item x="17"/>
        <item x="18"/>
        <item m="1" x="26"/>
        <item x="19"/>
        <item x="20"/>
        <item x="21"/>
        <item x="22"/>
        <item x="0"/>
        <item x="23"/>
        <item x="24"/>
        <item t="default"/>
      </items>
    </pivotField>
    <pivotField showAll="0"/>
    <pivotField dataField="1" numFmtId="164" showAll="0"/>
    <pivotField showAll="0"/>
    <pivotField showAll="0"/>
  </pivotFields>
  <rowFields count="1">
    <field x="2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uma de Total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0BD7-F454-4B06-BB57-B69AD6350767}">
  <dimension ref="A3:AU412"/>
  <sheetViews>
    <sheetView tabSelected="1" zoomScale="85" zoomScaleNormal="85" workbookViewId="0">
      <selection activeCell="B35" sqref="B35"/>
    </sheetView>
  </sheetViews>
  <sheetFormatPr baseColWidth="10" defaultRowHeight="14.6" x14ac:dyDescent="0.4"/>
  <cols>
    <col min="1" max="1" width="39.4609375" bestFit="1" customWidth="1"/>
    <col min="2" max="2" width="22.765625" style="13" bestFit="1" customWidth="1"/>
    <col min="3" max="8" width="8.61328125" style="13" bestFit="1" customWidth="1"/>
    <col min="9" max="10" width="8.61328125" bestFit="1" customWidth="1"/>
    <col min="11" max="11" width="11.3828125" bestFit="1" customWidth="1"/>
    <col min="12" max="20" width="8.61328125" bestFit="1" customWidth="1"/>
    <col min="21" max="21" width="7.61328125" bestFit="1" customWidth="1"/>
    <col min="22" max="22" width="8.61328125" bestFit="1" customWidth="1"/>
    <col min="23" max="25" width="12.921875" customWidth="1"/>
  </cols>
  <sheetData>
    <row r="3" spans="1:47" x14ac:dyDescent="0.4">
      <c r="A3" s="21" t="s">
        <v>705</v>
      </c>
      <c r="B3" s="42" t="s">
        <v>739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 spans="1:47" x14ac:dyDescent="0.4">
      <c r="A4" s="21" t="s">
        <v>331</v>
      </c>
      <c r="B4" s="35">
        <v>2010</v>
      </c>
      <c r="C4" s="35">
        <v>2011</v>
      </c>
      <c r="D4" s="35">
        <v>2012</v>
      </c>
      <c r="E4" s="35">
        <v>2013</v>
      </c>
      <c r="F4" s="35">
        <v>2014</v>
      </c>
      <c r="G4" s="35">
        <v>2016</v>
      </c>
      <c r="H4" s="35">
        <v>2009</v>
      </c>
      <c r="I4" s="35">
        <v>2008</v>
      </c>
      <c r="J4" s="35">
        <v>2007</v>
      </c>
      <c r="K4" s="35" t="s">
        <v>333</v>
      </c>
      <c r="L4" s="35">
        <v>2006</v>
      </c>
      <c r="M4" s="35">
        <v>2005</v>
      </c>
      <c r="N4" s="35">
        <v>2004</v>
      </c>
      <c r="O4" s="35">
        <v>2003</v>
      </c>
      <c r="P4" s="35">
        <v>2002</v>
      </c>
      <c r="Q4" s="35">
        <v>2001</v>
      </c>
      <c r="R4" s="35">
        <v>2000</v>
      </c>
      <c r="S4" s="35">
        <v>1999</v>
      </c>
      <c r="T4" s="35">
        <v>1998</v>
      </c>
      <c r="U4" s="35">
        <v>1997</v>
      </c>
      <c r="V4" s="35">
        <v>1996</v>
      </c>
      <c r="W4" s="35" t="s">
        <v>332</v>
      </c>
      <c r="X4" s="35"/>
      <c r="Y4" s="35"/>
      <c r="Z4" s="23" t="s">
        <v>331</v>
      </c>
      <c r="AA4" s="44" t="s">
        <v>787</v>
      </c>
      <c r="AB4" s="44" t="s">
        <v>765</v>
      </c>
      <c r="AC4" s="44" t="s">
        <v>764</v>
      </c>
      <c r="AD4" s="44" t="s">
        <v>762</v>
      </c>
      <c r="AE4" s="44" t="s">
        <v>758</v>
      </c>
      <c r="AF4" s="44" t="s">
        <v>753</v>
      </c>
      <c r="AG4" s="44" t="s">
        <v>754</v>
      </c>
      <c r="AH4" s="44" t="s">
        <v>755</v>
      </c>
      <c r="AI4" s="44" t="s">
        <v>752</v>
      </c>
      <c r="AJ4" s="44" t="s">
        <v>747</v>
      </c>
      <c r="AK4" s="44" t="s">
        <v>748</v>
      </c>
      <c r="AL4" s="44" t="s">
        <v>749</v>
      </c>
      <c r="AM4" s="44" t="s">
        <v>750</v>
      </c>
      <c r="AN4" s="44" t="s">
        <v>751</v>
      </c>
      <c r="AO4" s="44" t="s">
        <v>740</v>
      </c>
      <c r="AP4" s="44" t="s">
        <v>741</v>
      </c>
      <c r="AQ4" s="44" t="s">
        <v>742</v>
      </c>
      <c r="AR4" s="44" t="s">
        <v>743</v>
      </c>
      <c r="AS4" s="44" t="s">
        <v>744</v>
      </c>
      <c r="AT4" s="44" t="s">
        <v>746</v>
      </c>
    </row>
    <row r="5" spans="1:47" x14ac:dyDescent="0.4">
      <c r="A5" s="5" t="s">
        <v>1</v>
      </c>
      <c r="B5" s="35">
        <v>379</v>
      </c>
      <c r="C5" s="35">
        <v>549</v>
      </c>
      <c r="D5" s="35">
        <v>643</v>
      </c>
      <c r="E5" s="35">
        <v>616</v>
      </c>
      <c r="F5" s="35">
        <v>574</v>
      </c>
      <c r="G5" s="35">
        <v>613</v>
      </c>
      <c r="H5" s="35">
        <v>315</v>
      </c>
      <c r="I5" s="35">
        <v>324</v>
      </c>
      <c r="J5" s="35">
        <v>320</v>
      </c>
      <c r="K5" s="35"/>
      <c r="L5" s="35">
        <v>298</v>
      </c>
      <c r="M5" s="35">
        <v>419</v>
      </c>
      <c r="N5" s="35">
        <v>407</v>
      </c>
      <c r="O5" s="35">
        <v>438</v>
      </c>
      <c r="P5" s="35">
        <v>360</v>
      </c>
      <c r="Q5" s="35">
        <v>411</v>
      </c>
      <c r="R5" s="35">
        <v>454</v>
      </c>
      <c r="S5" s="35">
        <v>419</v>
      </c>
      <c r="T5" s="35">
        <v>349</v>
      </c>
      <c r="U5" s="35">
        <v>350</v>
      </c>
      <c r="V5" s="35">
        <v>396</v>
      </c>
      <c r="W5" s="35">
        <v>8634</v>
      </c>
      <c r="X5" s="35"/>
      <c r="Y5" s="35"/>
      <c r="Z5" s="5" t="s">
        <v>1</v>
      </c>
      <c r="AA5" s="35">
        <v>396</v>
      </c>
      <c r="AB5" s="35">
        <v>350</v>
      </c>
      <c r="AC5" s="35">
        <v>349</v>
      </c>
      <c r="AD5" s="35">
        <v>419</v>
      </c>
      <c r="AE5" s="35">
        <v>454</v>
      </c>
      <c r="AF5" s="35">
        <v>411</v>
      </c>
      <c r="AG5" s="35">
        <v>360</v>
      </c>
      <c r="AH5" s="35">
        <v>438</v>
      </c>
      <c r="AI5" s="35">
        <v>407</v>
      </c>
      <c r="AJ5" s="35">
        <v>419</v>
      </c>
      <c r="AK5" s="35">
        <v>298</v>
      </c>
      <c r="AL5" s="35">
        <v>320</v>
      </c>
      <c r="AM5" s="35">
        <v>324</v>
      </c>
      <c r="AN5" s="35">
        <v>315</v>
      </c>
      <c r="AO5" s="13">
        <v>379</v>
      </c>
      <c r="AP5" s="13">
        <v>549</v>
      </c>
      <c r="AQ5" s="13">
        <v>643</v>
      </c>
      <c r="AR5" s="13">
        <v>616</v>
      </c>
      <c r="AS5" s="13">
        <v>574</v>
      </c>
      <c r="AT5" s="13">
        <v>613</v>
      </c>
      <c r="AU5" s="52">
        <f>+AT5/AB5-1</f>
        <v>0.75142857142857133</v>
      </c>
    </row>
    <row r="6" spans="1:47" x14ac:dyDescent="0.4">
      <c r="A6" s="5" t="s">
        <v>7</v>
      </c>
      <c r="B6" s="35">
        <v>5866</v>
      </c>
      <c r="C6" s="35">
        <v>5636</v>
      </c>
      <c r="D6" s="35">
        <v>5841</v>
      </c>
      <c r="E6" s="35">
        <v>6032</v>
      </c>
      <c r="F6" s="35">
        <v>6527</v>
      </c>
      <c r="G6" s="35">
        <v>8002</v>
      </c>
      <c r="H6" s="35">
        <v>5627</v>
      </c>
      <c r="I6" s="35">
        <v>5376</v>
      </c>
      <c r="J6" s="35">
        <v>5126</v>
      </c>
      <c r="K6" s="35"/>
      <c r="L6" s="35">
        <v>5818</v>
      </c>
      <c r="M6" s="35">
        <v>5321</v>
      </c>
      <c r="N6" s="35">
        <v>4229</v>
      </c>
      <c r="O6" s="35">
        <v>3744</v>
      </c>
      <c r="P6" s="35">
        <v>3273</v>
      </c>
      <c r="Q6" s="35">
        <v>3653</v>
      </c>
      <c r="R6" s="35">
        <v>3511</v>
      </c>
      <c r="S6" s="35">
        <v>3457</v>
      </c>
      <c r="T6" s="35">
        <v>3299</v>
      </c>
      <c r="U6" s="35">
        <v>3257</v>
      </c>
      <c r="V6" s="35">
        <v>3262</v>
      </c>
      <c r="W6" s="35">
        <v>96857</v>
      </c>
      <c r="X6" s="35"/>
      <c r="Y6" s="35"/>
      <c r="Z6" s="5" t="s">
        <v>7</v>
      </c>
      <c r="AA6" s="35">
        <v>3262</v>
      </c>
      <c r="AB6" s="35">
        <v>3257</v>
      </c>
      <c r="AC6" s="35">
        <v>3299</v>
      </c>
      <c r="AD6" s="35">
        <v>3457</v>
      </c>
      <c r="AE6" s="35">
        <v>3511</v>
      </c>
      <c r="AF6" s="35">
        <v>3653</v>
      </c>
      <c r="AG6" s="35">
        <v>3273</v>
      </c>
      <c r="AH6" s="35">
        <v>3744</v>
      </c>
      <c r="AI6" s="35">
        <v>4229</v>
      </c>
      <c r="AJ6" s="35">
        <v>5321</v>
      </c>
      <c r="AK6" s="35">
        <v>5818</v>
      </c>
      <c r="AL6" s="35">
        <v>5126</v>
      </c>
      <c r="AM6" s="35">
        <v>5376</v>
      </c>
      <c r="AN6" s="35">
        <v>5627</v>
      </c>
      <c r="AO6" s="13">
        <v>5866</v>
      </c>
      <c r="AP6" s="13">
        <v>5636</v>
      </c>
      <c r="AQ6" s="13">
        <v>5841</v>
      </c>
      <c r="AR6" s="13">
        <v>6032</v>
      </c>
      <c r="AS6" s="13">
        <v>6527</v>
      </c>
      <c r="AT6" s="13">
        <v>8002</v>
      </c>
      <c r="AU6" s="52">
        <f t="shared" ref="AU6:AU29" si="0">+AT6/AB6-1</f>
        <v>1.4568621430764508</v>
      </c>
    </row>
    <row r="7" spans="1:47" x14ac:dyDescent="0.4">
      <c r="A7" s="5" t="s">
        <v>29</v>
      </c>
      <c r="B7" s="35">
        <v>1765</v>
      </c>
      <c r="C7" s="35">
        <v>1642</v>
      </c>
      <c r="D7" s="35">
        <v>1903</v>
      </c>
      <c r="E7" s="35">
        <v>1897</v>
      </c>
      <c r="F7" s="35">
        <v>2018</v>
      </c>
      <c r="G7" s="35">
        <v>2655</v>
      </c>
      <c r="H7" s="35">
        <v>1759</v>
      </c>
      <c r="I7" s="35">
        <v>1647</v>
      </c>
      <c r="J7" s="35">
        <v>1758</v>
      </c>
      <c r="K7" s="35"/>
      <c r="L7" s="35">
        <v>1620</v>
      </c>
      <c r="M7" s="35">
        <v>1618</v>
      </c>
      <c r="N7" s="35">
        <v>1625</v>
      </c>
      <c r="O7" s="35">
        <v>1626</v>
      </c>
      <c r="P7" s="35">
        <v>1483</v>
      </c>
      <c r="Q7" s="35">
        <v>1561</v>
      </c>
      <c r="R7" s="35">
        <v>1412</v>
      </c>
      <c r="S7" s="35">
        <v>1408</v>
      </c>
      <c r="T7" s="35">
        <v>1414</v>
      </c>
      <c r="U7" s="35">
        <v>1356</v>
      </c>
      <c r="V7" s="35">
        <v>1223</v>
      </c>
      <c r="W7" s="35">
        <v>33390</v>
      </c>
      <c r="X7" s="35"/>
      <c r="Y7" s="35"/>
      <c r="Z7" s="5" t="s">
        <v>29</v>
      </c>
      <c r="AA7" s="35">
        <v>1223</v>
      </c>
      <c r="AB7" s="35">
        <v>1356</v>
      </c>
      <c r="AC7" s="35">
        <v>1414</v>
      </c>
      <c r="AD7" s="35">
        <v>1408</v>
      </c>
      <c r="AE7" s="35">
        <v>1412</v>
      </c>
      <c r="AF7" s="35">
        <v>1561</v>
      </c>
      <c r="AG7" s="35">
        <v>1483</v>
      </c>
      <c r="AH7" s="35">
        <v>1626</v>
      </c>
      <c r="AI7" s="35">
        <v>1625</v>
      </c>
      <c r="AJ7" s="35">
        <v>1618</v>
      </c>
      <c r="AK7" s="35">
        <v>1620</v>
      </c>
      <c r="AL7" s="35">
        <v>1758</v>
      </c>
      <c r="AM7" s="35">
        <v>1647</v>
      </c>
      <c r="AN7" s="35">
        <v>1759</v>
      </c>
      <c r="AO7" s="13">
        <v>1765</v>
      </c>
      <c r="AP7" s="13">
        <v>1642</v>
      </c>
      <c r="AQ7" s="13">
        <v>1903</v>
      </c>
      <c r="AR7" s="13">
        <v>1897</v>
      </c>
      <c r="AS7" s="13">
        <v>2018</v>
      </c>
      <c r="AT7" s="13">
        <v>2655</v>
      </c>
      <c r="AU7" s="52">
        <f t="shared" si="0"/>
        <v>0.95796460176991149</v>
      </c>
    </row>
    <row r="8" spans="1:47" x14ac:dyDescent="0.4">
      <c r="A8" s="5" t="s">
        <v>37</v>
      </c>
      <c r="B8" s="35">
        <v>8925</v>
      </c>
      <c r="C8" s="35">
        <v>9078</v>
      </c>
      <c r="D8" s="35">
        <v>9491</v>
      </c>
      <c r="E8" s="35">
        <v>9523</v>
      </c>
      <c r="F8" s="35">
        <v>10815</v>
      </c>
      <c r="G8" s="35">
        <v>13312</v>
      </c>
      <c r="H8" s="35">
        <v>8629</v>
      </c>
      <c r="I8" s="35">
        <v>7907</v>
      </c>
      <c r="J8" s="35">
        <v>7733</v>
      </c>
      <c r="K8" s="35"/>
      <c r="L8" s="35">
        <v>7399</v>
      </c>
      <c r="M8" s="35">
        <v>6413</v>
      </c>
      <c r="N8" s="35">
        <v>6285</v>
      </c>
      <c r="O8" s="35">
        <v>7314</v>
      </c>
      <c r="P8" s="35">
        <v>6882</v>
      </c>
      <c r="Q8" s="35">
        <v>7053</v>
      </c>
      <c r="R8" s="35">
        <v>6691</v>
      </c>
      <c r="S8" s="35">
        <v>6790</v>
      </c>
      <c r="T8" s="35">
        <v>6424</v>
      </c>
      <c r="U8" s="35">
        <v>6042</v>
      </c>
      <c r="V8" s="35">
        <v>6058</v>
      </c>
      <c r="W8" s="35">
        <v>158764</v>
      </c>
      <c r="X8" s="35"/>
      <c r="Y8" s="35"/>
      <c r="Z8" s="5" t="s">
        <v>37</v>
      </c>
      <c r="AA8" s="35">
        <v>6058</v>
      </c>
      <c r="AB8" s="35">
        <v>6042</v>
      </c>
      <c r="AC8" s="35">
        <v>6424</v>
      </c>
      <c r="AD8" s="35">
        <v>6790</v>
      </c>
      <c r="AE8" s="35">
        <v>6691</v>
      </c>
      <c r="AF8" s="35">
        <v>7053</v>
      </c>
      <c r="AG8" s="35">
        <v>6882</v>
      </c>
      <c r="AH8" s="35">
        <v>7314</v>
      </c>
      <c r="AI8" s="35">
        <v>6285</v>
      </c>
      <c r="AJ8" s="35">
        <v>6413</v>
      </c>
      <c r="AK8" s="35">
        <v>7399</v>
      </c>
      <c r="AL8" s="35">
        <v>7733</v>
      </c>
      <c r="AM8" s="35">
        <v>7907</v>
      </c>
      <c r="AN8" s="35">
        <v>8629</v>
      </c>
      <c r="AO8" s="13">
        <v>8925</v>
      </c>
      <c r="AP8" s="13">
        <v>9078</v>
      </c>
      <c r="AQ8" s="13">
        <v>9491</v>
      </c>
      <c r="AR8" s="13">
        <v>9523</v>
      </c>
      <c r="AS8" s="13">
        <v>10815</v>
      </c>
      <c r="AT8" s="13">
        <v>13312</v>
      </c>
      <c r="AU8" s="52">
        <f t="shared" si="0"/>
        <v>1.2032439589539887</v>
      </c>
    </row>
    <row r="9" spans="1:47" x14ac:dyDescent="0.4">
      <c r="A9" s="5" t="s">
        <v>56</v>
      </c>
      <c r="B9" s="35">
        <v>3505</v>
      </c>
      <c r="C9" s="35">
        <v>3425</v>
      </c>
      <c r="D9" s="35">
        <v>3725</v>
      </c>
      <c r="E9" s="35">
        <v>3930</v>
      </c>
      <c r="F9" s="35">
        <v>4128</v>
      </c>
      <c r="G9" s="35">
        <v>4669</v>
      </c>
      <c r="H9" s="35">
        <v>3437</v>
      </c>
      <c r="I9" s="35">
        <v>3480</v>
      </c>
      <c r="J9" s="35">
        <v>3182</v>
      </c>
      <c r="K9" s="35"/>
      <c r="L9" s="35">
        <v>2892</v>
      </c>
      <c r="M9" s="35">
        <v>2747</v>
      </c>
      <c r="N9" s="35">
        <v>2793</v>
      </c>
      <c r="O9" s="35">
        <v>2923</v>
      </c>
      <c r="P9" s="35">
        <v>2482</v>
      </c>
      <c r="Q9" s="35">
        <v>2418</v>
      </c>
      <c r="R9" s="35">
        <v>2375</v>
      </c>
      <c r="S9" s="35">
        <v>2274</v>
      </c>
      <c r="T9" s="35">
        <v>2308</v>
      </c>
      <c r="U9" s="35">
        <v>2238</v>
      </c>
      <c r="V9" s="35">
        <v>2321</v>
      </c>
      <c r="W9" s="35">
        <v>61252</v>
      </c>
      <c r="X9" s="35"/>
      <c r="Y9" s="35"/>
      <c r="Z9" s="5" t="s">
        <v>56</v>
      </c>
      <c r="AA9" s="35">
        <v>2321</v>
      </c>
      <c r="AB9" s="35">
        <v>2238</v>
      </c>
      <c r="AC9" s="35">
        <v>2308</v>
      </c>
      <c r="AD9" s="35">
        <v>2274</v>
      </c>
      <c r="AE9" s="35">
        <v>2375</v>
      </c>
      <c r="AF9" s="35">
        <v>2418</v>
      </c>
      <c r="AG9" s="35">
        <v>2482</v>
      </c>
      <c r="AH9" s="35">
        <v>2923</v>
      </c>
      <c r="AI9" s="35">
        <v>2793</v>
      </c>
      <c r="AJ9" s="35">
        <v>2747</v>
      </c>
      <c r="AK9" s="35">
        <v>2892</v>
      </c>
      <c r="AL9" s="35">
        <v>3182</v>
      </c>
      <c r="AM9" s="35">
        <v>3480</v>
      </c>
      <c r="AN9" s="35">
        <v>3437</v>
      </c>
      <c r="AO9" s="13">
        <v>3505</v>
      </c>
      <c r="AP9" s="13">
        <v>3425</v>
      </c>
      <c r="AQ9" s="13">
        <v>3725</v>
      </c>
      <c r="AR9" s="13">
        <v>3930</v>
      </c>
      <c r="AS9" s="13">
        <v>4128</v>
      </c>
      <c r="AT9" s="13">
        <v>4669</v>
      </c>
      <c r="AU9" s="52">
        <f t="shared" si="0"/>
        <v>1.086237712243074</v>
      </c>
    </row>
    <row r="10" spans="1:47" x14ac:dyDescent="0.4">
      <c r="A10" s="5" t="s">
        <v>68</v>
      </c>
      <c r="B10" s="35">
        <v>7334</v>
      </c>
      <c r="C10" s="35">
        <v>7364</v>
      </c>
      <c r="D10" s="35">
        <v>7479</v>
      </c>
      <c r="E10" s="35">
        <v>7662</v>
      </c>
      <c r="F10" s="35">
        <v>7782</v>
      </c>
      <c r="G10" s="35">
        <v>9987</v>
      </c>
      <c r="H10" s="35">
        <v>6930</v>
      </c>
      <c r="I10" s="35">
        <v>6601</v>
      </c>
      <c r="J10" s="35">
        <v>6419</v>
      </c>
      <c r="K10" s="35"/>
      <c r="L10" s="35">
        <v>6617</v>
      </c>
      <c r="M10" s="35">
        <v>6040</v>
      </c>
      <c r="N10" s="35">
        <v>6303</v>
      </c>
      <c r="O10" s="35">
        <v>6478</v>
      </c>
      <c r="P10" s="35">
        <v>5762</v>
      </c>
      <c r="Q10" s="35">
        <v>5800</v>
      </c>
      <c r="R10" s="35">
        <v>5623</v>
      </c>
      <c r="S10" s="35">
        <v>5285</v>
      </c>
      <c r="T10" s="35">
        <v>5421</v>
      </c>
      <c r="U10" s="35">
        <v>4914</v>
      </c>
      <c r="V10" s="35">
        <v>5047</v>
      </c>
      <c r="W10" s="35">
        <v>130848</v>
      </c>
      <c r="X10" s="35"/>
      <c r="Y10" s="35"/>
      <c r="Z10" s="5" t="s">
        <v>68</v>
      </c>
      <c r="AA10" s="35">
        <v>5047</v>
      </c>
      <c r="AB10" s="35">
        <v>4914</v>
      </c>
      <c r="AC10" s="35">
        <v>5421</v>
      </c>
      <c r="AD10" s="35">
        <v>5285</v>
      </c>
      <c r="AE10" s="35">
        <v>5623</v>
      </c>
      <c r="AF10" s="35">
        <v>5800</v>
      </c>
      <c r="AG10" s="35">
        <v>5762</v>
      </c>
      <c r="AH10" s="35">
        <v>6478</v>
      </c>
      <c r="AI10" s="35">
        <v>6303</v>
      </c>
      <c r="AJ10" s="35">
        <v>6040</v>
      </c>
      <c r="AK10" s="35">
        <v>6617</v>
      </c>
      <c r="AL10" s="35">
        <v>6419</v>
      </c>
      <c r="AM10" s="35">
        <v>6601</v>
      </c>
      <c r="AN10" s="35">
        <v>6930</v>
      </c>
      <c r="AO10" s="13">
        <v>7334</v>
      </c>
      <c r="AP10" s="13">
        <v>7364</v>
      </c>
      <c r="AQ10" s="13">
        <v>7479</v>
      </c>
      <c r="AR10" s="13">
        <v>7662</v>
      </c>
      <c r="AS10" s="13">
        <v>7782</v>
      </c>
      <c r="AT10" s="13">
        <v>9987</v>
      </c>
      <c r="AU10" s="52">
        <f t="shared" si="0"/>
        <v>1.0323565323565322</v>
      </c>
    </row>
    <row r="11" spans="1:47" x14ac:dyDescent="0.4">
      <c r="A11" s="5" t="s">
        <v>79</v>
      </c>
      <c r="B11" s="35">
        <v>11380</v>
      </c>
      <c r="C11" s="35">
        <v>11721</v>
      </c>
      <c r="D11" s="35">
        <v>12476</v>
      </c>
      <c r="E11" s="35">
        <v>12882</v>
      </c>
      <c r="F11" s="35">
        <v>14098</v>
      </c>
      <c r="G11" s="35">
        <v>16797</v>
      </c>
      <c r="H11" s="35">
        <v>11527</v>
      </c>
      <c r="I11" s="35">
        <v>11541</v>
      </c>
      <c r="J11" s="35">
        <v>10411</v>
      </c>
      <c r="K11" s="35"/>
      <c r="L11" s="35">
        <v>9001</v>
      </c>
      <c r="M11" s="35">
        <v>9499</v>
      </c>
      <c r="N11" s="35">
        <v>9314</v>
      </c>
      <c r="O11" s="35">
        <v>10192</v>
      </c>
      <c r="P11" s="35">
        <v>9141</v>
      </c>
      <c r="Q11" s="35">
        <v>9124</v>
      </c>
      <c r="R11" s="35">
        <v>9129</v>
      </c>
      <c r="S11" s="35">
        <v>8417</v>
      </c>
      <c r="T11" s="35">
        <v>8036</v>
      </c>
      <c r="U11" s="35">
        <v>7514</v>
      </c>
      <c r="V11" s="35">
        <v>7960</v>
      </c>
      <c r="W11" s="35">
        <v>210160</v>
      </c>
      <c r="X11" s="35"/>
      <c r="Y11" s="35"/>
      <c r="Z11" s="5" t="s">
        <v>79</v>
      </c>
      <c r="AA11" s="35">
        <v>7960</v>
      </c>
      <c r="AB11" s="35">
        <v>7514</v>
      </c>
      <c r="AC11" s="35">
        <v>8036</v>
      </c>
      <c r="AD11" s="35">
        <v>8417</v>
      </c>
      <c r="AE11" s="35">
        <v>9129</v>
      </c>
      <c r="AF11" s="35">
        <v>9124</v>
      </c>
      <c r="AG11" s="35">
        <v>9141</v>
      </c>
      <c r="AH11" s="35">
        <v>10192</v>
      </c>
      <c r="AI11" s="35">
        <v>9314</v>
      </c>
      <c r="AJ11" s="35">
        <v>9499</v>
      </c>
      <c r="AK11" s="35">
        <v>9001</v>
      </c>
      <c r="AL11" s="35">
        <v>10411</v>
      </c>
      <c r="AM11" s="35">
        <v>11541</v>
      </c>
      <c r="AN11" s="35">
        <v>11527</v>
      </c>
      <c r="AO11" s="13">
        <v>11380</v>
      </c>
      <c r="AP11" s="13">
        <v>11721</v>
      </c>
      <c r="AQ11" s="13">
        <v>12476</v>
      </c>
      <c r="AR11" s="13">
        <v>12882</v>
      </c>
      <c r="AS11" s="13">
        <v>14098</v>
      </c>
      <c r="AT11" s="13">
        <v>16797</v>
      </c>
      <c r="AU11" s="52">
        <f t="shared" si="0"/>
        <v>1.2354272025552304</v>
      </c>
    </row>
    <row r="12" spans="1:47" x14ac:dyDescent="0.4">
      <c r="A12" s="5" t="s">
        <v>93</v>
      </c>
      <c r="B12" s="35">
        <v>1476</v>
      </c>
      <c r="C12" s="35">
        <v>1350</v>
      </c>
      <c r="D12" s="35">
        <v>1533</v>
      </c>
      <c r="E12" s="35">
        <v>1620</v>
      </c>
      <c r="F12" s="35">
        <v>1673</v>
      </c>
      <c r="G12" s="35">
        <v>2048</v>
      </c>
      <c r="H12" s="35">
        <v>1322</v>
      </c>
      <c r="I12" s="35">
        <v>1323</v>
      </c>
      <c r="J12" s="35">
        <v>1211</v>
      </c>
      <c r="K12" s="35"/>
      <c r="L12" s="35">
        <v>1215</v>
      </c>
      <c r="M12" s="35">
        <v>1130</v>
      </c>
      <c r="N12" s="35">
        <v>1185</v>
      </c>
      <c r="O12" s="35">
        <v>1314</v>
      </c>
      <c r="P12" s="35">
        <v>1130</v>
      </c>
      <c r="Q12" s="35">
        <v>1152</v>
      </c>
      <c r="R12" s="35">
        <v>1051</v>
      </c>
      <c r="S12" s="35">
        <v>1036</v>
      </c>
      <c r="T12" s="35">
        <v>1063</v>
      </c>
      <c r="U12" s="35">
        <v>896</v>
      </c>
      <c r="V12" s="35">
        <v>1027</v>
      </c>
      <c r="W12" s="35">
        <v>25755</v>
      </c>
      <c r="X12" s="35"/>
      <c r="Y12" s="35"/>
      <c r="Z12" s="5" t="s">
        <v>93</v>
      </c>
      <c r="AA12" s="35">
        <v>1027</v>
      </c>
      <c r="AB12" s="35">
        <v>896</v>
      </c>
      <c r="AC12" s="35">
        <v>1063</v>
      </c>
      <c r="AD12" s="35">
        <v>1036</v>
      </c>
      <c r="AE12" s="35">
        <v>1051</v>
      </c>
      <c r="AF12" s="35">
        <v>1152</v>
      </c>
      <c r="AG12" s="35">
        <v>1130</v>
      </c>
      <c r="AH12" s="35">
        <v>1314</v>
      </c>
      <c r="AI12" s="35">
        <v>1185</v>
      </c>
      <c r="AJ12" s="35">
        <v>1130</v>
      </c>
      <c r="AK12" s="35">
        <v>1215</v>
      </c>
      <c r="AL12" s="35">
        <v>1211</v>
      </c>
      <c r="AM12" s="35">
        <v>1323</v>
      </c>
      <c r="AN12" s="35">
        <v>1322</v>
      </c>
      <c r="AO12" s="13">
        <v>1476</v>
      </c>
      <c r="AP12" s="13">
        <v>1350</v>
      </c>
      <c r="AQ12" s="13">
        <v>1533</v>
      </c>
      <c r="AR12" s="13">
        <v>1620</v>
      </c>
      <c r="AS12" s="13">
        <v>1673</v>
      </c>
      <c r="AT12" s="13">
        <v>2048</v>
      </c>
      <c r="AU12" s="52">
        <f t="shared" si="0"/>
        <v>1.2857142857142856</v>
      </c>
    </row>
    <row r="13" spans="1:47" x14ac:dyDescent="0.4">
      <c r="A13" s="5" t="s">
        <v>101</v>
      </c>
      <c r="B13" s="35">
        <v>588</v>
      </c>
      <c r="C13" s="35">
        <v>613</v>
      </c>
      <c r="D13" s="35">
        <v>670</v>
      </c>
      <c r="E13" s="35">
        <v>702</v>
      </c>
      <c r="F13" s="35">
        <v>694</v>
      </c>
      <c r="G13" s="35">
        <v>789</v>
      </c>
      <c r="H13" s="35">
        <v>541</v>
      </c>
      <c r="I13" s="35">
        <v>572</v>
      </c>
      <c r="J13" s="35">
        <v>527</v>
      </c>
      <c r="K13" s="35"/>
      <c r="L13" s="35">
        <v>590</v>
      </c>
      <c r="M13" s="35">
        <v>548</v>
      </c>
      <c r="N13" s="35">
        <v>416</v>
      </c>
      <c r="O13" s="35">
        <v>458</v>
      </c>
      <c r="P13" s="35">
        <v>399</v>
      </c>
      <c r="Q13" s="35">
        <v>416</v>
      </c>
      <c r="R13" s="35">
        <v>425</v>
      </c>
      <c r="S13" s="35">
        <v>442</v>
      </c>
      <c r="T13" s="35">
        <v>374</v>
      </c>
      <c r="U13" s="35">
        <v>467</v>
      </c>
      <c r="V13" s="35">
        <v>393</v>
      </c>
      <c r="W13" s="35">
        <v>10624</v>
      </c>
      <c r="X13" s="35"/>
      <c r="Y13" s="35"/>
      <c r="Z13" s="5" t="s">
        <v>101</v>
      </c>
      <c r="AA13" s="35">
        <v>393</v>
      </c>
      <c r="AB13" s="35">
        <v>467</v>
      </c>
      <c r="AC13" s="35">
        <v>374</v>
      </c>
      <c r="AD13" s="35">
        <v>442</v>
      </c>
      <c r="AE13" s="35">
        <v>425</v>
      </c>
      <c r="AF13" s="35">
        <v>416</v>
      </c>
      <c r="AG13" s="35">
        <v>399</v>
      </c>
      <c r="AH13" s="35">
        <v>458</v>
      </c>
      <c r="AI13" s="35">
        <v>416</v>
      </c>
      <c r="AJ13" s="35">
        <v>548</v>
      </c>
      <c r="AK13" s="35">
        <v>590</v>
      </c>
      <c r="AL13" s="35">
        <v>527</v>
      </c>
      <c r="AM13" s="35">
        <v>572</v>
      </c>
      <c r="AN13" s="35">
        <v>541</v>
      </c>
      <c r="AO13" s="13">
        <v>588</v>
      </c>
      <c r="AP13" s="13">
        <v>613</v>
      </c>
      <c r="AQ13" s="13">
        <v>670</v>
      </c>
      <c r="AR13" s="13">
        <v>702</v>
      </c>
      <c r="AS13" s="13">
        <v>694</v>
      </c>
      <c r="AT13" s="13">
        <v>789</v>
      </c>
      <c r="AU13" s="52">
        <f t="shared" si="0"/>
        <v>0.68950749464668104</v>
      </c>
    </row>
    <row r="14" spans="1:47" x14ac:dyDescent="0.4">
      <c r="A14" s="5" t="s">
        <v>734</v>
      </c>
      <c r="B14" s="35">
        <v>0</v>
      </c>
      <c r="C14" s="35">
        <v>0</v>
      </c>
      <c r="D14" s="35">
        <v>0</v>
      </c>
      <c r="E14" s="35">
        <v>2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/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2</v>
      </c>
      <c r="X14" s="35"/>
      <c r="Y14" s="35"/>
      <c r="Z14" s="5" t="s">
        <v>734</v>
      </c>
      <c r="AA14" s="35">
        <v>0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  <c r="AH14" s="35">
        <v>0</v>
      </c>
      <c r="AI14" s="35">
        <v>0</v>
      </c>
      <c r="AJ14" s="35">
        <v>0</v>
      </c>
      <c r="AK14" s="35">
        <v>0</v>
      </c>
      <c r="AL14" s="35">
        <v>0</v>
      </c>
      <c r="AM14" s="35">
        <v>0</v>
      </c>
      <c r="AN14" s="35">
        <v>0</v>
      </c>
      <c r="AO14" s="13">
        <v>0</v>
      </c>
      <c r="AP14" s="13">
        <v>0</v>
      </c>
      <c r="AQ14" s="13">
        <v>0</v>
      </c>
      <c r="AR14" s="13">
        <v>2</v>
      </c>
      <c r="AS14" s="13">
        <v>0</v>
      </c>
      <c r="AT14" s="13">
        <v>0</v>
      </c>
      <c r="AU14" s="52" t="e">
        <f t="shared" si="0"/>
        <v>#DIV/0!</v>
      </c>
    </row>
    <row r="15" spans="1:47" x14ac:dyDescent="0.4">
      <c r="A15" s="5" t="s">
        <v>106</v>
      </c>
      <c r="B15" s="35">
        <v>15702</v>
      </c>
      <c r="C15" s="35">
        <v>16449</v>
      </c>
      <c r="D15" s="35">
        <v>16425</v>
      </c>
      <c r="E15" s="35">
        <v>16504</v>
      </c>
      <c r="F15" s="35">
        <v>17352</v>
      </c>
      <c r="G15" s="35">
        <v>20495</v>
      </c>
      <c r="H15" s="35">
        <v>15700</v>
      </c>
      <c r="I15" s="35">
        <v>15760</v>
      </c>
      <c r="J15" s="35">
        <v>15768</v>
      </c>
      <c r="K15" s="35"/>
      <c r="L15" s="35">
        <v>15132</v>
      </c>
      <c r="M15" s="35">
        <v>14386</v>
      </c>
      <c r="N15" s="35">
        <v>14237</v>
      </c>
      <c r="O15" s="35">
        <v>14676</v>
      </c>
      <c r="P15" s="35">
        <v>14312</v>
      </c>
      <c r="Q15" s="35">
        <v>14116</v>
      </c>
      <c r="R15" s="35">
        <v>14475</v>
      </c>
      <c r="S15" s="35">
        <v>14242</v>
      </c>
      <c r="T15" s="35">
        <v>13246</v>
      </c>
      <c r="U15" s="35">
        <v>12934</v>
      </c>
      <c r="V15" s="35">
        <v>13512</v>
      </c>
      <c r="W15" s="35">
        <v>305423</v>
      </c>
      <c r="X15" s="35"/>
      <c r="Y15" s="35"/>
      <c r="Z15" s="5" t="s">
        <v>106</v>
      </c>
      <c r="AA15" s="35">
        <v>13512</v>
      </c>
      <c r="AB15" s="35">
        <v>12934</v>
      </c>
      <c r="AC15" s="35">
        <v>13246</v>
      </c>
      <c r="AD15" s="35">
        <v>14242</v>
      </c>
      <c r="AE15" s="35">
        <v>14475</v>
      </c>
      <c r="AF15" s="35">
        <v>14116</v>
      </c>
      <c r="AG15" s="35">
        <v>14312</v>
      </c>
      <c r="AH15" s="35">
        <v>14676</v>
      </c>
      <c r="AI15" s="35">
        <v>14237</v>
      </c>
      <c r="AJ15" s="35">
        <v>14386</v>
      </c>
      <c r="AK15" s="35">
        <v>15132</v>
      </c>
      <c r="AL15" s="35">
        <v>15768</v>
      </c>
      <c r="AM15" s="35">
        <v>15760</v>
      </c>
      <c r="AN15" s="35">
        <v>15700</v>
      </c>
      <c r="AO15" s="13">
        <v>15702</v>
      </c>
      <c r="AP15" s="13">
        <v>16449</v>
      </c>
      <c r="AQ15" s="13">
        <v>16425</v>
      </c>
      <c r="AR15" s="13">
        <v>16504</v>
      </c>
      <c r="AS15" s="13">
        <v>17352</v>
      </c>
      <c r="AT15" s="13">
        <v>20495</v>
      </c>
      <c r="AU15" s="52">
        <f t="shared" si="0"/>
        <v>0.58458326890366474</v>
      </c>
    </row>
    <row r="16" spans="1:47" x14ac:dyDescent="0.4">
      <c r="A16" s="5" t="s">
        <v>129</v>
      </c>
      <c r="B16" s="35">
        <v>3771</v>
      </c>
      <c r="C16" s="35">
        <v>3963</v>
      </c>
      <c r="D16" s="35">
        <v>3940</v>
      </c>
      <c r="E16" s="35">
        <v>3625</v>
      </c>
      <c r="F16" s="35">
        <v>4087</v>
      </c>
      <c r="G16" s="35">
        <v>5483</v>
      </c>
      <c r="H16" s="35">
        <v>3311</v>
      </c>
      <c r="I16" s="35">
        <v>3518</v>
      </c>
      <c r="J16" s="35">
        <v>3362</v>
      </c>
      <c r="K16" s="35"/>
      <c r="L16" s="35">
        <v>3174</v>
      </c>
      <c r="M16" s="35">
        <v>3052</v>
      </c>
      <c r="N16" s="35">
        <v>2832</v>
      </c>
      <c r="O16" s="35">
        <v>2968</v>
      </c>
      <c r="P16" s="35">
        <v>2470</v>
      </c>
      <c r="Q16" s="35">
        <v>2641</v>
      </c>
      <c r="R16" s="35">
        <v>2320</v>
      </c>
      <c r="S16" s="35">
        <v>2730</v>
      </c>
      <c r="T16" s="35">
        <v>2547</v>
      </c>
      <c r="U16" s="35">
        <v>2309</v>
      </c>
      <c r="V16" s="35">
        <v>2543</v>
      </c>
      <c r="W16" s="35">
        <v>64646</v>
      </c>
      <c r="X16" s="35"/>
      <c r="Y16" s="35"/>
      <c r="Z16" s="5" t="s">
        <v>129</v>
      </c>
      <c r="AA16" s="35">
        <v>2543</v>
      </c>
      <c r="AB16" s="35">
        <v>2309</v>
      </c>
      <c r="AC16" s="35">
        <v>2547</v>
      </c>
      <c r="AD16" s="35">
        <v>2730</v>
      </c>
      <c r="AE16" s="35">
        <v>2320</v>
      </c>
      <c r="AF16" s="35">
        <v>2641</v>
      </c>
      <c r="AG16" s="35">
        <v>2470</v>
      </c>
      <c r="AH16" s="35">
        <v>2968</v>
      </c>
      <c r="AI16" s="35">
        <v>2832</v>
      </c>
      <c r="AJ16" s="35">
        <v>3052</v>
      </c>
      <c r="AK16" s="35">
        <v>3174</v>
      </c>
      <c r="AL16" s="35">
        <v>3362</v>
      </c>
      <c r="AM16" s="35">
        <v>3518</v>
      </c>
      <c r="AN16" s="35">
        <v>3311</v>
      </c>
      <c r="AO16" s="13">
        <v>3771</v>
      </c>
      <c r="AP16" s="13">
        <v>3963</v>
      </c>
      <c r="AQ16" s="13">
        <v>3940</v>
      </c>
      <c r="AR16" s="13">
        <v>3625</v>
      </c>
      <c r="AS16" s="13">
        <v>4087</v>
      </c>
      <c r="AT16" s="13">
        <v>5483</v>
      </c>
      <c r="AU16" s="52">
        <f t="shared" si="0"/>
        <v>1.374621048072759</v>
      </c>
    </row>
    <row r="17" spans="1:47" x14ac:dyDescent="0.4">
      <c r="A17" s="5" t="s">
        <v>150</v>
      </c>
      <c r="B17" s="35">
        <v>3696</v>
      </c>
      <c r="C17" s="35">
        <v>3752</v>
      </c>
      <c r="D17" s="35">
        <v>4066</v>
      </c>
      <c r="E17" s="35">
        <v>4205</v>
      </c>
      <c r="F17" s="35">
        <v>4465</v>
      </c>
      <c r="G17" s="35">
        <v>4923</v>
      </c>
      <c r="H17" s="35">
        <v>3386</v>
      </c>
      <c r="I17" s="35">
        <v>3457</v>
      </c>
      <c r="J17" s="35">
        <v>3293</v>
      </c>
      <c r="K17" s="35"/>
      <c r="L17" s="35">
        <v>3261</v>
      </c>
      <c r="M17" s="35">
        <v>3127</v>
      </c>
      <c r="N17" s="35">
        <v>3160</v>
      </c>
      <c r="O17" s="35">
        <v>3212</v>
      </c>
      <c r="P17" s="35">
        <v>2779</v>
      </c>
      <c r="Q17" s="35">
        <v>2988</v>
      </c>
      <c r="R17" s="35">
        <v>2723</v>
      </c>
      <c r="S17" s="35">
        <v>2848</v>
      </c>
      <c r="T17" s="35">
        <v>2455</v>
      </c>
      <c r="U17" s="35">
        <v>2458</v>
      </c>
      <c r="V17" s="35">
        <v>2798</v>
      </c>
      <c r="W17" s="35">
        <v>67052</v>
      </c>
      <c r="X17" s="35"/>
      <c r="Y17" s="35"/>
      <c r="Z17" s="5" t="s">
        <v>150</v>
      </c>
      <c r="AA17" s="35">
        <v>2798</v>
      </c>
      <c r="AB17" s="35">
        <v>2458</v>
      </c>
      <c r="AC17" s="35">
        <v>2455</v>
      </c>
      <c r="AD17" s="35">
        <v>2848</v>
      </c>
      <c r="AE17" s="35">
        <v>2723</v>
      </c>
      <c r="AF17" s="35">
        <v>2988</v>
      </c>
      <c r="AG17" s="35">
        <v>2779</v>
      </c>
      <c r="AH17" s="35">
        <v>3212</v>
      </c>
      <c r="AI17" s="35">
        <v>3160</v>
      </c>
      <c r="AJ17" s="35">
        <v>3127</v>
      </c>
      <c r="AK17" s="35">
        <v>3261</v>
      </c>
      <c r="AL17" s="35">
        <v>3293</v>
      </c>
      <c r="AM17" s="35">
        <v>3457</v>
      </c>
      <c r="AN17" s="35">
        <v>3386</v>
      </c>
      <c r="AO17" s="13">
        <v>3696</v>
      </c>
      <c r="AP17" s="13">
        <v>3752</v>
      </c>
      <c r="AQ17" s="13">
        <v>4066</v>
      </c>
      <c r="AR17" s="13">
        <v>4205</v>
      </c>
      <c r="AS17" s="13">
        <v>4465</v>
      </c>
      <c r="AT17" s="13">
        <v>4923</v>
      </c>
      <c r="AU17" s="52">
        <f t="shared" si="0"/>
        <v>1.0028478437754274</v>
      </c>
    </row>
    <row r="18" spans="1:47" x14ac:dyDescent="0.4">
      <c r="A18" s="5" t="s">
        <v>164</v>
      </c>
      <c r="B18" s="35">
        <v>8590</v>
      </c>
      <c r="C18" s="35">
        <v>9127</v>
      </c>
      <c r="D18" s="35">
        <v>9664</v>
      </c>
      <c r="E18" s="35">
        <v>9775</v>
      </c>
      <c r="F18" s="35">
        <v>10665</v>
      </c>
      <c r="G18" s="35">
        <v>13141</v>
      </c>
      <c r="H18" s="35">
        <v>8542</v>
      </c>
      <c r="I18" s="35">
        <v>8644</v>
      </c>
      <c r="J18" s="35">
        <v>8256</v>
      </c>
      <c r="K18" s="35"/>
      <c r="L18" s="35">
        <v>7899</v>
      </c>
      <c r="M18" s="35">
        <v>7609</v>
      </c>
      <c r="N18" s="35">
        <v>8170</v>
      </c>
      <c r="O18" s="35">
        <v>7895</v>
      </c>
      <c r="P18" s="35">
        <v>7249</v>
      </c>
      <c r="Q18" s="35">
        <v>7087</v>
      </c>
      <c r="R18" s="35">
        <v>7193</v>
      </c>
      <c r="S18" s="35">
        <v>6780</v>
      </c>
      <c r="T18" s="35">
        <v>6529</v>
      </c>
      <c r="U18" s="35">
        <v>6526</v>
      </c>
      <c r="V18" s="35">
        <v>6747</v>
      </c>
      <c r="W18" s="35">
        <v>166088</v>
      </c>
      <c r="X18" s="35"/>
      <c r="Y18" s="35"/>
      <c r="Z18" s="5" t="s">
        <v>164</v>
      </c>
      <c r="AA18" s="35">
        <v>6747</v>
      </c>
      <c r="AB18" s="35">
        <v>6526</v>
      </c>
      <c r="AC18" s="35">
        <v>6529</v>
      </c>
      <c r="AD18" s="35">
        <v>6780</v>
      </c>
      <c r="AE18" s="35">
        <v>7193</v>
      </c>
      <c r="AF18" s="35">
        <v>7087</v>
      </c>
      <c r="AG18" s="35">
        <v>7249</v>
      </c>
      <c r="AH18" s="35">
        <v>7895</v>
      </c>
      <c r="AI18" s="35">
        <v>8170</v>
      </c>
      <c r="AJ18" s="35">
        <v>7609</v>
      </c>
      <c r="AK18" s="35">
        <v>7899</v>
      </c>
      <c r="AL18" s="35">
        <v>8256</v>
      </c>
      <c r="AM18" s="35">
        <v>8644</v>
      </c>
      <c r="AN18" s="35">
        <v>8542</v>
      </c>
      <c r="AO18" s="13">
        <v>8590</v>
      </c>
      <c r="AP18" s="13">
        <v>9127</v>
      </c>
      <c r="AQ18" s="13">
        <v>9664</v>
      </c>
      <c r="AR18" s="13">
        <v>9775</v>
      </c>
      <c r="AS18" s="13">
        <v>10665</v>
      </c>
      <c r="AT18" s="13">
        <v>13141</v>
      </c>
      <c r="AU18" s="52">
        <f t="shared" si="0"/>
        <v>1.0136377566656449</v>
      </c>
    </row>
    <row r="19" spans="1:47" x14ac:dyDescent="0.4">
      <c r="A19" s="5" t="s">
        <v>173</v>
      </c>
      <c r="B19" s="35">
        <v>4406</v>
      </c>
      <c r="C19" s="35">
        <v>4542</v>
      </c>
      <c r="D19" s="35">
        <v>4770</v>
      </c>
      <c r="E19" s="35">
        <v>4680</v>
      </c>
      <c r="F19" s="35">
        <v>5199</v>
      </c>
      <c r="G19" s="35">
        <v>5776</v>
      </c>
      <c r="H19" s="35">
        <v>4319</v>
      </c>
      <c r="I19" s="35">
        <v>4353</v>
      </c>
      <c r="J19" s="35">
        <v>4261</v>
      </c>
      <c r="K19" s="35"/>
      <c r="L19" s="35">
        <v>4142</v>
      </c>
      <c r="M19" s="35">
        <v>3989</v>
      </c>
      <c r="N19" s="35">
        <v>4139</v>
      </c>
      <c r="O19" s="35">
        <v>3962</v>
      </c>
      <c r="P19" s="35">
        <v>3639</v>
      </c>
      <c r="Q19" s="35">
        <v>3605</v>
      </c>
      <c r="R19" s="35">
        <v>3580</v>
      </c>
      <c r="S19" s="35">
        <v>3689</v>
      </c>
      <c r="T19" s="35">
        <v>3598</v>
      </c>
      <c r="U19" s="35">
        <v>3625</v>
      </c>
      <c r="V19" s="35">
        <v>3552</v>
      </c>
      <c r="W19" s="35">
        <v>83826</v>
      </c>
      <c r="X19" s="35"/>
      <c r="Y19" s="35"/>
      <c r="Z19" s="5" t="s">
        <v>173</v>
      </c>
      <c r="AA19" s="35">
        <v>3552</v>
      </c>
      <c r="AB19" s="35">
        <v>3625</v>
      </c>
      <c r="AC19" s="35">
        <v>3598</v>
      </c>
      <c r="AD19" s="35">
        <v>3689</v>
      </c>
      <c r="AE19" s="35">
        <v>3580</v>
      </c>
      <c r="AF19" s="35">
        <v>3605</v>
      </c>
      <c r="AG19" s="35">
        <v>3639</v>
      </c>
      <c r="AH19" s="35">
        <v>3962</v>
      </c>
      <c r="AI19" s="35">
        <v>4139</v>
      </c>
      <c r="AJ19" s="35">
        <v>3989</v>
      </c>
      <c r="AK19" s="35">
        <v>4142</v>
      </c>
      <c r="AL19" s="35">
        <v>4261</v>
      </c>
      <c r="AM19" s="35">
        <v>4353</v>
      </c>
      <c r="AN19" s="35">
        <v>4319</v>
      </c>
      <c r="AO19" s="13">
        <v>4406</v>
      </c>
      <c r="AP19" s="13">
        <v>4542</v>
      </c>
      <c r="AQ19" s="13">
        <v>4770</v>
      </c>
      <c r="AR19" s="13">
        <v>4680</v>
      </c>
      <c r="AS19" s="13">
        <v>5199</v>
      </c>
      <c r="AT19" s="13">
        <v>5776</v>
      </c>
      <c r="AU19" s="52">
        <f t="shared" si="0"/>
        <v>0.59337931034482749</v>
      </c>
    </row>
    <row r="20" spans="1:47" x14ac:dyDescent="0.4">
      <c r="A20" s="5" t="s">
        <v>193</v>
      </c>
      <c r="B20" s="35">
        <v>13554</v>
      </c>
      <c r="C20" s="35">
        <v>14410</v>
      </c>
      <c r="D20" s="35">
        <v>14843</v>
      </c>
      <c r="E20" s="35">
        <v>15216</v>
      </c>
      <c r="F20" s="35">
        <v>16920</v>
      </c>
      <c r="G20" s="35">
        <v>20861</v>
      </c>
      <c r="H20" s="35">
        <v>13375</v>
      </c>
      <c r="I20" s="35">
        <v>13211</v>
      </c>
      <c r="J20" s="35">
        <v>12633</v>
      </c>
      <c r="K20" s="35"/>
      <c r="L20" s="35">
        <v>11514</v>
      </c>
      <c r="M20" s="35">
        <v>11136</v>
      </c>
      <c r="N20" s="35">
        <v>11155</v>
      </c>
      <c r="O20" s="35">
        <v>11575</v>
      </c>
      <c r="P20" s="35">
        <v>10564</v>
      </c>
      <c r="Q20" s="35">
        <v>10147</v>
      </c>
      <c r="R20" s="35">
        <v>9634</v>
      </c>
      <c r="S20" s="35">
        <v>9319</v>
      </c>
      <c r="T20" s="35">
        <v>8835</v>
      </c>
      <c r="U20" s="35">
        <v>8640</v>
      </c>
      <c r="V20" s="35">
        <v>9021</v>
      </c>
      <c r="W20" s="35">
        <v>246563</v>
      </c>
      <c r="X20" s="35"/>
      <c r="Y20" s="35"/>
      <c r="Z20" s="5" t="s">
        <v>193</v>
      </c>
      <c r="AA20" s="35">
        <v>9021</v>
      </c>
      <c r="AB20" s="35">
        <v>8640</v>
      </c>
      <c r="AC20" s="35">
        <v>8835</v>
      </c>
      <c r="AD20" s="35">
        <v>9319</v>
      </c>
      <c r="AE20" s="35">
        <v>9634</v>
      </c>
      <c r="AF20" s="35">
        <v>10147</v>
      </c>
      <c r="AG20" s="35">
        <v>10564</v>
      </c>
      <c r="AH20" s="35">
        <v>11575</v>
      </c>
      <c r="AI20" s="35">
        <v>11155</v>
      </c>
      <c r="AJ20" s="35">
        <v>11136</v>
      </c>
      <c r="AK20" s="35">
        <v>11514</v>
      </c>
      <c r="AL20" s="35">
        <v>12633</v>
      </c>
      <c r="AM20" s="35">
        <v>13211</v>
      </c>
      <c r="AN20" s="35">
        <v>13375</v>
      </c>
      <c r="AO20" s="13">
        <v>13554</v>
      </c>
      <c r="AP20" s="13">
        <v>14410</v>
      </c>
      <c r="AQ20" s="13">
        <v>14843</v>
      </c>
      <c r="AR20" s="13">
        <v>15216</v>
      </c>
      <c r="AS20" s="13">
        <v>16920</v>
      </c>
      <c r="AT20" s="13">
        <v>20861</v>
      </c>
      <c r="AU20" s="52">
        <f t="shared" si="0"/>
        <v>1.4144675925925925</v>
      </c>
    </row>
    <row r="21" spans="1:47" x14ac:dyDescent="0.4">
      <c r="A21" s="5" t="s">
        <v>207</v>
      </c>
      <c r="B21" s="35">
        <v>3869</v>
      </c>
      <c r="C21" s="35">
        <v>3994</v>
      </c>
      <c r="D21" s="35">
        <v>4390</v>
      </c>
      <c r="E21" s="35">
        <v>4375</v>
      </c>
      <c r="F21" s="35">
        <v>4893</v>
      </c>
      <c r="G21" s="35">
        <v>5368</v>
      </c>
      <c r="H21" s="35">
        <v>3472</v>
      </c>
      <c r="I21" s="35">
        <v>3588</v>
      </c>
      <c r="J21" s="35">
        <v>3378</v>
      </c>
      <c r="K21" s="35"/>
      <c r="L21" s="35">
        <v>3132</v>
      </c>
      <c r="M21" s="35">
        <v>3140</v>
      </c>
      <c r="N21" s="35">
        <v>3194</v>
      </c>
      <c r="O21" s="35">
        <v>3446</v>
      </c>
      <c r="P21" s="35">
        <v>3104</v>
      </c>
      <c r="Q21" s="35">
        <v>2848</v>
      </c>
      <c r="R21" s="35">
        <v>2666</v>
      </c>
      <c r="S21" s="35">
        <v>2508</v>
      </c>
      <c r="T21" s="35">
        <v>2560</v>
      </c>
      <c r="U21" s="35">
        <v>2399</v>
      </c>
      <c r="V21" s="35">
        <v>2483</v>
      </c>
      <c r="W21" s="35">
        <v>68807</v>
      </c>
      <c r="X21" s="35"/>
      <c r="Y21" s="35"/>
      <c r="Z21" s="5" t="s">
        <v>207</v>
      </c>
      <c r="AA21" s="35">
        <v>2483</v>
      </c>
      <c r="AB21" s="35">
        <v>2399</v>
      </c>
      <c r="AC21" s="35">
        <v>2560</v>
      </c>
      <c r="AD21" s="35">
        <v>2508</v>
      </c>
      <c r="AE21" s="35">
        <v>2666</v>
      </c>
      <c r="AF21" s="35">
        <v>2848</v>
      </c>
      <c r="AG21" s="35">
        <v>3104</v>
      </c>
      <c r="AH21" s="35">
        <v>3446</v>
      </c>
      <c r="AI21" s="35">
        <v>3194</v>
      </c>
      <c r="AJ21" s="35">
        <v>3140</v>
      </c>
      <c r="AK21" s="35">
        <v>3132</v>
      </c>
      <c r="AL21" s="35">
        <v>3378</v>
      </c>
      <c r="AM21" s="35">
        <v>3588</v>
      </c>
      <c r="AN21" s="35">
        <v>3472</v>
      </c>
      <c r="AO21" s="13">
        <v>3869</v>
      </c>
      <c r="AP21" s="13">
        <v>3994</v>
      </c>
      <c r="AQ21" s="13">
        <v>4390</v>
      </c>
      <c r="AR21" s="13">
        <v>4375</v>
      </c>
      <c r="AS21" s="13">
        <v>4893</v>
      </c>
      <c r="AT21" s="13">
        <v>5368</v>
      </c>
      <c r="AU21" s="52">
        <f t="shared" si="0"/>
        <v>1.2375989995831596</v>
      </c>
    </row>
    <row r="22" spans="1:47" x14ac:dyDescent="0.4">
      <c r="A22" s="5" t="s">
        <v>216</v>
      </c>
      <c r="B22" s="35">
        <v>2585</v>
      </c>
      <c r="C22" s="35">
        <v>2408</v>
      </c>
      <c r="D22" s="35">
        <v>2530</v>
      </c>
      <c r="E22" s="35">
        <v>2545</v>
      </c>
      <c r="F22" s="35">
        <v>2619</v>
      </c>
      <c r="G22" s="35">
        <v>2448</v>
      </c>
      <c r="H22" s="35">
        <v>2402</v>
      </c>
      <c r="I22" s="35">
        <v>2417</v>
      </c>
      <c r="J22" s="35">
        <v>2089</v>
      </c>
      <c r="K22" s="35"/>
      <c r="L22" s="35">
        <v>1931</v>
      </c>
      <c r="M22" s="35">
        <v>1925</v>
      </c>
      <c r="N22" s="35">
        <v>1853</v>
      </c>
      <c r="O22" s="35">
        <v>1766</v>
      </c>
      <c r="P22" s="35">
        <v>1703</v>
      </c>
      <c r="Q22" s="35">
        <v>1724</v>
      </c>
      <c r="R22" s="35">
        <v>1631</v>
      </c>
      <c r="S22" s="35">
        <v>1575</v>
      </c>
      <c r="T22" s="35">
        <v>1601</v>
      </c>
      <c r="U22" s="35">
        <v>1607</v>
      </c>
      <c r="V22" s="35">
        <v>1522</v>
      </c>
      <c r="W22" s="35">
        <v>40881</v>
      </c>
      <c r="X22" s="35"/>
      <c r="Y22" s="35"/>
      <c r="Z22" s="5" t="s">
        <v>216</v>
      </c>
      <c r="AA22" s="35">
        <v>1522</v>
      </c>
      <c r="AB22" s="35">
        <v>1607</v>
      </c>
      <c r="AC22" s="35">
        <v>1601</v>
      </c>
      <c r="AD22" s="35">
        <v>1575</v>
      </c>
      <c r="AE22" s="35">
        <v>1631</v>
      </c>
      <c r="AF22" s="35">
        <v>1724</v>
      </c>
      <c r="AG22" s="35">
        <v>1703</v>
      </c>
      <c r="AH22" s="35">
        <v>1766</v>
      </c>
      <c r="AI22" s="35">
        <v>1853</v>
      </c>
      <c r="AJ22" s="35">
        <v>1925</v>
      </c>
      <c r="AK22" s="35">
        <v>1931</v>
      </c>
      <c r="AL22" s="35">
        <v>2089</v>
      </c>
      <c r="AM22" s="35">
        <v>2417</v>
      </c>
      <c r="AN22" s="35">
        <v>2402</v>
      </c>
      <c r="AO22" s="13">
        <v>2585</v>
      </c>
      <c r="AP22" s="13">
        <v>2408</v>
      </c>
      <c r="AQ22" s="13">
        <v>2530</v>
      </c>
      <c r="AR22" s="13">
        <v>2545</v>
      </c>
      <c r="AS22" s="13">
        <v>2619</v>
      </c>
      <c r="AT22" s="13">
        <v>2448</v>
      </c>
      <c r="AU22" s="52">
        <f t="shared" si="0"/>
        <v>0.52333540759178598</v>
      </c>
    </row>
    <row r="23" spans="1:47" x14ac:dyDescent="0.4">
      <c r="A23" s="5" t="s">
        <v>227</v>
      </c>
      <c r="B23" s="35">
        <v>3868</v>
      </c>
      <c r="C23" s="35">
        <v>3835</v>
      </c>
      <c r="D23" s="35">
        <v>4016</v>
      </c>
      <c r="E23" s="35">
        <v>4169</v>
      </c>
      <c r="F23" s="35">
        <v>4447</v>
      </c>
      <c r="G23" s="35">
        <v>5222</v>
      </c>
      <c r="H23" s="35">
        <v>3540</v>
      </c>
      <c r="I23" s="35">
        <v>3570</v>
      </c>
      <c r="J23" s="35">
        <v>3464</v>
      </c>
      <c r="K23" s="35"/>
      <c r="L23" s="35">
        <v>3391</v>
      </c>
      <c r="M23" s="35">
        <v>3467</v>
      </c>
      <c r="N23" s="35">
        <v>3586</v>
      </c>
      <c r="O23" s="35">
        <v>3832</v>
      </c>
      <c r="P23" s="35">
        <v>3330</v>
      </c>
      <c r="Q23" s="35">
        <v>3382</v>
      </c>
      <c r="R23" s="35">
        <v>2735</v>
      </c>
      <c r="S23" s="35">
        <v>2714</v>
      </c>
      <c r="T23" s="35">
        <v>2887</v>
      </c>
      <c r="U23" s="35">
        <v>2868</v>
      </c>
      <c r="V23" s="35">
        <v>2899</v>
      </c>
      <c r="W23" s="35">
        <v>71222</v>
      </c>
      <c r="X23" s="35"/>
      <c r="Y23" s="35"/>
      <c r="Z23" s="5" t="s">
        <v>227</v>
      </c>
      <c r="AA23" s="35">
        <v>2899</v>
      </c>
      <c r="AB23" s="35">
        <v>2868</v>
      </c>
      <c r="AC23" s="35">
        <v>2887</v>
      </c>
      <c r="AD23" s="35">
        <v>2714</v>
      </c>
      <c r="AE23" s="35">
        <v>2735</v>
      </c>
      <c r="AF23" s="35">
        <v>3382</v>
      </c>
      <c r="AG23" s="35">
        <v>3330</v>
      </c>
      <c r="AH23" s="35">
        <v>3832</v>
      </c>
      <c r="AI23" s="35">
        <v>3586</v>
      </c>
      <c r="AJ23" s="35">
        <v>3467</v>
      </c>
      <c r="AK23" s="35">
        <v>3391</v>
      </c>
      <c r="AL23" s="35">
        <v>3464</v>
      </c>
      <c r="AM23" s="35">
        <v>3570</v>
      </c>
      <c r="AN23" s="35">
        <v>3540</v>
      </c>
      <c r="AO23" s="13">
        <v>3868</v>
      </c>
      <c r="AP23" s="13">
        <v>3835</v>
      </c>
      <c r="AQ23" s="13">
        <v>4016</v>
      </c>
      <c r="AR23" s="13">
        <v>4169</v>
      </c>
      <c r="AS23" s="13">
        <v>4447</v>
      </c>
      <c r="AT23" s="13">
        <v>5222</v>
      </c>
      <c r="AU23" s="52">
        <f t="shared" si="0"/>
        <v>0.82078103207810327</v>
      </c>
    </row>
    <row r="24" spans="1:47" x14ac:dyDescent="0.4">
      <c r="A24" s="5" t="s">
        <v>239</v>
      </c>
      <c r="B24" s="35">
        <v>4183</v>
      </c>
      <c r="C24" s="35">
        <v>4689</v>
      </c>
      <c r="D24" s="35">
        <v>5099</v>
      </c>
      <c r="E24" s="35">
        <v>5067</v>
      </c>
      <c r="F24" s="35">
        <v>5230</v>
      </c>
      <c r="G24" s="35">
        <v>6331</v>
      </c>
      <c r="H24" s="35">
        <v>4344</v>
      </c>
      <c r="I24" s="35">
        <v>4293</v>
      </c>
      <c r="J24" s="35">
        <v>3884</v>
      </c>
      <c r="K24" s="35"/>
      <c r="L24" s="35">
        <v>3669</v>
      </c>
      <c r="M24" s="35">
        <v>3643</v>
      </c>
      <c r="N24" s="35">
        <v>3756</v>
      </c>
      <c r="O24" s="35">
        <v>3678</v>
      </c>
      <c r="P24" s="35">
        <v>3068</v>
      </c>
      <c r="Q24" s="35">
        <v>2821</v>
      </c>
      <c r="R24" s="35">
        <v>2690</v>
      </c>
      <c r="S24" s="35">
        <v>2760</v>
      </c>
      <c r="T24" s="35">
        <v>3041</v>
      </c>
      <c r="U24" s="35">
        <v>2856</v>
      </c>
      <c r="V24" s="35">
        <v>2782</v>
      </c>
      <c r="W24" s="35">
        <v>77884</v>
      </c>
      <c r="X24" s="35"/>
      <c r="Y24" s="35"/>
      <c r="Z24" s="5" t="s">
        <v>239</v>
      </c>
      <c r="AA24" s="35">
        <v>2782</v>
      </c>
      <c r="AB24" s="35">
        <v>2856</v>
      </c>
      <c r="AC24" s="35">
        <v>3041</v>
      </c>
      <c r="AD24" s="35">
        <v>2760</v>
      </c>
      <c r="AE24" s="35">
        <v>2690</v>
      </c>
      <c r="AF24" s="35">
        <v>2821</v>
      </c>
      <c r="AG24" s="35">
        <v>3068</v>
      </c>
      <c r="AH24" s="35">
        <v>3678</v>
      </c>
      <c r="AI24" s="35">
        <v>3756</v>
      </c>
      <c r="AJ24" s="35">
        <v>3643</v>
      </c>
      <c r="AK24" s="35">
        <v>3669</v>
      </c>
      <c r="AL24" s="35">
        <v>3884</v>
      </c>
      <c r="AM24" s="35">
        <v>4293</v>
      </c>
      <c r="AN24" s="35">
        <v>4344</v>
      </c>
      <c r="AO24" s="13">
        <v>4183</v>
      </c>
      <c r="AP24" s="13">
        <v>4689</v>
      </c>
      <c r="AQ24" s="13">
        <v>5099</v>
      </c>
      <c r="AR24" s="13">
        <v>5067</v>
      </c>
      <c r="AS24" s="13">
        <v>5230</v>
      </c>
      <c r="AT24" s="13">
        <v>6331</v>
      </c>
      <c r="AU24" s="52">
        <f t="shared" si="0"/>
        <v>1.2167366946778713</v>
      </c>
    </row>
    <row r="25" spans="1:47" x14ac:dyDescent="0.4">
      <c r="A25" s="5" t="s">
        <v>249</v>
      </c>
      <c r="B25" s="35">
        <v>6330</v>
      </c>
      <c r="C25" s="35">
        <v>6429</v>
      </c>
      <c r="D25" s="35">
        <v>6410</v>
      </c>
      <c r="E25" s="35">
        <v>6701</v>
      </c>
      <c r="F25" s="35">
        <v>7006</v>
      </c>
      <c r="G25" s="35">
        <v>7803</v>
      </c>
      <c r="H25" s="35">
        <v>6277</v>
      </c>
      <c r="I25" s="35">
        <v>6079</v>
      </c>
      <c r="J25" s="35">
        <v>5749</v>
      </c>
      <c r="K25" s="35"/>
      <c r="L25" s="35">
        <v>5377</v>
      </c>
      <c r="M25" s="35">
        <v>5649</v>
      </c>
      <c r="N25" s="35">
        <v>5598</v>
      </c>
      <c r="O25" s="35">
        <v>5628</v>
      </c>
      <c r="P25" s="35">
        <v>5163</v>
      </c>
      <c r="Q25" s="35">
        <v>5232</v>
      </c>
      <c r="R25" s="35">
        <v>4878</v>
      </c>
      <c r="S25" s="35">
        <v>4980</v>
      </c>
      <c r="T25" s="35">
        <v>4694</v>
      </c>
      <c r="U25" s="35">
        <v>4761</v>
      </c>
      <c r="V25" s="35">
        <v>4746</v>
      </c>
      <c r="W25" s="35">
        <v>115490</v>
      </c>
      <c r="X25" s="35"/>
      <c r="Y25" s="35"/>
      <c r="Z25" s="5" t="s">
        <v>249</v>
      </c>
      <c r="AA25" s="35">
        <v>4746</v>
      </c>
      <c r="AB25" s="35">
        <v>4761</v>
      </c>
      <c r="AC25" s="35">
        <v>4694</v>
      </c>
      <c r="AD25" s="35">
        <v>4980</v>
      </c>
      <c r="AE25" s="35">
        <v>4878</v>
      </c>
      <c r="AF25" s="35">
        <v>5232</v>
      </c>
      <c r="AG25" s="35">
        <v>5163</v>
      </c>
      <c r="AH25" s="35">
        <v>5628</v>
      </c>
      <c r="AI25" s="35">
        <v>5598</v>
      </c>
      <c r="AJ25" s="35">
        <v>5649</v>
      </c>
      <c r="AK25" s="35">
        <v>5377</v>
      </c>
      <c r="AL25" s="35">
        <v>5749</v>
      </c>
      <c r="AM25" s="35">
        <v>6079</v>
      </c>
      <c r="AN25" s="35">
        <v>6277</v>
      </c>
      <c r="AO25" s="13">
        <v>6330</v>
      </c>
      <c r="AP25" s="13">
        <v>6429</v>
      </c>
      <c r="AQ25" s="13">
        <v>6410</v>
      </c>
      <c r="AR25" s="13">
        <v>6701</v>
      </c>
      <c r="AS25" s="13">
        <v>7006</v>
      </c>
      <c r="AT25" s="13">
        <v>7803</v>
      </c>
      <c r="AU25" s="52">
        <f t="shared" si="0"/>
        <v>0.6389413988657846</v>
      </c>
    </row>
    <row r="26" spans="1:47" x14ac:dyDescent="0.4">
      <c r="A26" s="5" t="s">
        <v>271</v>
      </c>
      <c r="B26" s="35">
        <v>3810</v>
      </c>
      <c r="C26" s="35">
        <v>4053</v>
      </c>
      <c r="D26" s="35">
        <v>4079</v>
      </c>
      <c r="E26" s="35">
        <v>3981</v>
      </c>
      <c r="F26" s="35">
        <v>3879</v>
      </c>
      <c r="G26" s="35">
        <v>4121</v>
      </c>
      <c r="H26" s="35">
        <v>3602</v>
      </c>
      <c r="I26" s="35">
        <v>3517</v>
      </c>
      <c r="J26" s="35">
        <v>3458</v>
      </c>
      <c r="K26" s="35"/>
      <c r="L26" s="35">
        <v>3400</v>
      </c>
      <c r="M26" s="35">
        <v>3417</v>
      </c>
      <c r="N26" s="35">
        <v>3512</v>
      </c>
      <c r="O26" s="35">
        <v>3680</v>
      </c>
      <c r="P26" s="35">
        <v>3561</v>
      </c>
      <c r="Q26" s="35">
        <v>3509</v>
      </c>
      <c r="R26" s="35">
        <v>3605</v>
      </c>
      <c r="S26" s="35">
        <v>3352</v>
      </c>
      <c r="T26" s="35">
        <v>3257</v>
      </c>
      <c r="U26" s="35">
        <v>3328</v>
      </c>
      <c r="V26" s="35">
        <v>3349</v>
      </c>
      <c r="W26" s="35">
        <v>72470</v>
      </c>
      <c r="X26" s="35"/>
      <c r="Y26" s="35"/>
      <c r="Z26" s="5" t="s">
        <v>271</v>
      </c>
      <c r="AA26" s="35">
        <v>3349</v>
      </c>
      <c r="AB26" s="35">
        <v>3328</v>
      </c>
      <c r="AC26" s="35">
        <v>3257</v>
      </c>
      <c r="AD26" s="35">
        <v>3352</v>
      </c>
      <c r="AE26" s="35">
        <v>3605</v>
      </c>
      <c r="AF26" s="35">
        <v>3509</v>
      </c>
      <c r="AG26" s="35">
        <v>3561</v>
      </c>
      <c r="AH26" s="35">
        <v>3680</v>
      </c>
      <c r="AI26" s="35">
        <v>3512</v>
      </c>
      <c r="AJ26" s="35">
        <v>3417</v>
      </c>
      <c r="AK26" s="35">
        <v>3400</v>
      </c>
      <c r="AL26" s="35">
        <v>3458</v>
      </c>
      <c r="AM26" s="35">
        <v>3517</v>
      </c>
      <c r="AN26" s="35">
        <v>3602</v>
      </c>
      <c r="AO26" s="13">
        <v>3810</v>
      </c>
      <c r="AP26" s="13">
        <v>4053</v>
      </c>
      <c r="AQ26" s="13">
        <v>4079</v>
      </c>
      <c r="AR26" s="13">
        <v>3981</v>
      </c>
      <c r="AS26" s="13">
        <v>3879</v>
      </c>
      <c r="AT26" s="13">
        <v>4121</v>
      </c>
      <c r="AU26" s="52">
        <f t="shared" si="0"/>
        <v>0.23828125</v>
      </c>
    </row>
    <row r="27" spans="1:47" x14ac:dyDescent="0.4">
      <c r="A27" s="5" t="s">
        <v>288</v>
      </c>
      <c r="B27" s="35">
        <v>1933</v>
      </c>
      <c r="C27" s="35">
        <v>2195</v>
      </c>
      <c r="D27" s="35">
        <v>2177</v>
      </c>
      <c r="E27" s="35">
        <v>2248</v>
      </c>
      <c r="F27" s="35">
        <v>2454</v>
      </c>
      <c r="G27" s="35">
        <v>2673</v>
      </c>
      <c r="H27" s="35">
        <v>1982</v>
      </c>
      <c r="I27" s="35">
        <v>1884</v>
      </c>
      <c r="J27" s="35">
        <v>1778</v>
      </c>
      <c r="K27" s="35"/>
      <c r="L27" s="35">
        <v>1633</v>
      </c>
      <c r="M27" s="35">
        <v>1592</v>
      </c>
      <c r="N27" s="35">
        <v>1681</v>
      </c>
      <c r="O27" s="35">
        <v>1724</v>
      </c>
      <c r="P27" s="35">
        <v>1662</v>
      </c>
      <c r="Q27" s="35">
        <v>1403</v>
      </c>
      <c r="R27" s="35">
        <v>855</v>
      </c>
      <c r="S27" s="35">
        <v>1579</v>
      </c>
      <c r="T27" s="35">
        <v>0</v>
      </c>
      <c r="U27" s="35">
        <v>0</v>
      </c>
      <c r="V27" s="35">
        <v>0</v>
      </c>
      <c r="W27" s="35">
        <v>31453</v>
      </c>
      <c r="X27" s="35"/>
      <c r="Y27" s="35"/>
      <c r="Z27" s="5" t="s">
        <v>288</v>
      </c>
      <c r="AA27" s="35">
        <v>0</v>
      </c>
      <c r="AB27" s="35">
        <v>0</v>
      </c>
      <c r="AC27" s="35">
        <v>0</v>
      </c>
      <c r="AD27" s="35">
        <v>1579</v>
      </c>
      <c r="AE27" s="35">
        <v>855</v>
      </c>
      <c r="AF27" s="35">
        <v>1403</v>
      </c>
      <c r="AG27" s="35">
        <v>1662</v>
      </c>
      <c r="AH27" s="35">
        <v>1724</v>
      </c>
      <c r="AI27" s="35">
        <v>1681</v>
      </c>
      <c r="AJ27" s="35">
        <v>1592</v>
      </c>
      <c r="AK27" s="35">
        <v>1633</v>
      </c>
      <c r="AL27" s="35">
        <v>1778</v>
      </c>
      <c r="AM27" s="35">
        <v>1884</v>
      </c>
      <c r="AN27" s="35">
        <v>1982</v>
      </c>
      <c r="AO27" s="13">
        <v>1933</v>
      </c>
      <c r="AP27" s="13">
        <v>2195</v>
      </c>
      <c r="AQ27" s="13">
        <v>2177</v>
      </c>
      <c r="AR27" s="13">
        <v>2248</v>
      </c>
      <c r="AS27" s="13">
        <v>2454</v>
      </c>
      <c r="AT27" s="13">
        <v>2673</v>
      </c>
      <c r="AU27" s="52" t="e">
        <f t="shared" si="0"/>
        <v>#DIV/0!</v>
      </c>
    </row>
    <row r="28" spans="1:47" x14ac:dyDescent="0.4">
      <c r="A28" s="5" t="s">
        <v>300</v>
      </c>
      <c r="B28" s="35">
        <v>2478</v>
      </c>
      <c r="C28" s="35">
        <v>2634</v>
      </c>
      <c r="D28" s="35">
        <v>2822</v>
      </c>
      <c r="E28" s="35">
        <v>2913</v>
      </c>
      <c r="F28" s="35">
        <v>3261</v>
      </c>
      <c r="G28" s="35">
        <v>3811</v>
      </c>
      <c r="H28" s="35">
        <v>2521</v>
      </c>
      <c r="I28" s="35">
        <v>2601</v>
      </c>
      <c r="J28" s="35">
        <v>2365</v>
      </c>
      <c r="K28" s="35"/>
      <c r="L28" s="35">
        <v>2306</v>
      </c>
      <c r="M28" s="35">
        <v>2186</v>
      </c>
      <c r="N28" s="35">
        <v>2451</v>
      </c>
      <c r="O28" s="35">
        <v>2553</v>
      </c>
      <c r="P28" s="35">
        <v>2185</v>
      </c>
      <c r="Q28" s="35">
        <v>2149</v>
      </c>
      <c r="R28" s="35">
        <v>2242</v>
      </c>
      <c r="S28" s="35">
        <v>2074</v>
      </c>
      <c r="T28" s="35">
        <v>2019</v>
      </c>
      <c r="U28" s="35">
        <v>2020</v>
      </c>
      <c r="V28" s="35">
        <v>2021</v>
      </c>
      <c r="W28" s="35">
        <v>49612</v>
      </c>
      <c r="X28" s="35"/>
      <c r="Y28" s="35"/>
      <c r="Z28" s="5" t="s">
        <v>300</v>
      </c>
      <c r="AA28" s="35">
        <v>2021</v>
      </c>
      <c r="AB28" s="35">
        <v>2020</v>
      </c>
      <c r="AC28" s="35">
        <v>2019</v>
      </c>
      <c r="AD28" s="35">
        <v>2074</v>
      </c>
      <c r="AE28" s="35">
        <v>2242</v>
      </c>
      <c r="AF28" s="35">
        <v>2149</v>
      </c>
      <c r="AG28" s="35">
        <v>2185</v>
      </c>
      <c r="AH28" s="35">
        <v>2553</v>
      </c>
      <c r="AI28" s="35">
        <v>2451</v>
      </c>
      <c r="AJ28" s="35">
        <v>2186</v>
      </c>
      <c r="AK28" s="35">
        <v>2306</v>
      </c>
      <c r="AL28" s="35">
        <v>2365</v>
      </c>
      <c r="AM28" s="35">
        <v>2601</v>
      </c>
      <c r="AN28" s="35">
        <v>2521</v>
      </c>
      <c r="AO28" s="13">
        <v>2478</v>
      </c>
      <c r="AP28" s="13">
        <v>2634</v>
      </c>
      <c r="AQ28" s="13">
        <v>2822</v>
      </c>
      <c r="AR28" s="13">
        <v>2913</v>
      </c>
      <c r="AS28" s="13">
        <v>3261</v>
      </c>
      <c r="AT28" s="13">
        <v>3811</v>
      </c>
      <c r="AU28" s="52">
        <f t="shared" si="0"/>
        <v>0.88663366336633653</v>
      </c>
    </row>
    <row r="29" spans="1:47" x14ac:dyDescent="0.4">
      <c r="A29" s="5" t="s">
        <v>312</v>
      </c>
      <c r="B29" s="35">
        <v>18511</v>
      </c>
      <c r="C29" s="35">
        <v>19162</v>
      </c>
      <c r="D29" s="35">
        <v>19066</v>
      </c>
      <c r="E29" s="35">
        <v>19033</v>
      </c>
      <c r="F29" s="35">
        <v>21339</v>
      </c>
      <c r="G29" s="35">
        <v>23146</v>
      </c>
      <c r="H29" s="35">
        <v>17871</v>
      </c>
      <c r="I29" s="35">
        <v>17988</v>
      </c>
      <c r="J29" s="35">
        <v>16938</v>
      </c>
      <c r="K29" s="35"/>
      <c r="L29" s="35">
        <v>16132</v>
      </c>
      <c r="M29" s="35">
        <v>15778</v>
      </c>
      <c r="N29" s="35">
        <v>15346</v>
      </c>
      <c r="O29" s="35">
        <v>16521</v>
      </c>
      <c r="P29" s="35">
        <v>14592</v>
      </c>
      <c r="Q29" s="35">
        <v>15432</v>
      </c>
      <c r="R29" s="35">
        <v>14049</v>
      </c>
      <c r="S29" s="35">
        <v>13947</v>
      </c>
      <c r="T29" s="35">
        <v>13588</v>
      </c>
      <c r="U29" s="35">
        <v>13276</v>
      </c>
      <c r="V29" s="35">
        <v>13029</v>
      </c>
      <c r="W29" s="35">
        <v>334744</v>
      </c>
      <c r="X29" s="35"/>
      <c r="Y29" s="35"/>
      <c r="Z29" s="5" t="s">
        <v>312</v>
      </c>
      <c r="AA29" s="35">
        <v>13029</v>
      </c>
      <c r="AB29" s="35">
        <v>13276</v>
      </c>
      <c r="AC29" s="35">
        <v>13588</v>
      </c>
      <c r="AD29" s="35">
        <v>13947</v>
      </c>
      <c r="AE29" s="35">
        <v>14049</v>
      </c>
      <c r="AF29" s="35">
        <v>15432</v>
      </c>
      <c r="AG29" s="35">
        <v>14592</v>
      </c>
      <c r="AH29" s="35">
        <v>16521</v>
      </c>
      <c r="AI29" s="35">
        <v>15346</v>
      </c>
      <c r="AJ29" s="35">
        <v>15778</v>
      </c>
      <c r="AK29" s="35">
        <v>16132</v>
      </c>
      <c r="AL29" s="35">
        <v>16938</v>
      </c>
      <c r="AM29" s="35">
        <v>17988</v>
      </c>
      <c r="AN29" s="35">
        <v>17871</v>
      </c>
      <c r="AO29" s="13">
        <v>18511</v>
      </c>
      <c r="AP29" s="13">
        <v>19162</v>
      </c>
      <c r="AQ29" s="13">
        <v>19066</v>
      </c>
      <c r="AR29" s="13">
        <v>19033</v>
      </c>
      <c r="AS29" s="13">
        <v>21339</v>
      </c>
      <c r="AT29" s="13">
        <v>23146</v>
      </c>
      <c r="AU29" s="52">
        <f t="shared" si="0"/>
        <v>0.74344682133172646</v>
      </c>
    </row>
    <row r="30" spans="1:47" x14ac:dyDescent="0.4">
      <c r="A30" s="5" t="s">
        <v>333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</row>
    <row r="31" spans="1:47" x14ac:dyDescent="0.4">
      <c r="A31" s="5" t="s">
        <v>334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>
        <v>1418</v>
      </c>
      <c r="U31" s="35">
        <v>1370</v>
      </c>
      <c r="V31" s="35">
        <v>1354</v>
      </c>
      <c r="W31" s="35">
        <v>4142</v>
      </c>
      <c r="X31" s="35"/>
      <c r="Y31" s="35"/>
      <c r="Z31" s="5" t="s">
        <v>329</v>
      </c>
      <c r="AA31" s="35">
        <v>1354</v>
      </c>
      <c r="AB31" s="35">
        <v>1370</v>
      </c>
      <c r="AC31" s="35">
        <v>1418</v>
      </c>
    </row>
    <row r="32" spans="1:47" x14ac:dyDescent="0.4">
      <c r="A32" s="5" t="s">
        <v>332</v>
      </c>
      <c r="B32" s="35">
        <v>138504</v>
      </c>
      <c r="C32" s="35">
        <v>143020</v>
      </c>
      <c r="D32" s="35">
        <v>148058</v>
      </c>
      <c r="E32" s="35">
        <v>149903</v>
      </c>
      <c r="F32" s="35">
        <v>162125</v>
      </c>
      <c r="G32" s="35">
        <v>190474</v>
      </c>
      <c r="H32" s="35">
        <v>134731</v>
      </c>
      <c r="I32" s="35">
        <v>133651</v>
      </c>
      <c r="J32" s="35">
        <v>127363</v>
      </c>
      <c r="K32" s="35"/>
      <c r="L32" s="35">
        <v>121543</v>
      </c>
      <c r="M32" s="35">
        <v>117831</v>
      </c>
      <c r="N32" s="35">
        <v>117227</v>
      </c>
      <c r="O32" s="35">
        <v>121603</v>
      </c>
      <c r="P32" s="35">
        <v>110293</v>
      </c>
      <c r="Q32" s="35">
        <v>110672</v>
      </c>
      <c r="R32" s="35">
        <v>105947</v>
      </c>
      <c r="S32" s="35">
        <v>104625</v>
      </c>
      <c r="T32" s="35">
        <v>100963</v>
      </c>
      <c r="U32" s="35">
        <v>98011</v>
      </c>
      <c r="V32" s="35">
        <v>100045</v>
      </c>
      <c r="W32" s="35">
        <v>2536589</v>
      </c>
      <c r="X32" s="35"/>
      <c r="AA32" s="43">
        <v>100045</v>
      </c>
      <c r="AB32" s="43">
        <v>98011</v>
      </c>
      <c r="AC32" s="43">
        <v>100963</v>
      </c>
      <c r="AD32" s="43">
        <v>104625</v>
      </c>
      <c r="AE32" s="43">
        <v>105947</v>
      </c>
      <c r="AF32" s="43">
        <v>110672</v>
      </c>
      <c r="AG32" s="43">
        <v>110293</v>
      </c>
      <c r="AH32" s="43">
        <v>121603</v>
      </c>
      <c r="AI32" s="43">
        <v>117227</v>
      </c>
      <c r="AJ32" s="43">
        <v>117831</v>
      </c>
      <c r="AK32" s="43">
        <v>121543</v>
      </c>
      <c r="AL32" s="43">
        <f t="shared" ref="AL32:AT32" si="1">SUM(AL4:AL30)</f>
        <v>127363</v>
      </c>
      <c r="AM32" s="43">
        <f t="shared" si="1"/>
        <v>133651</v>
      </c>
      <c r="AN32" s="43">
        <f t="shared" si="1"/>
        <v>134731</v>
      </c>
      <c r="AO32" s="43">
        <f t="shared" si="1"/>
        <v>138504</v>
      </c>
      <c r="AP32" s="43">
        <f t="shared" si="1"/>
        <v>143020</v>
      </c>
      <c r="AQ32" s="43">
        <f t="shared" si="1"/>
        <v>148058</v>
      </c>
      <c r="AR32" s="43">
        <f t="shared" si="1"/>
        <v>149903</v>
      </c>
      <c r="AS32" s="43">
        <f t="shared" si="1"/>
        <v>162125</v>
      </c>
      <c r="AT32" s="43">
        <f t="shared" si="1"/>
        <v>190474</v>
      </c>
      <c r="AU32" s="52">
        <f t="shared" ref="AU32" si="2">+AT32/AB32-1</f>
        <v>0.94339410882451968</v>
      </c>
    </row>
    <row r="39" spans="1:23" x14ac:dyDescent="0.4">
      <c r="A39" s="21" t="s">
        <v>705</v>
      </c>
      <c r="B39" s="42" t="s">
        <v>739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</row>
    <row r="40" spans="1:23" x14ac:dyDescent="0.4">
      <c r="A40" s="21" t="s">
        <v>331</v>
      </c>
      <c r="B40" s="35">
        <v>2010</v>
      </c>
      <c r="C40" s="35">
        <v>2011</v>
      </c>
      <c r="D40" s="35">
        <v>2012</v>
      </c>
      <c r="E40" s="35">
        <v>2013</v>
      </c>
      <c r="F40" s="35">
        <v>2014</v>
      </c>
      <c r="G40" s="35">
        <v>2016</v>
      </c>
      <c r="H40" s="35">
        <v>2009</v>
      </c>
      <c r="I40" s="35">
        <v>2008</v>
      </c>
      <c r="J40" s="35">
        <v>2007</v>
      </c>
      <c r="K40" s="35" t="s">
        <v>333</v>
      </c>
      <c r="L40" s="35">
        <v>2006</v>
      </c>
      <c r="M40" s="35">
        <v>2005</v>
      </c>
      <c r="N40" s="35">
        <v>2004</v>
      </c>
      <c r="O40" s="35">
        <v>2003</v>
      </c>
      <c r="P40" s="35">
        <v>2002</v>
      </c>
      <c r="Q40" s="35">
        <v>2001</v>
      </c>
      <c r="R40" s="35">
        <v>2000</v>
      </c>
      <c r="S40" s="35">
        <v>1999</v>
      </c>
      <c r="T40" s="35">
        <v>1998</v>
      </c>
      <c r="U40" s="35">
        <v>1997</v>
      </c>
      <c r="V40" s="35">
        <v>1996</v>
      </c>
      <c r="W40" s="35" t="s">
        <v>332</v>
      </c>
    </row>
    <row r="41" spans="1:23" x14ac:dyDescent="0.4">
      <c r="A41" s="5" t="s">
        <v>357</v>
      </c>
      <c r="B41" s="35">
        <v>10</v>
      </c>
      <c r="C41" s="35">
        <v>12</v>
      </c>
      <c r="D41" s="35">
        <v>12</v>
      </c>
      <c r="E41" s="35">
        <v>4</v>
      </c>
      <c r="F41" s="35">
        <v>0</v>
      </c>
      <c r="G41" s="35">
        <v>5</v>
      </c>
      <c r="H41" s="35">
        <v>0</v>
      </c>
      <c r="I41" s="35">
        <v>49</v>
      </c>
      <c r="J41" s="35">
        <v>71</v>
      </c>
      <c r="K41" s="35"/>
      <c r="L41" s="35">
        <v>12</v>
      </c>
      <c r="M41" s="35">
        <v>21</v>
      </c>
      <c r="N41" s="35">
        <v>21</v>
      </c>
      <c r="O41" s="35">
        <v>30</v>
      </c>
      <c r="P41" s="35">
        <v>23</v>
      </c>
      <c r="Q41" s="35">
        <v>29</v>
      </c>
      <c r="R41" s="35">
        <v>27</v>
      </c>
      <c r="S41" s="35">
        <v>29</v>
      </c>
      <c r="T41" s="35">
        <v>39</v>
      </c>
      <c r="U41" s="35">
        <v>45</v>
      </c>
      <c r="V41" s="35">
        <v>59</v>
      </c>
      <c r="W41" s="35">
        <v>498</v>
      </c>
    </row>
    <row r="42" spans="1:23" x14ac:dyDescent="0.4">
      <c r="A42" s="5" t="s">
        <v>358</v>
      </c>
      <c r="B42" s="35">
        <v>8</v>
      </c>
      <c r="C42" s="35">
        <v>8</v>
      </c>
      <c r="D42" s="35">
        <v>12</v>
      </c>
      <c r="E42" s="35">
        <v>11</v>
      </c>
      <c r="F42" s="35">
        <v>12</v>
      </c>
      <c r="G42" s="35">
        <v>35</v>
      </c>
      <c r="H42" s="35">
        <v>8</v>
      </c>
      <c r="I42" s="35">
        <v>20</v>
      </c>
      <c r="J42" s="35">
        <v>12</v>
      </c>
      <c r="K42" s="35"/>
      <c r="L42" s="35">
        <v>8</v>
      </c>
      <c r="M42" s="35">
        <v>11</v>
      </c>
      <c r="N42" s="35">
        <v>18</v>
      </c>
      <c r="O42" s="35">
        <v>17</v>
      </c>
      <c r="P42" s="35">
        <v>1</v>
      </c>
      <c r="Q42" s="35">
        <v>6</v>
      </c>
      <c r="R42" s="35">
        <v>18</v>
      </c>
      <c r="S42" s="35">
        <v>3</v>
      </c>
      <c r="T42" s="35">
        <v>6</v>
      </c>
      <c r="U42" s="35">
        <v>14</v>
      </c>
      <c r="V42" s="35">
        <v>4</v>
      </c>
      <c r="W42" s="35">
        <v>232</v>
      </c>
    </row>
    <row r="43" spans="1:23" x14ac:dyDescent="0.4">
      <c r="A43" s="5" t="s">
        <v>359</v>
      </c>
      <c r="B43" s="35">
        <v>353</v>
      </c>
      <c r="C43" s="35">
        <v>517</v>
      </c>
      <c r="D43" s="35">
        <v>598</v>
      </c>
      <c r="E43" s="35">
        <v>584</v>
      </c>
      <c r="F43" s="35">
        <v>555</v>
      </c>
      <c r="G43" s="35">
        <v>547</v>
      </c>
      <c r="H43" s="35">
        <v>297</v>
      </c>
      <c r="I43" s="35">
        <v>244</v>
      </c>
      <c r="J43" s="35">
        <v>190</v>
      </c>
      <c r="K43" s="35"/>
      <c r="L43" s="35">
        <v>265</v>
      </c>
      <c r="M43" s="35">
        <v>353</v>
      </c>
      <c r="N43" s="35">
        <v>351</v>
      </c>
      <c r="O43" s="35">
        <v>364</v>
      </c>
      <c r="P43" s="35">
        <v>305</v>
      </c>
      <c r="Q43" s="35">
        <v>363</v>
      </c>
      <c r="R43" s="35">
        <v>387</v>
      </c>
      <c r="S43" s="35">
        <v>359</v>
      </c>
      <c r="T43" s="35">
        <v>288</v>
      </c>
      <c r="U43" s="35">
        <v>274</v>
      </c>
      <c r="V43" s="35">
        <v>316</v>
      </c>
      <c r="W43" s="35">
        <v>7510</v>
      </c>
    </row>
    <row r="44" spans="1:23" x14ac:dyDescent="0.4">
      <c r="A44" s="5" t="s">
        <v>360</v>
      </c>
      <c r="B44" s="35">
        <v>2</v>
      </c>
      <c r="C44" s="35">
        <v>4</v>
      </c>
      <c r="D44" s="35">
        <v>14</v>
      </c>
      <c r="E44" s="35">
        <v>7</v>
      </c>
      <c r="F44" s="35">
        <v>4</v>
      </c>
      <c r="G44" s="35">
        <v>19</v>
      </c>
      <c r="H44" s="35">
        <v>3</v>
      </c>
      <c r="I44" s="35">
        <v>4</v>
      </c>
      <c r="J44" s="35">
        <v>16</v>
      </c>
      <c r="K44" s="35"/>
      <c r="L44" s="35">
        <v>5</v>
      </c>
      <c r="M44" s="35">
        <v>5</v>
      </c>
      <c r="N44" s="35">
        <v>5</v>
      </c>
      <c r="O44" s="35">
        <v>7</v>
      </c>
      <c r="P44" s="35">
        <v>6</v>
      </c>
      <c r="Q44" s="35">
        <v>4</v>
      </c>
      <c r="R44" s="35">
        <v>8</v>
      </c>
      <c r="S44" s="35">
        <v>20</v>
      </c>
      <c r="T44" s="35">
        <v>0</v>
      </c>
      <c r="U44" s="35">
        <v>9</v>
      </c>
      <c r="V44" s="35">
        <v>1</v>
      </c>
      <c r="W44" s="35">
        <v>143</v>
      </c>
    </row>
    <row r="45" spans="1:23" x14ac:dyDescent="0.4">
      <c r="A45" s="5" t="s">
        <v>361</v>
      </c>
      <c r="B45" s="35">
        <v>1</v>
      </c>
      <c r="C45" s="35">
        <v>4</v>
      </c>
      <c r="D45" s="35">
        <v>3</v>
      </c>
      <c r="E45" s="35">
        <v>7</v>
      </c>
      <c r="F45" s="35">
        <v>1</v>
      </c>
      <c r="G45" s="35">
        <v>7</v>
      </c>
      <c r="H45" s="35">
        <v>2</v>
      </c>
      <c r="I45" s="35">
        <v>0</v>
      </c>
      <c r="J45" s="35">
        <v>17</v>
      </c>
      <c r="K45" s="35"/>
      <c r="L45" s="35">
        <v>4</v>
      </c>
      <c r="M45" s="35">
        <v>21</v>
      </c>
      <c r="N45" s="35">
        <v>4</v>
      </c>
      <c r="O45" s="35">
        <v>5</v>
      </c>
      <c r="P45" s="35">
        <v>17</v>
      </c>
      <c r="Q45" s="35">
        <v>5</v>
      </c>
      <c r="R45" s="35">
        <v>7</v>
      </c>
      <c r="S45" s="35">
        <v>3</v>
      </c>
      <c r="T45" s="35">
        <v>2</v>
      </c>
      <c r="U45" s="35">
        <v>2</v>
      </c>
      <c r="V45" s="35">
        <v>4</v>
      </c>
      <c r="W45" s="35">
        <v>116</v>
      </c>
    </row>
    <row r="46" spans="1:23" x14ac:dyDescent="0.4">
      <c r="A46" s="5" t="s">
        <v>732</v>
      </c>
      <c r="B46" s="35">
        <v>2</v>
      </c>
      <c r="C46" s="35">
        <v>0</v>
      </c>
      <c r="D46" s="35">
        <v>1</v>
      </c>
      <c r="E46" s="35">
        <v>3</v>
      </c>
      <c r="F46" s="35">
        <v>0</v>
      </c>
      <c r="G46" s="35">
        <v>0</v>
      </c>
      <c r="H46" s="35">
        <v>0</v>
      </c>
      <c r="I46" s="35">
        <v>1</v>
      </c>
      <c r="J46" s="35">
        <v>2</v>
      </c>
      <c r="K46" s="35"/>
      <c r="L46" s="35">
        <v>4</v>
      </c>
      <c r="M46" s="35">
        <v>0</v>
      </c>
      <c r="N46" s="35">
        <v>2</v>
      </c>
      <c r="O46" s="35">
        <v>2</v>
      </c>
      <c r="P46" s="35">
        <v>5</v>
      </c>
      <c r="Q46" s="35">
        <v>1</v>
      </c>
      <c r="R46" s="35">
        <v>7</v>
      </c>
      <c r="S46" s="35">
        <v>5</v>
      </c>
      <c r="T46" s="35">
        <v>0</v>
      </c>
      <c r="U46" s="35">
        <v>4</v>
      </c>
      <c r="V46" s="35">
        <v>6</v>
      </c>
      <c r="W46" s="35">
        <v>45</v>
      </c>
    </row>
    <row r="47" spans="1:23" x14ac:dyDescent="0.4">
      <c r="A47" s="5" t="s">
        <v>730</v>
      </c>
      <c r="B47" s="35">
        <v>3</v>
      </c>
      <c r="C47" s="35">
        <v>4</v>
      </c>
      <c r="D47" s="35">
        <v>3</v>
      </c>
      <c r="E47" s="35">
        <v>0</v>
      </c>
      <c r="F47" s="35">
        <v>2</v>
      </c>
      <c r="G47" s="35">
        <v>0</v>
      </c>
      <c r="H47" s="35">
        <v>5</v>
      </c>
      <c r="I47" s="35">
        <v>6</v>
      </c>
      <c r="J47" s="35">
        <v>12</v>
      </c>
      <c r="K47" s="35"/>
      <c r="L47" s="35">
        <v>0</v>
      </c>
      <c r="M47" s="35">
        <v>8</v>
      </c>
      <c r="N47" s="35">
        <v>6</v>
      </c>
      <c r="O47" s="35">
        <v>13</v>
      </c>
      <c r="P47" s="35">
        <v>3</v>
      </c>
      <c r="Q47" s="35">
        <v>3</v>
      </c>
      <c r="R47" s="35">
        <v>0</v>
      </c>
      <c r="S47" s="35">
        <v>0</v>
      </c>
      <c r="T47" s="35">
        <v>14</v>
      </c>
      <c r="U47" s="35">
        <v>2</v>
      </c>
      <c r="V47" s="35">
        <v>6</v>
      </c>
      <c r="W47" s="35">
        <v>90</v>
      </c>
    </row>
    <row r="48" spans="1:23" x14ac:dyDescent="0.4">
      <c r="A48" s="5" t="s">
        <v>362</v>
      </c>
      <c r="B48" s="35">
        <v>415</v>
      </c>
      <c r="C48" s="35">
        <v>348</v>
      </c>
      <c r="D48" s="35">
        <v>428</v>
      </c>
      <c r="E48" s="35">
        <v>364</v>
      </c>
      <c r="F48" s="35">
        <v>464</v>
      </c>
      <c r="G48" s="35">
        <v>499</v>
      </c>
      <c r="H48" s="35">
        <v>407</v>
      </c>
      <c r="I48" s="35">
        <v>406</v>
      </c>
      <c r="J48" s="35">
        <v>426</v>
      </c>
      <c r="K48" s="35"/>
      <c r="L48" s="35">
        <v>303</v>
      </c>
      <c r="M48" s="35">
        <v>318</v>
      </c>
      <c r="N48" s="35">
        <v>369</v>
      </c>
      <c r="O48" s="35">
        <v>190</v>
      </c>
      <c r="P48" s="35">
        <v>187</v>
      </c>
      <c r="Q48" s="35">
        <v>252</v>
      </c>
      <c r="R48" s="35">
        <v>205</v>
      </c>
      <c r="S48" s="35">
        <v>204</v>
      </c>
      <c r="T48" s="35">
        <v>215</v>
      </c>
      <c r="U48" s="35">
        <v>196</v>
      </c>
      <c r="V48" s="35">
        <v>212</v>
      </c>
      <c r="W48" s="35">
        <v>6408</v>
      </c>
    </row>
    <row r="49" spans="1:23" x14ac:dyDescent="0.4">
      <c r="A49" s="5" t="s">
        <v>363</v>
      </c>
      <c r="B49" s="35">
        <v>104</v>
      </c>
      <c r="C49" s="35">
        <v>72</v>
      </c>
      <c r="D49" s="35">
        <v>89</v>
      </c>
      <c r="E49" s="35">
        <v>64</v>
      </c>
      <c r="F49" s="35">
        <v>95</v>
      </c>
      <c r="G49" s="35">
        <v>98</v>
      </c>
      <c r="H49" s="35">
        <v>77</v>
      </c>
      <c r="I49" s="35">
        <v>71</v>
      </c>
      <c r="J49" s="35">
        <v>110</v>
      </c>
      <c r="K49" s="35"/>
      <c r="L49" s="35">
        <v>78</v>
      </c>
      <c r="M49" s="35">
        <v>77</v>
      </c>
      <c r="N49" s="35">
        <v>100</v>
      </c>
      <c r="O49" s="35">
        <v>83</v>
      </c>
      <c r="P49" s="35">
        <v>83</v>
      </c>
      <c r="Q49" s="35">
        <v>109</v>
      </c>
      <c r="R49" s="35">
        <v>87</v>
      </c>
      <c r="S49" s="35">
        <v>103</v>
      </c>
      <c r="T49" s="35">
        <v>79</v>
      </c>
      <c r="U49" s="35">
        <v>92</v>
      </c>
      <c r="V49" s="35">
        <v>91</v>
      </c>
      <c r="W49" s="35">
        <v>1762</v>
      </c>
    </row>
    <row r="50" spans="1:23" x14ac:dyDescent="0.4">
      <c r="A50" s="5" t="s">
        <v>364</v>
      </c>
      <c r="B50" s="35">
        <v>186</v>
      </c>
      <c r="C50" s="35">
        <v>183</v>
      </c>
      <c r="D50" s="35">
        <v>178</v>
      </c>
      <c r="E50" s="35">
        <v>197</v>
      </c>
      <c r="F50" s="35">
        <v>226</v>
      </c>
      <c r="G50" s="35">
        <v>291</v>
      </c>
      <c r="H50" s="35">
        <v>186</v>
      </c>
      <c r="I50" s="35">
        <v>164</v>
      </c>
      <c r="J50" s="35">
        <v>126</v>
      </c>
      <c r="K50" s="35"/>
      <c r="L50" s="35">
        <v>134</v>
      </c>
      <c r="M50" s="35">
        <v>100</v>
      </c>
      <c r="N50" s="35">
        <v>99</v>
      </c>
      <c r="O50" s="35">
        <v>87</v>
      </c>
      <c r="P50" s="35">
        <v>78</v>
      </c>
      <c r="Q50" s="35">
        <v>77</v>
      </c>
      <c r="R50" s="35">
        <v>83</v>
      </c>
      <c r="S50" s="35">
        <v>57</v>
      </c>
      <c r="T50" s="35">
        <v>92</v>
      </c>
      <c r="U50" s="35">
        <v>86</v>
      </c>
      <c r="V50" s="35">
        <v>67</v>
      </c>
      <c r="W50" s="35">
        <v>2697</v>
      </c>
    </row>
    <row r="51" spans="1:23" x14ac:dyDescent="0.4">
      <c r="A51" s="5" t="s">
        <v>365</v>
      </c>
      <c r="B51" s="35">
        <v>66</v>
      </c>
      <c r="C51" s="35">
        <v>56</v>
      </c>
      <c r="D51" s="35">
        <v>59</v>
      </c>
      <c r="E51" s="35">
        <v>72</v>
      </c>
      <c r="F51" s="35">
        <v>68</v>
      </c>
      <c r="G51" s="35">
        <v>84</v>
      </c>
      <c r="H51" s="35">
        <v>72</v>
      </c>
      <c r="I51" s="35">
        <v>86</v>
      </c>
      <c r="J51" s="35">
        <v>75</v>
      </c>
      <c r="K51" s="35"/>
      <c r="L51" s="35">
        <v>81</v>
      </c>
      <c r="M51" s="35">
        <v>49</v>
      </c>
      <c r="N51" s="35">
        <v>69</v>
      </c>
      <c r="O51" s="35">
        <v>68</v>
      </c>
      <c r="P51" s="35">
        <v>62</v>
      </c>
      <c r="Q51" s="35">
        <v>61</v>
      </c>
      <c r="R51" s="35">
        <v>58</v>
      </c>
      <c r="S51" s="35">
        <v>39</v>
      </c>
      <c r="T51" s="35">
        <v>30</v>
      </c>
      <c r="U51" s="35">
        <v>48</v>
      </c>
      <c r="V51" s="35">
        <v>34</v>
      </c>
      <c r="W51" s="35">
        <v>1237</v>
      </c>
    </row>
    <row r="52" spans="1:23" x14ac:dyDescent="0.4">
      <c r="A52" s="5" t="s">
        <v>366</v>
      </c>
      <c r="B52" s="35">
        <v>122</v>
      </c>
      <c r="C52" s="35">
        <v>101</v>
      </c>
      <c r="D52" s="35">
        <v>113</v>
      </c>
      <c r="E52" s="35">
        <v>142</v>
      </c>
      <c r="F52" s="35">
        <v>133</v>
      </c>
      <c r="G52" s="35">
        <v>156</v>
      </c>
      <c r="H52" s="35">
        <v>82</v>
      </c>
      <c r="I52" s="35">
        <v>120</v>
      </c>
      <c r="J52" s="35">
        <v>93</v>
      </c>
      <c r="K52" s="35"/>
      <c r="L52" s="35">
        <v>120</v>
      </c>
      <c r="M52" s="35">
        <v>104</v>
      </c>
      <c r="N52" s="35">
        <v>110</v>
      </c>
      <c r="O52" s="35">
        <v>98</v>
      </c>
      <c r="P52" s="35">
        <v>86</v>
      </c>
      <c r="Q52" s="35">
        <v>127</v>
      </c>
      <c r="R52" s="35">
        <v>99</v>
      </c>
      <c r="S52" s="35">
        <v>95</v>
      </c>
      <c r="T52" s="35">
        <v>110</v>
      </c>
      <c r="U52" s="35">
        <v>65</v>
      </c>
      <c r="V52" s="35">
        <v>65</v>
      </c>
      <c r="W52" s="35">
        <v>2141</v>
      </c>
    </row>
    <row r="53" spans="1:23" x14ac:dyDescent="0.4">
      <c r="A53" s="5" t="s">
        <v>367</v>
      </c>
      <c r="B53" s="35">
        <v>49</v>
      </c>
      <c r="C53" s="35">
        <v>45</v>
      </c>
      <c r="D53" s="35">
        <v>53</v>
      </c>
      <c r="E53" s="35">
        <v>37</v>
      </c>
      <c r="F53" s="35">
        <v>45</v>
      </c>
      <c r="G53" s="35">
        <v>71</v>
      </c>
      <c r="H53" s="35">
        <v>43</v>
      </c>
      <c r="I53" s="35">
        <v>32</v>
      </c>
      <c r="J53" s="35">
        <v>38</v>
      </c>
      <c r="K53" s="35"/>
      <c r="L53" s="35">
        <v>55</v>
      </c>
      <c r="M53" s="35">
        <v>40</v>
      </c>
      <c r="N53" s="35">
        <v>56</v>
      </c>
      <c r="O53" s="35">
        <v>42</v>
      </c>
      <c r="P53" s="35">
        <v>39</v>
      </c>
      <c r="Q53" s="35">
        <v>47</v>
      </c>
      <c r="R53" s="35">
        <v>37</v>
      </c>
      <c r="S53" s="35">
        <v>45</v>
      </c>
      <c r="T53" s="35">
        <v>34</v>
      </c>
      <c r="U53" s="35">
        <v>41</v>
      </c>
      <c r="V53" s="35">
        <v>36</v>
      </c>
      <c r="W53" s="35">
        <v>885</v>
      </c>
    </row>
    <row r="54" spans="1:23" x14ac:dyDescent="0.4">
      <c r="A54" s="5" t="s">
        <v>368</v>
      </c>
      <c r="B54" s="35">
        <v>59</v>
      </c>
      <c r="C54" s="35">
        <v>76</v>
      </c>
      <c r="D54" s="35">
        <v>52</v>
      </c>
      <c r="E54" s="35">
        <v>58</v>
      </c>
      <c r="F54" s="35">
        <v>59</v>
      </c>
      <c r="G54" s="35">
        <v>85</v>
      </c>
      <c r="H54" s="35">
        <v>73</v>
      </c>
      <c r="I54" s="35">
        <v>49</v>
      </c>
      <c r="J54" s="35">
        <v>59</v>
      </c>
      <c r="K54" s="35"/>
      <c r="L54" s="35">
        <v>42</v>
      </c>
      <c r="M54" s="35">
        <v>39</v>
      </c>
      <c r="N54" s="35">
        <v>66</v>
      </c>
      <c r="O54" s="35">
        <v>67</v>
      </c>
      <c r="P54" s="35">
        <v>39</v>
      </c>
      <c r="Q54" s="35">
        <v>43</v>
      </c>
      <c r="R54" s="35">
        <v>49</v>
      </c>
      <c r="S54" s="35">
        <v>45</v>
      </c>
      <c r="T54" s="35">
        <v>46</v>
      </c>
      <c r="U54" s="35">
        <v>45</v>
      </c>
      <c r="V54" s="35">
        <v>42</v>
      </c>
      <c r="W54" s="35">
        <v>1093</v>
      </c>
    </row>
    <row r="55" spans="1:23" x14ac:dyDescent="0.4">
      <c r="A55" s="5" t="s">
        <v>369</v>
      </c>
      <c r="B55" s="35">
        <v>82</v>
      </c>
      <c r="C55" s="35">
        <v>96</v>
      </c>
      <c r="D55" s="35">
        <v>65</v>
      </c>
      <c r="E55" s="35">
        <v>72</v>
      </c>
      <c r="F55" s="35">
        <v>78</v>
      </c>
      <c r="G55" s="35">
        <v>88</v>
      </c>
      <c r="H55" s="35">
        <v>95</v>
      </c>
      <c r="I55" s="35">
        <v>67</v>
      </c>
      <c r="J55" s="35">
        <v>61</v>
      </c>
      <c r="K55" s="35"/>
      <c r="L55" s="35">
        <v>80</v>
      </c>
      <c r="M55" s="35">
        <v>86</v>
      </c>
      <c r="N55" s="35">
        <v>94</v>
      </c>
      <c r="O55" s="35">
        <v>93</v>
      </c>
      <c r="P55" s="35">
        <v>56</v>
      </c>
      <c r="Q55" s="35">
        <v>84</v>
      </c>
      <c r="R55" s="35">
        <v>77</v>
      </c>
      <c r="S55" s="35">
        <v>76</v>
      </c>
      <c r="T55" s="35">
        <v>76</v>
      </c>
      <c r="U55" s="35">
        <v>78</v>
      </c>
      <c r="V55" s="35">
        <v>66</v>
      </c>
      <c r="W55" s="35">
        <v>1570</v>
      </c>
    </row>
    <row r="56" spans="1:23" x14ac:dyDescent="0.4">
      <c r="A56" s="5" t="s">
        <v>370</v>
      </c>
      <c r="B56" s="35">
        <v>34</v>
      </c>
      <c r="C56" s="35">
        <v>12</v>
      </c>
      <c r="D56" s="35">
        <v>51</v>
      </c>
      <c r="E56" s="35">
        <v>53</v>
      </c>
      <c r="F56" s="35">
        <v>47</v>
      </c>
      <c r="G56" s="35">
        <v>72</v>
      </c>
      <c r="H56" s="35">
        <v>43</v>
      </c>
      <c r="I56" s="35">
        <v>36</v>
      </c>
      <c r="J56" s="35">
        <v>49</v>
      </c>
      <c r="K56" s="35"/>
      <c r="L56" s="35">
        <v>50</v>
      </c>
      <c r="M56" s="35">
        <v>35</v>
      </c>
      <c r="N56" s="35">
        <v>38</v>
      </c>
      <c r="O56" s="35">
        <v>46</v>
      </c>
      <c r="P56" s="35">
        <v>37</v>
      </c>
      <c r="Q56" s="35">
        <v>47</v>
      </c>
      <c r="R56" s="35">
        <v>45</v>
      </c>
      <c r="S56" s="35">
        <v>37</v>
      </c>
      <c r="T56" s="35">
        <v>54</v>
      </c>
      <c r="U56" s="35">
        <v>36</v>
      </c>
      <c r="V56" s="35">
        <v>26</v>
      </c>
      <c r="W56" s="35">
        <v>848</v>
      </c>
    </row>
    <row r="57" spans="1:23" x14ac:dyDescent="0.4">
      <c r="A57" s="5" t="s">
        <v>371</v>
      </c>
      <c r="B57" s="35">
        <v>731</v>
      </c>
      <c r="C57" s="35">
        <v>660</v>
      </c>
      <c r="D57" s="35">
        <v>608</v>
      </c>
      <c r="E57" s="35">
        <v>691</v>
      </c>
      <c r="F57" s="35">
        <v>811</v>
      </c>
      <c r="G57" s="35">
        <v>989</v>
      </c>
      <c r="H57" s="35">
        <v>631</v>
      </c>
      <c r="I57" s="35">
        <v>666</v>
      </c>
      <c r="J57" s="35">
        <v>567</v>
      </c>
      <c r="K57" s="35"/>
      <c r="L57" s="35">
        <v>751</v>
      </c>
      <c r="M57" s="35">
        <v>814</v>
      </c>
      <c r="N57" s="35">
        <v>604</v>
      </c>
      <c r="O57" s="35">
        <v>591</v>
      </c>
      <c r="P57" s="35">
        <v>502</v>
      </c>
      <c r="Q57" s="35">
        <v>558</v>
      </c>
      <c r="R57" s="35">
        <v>516</v>
      </c>
      <c r="S57" s="35">
        <v>457</v>
      </c>
      <c r="T57" s="35">
        <v>431</v>
      </c>
      <c r="U57" s="35">
        <v>461</v>
      </c>
      <c r="V57" s="35">
        <v>497</v>
      </c>
      <c r="W57" s="35">
        <v>12536</v>
      </c>
    </row>
    <row r="58" spans="1:23" x14ac:dyDescent="0.4">
      <c r="A58" s="5" t="s">
        <v>372</v>
      </c>
      <c r="B58" s="35">
        <v>32</v>
      </c>
      <c r="C58" s="35">
        <v>32</v>
      </c>
      <c r="D58" s="35">
        <v>26</v>
      </c>
      <c r="E58" s="35">
        <v>30</v>
      </c>
      <c r="F58" s="35">
        <v>34</v>
      </c>
      <c r="G58" s="35">
        <v>45</v>
      </c>
      <c r="H58" s="35">
        <v>29</v>
      </c>
      <c r="I58" s="35">
        <v>21</v>
      </c>
      <c r="J58" s="35">
        <v>23</v>
      </c>
      <c r="K58" s="35"/>
      <c r="L58" s="35">
        <v>17</v>
      </c>
      <c r="M58" s="35">
        <v>29</v>
      </c>
      <c r="N58" s="35">
        <v>24</v>
      </c>
      <c r="O58" s="35">
        <v>31</v>
      </c>
      <c r="P58" s="35">
        <v>15</v>
      </c>
      <c r="Q58" s="35">
        <v>20</v>
      </c>
      <c r="R58" s="35">
        <v>15</v>
      </c>
      <c r="S58" s="35">
        <v>29</v>
      </c>
      <c r="T58" s="35">
        <v>33</v>
      </c>
      <c r="U58" s="35">
        <v>33</v>
      </c>
      <c r="V58" s="35">
        <v>24</v>
      </c>
      <c r="W58" s="35">
        <v>542</v>
      </c>
    </row>
    <row r="59" spans="1:23" x14ac:dyDescent="0.4">
      <c r="A59" s="5" t="s">
        <v>373</v>
      </c>
      <c r="B59" s="35">
        <v>49</v>
      </c>
      <c r="C59" s="35">
        <v>46</v>
      </c>
      <c r="D59" s="35">
        <v>46</v>
      </c>
      <c r="E59" s="35">
        <v>26</v>
      </c>
      <c r="F59" s="35">
        <v>1</v>
      </c>
      <c r="G59" s="35">
        <v>60</v>
      </c>
      <c r="H59" s="35">
        <v>32</v>
      </c>
      <c r="I59" s="35">
        <v>41</v>
      </c>
      <c r="J59" s="35">
        <v>48</v>
      </c>
      <c r="K59" s="35"/>
      <c r="L59" s="35">
        <v>27</v>
      </c>
      <c r="M59" s="35">
        <v>52</v>
      </c>
      <c r="N59" s="35">
        <v>43</v>
      </c>
      <c r="O59" s="35">
        <v>47</v>
      </c>
      <c r="P59" s="35">
        <v>37</v>
      </c>
      <c r="Q59" s="35">
        <v>38</v>
      </c>
      <c r="R59" s="35">
        <v>38</v>
      </c>
      <c r="S59" s="35">
        <v>36</v>
      </c>
      <c r="T59" s="35">
        <v>31</v>
      </c>
      <c r="U59" s="35">
        <v>30</v>
      </c>
      <c r="V59" s="35">
        <v>29</v>
      </c>
      <c r="W59" s="35">
        <v>757</v>
      </c>
    </row>
    <row r="60" spans="1:23" x14ac:dyDescent="0.4">
      <c r="A60" s="5" t="s">
        <v>374</v>
      </c>
      <c r="B60" s="35">
        <v>75</v>
      </c>
      <c r="C60" s="35">
        <v>101</v>
      </c>
      <c r="D60" s="35">
        <v>101</v>
      </c>
      <c r="E60" s="35">
        <v>97</v>
      </c>
      <c r="F60" s="35">
        <v>105</v>
      </c>
      <c r="G60" s="35">
        <v>131</v>
      </c>
      <c r="H60" s="35">
        <v>93</v>
      </c>
      <c r="I60" s="35">
        <v>72</v>
      </c>
      <c r="J60" s="35">
        <v>73</v>
      </c>
      <c r="K60" s="35"/>
      <c r="L60" s="35">
        <v>64</v>
      </c>
      <c r="M60" s="35">
        <v>91</v>
      </c>
      <c r="N60" s="35">
        <v>105</v>
      </c>
      <c r="O60" s="35">
        <v>82</v>
      </c>
      <c r="P60" s="35">
        <v>107</v>
      </c>
      <c r="Q60" s="35">
        <v>79</v>
      </c>
      <c r="R60" s="35">
        <v>82</v>
      </c>
      <c r="S60" s="35">
        <v>82</v>
      </c>
      <c r="T60" s="35">
        <v>76</v>
      </c>
      <c r="U60" s="35">
        <v>67</v>
      </c>
      <c r="V60" s="35">
        <v>70</v>
      </c>
      <c r="W60" s="35">
        <v>1753</v>
      </c>
    </row>
    <row r="61" spans="1:23" x14ac:dyDescent="0.4">
      <c r="A61" s="5" t="s">
        <v>375</v>
      </c>
      <c r="B61" s="35">
        <v>258</v>
      </c>
      <c r="C61" s="35">
        <v>289</v>
      </c>
      <c r="D61" s="35">
        <v>335</v>
      </c>
      <c r="E61" s="35">
        <v>321</v>
      </c>
      <c r="F61" s="35">
        <v>435</v>
      </c>
      <c r="G61" s="35">
        <v>442</v>
      </c>
      <c r="H61" s="35">
        <v>250</v>
      </c>
      <c r="I61" s="35">
        <v>263</v>
      </c>
      <c r="J61" s="35">
        <v>201</v>
      </c>
      <c r="K61" s="35"/>
      <c r="L61" s="35">
        <v>229</v>
      </c>
      <c r="M61" s="35">
        <v>264</v>
      </c>
      <c r="N61" s="35">
        <v>236</v>
      </c>
      <c r="O61" s="35">
        <v>202</v>
      </c>
      <c r="P61" s="35">
        <v>195</v>
      </c>
      <c r="Q61" s="35">
        <v>282</v>
      </c>
      <c r="R61" s="35">
        <v>220</v>
      </c>
      <c r="S61" s="35">
        <v>238</v>
      </c>
      <c r="T61" s="35">
        <v>240</v>
      </c>
      <c r="U61" s="35">
        <v>219</v>
      </c>
      <c r="V61" s="35">
        <v>183</v>
      </c>
      <c r="W61" s="35">
        <v>5302</v>
      </c>
    </row>
    <row r="62" spans="1:23" x14ac:dyDescent="0.4">
      <c r="A62" s="5" t="s">
        <v>376</v>
      </c>
      <c r="B62" s="35">
        <v>77</v>
      </c>
      <c r="C62" s="35">
        <v>83</v>
      </c>
      <c r="D62" s="35">
        <v>89</v>
      </c>
      <c r="E62" s="35">
        <v>80</v>
      </c>
      <c r="F62" s="35">
        <v>89</v>
      </c>
      <c r="G62" s="35">
        <v>107</v>
      </c>
      <c r="H62" s="35">
        <v>68</v>
      </c>
      <c r="I62" s="35">
        <v>74</v>
      </c>
      <c r="J62" s="35">
        <v>62</v>
      </c>
      <c r="K62" s="35"/>
      <c r="L62" s="35">
        <v>59</v>
      </c>
      <c r="M62" s="35">
        <v>51</v>
      </c>
      <c r="N62" s="35">
        <v>74</v>
      </c>
      <c r="O62" s="35">
        <v>70</v>
      </c>
      <c r="P62" s="35">
        <v>85</v>
      </c>
      <c r="Q62" s="35">
        <v>59</v>
      </c>
      <c r="R62" s="35">
        <v>58</v>
      </c>
      <c r="S62" s="35">
        <v>78</v>
      </c>
      <c r="T62" s="35">
        <v>63</v>
      </c>
      <c r="U62" s="35">
        <v>44</v>
      </c>
      <c r="V62" s="35">
        <v>35</v>
      </c>
      <c r="W62" s="35">
        <v>1405</v>
      </c>
    </row>
    <row r="63" spans="1:23" x14ac:dyDescent="0.4">
      <c r="A63" s="5" t="s">
        <v>377</v>
      </c>
      <c r="B63" s="35">
        <v>168</v>
      </c>
      <c r="C63" s="35">
        <v>197</v>
      </c>
      <c r="D63" s="35">
        <v>176</v>
      </c>
      <c r="E63" s="35">
        <v>204</v>
      </c>
      <c r="F63" s="35">
        <v>203</v>
      </c>
      <c r="G63" s="35">
        <v>266</v>
      </c>
      <c r="H63" s="35">
        <v>183</v>
      </c>
      <c r="I63" s="35">
        <v>182</v>
      </c>
      <c r="J63" s="35">
        <v>154</v>
      </c>
      <c r="K63" s="35"/>
      <c r="L63" s="35">
        <v>151</v>
      </c>
      <c r="M63" s="35">
        <v>154</v>
      </c>
      <c r="N63" s="35">
        <v>94</v>
      </c>
      <c r="O63" s="35">
        <v>99</v>
      </c>
      <c r="P63" s="35">
        <v>110</v>
      </c>
      <c r="Q63" s="35">
        <v>128</v>
      </c>
      <c r="R63" s="35">
        <v>120</v>
      </c>
      <c r="S63" s="35">
        <v>119</v>
      </c>
      <c r="T63" s="35">
        <v>100</v>
      </c>
      <c r="U63" s="35">
        <v>103</v>
      </c>
      <c r="V63" s="35">
        <v>108</v>
      </c>
      <c r="W63" s="35">
        <v>3019</v>
      </c>
    </row>
    <row r="64" spans="1:23" x14ac:dyDescent="0.4">
      <c r="A64" s="5" t="s">
        <v>378</v>
      </c>
      <c r="B64" s="35">
        <v>35</v>
      </c>
      <c r="C64" s="35">
        <v>29</v>
      </c>
      <c r="D64" s="35">
        <v>34</v>
      </c>
      <c r="E64" s="35">
        <v>29</v>
      </c>
      <c r="F64" s="35">
        <v>27</v>
      </c>
      <c r="G64" s="35">
        <v>45</v>
      </c>
      <c r="H64" s="35">
        <v>40</v>
      </c>
      <c r="I64" s="35">
        <v>40</v>
      </c>
      <c r="J64" s="35">
        <v>47</v>
      </c>
      <c r="K64" s="35"/>
      <c r="L64" s="35">
        <v>23</v>
      </c>
      <c r="M64" s="35">
        <v>27</v>
      </c>
      <c r="N64" s="35">
        <v>43</v>
      </c>
      <c r="O64" s="35">
        <v>41</v>
      </c>
      <c r="P64" s="35">
        <v>33</v>
      </c>
      <c r="Q64" s="35">
        <v>33</v>
      </c>
      <c r="R64" s="35">
        <v>30</v>
      </c>
      <c r="S64" s="35">
        <v>35</v>
      </c>
      <c r="T64" s="35">
        <v>19</v>
      </c>
      <c r="U64" s="35">
        <v>35</v>
      </c>
      <c r="V64" s="35">
        <v>42</v>
      </c>
      <c r="W64" s="35">
        <v>687</v>
      </c>
    </row>
    <row r="65" spans="1:23" x14ac:dyDescent="0.4">
      <c r="A65" s="5" t="s">
        <v>379</v>
      </c>
      <c r="B65" s="35">
        <v>32</v>
      </c>
      <c r="C65" s="35">
        <v>20</v>
      </c>
      <c r="D65" s="35">
        <v>16</v>
      </c>
      <c r="E65" s="35">
        <v>20</v>
      </c>
      <c r="F65" s="35">
        <v>26</v>
      </c>
      <c r="G65" s="35">
        <v>24</v>
      </c>
      <c r="H65" s="35">
        <v>28</v>
      </c>
      <c r="I65" s="35">
        <v>19</v>
      </c>
      <c r="J65" s="35">
        <v>27</v>
      </c>
      <c r="K65" s="35"/>
      <c r="L65" s="35">
        <v>27</v>
      </c>
      <c r="M65" s="35">
        <v>24</v>
      </c>
      <c r="N65" s="35">
        <v>24</v>
      </c>
      <c r="O65" s="35">
        <v>36</v>
      </c>
      <c r="P65" s="35">
        <v>25</v>
      </c>
      <c r="Q65" s="35">
        <v>28</v>
      </c>
      <c r="R65" s="35">
        <v>6</v>
      </c>
      <c r="S65" s="35">
        <v>21</v>
      </c>
      <c r="T65" s="35">
        <v>22</v>
      </c>
      <c r="U65" s="35">
        <v>27</v>
      </c>
      <c r="V65" s="35">
        <v>22</v>
      </c>
      <c r="W65" s="35">
        <v>474</v>
      </c>
    </row>
    <row r="66" spans="1:23" x14ac:dyDescent="0.4">
      <c r="A66" s="5" t="s">
        <v>380</v>
      </c>
      <c r="B66" s="35">
        <v>2373</v>
      </c>
      <c r="C66" s="35">
        <v>2255</v>
      </c>
      <c r="D66" s="35">
        <v>2362</v>
      </c>
      <c r="E66" s="35">
        <v>2503</v>
      </c>
      <c r="F66" s="35">
        <v>2619</v>
      </c>
      <c r="G66" s="35">
        <v>3248</v>
      </c>
      <c r="H66" s="35">
        <v>2219</v>
      </c>
      <c r="I66" s="35">
        <v>1974</v>
      </c>
      <c r="J66" s="35">
        <v>2100</v>
      </c>
      <c r="K66" s="35"/>
      <c r="L66" s="35">
        <v>2494</v>
      </c>
      <c r="M66" s="35">
        <v>2133</v>
      </c>
      <c r="N66" s="35">
        <v>1506</v>
      </c>
      <c r="O66" s="35">
        <v>1227</v>
      </c>
      <c r="P66" s="35">
        <v>1055</v>
      </c>
      <c r="Q66" s="35">
        <v>1077</v>
      </c>
      <c r="R66" s="35">
        <v>1132</v>
      </c>
      <c r="S66" s="35">
        <v>1112</v>
      </c>
      <c r="T66" s="35">
        <v>1124</v>
      </c>
      <c r="U66" s="35">
        <v>1070</v>
      </c>
      <c r="V66" s="35">
        <v>1057</v>
      </c>
      <c r="W66" s="35">
        <v>36640</v>
      </c>
    </row>
    <row r="67" spans="1:23" x14ac:dyDescent="0.4">
      <c r="A67" s="5" t="s">
        <v>381</v>
      </c>
      <c r="B67" s="35">
        <v>907</v>
      </c>
      <c r="C67" s="35">
        <v>910</v>
      </c>
      <c r="D67" s="35">
        <v>941</v>
      </c>
      <c r="E67" s="35">
        <v>946</v>
      </c>
      <c r="F67" s="35">
        <v>934</v>
      </c>
      <c r="G67" s="35">
        <v>1171</v>
      </c>
      <c r="H67" s="35">
        <v>954</v>
      </c>
      <c r="I67" s="35">
        <v>969</v>
      </c>
      <c r="J67" s="35">
        <v>770</v>
      </c>
      <c r="K67" s="35"/>
      <c r="L67" s="35">
        <v>1011</v>
      </c>
      <c r="M67" s="35">
        <v>818</v>
      </c>
      <c r="N67" s="35">
        <v>452</v>
      </c>
      <c r="O67" s="35">
        <v>508</v>
      </c>
      <c r="P67" s="35">
        <v>425</v>
      </c>
      <c r="Q67" s="35">
        <v>469</v>
      </c>
      <c r="R67" s="35">
        <v>535</v>
      </c>
      <c r="S67" s="35">
        <v>524</v>
      </c>
      <c r="T67" s="35">
        <v>403</v>
      </c>
      <c r="U67" s="35">
        <v>472</v>
      </c>
      <c r="V67" s="35">
        <v>532</v>
      </c>
      <c r="W67" s="35">
        <v>14651</v>
      </c>
    </row>
    <row r="68" spans="1:23" x14ac:dyDescent="0.4">
      <c r="A68" s="5" t="s">
        <v>382</v>
      </c>
      <c r="B68" s="35">
        <v>12</v>
      </c>
      <c r="C68" s="35">
        <v>25</v>
      </c>
      <c r="D68" s="35">
        <v>19</v>
      </c>
      <c r="E68" s="35">
        <v>26</v>
      </c>
      <c r="F68" s="35">
        <v>28</v>
      </c>
      <c r="G68" s="35">
        <v>30</v>
      </c>
      <c r="H68" s="35">
        <v>22</v>
      </c>
      <c r="I68" s="35">
        <v>24</v>
      </c>
      <c r="J68" s="35">
        <v>17</v>
      </c>
      <c r="K68" s="35"/>
      <c r="L68" s="35">
        <v>22</v>
      </c>
      <c r="M68" s="35">
        <v>16</v>
      </c>
      <c r="N68" s="35">
        <v>23</v>
      </c>
      <c r="O68" s="35">
        <v>36</v>
      </c>
      <c r="P68" s="35">
        <v>17</v>
      </c>
      <c r="Q68" s="35">
        <v>35</v>
      </c>
      <c r="R68" s="35">
        <v>19</v>
      </c>
      <c r="S68" s="35">
        <v>25</v>
      </c>
      <c r="T68" s="35">
        <v>21</v>
      </c>
      <c r="U68" s="35">
        <v>9</v>
      </c>
      <c r="V68" s="35">
        <v>24</v>
      </c>
      <c r="W68" s="35">
        <v>450</v>
      </c>
    </row>
    <row r="69" spans="1:23" x14ac:dyDescent="0.4">
      <c r="A69" s="5" t="s">
        <v>383</v>
      </c>
      <c r="B69" s="35">
        <v>204</v>
      </c>
      <c r="C69" s="35">
        <v>178</v>
      </c>
      <c r="D69" s="35">
        <v>190</v>
      </c>
      <c r="E69" s="35">
        <v>180</v>
      </c>
      <c r="F69" s="35">
        <v>207</v>
      </c>
      <c r="G69" s="35">
        <v>225</v>
      </c>
      <c r="H69" s="35">
        <v>154</v>
      </c>
      <c r="I69" s="35">
        <v>131</v>
      </c>
      <c r="J69" s="35">
        <v>185</v>
      </c>
      <c r="K69" s="35"/>
      <c r="L69" s="35">
        <v>162</v>
      </c>
      <c r="M69" s="35">
        <v>173</v>
      </c>
      <c r="N69" s="35">
        <v>192</v>
      </c>
      <c r="O69" s="35">
        <v>199</v>
      </c>
      <c r="P69" s="35">
        <v>181</v>
      </c>
      <c r="Q69" s="35">
        <v>186</v>
      </c>
      <c r="R69" s="35">
        <v>159</v>
      </c>
      <c r="S69" s="35">
        <v>147</v>
      </c>
      <c r="T69" s="35">
        <v>158</v>
      </c>
      <c r="U69" s="35">
        <v>160</v>
      </c>
      <c r="V69" s="35">
        <v>126</v>
      </c>
      <c r="W69" s="35">
        <v>3497</v>
      </c>
    </row>
    <row r="70" spans="1:23" x14ac:dyDescent="0.4">
      <c r="A70" s="5" t="s">
        <v>384</v>
      </c>
      <c r="B70" s="35">
        <v>55</v>
      </c>
      <c r="C70" s="35">
        <v>54</v>
      </c>
      <c r="D70" s="35">
        <v>78</v>
      </c>
      <c r="E70" s="35">
        <v>81</v>
      </c>
      <c r="F70" s="35">
        <v>131</v>
      </c>
      <c r="G70" s="35">
        <v>156</v>
      </c>
      <c r="H70" s="35">
        <v>83</v>
      </c>
      <c r="I70" s="35">
        <v>92</v>
      </c>
      <c r="J70" s="35">
        <v>74</v>
      </c>
      <c r="K70" s="35"/>
      <c r="L70" s="35">
        <v>68</v>
      </c>
      <c r="M70" s="35">
        <v>85</v>
      </c>
      <c r="N70" s="35">
        <v>85</v>
      </c>
      <c r="O70" s="35">
        <v>99</v>
      </c>
      <c r="P70" s="35">
        <v>88</v>
      </c>
      <c r="Q70" s="35">
        <v>93</v>
      </c>
      <c r="R70" s="35">
        <v>53</v>
      </c>
      <c r="S70" s="35">
        <v>61</v>
      </c>
      <c r="T70" s="35">
        <v>69</v>
      </c>
      <c r="U70" s="35">
        <v>52</v>
      </c>
      <c r="V70" s="35">
        <v>47</v>
      </c>
      <c r="W70" s="35">
        <v>1604</v>
      </c>
    </row>
    <row r="71" spans="1:23" x14ac:dyDescent="0.4">
      <c r="A71" s="5" t="s">
        <v>385</v>
      </c>
      <c r="B71" s="35">
        <v>40</v>
      </c>
      <c r="C71" s="35">
        <v>42</v>
      </c>
      <c r="D71" s="35">
        <v>71</v>
      </c>
      <c r="E71" s="35">
        <v>27</v>
      </c>
      <c r="F71" s="35">
        <v>51</v>
      </c>
      <c r="G71" s="35">
        <v>69</v>
      </c>
      <c r="H71" s="35">
        <v>55</v>
      </c>
      <c r="I71" s="35">
        <v>57</v>
      </c>
      <c r="J71" s="35">
        <v>55</v>
      </c>
      <c r="K71" s="35"/>
      <c r="L71" s="35">
        <v>68</v>
      </c>
      <c r="M71" s="35">
        <v>53</v>
      </c>
      <c r="N71" s="35">
        <v>73</v>
      </c>
      <c r="O71" s="35">
        <v>62</v>
      </c>
      <c r="P71" s="35">
        <v>33</v>
      </c>
      <c r="Q71" s="35">
        <v>60</v>
      </c>
      <c r="R71" s="35">
        <v>63</v>
      </c>
      <c r="S71" s="35">
        <v>40</v>
      </c>
      <c r="T71" s="35">
        <v>58</v>
      </c>
      <c r="U71" s="35">
        <v>40</v>
      </c>
      <c r="V71" s="35">
        <v>33</v>
      </c>
      <c r="W71" s="35">
        <v>1050</v>
      </c>
    </row>
    <row r="72" spans="1:23" x14ac:dyDescent="0.4">
      <c r="A72" s="5" t="s">
        <v>386</v>
      </c>
      <c r="B72" s="35">
        <v>228</v>
      </c>
      <c r="C72" s="35">
        <v>247</v>
      </c>
      <c r="D72" s="35">
        <v>294</v>
      </c>
      <c r="E72" s="35">
        <v>289</v>
      </c>
      <c r="F72" s="35">
        <v>274</v>
      </c>
      <c r="G72" s="35">
        <v>259</v>
      </c>
      <c r="H72" s="35">
        <v>314</v>
      </c>
      <c r="I72" s="35">
        <v>314</v>
      </c>
      <c r="J72" s="35">
        <v>317</v>
      </c>
      <c r="K72" s="35"/>
      <c r="L72" s="35">
        <v>277</v>
      </c>
      <c r="M72" s="35">
        <v>263</v>
      </c>
      <c r="N72" s="35">
        <v>264</v>
      </c>
      <c r="O72" s="35">
        <v>278</v>
      </c>
      <c r="P72" s="35">
        <v>242</v>
      </c>
      <c r="Q72" s="35">
        <v>266</v>
      </c>
      <c r="R72" s="35">
        <v>278</v>
      </c>
      <c r="S72" s="35">
        <v>289</v>
      </c>
      <c r="T72" s="35">
        <v>283</v>
      </c>
      <c r="U72" s="35">
        <v>247</v>
      </c>
      <c r="V72" s="35">
        <v>201</v>
      </c>
      <c r="W72" s="35">
        <v>5424</v>
      </c>
    </row>
    <row r="73" spans="1:23" x14ac:dyDescent="0.4">
      <c r="A73" s="5" t="s">
        <v>387</v>
      </c>
      <c r="B73" s="35">
        <v>45</v>
      </c>
      <c r="C73" s="35">
        <v>40</v>
      </c>
      <c r="D73" s="35">
        <v>54</v>
      </c>
      <c r="E73" s="35">
        <v>43</v>
      </c>
      <c r="F73" s="35">
        <v>39</v>
      </c>
      <c r="G73" s="35">
        <v>92</v>
      </c>
      <c r="H73" s="35">
        <v>42</v>
      </c>
      <c r="I73" s="35">
        <v>41</v>
      </c>
      <c r="J73" s="35">
        <v>54</v>
      </c>
      <c r="K73" s="35"/>
      <c r="L73" s="35">
        <v>24</v>
      </c>
      <c r="M73" s="35">
        <v>35</v>
      </c>
      <c r="N73" s="35">
        <v>37</v>
      </c>
      <c r="O73" s="35">
        <v>49</v>
      </c>
      <c r="P73" s="35">
        <v>38</v>
      </c>
      <c r="Q73" s="35">
        <v>47</v>
      </c>
      <c r="R73" s="35">
        <v>28</v>
      </c>
      <c r="S73" s="35">
        <v>27</v>
      </c>
      <c r="T73" s="35">
        <v>42</v>
      </c>
      <c r="U73" s="35">
        <v>35</v>
      </c>
      <c r="V73" s="35">
        <v>25</v>
      </c>
      <c r="W73" s="35">
        <v>837</v>
      </c>
    </row>
    <row r="74" spans="1:23" x14ac:dyDescent="0.4">
      <c r="A74" s="5" t="s">
        <v>388</v>
      </c>
      <c r="B74" s="35">
        <v>62</v>
      </c>
      <c r="C74" s="35">
        <v>58</v>
      </c>
      <c r="D74" s="35">
        <v>59</v>
      </c>
      <c r="E74" s="35">
        <v>76</v>
      </c>
      <c r="F74" s="35">
        <v>50</v>
      </c>
      <c r="G74" s="35">
        <v>85</v>
      </c>
      <c r="H74" s="35">
        <v>51</v>
      </c>
      <c r="I74" s="35">
        <v>47</v>
      </c>
      <c r="J74" s="35">
        <v>63</v>
      </c>
      <c r="K74" s="35"/>
      <c r="L74" s="35">
        <v>52</v>
      </c>
      <c r="M74" s="35">
        <v>62</v>
      </c>
      <c r="N74" s="35">
        <v>56</v>
      </c>
      <c r="O74" s="35">
        <v>46</v>
      </c>
      <c r="P74" s="35">
        <v>55</v>
      </c>
      <c r="Q74" s="35">
        <v>60</v>
      </c>
      <c r="R74" s="35">
        <v>38</v>
      </c>
      <c r="S74" s="35">
        <v>30</v>
      </c>
      <c r="T74" s="35">
        <v>38</v>
      </c>
      <c r="U74" s="35">
        <v>29</v>
      </c>
      <c r="V74" s="35">
        <v>30</v>
      </c>
      <c r="W74" s="35">
        <v>1047</v>
      </c>
    </row>
    <row r="75" spans="1:23" x14ac:dyDescent="0.4">
      <c r="A75" s="5" t="s">
        <v>389</v>
      </c>
      <c r="B75" s="35">
        <v>1131</v>
      </c>
      <c r="C75" s="35">
        <v>1023</v>
      </c>
      <c r="D75" s="35">
        <v>1157</v>
      </c>
      <c r="E75" s="35">
        <v>1201</v>
      </c>
      <c r="F75" s="35">
        <v>1266</v>
      </c>
      <c r="G75" s="35">
        <v>1769</v>
      </c>
      <c r="H75" s="35">
        <v>1060</v>
      </c>
      <c r="I75" s="35">
        <v>965</v>
      </c>
      <c r="J75" s="35">
        <v>1010</v>
      </c>
      <c r="K75" s="35"/>
      <c r="L75" s="35">
        <v>969</v>
      </c>
      <c r="M75" s="35">
        <v>947</v>
      </c>
      <c r="N75" s="35">
        <v>918</v>
      </c>
      <c r="O75" s="35">
        <v>893</v>
      </c>
      <c r="P75" s="35">
        <v>846</v>
      </c>
      <c r="Q75" s="35">
        <v>849</v>
      </c>
      <c r="R75" s="35">
        <v>793</v>
      </c>
      <c r="S75" s="35">
        <v>814</v>
      </c>
      <c r="T75" s="35">
        <v>766</v>
      </c>
      <c r="U75" s="35">
        <v>793</v>
      </c>
      <c r="V75" s="35">
        <v>761</v>
      </c>
      <c r="W75" s="35">
        <v>19931</v>
      </c>
    </row>
    <row r="76" spans="1:23" x14ac:dyDescent="0.4">
      <c r="A76" s="5" t="s">
        <v>390</v>
      </c>
      <c r="B76" s="35">
        <v>191</v>
      </c>
      <c r="C76" s="35">
        <v>172</v>
      </c>
      <c r="D76" s="35">
        <v>192</v>
      </c>
      <c r="E76" s="35">
        <v>161</v>
      </c>
      <c r="F76" s="35">
        <v>197</v>
      </c>
      <c r="G76" s="35">
        <v>281</v>
      </c>
      <c r="H76" s="35">
        <v>175</v>
      </c>
      <c r="I76" s="35">
        <v>184</v>
      </c>
      <c r="J76" s="35">
        <v>188</v>
      </c>
      <c r="K76" s="35"/>
      <c r="L76" s="35">
        <v>162</v>
      </c>
      <c r="M76" s="35">
        <v>154</v>
      </c>
      <c r="N76" s="35">
        <v>109</v>
      </c>
      <c r="O76" s="35">
        <v>129</v>
      </c>
      <c r="P76" s="35">
        <v>133</v>
      </c>
      <c r="Q76" s="35">
        <v>125</v>
      </c>
      <c r="R76" s="35">
        <v>133</v>
      </c>
      <c r="S76" s="35">
        <v>103</v>
      </c>
      <c r="T76" s="35">
        <v>125</v>
      </c>
      <c r="U76" s="35">
        <v>108</v>
      </c>
      <c r="V76" s="35">
        <v>90</v>
      </c>
      <c r="W76" s="35">
        <v>3112</v>
      </c>
    </row>
    <row r="77" spans="1:23" x14ac:dyDescent="0.4">
      <c r="A77" s="5" t="s">
        <v>391</v>
      </c>
      <c r="B77" s="35">
        <v>65</v>
      </c>
      <c r="C77" s="35">
        <v>66</v>
      </c>
      <c r="D77" s="35">
        <v>62</v>
      </c>
      <c r="E77" s="35">
        <v>77</v>
      </c>
      <c r="F77" s="35">
        <v>95</v>
      </c>
      <c r="G77" s="35">
        <v>137</v>
      </c>
      <c r="H77" s="35">
        <v>70</v>
      </c>
      <c r="I77" s="35">
        <v>66</v>
      </c>
      <c r="J77" s="35">
        <v>67</v>
      </c>
      <c r="K77" s="35"/>
      <c r="L77" s="35">
        <v>39</v>
      </c>
      <c r="M77" s="35">
        <v>73</v>
      </c>
      <c r="N77" s="35">
        <v>35</v>
      </c>
      <c r="O77" s="35">
        <v>68</v>
      </c>
      <c r="P77" s="35">
        <v>48</v>
      </c>
      <c r="Q77" s="35">
        <v>62</v>
      </c>
      <c r="R77" s="35">
        <v>50</v>
      </c>
      <c r="S77" s="35">
        <v>44</v>
      </c>
      <c r="T77" s="35">
        <v>66</v>
      </c>
      <c r="U77" s="35">
        <v>31</v>
      </c>
      <c r="V77" s="35">
        <v>51</v>
      </c>
      <c r="W77" s="35">
        <v>1272</v>
      </c>
    </row>
    <row r="78" spans="1:23" x14ac:dyDescent="0.4">
      <c r="A78" s="5" t="s">
        <v>392</v>
      </c>
      <c r="B78" s="35">
        <v>251</v>
      </c>
      <c r="C78" s="35">
        <v>281</v>
      </c>
      <c r="D78" s="35">
        <v>367</v>
      </c>
      <c r="E78" s="35">
        <v>308</v>
      </c>
      <c r="F78" s="35">
        <v>373</v>
      </c>
      <c r="G78" s="35">
        <v>425</v>
      </c>
      <c r="H78" s="35">
        <v>228</v>
      </c>
      <c r="I78" s="35">
        <v>199</v>
      </c>
      <c r="J78" s="35">
        <v>185</v>
      </c>
      <c r="K78" s="35"/>
      <c r="L78" s="35">
        <v>198</v>
      </c>
      <c r="M78" s="35">
        <v>211</v>
      </c>
      <c r="N78" s="35">
        <v>180</v>
      </c>
      <c r="O78" s="35">
        <v>238</v>
      </c>
      <c r="P78" s="35">
        <v>224</v>
      </c>
      <c r="Q78" s="35">
        <v>201</v>
      </c>
      <c r="R78" s="35">
        <v>205</v>
      </c>
      <c r="S78" s="35">
        <v>169</v>
      </c>
      <c r="T78" s="35">
        <v>0</v>
      </c>
      <c r="U78" s="35">
        <v>0</v>
      </c>
      <c r="V78" s="35">
        <v>0</v>
      </c>
      <c r="W78" s="35">
        <v>4243</v>
      </c>
    </row>
    <row r="79" spans="1:23" x14ac:dyDescent="0.4">
      <c r="A79" s="5" t="s">
        <v>393</v>
      </c>
      <c r="B79" s="35">
        <v>4527</v>
      </c>
      <c r="C79" s="35">
        <v>4521</v>
      </c>
      <c r="D79" s="35">
        <v>4801</v>
      </c>
      <c r="E79" s="35">
        <v>4823</v>
      </c>
      <c r="F79" s="35">
        <v>5350</v>
      </c>
      <c r="G79" s="35">
        <v>6109</v>
      </c>
      <c r="H79" s="35">
        <v>4301</v>
      </c>
      <c r="I79" s="35">
        <v>4027</v>
      </c>
      <c r="J79" s="35">
        <v>3823</v>
      </c>
      <c r="K79" s="35"/>
      <c r="L79" s="35">
        <v>3624</v>
      </c>
      <c r="M79" s="35">
        <v>2765</v>
      </c>
      <c r="N79" s="35">
        <v>3260</v>
      </c>
      <c r="O79" s="35">
        <v>3325</v>
      </c>
      <c r="P79" s="35">
        <v>3301</v>
      </c>
      <c r="Q79" s="35">
        <v>3235</v>
      </c>
      <c r="R79" s="35">
        <v>3170</v>
      </c>
      <c r="S79" s="35">
        <v>3270</v>
      </c>
      <c r="T79" s="35">
        <v>3152</v>
      </c>
      <c r="U79" s="35">
        <v>3117</v>
      </c>
      <c r="V79" s="35">
        <v>2996</v>
      </c>
      <c r="W79" s="35">
        <v>77497</v>
      </c>
    </row>
    <row r="80" spans="1:23" x14ac:dyDescent="0.4">
      <c r="A80" s="5" t="s">
        <v>394</v>
      </c>
      <c r="B80" s="35">
        <v>116</v>
      </c>
      <c r="C80" s="35">
        <v>94</v>
      </c>
      <c r="D80" s="35">
        <v>98</v>
      </c>
      <c r="E80" s="35">
        <v>111</v>
      </c>
      <c r="F80" s="35">
        <v>123</v>
      </c>
      <c r="G80" s="35">
        <v>152</v>
      </c>
      <c r="H80" s="35">
        <v>100</v>
      </c>
      <c r="I80" s="35">
        <v>76</v>
      </c>
      <c r="J80" s="35">
        <v>65</v>
      </c>
      <c r="K80" s="35"/>
      <c r="L80" s="35">
        <v>84</v>
      </c>
      <c r="M80" s="35">
        <v>55</v>
      </c>
      <c r="N80" s="35">
        <v>84</v>
      </c>
      <c r="O80" s="35">
        <v>90</v>
      </c>
      <c r="P80" s="35">
        <v>77</v>
      </c>
      <c r="Q80" s="35">
        <v>74</v>
      </c>
      <c r="R80" s="35">
        <v>67</v>
      </c>
      <c r="S80" s="35">
        <v>61</v>
      </c>
      <c r="T80" s="35">
        <v>49</v>
      </c>
      <c r="U80" s="35">
        <v>56</v>
      </c>
      <c r="V80" s="35">
        <v>65</v>
      </c>
      <c r="W80" s="35">
        <v>1697</v>
      </c>
    </row>
    <row r="81" spans="1:23" x14ac:dyDescent="0.4">
      <c r="A81" s="5" t="s">
        <v>395</v>
      </c>
      <c r="B81" s="35">
        <v>917</v>
      </c>
      <c r="C81" s="35">
        <v>991</v>
      </c>
      <c r="D81" s="35">
        <v>938</v>
      </c>
      <c r="E81" s="35">
        <v>913</v>
      </c>
      <c r="F81" s="35">
        <v>959</v>
      </c>
      <c r="G81" s="35">
        <v>1262</v>
      </c>
      <c r="H81" s="35">
        <v>905</v>
      </c>
      <c r="I81" s="35">
        <v>702</v>
      </c>
      <c r="J81" s="35">
        <v>925</v>
      </c>
      <c r="K81" s="35"/>
      <c r="L81" s="35">
        <v>926</v>
      </c>
      <c r="M81" s="35">
        <v>864</v>
      </c>
      <c r="N81" s="35">
        <v>632</v>
      </c>
      <c r="O81" s="35">
        <v>921</v>
      </c>
      <c r="P81" s="35">
        <v>773</v>
      </c>
      <c r="Q81" s="35">
        <v>830</v>
      </c>
      <c r="R81" s="35">
        <v>757</v>
      </c>
      <c r="S81" s="35">
        <v>798</v>
      </c>
      <c r="T81" s="35">
        <v>790</v>
      </c>
      <c r="U81" s="35">
        <v>666</v>
      </c>
      <c r="V81" s="35">
        <v>721</v>
      </c>
      <c r="W81" s="35">
        <v>17190</v>
      </c>
    </row>
    <row r="82" spans="1:23" x14ac:dyDescent="0.4">
      <c r="A82" s="5" t="s">
        <v>396</v>
      </c>
      <c r="B82" s="35">
        <v>153</v>
      </c>
      <c r="C82" s="35">
        <v>131</v>
      </c>
      <c r="D82" s="35">
        <v>139</v>
      </c>
      <c r="E82" s="35">
        <v>150</v>
      </c>
      <c r="F82" s="35">
        <v>150</v>
      </c>
      <c r="G82" s="35">
        <v>254</v>
      </c>
      <c r="H82" s="35">
        <v>143</v>
      </c>
      <c r="I82" s="35">
        <v>152</v>
      </c>
      <c r="J82" s="35">
        <v>101</v>
      </c>
      <c r="K82" s="35"/>
      <c r="L82" s="35">
        <v>108</v>
      </c>
      <c r="M82" s="35">
        <v>111</v>
      </c>
      <c r="N82" s="35">
        <v>84</v>
      </c>
      <c r="O82" s="35">
        <v>129</v>
      </c>
      <c r="P82" s="35">
        <v>116</v>
      </c>
      <c r="Q82" s="35">
        <v>89</v>
      </c>
      <c r="R82" s="35">
        <v>114</v>
      </c>
      <c r="S82" s="35">
        <v>90</v>
      </c>
      <c r="T82" s="35">
        <v>99</v>
      </c>
      <c r="U82" s="35">
        <v>85</v>
      </c>
      <c r="V82" s="35">
        <v>98</v>
      </c>
      <c r="W82" s="35">
        <v>2496</v>
      </c>
    </row>
    <row r="83" spans="1:23" x14ac:dyDescent="0.4">
      <c r="A83" s="5" t="s">
        <v>397</v>
      </c>
      <c r="B83" s="35">
        <v>383</v>
      </c>
      <c r="C83" s="35">
        <v>411</v>
      </c>
      <c r="D83" s="35">
        <v>437</v>
      </c>
      <c r="E83" s="35">
        <v>448</v>
      </c>
      <c r="F83" s="35">
        <v>660</v>
      </c>
      <c r="G83" s="35">
        <v>947</v>
      </c>
      <c r="H83" s="35">
        <v>511</v>
      </c>
      <c r="I83" s="35">
        <v>475</v>
      </c>
      <c r="J83" s="35">
        <v>474</v>
      </c>
      <c r="K83" s="35"/>
      <c r="L83" s="35">
        <v>399</v>
      </c>
      <c r="M83" s="35">
        <v>409</v>
      </c>
      <c r="N83" s="35">
        <v>394</v>
      </c>
      <c r="O83" s="35">
        <v>491</v>
      </c>
      <c r="P83" s="35">
        <v>445</v>
      </c>
      <c r="Q83" s="35">
        <v>506</v>
      </c>
      <c r="R83" s="35">
        <v>443</v>
      </c>
      <c r="S83" s="35">
        <v>396</v>
      </c>
      <c r="T83" s="35">
        <v>360</v>
      </c>
      <c r="U83" s="35">
        <v>220</v>
      </c>
      <c r="V83" s="35">
        <v>308</v>
      </c>
      <c r="W83" s="35">
        <v>9117</v>
      </c>
    </row>
    <row r="84" spans="1:23" x14ac:dyDescent="0.4">
      <c r="A84" s="5" t="s">
        <v>398</v>
      </c>
      <c r="B84" s="35">
        <v>322</v>
      </c>
      <c r="C84" s="35">
        <v>291</v>
      </c>
      <c r="D84" s="35">
        <v>300</v>
      </c>
      <c r="E84" s="35">
        <v>311</v>
      </c>
      <c r="F84" s="35">
        <v>355</v>
      </c>
      <c r="G84" s="35">
        <v>415</v>
      </c>
      <c r="H84" s="35">
        <v>283</v>
      </c>
      <c r="I84" s="35">
        <v>301</v>
      </c>
      <c r="J84" s="35">
        <v>185</v>
      </c>
      <c r="K84" s="35"/>
      <c r="L84" s="35">
        <v>234</v>
      </c>
      <c r="M84" s="35">
        <v>241</v>
      </c>
      <c r="N84" s="35">
        <v>213</v>
      </c>
      <c r="O84" s="35">
        <v>286</v>
      </c>
      <c r="P84" s="35">
        <v>259</v>
      </c>
      <c r="Q84" s="35">
        <v>304</v>
      </c>
      <c r="R84" s="35">
        <v>250</v>
      </c>
      <c r="S84" s="35">
        <v>257</v>
      </c>
      <c r="T84" s="35">
        <v>202</v>
      </c>
      <c r="U84" s="35">
        <v>262</v>
      </c>
      <c r="V84" s="35">
        <v>237</v>
      </c>
      <c r="W84" s="35">
        <v>5508</v>
      </c>
    </row>
    <row r="85" spans="1:23" x14ac:dyDescent="0.4">
      <c r="A85" s="5" t="s">
        <v>399</v>
      </c>
      <c r="B85" s="35">
        <v>32</v>
      </c>
      <c r="C85" s="35">
        <v>39</v>
      </c>
      <c r="D85" s="35">
        <v>39</v>
      </c>
      <c r="E85" s="35">
        <v>49</v>
      </c>
      <c r="F85" s="35">
        <v>66</v>
      </c>
      <c r="G85" s="35">
        <v>70</v>
      </c>
      <c r="H85" s="35">
        <v>37</v>
      </c>
      <c r="I85" s="35">
        <v>27</v>
      </c>
      <c r="J85" s="35">
        <v>0</v>
      </c>
      <c r="K85" s="35"/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  <c r="U85" s="35">
        <v>0</v>
      </c>
      <c r="V85" s="35">
        <v>0</v>
      </c>
      <c r="W85" s="35">
        <v>359</v>
      </c>
    </row>
    <row r="86" spans="1:23" x14ac:dyDescent="0.4">
      <c r="A86" s="5" t="s">
        <v>400</v>
      </c>
      <c r="B86" s="35">
        <v>76</v>
      </c>
      <c r="C86" s="35">
        <v>142</v>
      </c>
      <c r="D86" s="35">
        <v>109</v>
      </c>
      <c r="E86" s="35">
        <v>118</v>
      </c>
      <c r="F86" s="35">
        <v>115</v>
      </c>
      <c r="G86" s="35">
        <v>176</v>
      </c>
      <c r="H86" s="35">
        <v>104</v>
      </c>
      <c r="I86" s="35">
        <v>103</v>
      </c>
      <c r="J86" s="35">
        <v>79</v>
      </c>
      <c r="K86" s="35"/>
      <c r="L86" s="35">
        <v>54</v>
      </c>
      <c r="M86" s="35">
        <v>88</v>
      </c>
      <c r="N86" s="35">
        <v>61</v>
      </c>
      <c r="O86" s="35">
        <v>77</v>
      </c>
      <c r="P86" s="35">
        <v>82</v>
      </c>
      <c r="Q86" s="35">
        <v>95</v>
      </c>
      <c r="R86" s="35">
        <v>97</v>
      </c>
      <c r="S86" s="35">
        <v>79</v>
      </c>
      <c r="T86" s="35">
        <v>59</v>
      </c>
      <c r="U86" s="35">
        <v>73</v>
      </c>
      <c r="V86" s="35">
        <v>84</v>
      </c>
      <c r="W86" s="35">
        <v>1871</v>
      </c>
    </row>
    <row r="87" spans="1:23" x14ac:dyDescent="0.4">
      <c r="A87" s="5" t="s">
        <v>401</v>
      </c>
      <c r="B87" s="35">
        <v>88</v>
      </c>
      <c r="C87" s="35">
        <v>89</v>
      </c>
      <c r="D87" s="35">
        <v>75</v>
      </c>
      <c r="E87" s="35">
        <v>62</v>
      </c>
      <c r="F87" s="35">
        <v>100</v>
      </c>
      <c r="G87" s="35">
        <v>129</v>
      </c>
      <c r="H87" s="35">
        <v>73</v>
      </c>
      <c r="I87" s="35">
        <v>51</v>
      </c>
      <c r="J87" s="35">
        <v>78</v>
      </c>
      <c r="K87" s="35"/>
      <c r="L87" s="35">
        <v>55</v>
      </c>
      <c r="M87" s="35">
        <v>67</v>
      </c>
      <c r="N87" s="35">
        <v>37</v>
      </c>
      <c r="O87" s="35">
        <v>68</v>
      </c>
      <c r="P87" s="35">
        <v>63</v>
      </c>
      <c r="Q87" s="35">
        <v>61</v>
      </c>
      <c r="R87" s="35">
        <v>61</v>
      </c>
      <c r="S87" s="35">
        <v>70</v>
      </c>
      <c r="T87" s="35">
        <v>97</v>
      </c>
      <c r="U87" s="35">
        <v>55</v>
      </c>
      <c r="V87" s="35">
        <v>82</v>
      </c>
      <c r="W87" s="35">
        <v>1461</v>
      </c>
    </row>
    <row r="88" spans="1:23" x14ac:dyDescent="0.4">
      <c r="A88" s="5" t="s">
        <v>402</v>
      </c>
      <c r="B88" s="35">
        <v>618</v>
      </c>
      <c r="C88" s="35">
        <v>568</v>
      </c>
      <c r="D88" s="35">
        <v>554</v>
      </c>
      <c r="E88" s="35">
        <v>598</v>
      </c>
      <c r="F88" s="35">
        <v>713</v>
      </c>
      <c r="G88" s="35">
        <v>937</v>
      </c>
      <c r="H88" s="35">
        <v>543</v>
      </c>
      <c r="I88" s="35">
        <v>487</v>
      </c>
      <c r="J88" s="35">
        <v>429</v>
      </c>
      <c r="K88" s="35"/>
      <c r="L88" s="35">
        <v>389</v>
      </c>
      <c r="M88" s="35">
        <v>362</v>
      </c>
      <c r="N88" s="35">
        <v>269</v>
      </c>
      <c r="O88" s="35">
        <v>356</v>
      </c>
      <c r="P88" s="35">
        <v>349</v>
      </c>
      <c r="Q88" s="35">
        <v>379</v>
      </c>
      <c r="R88" s="35">
        <v>358</v>
      </c>
      <c r="S88" s="35">
        <v>357</v>
      </c>
      <c r="T88" s="35">
        <v>450</v>
      </c>
      <c r="U88" s="35">
        <v>460</v>
      </c>
      <c r="V88" s="35">
        <v>434</v>
      </c>
      <c r="W88" s="35">
        <v>9610</v>
      </c>
    </row>
    <row r="89" spans="1:23" x14ac:dyDescent="0.4">
      <c r="A89" s="5" t="s">
        <v>403</v>
      </c>
      <c r="B89" s="35">
        <v>139</v>
      </c>
      <c r="C89" s="35">
        <v>146</v>
      </c>
      <c r="D89" s="35">
        <v>128</v>
      </c>
      <c r="E89" s="35">
        <v>147</v>
      </c>
      <c r="F89" s="35">
        <v>124</v>
      </c>
      <c r="G89" s="35">
        <v>191</v>
      </c>
      <c r="H89" s="35">
        <v>141</v>
      </c>
      <c r="I89" s="35">
        <v>113</v>
      </c>
      <c r="J89" s="35">
        <v>115</v>
      </c>
      <c r="K89" s="35"/>
      <c r="L89" s="35">
        <v>135</v>
      </c>
      <c r="M89" s="35">
        <v>120</v>
      </c>
      <c r="N89" s="35">
        <v>119</v>
      </c>
      <c r="O89" s="35">
        <v>150</v>
      </c>
      <c r="P89" s="35">
        <v>117</v>
      </c>
      <c r="Q89" s="35">
        <v>115</v>
      </c>
      <c r="R89" s="35">
        <v>120</v>
      </c>
      <c r="S89" s="35">
        <v>100</v>
      </c>
      <c r="T89" s="35">
        <v>90</v>
      </c>
      <c r="U89" s="35">
        <v>97</v>
      </c>
      <c r="V89" s="35">
        <v>73</v>
      </c>
      <c r="W89" s="35">
        <v>2480</v>
      </c>
    </row>
    <row r="90" spans="1:23" x14ac:dyDescent="0.4">
      <c r="A90" s="5" t="s">
        <v>404</v>
      </c>
      <c r="B90" s="35">
        <v>422</v>
      </c>
      <c r="C90" s="35">
        <v>490</v>
      </c>
      <c r="D90" s="35">
        <v>558</v>
      </c>
      <c r="E90" s="35">
        <v>545</v>
      </c>
      <c r="F90" s="35">
        <v>641</v>
      </c>
      <c r="G90" s="35">
        <v>728</v>
      </c>
      <c r="H90" s="35">
        <v>447</v>
      </c>
      <c r="I90" s="35">
        <v>383</v>
      </c>
      <c r="J90" s="35">
        <v>426</v>
      </c>
      <c r="K90" s="35"/>
      <c r="L90" s="35">
        <v>379</v>
      </c>
      <c r="M90" s="35">
        <v>349</v>
      </c>
      <c r="N90" s="35">
        <v>285</v>
      </c>
      <c r="O90" s="35">
        <v>365</v>
      </c>
      <c r="P90" s="35">
        <v>340</v>
      </c>
      <c r="Q90" s="35">
        <v>380</v>
      </c>
      <c r="R90" s="35">
        <v>367</v>
      </c>
      <c r="S90" s="35">
        <v>352</v>
      </c>
      <c r="T90" s="35">
        <v>310</v>
      </c>
      <c r="U90" s="35">
        <v>280</v>
      </c>
      <c r="V90" s="35">
        <v>294</v>
      </c>
      <c r="W90" s="35">
        <v>8341</v>
      </c>
    </row>
    <row r="91" spans="1:23" x14ac:dyDescent="0.4">
      <c r="A91" s="5" t="s">
        <v>405</v>
      </c>
      <c r="B91" s="35">
        <v>31</v>
      </c>
      <c r="C91" s="35">
        <v>44</v>
      </c>
      <c r="D91" s="35">
        <v>47</v>
      </c>
      <c r="E91" s="35">
        <v>37</v>
      </c>
      <c r="F91" s="35">
        <v>49</v>
      </c>
      <c r="G91" s="35">
        <v>72</v>
      </c>
      <c r="H91" s="35">
        <v>53</v>
      </c>
      <c r="I91" s="35">
        <v>32</v>
      </c>
      <c r="J91" s="35">
        <v>40</v>
      </c>
      <c r="K91" s="35"/>
      <c r="L91" s="35">
        <v>9</v>
      </c>
      <c r="M91" s="35">
        <v>30</v>
      </c>
      <c r="N91" s="35">
        <v>44</v>
      </c>
      <c r="O91" s="35">
        <v>44</v>
      </c>
      <c r="P91" s="35">
        <v>49</v>
      </c>
      <c r="Q91" s="35">
        <v>41</v>
      </c>
      <c r="R91" s="35">
        <v>28</v>
      </c>
      <c r="S91" s="35">
        <v>39</v>
      </c>
      <c r="T91" s="35">
        <v>40</v>
      </c>
      <c r="U91" s="35">
        <v>38</v>
      </c>
      <c r="V91" s="35">
        <v>36</v>
      </c>
      <c r="W91" s="35">
        <v>803</v>
      </c>
    </row>
    <row r="92" spans="1:23" x14ac:dyDescent="0.4">
      <c r="A92" s="5" t="s">
        <v>406</v>
      </c>
      <c r="B92" s="35">
        <v>58</v>
      </c>
      <c r="C92" s="35">
        <v>56</v>
      </c>
      <c r="D92" s="35">
        <v>56</v>
      </c>
      <c r="E92" s="35">
        <v>65</v>
      </c>
      <c r="F92" s="35">
        <v>68</v>
      </c>
      <c r="G92" s="35">
        <v>89</v>
      </c>
      <c r="H92" s="35">
        <v>53</v>
      </c>
      <c r="I92" s="35">
        <v>41</v>
      </c>
      <c r="J92" s="35">
        <v>42</v>
      </c>
      <c r="K92" s="35"/>
      <c r="L92" s="35">
        <v>38</v>
      </c>
      <c r="M92" s="35">
        <v>48</v>
      </c>
      <c r="N92" s="35">
        <v>40</v>
      </c>
      <c r="O92" s="35">
        <v>68</v>
      </c>
      <c r="P92" s="35">
        <v>59</v>
      </c>
      <c r="Q92" s="35">
        <v>60</v>
      </c>
      <c r="R92" s="35">
        <v>66</v>
      </c>
      <c r="S92" s="35">
        <v>85</v>
      </c>
      <c r="T92" s="35">
        <v>47</v>
      </c>
      <c r="U92" s="35">
        <v>45</v>
      </c>
      <c r="V92" s="35">
        <v>70</v>
      </c>
      <c r="W92" s="35">
        <v>1154</v>
      </c>
    </row>
    <row r="93" spans="1:23" x14ac:dyDescent="0.4">
      <c r="A93" s="5" t="s">
        <v>407</v>
      </c>
      <c r="B93" s="35">
        <v>536</v>
      </c>
      <c r="C93" s="35">
        <v>546</v>
      </c>
      <c r="D93" s="35">
        <v>591</v>
      </c>
      <c r="E93" s="35">
        <v>600</v>
      </c>
      <c r="F93" s="35">
        <v>677</v>
      </c>
      <c r="G93" s="35">
        <v>938</v>
      </c>
      <c r="H93" s="35">
        <v>462</v>
      </c>
      <c r="I93" s="35">
        <v>488</v>
      </c>
      <c r="J93" s="35">
        <v>511</v>
      </c>
      <c r="K93" s="35"/>
      <c r="L93" s="35">
        <v>566</v>
      </c>
      <c r="M93" s="35">
        <v>466</v>
      </c>
      <c r="N93" s="35">
        <v>439</v>
      </c>
      <c r="O93" s="35">
        <v>509</v>
      </c>
      <c r="P93" s="35">
        <v>447</v>
      </c>
      <c r="Q93" s="35">
        <v>496</v>
      </c>
      <c r="R93" s="35">
        <v>405</v>
      </c>
      <c r="S93" s="35">
        <v>520</v>
      </c>
      <c r="T93" s="35">
        <v>488</v>
      </c>
      <c r="U93" s="35">
        <v>449</v>
      </c>
      <c r="V93" s="35">
        <v>419</v>
      </c>
      <c r="W93" s="35">
        <v>10553</v>
      </c>
    </row>
    <row r="94" spans="1:23" x14ac:dyDescent="0.4">
      <c r="A94" s="5" t="s">
        <v>408</v>
      </c>
      <c r="B94" s="35">
        <v>119</v>
      </c>
      <c r="C94" s="35">
        <v>126</v>
      </c>
      <c r="D94" s="35">
        <v>115</v>
      </c>
      <c r="E94" s="35">
        <v>124</v>
      </c>
      <c r="F94" s="35">
        <v>134</v>
      </c>
      <c r="G94" s="35">
        <v>177</v>
      </c>
      <c r="H94" s="35">
        <v>128</v>
      </c>
      <c r="I94" s="35">
        <v>144</v>
      </c>
      <c r="J94" s="35">
        <v>117</v>
      </c>
      <c r="K94" s="35"/>
      <c r="L94" s="35">
        <v>121</v>
      </c>
      <c r="M94" s="35">
        <v>115</v>
      </c>
      <c r="N94" s="35">
        <v>110</v>
      </c>
      <c r="O94" s="35">
        <v>162</v>
      </c>
      <c r="P94" s="35">
        <v>112</v>
      </c>
      <c r="Q94" s="35">
        <v>104</v>
      </c>
      <c r="R94" s="35">
        <v>91</v>
      </c>
      <c r="S94" s="35">
        <v>107</v>
      </c>
      <c r="T94" s="35">
        <v>100</v>
      </c>
      <c r="U94" s="35">
        <v>122</v>
      </c>
      <c r="V94" s="35">
        <v>129</v>
      </c>
      <c r="W94" s="35">
        <v>2457</v>
      </c>
    </row>
    <row r="95" spans="1:23" x14ac:dyDescent="0.4">
      <c r="A95" s="5" t="s">
        <v>409</v>
      </c>
      <c r="B95" s="35">
        <v>47</v>
      </c>
      <c r="C95" s="35">
        <v>42</v>
      </c>
      <c r="D95" s="35">
        <v>44</v>
      </c>
      <c r="E95" s="35">
        <v>48</v>
      </c>
      <c r="F95" s="35">
        <v>37</v>
      </c>
      <c r="G95" s="35">
        <v>38</v>
      </c>
      <c r="H95" s="35">
        <v>42</v>
      </c>
      <c r="I95" s="35">
        <v>34</v>
      </c>
      <c r="J95" s="35">
        <v>0</v>
      </c>
      <c r="K95" s="35"/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  <c r="U95" s="35">
        <v>0</v>
      </c>
      <c r="V95" s="35">
        <v>0</v>
      </c>
      <c r="W95" s="35">
        <v>332</v>
      </c>
    </row>
    <row r="96" spans="1:23" x14ac:dyDescent="0.4">
      <c r="A96" s="5" t="s">
        <v>410</v>
      </c>
      <c r="B96" s="35">
        <v>265</v>
      </c>
      <c r="C96" s="35">
        <v>253</v>
      </c>
      <c r="D96" s="35">
        <v>306</v>
      </c>
      <c r="E96" s="35">
        <v>285</v>
      </c>
      <c r="F96" s="35">
        <v>268</v>
      </c>
      <c r="G96" s="35">
        <v>309</v>
      </c>
      <c r="H96" s="35">
        <v>260</v>
      </c>
      <c r="I96" s="35">
        <v>233</v>
      </c>
      <c r="J96" s="35">
        <v>244</v>
      </c>
      <c r="K96" s="35"/>
      <c r="L96" s="35">
        <v>193</v>
      </c>
      <c r="M96" s="35">
        <v>191</v>
      </c>
      <c r="N96" s="35">
        <v>198</v>
      </c>
      <c r="O96" s="35">
        <v>227</v>
      </c>
      <c r="P96" s="35">
        <v>209</v>
      </c>
      <c r="Q96" s="35">
        <v>215</v>
      </c>
      <c r="R96" s="35">
        <v>207</v>
      </c>
      <c r="S96" s="35">
        <v>191</v>
      </c>
      <c r="T96" s="35">
        <v>205</v>
      </c>
      <c r="U96" s="35">
        <v>206</v>
      </c>
      <c r="V96" s="35">
        <v>160</v>
      </c>
      <c r="W96" s="35">
        <v>4625</v>
      </c>
    </row>
    <row r="97" spans="1:23" x14ac:dyDescent="0.4">
      <c r="A97" s="5" t="s">
        <v>411</v>
      </c>
      <c r="B97" s="35">
        <v>46</v>
      </c>
      <c r="C97" s="35">
        <v>32</v>
      </c>
      <c r="D97" s="35">
        <v>24</v>
      </c>
      <c r="E97" s="35">
        <v>48</v>
      </c>
      <c r="F97" s="35">
        <v>47</v>
      </c>
      <c r="G97" s="35">
        <v>29</v>
      </c>
      <c r="H97" s="35">
        <v>39</v>
      </c>
      <c r="I97" s="35">
        <v>44</v>
      </c>
      <c r="J97" s="35">
        <v>31</v>
      </c>
      <c r="K97" s="35"/>
      <c r="L97" s="35">
        <v>28</v>
      </c>
      <c r="M97" s="35">
        <v>36</v>
      </c>
      <c r="N97" s="35">
        <v>45</v>
      </c>
      <c r="O97" s="35">
        <v>43</v>
      </c>
      <c r="P97" s="35">
        <v>24</v>
      </c>
      <c r="Q97" s="35">
        <v>33</v>
      </c>
      <c r="R97" s="35">
        <v>25</v>
      </c>
      <c r="S97" s="35">
        <v>23</v>
      </c>
      <c r="T97" s="35">
        <v>41</v>
      </c>
      <c r="U97" s="35">
        <v>41</v>
      </c>
      <c r="V97" s="35">
        <v>38</v>
      </c>
      <c r="W97" s="35">
        <v>717</v>
      </c>
    </row>
    <row r="98" spans="1:23" x14ac:dyDescent="0.4">
      <c r="A98" s="5" t="s">
        <v>412</v>
      </c>
      <c r="B98" s="35">
        <v>2180</v>
      </c>
      <c r="C98" s="35">
        <v>2177</v>
      </c>
      <c r="D98" s="35">
        <v>2385</v>
      </c>
      <c r="E98" s="35">
        <v>2535</v>
      </c>
      <c r="F98" s="35">
        <v>2756</v>
      </c>
      <c r="G98" s="35">
        <v>3127</v>
      </c>
      <c r="H98" s="35">
        <v>2047</v>
      </c>
      <c r="I98" s="35">
        <v>2169</v>
      </c>
      <c r="J98" s="35">
        <v>1930</v>
      </c>
      <c r="K98" s="35"/>
      <c r="L98" s="35">
        <v>1755</v>
      </c>
      <c r="M98" s="35">
        <v>1629</v>
      </c>
      <c r="N98" s="35">
        <v>1639</v>
      </c>
      <c r="O98" s="35">
        <v>1693</v>
      </c>
      <c r="P98" s="35">
        <v>1469</v>
      </c>
      <c r="Q98" s="35">
        <v>1386</v>
      </c>
      <c r="R98" s="35">
        <v>1405</v>
      </c>
      <c r="S98" s="35">
        <v>1295</v>
      </c>
      <c r="T98" s="35">
        <v>1316</v>
      </c>
      <c r="U98" s="35">
        <v>1190</v>
      </c>
      <c r="V98" s="35">
        <v>1281</v>
      </c>
      <c r="W98" s="35">
        <v>37364</v>
      </c>
    </row>
    <row r="99" spans="1:23" x14ac:dyDescent="0.4">
      <c r="A99" s="5" t="s">
        <v>413</v>
      </c>
      <c r="B99" s="35">
        <v>156</v>
      </c>
      <c r="C99" s="35">
        <v>132</v>
      </c>
      <c r="D99" s="35">
        <v>153</v>
      </c>
      <c r="E99" s="35">
        <v>163</v>
      </c>
      <c r="F99" s="35">
        <v>170</v>
      </c>
      <c r="G99" s="35">
        <v>203</v>
      </c>
      <c r="H99" s="35">
        <v>171</v>
      </c>
      <c r="I99" s="35">
        <v>144</v>
      </c>
      <c r="J99" s="35">
        <v>179</v>
      </c>
      <c r="K99" s="35"/>
      <c r="L99" s="35">
        <v>153</v>
      </c>
      <c r="M99" s="35">
        <v>127</v>
      </c>
      <c r="N99" s="35">
        <v>145</v>
      </c>
      <c r="O99" s="35">
        <v>138</v>
      </c>
      <c r="P99" s="35">
        <v>98</v>
      </c>
      <c r="Q99" s="35">
        <v>133</v>
      </c>
      <c r="R99" s="35">
        <v>122</v>
      </c>
      <c r="S99" s="35">
        <v>142</v>
      </c>
      <c r="T99" s="35">
        <v>129</v>
      </c>
      <c r="U99" s="35">
        <v>132</v>
      </c>
      <c r="V99" s="35">
        <v>135</v>
      </c>
      <c r="W99" s="35">
        <v>2925</v>
      </c>
    </row>
    <row r="100" spans="1:23" x14ac:dyDescent="0.4">
      <c r="A100" s="5" t="s">
        <v>414</v>
      </c>
      <c r="B100" s="35">
        <v>78</v>
      </c>
      <c r="C100" s="35">
        <v>86</v>
      </c>
      <c r="D100" s="35">
        <v>84</v>
      </c>
      <c r="E100" s="35">
        <v>83</v>
      </c>
      <c r="F100" s="35">
        <v>74</v>
      </c>
      <c r="G100" s="35">
        <v>89</v>
      </c>
      <c r="H100" s="35">
        <v>92</v>
      </c>
      <c r="I100" s="35">
        <v>88</v>
      </c>
      <c r="J100" s="35">
        <v>72</v>
      </c>
      <c r="K100" s="35"/>
      <c r="L100" s="35">
        <v>48</v>
      </c>
      <c r="M100" s="35">
        <v>74</v>
      </c>
      <c r="N100" s="35">
        <v>78</v>
      </c>
      <c r="O100" s="35">
        <v>82</v>
      </c>
      <c r="P100" s="35">
        <v>55</v>
      </c>
      <c r="Q100" s="35">
        <v>54</v>
      </c>
      <c r="R100" s="35">
        <v>71</v>
      </c>
      <c r="S100" s="35">
        <v>47</v>
      </c>
      <c r="T100" s="35">
        <v>48</v>
      </c>
      <c r="U100" s="35">
        <v>43</v>
      </c>
      <c r="V100" s="35">
        <v>58</v>
      </c>
      <c r="W100" s="35">
        <v>1404</v>
      </c>
    </row>
    <row r="101" spans="1:23" x14ac:dyDescent="0.4">
      <c r="A101" s="5" t="s">
        <v>415</v>
      </c>
      <c r="B101" s="35">
        <v>189</v>
      </c>
      <c r="C101" s="35">
        <v>186</v>
      </c>
      <c r="D101" s="35">
        <v>196</v>
      </c>
      <c r="E101" s="35">
        <v>224</v>
      </c>
      <c r="F101" s="35">
        <v>188</v>
      </c>
      <c r="G101" s="35">
        <v>212</v>
      </c>
      <c r="H101" s="35">
        <v>227</v>
      </c>
      <c r="I101" s="35">
        <v>203</v>
      </c>
      <c r="J101" s="35">
        <v>252</v>
      </c>
      <c r="K101" s="35"/>
      <c r="L101" s="35">
        <v>252</v>
      </c>
      <c r="M101" s="35">
        <v>204</v>
      </c>
      <c r="N101" s="35">
        <v>231</v>
      </c>
      <c r="O101" s="35">
        <v>229</v>
      </c>
      <c r="P101" s="35">
        <v>189</v>
      </c>
      <c r="Q101" s="35">
        <v>219</v>
      </c>
      <c r="R101" s="35">
        <v>172</v>
      </c>
      <c r="S101" s="35">
        <v>195</v>
      </c>
      <c r="T101" s="35">
        <v>169</v>
      </c>
      <c r="U101" s="35">
        <v>167</v>
      </c>
      <c r="V101" s="35">
        <v>193</v>
      </c>
      <c r="W101" s="35">
        <v>4097</v>
      </c>
    </row>
    <row r="102" spans="1:23" x14ac:dyDescent="0.4">
      <c r="A102" s="5" t="s">
        <v>416</v>
      </c>
      <c r="B102" s="35">
        <v>98</v>
      </c>
      <c r="C102" s="35">
        <v>65</v>
      </c>
      <c r="D102" s="35">
        <v>96</v>
      </c>
      <c r="E102" s="35">
        <v>99</v>
      </c>
      <c r="F102" s="35">
        <v>104</v>
      </c>
      <c r="G102" s="35">
        <v>117</v>
      </c>
      <c r="H102" s="35">
        <v>82</v>
      </c>
      <c r="I102" s="35">
        <v>85</v>
      </c>
      <c r="J102" s="35">
        <v>60</v>
      </c>
      <c r="K102" s="35"/>
      <c r="L102" s="35">
        <v>69</v>
      </c>
      <c r="M102" s="35">
        <v>60</v>
      </c>
      <c r="N102" s="35">
        <v>66</v>
      </c>
      <c r="O102" s="35">
        <v>68</v>
      </c>
      <c r="P102" s="35">
        <v>43</v>
      </c>
      <c r="Q102" s="35">
        <v>62</v>
      </c>
      <c r="R102" s="35">
        <v>56</v>
      </c>
      <c r="S102" s="35">
        <v>46</v>
      </c>
      <c r="T102" s="35">
        <v>67</v>
      </c>
      <c r="U102" s="35">
        <v>60</v>
      </c>
      <c r="V102" s="35">
        <v>54</v>
      </c>
      <c r="W102" s="35">
        <v>1457</v>
      </c>
    </row>
    <row r="103" spans="1:23" x14ac:dyDescent="0.4">
      <c r="A103" s="5" t="s">
        <v>417</v>
      </c>
      <c r="B103" s="35">
        <v>181</v>
      </c>
      <c r="C103" s="35">
        <v>184</v>
      </c>
      <c r="D103" s="35">
        <v>171</v>
      </c>
      <c r="E103" s="35">
        <v>160</v>
      </c>
      <c r="F103" s="35">
        <v>204</v>
      </c>
      <c r="G103" s="35">
        <v>219</v>
      </c>
      <c r="H103" s="35">
        <v>181</v>
      </c>
      <c r="I103" s="35">
        <v>182</v>
      </c>
      <c r="J103" s="35">
        <v>171</v>
      </c>
      <c r="K103" s="35"/>
      <c r="L103" s="35">
        <v>163</v>
      </c>
      <c r="M103" s="35">
        <v>187</v>
      </c>
      <c r="N103" s="35">
        <v>164</v>
      </c>
      <c r="O103" s="35">
        <v>163</v>
      </c>
      <c r="P103" s="35">
        <v>172</v>
      </c>
      <c r="Q103" s="35">
        <v>130</v>
      </c>
      <c r="R103" s="35">
        <v>114</v>
      </c>
      <c r="S103" s="35">
        <v>146</v>
      </c>
      <c r="T103" s="35">
        <v>137</v>
      </c>
      <c r="U103" s="35">
        <v>133</v>
      </c>
      <c r="V103" s="35">
        <v>149</v>
      </c>
      <c r="W103" s="35">
        <v>3311</v>
      </c>
    </row>
    <row r="104" spans="1:23" x14ac:dyDescent="0.4">
      <c r="A104" s="5" t="s">
        <v>418</v>
      </c>
      <c r="B104" s="35">
        <v>120</v>
      </c>
      <c r="C104" s="35">
        <v>103</v>
      </c>
      <c r="D104" s="35">
        <v>98</v>
      </c>
      <c r="E104" s="35">
        <v>113</v>
      </c>
      <c r="F104" s="35">
        <v>100</v>
      </c>
      <c r="G104" s="35">
        <v>106</v>
      </c>
      <c r="H104" s="35">
        <v>131</v>
      </c>
      <c r="I104" s="35">
        <v>105</v>
      </c>
      <c r="J104" s="35">
        <v>90</v>
      </c>
      <c r="K104" s="35"/>
      <c r="L104" s="35">
        <v>83</v>
      </c>
      <c r="M104" s="35">
        <v>93</v>
      </c>
      <c r="N104" s="35">
        <v>80</v>
      </c>
      <c r="O104" s="35">
        <v>86</v>
      </c>
      <c r="P104" s="35">
        <v>76</v>
      </c>
      <c r="Q104" s="35">
        <v>50</v>
      </c>
      <c r="R104" s="35">
        <v>85</v>
      </c>
      <c r="S104" s="35">
        <v>60</v>
      </c>
      <c r="T104" s="35">
        <v>75</v>
      </c>
      <c r="U104" s="35">
        <v>96</v>
      </c>
      <c r="V104" s="35">
        <v>88</v>
      </c>
      <c r="W104" s="35">
        <v>1838</v>
      </c>
    </row>
    <row r="105" spans="1:23" x14ac:dyDescent="0.4">
      <c r="A105" s="5" t="s">
        <v>419</v>
      </c>
      <c r="B105" s="35">
        <v>26</v>
      </c>
      <c r="C105" s="35">
        <v>39</v>
      </c>
      <c r="D105" s="35">
        <v>53</v>
      </c>
      <c r="E105" s="35">
        <v>48</v>
      </c>
      <c r="F105" s="35">
        <v>46</v>
      </c>
      <c r="G105" s="35">
        <v>43</v>
      </c>
      <c r="H105" s="35">
        <v>37</v>
      </c>
      <c r="I105" s="35">
        <v>49</v>
      </c>
      <c r="J105" s="35">
        <v>36</v>
      </c>
      <c r="K105" s="35"/>
      <c r="L105" s="35">
        <v>27</v>
      </c>
      <c r="M105" s="35">
        <v>31</v>
      </c>
      <c r="N105" s="35">
        <v>37</v>
      </c>
      <c r="O105" s="35">
        <v>32</v>
      </c>
      <c r="P105" s="35">
        <v>35</v>
      </c>
      <c r="Q105" s="35">
        <v>32</v>
      </c>
      <c r="R105" s="35">
        <v>27</v>
      </c>
      <c r="S105" s="35">
        <v>22</v>
      </c>
      <c r="T105" s="35">
        <v>21</v>
      </c>
      <c r="U105" s="35">
        <v>48</v>
      </c>
      <c r="V105" s="35">
        <v>36</v>
      </c>
      <c r="W105" s="35">
        <v>725</v>
      </c>
    </row>
    <row r="106" spans="1:23" x14ac:dyDescent="0.4">
      <c r="A106" s="5" t="s">
        <v>420</v>
      </c>
      <c r="B106" s="35">
        <v>3860</v>
      </c>
      <c r="C106" s="35">
        <v>3898</v>
      </c>
      <c r="D106" s="35">
        <v>4113</v>
      </c>
      <c r="E106" s="35">
        <v>4070</v>
      </c>
      <c r="F106" s="35">
        <v>4191</v>
      </c>
      <c r="G106" s="35">
        <v>5313</v>
      </c>
      <c r="H106" s="35">
        <v>3714</v>
      </c>
      <c r="I106" s="35">
        <v>3694</v>
      </c>
      <c r="J106" s="35">
        <v>3469</v>
      </c>
      <c r="K106" s="35"/>
      <c r="L106" s="35">
        <v>3542</v>
      </c>
      <c r="M106" s="35">
        <v>3241</v>
      </c>
      <c r="N106" s="35">
        <v>3411</v>
      </c>
      <c r="O106" s="35">
        <v>3616</v>
      </c>
      <c r="P106" s="35">
        <v>3106</v>
      </c>
      <c r="Q106" s="35">
        <v>3015</v>
      </c>
      <c r="R106" s="35">
        <v>2987</v>
      </c>
      <c r="S106" s="35">
        <v>2649</v>
      </c>
      <c r="T106" s="35">
        <v>2591</v>
      </c>
      <c r="U106" s="35">
        <v>2298</v>
      </c>
      <c r="V106" s="35">
        <v>2491</v>
      </c>
      <c r="W106" s="35">
        <v>69269</v>
      </c>
    </row>
    <row r="107" spans="1:23" x14ac:dyDescent="0.4">
      <c r="A107" s="5" t="s">
        <v>421</v>
      </c>
      <c r="B107" s="35">
        <v>185</v>
      </c>
      <c r="C107" s="35">
        <v>239</v>
      </c>
      <c r="D107" s="35">
        <v>216</v>
      </c>
      <c r="E107" s="35">
        <v>213</v>
      </c>
      <c r="F107" s="35">
        <v>223</v>
      </c>
      <c r="G107" s="35">
        <v>190</v>
      </c>
      <c r="H107" s="35">
        <v>181</v>
      </c>
      <c r="I107" s="35">
        <v>201</v>
      </c>
      <c r="J107" s="35">
        <v>187</v>
      </c>
      <c r="K107" s="35"/>
      <c r="L107" s="35">
        <v>190</v>
      </c>
      <c r="M107" s="35">
        <v>184</v>
      </c>
      <c r="N107" s="35">
        <v>184</v>
      </c>
      <c r="O107" s="35">
        <v>191</v>
      </c>
      <c r="P107" s="35">
        <v>162</v>
      </c>
      <c r="Q107" s="35">
        <v>169</v>
      </c>
      <c r="R107" s="35">
        <v>171</v>
      </c>
      <c r="S107" s="35">
        <v>212</v>
      </c>
      <c r="T107" s="35">
        <v>189</v>
      </c>
      <c r="U107" s="35">
        <v>171</v>
      </c>
      <c r="V107" s="35">
        <v>187</v>
      </c>
      <c r="W107" s="35">
        <v>3845</v>
      </c>
    </row>
    <row r="108" spans="1:23" x14ac:dyDescent="0.4">
      <c r="A108" s="5" t="s">
        <v>422</v>
      </c>
      <c r="B108" s="35">
        <v>65</v>
      </c>
      <c r="C108" s="35">
        <v>66</v>
      </c>
      <c r="D108" s="35">
        <v>77</v>
      </c>
      <c r="E108" s="35">
        <v>134</v>
      </c>
      <c r="F108" s="35">
        <v>127</v>
      </c>
      <c r="G108" s="35">
        <v>161</v>
      </c>
      <c r="H108" s="35">
        <v>61</v>
      </c>
      <c r="I108" s="35">
        <v>53</v>
      </c>
      <c r="J108" s="35">
        <v>56</v>
      </c>
      <c r="K108" s="35"/>
      <c r="L108" s="35">
        <v>44</v>
      </c>
      <c r="M108" s="35">
        <v>54</v>
      </c>
      <c r="N108" s="35">
        <v>68</v>
      </c>
      <c r="O108" s="35">
        <v>53</v>
      </c>
      <c r="P108" s="35">
        <v>79</v>
      </c>
      <c r="Q108" s="35">
        <v>67</v>
      </c>
      <c r="R108" s="35">
        <v>69</v>
      </c>
      <c r="S108" s="35">
        <v>64</v>
      </c>
      <c r="T108" s="35">
        <v>62</v>
      </c>
      <c r="U108" s="35">
        <v>66</v>
      </c>
      <c r="V108" s="35">
        <v>70</v>
      </c>
      <c r="W108" s="35">
        <v>1496</v>
      </c>
    </row>
    <row r="109" spans="1:23" x14ac:dyDescent="0.4">
      <c r="A109" s="5" t="s">
        <v>423</v>
      </c>
      <c r="B109" s="35">
        <v>45</v>
      </c>
      <c r="C109" s="35">
        <v>64</v>
      </c>
      <c r="D109" s="35">
        <v>75</v>
      </c>
      <c r="E109" s="35">
        <v>62</v>
      </c>
      <c r="F109" s="35">
        <v>81</v>
      </c>
      <c r="G109" s="35">
        <v>109</v>
      </c>
      <c r="H109" s="35">
        <v>79</v>
      </c>
      <c r="I109" s="35">
        <v>58</v>
      </c>
      <c r="J109" s="35">
        <v>70</v>
      </c>
      <c r="K109" s="35"/>
      <c r="L109" s="35">
        <v>62</v>
      </c>
      <c r="M109" s="35">
        <v>82</v>
      </c>
      <c r="N109" s="35">
        <v>71</v>
      </c>
      <c r="O109" s="35">
        <v>86</v>
      </c>
      <c r="P109" s="35">
        <v>60</v>
      </c>
      <c r="Q109" s="35">
        <v>59</v>
      </c>
      <c r="R109" s="35">
        <v>48</v>
      </c>
      <c r="S109" s="35">
        <v>45</v>
      </c>
      <c r="T109" s="35">
        <v>63</v>
      </c>
      <c r="U109" s="35">
        <v>49</v>
      </c>
      <c r="V109" s="35">
        <v>24</v>
      </c>
      <c r="W109" s="35">
        <v>1292</v>
      </c>
    </row>
    <row r="110" spans="1:23" x14ac:dyDescent="0.4">
      <c r="A110" s="5" t="s">
        <v>424</v>
      </c>
      <c r="B110" s="35">
        <v>2523</v>
      </c>
      <c r="C110" s="35">
        <v>2361</v>
      </c>
      <c r="D110" s="35">
        <v>2209</v>
      </c>
      <c r="E110" s="35">
        <v>2303</v>
      </c>
      <c r="F110" s="35">
        <v>2264</v>
      </c>
      <c r="G110" s="35">
        <v>2945</v>
      </c>
      <c r="H110" s="35">
        <v>2211</v>
      </c>
      <c r="I110" s="35">
        <v>2041</v>
      </c>
      <c r="J110" s="35">
        <v>2034</v>
      </c>
      <c r="K110" s="35"/>
      <c r="L110" s="35">
        <v>2068</v>
      </c>
      <c r="M110" s="35">
        <v>1861</v>
      </c>
      <c r="N110" s="35">
        <v>1918</v>
      </c>
      <c r="O110" s="35">
        <v>2021</v>
      </c>
      <c r="P110" s="35">
        <v>1810</v>
      </c>
      <c r="Q110" s="35">
        <v>1882</v>
      </c>
      <c r="R110" s="35">
        <v>1808</v>
      </c>
      <c r="S110" s="35">
        <v>1747</v>
      </c>
      <c r="T110" s="35">
        <v>1929</v>
      </c>
      <c r="U110" s="35">
        <v>1598</v>
      </c>
      <c r="V110" s="35">
        <v>1691</v>
      </c>
      <c r="W110" s="35">
        <v>41224</v>
      </c>
    </row>
    <row r="111" spans="1:23" x14ac:dyDescent="0.4">
      <c r="A111" s="5" t="s">
        <v>425</v>
      </c>
      <c r="B111" s="35">
        <v>41</v>
      </c>
      <c r="C111" s="35">
        <v>47</v>
      </c>
      <c r="D111" s="35">
        <v>36</v>
      </c>
      <c r="E111" s="35">
        <v>36</v>
      </c>
      <c r="F111" s="35">
        <v>30</v>
      </c>
      <c r="G111" s="35">
        <v>37</v>
      </c>
      <c r="H111" s="35">
        <v>33</v>
      </c>
      <c r="I111" s="35">
        <v>30</v>
      </c>
      <c r="J111" s="35">
        <v>28</v>
      </c>
      <c r="K111" s="35"/>
      <c r="L111" s="35">
        <v>28</v>
      </c>
      <c r="M111" s="35">
        <v>32</v>
      </c>
      <c r="N111" s="35">
        <v>37</v>
      </c>
      <c r="O111" s="35">
        <v>25</v>
      </c>
      <c r="P111" s="35">
        <v>33</v>
      </c>
      <c r="Q111" s="35">
        <v>27</v>
      </c>
      <c r="R111" s="35">
        <v>31</v>
      </c>
      <c r="S111" s="35">
        <v>28</v>
      </c>
      <c r="T111" s="35">
        <v>18</v>
      </c>
      <c r="U111" s="35">
        <v>0</v>
      </c>
      <c r="V111" s="35">
        <v>0</v>
      </c>
      <c r="W111" s="35">
        <v>577</v>
      </c>
    </row>
    <row r="112" spans="1:23" x14ac:dyDescent="0.4">
      <c r="A112" s="5" t="s">
        <v>426</v>
      </c>
      <c r="B112" s="35">
        <v>345</v>
      </c>
      <c r="C112" s="35">
        <v>420</v>
      </c>
      <c r="D112" s="35">
        <v>424</v>
      </c>
      <c r="E112" s="35">
        <v>496</v>
      </c>
      <c r="F112" s="35">
        <v>508</v>
      </c>
      <c r="G112" s="35">
        <v>606</v>
      </c>
      <c r="H112" s="35">
        <v>364</v>
      </c>
      <c r="I112" s="35">
        <v>275</v>
      </c>
      <c r="J112" s="35">
        <v>355</v>
      </c>
      <c r="K112" s="35"/>
      <c r="L112" s="35">
        <v>384</v>
      </c>
      <c r="M112" s="35">
        <v>347</v>
      </c>
      <c r="N112" s="35">
        <v>382</v>
      </c>
      <c r="O112" s="35">
        <v>353</v>
      </c>
      <c r="P112" s="35">
        <v>259</v>
      </c>
      <c r="Q112" s="35">
        <v>319</v>
      </c>
      <c r="R112" s="35">
        <v>319</v>
      </c>
      <c r="S112" s="35">
        <v>340</v>
      </c>
      <c r="T112" s="35">
        <v>368</v>
      </c>
      <c r="U112" s="35">
        <v>417</v>
      </c>
      <c r="V112" s="35">
        <v>354</v>
      </c>
      <c r="W112" s="35">
        <v>7635</v>
      </c>
    </row>
    <row r="113" spans="1:23" x14ac:dyDescent="0.4">
      <c r="A113" s="5" t="s">
        <v>427</v>
      </c>
      <c r="B113" s="35">
        <v>36</v>
      </c>
      <c r="C113" s="35">
        <v>26</v>
      </c>
      <c r="D113" s="35">
        <v>64</v>
      </c>
      <c r="E113" s="35">
        <v>51</v>
      </c>
      <c r="F113" s="35">
        <v>45</v>
      </c>
      <c r="G113" s="35">
        <v>83</v>
      </c>
      <c r="H113" s="35">
        <v>44</v>
      </c>
      <c r="I113" s="35">
        <v>47</v>
      </c>
      <c r="J113" s="35">
        <v>35</v>
      </c>
      <c r="K113" s="35"/>
      <c r="L113" s="35">
        <v>54</v>
      </c>
      <c r="M113" s="35">
        <v>50</v>
      </c>
      <c r="N113" s="35">
        <v>56</v>
      </c>
      <c r="O113" s="35">
        <v>50</v>
      </c>
      <c r="P113" s="35">
        <v>77</v>
      </c>
      <c r="Q113" s="35">
        <v>92</v>
      </c>
      <c r="R113" s="35">
        <v>34</v>
      </c>
      <c r="S113" s="35">
        <v>24</v>
      </c>
      <c r="T113" s="35">
        <v>14</v>
      </c>
      <c r="U113" s="35">
        <v>107</v>
      </c>
      <c r="V113" s="35">
        <v>24</v>
      </c>
      <c r="W113" s="35">
        <v>1013</v>
      </c>
    </row>
    <row r="114" spans="1:23" x14ac:dyDescent="0.4">
      <c r="A114" s="5" t="s">
        <v>428</v>
      </c>
      <c r="B114" s="35">
        <v>69</v>
      </c>
      <c r="C114" s="35">
        <v>81</v>
      </c>
      <c r="D114" s="35">
        <v>88</v>
      </c>
      <c r="E114" s="35">
        <v>101</v>
      </c>
      <c r="F114" s="35">
        <v>91</v>
      </c>
      <c r="G114" s="35">
        <v>196</v>
      </c>
      <c r="H114" s="35">
        <v>88</v>
      </c>
      <c r="I114" s="35">
        <v>67</v>
      </c>
      <c r="J114" s="35">
        <v>56</v>
      </c>
      <c r="K114" s="35"/>
      <c r="L114" s="35">
        <v>56</v>
      </c>
      <c r="M114" s="35">
        <v>64</v>
      </c>
      <c r="N114" s="35">
        <v>47</v>
      </c>
      <c r="O114" s="35">
        <v>57</v>
      </c>
      <c r="P114" s="35">
        <v>45</v>
      </c>
      <c r="Q114" s="35">
        <v>54</v>
      </c>
      <c r="R114" s="35">
        <v>40</v>
      </c>
      <c r="S114" s="35">
        <v>45</v>
      </c>
      <c r="T114" s="35">
        <v>64</v>
      </c>
      <c r="U114" s="35">
        <v>56</v>
      </c>
      <c r="V114" s="35">
        <v>53</v>
      </c>
      <c r="W114" s="35">
        <v>1418</v>
      </c>
    </row>
    <row r="115" spans="1:23" x14ac:dyDescent="0.4">
      <c r="A115" s="5" t="s">
        <v>429</v>
      </c>
      <c r="B115" s="35">
        <v>156</v>
      </c>
      <c r="C115" s="35">
        <v>144</v>
      </c>
      <c r="D115" s="35">
        <v>156</v>
      </c>
      <c r="E115" s="35">
        <v>181</v>
      </c>
      <c r="F115" s="35">
        <v>214</v>
      </c>
      <c r="G115" s="35">
        <v>327</v>
      </c>
      <c r="H115" s="35">
        <v>139</v>
      </c>
      <c r="I115" s="35">
        <v>124</v>
      </c>
      <c r="J115" s="35">
        <v>119</v>
      </c>
      <c r="K115" s="35"/>
      <c r="L115" s="35">
        <v>159</v>
      </c>
      <c r="M115" s="35">
        <v>108</v>
      </c>
      <c r="N115" s="35">
        <v>105</v>
      </c>
      <c r="O115" s="35">
        <v>0</v>
      </c>
      <c r="P115" s="35">
        <v>121</v>
      </c>
      <c r="Q115" s="35">
        <v>99</v>
      </c>
      <c r="R115" s="35">
        <v>101</v>
      </c>
      <c r="S115" s="35">
        <v>108</v>
      </c>
      <c r="T115" s="35">
        <v>117</v>
      </c>
      <c r="U115" s="35">
        <v>142</v>
      </c>
      <c r="V115" s="35">
        <v>149</v>
      </c>
      <c r="W115" s="35">
        <v>2769</v>
      </c>
    </row>
    <row r="116" spans="1:23" x14ac:dyDescent="0.4">
      <c r="A116" s="5" t="s">
        <v>430</v>
      </c>
      <c r="B116" s="35">
        <v>9</v>
      </c>
      <c r="C116" s="35">
        <v>18</v>
      </c>
      <c r="D116" s="35">
        <v>21</v>
      </c>
      <c r="E116" s="35">
        <v>15</v>
      </c>
      <c r="F116" s="35">
        <v>8</v>
      </c>
      <c r="G116" s="35">
        <v>20</v>
      </c>
      <c r="H116" s="35">
        <v>16</v>
      </c>
      <c r="I116" s="35">
        <v>11</v>
      </c>
      <c r="J116" s="35">
        <v>10</v>
      </c>
      <c r="K116" s="35"/>
      <c r="L116" s="35">
        <v>30</v>
      </c>
      <c r="M116" s="35">
        <v>17</v>
      </c>
      <c r="N116" s="35">
        <v>24</v>
      </c>
      <c r="O116" s="35">
        <v>26</v>
      </c>
      <c r="P116" s="35">
        <v>10</v>
      </c>
      <c r="Q116" s="35">
        <v>17</v>
      </c>
      <c r="R116" s="35">
        <v>15</v>
      </c>
      <c r="S116" s="35">
        <v>23</v>
      </c>
      <c r="T116" s="35">
        <v>6</v>
      </c>
      <c r="U116" s="35">
        <v>10</v>
      </c>
      <c r="V116" s="35">
        <v>4</v>
      </c>
      <c r="W116" s="35">
        <v>310</v>
      </c>
    </row>
    <row r="117" spans="1:23" x14ac:dyDescent="0.4">
      <c r="A117" s="5" t="s">
        <v>431</v>
      </c>
      <c r="B117" s="35">
        <v>241</v>
      </c>
      <c r="C117" s="35">
        <v>263</v>
      </c>
      <c r="D117" s="35">
        <v>266</v>
      </c>
      <c r="E117" s="35">
        <v>342</v>
      </c>
      <c r="F117" s="35">
        <v>340</v>
      </c>
      <c r="G117" s="35">
        <v>435</v>
      </c>
      <c r="H117" s="35">
        <v>242</v>
      </c>
      <c r="I117" s="35">
        <v>289</v>
      </c>
      <c r="J117" s="35">
        <v>284</v>
      </c>
      <c r="K117" s="35"/>
      <c r="L117" s="35">
        <v>273</v>
      </c>
      <c r="M117" s="35">
        <v>264</v>
      </c>
      <c r="N117" s="35">
        <v>253</v>
      </c>
      <c r="O117" s="35">
        <v>274</v>
      </c>
      <c r="P117" s="35">
        <v>239</v>
      </c>
      <c r="Q117" s="35">
        <v>255</v>
      </c>
      <c r="R117" s="35">
        <v>273</v>
      </c>
      <c r="S117" s="35">
        <v>234</v>
      </c>
      <c r="T117" s="35">
        <v>256</v>
      </c>
      <c r="U117" s="35">
        <v>209</v>
      </c>
      <c r="V117" s="35">
        <v>255</v>
      </c>
      <c r="W117" s="35">
        <v>5487</v>
      </c>
    </row>
    <row r="118" spans="1:23" x14ac:dyDescent="0.4">
      <c r="A118" s="5" t="s">
        <v>432</v>
      </c>
      <c r="B118" s="35">
        <v>448</v>
      </c>
      <c r="C118" s="35">
        <v>490</v>
      </c>
      <c r="D118" s="35">
        <v>545</v>
      </c>
      <c r="E118" s="35">
        <v>562</v>
      </c>
      <c r="F118" s="35">
        <v>590</v>
      </c>
      <c r="G118" s="35">
        <v>755</v>
      </c>
      <c r="H118" s="35">
        <v>453</v>
      </c>
      <c r="I118" s="35">
        <v>487</v>
      </c>
      <c r="J118" s="35">
        <v>432</v>
      </c>
      <c r="K118" s="35"/>
      <c r="L118" s="35">
        <v>395</v>
      </c>
      <c r="M118" s="35">
        <v>384</v>
      </c>
      <c r="N118" s="35">
        <v>419</v>
      </c>
      <c r="O118" s="35">
        <v>486</v>
      </c>
      <c r="P118" s="35">
        <v>432</v>
      </c>
      <c r="Q118" s="35">
        <v>429</v>
      </c>
      <c r="R118" s="35">
        <v>425</v>
      </c>
      <c r="S118" s="35">
        <v>372</v>
      </c>
      <c r="T118" s="35">
        <v>374</v>
      </c>
      <c r="U118" s="35">
        <v>308</v>
      </c>
      <c r="V118" s="35">
        <v>365</v>
      </c>
      <c r="W118" s="35">
        <v>9151</v>
      </c>
    </row>
    <row r="119" spans="1:23" x14ac:dyDescent="0.4">
      <c r="A119" s="5" t="s">
        <v>433</v>
      </c>
      <c r="B119" s="35">
        <v>454</v>
      </c>
      <c r="C119" s="35">
        <v>453</v>
      </c>
      <c r="D119" s="35">
        <v>521</v>
      </c>
      <c r="E119" s="35">
        <v>534</v>
      </c>
      <c r="F119" s="35">
        <v>594</v>
      </c>
      <c r="G119" s="35">
        <v>681</v>
      </c>
      <c r="H119" s="35">
        <v>464</v>
      </c>
      <c r="I119" s="35">
        <v>580</v>
      </c>
      <c r="J119" s="35">
        <v>535</v>
      </c>
      <c r="K119" s="35"/>
      <c r="L119" s="35">
        <v>479</v>
      </c>
      <c r="M119" s="35">
        <v>327</v>
      </c>
      <c r="N119" s="35">
        <v>307</v>
      </c>
      <c r="O119" s="35">
        <v>312</v>
      </c>
      <c r="P119" s="35">
        <v>246</v>
      </c>
      <c r="Q119" s="35">
        <v>233</v>
      </c>
      <c r="R119" s="35">
        <v>267</v>
      </c>
      <c r="S119" s="35">
        <v>231</v>
      </c>
      <c r="T119" s="35">
        <v>261</v>
      </c>
      <c r="U119" s="35">
        <v>205</v>
      </c>
      <c r="V119" s="35">
        <v>232</v>
      </c>
      <c r="W119" s="35">
        <v>7916</v>
      </c>
    </row>
    <row r="120" spans="1:23" x14ac:dyDescent="0.4">
      <c r="A120" s="5" t="s">
        <v>434</v>
      </c>
      <c r="B120" s="35">
        <v>532</v>
      </c>
      <c r="C120" s="35">
        <v>640</v>
      </c>
      <c r="D120" s="35">
        <v>671</v>
      </c>
      <c r="E120" s="35">
        <v>657</v>
      </c>
      <c r="F120" s="35">
        <v>764</v>
      </c>
      <c r="G120" s="35">
        <v>1006</v>
      </c>
      <c r="H120" s="35">
        <v>535</v>
      </c>
      <c r="I120" s="35">
        <v>627</v>
      </c>
      <c r="J120" s="35">
        <v>552</v>
      </c>
      <c r="K120" s="35"/>
      <c r="L120" s="35">
        <v>432</v>
      </c>
      <c r="M120" s="35">
        <v>418</v>
      </c>
      <c r="N120" s="35">
        <v>442</v>
      </c>
      <c r="O120" s="35">
        <v>515</v>
      </c>
      <c r="P120" s="35">
        <v>439</v>
      </c>
      <c r="Q120" s="35">
        <v>420</v>
      </c>
      <c r="R120" s="35">
        <v>441</v>
      </c>
      <c r="S120" s="35">
        <v>390</v>
      </c>
      <c r="T120" s="35">
        <v>383</v>
      </c>
      <c r="U120" s="35">
        <v>375</v>
      </c>
      <c r="V120" s="35">
        <v>356</v>
      </c>
      <c r="W120" s="35">
        <v>10595</v>
      </c>
    </row>
    <row r="121" spans="1:23" x14ac:dyDescent="0.4">
      <c r="A121" s="5" t="s">
        <v>435</v>
      </c>
      <c r="B121" s="35">
        <v>231</v>
      </c>
      <c r="C121" s="35">
        <v>188</v>
      </c>
      <c r="D121" s="35">
        <v>225</v>
      </c>
      <c r="E121" s="35">
        <v>251</v>
      </c>
      <c r="F121" s="35">
        <v>275</v>
      </c>
      <c r="G121" s="35">
        <v>270</v>
      </c>
      <c r="H121" s="35">
        <v>241</v>
      </c>
      <c r="I121" s="35">
        <v>199</v>
      </c>
      <c r="J121" s="35">
        <v>164</v>
      </c>
      <c r="K121" s="35"/>
      <c r="L121" s="35">
        <v>157</v>
      </c>
      <c r="M121" s="35">
        <v>170</v>
      </c>
      <c r="N121" s="35">
        <v>168</v>
      </c>
      <c r="O121" s="35">
        <v>223</v>
      </c>
      <c r="P121" s="35">
        <v>155</v>
      </c>
      <c r="Q121" s="35">
        <v>162</v>
      </c>
      <c r="R121" s="35">
        <v>195</v>
      </c>
      <c r="S121" s="35">
        <v>131</v>
      </c>
      <c r="T121" s="35">
        <v>127</v>
      </c>
      <c r="U121" s="35">
        <v>145</v>
      </c>
      <c r="V121" s="35">
        <v>144</v>
      </c>
      <c r="W121" s="35">
        <v>3821</v>
      </c>
    </row>
    <row r="122" spans="1:23" x14ac:dyDescent="0.4">
      <c r="A122" s="5" t="s">
        <v>436</v>
      </c>
      <c r="B122" s="35">
        <v>539</v>
      </c>
      <c r="C122" s="35">
        <v>535</v>
      </c>
      <c r="D122" s="35">
        <v>650</v>
      </c>
      <c r="E122" s="35">
        <v>620</v>
      </c>
      <c r="F122" s="35">
        <v>617</v>
      </c>
      <c r="G122" s="35">
        <v>751</v>
      </c>
      <c r="H122" s="35">
        <v>563</v>
      </c>
      <c r="I122" s="35">
        <v>566</v>
      </c>
      <c r="J122" s="35">
        <v>407</v>
      </c>
      <c r="K122" s="35"/>
      <c r="L122" s="35">
        <v>313</v>
      </c>
      <c r="M122" s="35">
        <v>475</v>
      </c>
      <c r="N122" s="35">
        <v>455</v>
      </c>
      <c r="O122" s="35">
        <v>487</v>
      </c>
      <c r="P122" s="35">
        <v>439</v>
      </c>
      <c r="Q122" s="35">
        <v>403</v>
      </c>
      <c r="R122" s="35">
        <v>373</v>
      </c>
      <c r="S122" s="35">
        <v>373</v>
      </c>
      <c r="T122" s="35">
        <v>406</v>
      </c>
      <c r="U122" s="35">
        <v>393</v>
      </c>
      <c r="V122" s="35">
        <v>351</v>
      </c>
      <c r="W122" s="35">
        <v>9716</v>
      </c>
    </row>
    <row r="123" spans="1:23" x14ac:dyDescent="0.4">
      <c r="A123" s="5" t="s">
        <v>437</v>
      </c>
      <c r="B123" s="35">
        <v>334</v>
      </c>
      <c r="C123" s="35">
        <v>388</v>
      </c>
      <c r="D123" s="35">
        <v>348</v>
      </c>
      <c r="E123" s="35">
        <v>357</v>
      </c>
      <c r="F123" s="35">
        <v>405</v>
      </c>
      <c r="G123" s="35">
        <v>509</v>
      </c>
      <c r="H123" s="35">
        <v>341</v>
      </c>
      <c r="I123" s="35">
        <v>356</v>
      </c>
      <c r="J123" s="35">
        <v>318</v>
      </c>
      <c r="K123" s="35"/>
      <c r="L123" s="35">
        <v>238</v>
      </c>
      <c r="M123" s="35">
        <v>232</v>
      </c>
      <c r="N123" s="35">
        <v>248</v>
      </c>
      <c r="O123" s="35">
        <v>246</v>
      </c>
      <c r="P123" s="35">
        <v>192</v>
      </c>
      <c r="Q123" s="35">
        <v>200</v>
      </c>
      <c r="R123" s="35">
        <v>208</v>
      </c>
      <c r="S123" s="35">
        <v>194</v>
      </c>
      <c r="T123" s="35">
        <v>194</v>
      </c>
      <c r="U123" s="35">
        <v>180</v>
      </c>
      <c r="V123" s="35">
        <v>192</v>
      </c>
      <c r="W123" s="35">
        <v>5680</v>
      </c>
    </row>
    <row r="124" spans="1:23" x14ac:dyDescent="0.4">
      <c r="A124" s="5" t="s">
        <v>438</v>
      </c>
      <c r="B124" s="35">
        <v>79</v>
      </c>
      <c r="C124" s="35">
        <v>89</v>
      </c>
      <c r="D124" s="35">
        <v>130</v>
      </c>
      <c r="E124" s="35">
        <v>80</v>
      </c>
      <c r="F124" s="35">
        <v>102</v>
      </c>
      <c r="G124" s="35">
        <v>127</v>
      </c>
      <c r="H124" s="35">
        <v>93</v>
      </c>
      <c r="I124" s="35">
        <v>79</v>
      </c>
      <c r="J124" s="35">
        <v>99</v>
      </c>
      <c r="K124" s="35"/>
      <c r="L124" s="35">
        <v>63</v>
      </c>
      <c r="M124" s="35">
        <v>60</v>
      </c>
      <c r="N124" s="35">
        <v>69</v>
      </c>
      <c r="O124" s="35">
        <v>111</v>
      </c>
      <c r="P124" s="35">
        <v>64</v>
      </c>
      <c r="Q124" s="35">
        <v>61</v>
      </c>
      <c r="R124" s="35">
        <v>85</v>
      </c>
      <c r="S124" s="35">
        <v>54</v>
      </c>
      <c r="T124" s="35">
        <v>63</v>
      </c>
      <c r="U124" s="35">
        <v>48</v>
      </c>
      <c r="V124" s="35">
        <v>71</v>
      </c>
      <c r="W124" s="35">
        <v>1627</v>
      </c>
    </row>
    <row r="125" spans="1:23" x14ac:dyDescent="0.4">
      <c r="A125" s="5" t="s">
        <v>439</v>
      </c>
      <c r="B125" s="35">
        <v>49</v>
      </c>
      <c r="C125" s="35">
        <v>61</v>
      </c>
      <c r="D125" s="35">
        <v>80</v>
      </c>
      <c r="E125" s="35">
        <v>84</v>
      </c>
      <c r="F125" s="35">
        <v>100</v>
      </c>
      <c r="G125" s="35">
        <v>82</v>
      </c>
      <c r="H125" s="35">
        <v>39</v>
      </c>
      <c r="I125" s="35">
        <v>50</v>
      </c>
      <c r="J125" s="35">
        <v>66</v>
      </c>
      <c r="K125" s="35"/>
      <c r="L125" s="35">
        <v>47</v>
      </c>
      <c r="M125" s="35">
        <v>54</v>
      </c>
      <c r="N125" s="35">
        <v>47</v>
      </c>
      <c r="O125" s="35">
        <v>45</v>
      </c>
      <c r="P125" s="35">
        <v>48</v>
      </c>
      <c r="Q125" s="35">
        <v>36</v>
      </c>
      <c r="R125" s="35">
        <v>51</v>
      </c>
      <c r="S125" s="35">
        <v>56</v>
      </c>
      <c r="T125" s="35">
        <v>53</v>
      </c>
      <c r="U125" s="35">
        <v>41</v>
      </c>
      <c r="V125" s="35">
        <v>37</v>
      </c>
      <c r="W125" s="35">
        <v>1126</v>
      </c>
    </row>
    <row r="126" spans="1:23" x14ac:dyDescent="0.4">
      <c r="A126" s="5" t="s">
        <v>440</v>
      </c>
      <c r="B126" s="35">
        <v>1670</v>
      </c>
      <c r="C126" s="35">
        <v>1759</v>
      </c>
      <c r="D126" s="35">
        <v>1756</v>
      </c>
      <c r="E126" s="35">
        <v>1923</v>
      </c>
      <c r="F126" s="35">
        <v>1858</v>
      </c>
      <c r="G126" s="35">
        <v>2477</v>
      </c>
      <c r="H126" s="35">
        <v>1663</v>
      </c>
      <c r="I126" s="35">
        <v>1439</v>
      </c>
      <c r="J126" s="35">
        <v>1377</v>
      </c>
      <c r="K126" s="35"/>
      <c r="L126" s="35">
        <v>1324</v>
      </c>
      <c r="M126" s="35">
        <v>1351</v>
      </c>
      <c r="N126" s="35">
        <v>1255</v>
      </c>
      <c r="O126" s="35">
        <v>1335</v>
      </c>
      <c r="P126" s="35">
        <v>1294</v>
      </c>
      <c r="Q126" s="35">
        <v>1360</v>
      </c>
      <c r="R126" s="35">
        <v>1183</v>
      </c>
      <c r="S126" s="35">
        <v>992</v>
      </c>
      <c r="T126" s="35">
        <v>865</v>
      </c>
      <c r="U126" s="35">
        <v>820</v>
      </c>
      <c r="V126" s="35">
        <v>856</v>
      </c>
      <c r="W126" s="35">
        <v>28557</v>
      </c>
    </row>
    <row r="127" spans="1:23" x14ac:dyDescent="0.4">
      <c r="A127" s="5" t="s">
        <v>441</v>
      </c>
      <c r="B127" s="35">
        <v>1186</v>
      </c>
      <c r="C127" s="35">
        <v>1182</v>
      </c>
      <c r="D127" s="35">
        <v>1313</v>
      </c>
      <c r="E127" s="35">
        <v>1282</v>
      </c>
      <c r="F127" s="35">
        <v>1429</v>
      </c>
      <c r="G127" s="35">
        <v>1744</v>
      </c>
      <c r="H127" s="35">
        <v>1222</v>
      </c>
      <c r="I127" s="35">
        <v>1270</v>
      </c>
      <c r="J127" s="35">
        <v>1067</v>
      </c>
      <c r="K127" s="35"/>
      <c r="L127" s="35">
        <v>977</v>
      </c>
      <c r="M127" s="35">
        <v>1039</v>
      </c>
      <c r="N127" s="35">
        <v>1088</v>
      </c>
      <c r="O127" s="35">
        <v>1196</v>
      </c>
      <c r="P127" s="35">
        <v>1092</v>
      </c>
      <c r="Q127" s="35">
        <v>1127</v>
      </c>
      <c r="R127" s="35">
        <v>1011</v>
      </c>
      <c r="S127" s="35">
        <v>945</v>
      </c>
      <c r="T127" s="35">
        <v>975</v>
      </c>
      <c r="U127" s="35">
        <v>900</v>
      </c>
      <c r="V127" s="35">
        <v>923</v>
      </c>
      <c r="W127" s="35">
        <v>22968</v>
      </c>
    </row>
    <row r="128" spans="1:23" x14ac:dyDescent="0.4">
      <c r="A128" s="5" t="s">
        <v>442</v>
      </c>
      <c r="B128" s="35">
        <v>273</v>
      </c>
      <c r="C128" s="35">
        <v>297</v>
      </c>
      <c r="D128" s="35">
        <v>334</v>
      </c>
      <c r="E128" s="35">
        <v>382</v>
      </c>
      <c r="F128" s="35">
        <v>426</v>
      </c>
      <c r="G128" s="35">
        <v>454</v>
      </c>
      <c r="H128" s="35">
        <v>267</v>
      </c>
      <c r="I128" s="35">
        <v>217</v>
      </c>
      <c r="J128" s="35">
        <v>147</v>
      </c>
      <c r="K128" s="35"/>
      <c r="L128" s="35">
        <v>116</v>
      </c>
      <c r="M128" s="35">
        <v>134</v>
      </c>
      <c r="N128" s="35">
        <v>107</v>
      </c>
      <c r="O128" s="35">
        <v>111</v>
      </c>
      <c r="P128" s="35">
        <v>86</v>
      </c>
      <c r="Q128" s="35">
        <v>103</v>
      </c>
      <c r="R128" s="35">
        <v>112</v>
      </c>
      <c r="S128" s="35">
        <v>105</v>
      </c>
      <c r="T128" s="35">
        <v>92</v>
      </c>
      <c r="U128" s="35">
        <v>78</v>
      </c>
      <c r="V128" s="35">
        <v>88</v>
      </c>
      <c r="W128" s="35">
        <v>3929</v>
      </c>
    </row>
    <row r="129" spans="1:23" x14ac:dyDescent="0.4">
      <c r="A129" s="5" t="s">
        <v>443</v>
      </c>
      <c r="B129" s="35">
        <v>191</v>
      </c>
      <c r="C129" s="35">
        <v>181</v>
      </c>
      <c r="D129" s="35">
        <v>193</v>
      </c>
      <c r="E129" s="35">
        <v>171</v>
      </c>
      <c r="F129" s="35">
        <v>193</v>
      </c>
      <c r="G129" s="35">
        <v>249</v>
      </c>
      <c r="H129" s="35">
        <v>141</v>
      </c>
      <c r="I129" s="35">
        <v>163</v>
      </c>
      <c r="J129" s="35">
        <v>135</v>
      </c>
      <c r="K129" s="35"/>
      <c r="L129" s="35">
        <v>130</v>
      </c>
      <c r="M129" s="35">
        <v>150</v>
      </c>
      <c r="N129" s="35">
        <v>141</v>
      </c>
      <c r="O129" s="35">
        <v>139</v>
      </c>
      <c r="P129" s="35">
        <v>99</v>
      </c>
      <c r="Q129" s="35">
        <v>104</v>
      </c>
      <c r="R129" s="35">
        <v>103</v>
      </c>
      <c r="S129" s="35">
        <v>109</v>
      </c>
      <c r="T129" s="35">
        <v>92</v>
      </c>
      <c r="U129" s="35">
        <v>101</v>
      </c>
      <c r="V129" s="35">
        <v>83</v>
      </c>
      <c r="W129" s="35">
        <v>2868</v>
      </c>
    </row>
    <row r="130" spans="1:23" x14ac:dyDescent="0.4">
      <c r="A130" s="5" t="s">
        <v>444</v>
      </c>
      <c r="B130" s="35">
        <v>5153</v>
      </c>
      <c r="C130" s="35">
        <v>5195</v>
      </c>
      <c r="D130" s="35">
        <v>5444</v>
      </c>
      <c r="E130" s="35">
        <v>5637</v>
      </c>
      <c r="F130" s="35">
        <v>6405</v>
      </c>
      <c r="G130" s="35">
        <v>7257</v>
      </c>
      <c r="H130" s="35">
        <v>5263</v>
      </c>
      <c r="I130" s="35">
        <v>5219</v>
      </c>
      <c r="J130" s="35">
        <v>4828</v>
      </c>
      <c r="K130" s="35"/>
      <c r="L130" s="35">
        <v>4057</v>
      </c>
      <c r="M130" s="35">
        <v>4441</v>
      </c>
      <c r="N130" s="35">
        <v>4315</v>
      </c>
      <c r="O130" s="35">
        <v>4712</v>
      </c>
      <c r="P130" s="35">
        <v>4316</v>
      </c>
      <c r="Q130" s="35">
        <v>4231</v>
      </c>
      <c r="R130" s="35">
        <v>4402</v>
      </c>
      <c r="S130" s="35">
        <v>4231</v>
      </c>
      <c r="T130" s="35">
        <v>3895</v>
      </c>
      <c r="U130" s="35">
        <v>3711</v>
      </c>
      <c r="V130" s="35">
        <v>4007</v>
      </c>
      <c r="W130" s="35">
        <v>96719</v>
      </c>
    </row>
    <row r="131" spans="1:23" x14ac:dyDescent="0.4">
      <c r="A131" s="5" t="s">
        <v>445</v>
      </c>
      <c r="B131" s="35">
        <v>42</v>
      </c>
      <c r="C131" s="35">
        <v>33</v>
      </c>
      <c r="D131" s="35">
        <v>36</v>
      </c>
      <c r="E131" s="35">
        <v>27</v>
      </c>
      <c r="F131" s="35">
        <v>42</v>
      </c>
      <c r="G131" s="35">
        <v>37</v>
      </c>
      <c r="H131" s="35">
        <v>30</v>
      </c>
      <c r="I131" s="35">
        <v>40</v>
      </c>
      <c r="J131" s="35">
        <v>55</v>
      </c>
      <c r="K131" s="35"/>
      <c r="L131" s="35">
        <v>41</v>
      </c>
      <c r="M131" s="35">
        <v>29</v>
      </c>
      <c r="N131" s="35">
        <v>42</v>
      </c>
      <c r="O131" s="35">
        <v>45</v>
      </c>
      <c r="P131" s="35">
        <v>48</v>
      </c>
      <c r="Q131" s="35">
        <v>50</v>
      </c>
      <c r="R131" s="35">
        <v>94</v>
      </c>
      <c r="S131" s="35">
        <v>311</v>
      </c>
      <c r="T131" s="35">
        <v>34</v>
      </c>
      <c r="U131" s="35">
        <v>33</v>
      </c>
      <c r="V131" s="35">
        <v>25</v>
      </c>
      <c r="W131" s="35">
        <v>1094</v>
      </c>
    </row>
    <row r="132" spans="1:23" x14ac:dyDescent="0.4">
      <c r="A132" s="5" t="s">
        <v>446</v>
      </c>
      <c r="B132" s="35">
        <v>376</v>
      </c>
      <c r="C132" s="35">
        <v>339</v>
      </c>
      <c r="D132" s="35">
        <v>395</v>
      </c>
      <c r="E132" s="35">
        <v>442</v>
      </c>
      <c r="F132" s="35">
        <v>470</v>
      </c>
      <c r="G132" s="35">
        <v>590</v>
      </c>
      <c r="H132" s="35">
        <v>338</v>
      </c>
      <c r="I132" s="35">
        <v>340</v>
      </c>
      <c r="J132" s="35">
        <v>317</v>
      </c>
      <c r="K132" s="35"/>
      <c r="L132" s="35">
        <v>317</v>
      </c>
      <c r="M132" s="35">
        <v>314</v>
      </c>
      <c r="N132" s="35">
        <v>329</v>
      </c>
      <c r="O132" s="35">
        <v>351</v>
      </c>
      <c r="P132" s="35">
        <v>272</v>
      </c>
      <c r="Q132" s="35">
        <v>314</v>
      </c>
      <c r="R132" s="35">
        <v>303</v>
      </c>
      <c r="S132" s="35">
        <v>264</v>
      </c>
      <c r="T132" s="35">
        <v>267</v>
      </c>
      <c r="U132" s="35">
        <v>227</v>
      </c>
      <c r="V132" s="35">
        <v>254</v>
      </c>
      <c r="W132" s="35">
        <v>6819</v>
      </c>
    </row>
    <row r="133" spans="1:23" x14ac:dyDescent="0.4">
      <c r="A133" s="5" t="s">
        <v>447</v>
      </c>
      <c r="B133" s="35">
        <v>45</v>
      </c>
      <c r="C133" s="35">
        <v>30</v>
      </c>
      <c r="D133" s="35">
        <v>33</v>
      </c>
      <c r="E133" s="35">
        <v>35</v>
      </c>
      <c r="F133" s="35">
        <v>45</v>
      </c>
      <c r="G133" s="35">
        <v>44</v>
      </c>
      <c r="H133" s="35">
        <v>32</v>
      </c>
      <c r="I133" s="35">
        <v>28</v>
      </c>
      <c r="J133" s="35">
        <v>31</v>
      </c>
      <c r="K133" s="35"/>
      <c r="L133" s="35">
        <v>24</v>
      </c>
      <c r="M133" s="35">
        <v>31</v>
      </c>
      <c r="N133" s="35">
        <v>28</v>
      </c>
      <c r="O133" s="35">
        <v>33</v>
      </c>
      <c r="P133" s="35">
        <v>35</v>
      </c>
      <c r="Q133" s="35">
        <v>30</v>
      </c>
      <c r="R133" s="35">
        <v>30</v>
      </c>
      <c r="S133" s="35">
        <v>27</v>
      </c>
      <c r="T133" s="35">
        <v>22</v>
      </c>
      <c r="U133" s="35">
        <v>26</v>
      </c>
      <c r="V133" s="35">
        <v>26</v>
      </c>
      <c r="W133" s="35">
        <v>635</v>
      </c>
    </row>
    <row r="134" spans="1:23" x14ac:dyDescent="0.4">
      <c r="A134" s="5" t="s">
        <v>448</v>
      </c>
      <c r="B134" s="35">
        <v>31</v>
      </c>
      <c r="C134" s="35">
        <v>32</v>
      </c>
      <c r="D134" s="35">
        <v>27</v>
      </c>
      <c r="E134" s="35">
        <v>29</v>
      </c>
      <c r="F134" s="35">
        <v>34</v>
      </c>
      <c r="G134" s="35">
        <v>33</v>
      </c>
      <c r="H134" s="35">
        <v>19</v>
      </c>
      <c r="I134" s="35">
        <v>13</v>
      </c>
      <c r="J134" s="35">
        <v>21</v>
      </c>
      <c r="K134" s="35"/>
      <c r="L134" s="35">
        <v>28</v>
      </c>
      <c r="M134" s="35">
        <v>7</v>
      </c>
      <c r="N134" s="35">
        <v>25</v>
      </c>
      <c r="O134" s="35">
        <v>15</v>
      </c>
      <c r="P134" s="35">
        <v>8</v>
      </c>
      <c r="Q134" s="35">
        <v>17</v>
      </c>
      <c r="R134" s="35">
        <v>22</v>
      </c>
      <c r="S134" s="35">
        <v>24</v>
      </c>
      <c r="T134" s="35">
        <v>16</v>
      </c>
      <c r="U134" s="35">
        <v>20</v>
      </c>
      <c r="V134" s="35">
        <v>32</v>
      </c>
      <c r="W134" s="35">
        <v>453</v>
      </c>
    </row>
    <row r="135" spans="1:23" x14ac:dyDescent="0.4">
      <c r="A135" s="5" t="s">
        <v>449</v>
      </c>
      <c r="B135" s="35">
        <v>48</v>
      </c>
      <c r="C135" s="35">
        <v>30</v>
      </c>
      <c r="D135" s="35">
        <v>44</v>
      </c>
      <c r="E135" s="35">
        <v>43</v>
      </c>
      <c r="F135" s="35">
        <v>36</v>
      </c>
      <c r="G135" s="35">
        <v>53</v>
      </c>
      <c r="H135" s="35">
        <v>43</v>
      </c>
      <c r="I135" s="35">
        <v>39</v>
      </c>
      <c r="J135" s="35">
        <v>0</v>
      </c>
      <c r="K135" s="35"/>
      <c r="L135" s="35">
        <v>34</v>
      </c>
      <c r="M135" s="35">
        <v>37</v>
      </c>
      <c r="N135" s="35">
        <v>59</v>
      </c>
      <c r="O135" s="35">
        <v>58</v>
      </c>
      <c r="P135" s="35">
        <v>56</v>
      </c>
      <c r="Q135" s="35">
        <v>34</v>
      </c>
      <c r="R135" s="35">
        <v>44</v>
      </c>
      <c r="S135" s="35">
        <v>24</v>
      </c>
      <c r="T135" s="35">
        <v>51</v>
      </c>
      <c r="U135" s="35">
        <v>32</v>
      </c>
      <c r="V135" s="35">
        <v>32</v>
      </c>
      <c r="W135" s="35">
        <v>797</v>
      </c>
    </row>
    <row r="136" spans="1:23" x14ac:dyDescent="0.4">
      <c r="A136" s="5" t="s">
        <v>450</v>
      </c>
      <c r="B136" s="35">
        <v>31</v>
      </c>
      <c r="C136" s="35">
        <v>38</v>
      </c>
      <c r="D136" s="35">
        <v>42</v>
      </c>
      <c r="E136" s="35">
        <v>43</v>
      </c>
      <c r="F136" s="35">
        <v>40</v>
      </c>
      <c r="G136" s="35">
        <v>43</v>
      </c>
      <c r="H136" s="35">
        <v>49</v>
      </c>
      <c r="I136" s="35">
        <v>34</v>
      </c>
      <c r="J136" s="35">
        <v>27</v>
      </c>
      <c r="K136" s="35"/>
      <c r="L136" s="35">
        <v>26</v>
      </c>
      <c r="M136" s="35">
        <v>24</v>
      </c>
      <c r="N136" s="35">
        <v>19</v>
      </c>
      <c r="O136" s="35">
        <v>38</v>
      </c>
      <c r="P136" s="35">
        <v>14</v>
      </c>
      <c r="Q136" s="35">
        <v>24</v>
      </c>
      <c r="R136" s="35">
        <v>19</v>
      </c>
      <c r="S136" s="35">
        <v>21</v>
      </c>
      <c r="T136" s="35">
        <v>24</v>
      </c>
      <c r="U136" s="35">
        <v>27</v>
      </c>
      <c r="V136" s="35">
        <v>27</v>
      </c>
      <c r="W136" s="35">
        <v>610</v>
      </c>
    </row>
    <row r="137" spans="1:23" x14ac:dyDescent="0.4">
      <c r="A137" s="5" t="s">
        <v>451</v>
      </c>
      <c r="B137" s="35">
        <v>29</v>
      </c>
      <c r="C137" s="35">
        <v>33</v>
      </c>
      <c r="D137" s="35">
        <v>32</v>
      </c>
      <c r="E137" s="35">
        <v>34</v>
      </c>
      <c r="F137" s="35">
        <v>56</v>
      </c>
      <c r="G137" s="35">
        <v>67</v>
      </c>
      <c r="H137" s="35">
        <v>36</v>
      </c>
      <c r="I137" s="35">
        <v>51</v>
      </c>
      <c r="J137" s="35">
        <v>31</v>
      </c>
      <c r="K137" s="35"/>
      <c r="L137" s="35">
        <v>32</v>
      </c>
      <c r="M137" s="35">
        <v>27</v>
      </c>
      <c r="N137" s="35">
        <v>42</v>
      </c>
      <c r="O137" s="35">
        <v>51</v>
      </c>
      <c r="P137" s="35">
        <v>38</v>
      </c>
      <c r="Q137" s="35">
        <v>23</v>
      </c>
      <c r="R137" s="35">
        <v>33</v>
      </c>
      <c r="S137" s="35">
        <v>31</v>
      </c>
      <c r="T137" s="35">
        <v>28</v>
      </c>
      <c r="U137" s="35">
        <v>20</v>
      </c>
      <c r="V137" s="35">
        <v>15</v>
      </c>
      <c r="W137" s="35">
        <v>709</v>
      </c>
    </row>
    <row r="138" spans="1:23" x14ac:dyDescent="0.4">
      <c r="A138" s="5" t="s">
        <v>452</v>
      </c>
      <c r="B138" s="35">
        <v>789</v>
      </c>
      <c r="C138" s="35">
        <v>704</v>
      </c>
      <c r="D138" s="35">
        <v>822</v>
      </c>
      <c r="E138" s="35">
        <v>847</v>
      </c>
      <c r="F138" s="35">
        <v>854</v>
      </c>
      <c r="G138" s="35">
        <v>1068</v>
      </c>
      <c r="H138" s="35">
        <v>665</v>
      </c>
      <c r="I138" s="35">
        <v>662</v>
      </c>
      <c r="J138" s="35">
        <v>621</v>
      </c>
      <c r="K138" s="35"/>
      <c r="L138" s="35">
        <v>609</v>
      </c>
      <c r="M138" s="35">
        <v>571</v>
      </c>
      <c r="N138" s="35">
        <v>551</v>
      </c>
      <c r="O138" s="35">
        <v>638</v>
      </c>
      <c r="P138" s="35">
        <v>590</v>
      </c>
      <c r="Q138" s="35">
        <v>569</v>
      </c>
      <c r="R138" s="35">
        <v>430</v>
      </c>
      <c r="S138" s="35">
        <v>263</v>
      </c>
      <c r="T138" s="35">
        <v>530</v>
      </c>
      <c r="U138" s="35">
        <v>449</v>
      </c>
      <c r="V138" s="35">
        <v>520</v>
      </c>
      <c r="W138" s="35">
        <v>12752</v>
      </c>
    </row>
    <row r="139" spans="1:23" x14ac:dyDescent="0.4">
      <c r="A139" s="5" t="s">
        <v>453</v>
      </c>
      <c r="B139" s="35">
        <v>85</v>
      </c>
      <c r="C139" s="35">
        <v>111</v>
      </c>
      <c r="D139" s="35">
        <v>102</v>
      </c>
      <c r="E139" s="35">
        <v>120</v>
      </c>
      <c r="F139" s="35">
        <v>96</v>
      </c>
      <c r="G139" s="35">
        <v>113</v>
      </c>
      <c r="H139" s="35">
        <v>110</v>
      </c>
      <c r="I139" s="35">
        <v>116</v>
      </c>
      <c r="J139" s="35">
        <v>108</v>
      </c>
      <c r="K139" s="35"/>
      <c r="L139" s="35">
        <v>104</v>
      </c>
      <c r="M139" s="35">
        <v>90</v>
      </c>
      <c r="N139" s="35">
        <v>90</v>
      </c>
      <c r="O139" s="35">
        <v>85</v>
      </c>
      <c r="P139" s="35">
        <v>69</v>
      </c>
      <c r="Q139" s="35">
        <v>91</v>
      </c>
      <c r="R139" s="35">
        <v>76</v>
      </c>
      <c r="S139" s="35">
        <v>71</v>
      </c>
      <c r="T139" s="35">
        <v>91</v>
      </c>
      <c r="U139" s="35">
        <v>62</v>
      </c>
      <c r="V139" s="35">
        <v>96</v>
      </c>
      <c r="W139" s="35">
        <v>1886</v>
      </c>
    </row>
    <row r="140" spans="1:23" x14ac:dyDescent="0.4">
      <c r="A140" s="5" t="s">
        <v>454</v>
      </c>
      <c r="B140" s="35">
        <v>47</v>
      </c>
      <c r="C140" s="35">
        <v>54</v>
      </c>
      <c r="D140" s="35">
        <v>52</v>
      </c>
      <c r="E140" s="35">
        <v>54</v>
      </c>
      <c r="F140" s="35">
        <v>37</v>
      </c>
      <c r="G140" s="35">
        <v>19</v>
      </c>
      <c r="H140" s="35">
        <v>39</v>
      </c>
      <c r="I140" s="35">
        <v>25</v>
      </c>
      <c r="J140" s="35">
        <v>30</v>
      </c>
      <c r="K140" s="35"/>
      <c r="L140" s="35">
        <v>75</v>
      </c>
      <c r="M140" s="35">
        <v>95</v>
      </c>
      <c r="N140" s="35">
        <v>46</v>
      </c>
      <c r="O140" s="35">
        <v>35</v>
      </c>
      <c r="P140" s="35">
        <v>30</v>
      </c>
      <c r="Q140" s="35">
        <v>25</v>
      </c>
      <c r="R140" s="35">
        <v>42</v>
      </c>
      <c r="S140" s="35">
        <v>26</v>
      </c>
      <c r="T140" s="35">
        <v>21</v>
      </c>
      <c r="U140" s="35">
        <v>27</v>
      </c>
      <c r="V140" s="35">
        <v>21</v>
      </c>
      <c r="W140" s="35">
        <v>800</v>
      </c>
    </row>
    <row r="141" spans="1:23" x14ac:dyDescent="0.4">
      <c r="A141" s="5" t="s">
        <v>455</v>
      </c>
      <c r="B141" s="35">
        <v>36</v>
      </c>
      <c r="C141" s="35">
        <v>42</v>
      </c>
      <c r="D141" s="35">
        <v>65</v>
      </c>
      <c r="E141" s="35">
        <v>66</v>
      </c>
      <c r="F141" s="35">
        <v>57</v>
      </c>
      <c r="G141" s="35">
        <v>110</v>
      </c>
      <c r="H141" s="35">
        <v>58</v>
      </c>
      <c r="I141" s="35">
        <v>47</v>
      </c>
      <c r="J141" s="35">
        <v>45</v>
      </c>
      <c r="K141" s="35"/>
      <c r="L141" s="35">
        <v>19</v>
      </c>
      <c r="M141" s="35">
        <v>27</v>
      </c>
      <c r="N141" s="35">
        <v>43</v>
      </c>
      <c r="O141" s="35">
        <v>37</v>
      </c>
      <c r="P141" s="35">
        <v>29</v>
      </c>
      <c r="Q141" s="35">
        <v>23</v>
      </c>
      <c r="R141" s="35">
        <v>35</v>
      </c>
      <c r="S141" s="35">
        <v>39</v>
      </c>
      <c r="T141" s="35">
        <v>18</v>
      </c>
      <c r="U141" s="35">
        <v>33</v>
      </c>
      <c r="V141" s="35">
        <v>19</v>
      </c>
      <c r="W141" s="35">
        <v>848</v>
      </c>
    </row>
    <row r="142" spans="1:23" x14ac:dyDescent="0.4">
      <c r="A142" s="5" t="s">
        <v>456</v>
      </c>
      <c r="B142" s="35">
        <v>31</v>
      </c>
      <c r="C142" s="35">
        <v>15</v>
      </c>
      <c r="D142" s="35">
        <v>31</v>
      </c>
      <c r="E142" s="35">
        <v>32</v>
      </c>
      <c r="F142" s="35">
        <v>28</v>
      </c>
      <c r="G142" s="35">
        <v>23</v>
      </c>
      <c r="H142" s="35">
        <v>39</v>
      </c>
      <c r="I142" s="35">
        <v>39</v>
      </c>
      <c r="J142" s="35">
        <v>23</v>
      </c>
      <c r="K142" s="35"/>
      <c r="L142" s="35">
        <v>23</v>
      </c>
      <c r="M142" s="35">
        <v>12</v>
      </c>
      <c r="N142" s="35">
        <v>17</v>
      </c>
      <c r="O142" s="35">
        <v>20</v>
      </c>
      <c r="P142" s="35">
        <v>10</v>
      </c>
      <c r="Q142" s="35">
        <v>6</v>
      </c>
      <c r="R142" s="35">
        <v>10</v>
      </c>
      <c r="S142" s="35">
        <v>26</v>
      </c>
      <c r="T142" s="35">
        <v>42</v>
      </c>
      <c r="U142" s="35">
        <v>24</v>
      </c>
      <c r="V142" s="35">
        <v>13</v>
      </c>
      <c r="W142" s="35">
        <v>464</v>
      </c>
    </row>
    <row r="143" spans="1:23" x14ac:dyDescent="0.4">
      <c r="A143" s="5" t="s">
        <v>457</v>
      </c>
      <c r="B143" s="35">
        <v>474</v>
      </c>
      <c r="C143" s="35">
        <v>502</v>
      </c>
      <c r="D143" s="35">
        <v>522</v>
      </c>
      <c r="E143" s="35">
        <v>550</v>
      </c>
      <c r="F143" s="35">
        <v>572</v>
      </c>
      <c r="G143" s="35">
        <v>637</v>
      </c>
      <c r="H143" s="35">
        <v>405</v>
      </c>
      <c r="I143" s="35">
        <v>461</v>
      </c>
      <c r="J143" s="35">
        <v>429</v>
      </c>
      <c r="K143" s="35"/>
      <c r="L143" s="35">
        <v>473</v>
      </c>
      <c r="M143" s="35">
        <v>414</v>
      </c>
      <c r="N143" s="35">
        <v>310</v>
      </c>
      <c r="O143" s="35">
        <v>366</v>
      </c>
      <c r="P143" s="35">
        <v>330</v>
      </c>
      <c r="Q143" s="35">
        <v>362</v>
      </c>
      <c r="R143" s="35">
        <v>338</v>
      </c>
      <c r="S143" s="35">
        <v>351</v>
      </c>
      <c r="T143" s="35">
        <v>293</v>
      </c>
      <c r="U143" s="35">
        <v>383</v>
      </c>
      <c r="V143" s="35">
        <v>340</v>
      </c>
      <c r="W143" s="35">
        <v>8512</v>
      </c>
    </row>
    <row r="144" spans="1:23" x14ac:dyDescent="0.4">
      <c r="A144" s="5" t="s">
        <v>733</v>
      </c>
      <c r="B144" s="35">
        <v>0</v>
      </c>
      <c r="C144" s="35">
        <v>0</v>
      </c>
      <c r="D144" s="35">
        <v>0</v>
      </c>
      <c r="E144" s="35">
        <v>2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/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  <c r="U144" s="35">
        <v>0</v>
      </c>
      <c r="V144" s="35">
        <v>0</v>
      </c>
      <c r="W144" s="35">
        <v>2</v>
      </c>
    </row>
    <row r="145" spans="1:23" x14ac:dyDescent="0.4">
      <c r="A145" s="5" t="s">
        <v>761</v>
      </c>
      <c r="B145" s="35">
        <v>0</v>
      </c>
      <c r="C145" s="35">
        <v>0</v>
      </c>
      <c r="D145" s="35">
        <v>0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/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14475</v>
      </c>
      <c r="S145" s="35">
        <v>14242</v>
      </c>
      <c r="T145" s="35">
        <v>13246</v>
      </c>
      <c r="U145" s="35">
        <v>12934</v>
      </c>
      <c r="V145" s="35">
        <v>13512</v>
      </c>
      <c r="W145" s="35">
        <v>68409</v>
      </c>
    </row>
    <row r="146" spans="1:23" x14ac:dyDescent="0.4">
      <c r="A146" s="5" t="s">
        <v>763</v>
      </c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>
        <v>1418</v>
      </c>
      <c r="U146" s="35">
        <v>1370</v>
      </c>
      <c r="V146" s="35">
        <v>1354</v>
      </c>
      <c r="W146" s="35">
        <v>4142</v>
      </c>
    </row>
    <row r="147" spans="1:23" x14ac:dyDescent="0.4">
      <c r="A147" s="5" t="s">
        <v>335</v>
      </c>
      <c r="B147" s="35">
        <v>94</v>
      </c>
      <c r="C147" s="35">
        <v>113</v>
      </c>
      <c r="D147" s="35">
        <v>123</v>
      </c>
      <c r="E147" s="35">
        <v>126</v>
      </c>
      <c r="F147" s="35">
        <v>170</v>
      </c>
      <c r="G147" s="35">
        <v>165</v>
      </c>
      <c r="H147" s="35">
        <v>96</v>
      </c>
      <c r="I147" s="35">
        <v>107</v>
      </c>
      <c r="J147" s="35">
        <v>103</v>
      </c>
      <c r="K147" s="35"/>
      <c r="L147" s="35">
        <v>95</v>
      </c>
      <c r="M147" s="35">
        <v>90</v>
      </c>
      <c r="N147" s="35">
        <v>103</v>
      </c>
      <c r="O147" s="35">
        <v>69</v>
      </c>
      <c r="P147" s="35">
        <v>121</v>
      </c>
      <c r="Q147" s="35">
        <v>151</v>
      </c>
      <c r="R147" s="35">
        <v>0</v>
      </c>
      <c r="S147" s="35">
        <v>0</v>
      </c>
      <c r="T147" s="35">
        <v>0</v>
      </c>
      <c r="U147" s="35">
        <v>0</v>
      </c>
      <c r="V147" s="35">
        <v>0</v>
      </c>
      <c r="W147" s="35">
        <v>1726</v>
      </c>
    </row>
    <row r="148" spans="1:23" x14ac:dyDescent="0.4">
      <c r="A148" s="5" t="s">
        <v>336</v>
      </c>
      <c r="B148" s="35">
        <v>453</v>
      </c>
      <c r="C148" s="35">
        <v>479</v>
      </c>
      <c r="D148" s="35">
        <v>479</v>
      </c>
      <c r="E148" s="35">
        <v>475</v>
      </c>
      <c r="F148" s="35">
        <v>553</v>
      </c>
      <c r="G148" s="35">
        <v>697</v>
      </c>
      <c r="H148" s="35">
        <v>437</v>
      </c>
      <c r="I148" s="35">
        <v>562</v>
      </c>
      <c r="J148" s="35">
        <v>571</v>
      </c>
      <c r="K148" s="35"/>
      <c r="L148" s="35">
        <v>576</v>
      </c>
      <c r="M148" s="35">
        <v>491</v>
      </c>
      <c r="N148" s="35">
        <v>516</v>
      </c>
      <c r="O148" s="35">
        <v>784</v>
      </c>
      <c r="P148" s="35">
        <v>561</v>
      </c>
      <c r="Q148" s="35">
        <v>633</v>
      </c>
      <c r="R148" s="35">
        <v>0</v>
      </c>
      <c r="S148" s="35">
        <v>0</v>
      </c>
      <c r="T148" s="35">
        <v>0</v>
      </c>
      <c r="U148" s="35">
        <v>0</v>
      </c>
      <c r="V148" s="35">
        <v>0</v>
      </c>
      <c r="W148" s="35">
        <v>8267</v>
      </c>
    </row>
    <row r="149" spans="1:23" x14ac:dyDescent="0.4">
      <c r="A149" s="5" t="s">
        <v>337</v>
      </c>
      <c r="B149" s="35">
        <v>249</v>
      </c>
      <c r="C149" s="35">
        <v>257</v>
      </c>
      <c r="D149" s="35">
        <v>230</v>
      </c>
      <c r="E149" s="35">
        <v>204</v>
      </c>
      <c r="F149" s="35">
        <v>191</v>
      </c>
      <c r="G149" s="35">
        <v>312</v>
      </c>
      <c r="H149" s="35">
        <v>242</v>
      </c>
      <c r="I149" s="35">
        <v>274</v>
      </c>
      <c r="J149" s="35">
        <v>237</v>
      </c>
      <c r="K149" s="35"/>
      <c r="L149" s="35">
        <v>235</v>
      </c>
      <c r="M149" s="35">
        <v>251</v>
      </c>
      <c r="N149" s="35">
        <v>225</v>
      </c>
      <c r="O149" s="35">
        <v>227</v>
      </c>
      <c r="P149" s="35">
        <v>223</v>
      </c>
      <c r="Q149" s="35">
        <v>281</v>
      </c>
      <c r="R149" s="35">
        <v>0</v>
      </c>
      <c r="S149" s="35">
        <v>0</v>
      </c>
      <c r="T149" s="35">
        <v>0</v>
      </c>
      <c r="U149" s="35">
        <v>0</v>
      </c>
      <c r="V149" s="35">
        <v>0</v>
      </c>
      <c r="W149" s="35">
        <v>3638</v>
      </c>
    </row>
    <row r="150" spans="1:23" x14ac:dyDescent="0.4">
      <c r="A150" s="5" t="s">
        <v>338</v>
      </c>
      <c r="B150" s="35">
        <v>363</v>
      </c>
      <c r="C150" s="35">
        <v>464</v>
      </c>
      <c r="D150" s="35">
        <v>416</v>
      </c>
      <c r="E150" s="35">
        <v>453</v>
      </c>
      <c r="F150" s="35">
        <v>429</v>
      </c>
      <c r="G150" s="35">
        <v>546</v>
      </c>
      <c r="H150" s="35">
        <v>433</v>
      </c>
      <c r="I150" s="35">
        <v>437</v>
      </c>
      <c r="J150" s="35">
        <v>406</v>
      </c>
      <c r="K150" s="35"/>
      <c r="L150" s="35">
        <v>419</v>
      </c>
      <c r="M150" s="35">
        <v>332</v>
      </c>
      <c r="N150" s="35">
        <v>371</v>
      </c>
      <c r="O150" s="35">
        <v>361</v>
      </c>
      <c r="P150" s="35">
        <v>378</v>
      </c>
      <c r="Q150" s="35">
        <v>313</v>
      </c>
      <c r="R150" s="35">
        <v>0</v>
      </c>
      <c r="S150" s="35">
        <v>0</v>
      </c>
      <c r="T150" s="35">
        <v>0</v>
      </c>
      <c r="U150" s="35">
        <v>0</v>
      </c>
      <c r="V150" s="35">
        <v>0</v>
      </c>
      <c r="W150" s="35">
        <v>6121</v>
      </c>
    </row>
    <row r="151" spans="1:23" x14ac:dyDescent="0.4">
      <c r="A151" s="5" t="s">
        <v>339</v>
      </c>
      <c r="B151" s="35">
        <v>20</v>
      </c>
      <c r="C151" s="35">
        <v>39</v>
      </c>
      <c r="D151" s="35">
        <v>52</v>
      </c>
      <c r="E151" s="35">
        <v>73</v>
      </c>
      <c r="F151" s="35">
        <v>57</v>
      </c>
      <c r="G151" s="35">
        <v>35</v>
      </c>
      <c r="H151" s="35">
        <v>12</v>
      </c>
      <c r="I151" s="35">
        <v>20</v>
      </c>
      <c r="J151" s="35">
        <v>25</v>
      </c>
      <c r="K151" s="35"/>
      <c r="L151" s="35">
        <v>19</v>
      </c>
      <c r="M151" s="35">
        <v>32</v>
      </c>
      <c r="N151" s="35">
        <v>44</v>
      </c>
      <c r="O151" s="35">
        <v>32</v>
      </c>
      <c r="P151" s="35">
        <v>93</v>
      </c>
      <c r="Q151" s="35">
        <v>35</v>
      </c>
      <c r="R151" s="35">
        <v>0</v>
      </c>
      <c r="S151" s="35">
        <v>0</v>
      </c>
      <c r="T151" s="35">
        <v>0</v>
      </c>
      <c r="U151" s="35">
        <v>0</v>
      </c>
      <c r="V151" s="35">
        <v>0</v>
      </c>
      <c r="W151" s="35">
        <v>588</v>
      </c>
    </row>
    <row r="152" spans="1:23" x14ac:dyDescent="0.4">
      <c r="A152" s="5" t="s">
        <v>340</v>
      </c>
      <c r="B152" s="35">
        <v>353</v>
      </c>
      <c r="C152" s="35">
        <v>436</v>
      </c>
      <c r="D152" s="35">
        <v>430</v>
      </c>
      <c r="E152" s="35">
        <v>440</v>
      </c>
      <c r="F152" s="35">
        <v>441</v>
      </c>
      <c r="G152" s="35">
        <v>603</v>
      </c>
      <c r="H152" s="35">
        <v>385</v>
      </c>
      <c r="I152" s="35">
        <v>512</v>
      </c>
      <c r="J152" s="35">
        <v>609</v>
      </c>
      <c r="K152" s="35"/>
      <c r="L152" s="35">
        <v>542</v>
      </c>
      <c r="M152" s="35">
        <v>501</v>
      </c>
      <c r="N152" s="35">
        <v>660</v>
      </c>
      <c r="O152" s="35">
        <v>731</v>
      </c>
      <c r="P152" s="35">
        <v>689</v>
      </c>
      <c r="Q152" s="35">
        <v>617</v>
      </c>
      <c r="R152" s="35">
        <v>0</v>
      </c>
      <c r="S152" s="35">
        <v>0</v>
      </c>
      <c r="T152" s="35">
        <v>0</v>
      </c>
      <c r="U152" s="35">
        <v>0</v>
      </c>
      <c r="V152" s="35">
        <v>0</v>
      </c>
      <c r="W152" s="35">
        <v>7949</v>
      </c>
    </row>
    <row r="153" spans="1:23" x14ac:dyDescent="0.4">
      <c r="A153" s="5" t="s">
        <v>341</v>
      </c>
      <c r="B153" s="35">
        <v>129</v>
      </c>
      <c r="C153" s="35">
        <v>166</v>
      </c>
      <c r="D153" s="35">
        <v>169</v>
      </c>
      <c r="E153" s="35">
        <v>188</v>
      </c>
      <c r="F153" s="35">
        <v>142</v>
      </c>
      <c r="G153" s="35">
        <v>185</v>
      </c>
      <c r="H153" s="35">
        <v>149</v>
      </c>
      <c r="I153" s="35">
        <v>150</v>
      </c>
      <c r="J153" s="35">
        <v>136</v>
      </c>
      <c r="K153" s="35"/>
      <c r="L153" s="35">
        <v>141</v>
      </c>
      <c r="M153" s="35">
        <v>129</v>
      </c>
      <c r="N153" s="35">
        <v>116</v>
      </c>
      <c r="O153" s="35">
        <v>92</v>
      </c>
      <c r="P153" s="35">
        <v>93</v>
      </c>
      <c r="Q153" s="35">
        <v>102</v>
      </c>
      <c r="R153" s="35">
        <v>0</v>
      </c>
      <c r="S153" s="35">
        <v>0</v>
      </c>
      <c r="T153" s="35">
        <v>0</v>
      </c>
      <c r="U153" s="35">
        <v>0</v>
      </c>
      <c r="V153" s="35">
        <v>0</v>
      </c>
      <c r="W153" s="35">
        <v>2087</v>
      </c>
    </row>
    <row r="154" spans="1:23" x14ac:dyDescent="0.4">
      <c r="A154" s="5" t="s">
        <v>342</v>
      </c>
      <c r="B154" s="35">
        <v>2701</v>
      </c>
      <c r="C154" s="35">
        <v>2779</v>
      </c>
      <c r="D154" s="35">
        <v>2728</v>
      </c>
      <c r="E154" s="35">
        <v>2732</v>
      </c>
      <c r="F154" s="35">
        <v>3076</v>
      </c>
      <c r="G154" s="35">
        <v>4300</v>
      </c>
      <c r="H154" s="35">
        <v>2474</v>
      </c>
      <c r="I154" s="35">
        <v>2628</v>
      </c>
      <c r="J154" s="35">
        <v>2073</v>
      </c>
      <c r="K154" s="35"/>
      <c r="L154" s="35">
        <v>2021</v>
      </c>
      <c r="M154" s="35">
        <v>1946</v>
      </c>
      <c r="N154" s="35">
        <v>2002</v>
      </c>
      <c r="O154" s="35">
        <v>1727</v>
      </c>
      <c r="P154" s="35">
        <v>1976</v>
      </c>
      <c r="Q154" s="35">
        <v>1699</v>
      </c>
      <c r="R154" s="35">
        <v>0</v>
      </c>
      <c r="S154" s="35">
        <v>0</v>
      </c>
      <c r="T154" s="35">
        <v>0</v>
      </c>
      <c r="U154" s="35">
        <v>0</v>
      </c>
      <c r="V154" s="35">
        <v>0</v>
      </c>
      <c r="W154" s="35">
        <v>36862</v>
      </c>
    </row>
    <row r="155" spans="1:23" x14ac:dyDescent="0.4">
      <c r="A155" s="5" t="s">
        <v>343</v>
      </c>
      <c r="B155" s="35">
        <v>656</v>
      </c>
      <c r="C155" s="35">
        <v>774</v>
      </c>
      <c r="D155" s="35">
        <v>684</v>
      </c>
      <c r="E155" s="35">
        <v>704</v>
      </c>
      <c r="F155" s="35">
        <v>777</v>
      </c>
      <c r="G155" s="35">
        <v>1020</v>
      </c>
      <c r="H155" s="35">
        <v>803</v>
      </c>
      <c r="I155" s="35">
        <v>822</v>
      </c>
      <c r="J155" s="35">
        <v>772</v>
      </c>
      <c r="K155" s="35"/>
      <c r="L155" s="35">
        <v>737</v>
      </c>
      <c r="M155" s="35">
        <v>694</v>
      </c>
      <c r="N155" s="35">
        <v>686</v>
      </c>
      <c r="O155" s="35">
        <v>696</v>
      </c>
      <c r="P155" s="35">
        <v>702</v>
      </c>
      <c r="Q155" s="35">
        <v>648</v>
      </c>
      <c r="R155" s="35">
        <v>0</v>
      </c>
      <c r="S155" s="35">
        <v>0</v>
      </c>
      <c r="T155" s="35">
        <v>0</v>
      </c>
      <c r="U155" s="35">
        <v>0</v>
      </c>
      <c r="V155" s="35">
        <v>0</v>
      </c>
      <c r="W155" s="35">
        <v>11175</v>
      </c>
    </row>
    <row r="156" spans="1:23" x14ac:dyDescent="0.4">
      <c r="A156" s="5" t="s">
        <v>344</v>
      </c>
      <c r="B156" s="35">
        <v>363</v>
      </c>
      <c r="C156" s="35">
        <v>413</v>
      </c>
      <c r="D156" s="35">
        <v>354</v>
      </c>
      <c r="E156" s="35">
        <v>437</v>
      </c>
      <c r="F156" s="35">
        <v>465</v>
      </c>
      <c r="G156" s="35">
        <v>516</v>
      </c>
      <c r="H156" s="35">
        <v>383</v>
      </c>
      <c r="I156" s="35">
        <v>376</v>
      </c>
      <c r="J156" s="35">
        <v>353</v>
      </c>
      <c r="K156" s="35"/>
      <c r="L156" s="35">
        <v>311</v>
      </c>
      <c r="M156" s="35">
        <v>290</v>
      </c>
      <c r="N156" s="35">
        <v>295</v>
      </c>
      <c r="O156" s="35">
        <v>376</v>
      </c>
      <c r="P156" s="35">
        <v>354</v>
      </c>
      <c r="Q156" s="35">
        <v>294</v>
      </c>
      <c r="R156" s="35">
        <v>0</v>
      </c>
      <c r="S156" s="35">
        <v>0</v>
      </c>
      <c r="T156" s="35">
        <v>0</v>
      </c>
      <c r="U156" s="35">
        <v>0</v>
      </c>
      <c r="V156" s="35">
        <v>0</v>
      </c>
      <c r="W156" s="35">
        <v>5580</v>
      </c>
    </row>
    <row r="157" spans="1:23" x14ac:dyDescent="0.4">
      <c r="A157" s="5" t="s">
        <v>345</v>
      </c>
      <c r="B157" s="35">
        <v>566</v>
      </c>
      <c r="C157" s="35">
        <v>508</v>
      </c>
      <c r="D157" s="35">
        <v>479</v>
      </c>
      <c r="E157" s="35">
        <v>375</v>
      </c>
      <c r="F157" s="35">
        <v>392</v>
      </c>
      <c r="G157" s="35">
        <v>539</v>
      </c>
      <c r="H157" s="35">
        <v>480</v>
      </c>
      <c r="I157" s="35">
        <v>543</v>
      </c>
      <c r="J157" s="35">
        <v>547</v>
      </c>
      <c r="K157" s="35"/>
      <c r="L157" s="35">
        <v>496</v>
      </c>
      <c r="M157" s="35">
        <v>439</v>
      </c>
      <c r="N157" s="35">
        <v>461</v>
      </c>
      <c r="O157" s="35">
        <v>497</v>
      </c>
      <c r="P157" s="35">
        <v>477</v>
      </c>
      <c r="Q157" s="35">
        <v>521</v>
      </c>
      <c r="R157" s="35">
        <v>0</v>
      </c>
      <c r="S157" s="35">
        <v>0</v>
      </c>
      <c r="T157" s="35">
        <v>0</v>
      </c>
      <c r="U157" s="35">
        <v>0</v>
      </c>
      <c r="V157" s="35">
        <v>0</v>
      </c>
      <c r="W157" s="35">
        <v>7320</v>
      </c>
    </row>
    <row r="158" spans="1:23" x14ac:dyDescent="0.4">
      <c r="A158" s="5" t="s">
        <v>346</v>
      </c>
      <c r="B158" s="35">
        <v>452</v>
      </c>
      <c r="C158" s="35">
        <v>464</v>
      </c>
      <c r="D158" s="35">
        <v>441</v>
      </c>
      <c r="E158" s="35">
        <v>1070</v>
      </c>
      <c r="F158" s="35">
        <v>518</v>
      </c>
      <c r="G158" s="35">
        <v>477</v>
      </c>
      <c r="H158" s="35">
        <v>385</v>
      </c>
      <c r="I158" s="35">
        <v>327</v>
      </c>
      <c r="J158" s="35">
        <v>511</v>
      </c>
      <c r="K158" s="35"/>
      <c r="L158" s="35">
        <v>318</v>
      </c>
      <c r="M158" s="35">
        <v>276</v>
      </c>
      <c r="N158" s="35">
        <v>279</v>
      </c>
      <c r="O158" s="35">
        <v>355</v>
      </c>
      <c r="P158" s="35">
        <v>302</v>
      </c>
      <c r="Q158" s="35">
        <v>342</v>
      </c>
      <c r="R158" s="35">
        <v>0</v>
      </c>
      <c r="S158" s="35">
        <v>0</v>
      </c>
      <c r="T158" s="35">
        <v>0</v>
      </c>
      <c r="U158" s="35">
        <v>0</v>
      </c>
      <c r="V158" s="35">
        <v>0</v>
      </c>
      <c r="W158" s="35">
        <v>6517</v>
      </c>
    </row>
    <row r="159" spans="1:23" x14ac:dyDescent="0.4">
      <c r="A159" s="5" t="s">
        <v>347</v>
      </c>
      <c r="B159" s="35">
        <v>145</v>
      </c>
      <c r="C159" s="35">
        <v>157</v>
      </c>
      <c r="D159" s="35">
        <v>199</v>
      </c>
      <c r="E159" s="35">
        <v>137</v>
      </c>
      <c r="F159" s="35">
        <v>153</v>
      </c>
      <c r="G159" s="35">
        <v>210</v>
      </c>
      <c r="H159" s="35">
        <v>114</v>
      </c>
      <c r="I159" s="35">
        <v>161</v>
      </c>
      <c r="J159" s="35">
        <v>157</v>
      </c>
      <c r="K159" s="35"/>
      <c r="L159" s="35">
        <v>122</v>
      </c>
      <c r="M159" s="35">
        <v>131</v>
      </c>
      <c r="N159" s="35">
        <v>127</v>
      </c>
      <c r="O159" s="35">
        <v>128</v>
      </c>
      <c r="P159" s="35">
        <v>130</v>
      </c>
      <c r="Q159" s="35">
        <v>100</v>
      </c>
      <c r="R159" s="35">
        <v>0</v>
      </c>
      <c r="S159" s="35">
        <v>0</v>
      </c>
      <c r="T159" s="35">
        <v>0</v>
      </c>
      <c r="U159" s="35">
        <v>0</v>
      </c>
      <c r="V159" s="35">
        <v>0</v>
      </c>
      <c r="W159" s="35">
        <v>2171</v>
      </c>
    </row>
    <row r="160" spans="1:23" x14ac:dyDescent="0.4">
      <c r="A160" s="5" t="s">
        <v>348</v>
      </c>
      <c r="B160" s="35">
        <v>154</v>
      </c>
      <c r="C160" s="35">
        <v>147</v>
      </c>
      <c r="D160" s="35">
        <v>140</v>
      </c>
      <c r="E160" s="35">
        <v>127</v>
      </c>
      <c r="F160" s="35">
        <v>146</v>
      </c>
      <c r="G160" s="35">
        <v>153</v>
      </c>
      <c r="H160" s="35">
        <v>159</v>
      </c>
      <c r="I160" s="35">
        <v>133</v>
      </c>
      <c r="J160" s="35">
        <v>138</v>
      </c>
      <c r="K160" s="35"/>
      <c r="L160" s="35">
        <v>124</v>
      </c>
      <c r="M160" s="35">
        <v>113</v>
      </c>
      <c r="N160" s="35">
        <v>102</v>
      </c>
      <c r="O160" s="35">
        <v>120</v>
      </c>
      <c r="P160" s="35">
        <v>110</v>
      </c>
      <c r="Q160" s="35">
        <v>147</v>
      </c>
      <c r="R160" s="35">
        <v>0</v>
      </c>
      <c r="S160" s="35">
        <v>0</v>
      </c>
      <c r="T160" s="35">
        <v>0</v>
      </c>
      <c r="U160" s="35">
        <v>0</v>
      </c>
      <c r="V160" s="35">
        <v>0</v>
      </c>
      <c r="W160" s="35">
        <v>2013</v>
      </c>
    </row>
    <row r="161" spans="1:23" x14ac:dyDescent="0.4">
      <c r="A161" s="5" t="s">
        <v>349</v>
      </c>
      <c r="B161" s="35">
        <v>1183</v>
      </c>
      <c r="C161" s="35">
        <v>1114</v>
      </c>
      <c r="D161" s="35">
        <v>1220</v>
      </c>
      <c r="E161" s="35">
        <v>1091</v>
      </c>
      <c r="F161" s="35">
        <v>1372</v>
      </c>
      <c r="G161" s="35">
        <v>1344</v>
      </c>
      <c r="H161" s="35">
        <v>1107</v>
      </c>
      <c r="I161" s="35">
        <v>1188</v>
      </c>
      <c r="J161" s="35">
        <v>1088</v>
      </c>
      <c r="K161" s="35"/>
      <c r="L161" s="35">
        <v>1037</v>
      </c>
      <c r="M161" s="35">
        <v>1002</v>
      </c>
      <c r="N161" s="35">
        <v>959</v>
      </c>
      <c r="O161" s="35">
        <v>975</v>
      </c>
      <c r="P161" s="35">
        <v>964</v>
      </c>
      <c r="Q161" s="35">
        <v>901</v>
      </c>
      <c r="R161" s="35">
        <v>0</v>
      </c>
      <c r="S161" s="35">
        <v>0</v>
      </c>
      <c r="T161" s="35">
        <v>0</v>
      </c>
      <c r="U161" s="35">
        <v>0</v>
      </c>
      <c r="V161" s="35">
        <v>0</v>
      </c>
      <c r="W161" s="35">
        <v>16545</v>
      </c>
    </row>
    <row r="162" spans="1:23" x14ac:dyDescent="0.4">
      <c r="A162" s="5" t="s">
        <v>350</v>
      </c>
      <c r="B162" s="35">
        <v>1048</v>
      </c>
      <c r="C162" s="35">
        <v>1023</v>
      </c>
      <c r="D162" s="35">
        <v>1120</v>
      </c>
      <c r="E162" s="35">
        <v>656</v>
      </c>
      <c r="F162" s="35">
        <v>1521</v>
      </c>
      <c r="G162" s="35">
        <v>1704</v>
      </c>
      <c r="H162" s="35">
        <v>1003</v>
      </c>
      <c r="I162" s="35">
        <v>1072</v>
      </c>
      <c r="J162" s="35">
        <v>1579</v>
      </c>
      <c r="K162" s="35"/>
      <c r="L162" s="35">
        <v>1636</v>
      </c>
      <c r="M162" s="35">
        <v>1510</v>
      </c>
      <c r="N162" s="35">
        <v>1425</v>
      </c>
      <c r="O162" s="35">
        <v>1553</v>
      </c>
      <c r="P162" s="35">
        <v>1499</v>
      </c>
      <c r="Q162" s="35">
        <v>1496</v>
      </c>
      <c r="R162" s="35">
        <v>0</v>
      </c>
      <c r="S162" s="35">
        <v>0</v>
      </c>
      <c r="T162" s="35">
        <v>0</v>
      </c>
      <c r="U162" s="35">
        <v>0</v>
      </c>
      <c r="V162" s="35">
        <v>0</v>
      </c>
      <c r="W162" s="35">
        <v>19845</v>
      </c>
    </row>
    <row r="163" spans="1:23" x14ac:dyDescent="0.4">
      <c r="A163" s="5" t="s">
        <v>351</v>
      </c>
      <c r="B163" s="35">
        <v>2089</v>
      </c>
      <c r="C163" s="35">
        <v>2102</v>
      </c>
      <c r="D163" s="35">
        <v>2201</v>
      </c>
      <c r="E163" s="35">
        <v>2344</v>
      </c>
      <c r="F163" s="35">
        <v>2097</v>
      </c>
      <c r="G163" s="35">
        <v>1761</v>
      </c>
      <c r="H163" s="35">
        <v>1845</v>
      </c>
      <c r="I163" s="35">
        <v>1757</v>
      </c>
      <c r="J163" s="35">
        <v>1733</v>
      </c>
      <c r="K163" s="35"/>
      <c r="L163" s="35">
        <v>1605</v>
      </c>
      <c r="M163" s="35">
        <v>1504</v>
      </c>
      <c r="N163" s="35">
        <v>1226</v>
      </c>
      <c r="O163" s="35">
        <v>1016</v>
      </c>
      <c r="P163" s="35">
        <v>982</v>
      </c>
      <c r="Q163" s="35">
        <v>1004</v>
      </c>
      <c r="R163" s="35">
        <v>0</v>
      </c>
      <c r="S163" s="35">
        <v>0</v>
      </c>
      <c r="T163" s="35">
        <v>0</v>
      </c>
      <c r="U163" s="35">
        <v>0</v>
      </c>
      <c r="V163" s="35">
        <v>0</v>
      </c>
      <c r="W163" s="35">
        <v>25266</v>
      </c>
    </row>
    <row r="164" spans="1:23" x14ac:dyDescent="0.4">
      <c r="A164" s="5" t="s">
        <v>352</v>
      </c>
      <c r="B164" s="35">
        <v>2211</v>
      </c>
      <c r="C164" s="35">
        <v>2385</v>
      </c>
      <c r="D164" s="35">
        <v>2415</v>
      </c>
      <c r="E164" s="35">
        <v>2167</v>
      </c>
      <c r="F164" s="35">
        <v>2085</v>
      </c>
      <c r="G164" s="35">
        <v>2621</v>
      </c>
      <c r="H164" s="35">
        <v>2501</v>
      </c>
      <c r="I164" s="35">
        <v>2097</v>
      </c>
      <c r="J164" s="35">
        <v>2109</v>
      </c>
      <c r="K164" s="35"/>
      <c r="L164" s="35">
        <v>2217</v>
      </c>
      <c r="M164" s="35">
        <v>2351</v>
      </c>
      <c r="N164" s="35">
        <v>2242</v>
      </c>
      <c r="O164" s="35">
        <v>2233</v>
      </c>
      <c r="P164" s="35">
        <v>2037</v>
      </c>
      <c r="Q164" s="35">
        <v>2153</v>
      </c>
      <c r="R164" s="35">
        <v>0</v>
      </c>
      <c r="S164" s="35">
        <v>0</v>
      </c>
      <c r="T164" s="35">
        <v>0</v>
      </c>
      <c r="U164" s="35">
        <v>0</v>
      </c>
      <c r="V164" s="35">
        <v>0</v>
      </c>
      <c r="W164" s="35">
        <v>33824</v>
      </c>
    </row>
    <row r="165" spans="1:23" x14ac:dyDescent="0.4">
      <c r="A165" s="5" t="s">
        <v>353</v>
      </c>
      <c r="B165" s="35">
        <v>633</v>
      </c>
      <c r="C165" s="35">
        <v>716</v>
      </c>
      <c r="D165" s="35">
        <v>650</v>
      </c>
      <c r="E165" s="35">
        <v>694</v>
      </c>
      <c r="F165" s="35">
        <v>757</v>
      </c>
      <c r="G165" s="35">
        <v>892</v>
      </c>
      <c r="H165" s="35">
        <v>606</v>
      </c>
      <c r="I165" s="35">
        <v>541</v>
      </c>
      <c r="J165" s="35">
        <v>519</v>
      </c>
      <c r="K165" s="35"/>
      <c r="L165" s="35">
        <v>437</v>
      </c>
      <c r="M165" s="35">
        <v>387</v>
      </c>
      <c r="N165" s="35">
        <v>390</v>
      </c>
      <c r="O165" s="35">
        <v>402</v>
      </c>
      <c r="P165" s="35">
        <v>501</v>
      </c>
      <c r="Q165" s="35">
        <v>449</v>
      </c>
      <c r="R165" s="35">
        <v>0</v>
      </c>
      <c r="S165" s="35">
        <v>0</v>
      </c>
      <c r="T165" s="35">
        <v>0</v>
      </c>
      <c r="U165" s="35">
        <v>0</v>
      </c>
      <c r="V165" s="35">
        <v>0</v>
      </c>
      <c r="W165" s="35">
        <v>8574</v>
      </c>
    </row>
    <row r="166" spans="1:23" x14ac:dyDescent="0.4">
      <c r="A166" s="5" t="s">
        <v>354</v>
      </c>
      <c r="B166" s="35">
        <v>55</v>
      </c>
      <c r="C166" s="35">
        <v>56</v>
      </c>
      <c r="D166" s="35">
        <v>68</v>
      </c>
      <c r="E166" s="35">
        <v>59</v>
      </c>
      <c r="F166" s="35">
        <v>69</v>
      </c>
      <c r="G166" s="35">
        <v>74</v>
      </c>
      <c r="H166" s="35">
        <v>53</v>
      </c>
      <c r="I166" s="35">
        <v>39</v>
      </c>
      <c r="J166" s="35">
        <v>61</v>
      </c>
      <c r="K166" s="35"/>
      <c r="L166" s="35">
        <v>55</v>
      </c>
      <c r="M166" s="35">
        <v>45</v>
      </c>
      <c r="N166" s="35">
        <v>51</v>
      </c>
      <c r="O166" s="35">
        <v>48</v>
      </c>
      <c r="P166" s="35">
        <v>59</v>
      </c>
      <c r="Q166" s="35">
        <v>51</v>
      </c>
      <c r="R166" s="35">
        <v>0</v>
      </c>
      <c r="S166" s="35">
        <v>0</v>
      </c>
      <c r="T166" s="35">
        <v>0</v>
      </c>
      <c r="U166" s="35">
        <v>0</v>
      </c>
      <c r="V166" s="35">
        <v>0</v>
      </c>
      <c r="W166" s="35">
        <v>843</v>
      </c>
    </row>
    <row r="167" spans="1:23" x14ac:dyDescent="0.4">
      <c r="A167" s="5" t="s">
        <v>355</v>
      </c>
      <c r="B167" s="35">
        <v>1475</v>
      </c>
      <c r="C167" s="35">
        <v>1503</v>
      </c>
      <c r="D167" s="35">
        <v>1503</v>
      </c>
      <c r="E167" s="35">
        <v>1493</v>
      </c>
      <c r="F167" s="35">
        <v>1593</v>
      </c>
      <c r="G167" s="35">
        <v>1935</v>
      </c>
      <c r="H167" s="35">
        <v>1779</v>
      </c>
      <c r="I167" s="35">
        <v>1725</v>
      </c>
      <c r="J167" s="35">
        <v>1752</v>
      </c>
      <c r="K167" s="35"/>
      <c r="L167" s="35">
        <v>1757</v>
      </c>
      <c r="M167" s="35">
        <v>1676</v>
      </c>
      <c r="N167" s="35">
        <v>1689</v>
      </c>
      <c r="O167" s="35">
        <v>1977</v>
      </c>
      <c r="P167" s="35">
        <v>1868</v>
      </c>
      <c r="Q167" s="35">
        <v>1913</v>
      </c>
      <c r="R167" s="35">
        <v>0</v>
      </c>
      <c r="S167" s="35">
        <v>0</v>
      </c>
      <c r="T167" s="35">
        <v>0</v>
      </c>
      <c r="U167" s="35">
        <v>0</v>
      </c>
      <c r="V167" s="35">
        <v>0</v>
      </c>
      <c r="W167" s="35">
        <v>25638</v>
      </c>
    </row>
    <row r="168" spans="1:23" x14ac:dyDescent="0.4">
      <c r="A168" s="5" t="s">
        <v>356</v>
      </c>
      <c r="B168" s="35">
        <v>310</v>
      </c>
      <c r="C168" s="35">
        <v>354</v>
      </c>
      <c r="D168" s="35">
        <v>324</v>
      </c>
      <c r="E168" s="35">
        <v>459</v>
      </c>
      <c r="F168" s="35">
        <v>348</v>
      </c>
      <c r="G168" s="35">
        <v>406</v>
      </c>
      <c r="H168" s="35">
        <v>254</v>
      </c>
      <c r="I168" s="35">
        <v>289</v>
      </c>
      <c r="J168" s="35">
        <v>289</v>
      </c>
      <c r="K168" s="35"/>
      <c r="L168" s="35">
        <v>232</v>
      </c>
      <c r="M168" s="35">
        <v>196</v>
      </c>
      <c r="N168" s="35">
        <v>268</v>
      </c>
      <c r="O168" s="35">
        <v>277</v>
      </c>
      <c r="P168" s="35">
        <v>193</v>
      </c>
      <c r="Q168" s="35">
        <v>266</v>
      </c>
      <c r="R168" s="35">
        <v>0</v>
      </c>
      <c r="S168" s="35">
        <v>0</v>
      </c>
      <c r="T168" s="35">
        <v>0</v>
      </c>
      <c r="U168" s="35">
        <v>0</v>
      </c>
      <c r="V168" s="35">
        <v>0</v>
      </c>
      <c r="W168" s="35">
        <v>4465</v>
      </c>
    </row>
    <row r="169" spans="1:23" x14ac:dyDescent="0.4">
      <c r="A169" s="5" t="s">
        <v>458</v>
      </c>
      <c r="B169" s="35">
        <v>32</v>
      </c>
      <c r="C169" s="35">
        <v>30</v>
      </c>
      <c r="D169" s="35">
        <v>31</v>
      </c>
      <c r="E169" s="35">
        <v>16</v>
      </c>
      <c r="F169" s="35">
        <v>55</v>
      </c>
      <c r="G169" s="35">
        <v>76</v>
      </c>
      <c r="H169" s="35">
        <v>28</v>
      </c>
      <c r="I169" s="35">
        <v>27</v>
      </c>
      <c r="J169" s="35">
        <v>44</v>
      </c>
      <c r="K169" s="35"/>
      <c r="L169" s="35">
        <v>19</v>
      </c>
      <c r="M169" s="35">
        <v>23</v>
      </c>
      <c r="N169" s="35">
        <v>44</v>
      </c>
      <c r="O169" s="35">
        <v>22</v>
      </c>
      <c r="P169" s="35">
        <v>24</v>
      </c>
      <c r="Q169" s="35">
        <v>48</v>
      </c>
      <c r="R169" s="35">
        <v>19</v>
      </c>
      <c r="S169" s="35">
        <v>47</v>
      </c>
      <c r="T169" s="35">
        <v>31</v>
      </c>
      <c r="U169" s="35">
        <v>38</v>
      </c>
      <c r="V169" s="35">
        <v>122</v>
      </c>
      <c r="W169" s="35">
        <v>776</v>
      </c>
    </row>
    <row r="170" spans="1:23" x14ac:dyDescent="0.4">
      <c r="A170" s="5" t="s">
        <v>459</v>
      </c>
      <c r="B170" s="35">
        <v>22</v>
      </c>
      <c r="C170" s="35">
        <v>20</v>
      </c>
      <c r="D170" s="35">
        <v>11</v>
      </c>
      <c r="E170" s="35">
        <v>22</v>
      </c>
      <c r="F170" s="35">
        <v>28</v>
      </c>
      <c r="G170" s="35">
        <v>33</v>
      </c>
      <c r="H170" s="35">
        <v>16</v>
      </c>
      <c r="I170" s="35">
        <v>12</v>
      </c>
      <c r="J170" s="35">
        <v>18</v>
      </c>
      <c r="K170" s="35"/>
      <c r="L170" s="35">
        <v>6</v>
      </c>
      <c r="M170" s="35">
        <v>8</v>
      </c>
      <c r="N170" s="35">
        <v>17</v>
      </c>
      <c r="O170" s="35">
        <v>27</v>
      </c>
      <c r="P170" s="35">
        <v>23</v>
      </c>
      <c r="Q170" s="35">
        <v>26</v>
      </c>
      <c r="R170" s="35">
        <v>21</v>
      </c>
      <c r="S170" s="35">
        <v>23</v>
      </c>
      <c r="T170" s="35">
        <v>25</v>
      </c>
      <c r="U170" s="35">
        <v>22</v>
      </c>
      <c r="V170" s="35">
        <v>27</v>
      </c>
      <c r="W170" s="35">
        <v>407</v>
      </c>
    </row>
    <row r="171" spans="1:23" x14ac:dyDescent="0.4">
      <c r="A171" s="5" t="s">
        <v>460</v>
      </c>
      <c r="B171" s="35">
        <v>46</v>
      </c>
      <c r="C171" s="35">
        <v>50</v>
      </c>
      <c r="D171" s="35">
        <v>50</v>
      </c>
      <c r="E171" s="35">
        <v>52</v>
      </c>
      <c r="F171" s="35">
        <v>70</v>
      </c>
      <c r="G171" s="35">
        <v>77</v>
      </c>
      <c r="H171" s="35">
        <v>52</v>
      </c>
      <c r="I171" s="35">
        <v>45</v>
      </c>
      <c r="J171" s="35">
        <v>33</v>
      </c>
      <c r="K171" s="35"/>
      <c r="L171" s="35">
        <v>54</v>
      </c>
      <c r="M171" s="35">
        <v>58</v>
      </c>
      <c r="N171" s="35">
        <v>50</v>
      </c>
      <c r="O171" s="35">
        <v>41</v>
      </c>
      <c r="P171" s="35">
        <v>40</v>
      </c>
      <c r="Q171" s="35">
        <v>48</v>
      </c>
      <c r="R171" s="35">
        <v>38</v>
      </c>
      <c r="S171" s="35">
        <v>66</v>
      </c>
      <c r="T171" s="35">
        <v>32</v>
      </c>
      <c r="U171" s="35">
        <v>57</v>
      </c>
      <c r="V171" s="35">
        <v>48</v>
      </c>
      <c r="W171" s="35">
        <v>1007</v>
      </c>
    </row>
    <row r="172" spans="1:23" x14ac:dyDescent="0.4">
      <c r="A172" s="5" t="s">
        <v>461</v>
      </c>
      <c r="B172" s="35">
        <v>23</v>
      </c>
      <c r="C172" s="35">
        <v>16</v>
      </c>
      <c r="D172" s="35">
        <v>25</v>
      </c>
      <c r="E172" s="35">
        <v>34</v>
      </c>
      <c r="F172" s="35">
        <v>29</v>
      </c>
      <c r="G172" s="35">
        <v>36</v>
      </c>
      <c r="H172" s="35">
        <v>28</v>
      </c>
      <c r="I172" s="35">
        <v>25</v>
      </c>
      <c r="J172" s="35">
        <v>28</v>
      </c>
      <c r="K172" s="35"/>
      <c r="L172" s="35">
        <v>29</v>
      </c>
      <c r="M172" s="35">
        <v>25</v>
      </c>
      <c r="N172" s="35">
        <v>23</v>
      </c>
      <c r="O172" s="35">
        <v>25</v>
      </c>
      <c r="P172" s="35">
        <v>14</v>
      </c>
      <c r="Q172" s="35">
        <v>22</v>
      </c>
      <c r="R172" s="35">
        <v>18</v>
      </c>
      <c r="S172" s="35">
        <v>10</v>
      </c>
      <c r="T172" s="35">
        <v>0</v>
      </c>
      <c r="U172" s="35">
        <v>9</v>
      </c>
      <c r="V172" s="35">
        <v>20</v>
      </c>
      <c r="W172" s="35">
        <v>439</v>
      </c>
    </row>
    <row r="173" spans="1:23" x14ac:dyDescent="0.4">
      <c r="A173" s="5" t="s">
        <v>462</v>
      </c>
      <c r="B173" s="35">
        <v>1156</v>
      </c>
      <c r="C173" s="35">
        <v>1257</v>
      </c>
      <c r="D173" s="35">
        <v>1157</v>
      </c>
      <c r="E173" s="35">
        <v>1083</v>
      </c>
      <c r="F173" s="35">
        <v>1115</v>
      </c>
      <c r="G173" s="35">
        <v>1837</v>
      </c>
      <c r="H173" s="35">
        <v>980</v>
      </c>
      <c r="I173" s="35">
        <v>1057</v>
      </c>
      <c r="J173" s="35">
        <v>1093</v>
      </c>
      <c r="K173" s="35"/>
      <c r="L173" s="35">
        <v>964</v>
      </c>
      <c r="M173" s="35">
        <v>848</v>
      </c>
      <c r="N173" s="35">
        <v>670</v>
      </c>
      <c r="O173" s="35">
        <v>645</v>
      </c>
      <c r="P173" s="35">
        <v>568</v>
      </c>
      <c r="Q173" s="35">
        <v>632</v>
      </c>
      <c r="R173" s="35">
        <v>654</v>
      </c>
      <c r="S173" s="35">
        <v>744</v>
      </c>
      <c r="T173" s="35">
        <v>727</v>
      </c>
      <c r="U173" s="35">
        <v>622</v>
      </c>
      <c r="V173" s="35">
        <v>609</v>
      </c>
      <c r="W173" s="35">
        <v>18418</v>
      </c>
    </row>
    <row r="174" spans="1:23" x14ac:dyDescent="0.4">
      <c r="A174" s="5" t="s">
        <v>463</v>
      </c>
      <c r="B174" s="35">
        <v>65</v>
      </c>
      <c r="C174" s="35">
        <v>84</v>
      </c>
      <c r="D174" s="35">
        <v>62</v>
      </c>
      <c r="E174" s="35">
        <v>15</v>
      </c>
      <c r="F174" s="35">
        <v>84</v>
      </c>
      <c r="G174" s="35">
        <v>136</v>
      </c>
      <c r="H174" s="35">
        <v>52</v>
      </c>
      <c r="I174" s="35">
        <v>66</v>
      </c>
      <c r="J174" s="35">
        <v>60</v>
      </c>
      <c r="K174" s="35"/>
      <c r="L174" s="35">
        <v>69</v>
      </c>
      <c r="M174" s="35">
        <v>67</v>
      </c>
      <c r="N174" s="35">
        <v>59</v>
      </c>
      <c r="O174" s="35">
        <v>77</v>
      </c>
      <c r="P174" s="35">
        <v>46</v>
      </c>
      <c r="Q174" s="35">
        <v>46</v>
      </c>
      <c r="R174" s="35">
        <v>52</v>
      </c>
      <c r="S174" s="35">
        <v>55</v>
      </c>
      <c r="T174" s="35">
        <v>4</v>
      </c>
      <c r="U174" s="35">
        <v>48</v>
      </c>
      <c r="V174" s="35">
        <v>47</v>
      </c>
      <c r="W174" s="35">
        <v>1194</v>
      </c>
    </row>
    <row r="175" spans="1:23" x14ac:dyDescent="0.4">
      <c r="A175" s="5" t="s">
        <v>464</v>
      </c>
      <c r="B175" s="35">
        <v>77</v>
      </c>
      <c r="C175" s="35">
        <v>70</v>
      </c>
      <c r="D175" s="35">
        <v>68</v>
      </c>
      <c r="E175" s="35">
        <v>68</v>
      </c>
      <c r="F175" s="35">
        <v>78</v>
      </c>
      <c r="G175" s="35">
        <v>70</v>
      </c>
      <c r="H175" s="35">
        <v>66</v>
      </c>
      <c r="I175" s="35">
        <v>73</v>
      </c>
      <c r="J175" s="35">
        <v>56</v>
      </c>
      <c r="K175" s="35"/>
      <c r="L175" s="35">
        <v>50</v>
      </c>
      <c r="M175" s="35">
        <v>61</v>
      </c>
      <c r="N175" s="35">
        <v>55</v>
      </c>
      <c r="O175" s="35">
        <v>57</v>
      </c>
      <c r="P175" s="35">
        <v>59</v>
      </c>
      <c r="Q175" s="35">
        <v>52</v>
      </c>
      <c r="R175" s="35">
        <v>45</v>
      </c>
      <c r="S175" s="35">
        <v>44</v>
      </c>
      <c r="T175" s="35">
        <v>60</v>
      </c>
      <c r="U175" s="35">
        <v>52</v>
      </c>
      <c r="V175" s="35">
        <v>59</v>
      </c>
      <c r="W175" s="35">
        <v>1220</v>
      </c>
    </row>
    <row r="176" spans="1:23" x14ac:dyDescent="0.4">
      <c r="A176" s="5" t="s">
        <v>465</v>
      </c>
      <c r="B176" s="35">
        <v>21</v>
      </c>
      <c r="C176" s="35">
        <v>20</v>
      </c>
      <c r="D176" s="35">
        <v>21</v>
      </c>
      <c r="E176" s="35">
        <v>27</v>
      </c>
      <c r="F176" s="35">
        <v>25</v>
      </c>
      <c r="G176" s="35">
        <v>37</v>
      </c>
      <c r="H176" s="35">
        <v>24</v>
      </c>
      <c r="I176" s="35">
        <v>20</v>
      </c>
      <c r="J176" s="35">
        <v>18</v>
      </c>
      <c r="K176" s="35"/>
      <c r="L176" s="35">
        <v>8</v>
      </c>
      <c r="M176" s="35">
        <v>23</v>
      </c>
      <c r="N176" s="35">
        <v>25</v>
      </c>
      <c r="O176" s="35">
        <v>14</v>
      </c>
      <c r="P176" s="35">
        <v>14</v>
      </c>
      <c r="Q176" s="35">
        <v>3</v>
      </c>
      <c r="R176" s="35">
        <v>20</v>
      </c>
      <c r="S176" s="35">
        <v>9</v>
      </c>
      <c r="T176" s="35">
        <v>18</v>
      </c>
      <c r="U176" s="35">
        <v>19</v>
      </c>
      <c r="V176" s="35">
        <v>19</v>
      </c>
      <c r="W176" s="35">
        <v>385</v>
      </c>
    </row>
    <row r="177" spans="1:23" x14ac:dyDescent="0.4">
      <c r="A177" s="5" t="s">
        <v>466</v>
      </c>
      <c r="B177" s="35">
        <v>106</v>
      </c>
      <c r="C177" s="35">
        <v>154</v>
      </c>
      <c r="D177" s="35">
        <v>129</v>
      </c>
      <c r="E177" s="35">
        <v>124</v>
      </c>
      <c r="F177" s="35">
        <v>136</v>
      </c>
      <c r="G177" s="35">
        <v>212</v>
      </c>
      <c r="H177" s="35">
        <v>97</v>
      </c>
      <c r="I177" s="35">
        <v>117</v>
      </c>
      <c r="J177" s="35">
        <v>71</v>
      </c>
      <c r="K177" s="35"/>
      <c r="L177" s="35">
        <v>107</v>
      </c>
      <c r="M177" s="35">
        <v>100</v>
      </c>
      <c r="N177" s="35">
        <v>67</v>
      </c>
      <c r="O177" s="35">
        <v>132</v>
      </c>
      <c r="P177" s="35">
        <v>47</v>
      </c>
      <c r="Q177" s="35">
        <v>104</v>
      </c>
      <c r="R177" s="35">
        <v>67</v>
      </c>
      <c r="S177" s="35">
        <v>124</v>
      </c>
      <c r="T177" s="35">
        <v>112</v>
      </c>
      <c r="U177" s="35">
        <v>79</v>
      </c>
      <c r="V177" s="35">
        <v>58</v>
      </c>
      <c r="W177" s="35">
        <v>2143</v>
      </c>
    </row>
    <row r="178" spans="1:23" x14ac:dyDescent="0.4">
      <c r="A178" s="5" t="s">
        <v>467</v>
      </c>
      <c r="B178" s="35">
        <v>95</v>
      </c>
      <c r="C178" s="35">
        <v>91</v>
      </c>
      <c r="D178" s="35">
        <v>105</v>
      </c>
      <c r="E178" s="35">
        <v>98</v>
      </c>
      <c r="F178" s="35">
        <v>98</v>
      </c>
      <c r="G178" s="35">
        <v>139</v>
      </c>
      <c r="H178" s="35">
        <v>93</v>
      </c>
      <c r="I178" s="35">
        <v>91</v>
      </c>
      <c r="J178" s="35">
        <v>90</v>
      </c>
      <c r="K178" s="35"/>
      <c r="L178" s="35">
        <v>71</v>
      </c>
      <c r="M178" s="35">
        <v>86</v>
      </c>
      <c r="N178" s="35">
        <v>92</v>
      </c>
      <c r="O178" s="35">
        <v>88</v>
      </c>
      <c r="P178" s="35">
        <v>101</v>
      </c>
      <c r="Q178" s="35">
        <v>70</v>
      </c>
      <c r="R178" s="35">
        <v>68</v>
      </c>
      <c r="S178" s="35">
        <v>81</v>
      </c>
      <c r="T178" s="35">
        <v>86</v>
      </c>
      <c r="U178" s="35">
        <v>94</v>
      </c>
      <c r="V178" s="35">
        <v>110</v>
      </c>
      <c r="W178" s="35">
        <v>1847</v>
      </c>
    </row>
    <row r="179" spans="1:23" x14ac:dyDescent="0.4">
      <c r="A179" s="5" t="s">
        <v>468</v>
      </c>
      <c r="B179" s="35">
        <v>24</v>
      </c>
      <c r="C179" s="35">
        <v>7</v>
      </c>
      <c r="D179" s="35">
        <v>16</v>
      </c>
      <c r="E179" s="35">
        <v>10</v>
      </c>
      <c r="F179" s="35">
        <v>19</v>
      </c>
      <c r="G179" s="35">
        <v>23</v>
      </c>
      <c r="H179" s="35">
        <v>13</v>
      </c>
      <c r="I179" s="35">
        <v>11</v>
      </c>
      <c r="J179" s="35">
        <v>10</v>
      </c>
      <c r="K179" s="35"/>
      <c r="L179" s="35">
        <v>2</v>
      </c>
      <c r="M179" s="35">
        <v>7</v>
      </c>
      <c r="N179" s="35">
        <v>23</v>
      </c>
      <c r="O179" s="35">
        <v>21</v>
      </c>
      <c r="P179" s="35">
        <v>14</v>
      </c>
      <c r="Q179" s="35">
        <v>19</v>
      </c>
      <c r="R179" s="35">
        <v>14</v>
      </c>
      <c r="S179" s="35">
        <v>14</v>
      </c>
      <c r="T179" s="35">
        <v>5</v>
      </c>
      <c r="U179" s="35">
        <v>10</v>
      </c>
      <c r="V179" s="35">
        <v>25</v>
      </c>
      <c r="W179" s="35">
        <v>287</v>
      </c>
    </row>
    <row r="180" spans="1:23" x14ac:dyDescent="0.4">
      <c r="A180" s="5" t="s">
        <v>469</v>
      </c>
      <c r="B180" s="35">
        <v>115</v>
      </c>
      <c r="C180" s="35">
        <v>130</v>
      </c>
      <c r="D180" s="35">
        <v>118</v>
      </c>
      <c r="E180" s="35">
        <v>48</v>
      </c>
      <c r="F180" s="35">
        <v>69</v>
      </c>
      <c r="G180" s="35">
        <v>140</v>
      </c>
      <c r="H180" s="35">
        <v>89</v>
      </c>
      <c r="I180" s="35">
        <v>125</v>
      </c>
      <c r="J180" s="35">
        <v>116</v>
      </c>
      <c r="K180" s="35"/>
      <c r="L180" s="35">
        <v>111</v>
      </c>
      <c r="M180" s="35">
        <v>127</v>
      </c>
      <c r="N180" s="35">
        <v>110</v>
      </c>
      <c r="O180" s="35">
        <v>138</v>
      </c>
      <c r="P180" s="35">
        <v>77</v>
      </c>
      <c r="Q180" s="35">
        <v>97</v>
      </c>
      <c r="R180" s="35">
        <v>65</v>
      </c>
      <c r="S180" s="35">
        <v>65</v>
      </c>
      <c r="T180" s="35">
        <v>72</v>
      </c>
      <c r="U180" s="35">
        <v>78</v>
      </c>
      <c r="V180" s="35">
        <v>66</v>
      </c>
      <c r="W180" s="35">
        <v>1956</v>
      </c>
    </row>
    <row r="181" spans="1:23" x14ac:dyDescent="0.4">
      <c r="A181" s="5" t="s">
        <v>470</v>
      </c>
      <c r="B181" s="35">
        <v>74</v>
      </c>
      <c r="C181" s="35">
        <v>80</v>
      </c>
      <c r="D181" s="35">
        <v>77</v>
      </c>
      <c r="E181" s="35">
        <v>94</v>
      </c>
      <c r="F181" s="35">
        <v>59</v>
      </c>
      <c r="G181" s="35">
        <v>120</v>
      </c>
      <c r="H181" s="35">
        <v>75</v>
      </c>
      <c r="I181" s="35">
        <v>94</v>
      </c>
      <c r="J181" s="35">
        <v>64</v>
      </c>
      <c r="K181" s="35"/>
      <c r="L181" s="35">
        <v>77</v>
      </c>
      <c r="M181" s="35">
        <v>67</v>
      </c>
      <c r="N181" s="35">
        <v>84</v>
      </c>
      <c r="O181" s="35">
        <v>83</v>
      </c>
      <c r="P181" s="35">
        <v>59</v>
      </c>
      <c r="Q181" s="35">
        <v>70</v>
      </c>
      <c r="R181" s="35">
        <v>47</v>
      </c>
      <c r="S181" s="35">
        <v>71</v>
      </c>
      <c r="T181" s="35">
        <v>67</v>
      </c>
      <c r="U181" s="35">
        <v>38</v>
      </c>
      <c r="V181" s="35">
        <v>56</v>
      </c>
      <c r="W181" s="35">
        <v>1456</v>
      </c>
    </row>
    <row r="182" spans="1:23" x14ac:dyDescent="0.4">
      <c r="A182" s="5" t="s">
        <v>471</v>
      </c>
      <c r="B182" s="35">
        <v>1387</v>
      </c>
      <c r="C182" s="35">
        <v>1460</v>
      </c>
      <c r="D182" s="35">
        <v>1544</v>
      </c>
      <c r="E182" s="35">
        <v>1501</v>
      </c>
      <c r="F182" s="35">
        <v>1710</v>
      </c>
      <c r="G182" s="35">
        <v>1912</v>
      </c>
      <c r="H182" s="35">
        <v>1175</v>
      </c>
      <c r="I182" s="35">
        <v>1256</v>
      </c>
      <c r="J182" s="35">
        <v>1216</v>
      </c>
      <c r="K182" s="35"/>
      <c r="L182" s="35">
        <v>1204</v>
      </c>
      <c r="M182" s="35">
        <v>1107</v>
      </c>
      <c r="N182" s="35">
        <v>1176</v>
      </c>
      <c r="O182" s="35">
        <v>1231</v>
      </c>
      <c r="P182" s="35">
        <v>989</v>
      </c>
      <c r="Q182" s="35">
        <v>959</v>
      </c>
      <c r="R182" s="35">
        <v>903</v>
      </c>
      <c r="S182" s="35">
        <v>904</v>
      </c>
      <c r="T182" s="35">
        <v>954</v>
      </c>
      <c r="U182" s="35">
        <v>902</v>
      </c>
      <c r="V182" s="35">
        <v>852</v>
      </c>
      <c r="W182" s="35">
        <v>24342</v>
      </c>
    </row>
    <row r="183" spans="1:23" x14ac:dyDescent="0.4">
      <c r="A183" s="5" t="s">
        <v>472</v>
      </c>
      <c r="B183" s="35">
        <v>52</v>
      </c>
      <c r="C183" s="35">
        <v>62</v>
      </c>
      <c r="D183" s="35">
        <v>64</v>
      </c>
      <c r="E183" s="35">
        <v>86</v>
      </c>
      <c r="F183" s="35">
        <v>90</v>
      </c>
      <c r="G183" s="35">
        <v>76</v>
      </c>
      <c r="H183" s="35">
        <v>66</v>
      </c>
      <c r="I183" s="35">
        <v>80</v>
      </c>
      <c r="J183" s="35">
        <v>47</v>
      </c>
      <c r="K183" s="35"/>
      <c r="L183" s="35">
        <v>61</v>
      </c>
      <c r="M183" s="35">
        <v>53</v>
      </c>
      <c r="N183" s="35">
        <v>58</v>
      </c>
      <c r="O183" s="35">
        <v>81</v>
      </c>
      <c r="P183" s="35">
        <v>52</v>
      </c>
      <c r="Q183" s="35">
        <v>46</v>
      </c>
      <c r="R183" s="35">
        <v>23</v>
      </c>
      <c r="S183" s="35">
        <v>48</v>
      </c>
      <c r="T183" s="35">
        <v>32</v>
      </c>
      <c r="U183" s="35">
        <v>35</v>
      </c>
      <c r="V183" s="35">
        <v>60</v>
      </c>
      <c r="W183" s="35">
        <v>1172</v>
      </c>
    </row>
    <row r="184" spans="1:23" x14ac:dyDescent="0.4">
      <c r="A184" s="5" t="s">
        <v>473</v>
      </c>
      <c r="B184" s="35">
        <v>2</v>
      </c>
      <c r="C184" s="35">
        <v>6</v>
      </c>
      <c r="D184" s="35">
        <v>5</v>
      </c>
      <c r="E184" s="35">
        <v>4</v>
      </c>
      <c r="F184" s="35">
        <v>9</v>
      </c>
      <c r="G184" s="35">
        <v>4</v>
      </c>
      <c r="H184" s="35">
        <v>4</v>
      </c>
      <c r="I184" s="35">
        <v>2</v>
      </c>
      <c r="J184" s="35">
        <v>5</v>
      </c>
      <c r="K184" s="35"/>
      <c r="L184" s="35">
        <v>2</v>
      </c>
      <c r="M184" s="35">
        <v>6</v>
      </c>
      <c r="N184" s="35">
        <v>5</v>
      </c>
      <c r="O184" s="35">
        <v>5</v>
      </c>
      <c r="P184" s="35">
        <v>2</v>
      </c>
      <c r="Q184" s="35">
        <v>3</v>
      </c>
      <c r="R184" s="35">
        <v>4</v>
      </c>
      <c r="S184" s="35">
        <v>14</v>
      </c>
      <c r="T184" s="35">
        <v>4</v>
      </c>
      <c r="U184" s="35">
        <v>11</v>
      </c>
      <c r="V184" s="35">
        <v>3</v>
      </c>
      <c r="W184" s="35">
        <v>100</v>
      </c>
    </row>
    <row r="185" spans="1:23" x14ac:dyDescent="0.4">
      <c r="A185" s="5" t="s">
        <v>474</v>
      </c>
      <c r="B185" s="35">
        <v>26</v>
      </c>
      <c r="C185" s="35">
        <v>26</v>
      </c>
      <c r="D185" s="35">
        <v>19</v>
      </c>
      <c r="E185" s="35">
        <v>29</v>
      </c>
      <c r="F185" s="35">
        <v>45</v>
      </c>
      <c r="G185" s="35">
        <v>53</v>
      </c>
      <c r="H185" s="35">
        <v>11</v>
      </c>
      <c r="I185" s="35">
        <v>27</v>
      </c>
      <c r="J185" s="35">
        <v>27</v>
      </c>
      <c r="K185" s="35"/>
      <c r="L185" s="35">
        <v>6</v>
      </c>
      <c r="M185" s="35">
        <v>14</v>
      </c>
      <c r="N185" s="35">
        <v>6</v>
      </c>
      <c r="O185" s="35">
        <v>5</v>
      </c>
      <c r="P185" s="35">
        <v>30</v>
      </c>
      <c r="Q185" s="35">
        <v>41</v>
      </c>
      <c r="R185" s="35">
        <v>31</v>
      </c>
      <c r="S185" s="35">
        <v>53</v>
      </c>
      <c r="T185" s="35">
        <v>30</v>
      </c>
      <c r="U185" s="35">
        <v>35</v>
      </c>
      <c r="V185" s="35">
        <v>33</v>
      </c>
      <c r="W185" s="35">
        <v>547</v>
      </c>
    </row>
    <row r="186" spans="1:23" x14ac:dyDescent="0.4">
      <c r="A186" s="5" t="s">
        <v>475</v>
      </c>
      <c r="B186" s="35">
        <v>43</v>
      </c>
      <c r="C186" s="35">
        <v>35</v>
      </c>
      <c r="D186" s="35">
        <v>33</v>
      </c>
      <c r="E186" s="35">
        <v>2</v>
      </c>
      <c r="F186" s="35">
        <v>42</v>
      </c>
      <c r="G186" s="35">
        <v>46</v>
      </c>
      <c r="H186" s="35">
        <v>40</v>
      </c>
      <c r="I186" s="35">
        <v>44</v>
      </c>
      <c r="J186" s="35">
        <v>24</v>
      </c>
      <c r="K186" s="35"/>
      <c r="L186" s="35">
        <v>23</v>
      </c>
      <c r="M186" s="35">
        <v>26</v>
      </c>
      <c r="N186" s="35">
        <v>20</v>
      </c>
      <c r="O186" s="35">
        <v>0</v>
      </c>
      <c r="P186" s="35">
        <v>28</v>
      </c>
      <c r="Q186" s="35">
        <v>28</v>
      </c>
      <c r="R186" s="35">
        <v>36</v>
      </c>
      <c r="S186" s="35">
        <v>32</v>
      </c>
      <c r="T186" s="35">
        <v>39</v>
      </c>
      <c r="U186" s="35">
        <v>15</v>
      </c>
      <c r="V186" s="35">
        <v>23</v>
      </c>
      <c r="W186" s="35">
        <v>579</v>
      </c>
    </row>
    <row r="187" spans="1:23" x14ac:dyDescent="0.4">
      <c r="A187" s="5" t="s">
        <v>476</v>
      </c>
      <c r="B187" s="35">
        <v>41</v>
      </c>
      <c r="C187" s="35">
        <v>45</v>
      </c>
      <c r="D187" s="35">
        <v>42</v>
      </c>
      <c r="E187" s="35">
        <v>40</v>
      </c>
      <c r="F187" s="35">
        <v>52</v>
      </c>
      <c r="G187" s="35">
        <v>41</v>
      </c>
      <c r="H187" s="35">
        <v>32</v>
      </c>
      <c r="I187" s="35">
        <v>43</v>
      </c>
      <c r="J187" s="35">
        <v>36</v>
      </c>
      <c r="K187" s="35"/>
      <c r="L187" s="35">
        <v>39</v>
      </c>
      <c r="M187" s="35">
        <v>47</v>
      </c>
      <c r="N187" s="35">
        <v>0</v>
      </c>
      <c r="O187" s="35">
        <v>19</v>
      </c>
      <c r="P187" s="35">
        <v>27</v>
      </c>
      <c r="Q187" s="35">
        <v>21</v>
      </c>
      <c r="R187" s="35">
        <v>23</v>
      </c>
      <c r="S187" s="35">
        <v>26</v>
      </c>
      <c r="T187" s="35">
        <v>14</v>
      </c>
      <c r="U187" s="35">
        <v>17</v>
      </c>
      <c r="V187" s="35">
        <v>33</v>
      </c>
      <c r="W187" s="35">
        <v>638</v>
      </c>
    </row>
    <row r="188" spans="1:23" x14ac:dyDescent="0.4">
      <c r="A188" s="5" t="s">
        <v>477</v>
      </c>
      <c r="B188" s="35">
        <v>191</v>
      </c>
      <c r="C188" s="35">
        <v>165</v>
      </c>
      <c r="D188" s="35">
        <v>224</v>
      </c>
      <c r="E188" s="35">
        <v>178</v>
      </c>
      <c r="F188" s="35">
        <v>150</v>
      </c>
      <c r="G188" s="35">
        <v>165</v>
      </c>
      <c r="H188" s="35">
        <v>190</v>
      </c>
      <c r="I188" s="35">
        <v>152</v>
      </c>
      <c r="J188" s="35">
        <v>160</v>
      </c>
      <c r="K188" s="35"/>
      <c r="L188" s="35">
        <v>141</v>
      </c>
      <c r="M188" s="35">
        <v>151</v>
      </c>
      <c r="N188" s="35">
        <v>167</v>
      </c>
      <c r="O188" s="35">
        <v>210</v>
      </c>
      <c r="P188" s="35">
        <v>179</v>
      </c>
      <c r="Q188" s="35">
        <v>232</v>
      </c>
      <c r="R188" s="35">
        <v>45</v>
      </c>
      <c r="S188" s="35">
        <v>144</v>
      </c>
      <c r="T188" s="35">
        <v>96</v>
      </c>
      <c r="U188" s="35">
        <v>47</v>
      </c>
      <c r="V188" s="35">
        <v>85</v>
      </c>
      <c r="W188" s="35">
        <v>3072</v>
      </c>
    </row>
    <row r="189" spans="1:23" x14ac:dyDescent="0.4">
      <c r="A189" s="5" t="s">
        <v>478</v>
      </c>
      <c r="B189" s="35">
        <v>27</v>
      </c>
      <c r="C189" s="35">
        <v>16</v>
      </c>
      <c r="D189" s="35">
        <v>21</v>
      </c>
      <c r="E189" s="35">
        <v>23</v>
      </c>
      <c r="F189" s="35">
        <v>23</v>
      </c>
      <c r="G189" s="35">
        <v>30</v>
      </c>
      <c r="H189" s="35">
        <v>18</v>
      </c>
      <c r="I189" s="35">
        <v>15</v>
      </c>
      <c r="J189" s="35">
        <v>12</v>
      </c>
      <c r="K189" s="35"/>
      <c r="L189" s="35">
        <v>0</v>
      </c>
      <c r="M189" s="35">
        <v>10</v>
      </c>
      <c r="N189" s="35">
        <v>6</v>
      </c>
      <c r="O189" s="35">
        <v>5</v>
      </c>
      <c r="P189" s="35">
        <v>17</v>
      </c>
      <c r="Q189" s="35">
        <v>16</v>
      </c>
      <c r="R189" s="35">
        <v>11</v>
      </c>
      <c r="S189" s="35">
        <v>16</v>
      </c>
      <c r="T189" s="35">
        <v>8</v>
      </c>
      <c r="U189" s="35">
        <v>14</v>
      </c>
      <c r="V189" s="35">
        <v>21</v>
      </c>
      <c r="W189" s="35">
        <v>309</v>
      </c>
    </row>
    <row r="190" spans="1:23" x14ac:dyDescent="0.4">
      <c r="A190" s="5" t="s">
        <v>479</v>
      </c>
      <c r="B190" s="35">
        <v>10</v>
      </c>
      <c r="C190" s="35">
        <v>19</v>
      </c>
      <c r="D190" s="35">
        <v>27</v>
      </c>
      <c r="E190" s="35">
        <v>19</v>
      </c>
      <c r="F190" s="35">
        <v>22</v>
      </c>
      <c r="G190" s="35">
        <v>32</v>
      </c>
      <c r="H190" s="35">
        <v>19</v>
      </c>
      <c r="I190" s="35">
        <v>16</v>
      </c>
      <c r="J190" s="35">
        <v>8</v>
      </c>
      <c r="K190" s="35"/>
      <c r="L190" s="35">
        <v>16</v>
      </c>
      <c r="M190" s="35">
        <v>14</v>
      </c>
      <c r="N190" s="35">
        <v>10</v>
      </c>
      <c r="O190" s="35">
        <v>0</v>
      </c>
      <c r="P190" s="35">
        <v>20</v>
      </c>
      <c r="Q190" s="35">
        <v>5</v>
      </c>
      <c r="R190" s="35">
        <v>0</v>
      </c>
      <c r="S190" s="35">
        <v>23</v>
      </c>
      <c r="T190" s="35">
        <v>24</v>
      </c>
      <c r="U190" s="35">
        <v>19</v>
      </c>
      <c r="V190" s="35">
        <v>19</v>
      </c>
      <c r="W190" s="35">
        <v>322</v>
      </c>
    </row>
    <row r="191" spans="1:23" x14ac:dyDescent="0.4">
      <c r="A191" s="5" t="s">
        <v>480</v>
      </c>
      <c r="B191" s="35">
        <v>36</v>
      </c>
      <c r="C191" s="35">
        <v>34</v>
      </c>
      <c r="D191" s="35">
        <v>20</v>
      </c>
      <c r="E191" s="35">
        <v>33</v>
      </c>
      <c r="F191" s="35">
        <v>46</v>
      </c>
      <c r="G191" s="35">
        <v>54</v>
      </c>
      <c r="H191" s="35">
        <v>28</v>
      </c>
      <c r="I191" s="35">
        <v>28</v>
      </c>
      <c r="J191" s="35">
        <v>25</v>
      </c>
      <c r="K191" s="35"/>
      <c r="L191" s="35">
        <v>19</v>
      </c>
      <c r="M191" s="35">
        <v>28</v>
      </c>
      <c r="N191" s="35">
        <v>29</v>
      </c>
      <c r="O191" s="35">
        <v>33</v>
      </c>
      <c r="P191" s="35">
        <v>31</v>
      </c>
      <c r="Q191" s="35">
        <v>35</v>
      </c>
      <c r="R191" s="35">
        <v>28</v>
      </c>
      <c r="S191" s="35">
        <v>23</v>
      </c>
      <c r="T191" s="35">
        <v>19</v>
      </c>
      <c r="U191" s="35">
        <v>22</v>
      </c>
      <c r="V191" s="35">
        <v>41</v>
      </c>
      <c r="W191" s="35">
        <v>612</v>
      </c>
    </row>
    <row r="192" spans="1:23" x14ac:dyDescent="0.4">
      <c r="A192" s="5" t="s">
        <v>481</v>
      </c>
      <c r="B192" s="35">
        <v>27</v>
      </c>
      <c r="C192" s="35">
        <v>17</v>
      </c>
      <c r="D192" s="35">
        <v>26</v>
      </c>
      <c r="E192" s="35">
        <v>12</v>
      </c>
      <c r="F192" s="35">
        <v>11</v>
      </c>
      <c r="G192" s="35">
        <v>35</v>
      </c>
      <c r="H192" s="35">
        <v>27</v>
      </c>
      <c r="I192" s="35">
        <v>26</v>
      </c>
      <c r="J192" s="35">
        <v>27</v>
      </c>
      <c r="K192" s="35"/>
      <c r="L192" s="35">
        <v>9</v>
      </c>
      <c r="M192" s="35">
        <v>22</v>
      </c>
      <c r="N192" s="35">
        <v>16</v>
      </c>
      <c r="O192" s="35">
        <v>1</v>
      </c>
      <c r="P192" s="35">
        <v>1</v>
      </c>
      <c r="Q192" s="35">
        <v>14</v>
      </c>
      <c r="R192" s="35">
        <v>16</v>
      </c>
      <c r="S192" s="35">
        <v>10</v>
      </c>
      <c r="T192" s="35">
        <v>13</v>
      </c>
      <c r="U192" s="35">
        <v>21</v>
      </c>
      <c r="V192" s="35">
        <v>25</v>
      </c>
      <c r="W192" s="35">
        <v>356</v>
      </c>
    </row>
    <row r="193" spans="1:23" x14ac:dyDescent="0.4">
      <c r="A193" s="5" t="s">
        <v>482</v>
      </c>
      <c r="B193" s="35">
        <v>73</v>
      </c>
      <c r="C193" s="35">
        <v>69</v>
      </c>
      <c r="D193" s="35">
        <v>45</v>
      </c>
      <c r="E193" s="35">
        <v>7</v>
      </c>
      <c r="F193" s="35">
        <v>22</v>
      </c>
      <c r="G193" s="35">
        <v>99</v>
      </c>
      <c r="H193" s="35">
        <v>88</v>
      </c>
      <c r="I193" s="35">
        <v>66</v>
      </c>
      <c r="J193" s="35">
        <v>74</v>
      </c>
      <c r="K193" s="35"/>
      <c r="L193" s="35">
        <v>87</v>
      </c>
      <c r="M193" s="35">
        <v>74</v>
      </c>
      <c r="N193" s="35">
        <v>20</v>
      </c>
      <c r="O193" s="35">
        <v>8</v>
      </c>
      <c r="P193" s="35">
        <v>8</v>
      </c>
      <c r="Q193" s="35">
        <v>4</v>
      </c>
      <c r="R193" s="35">
        <v>72</v>
      </c>
      <c r="S193" s="35">
        <v>84</v>
      </c>
      <c r="T193" s="35">
        <v>75</v>
      </c>
      <c r="U193" s="35">
        <v>5</v>
      </c>
      <c r="V193" s="35">
        <v>82</v>
      </c>
      <c r="W193" s="35">
        <v>1062</v>
      </c>
    </row>
    <row r="194" spans="1:23" x14ac:dyDescent="0.4">
      <c r="A194" s="5" t="s">
        <v>483</v>
      </c>
      <c r="B194" s="35">
        <v>70</v>
      </c>
      <c r="C194" s="35">
        <v>56</v>
      </c>
      <c r="D194" s="35">
        <v>76</v>
      </c>
      <c r="E194" s="35">
        <v>73</v>
      </c>
      <c r="F194" s="35">
        <v>78</v>
      </c>
      <c r="G194" s="35">
        <v>82</v>
      </c>
      <c r="H194" s="35">
        <v>54</v>
      </c>
      <c r="I194" s="35">
        <v>44</v>
      </c>
      <c r="J194" s="35">
        <v>48</v>
      </c>
      <c r="K194" s="35"/>
      <c r="L194" s="35">
        <v>60</v>
      </c>
      <c r="M194" s="35">
        <v>52</v>
      </c>
      <c r="N194" s="35">
        <v>42</v>
      </c>
      <c r="O194" s="35">
        <v>52</v>
      </c>
      <c r="P194" s="35">
        <v>44</v>
      </c>
      <c r="Q194" s="35">
        <v>20</v>
      </c>
      <c r="R194" s="35">
        <v>62</v>
      </c>
      <c r="S194" s="35">
        <v>74</v>
      </c>
      <c r="T194" s="35">
        <v>49</v>
      </c>
      <c r="U194" s="35">
        <v>9</v>
      </c>
      <c r="V194" s="35">
        <v>55</v>
      </c>
      <c r="W194" s="35">
        <v>1100</v>
      </c>
    </row>
    <row r="195" spans="1:23" x14ac:dyDescent="0.4">
      <c r="A195" s="5" t="s">
        <v>484</v>
      </c>
      <c r="B195" s="35">
        <v>47</v>
      </c>
      <c r="C195" s="35">
        <v>39</v>
      </c>
      <c r="D195" s="35">
        <v>47</v>
      </c>
      <c r="E195" s="35">
        <v>40</v>
      </c>
      <c r="F195" s="35">
        <v>48</v>
      </c>
      <c r="G195" s="35">
        <v>51</v>
      </c>
      <c r="H195" s="35">
        <v>38</v>
      </c>
      <c r="I195" s="35">
        <v>38</v>
      </c>
      <c r="J195" s="35">
        <v>36</v>
      </c>
      <c r="K195" s="35"/>
      <c r="L195" s="35">
        <v>41</v>
      </c>
      <c r="M195" s="35">
        <v>22</v>
      </c>
      <c r="N195" s="35">
        <v>21</v>
      </c>
      <c r="O195" s="35">
        <v>28</v>
      </c>
      <c r="P195" s="35">
        <v>20</v>
      </c>
      <c r="Q195" s="35">
        <v>28</v>
      </c>
      <c r="R195" s="35">
        <v>26</v>
      </c>
      <c r="S195" s="35">
        <v>27</v>
      </c>
      <c r="T195" s="35">
        <v>32</v>
      </c>
      <c r="U195" s="35">
        <v>31</v>
      </c>
      <c r="V195" s="35">
        <v>32</v>
      </c>
      <c r="W195" s="35">
        <v>692</v>
      </c>
    </row>
    <row r="196" spans="1:23" x14ac:dyDescent="0.4">
      <c r="A196" s="5" t="s">
        <v>485</v>
      </c>
      <c r="B196" s="35">
        <v>57</v>
      </c>
      <c r="C196" s="35">
        <v>48</v>
      </c>
      <c r="D196" s="35">
        <v>42</v>
      </c>
      <c r="E196" s="35">
        <v>59</v>
      </c>
      <c r="F196" s="35">
        <v>57</v>
      </c>
      <c r="G196" s="35">
        <v>69</v>
      </c>
      <c r="H196" s="35">
        <v>63</v>
      </c>
      <c r="I196" s="35">
        <v>33</v>
      </c>
      <c r="J196" s="35">
        <v>32</v>
      </c>
      <c r="K196" s="35"/>
      <c r="L196" s="35">
        <v>36</v>
      </c>
      <c r="M196" s="35">
        <v>40</v>
      </c>
      <c r="N196" s="35">
        <v>47</v>
      </c>
      <c r="O196" s="35">
        <v>39</v>
      </c>
      <c r="P196" s="35">
        <v>50</v>
      </c>
      <c r="Q196" s="35">
        <v>36</v>
      </c>
      <c r="R196" s="35">
        <v>30</v>
      </c>
      <c r="S196" s="35">
        <v>66</v>
      </c>
      <c r="T196" s="35">
        <v>36</v>
      </c>
      <c r="U196" s="35">
        <v>40</v>
      </c>
      <c r="V196" s="35">
        <v>41</v>
      </c>
      <c r="W196" s="35">
        <v>921</v>
      </c>
    </row>
    <row r="197" spans="1:23" x14ac:dyDescent="0.4">
      <c r="A197" s="5" t="s">
        <v>486</v>
      </c>
      <c r="B197" s="35">
        <v>32</v>
      </c>
      <c r="C197" s="35">
        <v>40</v>
      </c>
      <c r="D197" s="35">
        <v>38</v>
      </c>
      <c r="E197" s="35">
        <v>40</v>
      </c>
      <c r="F197" s="35">
        <v>50</v>
      </c>
      <c r="G197" s="35">
        <v>80</v>
      </c>
      <c r="H197" s="35">
        <v>31</v>
      </c>
      <c r="I197" s="35">
        <v>33</v>
      </c>
      <c r="J197" s="35">
        <v>26</v>
      </c>
      <c r="K197" s="35"/>
      <c r="L197" s="35">
        <v>19</v>
      </c>
      <c r="M197" s="35">
        <v>23</v>
      </c>
      <c r="N197" s="35">
        <v>35</v>
      </c>
      <c r="O197" s="35">
        <v>34</v>
      </c>
      <c r="P197" s="35">
        <v>22</v>
      </c>
      <c r="Q197" s="35">
        <v>8</v>
      </c>
      <c r="R197" s="35">
        <v>20</v>
      </c>
      <c r="S197" s="35">
        <v>25</v>
      </c>
      <c r="T197" s="35">
        <v>17</v>
      </c>
      <c r="U197" s="35">
        <v>25</v>
      </c>
      <c r="V197" s="35">
        <v>24</v>
      </c>
      <c r="W197" s="35">
        <v>622</v>
      </c>
    </row>
    <row r="198" spans="1:23" x14ac:dyDescent="0.4">
      <c r="A198" s="5" t="s">
        <v>487</v>
      </c>
      <c r="B198" s="35">
        <v>710</v>
      </c>
      <c r="C198" s="35">
        <v>740</v>
      </c>
      <c r="D198" s="35">
        <v>874</v>
      </c>
      <c r="E198" s="35">
        <v>825</v>
      </c>
      <c r="F198" s="35">
        <v>1009</v>
      </c>
      <c r="G198" s="35">
        <v>1037</v>
      </c>
      <c r="H198" s="35">
        <v>633</v>
      </c>
      <c r="I198" s="35">
        <v>714</v>
      </c>
      <c r="J198" s="35">
        <v>720</v>
      </c>
      <c r="K198" s="35"/>
      <c r="L198" s="35">
        <v>747</v>
      </c>
      <c r="M198" s="35">
        <v>737</v>
      </c>
      <c r="N198" s="35">
        <v>679</v>
      </c>
      <c r="O198" s="35">
        <v>654</v>
      </c>
      <c r="P198" s="35">
        <v>600</v>
      </c>
      <c r="Q198" s="35">
        <v>666</v>
      </c>
      <c r="R198" s="35">
        <v>597</v>
      </c>
      <c r="S198" s="35">
        <v>616</v>
      </c>
      <c r="T198" s="35">
        <v>501</v>
      </c>
      <c r="U198" s="35">
        <v>524</v>
      </c>
      <c r="V198" s="35">
        <v>548</v>
      </c>
      <c r="W198" s="35">
        <v>14131</v>
      </c>
    </row>
    <row r="199" spans="1:23" x14ac:dyDescent="0.4">
      <c r="A199" s="5" t="s">
        <v>488</v>
      </c>
      <c r="B199" s="35">
        <v>101</v>
      </c>
      <c r="C199" s="35">
        <v>103</v>
      </c>
      <c r="D199" s="35">
        <v>112</v>
      </c>
      <c r="E199" s="35">
        <v>116</v>
      </c>
      <c r="F199" s="35">
        <v>120</v>
      </c>
      <c r="G199" s="35">
        <v>127</v>
      </c>
      <c r="H199" s="35">
        <v>88</v>
      </c>
      <c r="I199" s="35">
        <v>98</v>
      </c>
      <c r="J199" s="35">
        <v>72</v>
      </c>
      <c r="K199" s="35"/>
      <c r="L199" s="35">
        <v>80</v>
      </c>
      <c r="M199" s="35">
        <v>71</v>
      </c>
      <c r="N199" s="35">
        <v>83</v>
      </c>
      <c r="O199" s="35">
        <v>98</v>
      </c>
      <c r="P199" s="35">
        <v>48</v>
      </c>
      <c r="Q199" s="35">
        <v>84</v>
      </c>
      <c r="R199" s="35">
        <v>72</v>
      </c>
      <c r="S199" s="35">
        <v>84</v>
      </c>
      <c r="T199" s="35">
        <v>74</v>
      </c>
      <c r="U199" s="35">
        <v>55</v>
      </c>
      <c r="V199" s="35">
        <v>90</v>
      </c>
      <c r="W199" s="35">
        <v>1776</v>
      </c>
    </row>
    <row r="200" spans="1:23" x14ac:dyDescent="0.4">
      <c r="A200" s="5" t="s">
        <v>489</v>
      </c>
      <c r="B200" s="35">
        <v>106</v>
      </c>
      <c r="C200" s="35">
        <v>119</v>
      </c>
      <c r="D200" s="35">
        <v>132</v>
      </c>
      <c r="E200" s="35">
        <v>128</v>
      </c>
      <c r="F200" s="35">
        <v>123</v>
      </c>
      <c r="G200" s="35">
        <v>161</v>
      </c>
      <c r="H200" s="35">
        <v>124</v>
      </c>
      <c r="I200" s="35">
        <v>116</v>
      </c>
      <c r="J200" s="35">
        <v>120</v>
      </c>
      <c r="K200" s="35"/>
      <c r="L200" s="35">
        <v>100</v>
      </c>
      <c r="M200" s="35">
        <v>114</v>
      </c>
      <c r="N200" s="35">
        <v>113</v>
      </c>
      <c r="O200" s="35">
        <v>126</v>
      </c>
      <c r="P200" s="35">
        <v>121</v>
      </c>
      <c r="Q200" s="35">
        <v>107</v>
      </c>
      <c r="R200" s="35">
        <v>119</v>
      </c>
      <c r="S200" s="35">
        <v>105</v>
      </c>
      <c r="T200" s="35">
        <v>116</v>
      </c>
      <c r="U200" s="35">
        <v>97</v>
      </c>
      <c r="V200" s="35">
        <v>110</v>
      </c>
      <c r="W200" s="35">
        <v>2357</v>
      </c>
    </row>
    <row r="201" spans="1:23" x14ac:dyDescent="0.4">
      <c r="A201" s="5" t="s">
        <v>490</v>
      </c>
      <c r="B201" s="35">
        <v>622</v>
      </c>
      <c r="C201" s="35">
        <v>624</v>
      </c>
      <c r="D201" s="35">
        <v>649</v>
      </c>
      <c r="E201" s="35">
        <v>675</v>
      </c>
      <c r="F201" s="35">
        <v>644</v>
      </c>
      <c r="G201" s="35">
        <v>608</v>
      </c>
      <c r="H201" s="35">
        <v>627</v>
      </c>
      <c r="I201" s="35">
        <v>585</v>
      </c>
      <c r="J201" s="35">
        <v>558</v>
      </c>
      <c r="K201" s="35"/>
      <c r="L201" s="35">
        <v>560</v>
      </c>
      <c r="M201" s="35">
        <v>531</v>
      </c>
      <c r="N201" s="35">
        <v>572</v>
      </c>
      <c r="O201" s="35">
        <v>602</v>
      </c>
      <c r="P201" s="35">
        <v>495</v>
      </c>
      <c r="Q201" s="35">
        <v>524</v>
      </c>
      <c r="R201" s="35">
        <v>475</v>
      </c>
      <c r="S201" s="35">
        <v>468</v>
      </c>
      <c r="T201" s="35">
        <v>465</v>
      </c>
      <c r="U201" s="35">
        <v>538</v>
      </c>
      <c r="V201" s="35">
        <v>562</v>
      </c>
      <c r="W201" s="35">
        <v>11384</v>
      </c>
    </row>
    <row r="202" spans="1:23" x14ac:dyDescent="0.4">
      <c r="A202" s="5" t="s">
        <v>491</v>
      </c>
      <c r="B202" s="35">
        <v>356</v>
      </c>
      <c r="C202" s="35">
        <v>356</v>
      </c>
      <c r="D202" s="35">
        <v>357</v>
      </c>
      <c r="E202" s="35">
        <v>391</v>
      </c>
      <c r="F202" s="35">
        <v>444</v>
      </c>
      <c r="G202" s="35">
        <v>540</v>
      </c>
      <c r="H202" s="35">
        <v>358</v>
      </c>
      <c r="I202" s="35">
        <v>354</v>
      </c>
      <c r="J202" s="35">
        <v>357</v>
      </c>
      <c r="K202" s="35"/>
      <c r="L202" s="35">
        <v>326</v>
      </c>
      <c r="M202" s="35">
        <v>343</v>
      </c>
      <c r="N202" s="35">
        <v>352</v>
      </c>
      <c r="O202" s="35">
        <v>357</v>
      </c>
      <c r="P202" s="35">
        <v>310</v>
      </c>
      <c r="Q202" s="35">
        <v>336</v>
      </c>
      <c r="R202" s="35">
        <v>296</v>
      </c>
      <c r="S202" s="35">
        <v>371</v>
      </c>
      <c r="T202" s="35">
        <v>281</v>
      </c>
      <c r="U202" s="35">
        <v>269</v>
      </c>
      <c r="V202" s="35">
        <v>294</v>
      </c>
      <c r="W202" s="35">
        <v>7048</v>
      </c>
    </row>
    <row r="203" spans="1:23" x14ac:dyDescent="0.4">
      <c r="A203" s="5" t="s">
        <v>492</v>
      </c>
      <c r="B203" s="35">
        <v>66</v>
      </c>
      <c r="C203" s="35">
        <v>66</v>
      </c>
      <c r="D203" s="35">
        <v>68</v>
      </c>
      <c r="E203" s="35">
        <v>68</v>
      </c>
      <c r="F203" s="35">
        <v>64</v>
      </c>
      <c r="G203" s="35">
        <v>76</v>
      </c>
      <c r="H203" s="35">
        <v>51</v>
      </c>
      <c r="I203" s="35">
        <v>70</v>
      </c>
      <c r="J203" s="35">
        <v>59</v>
      </c>
      <c r="K203" s="35"/>
      <c r="L203" s="35">
        <v>87</v>
      </c>
      <c r="M203" s="35">
        <v>58</v>
      </c>
      <c r="N203" s="35">
        <v>63</v>
      </c>
      <c r="O203" s="35">
        <v>36</v>
      </c>
      <c r="P203" s="35">
        <v>45</v>
      </c>
      <c r="Q203" s="35">
        <v>39</v>
      </c>
      <c r="R203" s="35">
        <v>27</v>
      </c>
      <c r="S203" s="35">
        <v>31</v>
      </c>
      <c r="T203" s="35">
        <v>40</v>
      </c>
      <c r="U203" s="35">
        <v>30</v>
      </c>
      <c r="V203" s="35">
        <v>36</v>
      </c>
      <c r="W203" s="35">
        <v>1080</v>
      </c>
    </row>
    <row r="204" spans="1:23" x14ac:dyDescent="0.4">
      <c r="A204" s="5" t="s">
        <v>493</v>
      </c>
      <c r="B204" s="35">
        <v>119</v>
      </c>
      <c r="C204" s="35">
        <v>106</v>
      </c>
      <c r="D204" s="35">
        <v>102</v>
      </c>
      <c r="E204" s="35">
        <v>104</v>
      </c>
      <c r="F204" s="35">
        <v>120</v>
      </c>
      <c r="G204" s="35">
        <v>147</v>
      </c>
      <c r="H204" s="35">
        <v>81</v>
      </c>
      <c r="I204" s="35">
        <v>105</v>
      </c>
      <c r="J204" s="35">
        <v>72</v>
      </c>
      <c r="K204" s="35"/>
      <c r="L204" s="35">
        <v>71</v>
      </c>
      <c r="M204" s="35">
        <v>83</v>
      </c>
      <c r="N204" s="35">
        <v>117</v>
      </c>
      <c r="O204" s="35">
        <v>110</v>
      </c>
      <c r="P204" s="35">
        <v>87</v>
      </c>
      <c r="Q204" s="35">
        <v>95</v>
      </c>
      <c r="R204" s="35">
        <v>107</v>
      </c>
      <c r="S204" s="35">
        <v>78</v>
      </c>
      <c r="T204" s="35">
        <v>61</v>
      </c>
      <c r="U204" s="35">
        <v>99</v>
      </c>
      <c r="V204" s="35">
        <v>113</v>
      </c>
      <c r="W204" s="35">
        <v>1977</v>
      </c>
    </row>
    <row r="205" spans="1:23" x14ac:dyDescent="0.4">
      <c r="A205" s="5" t="s">
        <v>494</v>
      </c>
      <c r="B205" s="35">
        <v>1066</v>
      </c>
      <c r="C205" s="35">
        <v>1132</v>
      </c>
      <c r="D205" s="35">
        <v>1227</v>
      </c>
      <c r="E205" s="35">
        <v>1282</v>
      </c>
      <c r="F205" s="35">
        <v>1320</v>
      </c>
      <c r="G205" s="35">
        <v>1453</v>
      </c>
      <c r="H205" s="35">
        <v>938</v>
      </c>
      <c r="I205" s="35">
        <v>964</v>
      </c>
      <c r="J205" s="35">
        <v>885</v>
      </c>
      <c r="K205" s="35"/>
      <c r="L205" s="35">
        <v>909</v>
      </c>
      <c r="M205" s="35">
        <v>765</v>
      </c>
      <c r="N205" s="35">
        <v>762</v>
      </c>
      <c r="O205" s="35">
        <v>768</v>
      </c>
      <c r="P205" s="35">
        <v>655</v>
      </c>
      <c r="Q205" s="35">
        <v>752</v>
      </c>
      <c r="R205" s="35">
        <v>596</v>
      </c>
      <c r="S205" s="35">
        <v>637</v>
      </c>
      <c r="T205" s="35">
        <v>541</v>
      </c>
      <c r="U205" s="35">
        <v>460</v>
      </c>
      <c r="V205" s="35">
        <v>581</v>
      </c>
      <c r="W205" s="35">
        <v>17693</v>
      </c>
    </row>
    <row r="206" spans="1:23" x14ac:dyDescent="0.4">
      <c r="A206" s="5" t="s">
        <v>495</v>
      </c>
      <c r="B206" s="35">
        <v>38</v>
      </c>
      <c r="C206" s="35">
        <v>21</v>
      </c>
      <c r="D206" s="35">
        <v>28</v>
      </c>
      <c r="E206" s="35">
        <v>34</v>
      </c>
      <c r="F206" s="35">
        <v>16</v>
      </c>
      <c r="G206" s="35">
        <v>34</v>
      </c>
      <c r="H206" s="35">
        <v>31</v>
      </c>
      <c r="I206" s="35">
        <v>20</v>
      </c>
      <c r="J206" s="35">
        <v>25</v>
      </c>
      <c r="K206" s="35"/>
      <c r="L206" s="35">
        <v>19</v>
      </c>
      <c r="M206" s="35">
        <v>32</v>
      </c>
      <c r="N206" s="35">
        <v>20</v>
      </c>
      <c r="O206" s="35">
        <v>32</v>
      </c>
      <c r="P206" s="35">
        <v>33</v>
      </c>
      <c r="Q206" s="35">
        <v>21</v>
      </c>
      <c r="R206" s="35">
        <v>23</v>
      </c>
      <c r="S206" s="35">
        <v>34</v>
      </c>
      <c r="T206" s="35">
        <v>18</v>
      </c>
      <c r="U206" s="35">
        <v>11</v>
      </c>
      <c r="V206" s="35">
        <v>25</v>
      </c>
      <c r="W206" s="35">
        <v>515</v>
      </c>
    </row>
    <row r="207" spans="1:23" x14ac:dyDescent="0.4">
      <c r="A207" s="5" t="s">
        <v>496</v>
      </c>
      <c r="B207" s="35">
        <v>42</v>
      </c>
      <c r="C207" s="35">
        <v>51</v>
      </c>
      <c r="D207" s="35">
        <v>36</v>
      </c>
      <c r="E207" s="35">
        <v>43</v>
      </c>
      <c r="F207" s="35">
        <v>49</v>
      </c>
      <c r="G207" s="35">
        <v>74</v>
      </c>
      <c r="H207" s="35">
        <v>39</v>
      </c>
      <c r="I207" s="35">
        <v>41</v>
      </c>
      <c r="J207" s="35">
        <v>55</v>
      </c>
      <c r="K207" s="35"/>
      <c r="L207" s="35">
        <v>30</v>
      </c>
      <c r="M207" s="35">
        <v>48</v>
      </c>
      <c r="N207" s="35">
        <v>34</v>
      </c>
      <c r="O207" s="35">
        <v>42</v>
      </c>
      <c r="P207" s="35">
        <v>29</v>
      </c>
      <c r="Q207" s="35">
        <v>36</v>
      </c>
      <c r="R207" s="35">
        <v>45</v>
      </c>
      <c r="S207" s="35">
        <v>55</v>
      </c>
      <c r="T207" s="35">
        <v>21</v>
      </c>
      <c r="U207" s="35">
        <v>36</v>
      </c>
      <c r="V207" s="35">
        <v>47</v>
      </c>
      <c r="W207" s="35">
        <v>853</v>
      </c>
    </row>
    <row r="208" spans="1:23" x14ac:dyDescent="0.4">
      <c r="A208" s="5" t="s">
        <v>497</v>
      </c>
      <c r="B208" s="35">
        <v>264</v>
      </c>
      <c r="C208" s="35">
        <v>251</v>
      </c>
      <c r="D208" s="35">
        <v>278</v>
      </c>
      <c r="E208" s="35">
        <v>327</v>
      </c>
      <c r="F208" s="35">
        <v>323</v>
      </c>
      <c r="G208" s="35">
        <v>384</v>
      </c>
      <c r="H208" s="35">
        <v>230</v>
      </c>
      <c r="I208" s="35">
        <v>242</v>
      </c>
      <c r="J208" s="35">
        <v>228</v>
      </c>
      <c r="K208" s="35"/>
      <c r="L208" s="35">
        <v>176</v>
      </c>
      <c r="M208" s="35">
        <v>208</v>
      </c>
      <c r="N208" s="35">
        <v>220</v>
      </c>
      <c r="O208" s="35">
        <v>234</v>
      </c>
      <c r="P208" s="35">
        <v>220</v>
      </c>
      <c r="Q208" s="35">
        <v>236</v>
      </c>
      <c r="R208" s="35">
        <v>228</v>
      </c>
      <c r="S208" s="35">
        <v>177</v>
      </c>
      <c r="T208" s="35">
        <v>203</v>
      </c>
      <c r="U208" s="35">
        <v>234</v>
      </c>
      <c r="V208" s="35">
        <v>240</v>
      </c>
      <c r="W208" s="35">
        <v>4903</v>
      </c>
    </row>
    <row r="209" spans="1:23" x14ac:dyDescent="0.4">
      <c r="A209" s="5" t="s">
        <v>498</v>
      </c>
      <c r="B209" s="35">
        <v>94</v>
      </c>
      <c r="C209" s="35">
        <v>117</v>
      </c>
      <c r="D209" s="35">
        <v>133</v>
      </c>
      <c r="E209" s="35">
        <v>139</v>
      </c>
      <c r="F209" s="35">
        <v>124</v>
      </c>
      <c r="G209" s="35">
        <v>190</v>
      </c>
      <c r="H209" s="35">
        <v>111</v>
      </c>
      <c r="I209" s="35">
        <v>121</v>
      </c>
      <c r="J209" s="35">
        <v>117</v>
      </c>
      <c r="K209" s="35"/>
      <c r="L209" s="35">
        <v>98</v>
      </c>
      <c r="M209" s="35">
        <v>103</v>
      </c>
      <c r="N209" s="35">
        <v>117</v>
      </c>
      <c r="O209" s="35">
        <v>129</v>
      </c>
      <c r="P209" s="35">
        <v>124</v>
      </c>
      <c r="Q209" s="35">
        <v>129</v>
      </c>
      <c r="R209" s="35">
        <v>104</v>
      </c>
      <c r="S209" s="35">
        <v>108</v>
      </c>
      <c r="T209" s="35">
        <v>125</v>
      </c>
      <c r="U209" s="35">
        <v>110</v>
      </c>
      <c r="V209" s="35">
        <v>161</v>
      </c>
      <c r="W209" s="35">
        <v>2454</v>
      </c>
    </row>
    <row r="210" spans="1:23" x14ac:dyDescent="0.4">
      <c r="A210" s="5" t="s">
        <v>499</v>
      </c>
      <c r="B210" s="35">
        <v>122</v>
      </c>
      <c r="C210" s="35">
        <v>143</v>
      </c>
      <c r="D210" s="35">
        <v>140</v>
      </c>
      <c r="E210" s="35">
        <v>166</v>
      </c>
      <c r="F210" s="35">
        <v>162</v>
      </c>
      <c r="G210" s="35">
        <v>244</v>
      </c>
      <c r="H210" s="35">
        <v>119</v>
      </c>
      <c r="I210" s="35">
        <v>114</v>
      </c>
      <c r="J210" s="35">
        <v>132</v>
      </c>
      <c r="K210" s="35"/>
      <c r="L210" s="35">
        <v>104</v>
      </c>
      <c r="M210" s="35">
        <v>113</v>
      </c>
      <c r="N210" s="35">
        <v>126</v>
      </c>
      <c r="O210" s="35">
        <v>103</v>
      </c>
      <c r="P210" s="35">
        <v>140</v>
      </c>
      <c r="Q210" s="35">
        <v>133</v>
      </c>
      <c r="R210" s="35">
        <v>102</v>
      </c>
      <c r="S210" s="35">
        <v>97</v>
      </c>
      <c r="T210" s="35">
        <v>126</v>
      </c>
      <c r="U210" s="35">
        <v>120</v>
      </c>
      <c r="V210" s="35">
        <v>140</v>
      </c>
      <c r="W210" s="35">
        <v>2646</v>
      </c>
    </row>
    <row r="211" spans="1:23" x14ac:dyDescent="0.4">
      <c r="A211" s="5" t="s">
        <v>500</v>
      </c>
      <c r="B211" s="35">
        <v>6434</v>
      </c>
      <c r="C211" s="35">
        <v>6702</v>
      </c>
      <c r="D211" s="35">
        <v>7234</v>
      </c>
      <c r="E211" s="35">
        <v>7333</v>
      </c>
      <c r="F211" s="35">
        <v>7917</v>
      </c>
      <c r="G211" s="35">
        <v>9362</v>
      </c>
      <c r="H211" s="35">
        <v>6513</v>
      </c>
      <c r="I211" s="35">
        <v>6377</v>
      </c>
      <c r="J211" s="35">
        <v>6107</v>
      </c>
      <c r="K211" s="35"/>
      <c r="L211" s="35">
        <v>5848</v>
      </c>
      <c r="M211" s="35">
        <v>5573</v>
      </c>
      <c r="N211" s="35">
        <v>5948</v>
      </c>
      <c r="O211" s="35">
        <v>5662</v>
      </c>
      <c r="P211" s="35">
        <v>5132</v>
      </c>
      <c r="Q211" s="35">
        <v>5074</v>
      </c>
      <c r="R211" s="35">
        <v>5268</v>
      </c>
      <c r="S211" s="35">
        <v>4919</v>
      </c>
      <c r="T211" s="35">
        <v>4733</v>
      </c>
      <c r="U211" s="35">
        <v>4614</v>
      </c>
      <c r="V211" s="35">
        <v>4666</v>
      </c>
      <c r="W211" s="35">
        <v>121416</v>
      </c>
    </row>
    <row r="212" spans="1:23" x14ac:dyDescent="0.4">
      <c r="A212" s="5" t="s">
        <v>501</v>
      </c>
      <c r="B212" s="35">
        <v>267</v>
      </c>
      <c r="C212" s="35">
        <v>332</v>
      </c>
      <c r="D212" s="35">
        <v>350</v>
      </c>
      <c r="E212" s="35">
        <v>360</v>
      </c>
      <c r="F212" s="35">
        <v>316</v>
      </c>
      <c r="G212" s="35">
        <v>485</v>
      </c>
      <c r="H212" s="35">
        <v>265</v>
      </c>
      <c r="I212" s="35">
        <v>322</v>
      </c>
      <c r="J212" s="35">
        <v>247</v>
      </c>
      <c r="K212" s="35"/>
      <c r="L212" s="35">
        <v>269</v>
      </c>
      <c r="M212" s="35">
        <v>239</v>
      </c>
      <c r="N212" s="35">
        <v>273</v>
      </c>
      <c r="O212" s="35">
        <v>296</v>
      </c>
      <c r="P212" s="35">
        <v>252</v>
      </c>
      <c r="Q212" s="35">
        <v>253</v>
      </c>
      <c r="R212" s="35">
        <v>257</v>
      </c>
      <c r="S212" s="35">
        <v>232</v>
      </c>
      <c r="T212" s="35">
        <v>222</v>
      </c>
      <c r="U212" s="35">
        <v>212</v>
      </c>
      <c r="V212" s="35">
        <v>239</v>
      </c>
      <c r="W212" s="35">
        <v>5688</v>
      </c>
    </row>
    <row r="213" spans="1:23" x14ac:dyDescent="0.4">
      <c r="A213" s="5" t="s">
        <v>502</v>
      </c>
      <c r="B213" s="35">
        <v>466</v>
      </c>
      <c r="C213" s="35">
        <v>450</v>
      </c>
      <c r="D213" s="35">
        <v>459</v>
      </c>
      <c r="E213" s="35">
        <v>387</v>
      </c>
      <c r="F213" s="35">
        <v>470</v>
      </c>
      <c r="G213" s="35">
        <v>715</v>
      </c>
      <c r="H213" s="35">
        <v>334</v>
      </c>
      <c r="I213" s="35">
        <v>406</v>
      </c>
      <c r="J213" s="35">
        <v>378</v>
      </c>
      <c r="K213" s="35"/>
      <c r="L213" s="35">
        <v>352</v>
      </c>
      <c r="M213" s="35">
        <v>390</v>
      </c>
      <c r="N213" s="35">
        <v>472</v>
      </c>
      <c r="O213" s="35">
        <v>417</v>
      </c>
      <c r="P213" s="35">
        <v>389</v>
      </c>
      <c r="Q213" s="35">
        <v>332</v>
      </c>
      <c r="R213" s="35">
        <v>388</v>
      </c>
      <c r="S213" s="35">
        <v>372</v>
      </c>
      <c r="T213" s="35">
        <v>359</v>
      </c>
      <c r="U213" s="35">
        <v>426</v>
      </c>
      <c r="V213" s="35">
        <v>445</v>
      </c>
      <c r="W213" s="35">
        <v>8407</v>
      </c>
    </row>
    <row r="214" spans="1:23" x14ac:dyDescent="0.4">
      <c r="A214" s="5" t="s">
        <v>503</v>
      </c>
      <c r="B214" s="35">
        <v>316</v>
      </c>
      <c r="C214" s="35">
        <v>356</v>
      </c>
      <c r="D214" s="35">
        <v>366</v>
      </c>
      <c r="E214" s="35">
        <v>428</v>
      </c>
      <c r="F214" s="35">
        <v>494</v>
      </c>
      <c r="G214" s="35">
        <v>585</v>
      </c>
      <c r="H214" s="35">
        <v>318</v>
      </c>
      <c r="I214" s="35">
        <v>346</v>
      </c>
      <c r="J214" s="35">
        <v>343</v>
      </c>
      <c r="K214" s="35"/>
      <c r="L214" s="35">
        <v>292</v>
      </c>
      <c r="M214" s="35">
        <v>266</v>
      </c>
      <c r="N214" s="35">
        <v>249</v>
      </c>
      <c r="O214" s="35">
        <v>287</v>
      </c>
      <c r="P214" s="35">
        <v>246</v>
      </c>
      <c r="Q214" s="35">
        <v>259</v>
      </c>
      <c r="R214" s="35">
        <v>258</v>
      </c>
      <c r="S214" s="35">
        <v>230</v>
      </c>
      <c r="T214" s="35">
        <v>200</v>
      </c>
      <c r="U214" s="35">
        <v>214</v>
      </c>
      <c r="V214" s="35">
        <v>214</v>
      </c>
      <c r="W214" s="35">
        <v>6267</v>
      </c>
    </row>
    <row r="215" spans="1:23" x14ac:dyDescent="0.4">
      <c r="A215" s="5" t="s">
        <v>504</v>
      </c>
      <c r="B215" s="35">
        <v>91</v>
      </c>
      <c r="C215" s="35">
        <v>76</v>
      </c>
      <c r="D215" s="35">
        <v>83</v>
      </c>
      <c r="E215" s="35">
        <v>105</v>
      </c>
      <c r="F215" s="35">
        <v>111</v>
      </c>
      <c r="G215" s="35">
        <v>126</v>
      </c>
      <c r="H215" s="35">
        <v>67</v>
      </c>
      <c r="I215" s="35">
        <v>100</v>
      </c>
      <c r="J215" s="35">
        <v>75</v>
      </c>
      <c r="K215" s="35"/>
      <c r="L215" s="35">
        <v>75</v>
      </c>
      <c r="M215" s="35">
        <v>75</v>
      </c>
      <c r="N215" s="35">
        <v>70</v>
      </c>
      <c r="O215" s="35">
        <v>85</v>
      </c>
      <c r="P215" s="35">
        <v>65</v>
      </c>
      <c r="Q215" s="35">
        <v>41</v>
      </c>
      <c r="R215" s="35">
        <v>44</v>
      </c>
      <c r="S215" s="35">
        <v>32</v>
      </c>
      <c r="T215" s="35">
        <v>16</v>
      </c>
      <c r="U215" s="35">
        <v>61</v>
      </c>
      <c r="V215" s="35">
        <v>73</v>
      </c>
      <c r="W215" s="35">
        <v>1471</v>
      </c>
    </row>
    <row r="216" spans="1:23" x14ac:dyDescent="0.4">
      <c r="A216" s="5" t="s">
        <v>505</v>
      </c>
      <c r="B216" s="35">
        <v>634</v>
      </c>
      <c r="C216" s="35">
        <v>788</v>
      </c>
      <c r="D216" s="35">
        <v>703</v>
      </c>
      <c r="E216" s="35">
        <v>694</v>
      </c>
      <c r="F216" s="35">
        <v>876</v>
      </c>
      <c r="G216" s="35">
        <v>1175</v>
      </c>
      <c r="H216" s="35">
        <v>640</v>
      </c>
      <c r="I216" s="35">
        <v>695</v>
      </c>
      <c r="J216" s="35">
        <v>724</v>
      </c>
      <c r="K216" s="35"/>
      <c r="L216" s="35">
        <v>698</v>
      </c>
      <c r="M216" s="35">
        <v>680</v>
      </c>
      <c r="N216" s="35">
        <v>734</v>
      </c>
      <c r="O216" s="35">
        <v>731</v>
      </c>
      <c r="P216" s="35">
        <v>729</v>
      </c>
      <c r="Q216" s="35">
        <v>723</v>
      </c>
      <c r="R216" s="35">
        <v>632</v>
      </c>
      <c r="S216" s="35">
        <v>708</v>
      </c>
      <c r="T216" s="35">
        <v>633</v>
      </c>
      <c r="U216" s="35">
        <v>663</v>
      </c>
      <c r="V216" s="35">
        <v>692</v>
      </c>
      <c r="W216" s="35">
        <v>14552</v>
      </c>
    </row>
    <row r="217" spans="1:23" x14ac:dyDescent="0.4">
      <c r="A217" s="5" t="s">
        <v>506</v>
      </c>
      <c r="B217" s="35">
        <v>166</v>
      </c>
      <c r="C217" s="35">
        <v>163</v>
      </c>
      <c r="D217" s="35">
        <v>196</v>
      </c>
      <c r="E217" s="35">
        <v>163</v>
      </c>
      <c r="F217" s="35">
        <v>195</v>
      </c>
      <c r="G217" s="35">
        <v>259</v>
      </c>
      <c r="H217" s="35">
        <v>175</v>
      </c>
      <c r="I217" s="35">
        <v>163</v>
      </c>
      <c r="J217" s="35">
        <v>133</v>
      </c>
      <c r="K217" s="35"/>
      <c r="L217" s="35">
        <v>163</v>
      </c>
      <c r="M217" s="35">
        <v>170</v>
      </c>
      <c r="N217" s="35">
        <v>181</v>
      </c>
      <c r="O217" s="35">
        <v>185</v>
      </c>
      <c r="P217" s="35">
        <v>172</v>
      </c>
      <c r="Q217" s="35">
        <v>143</v>
      </c>
      <c r="R217" s="35">
        <v>140</v>
      </c>
      <c r="S217" s="35">
        <v>82</v>
      </c>
      <c r="T217" s="35">
        <v>115</v>
      </c>
      <c r="U217" s="35">
        <v>106</v>
      </c>
      <c r="V217" s="35">
        <v>117</v>
      </c>
      <c r="W217" s="35">
        <v>3187</v>
      </c>
    </row>
    <row r="218" spans="1:23" x14ac:dyDescent="0.4">
      <c r="A218" s="5" t="s">
        <v>507</v>
      </c>
      <c r="B218" s="35">
        <v>567</v>
      </c>
      <c r="C218" s="35">
        <v>547</v>
      </c>
      <c r="D218" s="35">
        <v>565</v>
      </c>
      <c r="E218" s="35">
        <v>612</v>
      </c>
      <c r="F218" s="35">
        <v>690</v>
      </c>
      <c r="G218" s="35">
        <v>698</v>
      </c>
      <c r="H218" s="35">
        <v>554</v>
      </c>
      <c r="I218" s="35">
        <v>552</v>
      </c>
      <c r="J218" s="35">
        <v>545</v>
      </c>
      <c r="K218" s="35"/>
      <c r="L218" s="35">
        <v>513</v>
      </c>
      <c r="M218" s="35">
        <v>531</v>
      </c>
      <c r="N218" s="35">
        <v>565</v>
      </c>
      <c r="O218" s="35">
        <v>579</v>
      </c>
      <c r="P218" s="35">
        <v>497</v>
      </c>
      <c r="Q218" s="35">
        <v>475</v>
      </c>
      <c r="R218" s="35">
        <v>494</v>
      </c>
      <c r="S218" s="35">
        <v>492</v>
      </c>
      <c r="T218" s="35">
        <v>534</v>
      </c>
      <c r="U218" s="35">
        <v>481</v>
      </c>
      <c r="V218" s="35">
        <v>539</v>
      </c>
      <c r="W218" s="35">
        <v>11030</v>
      </c>
    </row>
    <row r="219" spans="1:23" x14ac:dyDescent="0.4">
      <c r="A219" s="5" t="s">
        <v>508</v>
      </c>
      <c r="B219" s="35">
        <v>46</v>
      </c>
      <c r="C219" s="35">
        <v>50</v>
      </c>
      <c r="D219" s="35">
        <v>49</v>
      </c>
      <c r="E219" s="35">
        <v>36</v>
      </c>
      <c r="F219" s="35">
        <v>46</v>
      </c>
      <c r="G219" s="35">
        <v>62</v>
      </c>
      <c r="H219" s="35">
        <v>52</v>
      </c>
      <c r="I219" s="35">
        <v>35</v>
      </c>
      <c r="J219" s="35">
        <v>46</v>
      </c>
      <c r="K219" s="35"/>
      <c r="L219" s="35">
        <v>46</v>
      </c>
      <c r="M219" s="35">
        <v>40</v>
      </c>
      <c r="N219" s="35">
        <v>50</v>
      </c>
      <c r="O219" s="35">
        <v>49</v>
      </c>
      <c r="P219" s="35">
        <v>35</v>
      </c>
      <c r="Q219" s="35">
        <v>31</v>
      </c>
      <c r="R219" s="35">
        <v>38</v>
      </c>
      <c r="S219" s="35">
        <v>40</v>
      </c>
      <c r="T219" s="35">
        <v>39</v>
      </c>
      <c r="U219" s="35">
        <v>36</v>
      </c>
      <c r="V219" s="35">
        <v>46</v>
      </c>
      <c r="W219" s="35">
        <v>872</v>
      </c>
    </row>
    <row r="220" spans="1:23" x14ac:dyDescent="0.4">
      <c r="A220" s="5" t="s">
        <v>509</v>
      </c>
      <c r="B220" s="35">
        <v>76</v>
      </c>
      <c r="C220" s="35">
        <v>84</v>
      </c>
      <c r="D220" s="35">
        <v>98</v>
      </c>
      <c r="E220" s="35">
        <v>83</v>
      </c>
      <c r="F220" s="35">
        <v>87</v>
      </c>
      <c r="G220" s="35">
        <v>98</v>
      </c>
      <c r="H220" s="35">
        <v>73</v>
      </c>
      <c r="I220" s="35">
        <v>70</v>
      </c>
      <c r="J220" s="35">
        <v>77</v>
      </c>
      <c r="K220" s="35"/>
      <c r="L220" s="35">
        <v>69</v>
      </c>
      <c r="M220" s="35">
        <v>90</v>
      </c>
      <c r="N220" s="35">
        <v>80</v>
      </c>
      <c r="O220" s="35">
        <v>110</v>
      </c>
      <c r="P220" s="35">
        <v>79</v>
      </c>
      <c r="Q220" s="35">
        <v>63</v>
      </c>
      <c r="R220" s="35">
        <v>71</v>
      </c>
      <c r="S220" s="35">
        <v>76</v>
      </c>
      <c r="T220" s="35">
        <v>89</v>
      </c>
      <c r="U220" s="35">
        <v>103</v>
      </c>
      <c r="V220" s="35">
        <v>96</v>
      </c>
      <c r="W220" s="35">
        <v>1672</v>
      </c>
    </row>
    <row r="221" spans="1:23" x14ac:dyDescent="0.4">
      <c r="A221" s="5" t="s">
        <v>510</v>
      </c>
      <c r="B221" s="35">
        <v>14</v>
      </c>
      <c r="C221" s="35">
        <v>15</v>
      </c>
      <c r="D221" s="35">
        <v>10</v>
      </c>
      <c r="E221" s="35">
        <v>14</v>
      </c>
      <c r="F221" s="35">
        <v>10</v>
      </c>
      <c r="G221" s="35">
        <v>13</v>
      </c>
      <c r="H221" s="35">
        <v>20</v>
      </c>
      <c r="I221" s="35">
        <v>13</v>
      </c>
      <c r="J221" s="35">
        <v>14</v>
      </c>
      <c r="K221" s="35"/>
      <c r="L221" s="35">
        <v>20</v>
      </c>
      <c r="M221" s="35">
        <v>10</v>
      </c>
      <c r="N221" s="35">
        <v>19</v>
      </c>
      <c r="O221" s="35">
        <v>40</v>
      </c>
      <c r="P221" s="35">
        <v>11</v>
      </c>
      <c r="Q221" s="35">
        <v>20</v>
      </c>
      <c r="R221" s="35">
        <v>21</v>
      </c>
      <c r="S221" s="35">
        <v>16</v>
      </c>
      <c r="T221" s="35">
        <v>19</v>
      </c>
      <c r="U221" s="35">
        <v>18</v>
      </c>
      <c r="V221" s="35">
        <v>29</v>
      </c>
      <c r="W221" s="35">
        <v>346</v>
      </c>
    </row>
    <row r="222" spans="1:23" x14ac:dyDescent="0.4">
      <c r="A222" s="5" t="s">
        <v>511</v>
      </c>
      <c r="B222" s="35">
        <v>23</v>
      </c>
      <c r="C222" s="35">
        <v>38</v>
      </c>
      <c r="D222" s="35">
        <v>51</v>
      </c>
      <c r="E222" s="35">
        <v>51</v>
      </c>
      <c r="F222" s="35">
        <v>51</v>
      </c>
      <c r="G222" s="35">
        <v>66</v>
      </c>
      <c r="H222" s="35">
        <v>28</v>
      </c>
      <c r="I222" s="35">
        <v>26</v>
      </c>
      <c r="J222" s="35">
        <v>46</v>
      </c>
      <c r="K222" s="35"/>
      <c r="L222" s="35">
        <v>110</v>
      </c>
      <c r="M222" s="35">
        <v>47</v>
      </c>
      <c r="N222" s="35">
        <v>61</v>
      </c>
      <c r="O222" s="35">
        <v>56</v>
      </c>
      <c r="P222" s="35">
        <v>44</v>
      </c>
      <c r="Q222" s="35">
        <v>64</v>
      </c>
      <c r="R222" s="35">
        <v>53</v>
      </c>
      <c r="S222" s="35">
        <v>72</v>
      </c>
      <c r="T222" s="35">
        <v>55</v>
      </c>
      <c r="U222" s="35">
        <v>65</v>
      </c>
      <c r="V222" s="35">
        <v>84</v>
      </c>
      <c r="W222" s="35">
        <v>1091</v>
      </c>
    </row>
    <row r="223" spans="1:23" x14ac:dyDescent="0.4">
      <c r="A223" s="5" t="s">
        <v>512</v>
      </c>
      <c r="B223" s="35">
        <v>296</v>
      </c>
      <c r="C223" s="35">
        <v>325</v>
      </c>
      <c r="D223" s="35">
        <v>297</v>
      </c>
      <c r="E223" s="35">
        <v>271</v>
      </c>
      <c r="F223" s="35">
        <v>288</v>
      </c>
      <c r="G223" s="35">
        <v>375</v>
      </c>
      <c r="H223" s="35">
        <v>265</v>
      </c>
      <c r="I223" s="35">
        <v>299</v>
      </c>
      <c r="J223" s="35">
        <v>240</v>
      </c>
      <c r="K223" s="35"/>
      <c r="L223" s="35">
        <v>240</v>
      </c>
      <c r="M223" s="35">
        <v>269</v>
      </c>
      <c r="N223" s="35">
        <v>254</v>
      </c>
      <c r="O223" s="35">
        <v>235</v>
      </c>
      <c r="P223" s="35">
        <v>221</v>
      </c>
      <c r="Q223" s="35">
        <v>233</v>
      </c>
      <c r="R223" s="35">
        <v>240</v>
      </c>
      <c r="S223" s="35">
        <v>232</v>
      </c>
      <c r="T223" s="35">
        <v>220</v>
      </c>
      <c r="U223" s="35">
        <v>237</v>
      </c>
      <c r="V223" s="35">
        <v>224</v>
      </c>
      <c r="W223" s="35">
        <v>5261</v>
      </c>
    </row>
    <row r="224" spans="1:23" x14ac:dyDescent="0.4">
      <c r="A224" s="5" t="s">
        <v>513</v>
      </c>
      <c r="B224" s="35">
        <v>40</v>
      </c>
      <c r="C224" s="35">
        <v>34</v>
      </c>
      <c r="D224" s="35">
        <v>43</v>
      </c>
      <c r="E224" s="35">
        <v>43</v>
      </c>
      <c r="F224" s="35">
        <v>41</v>
      </c>
      <c r="G224" s="35">
        <v>60</v>
      </c>
      <c r="H224" s="35">
        <v>36</v>
      </c>
      <c r="I224" s="35">
        <v>38</v>
      </c>
      <c r="J224" s="35">
        <v>41</v>
      </c>
      <c r="K224" s="35"/>
      <c r="L224" s="35">
        <v>38</v>
      </c>
      <c r="M224" s="35">
        <v>24</v>
      </c>
      <c r="N224" s="35">
        <v>42</v>
      </c>
      <c r="O224" s="35">
        <v>59</v>
      </c>
      <c r="P224" s="35">
        <v>28</v>
      </c>
      <c r="Q224" s="35">
        <v>33</v>
      </c>
      <c r="R224" s="35">
        <v>38</v>
      </c>
      <c r="S224" s="35">
        <v>32</v>
      </c>
      <c r="T224" s="35">
        <v>38</v>
      </c>
      <c r="U224" s="35">
        <v>39</v>
      </c>
      <c r="V224" s="35">
        <v>20</v>
      </c>
      <c r="W224" s="35">
        <v>767</v>
      </c>
    </row>
    <row r="225" spans="1:23" x14ac:dyDescent="0.4">
      <c r="A225" s="5" t="s">
        <v>514</v>
      </c>
      <c r="B225" s="35">
        <v>116</v>
      </c>
      <c r="C225" s="35">
        <v>103</v>
      </c>
      <c r="D225" s="35">
        <v>113</v>
      </c>
      <c r="E225" s="35">
        <v>113</v>
      </c>
      <c r="F225" s="35">
        <v>103</v>
      </c>
      <c r="G225" s="35">
        <v>151</v>
      </c>
      <c r="H225" s="35">
        <v>87</v>
      </c>
      <c r="I225" s="35">
        <v>99</v>
      </c>
      <c r="J225" s="35">
        <v>111</v>
      </c>
      <c r="K225" s="35"/>
      <c r="L225" s="35">
        <v>130</v>
      </c>
      <c r="M225" s="35">
        <v>116</v>
      </c>
      <c r="N225" s="35">
        <v>122</v>
      </c>
      <c r="O225" s="35">
        <v>109</v>
      </c>
      <c r="P225" s="35">
        <v>88</v>
      </c>
      <c r="Q225" s="35">
        <v>102</v>
      </c>
      <c r="R225" s="35">
        <v>102</v>
      </c>
      <c r="S225" s="35">
        <v>79</v>
      </c>
      <c r="T225" s="35">
        <v>93</v>
      </c>
      <c r="U225" s="35">
        <v>119</v>
      </c>
      <c r="V225" s="35">
        <v>104</v>
      </c>
      <c r="W225" s="35">
        <v>2160</v>
      </c>
    </row>
    <row r="226" spans="1:23" x14ac:dyDescent="0.4">
      <c r="A226" s="5" t="s">
        <v>515</v>
      </c>
      <c r="B226" s="35">
        <v>36</v>
      </c>
      <c r="C226" s="35">
        <v>41</v>
      </c>
      <c r="D226" s="35">
        <v>34</v>
      </c>
      <c r="E226" s="35">
        <v>37</v>
      </c>
      <c r="F226" s="35">
        <v>41</v>
      </c>
      <c r="G226" s="35">
        <v>39</v>
      </c>
      <c r="H226" s="35">
        <v>43</v>
      </c>
      <c r="I226" s="35">
        <v>21</v>
      </c>
      <c r="J226" s="35">
        <v>38</v>
      </c>
      <c r="K226" s="35"/>
      <c r="L226" s="35">
        <v>14</v>
      </c>
      <c r="M226" s="35">
        <v>29</v>
      </c>
      <c r="N226" s="35">
        <v>37</v>
      </c>
      <c r="O226" s="35">
        <v>43</v>
      </c>
      <c r="P226" s="35">
        <v>34</v>
      </c>
      <c r="Q226" s="35">
        <v>31</v>
      </c>
      <c r="R226" s="35">
        <v>34</v>
      </c>
      <c r="S226" s="35">
        <v>41</v>
      </c>
      <c r="T226" s="35">
        <v>38</v>
      </c>
      <c r="U226" s="35">
        <v>48</v>
      </c>
      <c r="V226" s="35">
        <v>47</v>
      </c>
      <c r="W226" s="35">
        <v>726</v>
      </c>
    </row>
    <row r="227" spans="1:23" x14ac:dyDescent="0.4">
      <c r="A227" s="5" t="s">
        <v>516</v>
      </c>
      <c r="B227" s="35">
        <v>66</v>
      </c>
      <c r="C227" s="35">
        <v>65</v>
      </c>
      <c r="D227" s="35">
        <v>51</v>
      </c>
      <c r="E227" s="35">
        <v>49</v>
      </c>
      <c r="F227" s="35">
        <v>64</v>
      </c>
      <c r="G227" s="35">
        <v>69</v>
      </c>
      <c r="H227" s="35">
        <v>48</v>
      </c>
      <c r="I227" s="35">
        <v>61</v>
      </c>
      <c r="J227" s="35">
        <v>53</v>
      </c>
      <c r="K227" s="35"/>
      <c r="L227" s="35">
        <v>46</v>
      </c>
      <c r="M227" s="35">
        <v>40</v>
      </c>
      <c r="N227" s="35">
        <v>57</v>
      </c>
      <c r="O227" s="35">
        <v>54</v>
      </c>
      <c r="P227" s="35">
        <v>41</v>
      </c>
      <c r="Q227" s="35">
        <v>50</v>
      </c>
      <c r="R227" s="35">
        <v>34</v>
      </c>
      <c r="S227" s="35">
        <v>49</v>
      </c>
      <c r="T227" s="35">
        <v>43</v>
      </c>
      <c r="U227" s="35">
        <v>59</v>
      </c>
      <c r="V227" s="35">
        <v>57</v>
      </c>
      <c r="W227" s="35">
        <v>1056</v>
      </c>
    </row>
    <row r="228" spans="1:23" x14ac:dyDescent="0.4">
      <c r="A228" s="5" t="s">
        <v>517</v>
      </c>
      <c r="B228" s="35">
        <v>18</v>
      </c>
      <c r="C228" s="35">
        <v>9</v>
      </c>
      <c r="D228" s="35">
        <v>13</v>
      </c>
      <c r="E228" s="35">
        <v>12</v>
      </c>
      <c r="F228" s="35">
        <v>23</v>
      </c>
      <c r="G228" s="35">
        <v>18</v>
      </c>
      <c r="H228" s="35">
        <v>13</v>
      </c>
      <c r="I228" s="35">
        <v>17</v>
      </c>
      <c r="J228" s="35">
        <v>7</v>
      </c>
      <c r="K228" s="35"/>
      <c r="L228" s="35">
        <v>9</v>
      </c>
      <c r="M228" s="35">
        <v>21</v>
      </c>
      <c r="N228" s="35">
        <v>24</v>
      </c>
      <c r="O228" s="35">
        <v>14</v>
      </c>
      <c r="P228" s="35">
        <v>22</v>
      </c>
      <c r="Q228" s="35">
        <v>16</v>
      </c>
      <c r="R228" s="35">
        <v>17</v>
      </c>
      <c r="S228" s="35">
        <v>23</v>
      </c>
      <c r="T228" s="35">
        <v>22</v>
      </c>
      <c r="U228" s="35">
        <v>26</v>
      </c>
      <c r="V228" s="35">
        <v>21</v>
      </c>
      <c r="W228" s="35">
        <v>345</v>
      </c>
    </row>
    <row r="229" spans="1:23" x14ac:dyDescent="0.4">
      <c r="A229" s="5" t="s">
        <v>518</v>
      </c>
      <c r="B229" s="35">
        <v>2197</v>
      </c>
      <c r="C229" s="35">
        <v>2331</v>
      </c>
      <c r="D229" s="35">
        <v>2526</v>
      </c>
      <c r="E229" s="35">
        <v>2461</v>
      </c>
      <c r="F229" s="35">
        <v>2691</v>
      </c>
      <c r="G229" s="35">
        <v>3037</v>
      </c>
      <c r="H229" s="35">
        <v>2192</v>
      </c>
      <c r="I229" s="35">
        <v>2223</v>
      </c>
      <c r="J229" s="35">
        <v>2197</v>
      </c>
      <c r="K229" s="35"/>
      <c r="L229" s="35">
        <v>2125</v>
      </c>
      <c r="M229" s="35">
        <v>1967</v>
      </c>
      <c r="N229" s="35">
        <v>1980</v>
      </c>
      <c r="O229" s="35">
        <v>1803</v>
      </c>
      <c r="P229" s="35">
        <v>1767</v>
      </c>
      <c r="Q229" s="35">
        <v>1660</v>
      </c>
      <c r="R229" s="35">
        <v>1612</v>
      </c>
      <c r="S229" s="35">
        <v>1657</v>
      </c>
      <c r="T229" s="35">
        <v>1499</v>
      </c>
      <c r="U229" s="35">
        <v>1515</v>
      </c>
      <c r="V229" s="35">
        <v>1410</v>
      </c>
      <c r="W229" s="35">
        <v>40850</v>
      </c>
    </row>
    <row r="230" spans="1:23" x14ac:dyDescent="0.4">
      <c r="A230" s="5" t="s">
        <v>519</v>
      </c>
      <c r="B230" s="35">
        <v>104</v>
      </c>
      <c r="C230" s="35">
        <v>70</v>
      </c>
      <c r="D230" s="35">
        <v>72</v>
      </c>
      <c r="E230" s="35">
        <v>68</v>
      </c>
      <c r="F230" s="35">
        <v>81</v>
      </c>
      <c r="G230" s="35">
        <v>73</v>
      </c>
      <c r="H230" s="35">
        <v>77</v>
      </c>
      <c r="I230" s="35">
        <v>82</v>
      </c>
      <c r="J230" s="35">
        <v>93</v>
      </c>
      <c r="K230" s="35"/>
      <c r="L230" s="35">
        <v>53</v>
      </c>
      <c r="M230" s="35">
        <v>66</v>
      </c>
      <c r="N230" s="35">
        <v>84</v>
      </c>
      <c r="O230" s="35">
        <v>107</v>
      </c>
      <c r="P230" s="35">
        <v>91</v>
      </c>
      <c r="Q230" s="35">
        <v>78</v>
      </c>
      <c r="R230" s="35">
        <v>89</v>
      </c>
      <c r="S230" s="35">
        <v>99</v>
      </c>
      <c r="T230" s="35">
        <v>98</v>
      </c>
      <c r="U230" s="35">
        <v>90</v>
      </c>
      <c r="V230" s="35">
        <v>87</v>
      </c>
      <c r="W230" s="35">
        <v>1662</v>
      </c>
    </row>
    <row r="231" spans="1:23" x14ac:dyDescent="0.4">
      <c r="A231" s="5" t="s">
        <v>520</v>
      </c>
      <c r="B231" s="35">
        <v>84</v>
      </c>
      <c r="C231" s="35">
        <v>81</v>
      </c>
      <c r="D231" s="35">
        <v>92</v>
      </c>
      <c r="E231" s="35">
        <v>77</v>
      </c>
      <c r="F231" s="35">
        <v>115</v>
      </c>
      <c r="G231" s="35">
        <v>107</v>
      </c>
      <c r="H231" s="35">
        <v>109</v>
      </c>
      <c r="I231" s="35">
        <v>84</v>
      </c>
      <c r="J231" s="35">
        <v>98</v>
      </c>
      <c r="K231" s="35"/>
      <c r="L231" s="35">
        <v>83</v>
      </c>
      <c r="M231" s="35">
        <v>99</v>
      </c>
      <c r="N231" s="35">
        <v>102</v>
      </c>
      <c r="O231" s="35">
        <v>73</v>
      </c>
      <c r="P231" s="35">
        <v>92</v>
      </c>
      <c r="Q231" s="35">
        <v>90</v>
      </c>
      <c r="R231" s="35">
        <v>73</v>
      </c>
      <c r="S231" s="35">
        <v>66</v>
      </c>
      <c r="T231" s="35">
        <v>80</v>
      </c>
      <c r="U231" s="35">
        <v>70</v>
      </c>
      <c r="V231" s="35">
        <v>79</v>
      </c>
      <c r="W231" s="35">
        <v>1754</v>
      </c>
    </row>
    <row r="232" spans="1:23" x14ac:dyDescent="0.4">
      <c r="A232" s="5" t="s">
        <v>521</v>
      </c>
      <c r="B232" s="35">
        <v>8</v>
      </c>
      <c r="C232" s="35">
        <v>3</v>
      </c>
      <c r="D232" s="35">
        <v>4</v>
      </c>
      <c r="E232" s="35">
        <v>7</v>
      </c>
      <c r="F232" s="35">
        <v>5</v>
      </c>
      <c r="G232" s="35">
        <v>6</v>
      </c>
      <c r="H232" s="35">
        <v>13</v>
      </c>
      <c r="I232" s="35">
        <v>3</v>
      </c>
      <c r="J232" s="35">
        <v>2</v>
      </c>
      <c r="K232" s="35"/>
      <c r="L232" s="35">
        <v>7</v>
      </c>
      <c r="M232" s="35">
        <v>7</v>
      </c>
      <c r="N232" s="35">
        <v>5</v>
      </c>
      <c r="O232" s="35">
        <v>10</v>
      </c>
      <c r="P232" s="35">
        <v>3</v>
      </c>
      <c r="Q232" s="35">
        <v>3</v>
      </c>
      <c r="R232" s="35">
        <v>10</v>
      </c>
      <c r="S232" s="35">
        <v>13</v>
      </c>
      <c r="T232" s="35">
        <v>2</v>
      </c>
      <c r="U232" s="35">
        <v>11</v>
      </c>
      <c r="V232" s="35">
        <v>6</v>
      </c>
      <c r="W232" s="35">
        <v>128</v>
      </c>
    </row>
    <row r="233" spans="1:23" x14ac:dyDescent="0.4">
      <c r="A233" s="5" t="s">
        <v>522</v>
      </c>
      <c r="B233" s="35">
        <v>45</v>
      </c>
      <c r="C233" s="35">
        <v>43</v>
      </c>
      <c r="D233" s="35">
        <v>36</v>
      </c>
      <c r="E233" s="35">
        <v>36</v>
      </c>
      <c r="F233" s="35">
        <v>48</v>
      </c>
      <c r="G233" s="35">
        <v>46</v>
      </c>
      <c r="H233" s="35">
        <v>50</v>
      </c>
      <c r="I233" s="35">
        <v>56</v>
      </c>
      <c r="J233" s="35">
        <v>45</v>
      </c>
      <c r="K233" s="35"/>
      <c r="L233" s="35">
        <v>42</v>
      </c>
      <c r="M233" s="35">
        <v>37</v>
      </c>
      <c r="N233" s="35">
        <v>28</v>
      </c>
      <c r="O233" s="35">
        <v>29</v>
      </c>
      <c r="P233" s="35">
        <v>23</v>
      </c>
      <c r="Q233" s="35">
        <v>30</v>
      </c>
      <c r="R233" s="35">
        <v>75</v>
      </c>
      <c r="S233" s="35">
        <v>46</v>
      </c>
      <c r="T233" s="35">
        <v>39</v>
      </c>
      <c r="U233" s="35">
        <v>43</v>
      </c>
      <c r="V233" s="35">
        <v>55</v>
      </c>
      <c r="W233" s="35">
        <v>852</v>
      </c>
    </row>
    <row r="234" spans="1:23" x14ac:dyDescent="0.4">
      <c r="A234" s="5" t="s">
        <v>523</v>
      </c>
      <c r="B234" s="35">
        <v>61</v>
      </c>
      <c r="C234" s="35">
        <v>74</v>
      </c>
      <c r="D234" s="35">
        <v>57</v>
      </c>
      <c r="E234" s="35">
        <v>70</v>
      </c>
      <c r="F234" s="35">
        <v>78</v>
      </c>
      <c r="G234" s="35">
        <v>55</v>
      </c>
      <c r="H234" s="35">
        <v>56</v>
      </c>
      <c r="I234" s="35">
        <v>59</v>
      </c>
      <c r="J234" s="35">
        <v>47</v>
      </c>
      <c r="K234" s="35"/>
      <c r="L234" s="35">
        <v>55</v>
      </c>
      <c r="M234" s="35">
        <v>46</v>
      </c>
      <c r="N234" s="35">
        <v>72</v>
      </c>
      <c r="O234" s="35">
        <v>69</v>
      </c>
      <c r="P234" s="35">
        <v>50</v>
      </c>
      <c r="Q234" s="35">
        <v>56</v>
      </c>
      <c r="R234" s="35">
        <v>63</v>
      </c>
      <c r="S234" s="35">
        <v>62</v>
      </c>
      <c r="T234" s="35">
        <v>73</v>
      </c>
      <c r="U234" s="35">
        <v>75</v>
      </c>
      <c r="V234" s="35">
        <v>76</v>
      </c>
      <c r="W234" s="35">
        <v>1254</v>
      </c>
    </row>
    <row r="235" spans="1:23" x14ac:dyDescent="0.4">
      <c r="A235" s="5" t="s">
        <v>524</v>
      </c>
      <c r="B235" s="35">
        <v>60</v>
      </c>
      <c r="C235" s="35">
        <v>79</v>
      </c>
      <c r="D235" s="35">
        <v>60</v>
      </c>
      <c r="E235" s="35">
        <v>67</v>
      </c>
      <c r="F235" s="35">
        <v>90</v>
      </c>
      <c r="G235" s="35">
        <v>72</v>
      </c>
      <c r="H235" s="35">
        <v>60</v>
      </c>
      <c r="I235" s="35">
        <v>69</v>
      </c>
      <c r="J235" s="35">
        <v>64</v>
      </c>
      <c r="K235" s="35"/>
      <c r="L235" s="35">
        <v>83</v>
      </c>
      <c r="M235" s="35">
        <v>66</v>
      </c>
      <c r="N235" s="35">
        <v>57</v>
      </c>
      <c r="O235" s="35">
        <v>0</v>
      </c>
      <c r="P235" s="35">
        <v>63</v>
      </c>
      <c r="Q235" s="35">
        <v>63</v>
      </c>
      <c r="R235" s="35">
        <v>51</v>
      </c>
      <c r="S235" s="35">
        <v>55</v>
      </c>
      <c r="T235" s="35">
        <v>52</v>
      </c>
      <c r="U235" s="35">
        <v>75</v>
      </c>
      <c r="V235" s="35">
        <v>54</v>
      </c>
      <c r="W235" s="35">
        <v>1240</v>
      </c>
    </row>
    <row r="236" spans="1:23" x14ac:dyDescent="0.4">
      <c r="A236" s="5" t="s">
        <v>525</v>
      </c>
      <c r="B236" s="35">
        <v>37</v>
      </c>
      <c r="C236" s="35">
        <v>45</v>
      </c>
      <c r="D236" s="35">
        <v>38</v>
      </c>
      <c r="E236" s="35">
        <v>52</v>
      </c>
      <c r="F236" s="35">
        <v>60</v>
      </c>
      <c r="G236" s="35">
        <v>64</v>
      </c>
      <c r="H236" s="35">
        <v>51</v>
      </c>
      <c r="I236" s="35">
        <v>55</v>
      </c>
      <c r="J236" s="35">
        <v>48</v>
      </c>
      <c r="K236" s="35"/>
      <c r="L236" s="35">
        <v>44</v>
      </c>
      <c r="M236" s="35">
        <v>39</v>
      </c>
      <c r="N236" s="35">
        <v>43</v>
      </c>
      <c r="O236" s="35">
        <v>53</v>
      </c>
      <c r="P236" s="35">
        <v>45</v>
      </c>
      <c r="Q236" s="35">
        <v>47</v>
      </c>
      <c r="R236" s="35">
        <v>38</v>
      </c>
      <c r="S236" s="35">
        <v>39</v>
      </c>
      <c r="T236" s="35">
        <v>44</v>
      </c>
      <c r="U236" s="35">
        <v>44</v>
      </c>
      <c r="V236" s="35">
        <v>47</v>
      </c>
      <c r="W236" s="35">
        <v>933</v>
      </c>
    </row>
    <row r="237" spans="1:23" x14ac:dyDescent="0.4">
      <c r="A237" s="5" t="s">
        <v>526</v>
      </c>
      <c r="B237" s="35">
        <v>179</v>
      </c>
      <c r="C237" s="35">
        <v>210</v>
      </c>
      <c r="D237" s="35">
        <v>217</v>
      </c>
      <c r="E237" s="35">
        <v>189</v>
      </c>
      <c r="F237" s="35">
        <v>207</v>
      </c>
      <c r="G237" s="35">
        <v>261</v>
      </c>
      <c r="H237" s="35">
        <v>174</v>
      </c>
      <c r="I237" s="35">
        <v>169</v>
      </c>
      <c r="J237" s="35">
        <v>171</v>
      </c>
      <c r="K237" s="35"/>
      <c r="L237" s="35">
        <v>155</v>
      </c>
      <c r="M237" s="35">
        <v>152</v>
      </c>
      <c r="N237" s="35">
        <v>159</v>
      </c>
      <c r="O237" s="35">
        <v>183</v>
      </c>
      <c r="P237" s="35">
        <v>157</v>
      </c>
      <c r="Q237" s="35">
        <v>163</v>
      </c>
      <c r="R237" s="35">
        <v>179</v>
      </c>
      <c r="S237" s="35">
        <v>159</v>
      </c>
      <c r="T237" s="35">
        <v>189</v>
      </c>
      <c r="U237" s="35">
        <v>166</v>
      </c>
      <c r="V237" s="35">
        <v>169</v>
      </c>
      <c r="W237" s="35">
        <v>3608</v>
      </c>
    </row>
    <row r="238" spans="1:23" x14ac:dyDescent="0.4">
      <c r="A238" s="5" t="s">
        <v>527</v>
      </c>
      <c r="B238" s="35">
        <v>177</v>
      </c>
      <c r="C238" s="35">
        <v>164</v>
      </c>
      <c r="D238" s="35">
        <v>183</v>
      </c>
      <c r="E238" s="35">
        <v>197</v>
      </c>
      <c r="F238" s="35">
        <v>222</v>
      </c>
      <c r="G238" s="35">
        <v>220</v>
      </c>
      <c r="H238" s="35">
        <v>176</v>
      </c>
      <c r="I238" s="35">
        <v>169</v>
      </c>
      <c r="J238" s="35">
        <v>164</v>
      </c>
      <c r="K238" s="35"/>
      <c r="L238" s="35">
        <v>153</v>
      </c>
      <c r="M238" s="35">
        <v>161</v>
      </c>
      <c r="N238" s="35">
        <v>150</v>
      </c>
      <c r="O238" s="35">
        <v>153</v>
      </c>
      <c r="P238" s="35">
        <v>130</v>
      </c>
      <c r="Q238" s="35">
        <v>177</v>
      </c>
      <c r="R238" s="35">
        <v>145</v>
      </c>
      <c r="S238" s="35">
        <v>215</v>
      </c>
      <c r="T238" s="35">
        <v>191</v>
      </c>
      <c r="U238" s="35">
        <v>180</v>
      </c>
      <c r="V238" s="35">
        <v>183</v>
      </c>
      <c r="W238" s="35">
        <v>3510</v>
      </c>
    </row>
    <row r="239" spans="1:23" x14ac:dyDescent="0.4">
      <c r="A239" s="5" t="s">
        <v>528</v>
      </c>
      <c r="B239" s="35">
        <v>105</v>
      </c>
      <c r="C239" s="35">
        <v>89</v>
      </c>
      <c r="D239" s="35">
        <v>116</v>
      </c>
      <c r="E239" s="35">
        <v>93</v>
      </c>
      <c r="F239" s="35">
        <v>111</v>
      </c>
      <c r="G239" s="35">
        <v>136</v>
      </c>
      <c r="H239" s="35">
        <v>104</v>
      </c>
      <c r="I239" s="35">
        <v>106</v>
      </c>
      <c r="J239" s="35">
        <v>78</v>
      </c>
      <c r="K239" s="35"/>
      <c r="L239" s="35">
        <v>75</v>
      </c>
      <c r="M239" s="35">
        <v>102</v>
      </c>
      <c r="N239" s="35">
        <v>99</v>
      </c>
      <c r="O239" s="35">
        <v>101</v>
      </c>
      <c r="P239" s="35">
        <v>80</v>
      </c>
      <c r="Q239" s="35">
        <v>82</v>
      </c>
      <c r="R239" s="35">
        <v>67</v>
      </c>
      <c r="S239" s="35">
        <v>87</v>
      </c>
      <c r="T239" s="35">
        <v>100</v>
      </c>
      <c r="U239" s="35">
        <v>98</v>
      </c>
      <c r="V239" s="35">
        <v>78</v>
      </c>
      <c r="W239" s="35">
        <v>1907</v>
      </c>
    </row>
    <row r="240" spans="1:23" x14ac:dyDescent="0.4">
      <c r="A240" s="5" t="s">
        <v>529</v>
      </c>
      <c r="B240" s="35">
        <v>51</v>
      </c>
      <c r="C240" s="35">
        <v>42</v>
      </c>
      <c r="D240" s="35">
        <v>45</v>
      </c>
      <c r="E240" s="35">
        <v>42</v>
      </c>
      <c r="F240" s="35">
        <v>47</v>
      </c>
      <c r="G240" s="35">
        <v>50</v>
      </c>
      <c r="H240" s="35">
        <v>38</v>
      </c>
      <c r="I240" s="35">
        <v>47</v>
      </c>
      <c r="J240" s="35">
        <v>36</v>
      </c>
      <c r="K240" s="35"/>
      <c r="L240" s="35">
        <v>32</v>
      </c>
      <c r="M240" s="35">
        <v>30</v>
      </c>
      <c r="N240" s="35">
        <v>49</v>
      </c>
      <c r="O240" s="35">
        <v>33</v>
      </c>
      <c r="P240" s="35">
        <v>38</v>
      </c>
      <c r="Q240" s="35">
        <v>38</v>
      </c>
      <c r="R240" s="35">
        <v>36</v>
      </c>
      <c r="S240" s="35">
        <v>39</v>
      </c>
      <c r="T240" s="35">
        <v>41</v>
      </c>
      <c r="U240" s="35">
        <v>27</v>
      </c>
      <c r="V240" s="35">
        <v>41</v>
      </c>
      <c r="W240" s="35">
        <v>802</v>
      </c>
    </row>
    <row r="241" spans="1:23" x14ac:dyDescent="0.4">
      <c r="A241" s="5" t="s">
        <v>530</v>
      </c>
      <c r="B241" s="35">
        <v>391</v>
      </c>
      <c r="C241" s="35">
        <v>427</v>
      </c>
      <c r="D241" s="35">
        <v>443</v>
      </c>
      <c r="E241" s="35">
        <v>501</v>
      </c>
      <c r="F241" s="35">
        <v>493</v>
      </c>
      <c r="G241" s="35">
        <v>561</v>
      </c>
      <c r="H241" s="35">
        <v>414</v>
      </c>
      <c r="I241" s="35">
        <v>387</v>
      </c>
      <c r="J241" s="35">
        <v>379</v>
      </c>
      <c r="K241" s="35"/>
      <c r="L241" s="35">
        <v>339</v>
      </c>
      <c r="M241" s="35">
        <v>310</v>
      </c>
      <c r="N241" s="35">
        <v>319</v>
      </c>
      <c r="O241" s="35">
        <v>328</v>
      </c>
      <c r="P241" s="35">
        <v>307</v>
      </c>
      <c r="Q241" s="35">
        <v>311</v>
      </c>
      <c r="R241" s="35">
        <v>286</v>
      </c>
      <c r="S241" s="35">
        <v>292</v>
      </c>
      <c r="T241" s="35">
        <v>244</v>
      </c>
      <c r="U241" s="35">
        <v>297</v>
      </c>
      <c r="V241" s="35">
        <v>302</v>
      </c>
      <c r="W241" s="35">
        <v>7331</v>
      </c>
    </row>
    <row r="242" spans="1:23" x14ac:dyDescent="0.4">
      <c r="A242" s="5" t="s">
        <v>531</v>
      </c>
      <c r="B242" s="35">
        <v>123</v>
      </c>
      <c r="C242" s="35">
        <v>128</v>
      </c>
      <c r="D242" s="35">
        <v>112</v>
      </c>
      <c r="E242" s="35">
        <v>116</v>
      </c>
      <c r="F242" s="35">
        <v>117</v>
      </c>
      <c r="G242" s="35">
        <v>188</v>
      </c>
      <c r="H242" s="35">
        <v>71</v>
      </c>
      <c r="I242" s="35">
        <v>94</v>
      </c>
      <c r="J242" s="35">
        <v>64</v>
      </c>
      <c r="K242" s="35"/>
      <c r="L242" s="35">
        <v>54</v>
      </c>
      <c r="M242" s="35">
        <v>65</v>
      </c>
      <c r="N242" s="35">
        <v>44</v>
      </c>
      <c r="O242" s="35">
        <v>68</v>
      </c>
      <c r="P242" s="35">
        <v>64</v>
      </c>
      <c r="Q242" s="35">
        <v>41</v>
      </c>
      <c r="R242" s="35">
        <v>35</v>
      </c>
      <c r="S242" s="35">
        <v>46</v>
      </c>
      <c r="T242" s="35">
        <v>63</v>
      </c>
      <c r="U242" s="35">
        <v>48</v>
      </c>
      <c r="V242" s="35">
        <v>57</v>
      </c>
      <c r="W242" s="35">
        <v>1598</v>
      </c>
    </row>
    <row r="243" spans="1:23" x14ac:dyDescent="0.4">
      <c r="A243" s="5" t="s">
        <v>532</v>
      </c>
      <c r="B243" s="35">
        <v>1865</v>
      </c>
      <c r="C243" s="35">
        <v>2085</v>
      </c>
      <c r="D243" s="35">
        <v>2133</v>
      </c>
      <c r="E243" s="35">
        <v>2234</v>
      </c>
      <c r="F243" s="35">
        <v>2591</v>
      </c>
      <c r="G243" s="35">
        <v>2969</v>
      </c>
      <c r="H243" s="35">
        <v>1840</v>
      </c>
      <c r="I243" s="35">
        <v>1849</v>
      </c>
      <c r="J243" s="35">
        <v>1688</v>
      </c>
      <c r="K243" s="35"/>
      <c r="L243" s="35">
        <v>1348</v>
      </c>
      <c r="M243" s="35">
        <v>1217</v>
      </c>
      <c r="N243" s="35">
        <v>1332</v>
      </c>
      <c r="O243" s="35">
        <v>1348</v>
      </c>
      <c r="P243" s="35">
        <v>1239</v>
      </c>
      <c r="Q243" s="35">
        <v>1174</v>
      </c>
      <c r="R243" s="35">
        <v>1139</v>
      </c>
      <c r="S243" s="35">
        <v>1145</v>
      </c>
      <c r="T243" s="35">
        <v>1087</v>
      </c>
      <c r="U243" s="35">
        <v>1128</v>
      </c>
      <c r="V243" s="35">
        <v>1051</v>
      </c>
      <c r="W243" s="35">
        <v>32462</v>
      </c>
    </row>
    <row r="244" spans="1:23" x14ac:dyDescent="0.4">
      <c r="A244" s="5" t="s">
        <v>533</v>
      </c>
      <c r="B244" s="35">
        <v>267</v>
      </c>
      <c r="C244" s="35">
        <v>283</v>
      </c>
      <c r="D244" s="35">
        <v>297</v>
      </c>
      <c r="E244" s="35">
        <v>307</v>
      </c>
      <c r="F244" s="35">
        <v>379</v>
      </c>
      <c r="G244" s="35">
        <v>469</v>
      </c>
      <c r="H244" s="35">
        <v>299</v>
      </c>
      <c r="I244" s="35">
        <v>307</v>
      </c>
      <c r="J244" s="35">
        <v>277</v>
      </c>
      <c r="K244" s="35"/>
      <c r="L244" s="35">
        <v>282</v>
      </c>
      <c r="M244" s="35">
        <v>238</v>
      </c>
      <c r="N244" s="35">
        <v>238</v>
      </c>
      <c r="O244" s="35">
        <v>257</v>
      </c>
      <c r="P244" s="35">
        <v>222</v>
      </c>
      <c r="Q244" s="35">
        <v>209</v>
      </c>
      <c r="R244" s="35">
        <v>218</v>
      </c>
      <c r="S244" s="35">
        <v>199</v>
      </c>
      <c r="T244" s="35">
        <v>193</v>
      </c>
      <c r="U244" s="35">
        <v>187</v>
      </c>
      <c r="V244" s="35">
        <v>151</v>
      </c>
      <c r="W244" s="35">
        <v>5279</v>
      </c>
    </row>
    <row r="245" spans="1:23" x14ac:dyDescent="0.4">
      <c r="A245" s="5" t="s">
        <v>534</v>
      </c>
      <c r="B245" s="35">
        <v>90</v>
      </c>
      <c r="C245" s="35">
        <v>102</v>
      </c>
      <c r="D245" s="35">
        <v>127</v>
      </c>
      <c r="E245" s="35">
        <v>87</v>
      </c>
      <c r="F245" s="35">
        <v>125</v>
      </c>
      <c r="G245" s="35">
        <v>179</v>
      </c>
      <c r="H245" s="35">
        <v>93</v>
      </c>
      <c r="I245" s="35">
        <v>68</v>
      </c>
      <c r="J245" s="35">
        <v>62</v>
      </c>
      <c r="K245" s="35"/>
      <c r="L245" s="35">
        <v>49</v>
      </c>
      <c r="M245" s="35">
        <v>76</v>
      </c>
      <c r="N245" s="35">
        <v>59</v>
      </c>
      <c r="O245" s="35">
        <v>55</v>
      </c>
      <c r="P245" s="35">
        <v>42</v>
      </c>
      <c r="Q245" s="35">
        <v>59</v>
      </c>
      <c r="R245" s="35">
        <v>37</v>
      </c>
      <c r="S245" s="35">
        <v>40</v>
      </c>
      <c r="T245" s="35">
        <v>55</v>
      </c>
      <c r="U245" s="35">
        <v>39</v>
      </c>
      <c r="V245" s="35">
        <v>54</v>
      </c>
      <c r="W245" s="35">
        <v>1498</v>
      </c>
    </row>
    <row r="246" spans="1:23" x14ac:dyDescent="0.4">
      <c r="A246" s="5" t="s">
        <v>535</v>
      </c>
      <c r="B246" s="35">
        <v>199</v>
      </c>
      <c r="C246" s="35">
        <v>181</v>
      </c>
      <c r="D246" s="35">
        <v>160</v>
      </c>
      <c r="E246" s="35">
        <v>205</v>
      </c>
      <c r="F246" s="35">
        <v>220</v>
      </c>
      <c r="G246" s="35">
        <v>232</v>
      </c>
      <c r="H246" s="35">
        <v>146</v>
      </c>
      <c r="I246" s="35">
        <v>137</v>
      </c>
      <c r="J246" s="35">
        <v>109</v>
      </c>
      <c r="K246" s="35"/>
      <c r="L246" s="35">
        <v>101</v>
      </c>
      <c r="M246" s="35">
        <v>110</v>
      </c>
      <c r="N246" s="35">
        <v>77</v>
      </c>
      <c r="O246" s="35">
        <v>69</v>
      </c>
      <c r="P246" s="35">
        <v>120</v>
      </c>
      <c r="Q246" s="35">
        <v>93</v>
      </c>
      <c r="R246" s="35">
        <v>60</v>
      </c>
      <c r="S246" s="35">
        <v>55</v>
      </c>
      <c r="T246" s="35">
        <v>63</v>
      </c>
      <c r="U246" s="35">
        <v>55</v>
      </c>
      <c r="V246" s="35">
        <v>64</v>
      </c>
      <c r="W246" s="35">
        <v>2456</v>
      </c>
    </row>
    <row r="247" spans="1:23" x14ac:dyDescent="0.4">
      <c r="A247" s="5" t="s">
        <v>536</v>
      </c>
      <c r="B247" s="35">
        <v>815</v>
      </c>
      <c r="C247" s="35">
        <v>862</v>
      </c>
      <c r="D247" s="35">
        <v>816</v>
      </c>
      <c r="E247" s="35">
        <v>862</v>
      </c>
      <c r="F247" s="35">
        <v>928</v>
      </c>
      <c r="G247" s="35">
        <v>905</v>
      </c>
      <c r="H247" s="35">
        <v>834</v>
      </c>
      <c r="I247" s="35">
        <v>813</v>
      </c>
      <c r="J247" s="35">
        <v>757</v>
      </c>
      <c r="K247" s="35"/>
      <c r="L247" s="35">
        <v>729</v>
      </c>
      <c r="M247" s="35">
        <v>705</v>
      </c>
      <c r="N247" s="35">
        <v>693</v>
      </c>
      <c r="O247" s="35">
        <v>649</v>
      </c>
      <c r="P247" s="35">
        <v>601</v>
      </c>
      <c r="Q247" s="35">
        <v>652</v>
      </c>
      <c r="R247" s="35">
        <v>592</v>
      </c>
      <c r="S247" s="35">
        <v>637</v>
      </c>
      <c r="T247" s="35">
        <v>665</v>
      </c>
      <c r="U247" s="35">
        <v>658</v>
      </c>
      <c r="V247" s="35">
        <v>654</v>
      </c>
      <c r="W247" s="35">
        <v>14827</v>
      </c>
    </row>
    <row r="248" spans="1:23" x14ac:dyDescent="0.4">
      <c r="A248" s="5" t="s">
        <v>537</v>
      </c>
      <c r="B248" s="35">
        <v>412</v>
      </c>
      <c r="C248" s="35">
        <v>450</v>
      </c>
      <c r="D248" s="35">
        <v>451</v>
      </c>
      <c r="E248" s="35">
        <v>544</v>
      </c>
      <c r="F248" s="35">
        <v>628</v>
      </c>
      <c r="G248" s="35">
        <v>769</v>
      </c>
      <c r="H248" s="35">
        <v>461</v>
      </c>
      <c r="I248" s="35">
        <v>419</v>
      </c>
      <c r="J248" s="35">
        <v>403</v>
      </c>
      <c r="K248" s="35"/>
      <c r="L248" s="35">
        <v>412</v>
      </c>
      <c r="M248" s="35">
        <v>328</v>
      </c>
      <c r="N248" s="35">
        <v>339</v>
      </c>
      <c r="O248" s="35">
        <v>322</v>
      </c>
      <c r="P248" s="35">
        <v>235</v>
      </c>
      <c r="Q248" s="35">
        <v>278</v>
      </c>
      <c r="R248" s="35">
        <v>222</v>
      </c>
      <c r="S248" s="35">
        <v>209</v>
      </c>
      <c r="T248" s="35">
        <v>191</v>
      </c>
      <c r="U248" s="35">
        <v>173</v>
      </c>
      <c r="V248" s="35">
        <v>221</v>
      </c>
      <c r="W248" s="35">
        <v>7467</v>
      </c>
    </row>
    <row r="249" spans="1:23" x14ac:dyDescent="0.4">
      <c r="A249" s="5" t="s">
        <v>538</v>
      </c>
      <c r="B249" s="35">
        <v>165</v>
      </c>
      <c r="C249" s="35">
        <v>188</v>
      </c>
      <c r="D249" s="35">
        <v>222</v>
      </c>
      <c r="E249" s="35">
        <v>196</v>
      </c>
      <c r="F249" s="35">
        <v>198</v>
      </c>
      <c r="G249" s="35">
        <v>260</v>
      </c>
      <c r="H249" s="35">
        <v>150</v>
      </c>
      <c r="I249" s="35">
        <v>135</v>
      </c>
      <c r="J249" s="35">
        <v>132</v>
      </c>
      <c r="K249" s="35"/>
      <c r="L249" s="35">
        <v>110</v>
      </c>
      <c r="M249" s="35">
        <v>136</v>
      </c>
      <c r="N249" s="35">
        <v>138</v>
      </c>
      <c r="O249" s="35">
        <v>156</v>
      </c>
      <c r="P249" s="35">
        <v>132</v>
      </c>
      <c r="Q249" s="35">
        <v>138</v>
      </c>
      <c r="R249" s="35">
        <v>102</v>
      </c>
      <c r="S249" s="35">
        <v>118</v>
      </c>
      <c r="T249" s="35">
        <v>116</v>
      </c>
      <c r="U249" s="35">
        <v>100</v>
      </c>
      <c r="V249" s="35">
        <v>110</v>
      </c>
      <c r="W249" s="35">
        <v>3002</v>
      </c>
    </row>
    <row r="250" spans="1:23" x14ac:dyDescent="0.4">
      <c r="A250" s="5" t="s">
        <v>539</v>
      </c>
      <c r="B250" s="35">
        <v>1342</v>
      </c>
      <c r="C250" s="35">
        <v>1431</v>
      </c>
      <c r="D250" s="35">
        <v>1441</v>
      </c>
      <c r="E250" s="35">
        <v>1555</v>
      </c>
      <c r="F250" s="35">
        <v>1657</v>
      </c>
      <c r="G250" s="35">
        <v>1918</v>
      </c>
      <c r="H250" s="35">
        <v>1385</v>
      </c>
      <c r="I250" s="35">
        <v>1558</v>
      </c>
      <c r="J250" s="35">
        <v>1529</v>
      </c>
      <c r="K250" s="35"/>
      <c r="L250" s="35">
        <v>1327</v>
      </c>
      <c r="M250" s="35">
        <v>1267</v>
      </c>
      <c r="N250" s="35">
        <v>1198</v>
      </c>
      <c r="O250" s="35">
        <v>1254</v>
      </c>
      <c r="P250" s="35">
        <v>1098</v>
      </c>
      <c r="Q250" s="35">
        <v>1206</v>
      </c>
      <c r="R250" s="35">
        <v>1067</v>
      </c>
      <c r="S250" s="35">
        <v>1059</v>
      </c>
      <c r="T250" s="35">
        <v>1052</v>
      </c>
      <c r="U250" s="35">
        <v>1056</v>
      </c>
      <c r="V250" s="35">
        <v>1028</v>
      </c>
      <c r="W250" s="35">
        <v>26428</v>
      </c>
    </row>
    <row r="251" spans="1:23" x14ac:dyDescent="0.4">
      <c r="A251" s="5" t="s">
        <v>540</v>
      </c>
      <c r="B251" s="35">
        <v>618</v>
      </c>
      <c r="C251" s="35">
        <v>560</v>
      </c>
      <c r="D251" s="35">
        <v>607</v>
      </c>
      <c r="E251" s="35">
        <v>631</v>
      </c>
      <c r="F251" s="35">
        <v>698</v>
      </c>
      <c r="G251" s="35">
        <v>1080</v>
      </c>
      <c r="H251" s="35">
        <v>559</v>
      </c>
      <c r="I251" s="35">
        <v>505</v>
      </c>
      <c r="J251" s="35">
        <v>588</v>
      </c>
      <c r="K251" s="35"/>
      <c r="L251" s="35">
        <v>481</v>
      </c>
      <c r="M251" s="35">
        <v>458</v>
      </c>
      <c r="N251" s="35">
        <v>487</v>
      </c>
      <c r="O251" s="35">
        <v>424</v>
      </c>
      <c r="P251" s="35">
        <v>384</v>
      </c>
      <c r="Q251" s="35">
        <v>353</v>
      </c>
      <c r="R251" s="35">
        <v>344</v>
      </c>
      <c r="S251" s="35">
        <v>313</v>
      </c>
      <c r="T251" s="35">
        <v>276</v>
      </c>
      <c r="U251" s="35">
        <v>292</v>
      </c>
      <c r="V251" s="35">
        <v>295</v>
      </c>
      <c r="W251" s="35">
        <v>9953</v>
      </c>
    </row>
    <row r="252" spans="1:23" x14ac:dyDescent="0.4">
      <c r="A252" s="5" t="s">
        <v>541</v>
      </c>
      <c r="B252" s="35">
        <v>591</v>
      </c>
      <c r="C252" s="35">
        <v>745</v>
      </c>
      <c r="D252" s="35">
        <v>739</v>
      </c>
      <c r="E252" s="35">
        <v>701</v>
      </c>
      <c r="F252" s="35">
        <v>865</v>
      </c>
      <c r="G252" s="35">
        <v>1187</v>
      </c>
      <c r="H252" s="35">
        <v>631</v>
      </c>
      <c r="I252" s="35">
        <v>597</v>
      </c>
      <c r="J252" s="35">
        <v>791</v>
      </c>
      <c r="K252" s="35"/>
      <c r="L252" s="35">
        <v>960</v>
      </c>
      <c r="M252" s="35">
        <v>876</v>
      </c>
      <c r="N252" s="35">
        <v>725</v>
      </c>
      <c r="O252" s="35">
        <v>916</v>
      </c>
      <c r="P252" s="35">
        <v>789</v>
      </c>
      <c r="Q252" s="35">
        <v>694</v>
      </c>
      <c r="R252" s="35">
        <v>714</v>
      </c>
      <c r="S252" s="35">
        <v>706</v>
      </c>
      <c r="T252" s="35">
        <v>825</v>
      </c>
      <c r="U252" s="35">
        <v>753</v>
      </c>
      <c r="V252" s="35">
        <v>810</v>
      </c>
      <c r="W252" s="35">
        <v>15615</v>
      </c>
    </row>
    <row r="253" spans="1:23" x14ac:dyDescent="0.4">
      <c r="A253" s="5" t="s">
        <v>542</v>
      </c>
      <c r="B253" s="35">
        <v>231</v>
      </c>
      <c r="C253" s="35">
        <v>170</v>
      </c>
      <c r="D253" s="35">
        <v>210</v>
      </c>
      <c r="E253" s="35">
        <v>228</v>
      </c>
      <c r="F253" s="35">
        <v>224</v>
      </c>
      <c r="G253" s="35">
        <v>316</v>
      </c>
      <c r="H253" s="35">
        <v>211</v>
      </c>
      <c r="I253" s="35">
        <v>194</v>
      </c>
      <c r="J253" s="35">
        <v>163</v>
      </c>
      <c r="K253" s="35"/>
      <c r="L253" s="35">
        <v>158</v>
      </c>
      <c r="M253" s="35">
        <v>177</v>
      </c>
      <c r="N253" s="35">
        <v>198</v>
      </c>
      <c r="O253" s="35">
        <v>183</v>
      </c>
      <c r="P253" s="35">
        <v>204</v>
      </c>
      <c r="Q253" s="35">
        <v>131</v>
      </c>
      <c r="R253" s="35">
        <v>150</v>
      </c>
      <c r="S253" s="35">
        <v>184</v>
      </c>
      <c r="T253" s="35">
        <v>165</v>
      </c>
      <c r="U253" s="35">
        <v>130</v>
      </c>
      <c r="V253" s="35">
        <v>150</v>
      </c>
      <c r="W253" s="35">
        <v>3777</v>
      </c>
    </row>
    <row r="254" spans="1:23" x14ac:dyDescent="0.4">
      <c r="A254" s="5" t="s">
        <v>543</v>
      </c>
      <c r="B254" s="35">
        <v>185</v>
      </c>
      <c r="C254" s="35">
        <v>162</v>
      </c>
      <c r="D254" s="35">
        <v>184</v>
      </c>
      <c r="E254" s="35">
        <v>62</v>
      </c>
      <c r="F254" s="35">
        <v>205</v>
      </c>
      <c r="G254" s="35">
        <v>293</v>
      </c>
      <c r="H254" s="35">
        <v>168</v>
      </c>
      <c r="I254" s="35">
        <v>165</v>
      </c>
      <c r="J254" s="35">
        <v>205</v>
      </c>
      <c r="K254" s="35"/>
      <c r="L254" s="35">
        <v>156</v>
      </c>
      <c r="M254" s="35">
        <v>200</v>
      </c>
      <c r="N254" s="35">
        <v>165</v>
      </c>
      <c r="O254" s="35">
        <v>154</v>
      </c>
      <c r="P254" s="35">
        <v>175</v>
      </c>
      <c r="Q254" s="35">
        <v>164</v>
      </c>
      <c r="R254" s="35">
        <v>128</v>
      </c>
      <c r="S254" s="35">
        <v>130</v>
      </c>
      <c r="T254" s="35">
        <v>125</v>
      </c>
      <c r="U254" s="35">
        <v>136</v>
      </c>
      <c r="V254" s="35">
        <v>169</v>
      </c>
      <c r="W254" s="35">
        <v>3331</v>
      </c>
    </row>
    <row r="255" spans="1:23" x14ac:dyDescent="0.4">
      <c r="A255" s="5" t="s">
        <v>544</v>
      </c>
      <c r="B255" s="35">
        <v>343</v>
      </c>
      <c r="C255" s="35">
        <v>389</v>
      </c>
      <c r="D255" s="35">
        <v>334</v>
      </c>
      <c r="E255" s="35">
        <v>377</v>
      </c>
      <c r="F255" s="35">
        <v>438</v>
      </c>
      <c r="G255" s="35">
        <v>577</v>
      </c>
      <c r="H255" s="35">
        <v>348</v>
      </c>
      <c r="I255" s="35">
        <v>262</v>
      </c>
      <c r="J255" s="35">
        <v>298</v>
      </c>
      <c r="K255" s="35"/>
      <c r="L255" s="35">
        <v>263</v>
      </c>
      <c r="M255" s="35">
        <v>267</v>
      </c>
      <c r="N255" s="35">
        <v>205</v>
      </c>
      <c r="O255" s="35">
        <v>229</v>
      </c>
      <c r="P255" s="35">
        <v>194</v>
      </c>
      <c r="Q255" s="35">
        <v>188</v>
      </c>
      <c r="R255" s="35">
        <v>150</v>
      </c>
      <c r="S255" s="35">
        <v>134</v>
      </c>
      <c r="T255" s="35">
        <v>165</v>
      </c>
      <c r="U255" s="35">
        <v>134</v>
      </c>
      <c r="V255" s="35">
        <v>160</v>
      </c>
      <c r="W255" s="35">
        <v>5455</v>
      </c>
    </row>
    <row r="256" spans="1:23" x14ac:dyDescent="0.4">
      <c r="A256" s="5" t="s">
        <v>545</v>
      </c>
      <c r="B256" s="35">
        <v>54</v>
      </c>
      <c r="C256" s="35">
        <v>62</v>
      </c>
      <c r="D256" s="35">
        <v>70</v>
      </c>
      <c r="E256" s="35">
        <v>30</v>
      </c>
      <c r="F256" s="35">
        <v>65</v>
      </c>
      <c r="G256" s="35">
        <v>80</v>
      </c>
      <c r="H256" s="35">
        <v>58</v>
      </c>
      <c r="I256" s="35">
        <v>52</v>
      </c>
      <c r="J256" s="35">
        <v>59</v>
      </c>
      <c r="K256" s="35"/>
      <c r="L256" s="35">
        <v>85</v>
      </c>
      <c r="M256" s="35">
        <v>48</v>
      </c>
      <c r="N256" s="35">
        <v>58</v>
      </c>
      <c r="O256" s="35">
        <v>71</v>
      </c>
      <c r="P256" s="35">
        <v>48</v>
      </c>
      <c r="Q256" s="35">
        <v>69</v>
      </c>
      <c r="R256" s="35">
        <v>69</v>
      </c>
      <c r="S256" s="35">
        <v>79</v>
      </c>
      <c r="T256" s="35">
        <v>51</v>
      </c>
      <c r="U256" s="35">
        <v>56</v>
      </c>
      <c r="V256" s="35">
        <v>71</v>
      </c>
      <c r="W256" s="35">
        <v>1235</v>
      </c>
    </row>
    <row r="257" spans="1:23" x14ac:dyDescent="0.4">
      <c r="A257" s="5" t="s">
        <v>546</v>
      </c>
      <c r="B257" s="35">
        <v>819</v>
      </c>
      <c r="C257" s="35">
        <v>823</v>
      </c>
      <c r="D257" s="35">
        <v>744</v>
      </c>
      <c r="E257" s="35">
        <v>692</v>
      </c>
      <c r="F257" s="35">
        <v>792</v>
      </c>
      <c r="G257" s="35">
        <v>940</v>
      </c>
      <c r="H257" s="35">
        <v>817</v>
      </c>
      <c r="I257" s="35">
        <v>839</v>
      </c>
      <c r="J257" s="35">
        <v>692</v>
      </c>
      <c r="K257" s="35"/>
      <c r="L257" s="35">
        <v>612</v>
      </c>
      <c r="M257" s="35">
        <v>684</v>
      </c>
      <c r="N257" s="35">
        <v>602</v>
      </c>
      <c r="O257" s="35">
        <v>610</v>
      </c>
      <c r="P257" s="35">
        <v>488</v>
      </c>
      <c r="Q257" s="35">
        <v>487</v>
      </c>
      <c r="R257" s="35">
        <v>480</v>
      </c>
      <c r="S257" s="35">
        <v>453</v>
      </c>
      <c r="T257" s="35">
        <v>383</v>
      </c>
      <c r="U257" s="35">
        <v>305</v>
      </c>
      <c r="V257" s="35">
        <v>421</v>
      </c>
      <c r="W257" s="35">
        <v>12683</v>
      </c>
    </row>
    <row r="258" spans="1:23" x14ac:dyDescent="0.4">
      <c r="A258" s="5" t="s">
        <v>547</v>
      </c>
      <c r="B258" s="35">
        <v>107</v>
      </c>
      <c r="C258" s="35">
        <v>170</v>
      </c>
      <c r="D258" s="35">
        <v>177</v>
      </c>
      <c r="E258" s="35">
        <v>125</v>
      </c>
      <c r="F258" s="35">
        <v>159</v>
      </c>
      <c r="G258" s="35">
        <v>188</v>
      </c>
      <c r="H258" s="35">
        <v>130</v>
      </c>
      <c r="I258" s="35">
        <v>139</v>
      </c>
      <c r="J258" s="35">
        <v>147</v>
      </c>
      <c r="K258" s="35"/>
      <c r="L258" s="35">
        <v>152</v>
      </c>
      <c r="M258" s="35">
        <v>87</v>
      </c>
      <c r="N258" s="35">
        <v>123</v>
      </c>
      <c r="O258" s="35">
        <v>184</v>
      </c>
      <c r="P258" s="35">
        <v>146</v>
      </c>
      <c r="Q258" s="35">
        <v>130</v>
      </c>
      <c r="R258" s="35">
        <v>100</v>
      </c>
      <c r="S258" s="35">
        <v>106</v>
      </c>
      <c r="T258" s="35">
        <v>48</v>
      </c>
      <c r="U258" s="35">
        <v>42</v>
      </c>
      <c r="V258" s="35">
        <v>77</v>
      </c>
      <c r="W258" s="35">
        <v>2537</v>
      </c>
    </row>
    <row r="259" spans="1:23" x14ac:dyDescent="0.4">
      <c r="A259" s="5" t="s">
        <v>548</v>
      </c>
      <c r="B259" s="35">
        <v>3773</v>
      </c>
      <c r="C259" s="35">
        <v>3938</v>
      </c>
      <c r="D259" s="35">
        <v>4358</v>
      </c>
      <c r="E259" s="35">
        <v>4367</v>
      </c>
      <c r="F259" s="35">
        <v>4660</v>
      </c>
      <c r="G259" s="35">
        <v>5849</v>
      </c>
      <c r="H259" s="35">
        <v>3677</v>
      </c>
      <c r="I259" s="35">
        <v>3576</v>
      </c>
      <c r="J259" s="35">
        <v>3260</v>
      </c>
      <c r="K259" s="35"/>
      <c r="L259" s="35">
        <v>2958</v>
      </c>
      <c r="M259" s="35">
        <v>2949</v>
      </c>
      <c r="N259" s="35">
        <v>3231</v>
      </c>
      <c r="O259" s="35">
        <v>3323</v>
      </c>
      <c r="P259" s="35">
        <v>3147</v>
      </c>
      <c r="Q259" s="35">
        <v>2908</v>
      </c>
      <c r="R259" s="35">
        <v>2881</v>
      </c>
      <c r="S259" s="35">
        <v>2596</v>
      </c>
      <c r="T259" s="35">
        <v>2369</v>
      </c>
      <c r="U259" s="35">
        <v>2268</v>
      </c>
      <c r="V259" s="35">
        <v>2469</v>
      </c>
      <c r="W259" s="35">
        <v>68557</v>
      </c>
    </row>
    <row r="260" spans="1:23" x14ac:dyDescent="0.4">
      <c r="A260" s="5" t="s">
        <v>549</v>
      </c>
      <c r="B260" s="35">
        <v>548</v>
      </c>
      <c r="C260" s="35">
        <v>510</v>
      </c>
      <c r="D260" s="35">
        <v>562</v>
      </c>
      <c r="E260" s="35">
        <v>610</v>
      </c>
      <c r="F260" s="35">
        <v>615</v>
      </c>
      <c r="G260" s="35">
        <v>820</v>
      </c>
      <c r="H260" s="35">
        <v>478</v>
      </c>
      <c r="I260" s="35">
        <v>479</v>
      </c>
      <c r="J260" s="35">
        <v>375</v>
      </c>
      <c r="K260" s="35"/>
      <c r="L260" s="35">
        <v>293</v>
      </c>
      <c r="M260" s="35">
        <v>294</v>
      </c>
      <c r="N260" s="35">
        <v>308</v>
      </c>
      <c r="O260" s="35">
        <v>314</v>
      </c>
      <c r="P260" s="35">
        <v>289</v>
      </c>
      <c r="Q260" s="35">
        <v>257</v>
      </c>
      <c r="R260" s="35">
        <v>305</v>
      </c>
      <c r="S260" s="35">
        <v>234</v>
      </c>
      <c r="T260" s="35">
        <v>220</v>
      </c>
      <c r="U260" s="35">
        <v>228</v>
      </c>
      <c r="V260" s="35">
        <v>280</v>
      </c>
      <c r="W260" s="35">
        <v>8019</v>
      </c>
    </row>
    <row r="261" spans="1:23" x14ac:dyDescent="0.4">
      <c r="A261" s="5" t="s">
        <v>550</v>
      </c>
      <c r="B261" s="35">
        <v>616</v>
      </c>
      <c r="C261" s="35">
        <v>744</v>
      </c>
      <c r="D261" s="35">
        <v>656</v>
      </c>
      <c r="E261" s="35">
        <v>786</v>
      </c>
      <c r="F261" s="35">
        <v>863</v>
      </c>
      <c r="G261" s="35">
        <v>1081</v>
      </c>
      <c r="H261" s="35">
        <v>605</v>
      </c>
      <c r="I261" s="35">
        <v>636</v>
      </c>
      <c r="J261" s="35">
        <v>655</v>
      </c>
      <c r="K261" s="35"/>
      <c r="L261" s="35">
        <v>645</v>
      </c>
      <c r="M261" s="35">
        <v>644</v>
      </c>
      <c r="N261" s="35">
        <v>616</v>
      </c>
      <c r="O261" s="35">
        <v>661</v>
      </c>
      <c r="P261" s="35">
        <v>640</v>
      </c>
      <c r="Q261" s="35">
        <v>605</v>
      </c>
      <c r="R261" s="35">
        <v>555</v>
      </c>
      <c r="S261" s="35">
        <v>584</v>
      </c>
      <c r="T261" s="35">
        <v>479</v>
      </c>
      <c r="U261" s="35">
        <v>555</v>
      </c>
      <c r="V261" s="35">
        <v>427</v>
      </c>
      <c r="W261" s="35">
        <v>13053</v>
      </c>
    </row>
    <row r="262" spans="1:23" x14ac:dyDescent="0.4">
      <c r="A262" s="5" t="s">
        <v>551</v>
      </c>
      <c r="B262" s="35">
        <v>47</v>
      </c>
      <c r="C262" s="35">
        <v>54</v>
      </c>
      <c r="D262" s="35">
        <v>52</v>
      </c>
      <c r="E262" s="35">
        <v>64</v>
      </c>
      <c r="F262" s="35">
        <v>62</v>
      </c>
      <c r="G262" s="35">
        <v>69</v>
      </c>
      <c r="H262" s="35">
        <v>51</v>
      </c>
      <c r="I262" s="35">
        <v>55</v>
      </c>
      <c r="J262" s="35">
        <v>52</v>
      </c>
      <c r="K262" s="35"/>
      <c r="L262" s="35">
        <v>53</v>
      </c>
      <c r="M262" s="35">
        <v>54</v>
      </c>
      <c r="N262" s="35">
        <v>50</v>
      </c>
      <c r="O262" s="35">
        <v>65</v>
      </c>
      <c r="P262" s="35">
        <v>48</v>
      </c>
      <c r="Q262" s="35">
        <v>66</v>
      </c>
      <c r="R262" s="35">
        <v>54</v>
      </c>
      <c r="S262" s="35">
        <v>39</v>
      </c>
      <c r="T262" s="35">
        <v>75</v>
      </c>
      <c r="U262" s="35">
        <v>61</v>
      </c>
      <c r="V262" s="35">
        <v>69</v>
      </c>
      <c r="W262" s="35">
        <v>1140</v>
      </c>
    </row>
    <row r="263" spans="1:23" x14ac:dyDescent="0.4">
      <c r="A263" s="5" t="s">
        <v>552</v>
      </c>
      <c r="B263" s="35">
        <v>26</v>
      </c>
      <c r="C263" s="35">
        <v>26</v>
      </c>
      <c r="D263" s="35">
        <v>32</v>
      </c>
      <c r="E263" s="35">
        <v>9</v>
      </c>
      <c r="F263" s="35">
        <v>36</v>
      </c>
      <c r="G263" s="35">
        <v>33</v>
      </c>
      <c r="H263" s="35">
        <v>34</v>
      </c>
      <c r="I263" s="35">
        <v>10</v>
      </c>
      <c r="J263" s="35">
        <v>27</v>
      </c>
      <c r="K263" s="35"/>
      <c r="L263" s="35">
        <v>18</v>
      </c>
      <c r="M263" s="35">
        <v>18</v>
      </c>
      <c r="N263" s="35">
        <v>15</v>
      </c>
      <c r="O263" s="35">
        <v>34</v>
      </c>
      <c r="P263" s="35">
        <v>25</v>
      </c>
      <c r="Q263" s="35">
        <v>20</v>
      </c>
      <c r="R263" s="35">
        <v>19</v>
      </c>
      <c r="S263" s="35">
        <v>15</v>
      </c>
      <c r="T263" s="35">
        <v>14</v>
      </c>
      <c r="U263" s="35">
        <v>11</v>
      </c>
      <c r="V263" s="35">
        <v>21</v>
      </c>
      <c r="W263" s="35">
        <v>443</v>
      </c>
    </row>
    <row r="264" spans="1:23" x14ac:dyDescent="0.4">
      <c r="A264" s="5" t="s">
        <v>553</v>
      </c>
      <c r="B264" s="35">
        <v>146</v>
      </c>
      <c r="C264" s="35">
        <v>160</v>
      </c>
      <c r="D264" s="35">
        <v>135</v>
      </c>
      <c r="E264" s="35">
        <v>142</v>
      </c>
      <c r="F264" s="35">
        <v>168</v>
      </c>
      <c r="G264" s="35">
        <v>187</v>
      </c>
      <c r="H264" s="35">
        <v>112</v>
      </c>
      <c r="I264" s="35">
        <v>137</v>
      </c>
      <c r="J264" s="35">
        <v>136</v>
      </c>
      <c r="K264" s="35"/>
      <c r="L264" s="35">
        <v>135</v>
      </c>
      <c r="M264" s="35">
        <v>132</v>
      </c>
      <c r="N264" s="35">
        <v>124</v>
      </c>
      <c r="O264" s="35">
        <v>171</v>
      </c>
      <c r="P264" s="35">
        <v>76</v>
      </c>
      <c r="Q264" s="35">
        <v>87</v>
      </c>
      <c r="R264" s="35">
        <v>69</v>
      </c>
      <c r="S264" s="35">
        <v>77</v>
      </c>
      <c r="T264" s="35">
        <v>96</v>
      </c>
      <c r="U264" s="35">
        <v>65</v>
      </c>
      <c r="V264" s="35">
        <v>86</v>
      </c>
      <c r="W264" s="35">
        <v>2441</v>
      </c>
    </row>
    <row r="265" spans="1:23" x14ac:dyDescent="0.4">
      <c r="A265" s="5" t="s">
        <v>554</v>
      </c>
      <c r="B265" s="35">
        <v>132</v>
      </c>
      <c r="C265" s="35">
        <v>112</v>
      </c>
      <c r="D265" s="35">
        <v>108</v>
      </c>
      <c r="E265" s="35">
        <v>99</v>
      </c>
      <c r="F265" s="35">
        <v>104</v>
      </c>
      <c r="G265" s="35">
        <v>155</v>
      </c>
      <c r="H265" s="35">
        <v>90</v>
      </c>
      <c r="I265" s="35">
        <v>102</v>
      </c>
      <c r="J265" s="35">
        <v>86</v>
      </c>
      <c r="K265" s="35"/>
      <c r="L265" s="35">
        <v>77</v>
      </c>
      <c r="M265" s="35">
        <v>79</v>
      </c>
      <c r="N265" s="35">
        <v>92</v>
      </c>
      <c r="O265" s="35">
        <v>118</v>
      </c>
      <c r="P265" s="35">
        <v>92</v>
      </c>
      <c r="Q265" s="35">
        <v>99</v>
      </c>
      <c r="R265" s="35">
        <v>97</v>
      </c>
      <c r="S265" s="35">
        <v>86</v>
      </c>
      <c r="T265" s="35">
        <v>98</v>
      </c>
      <c r="U265" s="35">
        <v>111</v>
      </c>
      <c r="V265" s="35">
        <v>99</v>
      </c>
      <c r="W265" s="35">
        <v>2036</v>
      </c>
    </row>
    <row r="266" spans="1:23" x14ac:dyDescent="0.4">
      <c r="A266" s="5" t="s">
        <v>555</v>
      </c>
      <c r="B266" s="35">
        <v>79</v>
      </c>
      <c r="C266" s="35">
        <v>86</v>
      </c>
      <c r="D266" s="35">
        <v>103</v>
      </c>
      <c r="E266" s="35">
        <v>93</v>
      </c>
      <c r="F266" s="35">
        <v>98</v>
      </c>
      <c r="G266" s="35">
        <v>138</v>
      </c>
      <c r="H266" s="35">
        <v>89</v>
      </c>
      <c r="I266" s="35">
        <v>86</v>
      </c>
      <c r="J266" s="35">
        <v>74</v>
      </c>
      <c r="K266" s="35"/>
      <c r="L266" s="35">
        <v>69</v>
      </c>
      <c r="M266" s="35">
        <v>72</v>
      </c>
      <c r="N266" s="35">
        <v>47</v>
      </c>
      <c r="O266" s="35">
        <v>70</v>
      </c>
      <c r="P266" s="35">
        <v>56</v>
      </c>
      <c r="Q266" s="35">
        <v>61</v>
      </c>
      <c r="R266" s="35">
        <v>62</v>
      </c>
      <c r="S266" s="35">
        <v>51</v>
      </c>
      <c r="T266" s="35">
        <v>64</v>
      </c>
      <c r="U266" s="35">
        <v>85</v>
      </c>
      <c r="V266" s="35">
        <v>70</v>
      </c>
      <c r="W266" s="35">
        <v>1553</v>
      </c>
    </row>
    <row r="267" spans="1:23" x14ac:dyDescent="0.4">
      <c r="A267" s="5" t="s">
        <v>556</v>
      </c>
      <c r="B267" s="35">
        <v>185</v>
      </c>
      <c r="C267" s="35">
        <v>189</v>
      </c>
      <c r="D267" s="35">
        <v>191</v>
      </c>
      <c r="E267" s="35">
        <v>220</v>
      </c>
      <c r="F267" s="35">
        <v>231</v>
      </c>
      <c r="G267" s="35">
        <v>299</v>
      </c>
      <c r="H267" s="35">
        <v>123</v>
      </c>
      <c r="I267" s="35">
        <v>163</v>
      </c>
      <c r="J267" s="35">
        <v>142</v>
      </c>
      <c r="K267" s="35"/>
      <c r="L267" s="35">
        <v>126</v>
      </c>
      <c r="M267" s="35">
        <v>149</v>
      </c>
      <c r="N267" s="35">
        <v>137</v>
      </c>
      <c r="O267" s="35">
        <v>145</v>
      </c>
      <c r="P267" s="35">
        <v>148</v>
      </c>
      <c r="Q267" s="35">
        <v>138</v>
      </c>
      <c r="R267" s="35">
        <v>101</v>
      </c>
      <c r="S267" s="35">
        <v>94</v>
      </c>
      <c r="T267" s="35">
        <v>100</v>
      </c>
      <c r="U267" s="35">
        <v>92</v>
      </c>
      <c r="V267" s="35">
        <v>96</v>
      </c>
      <c r="W267" s="35">
        <v>3069</v>
      </c>
    </row>
    <row r="268" spans="1:23" x14ac:dyDescent="0.4">
      <c r="A268" s="5" t="s">
        <v>557</v>
      </c>
      <c r="B268" s="35">
        <v>32</v>
      </c>
      <c r="C268" s="35">
        <v>75</v>
      </c>
      <c r="D268" s="35">
        <v>93</v>
      </c>
      <c r="E268" s="35">
        <v>97</v>
      </c>
      <c r="F268" s="35">
        <v>57</v>
      </c>
      <c r="G268" s="35">
        <v>116</v>
      </c>
      <c r="H268" s="35">
        <v>74</v>
      </c>
      <c r="I268" s="35">
        <v>59</v>
      </c>
      <c r="J268" s="35">
        <v>83</v>
      </c>
      <c r="K268" s="35"/>
      <c r="L268" s="35">
        <v>72</v>
      </c>
      <c r="M268" s="35">
        <v>77</v>
      </c>
      <c r="N268" s="35">
        <v>78</v>
      </c>
      <c r="O268" s="35">
        <v>80</v>
      </c>
      <c r="P268" s="35">
        <v>84</v>
      </c>
      <c r="Q268" s="35">
        <v>60</v>
      </c>
      <c r="R268" s="35">
        <v>90</v>
      </c>
      <c r="S268" s="35">
        <v>74</v>
      </c>
      <c r="T268" s="35">
        <v>105</v>
      </c>
      <c r="U268" s="35">
        <v>88</v>
      </c>
      <c r="V268" s="35">
        <v>68</v>
      </c>
      <c r="W268" s="35">
        <v>1562</v>
      </c>
    </row>
    <row r="269" spans="1:23" x14ac:dyDescent="0.4">
      <c r="A269" s="5" t="s">
        <v>558</v>
      </c>
      <c r="B269" s="35">
        <v>2915</v>
      </c>
      <c r="C269" s="35">
        <v>2954</v>
      </c>
      <c r="D269" s="35">
        <v>3313</v>
      </c>
      <c r="E269" s="35">
        <v>3330</v>
      </c>
      <c r="F269" s="35">
        <v>3796</v>
      </c>
      <c r="G269" s="35">
        <v>3917</v>
      </c>
      <c r="H269" s="35">
        <v>2648</v>
      </c>
      <c r="I269" s="35">
        <v>2702</v>
      </c>
      <c r="J269" s="35">
        <v>2515</v>
      </c>
      <c r="K269" s="35"/>
      <c r="L269" s="35">
        <v>2293</v>
      </c>
      <c r="M269" s="35">
        <v>2323</v>
      </c>
      <c r="N269" s="35">
        <v>2407</v>
      </c>
      <c r="O269" s="35">
        <v>2446</v>
      </c>
      <c r="P269" s="35">
        <v>2276</v>
      </c>
      <c r="Q269" s="35">
        <v>2056</v>
      </c>
      <c r="R269" s="35">
        <v>1960</v>
      </c>
      <c r="S269" s="35">
        <v>1879</v>
      </c>
      <c r="T269" s="35">
        <v>1808</v>
      </c>
      <c r="U269" s="35">
        <v>1693</v>
      </c>
      <c r="V269" s="35">
        <v>1745</v>
      </c>
      <c r="W269" s="35">
        <v>50976</v>
      </c>
    </row>
    <row r="270" spans="1:23" x14ac:dyDescent="0.4">
      <c r="A270" s="5" t="s">
        <v>559</v>
      </c>
      <c r="B270" s="35">
        <v>93</v>
      </c>
      <c r="C270" s="35">
        <v>129</v>
      </c>
      <c r="D270" s="35">
        <v>128</v>
      </c>
      <c r="E270" s="35">
        <v>137</v>
      </c>
      <c r="F270" s="35">
        <v>149</v>
      </c>
      <c r="G270" s="35">
        <v>179</v>
      </c>
      <c r="H270" s="35">
        <v>82</v>
      </c>
      <c r="I270" s="35">
        <v>89</v>
      </c>
      <c r="J270" s="35">
        <v>87</v>
      </c>
      <c r="K270" s="35"/>
      <c r="L270" s="35">
        <v>107</v>
      </c>
      <c r="M270" s="35">
        <v>75</v>
      </c>
      <c r="N270" s="35">
        <v>71</v>
      </c>
      <c r="O270" s="35">
        <v>111</v>
      </c>
      <c r="P270" s="35">
        <v>108</v>
      </c>
      <c r="Q270" s="35">
        <v>85</v>
      </c>
      <c r="R270" s="35">
        <v>82</v>
      </c>
      <c r="S270" s="35">
        <v>75</v>
      </c>
      <c r="T270" s="35">
        <v>75</v>
      </c>
      <c r="U270" s="35">
        <v>58</v>
      </c>
      <c r="V270" s="35">
        <v>83</v>
      </c>
      <c r="W270" s="35">
        <v>2003</v>
      </c>
    </row>
    <row r="271" spans="1:23" x14ac:dyDescent="0.4">
      <c r="A271" s="5" t="s">
        <v>560</v>
      </c>
      <c r="B271" s="35">
        <v>90</v>
      </c>
      <c r="C271" s="35">
        <v>80</v>
      </c>
      <c r="D271" s="35">
        <v>91</v>
      </c>
      <c r="E271" s="35">
        <v>75</v>
      </c>
      <c r="F271" s="35">
        <v>82</v>
      </c>
      <c r="G271" s="35">
        <v>121</v>
      </c>
      <c r="H271" s="35">
        <v>65</v>
      </c>
      <c r="I271" s="35">
        <v>82</v>
      </c>
      <c r="J271" s="35">
        <v>76</v>
      </c>
      <c r="K271" s="35"/>
      <c r="L271" s="35">
        <v>83</v>
      </c>
      <c r="M271" s="35">
        <v>69</v>
      </c>
      <c r="N271" s="35">
        <v>64</v>
      </c>
      <c r="O271" s="35">
        <v>77</v>
      </c>
      <c r="P271" s="35">
        <v>87</v>
      </c>
      <c r="Q271" s="35">
        <v>74</v>
      </c>
      <c r="R271" s="35">
        <v>53</v>
      </c>
      <c r="S271" s="35">
        <v>43</v>
      </c>
      <c r="T271" s="35">
        <v>33</v>
      </c>
      <c r="U271" s="35">
        <v>49</v>
      </c>
      <c r="V271" s="35">
        <v>39</v>
      </c>
      <c r="W271" s="35">
        <v>1433</v>
      </c>
    </row>
    <row r="272" spans="1:23" x14ac:dyDescent="0.4">
      <c r="A272" s="5" t="s">
        <v>561</v>
      </c>
      <c r="B272" s="35">
        <v>34</v>
      </c>
      <c r="C272" s="35">
        <v>26</v>
      </c>
      <c r="D272" s="35">
        <v>34</v>
      </c>
      <c r="E272" s="35">
        <v>19</v>
      </c>
      <c r="F272" s="35">
        <v>22</v>
      </c>
      <c r="G272" s="35">
        <v>32</v>
      </c>
      <c r="H272" s="35">
        <v>15</v>
      </c>
      <c r="I272" s="35">
        <v>26</v>
      </c>
      <c r="J272" s="35">
        <v>15</v>
      </c>
      <c r="K272" s="35"/>
      <c r="L272" s="35">
        <v>15</v>
      </c>
      <c r="M272" s="35">
        <v>20</v>
      </c>
      <c r="N272" s="35">
        <v>27</v>
      </c>
      <c r="O272" s="35">
        <v>29</v>
      </c>
      <c r="P272" s="35">
        <v>21</v>
      </c>
      <c r="Q272" s="35">
        <v>17</v>
      </c>
      <c r="R272" s="35">
        <v>15</v>
      </c>
      <c r="S272" s="35">
        <v>10</v>
      </c>
      <c r="T272" s="35">
        <v>10</v>
      </c>
      <c r="U272" s="35">
        <v>16</v>
      </c>
      <c r="V272" s="35">
        <v>12</v>
      </c>
      <c r="W272" s="35">
        <v>415</v>
      </c>
    </row>
    <row r="273" spans="1:23" x14ac:dyDescent="0.4">
      <c r="A273" s="5" t="s">
        <v>562</v>
      </c>
      <c r="B273" s="35">
        <v>69</v>
      </c>
      <c r="C273" s="35">
        <v>83</v>
      </c>
      <c r="D273" s="35">
        <v>88</v>
      </c>
      <c r="E273" s="35">
        <v>82</v>
      </c>
      <c r="F273" s="35">
        <v>65</v>
      </c>
      <c r="G273" s="35">
        <v>91</v>
      </c>
      <c r="H273" s="35">
        <v>75</v>
      </c>
      <c r="I273" s="35">
        <v>59</v>
      </c>
      <c r="J273" s="35">
        <v>66</v>
      </c>
      <c r="K273" s="35"/>
      <c r="L273" s="35">
        <v>64</v>
      </c>
      <c r="M273" s="35">
        <v>59</v>
      </c>
      <c r="N273" s="35">
        <v>64</v>
      </c>
      <c r="O273" s="35">
        <v>74</v>
      </c>
      <c r="P273" s="35">
        <v>63</v>
      </c>
      <c r="Q273" s="35">
        <v>62</v>
      </c>
      <c r="R273" s="35">
        <v>41</v>
      </c>
      <c r="S273" s="35">
        <v>57</v>
      </c>
      <c r="T273" s="35">
        <v>67</v>
      </c>
      <c r="U273" s="35">
        <v>58</v>
      </c>
      <c r="V273" s="35">
        <v>74</v>
      </c>
      <c r="W273" s="35">
        <v>1361</v>
      </c>
    </row>
    <row r="274" spans="1:23" x14ac:dyDescent="0.4">
      <c r="A274" s="5" t="s">
        <v>563</v>
      </c>
      <c r="B274" s="35">
        <v>21</v>
      </c>
      <c r="C274" s="35">
        <v>20</v>
      </c>
      <c r="D274" s="35">
        <v>22</v>
      </c>
      <c r="E274" s="35">
        <v>8</v>
      </c>
      <c r="F274" s="35">
        <v>23</v>
      </c>
      <c r="G274" s="35">
        <v>31</v>
      </c>
      <c r="H274" s="35">
        <v>14</v>
      </c>
      <c r="I274" s="35">
        <v>18</v>
      </c>
      <c r="J274" s="35">
        <v>19</v>
      </c>
      <c r="K274" s="35"/>
      <c r="L274" s="35">
        <v>20</v>
      </c>
      <c r="M274" s="35">
        <v>13</v>
      </c>
      <c r="N274" s="35">
        <v>18</v>
      </c>
      <c r="O274" s="35">
        <v>26</v>
      </c>
      <c r="P274" s="35">
        <v>20</v>
      </c>
      <c r="Q274" s="35">
        <v>23</v>
      </c>
      <c r="R274" s="35">
        <v>23</v>
      </c>
      <c r="S274" s="35">
        <v>8</v>
      </c>
      <c r="T274" s="35">
        <v>15</v>
      </c>
      <c r="U274" s="35">
        <v>12</v>
      </c>
      <c r="V274" s="35">
        <v>21</v>
      </c>
      <c r="W274" s="35">
        <v>375</v>
      </c>
    </row>
    <row r="275" spans="1:23" x14ac:dyDescent="0.4">
      <c r="A275" s="5" t="s">
        <v>564</v>
      </c>
      <c r="B275" s="35">
        <v>83</v>
      </c>
      <c r="C275" s="35">
        <v>77</v>
      </c>
      <c r="D275" s="35">
        <v>82</v>
      </c>
      <c r="E275" s="35">
        <v>91</v>
      </c>
      <c r="F275" s="35">
        <v>100</v>
      </c>
      <c r="G275" s="35">
        <v>103</v>
      </c>
      <c r="H275" s="35">
        <v>67</v>
      </c>
      <c r="I275" s="35">
        <v>62</v>
      </c>
      <c r="J275" s="35">
        <v>49</v>
      </c>
      <c r="K275" s="35"/>
      <c r="L275" s="35">
        <v>44</v>
      </c>
      <c r="M275" s="35">
        <v>55</v>
      </c>
      <c r="N275" s="35">
        <v>43</v>
      </c>
      <c r="O275" s="35">
        <v>67</v>
      </c>
      <c r="P275" s="35">
        <v>57</v>
      </c>
      <c r="Q275" s="35">
        <v>47</v>
      </c>
      <c r="R275" s="35">
        <v>65</v>
      </c>
      <c r="S275" s="35">
        <v>43</v>
      </c>
      <c r="T275" s="35">
        <v>48</v>
      </c>
      <c r="U275" s="35">
        <v>46</v>
      </c>
      <c r="V275" s="35">
        <v>72</v>
      </c>
      <c r="W275" s="35">
        <v>1301</v>
      </c>
    </row>
    <row r="276" spans="1:23" x14ac:dyDescent="0.4">
      <c r="A276" s="5" t="s">
        <v>565</v>
      </c>
      <c r="B276" s="35">
        <v>133</v>
      </c>
      <c r="C276" s="35">
        <v>115</v>
      </c>
      <c r="D276" s="35">
        <v>116</v>
      </c>
      <c r="E276" s="35">
        <v>144</v>
      </c>
      <c r="F276" s="35">
        <v>129</v>
      </c>
      <c r="G276" s="35">
        <v>134</v>
      </c>
      <c r="H276" s="35">
        <v>112</v>
      </c>
      <c r="I276" s="35">
        <v>112</v>
      </c>
      <c r="J276" s="35">
        <v>72</v>
      </c>
      <c r="K276" s="35"/>
      <c r="L276" s="35">
        <v>77</v>
      </c>
      <c r="M276" s="35">
        <v>76</v>
      </c>
      <c r="N276" s="35">
        <v>102</v>
      </c>
      <c r="O276" s="35">
        <v>104</v>
      </c>
      <c r="P276" s="35">
        <v>104</v>
      </c>
      <c r="Q276" s="35">
        <v>103</v>
      </c>
      <c r="R276" s="35">
        <v>71</v>
      </c>
      <c r="S276" s="35">
        <v>63</v>
      </c>
      <c r="T276" s="35">
        <v>90</v>
      </c>
      <c r="U276" s="35">
        <v>88</v>
      </c>
      <c r="V276" s="35">
        <v>88</v>
      </c>
      <c r="W276" s="35">
        <v>2033</v>
      </c>
    </row>
    <row r="277" spans="1:23" x14ac:dyDescent="0.4">
      <c r="A277" s="5" t="s">
        <v>566</v>
      </c>
      <c r="B277" s="35">
        <v>176</v>
      </c>
      <c r="C277" s="35">
        <v>157</v>
      </c>
      <c r="D277" s="35">
        <v>164</v>
      </c>
      <c r="E277" s="35">
        <v>157</v>
      </c>
      <c r="F277" s="35">
        <v>135</v>
      </c>
      <c r="G277" s="35">
        <v>165</v>
      </c>
      <c r="H277" s="35">
        <v>159</v>
      </c>
      <c r="I277" s="35">
        <v>152</v>
      </c>
      <c r="J277" s="35">
        <v>154</v>
      </c>
      <c r="K277" s="35"/>
      <c r="L277" s="35">
        <v>123</v>
      </c>
      <c r="M277" s="35">
        <v>127</v>
      </c>
      <c r="N277" s="35">
        <v>108</v>
      </c>
      <c r="O277" s="35">
        <v>106</v>
      </c>
      <c r="P277" s="35">
        <v>108</v>
      </c>
      <c r="Q277" s="35">
        <v>107</v>
      </c>
      <c r="R277" s="35">
        <v>95</v>
      </c>
      <c r="S277" s="35">
        <v>82</v>
      </c>
      <c r="T277" s="35">
        <v>84</v>
      </c>
      <c r="U277" s="35">
        <v>85</v>
      </c>
      <c r="V277" s="35">
        <v>77</v>
      </c>
      <c r="W277" s="35">
        <v>2521</v>
      </c>
    </row>
    <row r="278" spans="1:23" x14ac:dyDescent="0.4">
      <c r="A278" s="5" t="s">
        <v>567</v>
      </c>
      <c r="B278" s="35">
        <v>244</v>
      </c>
      <c r="C278" s="35">
        <v>192</v>
      </c>
      <c r="D278" s="35">
        <v>208</v>
      </c>
      <c r="E278" s="35">
        <v>271</v>
      </c>
      <c r="F278" s="35">
        <v>275</v>
      </c>
      <c r="G278" s="35">
        <v>262</v>
      </c>
      <c r="H278" s="35">
        <v>217</v>
      </c>
      <c r="I278" s="35">
        <v>220</v>
      </c>
      <c r="J278" s="35">
        <v>222</v>
      </c>
      <c r="K278" s="35"/>
      <c r="L278" s="35">
        <v>95</v>
      </c>
      <c r="M278" s="35">
        <v>96</v>
      </c>
      <c r="N278" s="35">
        <v>142</v>
      </c>
      <c r="O278" s="35">
        <v>112</v>
      </c>
      <c r="P278" s="35">
        <v>101</v>
      </c>
      <c r="Q278" s="35">
        <v>120</v>
      </c>
      <c r="R278" s="35">
        <v>88</v>
      </c>
      <c r="S278" s="35">
        <v>59</v>
      </c>
      <c r="T278" s="35">
        <v>45</v>
      </c>
      <c r="U278" s="35">
        <v>47</v>
      </c>
      <c r="V278" s="35">
        <v>51</v>
      </c>
      <c r="W278" s="35">
        <v>3067</v>
      </c>
    </row>
    <row r="279" spans="1:23" x14ac:dyDescent="0.4">
      <c r="A279" s="5" t="s">
        <v>568</v>
      </c>
      <c r="B279" s="35">
        <v>102</v>
      </c>
      <c r="C279" s="35">
        <v>92</v>
      </c>
      <c r="D279" s="35">
        <v>101</v>
      </c>
      <c r="E279" s="35">
        <v>82</v>
      </c>
      <c r="F279" s="35">
        <v>108</v>
      </c>
      <c r="G279" s="35">
        <v>121</v>
      </c>
      <c r="H279" s="35">
        <v>96</v>
      </c>
      <c r="I279" s="35">
        <v>116</v>
      </c>
      <c r="J279" s="35">
        <v>69</v>
      </c>
      <c r="K279" s="35"/>
      <c r="L279" s="35">
        <v>79</v>
      </c>
      <c r="M279" s="35">
        <v>70</v>
      </c>
      <c r="N279" s="35">
        <v>100</v>
      </c>
      <c r="O279" s="35">
        <v>102</v>
      </c>
      <c r="P279" s="35">
        <v>81</v>
      </c>
      <c r="Q279" s="35">
        <v>82</v>
      </c>
      <c r="R279" s="35">
        <v>75</v>
      </c>
      <c r="S279" s="35">
        <v>65</v>
      </c>
      <c r="T279" s="35">
        <v>74</v>
      </c>
      <c r="U279" s="35">
        <v>70</v>
      </c>
      <c r="V279" s="35">
        <v>70</v>
      </c>
      <c r="W279" s="35">
        <v>1755</v>
      </c>
    </row>
    <row r="280" spans="1:23" x14ac:dyDescent="0.4">
      <c r="A280" s="5" t="s">
        <v>569</v>
      </c>
      <c r="B280" s="35">
        <v>165</v>
      </c>
      <c r="C280" s="35">
        <v>150</v>
      </c>
      <c r="D280" s="35">
        <v>144</v>
      </c>
      <c r="E280" s="35">
        <v>166</v>
      </c>
      <c r="F280" s="35">
        <v>201</v>
      </c>
      <c r="G280" s="35">
        <v>192</v>
      </c>
      <c r="H280" s="35">
        <v>128</v>
      </c>
      <c r="I280" s="35">
        <v>154</v>
      </c>
      <c r="J280" s="35">
        <v>120</v>
      </c>
      <c r="K280" s="35"/>
      <c r="L280" s="35">
        <v>107</v>
      </c>
      <c r="M280" s="35">
        <v>123</v>
      </c>
      <c r="N280" s="35">
        <v>105</v>
      </c>
      <c r="O280" s="35">
        <v>97</v>
      </c>
      <c r="P280" s="35">
        <v>96</v>
      </c>
      <c r="Q280" s="35">
        <v>106</v>
      </c>
      <c r="R280" s="35">
        <v>87</v>
      </c>
      <c r="S280" s="35">
        <v>85</v>
      </c>
      <c r="T280" s="35">
        <v>67</v>
      </c>
      <c r="U280" s="35">
        <v>76</v>
      </c>
      <c r="V280" s="35">
        <v>66</v>
      </c>
      <c r="W280" s="35">
        <v>2435</v>
      </c>
    </row>
    <row r="281" spans="1:23" x14ac:dyDescent="0.4">
      <c r="A281" s="5" t="s">
        <v>570</v>
      </c>
      <c r="B281" s="35">
        <v>168</v>
      </c>
      <c r="C281" s="35">
        <v>157</v>
      </c>
      <c r="D281" s="35">
        <v>162</v>
      </c>
      <c r="E281" s="35">
        <v>168</v>
      </c>
      <c r="F281" s="35">
        <v>223</v>
      </c>
      <c r="G281" s="35">
        <v>183</v>
      </c>
      <c r="H281" s="35">
        <v>161</v>
      </c>
      <c r="I281" s="35">
        <v>174</v>
      </c>
      <c r="J281" s="35">
        <v>169</v>
      </c>
      <c r="K281" s="35"/>
      <c r="L281" s="35">
        <v>192</v>
      </c>
      <c r="M281" s="35">
        <v>131</v>
      </c>
      <c r="N281" s="35">
        <v>128</v>
      </c>
      <c r="O281" s="35">
        <v>137</v>
      </c>
      <c r="P281" s="35">
        <v>123</v>
      </c>
      <c r="Q281" s="35">
        <v>112</v>
      </c>
      <c r="R281" s="35">
        <v>91</v>
      </c>
      <c r="S281" s="35">
        <v>149</v>
      </c>
      <c r="T281" s="35">
        <v>91</v>
      </c>
      <c r="U281" s="35">
        <v>95</v>
      </c>
      <c r="V281" s="35">
        <v>74</v>
      </c>
      <c r="W281" s="35">
        <v>2888</v>
      </c>
    </row>
    <row r="282" spans="1:23" x14ac:dyDescent="0.4">
      <c r="A282" s="5" t="s">
        <v>571</v>
      </c>
      <c r="B282" s="35">
        <v>1293</v>
      </c>
      <c r="C282" s="35">
        <v>1260</v>
      </c>
      <c r="D282" s="35">
        <v>1304</v>
      </c>
      <c r="E282" s="35">
        <v>1205</v>
      </c>
      <c r="F282" s="35">
        <v>1205</v>
      </c>
      <c r="G282" s="35">
        <v>1050</v>
      </c>
      <c r="H282" s="35">
        <v>1255</v>
      </c>
      <c r="I282" s="35">
        <v>1208</v>
      </c>
      <c r="J282" s="35">
        <v>1089</v>
      </c>
      <c r="K282" s="35"/>
      <c r="L282" s="35">
        <v>1060</v>
      </c>
      <c r="M282" s="35">
        <v>1094</v>
      </c>
      <c r="N282" s="35">
        <v>984</v>
      </c>
      <c r="O282" s="35">
        <v>943</v>
      </c>
      <c r="P282" s="35">
        <v>876</v>
      </c>
      <c r="Q282" s="35">
        <v>905</v>
      </c>
      <c r="R282" s="35">
        <v>910</v>
      </c>
      <c r="S282" s="35">
        <v>929</v>
      </c>
      <c r="T282" s="35">
        <v>985</v>
      </c>
      <c r="U282" s="35">
        <v>964</v>
      </c>
      <c r="V282" s="35">
        <v>923</v>
      </c>
      <c r="W282" s="35">
        <v>21442</v>
      </c>
    </row>
    <row r="283" spans="1:23" x14ac:dyDescent="0.4">
      <c r="A283" s="5" t="s">
        <v>572</v>
      </c>
      <c r="B283" s="35">
        <v>85</v>
      </c>
      <c r="C283" s="35">
        <v>73</v>
      </c>
      <c r="D283" s="35">
        <v>88</v>
      </c>
      <c r="E283" s="35">
        <v>85</v>
      </c>
      <c r="F283" s="35">
        <v>87</v>
      </c>
      <c r="G283" s="35">
        <v>70</v>
      </c>
      <c r="H283" s="35">
        <v>82</v>
      </c>
      <c r="I283" s="35">
        <v>71</v>
      </c>
      <c r="J283" s="35">
        <v>48</v>
      </c>
      <c r="K283" s="35"/>
      <c r="L283" s="35">
        <v>50</v>
      </c>
      <c r="M283" s="35">
        <v>54</v>
      </c>
      <c r="N283" s="35">
        <v>43</v>
      </c>
      <c r="O283" s="35">
        <v>72</v>
      </c>
      <c r="P283" s="35">
        <v>64</v>
      </c>
      <c r="Q283" s="35">
        <v>59</v>
      </c>
      <c r="R283" s="35">
        <v>54</v>
      </c>
      <c r="S283" s="35">
        <v>11</v>
      </c>
      <c r="T283" s="35">
        <v>46</v>
      </c>
      <c r="U283" s="35">
        <v>56</v>
      </c>
      <c r="V283" s="35">
        <v>48</v>
      </c>
      <c r="W283" s="35">
        <v>1246</v>
      </c>
    </row>
    <row r="284" spans="1:23" x14ac:dyDescent="0.4">
      <c r="A284" s="5" t="s">
        <v>573</v>
      </c>
      <c r="B284" s="35">
        <v>95</v>
      </c>
      <c r="C284" s="35">
        <v>103</v>
      </c>
      <c r="D284" s="35">
        <v>120</v>
      </c>
      <c r="E284" s="35">
        <v>134</v>
      </c>
      <c r="F284" s="35">
        <v>117</v>
      </c>
      <c r="G284" s="35">
        <v>133</v>
      </c>
      <c r="H284" s="35">
        <v>96</v>
      </c>
      <c r="I284" s="35">
        <v>121</v>
      </c>
      <c r="J284" s="35">
        <v>68</v>
      </c>
      <c r="K284" s="35"/>
      <c r="L284" s="35">
        <v>73</v>
      </c>
      <c r="M284" s="35">
        <v>73</v>
      </c>
      <c r="N284" s="35">
        <v>80</v>
      </c>
      <c r="O284" s="35">
        <v>0</v>
      </c>
      <c r="P284" s="35">
        <v>66</v>
      </c>
      <c r="Q284" s="35">
        <v>62</v>
      </c>
      <c r="R284" s="35">
        <v>65</v>
      </c>
      <c r="S284" s="35">
        <v>73</v>
      </c>
      <c r="T284" s="35">
        <v>52</v>
      </c>
      <c r="U284" s="35">
        <v>56</v>
      </c>
      <c r="V284" s="35">
        <v>53</v>
      </c>
      <c r="W284" s="35">
        <v>1640</v>
      </c>
    </row>
    <row r="285" spans="1:23" x14ac:dyDescent="0.4">
      <c r="A285" s="5" t="s">
        <v>574</v>
      </c>
      <c r="B285" s="35">
        <v>41</v>
      </c>
      <c r="C285" s="35">
        <v>32</v>
      </c>
      <c r="D285" s="35">
        <v>41</v>
      </c>
      <c r="E285" s="35">
        <v>42</v>
      </c>
      <c r="F285" s="35">
        <v>39</v>
      </c>
      <c r="G285" s="35">
        <v>35</v>
      </c>
      <c r="H285" s="35">
        <v>29</v>
      </c>
      <c r="I285" s="35">
        <v>27</v>
      </c>
      <c r="J285" s="35">
        <v>29</v>
      </c>
      <c r="K285" s="35"/>
      <c r="L285" s="35">
        <v>31</v>
      </c>
      <c r="M285" s="35">
        <v>26</v>
      </c>
      <c r="N285" s="35">
        <v>18</v>
      </c>
      <c r="O285" s="35">
        <v>26</v>
      </c>
      <c r="P285" s="35">
        <v>27</v>
      </c>
      <c r="Q285" s="35">
        <v>21</v>
      </c>
      <c r="R285" s="35">
        <v>30</v>
      </c>
      <c r="S285" s="35">
        <v>16</v>
      </c>
      <c r="T285" s="35">
        <v>19</v>
      </c>
      <c r="U285" s="35">
        <v>24</v>
      </c>
      <c r="V285" s="35">
        <v>0</v>
      </c>
      <c r="W285" s="35">
        <v>553</v>
      </c>
    </row>
    <row r="286" spans="1:23" x14ac:dyDescent="0.4">
      <c r="A286" s="5" t="s">
        <v>575</v>
      </c>
      <c r="B286" s="35">
        <v>32</v>
      </c>
      <c r="C286" s="35">
        <v>52</v>
      </c>
      <c r="D286" s="35">
        <v>95</v>
      </c>
      <c r="E286" s="35">
        <v>104</v>
      </c>
      <c r="F286" s="35">
        <v>86</v>
      </c>
      <c r="G286" s="35">
        <v>101</v>
      </c>
      <c r="H286" s="35">
        <v>42</v>
      </c>
      <c r="I286" s="35">
        <v>56</v>
      </c>
      <c r="J286" s="35">
        <v>37</v>
      </c>
      <c r="K286" s="35"/>
      <c r="L286" s="35">
        <v>29</v>
      </c>
      <c r="M286" s="35">
        <v>49</v>
      </c>
      <c r="N286" s="35">
        <v>38</v>
      </c>
      <c r="O286" s="35">
        <v>72</v>
      </c>
      <c r="P286" s="35">
        <v>40</v>
      </c>
      <c r="Q286" s="35">
        <v>38</v>
      </c>
      <c r="R286" s="35">
        <v>46</v>
      </c>
      <c r="S286" s="35">
        <v>60</v>
      </c>
      <c r="T286" s="35">
        <v>37</v>
      </c>
      <c r="U286" s="35">
        <v>39</v>
      </c>
      <c r="V286" s="35">
        <v>53</v>
      </c>
      <c r="W286" s="35">
        <v>1106</v>
      </c>
    </row>
    <row r="287" spans="1:23" x14ac:dyDescent="0.4">
      <c r="A287" s="5" t="s">
        <v>576</v>
      </c>
      <c r="B287" s="35">
        <v>1213</v>
      </c>
      <c r="C287" s="35">
        <v>1274</v>
      </c>
      <c r="D287" s="35">
        <v>1327</v>
      </c>
      <c r="E287" s="35">
        <v>1353</v>
      </c>
      <c r="F287" s="35">
        <v>1513</v>
      </c>
      <c r="G287" s="35">
        <v>1744</v>
      </c>
      <c r="H287" s="35">
        <v>1165</v>
      </c>
      <c r="I287" s="35">
        <v>1235</v>
      </c>
      <c r="J287" s="35">
        <v>1189</v>
      </c>
      <c r="K287" s="35"/>
      <c r="L287" s="35">
        <v>1206</v>
      </c>
      <c r="M287" s="35">
        <v>1023</v>
      </c>
      <c r="N287" s="35">
        <v>1172</v>
      </c>
      <c r="O287" s="35">
        <v>1110</v>
      </c>
      <c r="P287" s="35">
        <v>1065</v>
      </c>
      <c r="Q287" s="35">
        <v>1059</v>
      </c>
      <c r="R287" s="35">
        <v>956</v>
      </c>
      <c r="S287" s="35">
        <v>1020</v>
      </c>
      <c r="T287" s="35">
        <v>949</v>
      </c>
      <c r="U287" s="35">
        <v>1060</v>
      </c>
      <c r="V287" s="35">
        <v>947</v>
      </c>
      <c r="W287" s="35">
        <v>23580</v>
      </c>
    </row>
    <row r="288" spans="1:23" x14ac:dyDescent="0.4">
      <c r="A288" s="5" t="s">
        <v>577</v>
      </c>
      <c r="B288" s="35">
        <v>130</v>
      </c>
      <c r="C288" s="35">
        <v>114</v>
      </c>
      <c r="D288" s="35">
        <v>120</v>
      </c>
      <c r="E288" s="35">
        <v>127</v>
      </c>
      <c r="F288" s="35">
        <v>171</v>
      </c>
      <c r="G288" s="35">
        <v>204</v>
      </c>
      <c r="H288" s="35">
        <v>119</v>
      </c>
      <c r="I288" s="35">
        <v>101</v>
      </c>
      <c r="J288" s="35">
        <v>79</v>
      </c>
      <c r="K288" s="35"/>
      <c r="L288" s="35">
        <v>86</v>
      </c>
      <c r="M288" s="35">
        <v>86</v>
      </c>
      <c r="N288" s="35">
        <v>108</v>
      </c>
      <c r="O288" s="35">
        <v>117</v>
      </c>
      <c r="P288" s="35">
        <v>118</v>
      </c>
      <c r="Q288" s="35">
        <v>104</v>
      </c>
      <c r="R288" s="35">
        <v>119</v>
      </c>
      <c r="S288" s="35">
        <v>116</v>
      </c>
      <c r="T288" s="35">
        <v>114</v>
      </c>
      <c r="U288" s="35">
        <v>117</v>
      </c>
      <c r="V288" s="35">
        <v>122</v>
      </c>
      <c r="W288" s="35">
        <v>2372</v>
      </c>
    </row>
    <row r="289" spans="1:23" x14ac:dyDescent="0.4">
      <c r="A289" s="5" t="s">
        <v>578</v>
      </c>
      <c r="B289" s="35">
        <v>1095</v>
      </c>
      <c r="C289" s="35">
        <v>1104</v>
      </c>
      <c r="D289" s="35">
        <v>1102</v>
      </c>
      <c r="E289" s="35">
        <v>1189</v>
      </c>
      <c r="F289" s="35">
        <v>1139</v>
      </c>
      <c r="G289" s="35">
        <v>1447</v>
      </c>
      <c r="H289" s="35">
        <v>1026</v>
      </c>
      <c r="I289" s="35">
        <v>1021</v>
      </c>
      <c r="J289" s="35">
        <v>1072</v>
      </c>
      <c r="K289" s="35"/>
      <c r="L289" s="35">
        <v>983</v>
      </c>
      <c r="M289" s="35">
        <v>1040</v>
      </c>
      <c r="N289" s="35">
        <v>931</v>
      </c>
      <c r="O289" s="35">
        <v>1058</v>
      </c>
      <c r="P289" s="35">
        <v>978</v>
      </c>
      <c r="Q289" s="35">
        <v>968</v>
      </c>
      <c r="R289" s="35">
        <v>516</v>
      </c>
      <c r="S289" s="35">
        <v>519</v>
      </c>
      <c r="T289" s="35">
        <v>654</v>
      </c>
      <c r="U289" s="35">
        <v>579</v>
      </c>
      <c r="V289" s="35">
        <v>683</v>
      </c>
      <c r="W289" s="35">
        <v>19104</v>
      </c>
    </row>
    <row r="290" spans="1:23" x14ac:dyDescent="0.4">
      <c r="A290" s="5" t="s">
        <v>579</v>
      </c>
      <c r="B290" s="35">
        <v>87</v>
      </c>
      <c r="C290" s="35">
        <v>83</v>
      </c>
      <c r="D290" s="35">
        <v>67</v>
      </c>
      <c r="E290" s="35">
        <v>74</v>
      </c>
      <c r="F290" s="35">
        <v>103</v>
      </c>
      <c r="G290" s="35">
        <v>101</v>
      </c>
      <c r="H290" s="35">
        <v>83</v>
      </c>
      <c r="I290" s="35">
        <v>83</v>
      </c>
      <c r="J290" s="35">
        <v>84</v>
      </c>
      <c r="K290" s="35"/>
      <c r="L290" s="35">
        <v>67</v>
      </c>
      <c r="M290" s="35">
        <v>95</v>
      </c>
      <c r="N290" s="35">
        <v>99</v>
      </c>
      <c r="O290" s="35">
        <v>96</v>
      </c>
      <c r="P290" s="35">
        <v>77</v>
      </c>
      <c r="Q290" s="35">
        <v>81</v>
      </c>
      <c r="R290" s="35">
        <v>68</v>
      </c>
      <c r="S290" s="35">
        <v>61</v>
      </c>
      <c r="T290" s="35">
        <v>88</v>
      </c>
      <c r="U290" s="35">
        <v>73</v>
      </c>
      <c r="V290" s="35">
        <v>81</v>
      </c>
      <c r="W290" s="35">
        <v>1651</v>
      </c>
    </row>
    <row r="291" spans="1:23" x14ac:dyDescent="0.4">
      <c r="A291" s="5" t="s">
        <v>580</v>
      </c>
      <c r="B291" s="35">
        <v>77</v>
      </c>
      <c r="C291" s="35">
        <v>60</v>
      </c>
      <c r="D291" s="35">
        <v>68</v>
      </c>
      <c r="E291" s="35">
        <v>70</v>
      </c>
      <c r="F291" s="35">
        <v>76</v>
      </c>
      <c r="G291" s="35">
        <v>93</v>
      </c>
      <c r="H291" s="35">
        <v>82</v>
      </c>
      <c r="I291" s="35">
        <v>81</v>
      </c>
      <c r="J291" s="35">
        <v>78</v>
      </c>
      <c r="K291" s="35"/>
      <c r="L291" s="35">
        <v>74</v>
      </c>
      <c r="M291" s="35">
        <v>66</v>
      </c>
      <c r="N291" s="35">
        <v>93</v>
      </c>
      <c r="O291" s="35">
        <v>101</v>
      </c>
      <c r="P291" s="35">
        <v>82</v>
      </c>
      <c r="Q291" s="35">
        <v>90</v>
      </c>
      <c r="R291" s="35">
        <v>78</v>
      </c>
      <c r="S291" s="35">
        <v>83</v>
      </c>
      <c r="T291" s="35">
        <v>79</v>
      </c>
      <c r="U291" s="35">
        <v>58</v>
      </c>
      <c r="V291" s="35">
        <v>61</v>
      </c>
      <c r="W291" s="35">
        <v>1550</v>
      </c>
    </row>
    <row r="292" spans="1:23" x14ac:dyDescent="0.4">
      <c r="A292" s="5" t="s">
        <v>581</v>
      </c>
      <c r="B292" s="35">
        <v>116</v>
      </c>
      <c r="C292" s="35">
        <v>89</v>
      </c>
      <c r="D292" s="35">
        <v>133</v>
      </c>
      <c r="E292" s="35">
        <v>165</v>
      </c>
      <c r="F292" s="35">
        <v>160</v>
      </c>
      <c r="G292" s="35">
        <v>193</v>
      </c>
      <c r="H292" s="35">
        <v>98</v>
      </c>
      <c r="I292" s="35">
        <v>100</v>
      </c>
      <c r="J292" s="35">
        <v>98</v>
      </c>
      <c r="K292" s="35"/>
      <c r="L292" s="35">
        <v>80</v>
      </c>
      <c r="M292" s="35">
        <v>111</v>
      </c>
      <c r="N292" s="35">
        <v>135</v>
      </c>
      <c r="O292" s="35">
        <v>124</v>
      </c>
      <c r="P292" s="35">
        <v>88</v>
      </c>
      <c r="Q292" s="35">
        <v>95</v>
      </c>
      <c r="R292" s="35">
        <v>110</v>
      </c>
      <c r="S292" s="35">
        <v>87</v>
      </c>
      <c r="T292" s="35">
        <v>84</v>
      </c>
      <c r="U292" s="35">
        <v>97</v>
      </c>
      <c r="V292" s="35">
        <v>120</v>
      </c>
      <c r="W292" s="35">
        <v>2283</v>
      </c>
    </row>
    <row r="293" spans="1:23" x14ac:dyDescent="0.4">
      <c r="A293" s="5" t="s">
        <v>582</v>
      </c>
      <c r="B293" s="35">
        <v>622</v>
      </c>
      <c r="C293" s="35">
        <v>564</v>
      </c>
      <c r="D293" s="35">
        <v>563</v>
      </c>
      <c r="E293" s="35">
        <v>567</v>
      </c>
      <c r="F293" s="35">
        <v>604</v>
      </c>
      <c r="G293" s="35">
        <v>718</v>
      </c>
      <c r="H293" s="35">
        <v>468</v>
      </c>
      <c r="I293" s="35">
        <v>462</v>
      </c>
      <c r="J293" s="35">
        <v>423</v>
      </c>
      <c r="K293" s="35"/>
      <c r="L293" s="35">
        <v>467</v>
      </c>
      <c r="M293" s="35">
        <v>552</v>
      </c>
      <c r="N293" s="35">
        <v>456</v>
      </c>
      <c r="O293" s="35">
        <v>566</v>
      </c>
      <c r="P293" s="35">
        <v>441</v>
      </c>
      <c r="Q293" s="35">
        <v>440</v>
      </c>
      <c r="R293" s="35">
        <v>404</v>
      </c>
      <c r="S293" s="35">
        <v>378</v>
      </c>
      <c r="T293" s="35">
        <v>424</v>
      </c>
      <c r="U293" s="35">
        <v>405</v>
      </c>
      <c r="V293" s="35">
        <v>389</v>
      </c>
      <c r="W293" s="35">
        <v>9913</v>
      </c>
    </row>
    <row r="294" spans="1:23" x14ac:dyDescent="0.4">
      <c r="A294" s="5" t="s">
        <v>583</v>
      </c>
      <c r="B294" s="35">
        <v>22</v>
      </c>
      <c r="C294" s="35">
        <v>22</v>
      </c>
      <c r="D294" s="35">
        <v>13</v>
      </c>
      <c r="E294" s="35">
        <v>19</v>
      </c>
      <c r="F294" s="35">
        <v>18</v>
      </c>
      <c r="G294" s="35">
        <v>39</v>
      </c>
      <c r="H294" s="35">
        <v>18</v>
      </c>
      <c r="I294" s="35">
        <v>12</v>
      </c>
      <c r="J294" s="35">
        <v>12</v>
      </c>
      <c r="K294" s="35"/>
      <c r="L294" s="35">
        <v>7</v>
      </c>
      <c r="M294" s="35">
        <v>24</v>
      </c>
      <c r="N294" s="35">
        <v>27</v>
      </c>
      <c r="O294" s="35">
        <v>29</v>
      </c>
      <c r="P294" s="35">
        <v>20</v>
      </c>
      <c r="Q294" s="35">
        <v>19</v>
      </c>
      <c r="R294" s="35">
        <v>20</v>
      </c>
      <c r="S294" s="35">
        <v>18</v>
      </c>
      <c r="T294" s="35">
        <v>24</v>
      </c>
      <c r="U294" s="35">
        <v>22</v>
      </c>
      <c r="V294" s="35">
        <v>27</v>
      </c>
      <c r="W294" s="35">
        <v>412</v>
      </c>
    </row>
    <row r="295" spans="1:23" x14ac:dyDescent="0.4">
      <c r="A295" s="5" t="s">
        <v>584</v>
      </c>
      <c r="B295" s="35">
        <v>53</v>
      </c>
      <c r="C295" s="35">
        <v>70</v>
      </c>
      <c r="D295" s="35">
        <v>80</v>
      </c>
      <c r="E295" s="35">
        <v>63</v>
      </c>
      <c r="F295" s="35">
        <v>86</v>
      </c>
      <c r="G295" s="35">
        <v>73</v>
      </c>
      <c r="H295" s="35">
        <v>43</v>
      </c>
      <c r="I295" s="35">
        <v>33</v>
      </c>
      <c r="J295" s="35">
        <v>29</v>
      </c>
      <c r="K295" s="35"/>
      <c r="L295" s="35">
        <v>46</v>
      </c>
      <c r="M295" s="35">
        <v>53</v>
      </c>
      <c r="N295" s="35">
        <v>55</v>
      </c>
      <c r="O295" s="35">
        <v>54</v>
      </c>
      <c r="P295" s="35">
        <v>47</v>
      </c>
      <c r="Q295" s="35">
        <v>68</v>
      </c>
      <c r="R295" s="35">
        <v>62</v>
      </c>
      <c r="S295" s="35">
        <v>54</v>
      </c>
      <c r="T295" s="35">
        <v>62</v>
      </c>
      <c r="U295" s="35">
        <v>64</v>
      </c>
      <c r="V295" s="35">
        <v>63</v>
      </c>
      <c r="W295" s="35">
        <v>1158</v>
      </c>
    </row>
    <row r="296" spans="1:23" x14ac:dyDescent="0.4">
      <c r="A296" s="5" t="s">
        <v>585</v>
      </c>
      <c r="B296" s="35">
        <v>29</v>
      </c>
      <c r="C296" s="35">
        <v>51</v>
      </c>
      <c r="D296" s="35">
        <v>48</v>
      </c>
      <c r="E296" s="35">
        <v>49</v>
      </c>
      <c r="F296" s="35">
        <v>43</v>
      </c>
      <c r="G296" s="35">
        <v>57</v>
      </c>
      <c r="H296" s="35">
        <v>50</v>
      </c>
      <c r="I296" s="35">
        <v>35</v>
      </c>
      <c r="J296" s="35">
        <v>29</v>
      </c>
      <c r="K296" s="35"/>
      <c r="L296" s="35">
        <v>37</v>
      </c>
      <c r="M296" s="35">
        <v>34</v>
      </c>
      <c r="N296" s="35">
        <v>47</v>
      </c>
      <c r="O296" s="35">
        <v>29</v>
      </c>
      <c r="P296" s="35">
        <v>22</v>
      </c>
      <c r="Q296" s="35">
        <v>42</v>
      </c>
      <c r="R296" s="35">
        <v>45</v>
      </c>
      <c r="S296" s="35">
        <v>32</v>
      </c>
      <c r="T296" s="35">
        <v>31</v>
      </c>
      <c r="U296" s="35">
        <v>33</v>
      </c>
      <c r="V296" s="35">
        <v>37</v>
      </c>
      <c r="W296" s="35">
        <v>780</v>
      </c>
    </row>
    <row r="297" spans="1:23" x14ac:dyDescent="0.4">
      <c r="A297" s="5" t="s">
        <v>586</v>
      </c>
      <c r="B297" s="35">
        <v>42</v>
      </c>
      <c r="C297" s="35">
        <v>43</v>
      </c>
      <c r="D297" s="35">
        <v>36</v>
      </c>
      <c r="E297" s="35">
        <v>34</v>
      </c>
      <c r="F297" s="35">
        <v>59</v>
      </c>
      <c r="G297" s="35">
        <v>37</v>
      </c>
      <c r="H297" s="35">
        <v>32</v>
      </c>
      <c r="I297" s="35">
        <v>31</v>
      </c>
      <c r="J297" s="35">
        <v>33</v>
      </c>
      <c r="K297" s="35"/>
      <c r="L297" s="35">
        <v>23</v>
      </c>
      <c r="M297" s="35">
        <v>38</v>
      </c>
      <c r="N297" s="35">
        <v>47</v>
      </c>
      <c r="O297" s="35">
        <v>40</v>
      </c>
      <c r="P297" s="35">
        <v>37</v>
      </c>
      <c r="Q297" s="35">
        <v>33</v>
      </c>
      <c r="R297" s="35">
        <v>36</v>
      </c>
      <c r="S297" s="35">
        <v>34</v>
      </c>
      <c r="T297" s="35">
        <v>30</v>
      </c>
      <c r="U297" s="35">
        <v>28</v>
      </c>
      <c r="V297" s="35">
        <v>25</v>
      </c>
      <c r="W297" s="35">
        <v>718</v>
      </c>
    </row>
    <row r="298" spans="1:23" x14ac:dyDescent="0.4">
      <c r="A298" s="5" t="s">
        <v>587</v>
      </c>
      <c r="B298" s="35">
        <v>137</v>
      </c>
      <c r="C298" s="35">
        <v>112</v>
      </c>
      <c r="D298" s="35">
        <v>104</v>
      </c>
      <c r="E298" s="35">
        <v>112</v>
      </c>
      <c r="F298" s="35">
        <v>131</v>
      </c>
      <c r="G298" s="35">
        <v>142</v>
      </c>
      <c r="H298" s="35">
        <v>129</v>
      </c>
      <c r="I298" s="35">
        <v>141</v>
      </c>
      <c r="J298" s="35">
        <v>117</v>
      </c>
      <c r="K298" s="35"/>
      <c r="L298" s="35">
        <v>112</v>
      </c>
      <c r="M298" s="35">
        <v>127</v>
      </c>
      <c r="N298" s="35">
        <v>153</v>
      </c>
      <c r="O298" s="35">
        <v>240</v>
      </c>
      <c r="P298" s="35">
        <v>124</v>
      </c>
      <c r="Q298" s="35">
        <v>142</v>
      </c>
      <c r="R298" s="35">
        <v>110</v>
      </c>
      <c r="S298" s="35">
        <v>109</v>
      </c>
      <c r="T298" s="35">
        <v>122</v>
      </c>
      <c r="U298" s="35">
        <v>124</v>
      </c>
      <c r="V298" s="35">
        <v>140</v>
      </c>
      <c r="W298" s="35">
        <v>2628</v>
      </c>
    </row>
    <row r="299" spans="1:23" x14ac:dyDescent="0.4">
      <c r="A299" s="5" t="s">
        <v>588</v>
      </c>
      <c r="B299" s="35">
        <v>213</v>
      </c>
      <c r="C299" s="35">
        <v>197</v>
      </c>
      <c r="D299" s="35">
        <v>260</v>
      </c>
      <c r="E299" s="35">
        <v>243</v>
      </c>
      <c r="F299" s="35">
        <v>258</v>
      </c>
      <c r="G299" s="35">
        <v>273</v>
      </c>
      <c r="H299" s="35">
        <v>185</v>
      </c>
      <c r="I299" s="35">
        <v>179</v>
      </c>
      <c r="J299" s="35">
        <v>184</v>
      </c>
      <c r="K299" s="35"/>
      <c r="L299" s="35">
        <v>174</v>
      </c>
      <c r="M299" s="35">
        <v>169</v>
      </c>
      <c r="N299" s="35">
        <v>225</v>
      </c>
      <c r="O299" s="35">
        <v>196</v>
      </c>
      <c r="P299" s="35">
        <v>191</v>
      </c>
      <c r="Q299" s="35">
        <v>203</v>
      </c>
      <c r="R299" s="35">
        <v>165</v>
      </c>
      <c r="S299" s="35">
        <v>143</v>
      </c>
      <c r="T299" s="35">
        <v>189</v>
      </c>
      <c r="U299" s="35">
        <v>169</v>
      </c>
      <c r="V299" s="35">
        <v>151</v>
      </c>
      <c r="W299" s="35">
        <v>3967</v>
      </c>
    </row>
    <row r="300" spans="1:23" x14ac:dyDescent="0.4">
      <c r="A300" s="5" t="s">
        <v>589</v>
      </c>
      <c r="B300" s="35">
        <v>105</v>
      </c>
      <c r="C300" s="35">
        <v>102</v>
      </c>
      <c r="D300" s="35">
        <v>114</v>
      </c>
      <c r="E300" s="35">
        <v>93</v>
      </c>
      <c r="F300" s="35">
        <v>105</v>
      </c>
      <c r="G300" s="35">
        <v>137</v>
      </c>
      <c r="H300" s="35">
        <v>74</v>
      </c>
      <c r="I300" s="35">
        <v>83</v>
      </c>
      <c r="J300" s="35">
        <v>85</v>
      </c>
      <c r="K300" s="35"/>
      <c r="L300" s="35">
        <v>88</v>
      </c>
      <c r="M300" s="35">
        <v>77</v>
      </c>
      <c r="N300" s="35">
        <v>85</v>
      </c>
      <c r="O300" s="35">
        <v>85</v>
      </c>
      <c r="P300" s="35">
        <v>88</v>
      </c>
      <c r="Q300" s="35">
        <v>75</v>
      </c>
      <c r="R300" s="35">
        <v>67</v>
      </c>
      <c r="S300" s="35">
        <v>101</v>
      </c>
      <c r="T300" s="35">
        <v>61</v>
      </c>
      <c r="U300" s="35">
        <v>67</v>
      </c>
      <c r="V300" s="35">
        <v>55</v>
      </c>
      <c r="W300" s="35">
        <v>1747</v>
      </c>
    </row>
    <row r="301" spans="1:23" x14ac:dyDescent="0.4">
      <c r="A301" s="5" t="s">
        <v>590</v>
      </c>
      <c r="B301" s="35">
        <v>68</v>
      </c>
      <c r="C301" s="35">
        <v>43</v>
      </c>
      <c r="D301" s="35">
        <v>47</v>
      </c>
      <c r="E301" s="35">
        <v>67</v>
      </c>
      <c r="F301" s="35">
        <v>75</v>
      </c>
      <c r="G301" s="35">
        <v>82</v>
      </c>
      <c r="H301" s="35">
        <v>47</v>
      </c>
      <c r="I301" s="35">
        <v>61</v>
      </c>
      <c r="J301" s="35">
        <v>59</v>
      </c>
      <c r="K301" s="35"/>
      <c r="L301" s="35">
        <v>40</v>
      </c>
      <c r="M301" s="35">
        <v>52</v>
      </c>
      <c r="N301" s="35">
        <v>36</v>
      </c>
      <c r="O301" s="35">
        <v>24</v>
      </c>
      <c r="P301" s="35">
        <v>26</v>
      </c>
      <c r="Q301" s="35">
        <v>33</v>
      </c>
      <c r="R301" s="35">
        <v>37</v>
      </c>
      <c r="S301" s="35">
        <v>55</v>
      </c>
      <c r="T301" s="35">
        <v>65</v>
      </c>
      <c r="U301" s="35">
        <v>51</v>
      </c>
      <c r="V301" s="35">
        <v>39</v>
      </c>
      <c r="W301" s="35">
        <v>1007</v>
      </c>
    </row>
    <row r="302" spans="1:23" x14ac:dyDescent="0.4">
      <c r="A302" s="5" t="s">
        <v>591</v>
      </c>
      <c r="B302" s="35">
        <v>53</v>
      </c>
      <c r="C302" s="35">
        <v>145</v>
      </c>
      <c r="D302" s="35">
        <v>164</v>
      </c>
      <c r="E302" s="35">
        <v>212</v>
      </c>
      <c r="F302" s="35">
        <v>173</v>
      </c>
      <c r="G302" s="35">
        <v>235</v>
      </c>
      <c r="H302" s="35">
        <v>110</v>
      </c>
      <c r="I302" s="35">
        <v>110</v>
      </c>
      <c r="J302" s="35">
        <v>134</v>
      </c>
      <c r="K302" s="35"/>
      <c r="L302" s="35">
        <v>125</v>
      </c>
      <c r="M302" s="35">
        <v>135</v>
      </c>
      <c r="N302" s="35">
        <v>177</v>
      </c>
      <c r="O302" s="35">
        <v>196</v>
      </c>
      <c r="P302" s="35">
        <v>155</v>
      </c>
      <c r="Q302" s="35">
        <v>129</v>
      </c>
      <c r="R302" s="35">
        <v>148</v>
      </c>
      <c r="S302" s="35">
        <v>145</v>
      </c>
      <c r="T302" s="35">
        <v>133</v>
      </c>
      <c r="U302" s="35">
        <v>123</v>
      </c>
      <c r="V302" s="35">
        <v>155</v>
      </c>
      <c r="W302" s="35">
        <v>2957</v>
      </c>
    </row>
    <row r="303" spans="1:23" x14ac:dyDescent="0.4">
      <c r="A303" s="5" t="s">
        <v>592</v>
      </c>
      <c r="B303" s="35">
        <v>77</v>
      </c>
      <c r="C303" s="35">
        <v>86</v>
      </c>
      <c r="D303" s="35">
        <v>78</v>
      </c>
      <c r="E303" s="35">
        <v>67</v>
      </c>
      <c r="F303" s="35">
        <v>68</v>
      </c>
      <c r="G303" s="35">
        <v>108</v>
      </c>
      <c r="H303" s="35">
        <v>76</v>
      </c>
      <c r="I303" s="35">
        <v>68</v>
      </c>
      <c r="J303" s="35">
        <v>52</v>
      </c>
      <c r="K303" s="35"/>
      <c r="L303" s="35">
        <v>46</v>
      </c>
      <c r="M303" s="35">
        <v>27</v>
      </c>
      <c r="N303" s="35">
        <v>46</v>
      </c>
      <c r="O303" s="35">
        <v>26</v>
      </c>
      <c r="P303" s="35">
        <v>30</v>
      </c>
      <c r="Q303" s="35">
        <v>50</v>
      </c>
      <c r="R303" s="35">
        <v>56</v>
      </c>
      <c r="S303" s="35">
        <v>78</v>
      </c>
      <c r="T303" s="35">
        <v>77</v>
      </c>
      <c r="U303" s="35">
        <v>57</v>
      </c>
      <c r="V303" s="35">
        <v>93</v>
      </c>
      <c r="W303" s="35">
        <v>1266</v>
      </c>
    </row>
    <row r="304" spans="1:23" x14ac:dyDescent="0.4">
      <c r="A304" s="5" t="s">
        <v>593</v>
      </c>
      <c r="B304" s="35">
        <v>943</v>
      </c>
      <c r="C304" s="35">
        <v>1127</v>
      </c>
      <c r="D304" s="35">
        <v>1187</v>
      </c>
      <c r="E304" s="35">
        <v>1239</v>
      </c>
      <c r="F304" s="35">
        <v>1250</v>
      </c>
      <c r="G304" s="35">
        <v>1575</v>
      </c>
      <c r="H304" s="35">
        <v>1098</v>
      </c>
      <c r="I304" s="35">
        <v>1019</v>
      </c>
      <c r="J304" s="35">
        <v>987</v>
      </c>
      <c r="K304" s="35"/>
      <c r="L304" s="35">
        <v>855</v>
      </c>
      <c r="M304" s="35">
        <v>882</v>
      </c>
      <c r="N304" s="35">
        <v>883</v>
      </c>
      <c r="O304" s="35">
        <v>925</v>
      </c>
      <c r="P304" s="35">
        <v>723</v>
      </c>
      <c r="Q304" s="35">
        <v>491</v>
      </c>
      <c r="R304" s="35">
        <v>621</v>
      </c>
      <c r="S304" s="35">
        <v>681</v>
      </c>
      <c r="T304" s="35">
        <v>703</v>
      </c>
      <c r="U304" s="35">
        <v>590</v>
      </c>
      <c r="V304" s="35">
        <v>635</v>
      </c>
      <c r="W304" s="35">
        <v>18414</v>
      </c>
    </row>
    <row r="305" spans="1:23" x14ac:dyDescent="0.4">
      <c r="A305" s="5" t="s">
        <v>594</v>
      </c>
      <c r="B305" s="35">
        <v>63</v>
      </c>
      <c r="C305" s="35">
        <v>40</v>
      </c>
      <c r="D305" s="35">
        <v>67</v>
      </c>
      <c r="E305" s="35">
        <v>65</v>
      </c>
      <c r="F305" s="35">
        <v>67</v>
      </c>
      <c r="G305" s="35">
        <v>80</v>
      </c>
      <c r="H305" s="35">
        <v>50</v>
      </c>
      <c r="I305" s="35">
        <v>57</v>
      </c>
      <c r="J305" s="35">
        <v>32</v>
      </c>
      <c r="K305" s="35"/>
      <c r="L305" s="35">
        <v>41</v>
      </c>
      <c r="M305" s="35">
        <v>47</v>
      </c>
      <c r="N305" s="35">
        <v>42</v>
      </c>
      <c r="O305" s="35">
        <v>40</v>
      </c>
      <c r="P305" s="35">
        <v>47</v>
      </c>
      <c r="Q305" s="35">
        <v>46</v>
      </c>
      <c r="R305" s="35">
        <v>34</v>
      </c>
      <c r="S305" s="35">
        <v>13</v>
      </c>
      <c r="T305" s="35">
        <v>34</v>
      </c>
      <c r="U305" s="35">
        <v>54</v>
      </c>
      <c r="V305" s="35">
        <v>46</v>
      </c>
      <c r="W305" s="35">
        <v>965</v>
      </c>
    </row>
    <row r="306" spans="1:23" x14ac:dyDescent="0.4">
      <c r="A306" s="5" t="s">
        <v>595</v>
      </c>
      <c r="B306" s="35">
        <v>60</v>
      </c>
      <c r="C306" s="35">
        <v>68</v>
      </c>
      <c r="D306" s="35">
        <v>86</v>
      </c>
      <c r="E306" s="35">
        <v>75</v>
      </c>
      <c r="F306" s="35">
        <v>86</v>
      </c>
      <c r="G306" s="35">
        <v>93</v>
      </c>
      <c r="H306" s="35">
        <v>82</v>
      </c>
      <c r="I306" s="35">
        <v>84</v>
      </c>
      <c r="J306" s="35">
        <v>63</v>
      </c>
      <c r="K306" s="35"/>
      <c r="L306" s="35">
        <v>87</v>
      </c>
      <c r="M306" s="35">
        <v>76</v>
      </c>
      <c r="N306" s="35">
        <v>60</v>
      </c>
      <c r="O306" s="35">
        <v>88</v>
      </c>
      <c r="P306" s="35">
        <v>59</v>
      </c>
      <c r="Q306" s="35">
        <v>49</v>
      </c>
      <c r="R306" s="35">
        <v>67</v>
      </c>
      <c r="S306" s="35">
        <v>47</v>
      </c>
      <c r="T306" s="35">
        <v>83</v>
      </c>
      <c r="U306" s="35">
        <v>68</v>
      </c>
      <c r="V306" s="35">
        <v>46</v>
      </c>
      <c r="W306" s="35">
        <v>1427</v>
      </c>
    </row>
    <row r="307" spans="1:23" x14ac:dyDescent="0.4">
      <c r="A307" s="5" t="s">
        <v>596</v>
      </c>
      <c r="B307" s="35">
        <v>78</v>
      </c>
      <c r="C307" s="35">
        <v>90</v>
      </c>
      <c r="D307" s="35">
        <v>81</v>
      </c>
      <c r="E307" s="35">
        <v>92</v>
      </c>
      <c r="F307" s="35">
        <v>99</v>
      </c>
      <c r="G307" s="35">
        <v>114</v>
      </c>
      <c r="H307" s="35">
        <v>78</v>
      </c>
      <c r="I307" s="35">
        <v>84</v>
      </c>
      <c r="J307" s="35">
        <v>90</v>
      </c>
      <c r="K307" s="35"/>
      <c r="L307" s="35">
        <v>63</v>
      </c>
      <c r="M307" s="35">
        <v>76</v>
      </c>
      <c r="N307" s="35">
        <v>77</v>
      </c>
      <c r="O307" s="35">
        <v>95</v>
      </c>
      <c r="P307" s="35">
        <v>66</v>
      </c>
      <c r="Q307" s="35">
        <v>49</v>
      </c>
      <c r="R307" s="35">
        <v>68</v>
      </c>
      <c r="S307" s="35">
        <v>92</v>
      </c>
      <c r="T307" s="35">
        <v>52</v>
      </c>
      <c r="U307" s="35">
        <v>51</v>
      </c>
      <c r="V307" s="35">
        <v>27</v>
      </c>
      <c r="W307" s="35">
        <v>1522</v>
      </c>
    </row>
    <row r="308" spans="1:23" x14ac:dyDescent="0.4">
      <c r="A308" s="5" t="s">
        <v>597</v>
      </c>
      <c r="B308" s="35">
        <v>30</v>
      </c>
      <c r="C308" s="35">
        <v>36</v>
      </c>
      <c r="D308" s="35">
        <v>30</v>
      </c>
      <c r="E308" s="35">
        <v>46</v>
      </c>
      <c r="F308" s="35">
        <v>44</v>
      </c>
      <c r="G308" s="35">
        <v>39</v>
      </c>
      <c r="H308" s="35">
        <v>24</v>
      </c>
      <c r="I308" s="35">
        <v>16</v>
      </c>
      <c r="J308" s="35">
        <v>16</v>
      </c>
      <c r="K308" s="35"/>
      <c r="L308" s="35">
        <v>29</v>
      </c>
      <c r="M308" s="35">
        <v>27</v>
      </c>
      <c r="N308" s="35">
        <v>29</v>
      </c>
      <c r="O308" s="35">
        <v>35</v>
      </c>
      <c r="P308" s="35">
        <v>26</v>
      </c>
      <c r="Q308" s="35">
        <v>23</v>
      </c>
      <c r="R308" s="35">
        <v>16</v>
      </c>
      <c r="S308" s="35">
        <v>22</v>
      </c>
      <c r="T308" s="35">
        <v>31</v>
      </c>
      <c r="U308" s="35">
        <v>21</v>
      </c>
      <c r="V308" s="35">
        <v>31</v>
      </c>
      <c r="W308" s="35">
        <v>571</v>
      </c>
    </row>
    <row r="309" spans="1:23" x14ac:dyDescent="0.4">
      <c r="A309" s="5" t="s">
        <v>598</v>
      </c>
      <c r="B309" s="35">
        <v>80</v>
      </c>
      <c r="C309" s="35">
        <v>108</v>
      </c>
      <c r="D309" s="35">
        <v>107</v>
      </c>
      <c r="E309" s="35">
        <v>97</v>
      </c>
      <c r="F309" s="35">
        <v>117</v>
      </c>
      <c r="G309" s="35">
        <v>106</v>
      </c>
      <c r="H309" s="35">
        <v>94</v>
      </c>
      <c r="I309" s="35">
        <v>89</v>
      </c>
      <c r="J309" s="35">
        <v>84</v>
      </c>
      <c r="K309" s="35"/>
      <c r="L309" s="35">
        <v>77</v>
      </c>
      <c r="M309" s="35">
        <v>72</v>
      </c>
      <c r="N309" s="35">
        <v>67</v>
      </c>
      <c r="O309" s="35">
        <v>94</v>
      </c>
      <c r="P309" s="35">
        <v>72</v>
      </c>
      <c r="Q309" s="35">
        <v>68</v>
      </c>
      <c r="R309" s="35">
        <v>44</v>
      </c>
      <c r="S309" s="35">
        <v>86</v>
      </c>
      <c r="T309" s="35">
        <v>87</v>
      </c>
      <c r="U309" s="35">
        <v>68</v>
      </c>
      <c r="V309" s="35">
        <v>75</v>
      </c>
      <c r="W309" s="35">
        <v>1692</v>
      </c>
    </row>
    <row r="310" spans="1:23" x14ac:dyDescent="0.4">
      <c r="A310" s="5" t="s">
        <v>599</v>
      </c>
      <c r="B310" s="35">
        <v>39</v>
      </c>
      <c r="C310" s="35">
        <v>33</v>
      </c>
      <c r="D310" s="35">
        <v>45</v>
      </c>
      <c r="E310" s="35">
        <v>45</v>
      </c>
      <c r="F310" s="35">
        <v>48</v>
      </c>
      <c r="G310" s="35">
        <v>40</v>
      </c>
      <c r="H310" s="35">
        <v>35</v>
      </c>
      <c r="I310" s="35">
        <v>36</v>
      </c>
      <c r="J310" s="35">
        <v>30</v>
      </c>
      <c r="K310" s="35"/>
      <c r="L310" s="35">
        <v>69</v>
      </c>
      <c r="M310" s="35">
        <v>24</v>
      </c>
      <c r="N310" s="35">
        <v>27</v>
      </c>
      <c r="O310" s="35">
        <v>25</v>
      </c>
      <c r="P310" s="35">
        <v>18</v>
      </c>
      <c r="Q310" s="35">
        <v>25</v>
      </c>
      <c r="R310" s="35">
        <v>9</v>
      </c>
      <c r="S310" s="35">
        <v>21</v>
      </c>
      <c r="T310" s="35">
        <v>15</v>
      </c>
      <c r="U310" s="35">
        <v>28</v>
      </c>
      <c r="V310" s="35">
        <v>19</v>
      </c>
      <c r="W310" s="35">
        <v>631</v>
      </c>
    </row>
    <row r="311" spans="1:23" x14ac:dyDescent="0.4">
      <c r="A311" s="5" t="s">
        <v>600</v>
      </c>
      <c r="B311" s="35">
        <v>183</v>
      </c>
      <c r="C311" s="35">
        <v>162</v>
      </c>
      <c r="D311" s="35">
        <v>212</v>
      </c>
      <c r="E311" s="35">
        <v>210</v>
      </c>
      <c r="F311" s="35">
        <v>193</v>
      </c>
      <c r="G311" s="35">
        <v>246</v>
      </c>
      <c r="H311" s="35">
        <v>172</v>
      </c>
      <c r="I311" s="35">
        <v>157</v>
      </c>
      <c r="J311" s="35">
        <v>166</v>
      </c>
      <c r="K311" s="35"/>
      <c r="L311" s="35">
        <v>184</v>
      </c>
      <c r="M311" s="35">
        <v>202</v>
      </c>
      <c r="N311" s="35">
        <v>189</v>
      </c>
      <c r="O311" s="35">
        <v>174</v>
      </c>
      <c r="P311" s="35">
        <v>172</v>
      </c>
      <c r="Q311" s="35">
        <v>155</v>
      </c>
      <c r="R311" s="35">
        <v>185</v>
      </c>
      <c r="S311" s="35">
        <v>126</v>
      </c>
      <c r="T311" s="35">
        <v>180</v>
      </c>
      <c r="U311" s="35">
        <v>179</v>
      </c>
      <c r="V311" s="35">
        <v>178</v>
      </c>
      <c r="W311" s="35">
        <v>3625</v>
      </c>
    </row>
    <row r="312" spans="1:23" x14ac:dyDescent="0.4">
      <c r="A312" s="5" t="s">
        <v>601</v>
      </c>
      <c r="B312" s="35">
        <v>171</v>
      </c>
      <c r="C312" s="35">
        <v>175</v>
      </c>
      <c r="D312" s="35">
        <v>194</v>
      </c>
      <c r="E312" s="35">
        <v>217</v>
      </c>
      <c r="F312" s="35">
        <v>224</v>
      </c>
      <c r="G312" s="35">
        <v>267</v>
      </c>
      <c r="H312" s="35">
        <v>164</v>
      </c>
      <c r="I312" s="35">
        <v>202</v>
      </c>
      <c r="J312" s="35">
        <v>175</v>
      </c>
      <c r="K312" s="35"/>
      <c r="L312" s="35">
        <v>180</v>
      </c>
      <c r="M312" s="35">
        <v>179</v>
      </c>
      <c r="N312" s="35">
        <v>202</v>
      </c>
      <c r="O312" s="35">
        <v>172</v>
      </c>
      <c r="P312" s="35">
        <v>142</v>
      </c>
      <c r="Q312" s="35">
        <v>112</v>
      </c>
      <c r="R312" s="35">
        <v>156</v>
      </c>
      <c r="S312" s="35">
        <v>104</v>
      </c>
      <c r="T312" s="35">
        <v>160</v>
      </c>
      <c r="U312" s="35">
        <v>138</v>
      </c>
      <c r="V312" s="35">
        <v>106</v>
      </c>
      <c r="W312" s="35">
        <v>3440</v>
      </c>
    </row>
    <row r="313" spans="1:23" x14ac:dyDescent="0.4">
      <c r="A313" s="5" t="s">
        <v>602</v>
      </c>
      <c r="B313" s="35">
        <v>2085</v>
      </c>
      <c r="C313" s="35">
        <v>2311</v>
      </c>
      <c r="D313" s="35">
        <v>2510</v>
      </c>
      <c r="E313" s="35">
        <v>2354</v>
      </c>
      <c r="F313" s="35">
        <v>2474</v>
      </c>
      <c r="G313" s="35">
        <v>3001</v>
      </c>
      <c r="H313" s="35">
        <v>2108</v>
      </c>
      <c r="I313" s="35">
        <v>2079</v>
      </c>
      <c r="J313" s="35">
        <v>1794</v>
      </c>
      <c r="K313" s="35"/>
      <c r="L313" s="35">
        <v>1694</v>
      </c>
      <c r="M313" s="35">
        <v>1667</v>
      </c>
      <c r="N313" s="35">
        <v>1730</v>
      </c>
      <c r="O313" s="35">
        <v>1577</v>
      </c>
      <c r="P313" s="35">
        <v>1354</v>
      </c>
      <c r="Q313" s="35">
        <v>1416</v>
      </c>
      <c r="R313" s="35">
        <v>1100</v>
      </c>
      <c r="S313" s="35">
        <v>1092</v>
      </c>
      <c r="T313" s="35">
        <v>1237</v>
      </c>
      <c r="U313" s="35">
        <v>1254</v>
      </c>
      <c r="V313" s="35">
        <v>1195</v>
      </c>
      <c r="W313" s="35">
        <v>36032</v>
      </c>
    </row>
    <row r="314" spans="1:23" x14ac:dyDescent="0.4">
      <c r="A314" s="5" t="s">
        <v>603</v>
      </c>
      <c r="B314" s="35">
        <v>148</v>
      </c>
      <c r="C314" s="35">
        <v>163</v>
      </c>
      <c r="D314" s="35">
        <v>177</v>
      </c>
      <c r="E314" s="35">
        <v>188</v>
      </c>
      <c r="F314" s="35">
        <v>207</v>
      </c>
      <c r="G314" s="35">
        <v>208</v>
      </c>
      <c r="H314" s="35">
        <v>132</v>
      </c>
      <c r="I314" s="35">
        <v>148</v>
      </c>
      <c r="J314" s="35">
        <v>117</v>
      </c>
      <c r="K314" s="35"/>
      <c r="L314" s="35">
        <v>91</v>
      </c>
      <c r="M314" s="35">
        <v>100</v>
      </c>
      <c r="N314" s="35">
        <v>106</v>
      </c>
      <c r="O314" s="35">
        <v>122</v>
      </c>
      <c r="P314" s="35">
        <v>90</v>
      </c>
      <c r="Q314" s="35">
        <v>100</v>
      </c>
      <c r="R314" s="35">
        <v>82</v>
      </c>
      <c r="S314" s="35">
        <v>97</v>
      </c>
      <c r="T314" s="35">
        <v>123</v>
      </c>
      <c r="U314" s="35">
        <v>107</v>
      </c>
      <c r="V314" s="35">
        <v>82</v>
      </c>
      <c r="W314" s="35">
        <v>2588</v>
      </c>
    </row>
    <row r="315" spans="1:23" x14ac:dyDescent="0.4">
      <c r="A315" s="5" t="s">
        <v>604</v>
      </c>
      <c r="B315" s="35">
        <v>75</v>
      </c>
      <c r="C315" s="35">
        <v>85</v>
      </c>
      <c r="D315" s="35">
        <v>47</v>
      </c>
      <c r="E315" s="35">
        <v>74</v>
      </c>
      <c r="F315" s="35">
        <v>104</v>
      </c>
      <c r="G315" s="35">
        <v>88</v>
      </c>
      <c r="H315" s="35">
        <v>82</v>
      </c>
      <c r="I315" s="35">
        <v>77</v>
      </c>
      <c r="J315" s="35">
        <v>68</v>
      </c>
      <c r="K315" s="35"/>
      <c r="L315" s="35">
        <v>63</v>
      </c>
      <c r="M315" s="35">
        <v>56</v>
      </c>
      <c r="N315" s="35">
        <v>54</v>
      </c>
      <c r="O315" s="35">
        <v>65</v>
      </c>
      <c r="P315" s="35">
        <v>43</v>
      </c>
      <c r="Q315" s="35">
        <v>48</v>
      </c>
      <c r="R315" s="35">
        <v>58</v>
      </c>
      <c r="S315" s="35">
        <v>41</v>
      </c>
      <c r="T315" s="35">
        <v>38</v>
      </c>
      <c r="U315" s="35">
        <v>46</v>
      </c>
      <c r="V315" s="35">
        <v>70</v>
      </c>
      <c r="W315" s="35">
        <v>1282</v>
      </c>
    </row>
    <row r="316" spans="1:23" x14ac:dyDescent="0.4">
      <c r="A316" s="5" t="s">
        <v>605</v>
      </c>
      <c r="B316" s="35">
        <v>32</v>
      </c>
      <c r="C316" s="35">
        <v>30</v>
      </c>
      <c r="D316" s="35">
        <v>33</v>
      </c>
      <c r="E316" s="35">
        <v>37</v>
      </c>
      <c r="F316" s="35">
        <v>35</v>
      </c>
      <c r="G316" s="35">
        <v>47</v>
      </c>
      <c r="H316" s="35">
        <v>29</v>
      </c>
      <c r="I316" s="35">
        <v>35</v>
      </c>
      <c r="J316" s="35">
        <v>19</v>
      </c>
      <c r="K316" s="35"/>
      <c r="L316" s="35">
        <v>29</v>
      </c>
      <c r="M316" s="35">
        <v>26</v>
      </c>
      <c r="N316" s="35">
        <v>22</v>
      </c>
      <c r="O316" s="35">
        <v>29</v>
      </c>
      <c r="P316" s="35">
        <v>33</v>
      </c>
      <c r="Q316" s="35">
        <v>18</v>
      </c>
      <c r="R316" s="35">
        <v>28</v>
      </c>
      <c r="S316" s="35">
        <v>17</v>
      </c>
      <c r="T316" s="35">
        <v>25</v>
      </c>
      <c r="U316" s="35">
        <v>15</v>
      </c>
      <c r="V316" s="35">
        <v>25</v>
      </c>
      <c r="W316" s="35">
        <v>564</v>
      </c>
    </row>
    <row r="317" spans="1:23" x14ac:dyDescent="0.4">
      <c r="A317" s="5" t="s">
        <v>606</v>
      </c>
      <c r="B317" s="35">
        <v>289</v>
      </c>
      <c r="C317" s="35">
        <v>288</v>
      </c>
      <c r="D317" s="35">
        <v>282</v>
      </c>
      <c r="E317" s="35">
        <v>306</v>
      </c>
      <c r="F317" s="35">
        <v>315</v>
      </c>
      <c r="G317" s="35">
        <v>348</v>
      </c>
      <c r="H317" s="35">
        <v>244</v>
      </c>
      <c r="I317" s="35">
        <v>238</v>
      </c>
      <c r="J317" s="35">
        <v>265</v>
      </c>
      <c r="K317" s="35"/>
      <c r="L317" s="35">
        <v>209</v>
      </c>
      <c r="M317" s="35">
        <v>246</v>
      </c>
      <c r="N317" s="35">
        <v>235</v>
      </c>
      <c r="O317" s="35">
        <v>243</v>
      </c>
      <c r="P317" s="35">
        <v>226</v>
      </c>
      <c r="Q317" s="35">
        <v>233</v>
      </c>
      <c r="R317" s="35">
        <v>228</v>
      </c>
      <c r="S317" s="35">
        <v>209</v>
      </c>
      <c r="T317" s="35">
        <v>226</v>
      </c>
      <c r="U317" s="35">
        <v>216</v>
      </c>
      <c r="V317" s="35">
        <v>220</v>
      </c>
      <c r="W317" s="35">
        <v>5066</v>
      </c>
    </row>
    <row r="318" spans="1:23" x14ac:dyDescent="0.4">
      <c r="A318" s="5" t="s">
        <v>607</v>
      </c>
      <c r="B318" s="35">
        <v>219</v>
      </c>
      <c r="C318" s="35">
        <v>232</v>
      </c>
      <c r="D318" s="35">
        <v>165</v>
      </c>
      <c r="E318" s="35">
        <v>163</v>
      </c>
      <c r="F318" s="35">
        <v>207</v>
      </c>
      <c r="G318" s="35">
        <v>194</v>
      </c>
      <c r="H318" s="35">
        <v>234</v>
      </c>
      <c r="I318" s="35">
        <v>255</v>
      </c>
      <c r="J318" s="35">
        <v>193</v>
      </c>
      <c r="K318" s="35"/>
      <c r="L318" s="35">
        <v>196</v>
      </c>
      <c r="M318" s="35">
        <v>221</v>
      </c>
      <c r="N318" s="35">
        <v>228</v>
      </c>
      <c r="O318" s="35">
        <v>241</v>
      </c>
      <c r="P318" s="35">
        <v>178</v>
      </c>
      <c r="Q318" s="35">
        <v>190</v>
      </c>
      <c r="R318" s="35">
        <v>208</v>
      </c>
      <c r="S318" s="35">
        <v>175</v>
      </c>
      <c r="T318" s="35">
        <v>159</v>
      </c>
      <c r="U318" s="35">
        <v>187</v>
      </c>
      <c r="V318" s="35">
        <v>220</v>
      </c>
      <c r="W318" s="35">
        <v>4065</v>
      </c>
    </row>
    <row r="319" spans="1:23" x14ac:dyDescent="0.4">
      <c r="A319" s="5" t="s">
        <v>608</v>
      </c>
      <c r="B319" s="35">
        <v>293</v>
      </c>
      <c r="C319" s="35">
        <v>245</v>
      </c>
      <c r="D319" s="35">
        <v>174</v>
      </c>
      <c r="E319" s="35">
        <v>231</v>
      </c>
      <c r="F319" s="35">
        <v>257</v>
      </c>
      <c r="G319" s="35">
        <v>295</v>
      </c>
      <c r="H319" s="35">
        <v>295</v>
      </c>
      <c r="I319" s="35">
        <v>289</v>
      </c>
      <c r="J319" s="35">
        <v>251</v>
      </c>
      <c r="K319" s="35"/>
      <c r="L319" s="35">
        <v>226</v>
      </c>
      <c r="M319" s="35">
        <v>254</v>
      </c>
      <c r="N319" s="35">
        <v>240</v>
      </c>
      <c r="O319" s="35">
        <v>297</v>
      </c>
      <c r="P319" s="35">
        <v>229</v>
      </c>
      <c r="Q319" s="35">
        <v>223</v>
      </c>
      <c r="R319" s="35">
        <v>233</v>
      </c>
      <c r="S319" s="35">
        <v>245</v>
      </c>
      <c r="T319" s="35">
        <v>250</v>
      </c>
      <c r="U319" s="35">
        <v>296</v>
      </c>
      <c r="V319" s="35">
        <v>277</v>
      </c>
      <c r="W319" s="35">
        <v>5100</v>
      </c>
    </row>
    <row r="320" spans="1:23" x14ac:dyDescent="0.4">
      <c r="A320" s="5" t="s">
        <v>609</v>
      </c>
      <c r="B320" s="35">
        <v>104</v>
      </c>
      <c r="C320" s="35">
        <v>127</v>
      </c>
      <c r="D320" s="35">
        <v>137</v>
      </c>
      <c r="E320" s="35">
        <v>119</v>
      </c>
      <c r="F320" s="35">
        <v>120</v>
      </c>
      <c r="G320" s="35">
        <v>112</v>
      </c>
      <c r="H320" s="35">
        <v>84</v>
      </c>
      <c r="I320" s="35">
        <v>88</v>
      </c>
      <c r="J320" s="35">
        <v>74</v>
      </c>
      <c r="K320" s="35"/>
      <c r="L320" s="35">
        <v>68</v>
      </c>
      <c r="M320" s="35">
        <v>113</v>
      </c>
      <c r="N320" s="35">
        <v>72</v>
      </c>
      <c r="O320" s="35">
        <v>67</v>
      </c>
      <c r="P320" s="35">
        <v>76</v>
      </c>
      <c r="Q320" s="35">
        <v>76</v>
      </c>
      <c r="R320" s="35">
        <v>83</v>
      </c>
      <c r="S320" s="35">
        <v>70</v>
      </c>
      <c r="T320" s="35">
        <v>64</v>
      </c>
      <c r="U320" s="35">
        <v>70</v>
      </c>
      <c r="V320" s="35">
        <v>73</v>
      </c>
      <c r="W320" s="35">
        <v>1797</v>
      </c>
    </row>
    <row r="321" spans="1:23" x14ac:dyDescent="0.4">
      <c r="A321" s="5" t="s">
        <v>610</v>
      </c>
      <c r="B321" s="35">
        <v>190</v>
      </c>
      <c r="C321" s="35">
        <v>169</v>
      </c>
      <c r="D321" s="35">
        <v>150</v>
      </c>
      <c r="E321" s="35">
        <v>181</v>
      </c>
      <c r="F321" s="35">
        <v>163</v>
      </c>
      <c r="G321" s="35">
        <v>194</v>
      </c>
      <c r="H321" s="35">
        <v>232</v>
      </c>
      <c r="I321" s="35">
        <v>206</v>
      </c>
      <c r="J321" s="35">
        <v>184</v>
      </c>
      <c r="K321" s="35"/>
      <c r="L321" s="35">
        <v>170</v>
      </c>
      <c r="M321" s="35">
        <v>137</v>
      </c>
      <c r="N321" s="35">
        <v>171</v>
      </c>
      <c r="O321" s="35">
        <v>160</v>
      </c>
      <c r="P321" s="35">
        <v>116</v>
      </c>
      <c r="Q321" s="35">
        <v>141</v>
      </c>
      <c r="R321" s="35">
        <v>148</v>
      </c>
      <c r="S321" s="35">
        <v>133</v>
      </c>
      <c r="T321" s="35">
        <v>150</v>
      </c>
      <c r="U321" s="35">
        <v>150</v>
      </c>
      <c r="V321" s="35">
        <v>123</v>
      </c>
      <c r="W321" s="35">
        <v>3268</v>
      </c>
    </row>
    <row r="322" spans="1:23" x14ac:dyDescent="0.4">
      <c r="A322" s="5" t="s">
        <v>611</v>
      </c>
      <c r="B322" s="35">
        <v>8</v>
      </c>
      <c r="C322" s="35">
        <v>0</v>
      </c>
      <c r="D322" s="35">
        <v>3</v>
      </c>
      <c r="E322" s="35">
        <v>19</v>
      </c>
      <c r="F322" s="35">
        <v>20</v>
      </c>
      <c r="G322" s="35">
        <v>36</v>
      </c>
      <c r="H322" s="35">
        <v>11</v>
      </c>
      <c r="I322" s="35">
        <v>16</v>
      </c>
      <c r="J322" s="35">
        <v>12</v>
      </c>
      <c r="K322" s="35"/>
      <c r="L322" s="35">
        <v>15</v>
      </c>
      <c r="M322" s="35">
        <v>20</v>
      </c>
      <c r="N322" s="35">
        <v>19</v>
      </c>
      <c r="O322" s="35">
        <v>25</v>
      </c>
      <c r="P322" s="35">
        <v>17</v>
      </c>
      <c r="Q322" s="35">
        <v>11</v>
      </c>
      <c r="R322" s="35">
        <v>15</v>
      </c>
      <c r="S322" s="35">
        <v>22</v>
      </c>
      <c r="T322" s="35">
        <v>25</v>
      </c>
      <c r="U322" s="35">
        <v>21</v>
      </c>
      <c r="V322" s="35">
        <v>15</v>
      </c>
      <c r="W322" s="35">
        <v>330</v>
      </c>
    </row>
    <row r="323" spans="1:23" x14ac:dyDescent="0.4">
      <c r="A323" s="5" t="s">
        <v>612</v>
      </c>
      <c r="B323" s="35">
        <v>238</v>
      </c>
      <c r="C323" s="35">
        <v>242</v>
      </c>
      <c r="D323" s="35">
        <v>211</v>
      </c>
      <c r="E323" s="35">
        <v>155</v>
      </c>
      <c r="F323" s="35">
        <v>220</v>
      </c>
      <c r="G323" s="35">
        <v>236</v>
      </c>
      <c r="H323" s="35">
        <v>237</v>
      </c>
      <c r="I323" s="35">
        <v>247</v>
      </c>
      <c r="J323" s="35">
        <v>254</v>
      </c>
      <c r="K323" s="35"/>
      <c r="L323" s="35">
        <v>180</v>
      </c>
      <c r="M323" s="35">
        <v>208</v>
      </c>
      <c r="N323" s="35">
        <v>181</v>
      </c>
      <c r="O323" s="35">
        <v>202</v>
      </c>
      <c r="P323" s="35">
        <v>167</v>
      </c>
      <c r="Q323" s="35">
        <v>174</v>
      </c>
      <c r="R323" s="35">
        <v>146</v>
      </c>
      <c r="S323" s="35">
        <v>140</v>
      </c>
      <c r="T323" s="35">
        <v>158</v>
      </c>
      <c r="U323" s="35">
        <v>160</v>
      </c>
      <c r="V323" s="35">
        <v>146</v>
      </c>
      <c r="W323" s="35">
        <v>3902</v>
      </c>
    </row>
    <row r="324" spans="1:23" x14ac:dyDescent="0.4">
      <c r="A324" s="5" t="s">
        <v>613</v>
      </c>
      <c r="B324" s="35">
        <v>90</v>
      </c>
      <c r="C324" s="35">
        <v>82</v>
      </c>
      <c r="D324" s="35">
        <v>112</v>
      </c>
      <c r="E324" s="35">
        <v>96</v>
      </c>
      <c r="F324" s="35">
        <v>130</v>
      </c>
      <c r="G324" s="35">
        <v>111</v>
      </c>
      <c r="H324" s="35">
        <v>98</v>
      </c>
      <c r="I324" s="35">
        <v>85</v>
      </c>
      <c r="J324" s="35">
        <v>81</v>
      </c>
      <c r="K324" s="35"/>
      <c r="L324" s="35">
        <v>76</v>
      </c>
      <c r="M324" s="35">
        <v>67</v>
      </c>
      <c r="N324" s="35">
        <v>68</v>
      </c>
      <c r="O324" s="35">
        <v>83</v>
      </c>
      <c r="P324" s="35">
        <v>63</v>
      </c>
      <c r="Q324" s="35">
        <v>73</v>
      </c>
      <c r="R324" s="35">
        <v>55</v>
      </c>
      <c r="S324" s="35">
        <v>50</v>
      </c>
      <c r="T324" s="35">
        <v>63</v>
      </c>
      <c r="U324" s="35">
        <v>57</v>
      </c>
      <c r="V324" s="35">
        <v>76</v>
      </c>
      <c r="W324" s="35">
        <v>1616</v>
      </c>
    </row>
    <row r="325" spans="1:23" x14ac:dyDescent="0.4">
      <c r="A325" s="5" t="s">
        <v>614</v>
      </c>
      <c r="B325" s="35">
        <v>86</v>
      </c>
      <c r="C325" s="35">
        <v>103</v>
      </c>
      <c r="D325" s="35">
        <v>87</v>
      </c>
      <c r="E325" s="35">
        <v>96</v>
      </c>
      <c r="F325" s="35">
        <v>119</v>
      </c>
      <c r="G325" s="35">
        <v>145</v>
      </c>
      <c r="H325" s="35">
        <v>108</v>
      </c>
      <c r="I325" s="35">
        <v>111</v>
      </c>
      <c r="J325" s="35">
        <v>76</v>
      </c>
      <c r="K325" s="35"/>
      <c r="L325" s="35">
        <v>74</v>
      </c>
      <c r="M325" s="35">
        <v>81</v>
      </c>
      <c r="N325" s="35">
        <v>87</v>
      </c>
      <c r="O325" s="35">
        <v>97</v>
      </c>
      <c r="P325" s="35">
        <v>74</v>
      </c>
      <c r="Q325" s="35">
        <v>74</v>
      </c>
      <c r="R325" s="35">
        <v>77</v>
      </c>
      <c r="S325" s="35">
        <v>77</v>
      </c>
      <c r="T325" s="35">
        <v>79</v>
      </c>
      <c r="U325" s="35">
        <v>103</v>
      </c>
      <c r="V325" s="35">
        <v>97</v>
      </c>
      <c r="W325" s="35">
        <v>1851</v>
      </c>
    </row>
    <row r="326" spans="1:23" x14ac:dyDescent="0.4">
      <c r="A326" s="5" t="s">
        <v>615</v>
      </c>
      <c r="B326" s="35">
        <v>231</v>
      </c>
      <c r="C326" s="35">
        <v>232</v>
      </c>
      <c r="D326" s="35">
        <v>220</v>
      </c>
      <c r="E326" s="35">
        <v>231</v>
      </c>
      <c r="F326" s="35">
        <v>235</v>
      </c>
      <c r="G326" s="35">
        <v>224</v>
      </c>
      <c r="H326" s="35">
        <v>223</v>
      </c>
      <c r="I326" s="35">
        <v>220</v>
      </c>
      <c r="J326" s="35">
        <v>243</v>
      </c>
      <c r="K326" s="35"/>
      <c r="L326" s="35">
        <v>204</v>
      </c>
      <c r="M326" s="35">
        <v>220</v>
      </c>
      <c r="N326" s="35">
        <v>189</v>
      </c>
      <c r="O326" s="35">
        <v>211</v>
      </c>
      <c r="P326" s="35">
        <v>212</v>
      </c>
      <c r="Q326" s="35">
        <v>227</v>
      </c>
      <c r="R326" s="35">
        <v>187</v>
      </c>
      <c r="S326" s="35">
        <v>189</v>
      </c>
      <c r="T326" s="35">
        <v>197</v>
      </c>
      <c r="U326" s="35">
        <v>222</v>
      </c>
      <c r="V326" s="35">
        <v>226</v>
      </c>
      <c r="W326" s="35">
        <v>4343</v>
      </c>
    </row>
    <row r="327" spans="1:23" x14ac:dyDescent="0.4">
      <c r="A327" s="5" t="s">
        <v>616</v>
      </c>
      <c r="B327" s="35">
        <v>35</v>
      </c>
      <c r="C327" s="35">
        <v>31</v>
      </c>
      <c r="D327" s="35">
        <v>31</v>
      </c>
      <c r="E327" s="35">
        <v>31</v>
      </c>
      <c r="F327" s="35">
        <v>33</v>
      </c>
      <c r="G327" s="35">
        <v>42</v>
      </c>
      <c r="H327" s="35">
        <v>39</v>
      </c>
      <c r="I327" s="35">
        <v>23</v>
      </c>
      <c r="J327" s="35">
        <v>28</v>
      </c>
      <c r="K327" s="35"/>
      <c r="L327" s="35">
        <v>38</v>
      </c>
      <c r="M327" s="35">
        <v>15</v>
      </c>
      <c r="N327" s="35">
        <v>31</v>
      </c>
      <c r="O327" s="35">
        <v>38</v>
      </c>
      <c r="P327" s="35">
        <v>20</v>
      </c>
      <c r="Q327" s="35">
        <v>41</v>
      </c>
      <c r="R327" s="35">
        <v>34</v>
      </c>
      <c r="S327" s="35">
        <v>35</v>
      </c>
      <c r="T327" s="35">
        <v>32</v>
      </c>
      <c r="U327" s="35">
        <v>36</v>
      </c>
      <c r="V327" s="35">
        <v>26</v>
      </c>
      <c r="W327" s="35">
        <v>639</v>
      </c>
    </row>
    <row r="328" spans="1:23" x14ac:dyDescent="0.4">
      <c r="A328" s="5" t="s">
        <v>617</v>
      </c>
      <c r="B328" s="35">
        <v>295</v>
      </c>
      <c r="C328" s="35">
        <v>302</v>
      </c>
      <c r="D328" s="35">
        <v>305</v>
      </c>
      <c r="E328" s="35">
        <v>279</v>
      </c>
      <c r="F328" s="35">
        <v>322</v>
      </c>
      <c r="G328" s="35">
        <v>414</v>
      </c>
      <c r="H328" s="35">
        <v>329</v>
      </c>
      <c r="I328" s="35">
        <v>301</v>
      </c>
      <c r="J328" s="35">
        <v>271</v>
      </c>
      <c r="K328" s="35"/>
      <c r="L328" s="35">
        <v>225</v>
      </c>
      <c r="M328" s="35">
        <v>292</v>
      </c>
      <c r="N328" s="35">
        <v>322</v>
      </c>
      <c r="O328" s="35">
        <v>280</v>
      </c>
      <c r="P328" s="35">
        <v>236</v>
      </c>
      <c r="Q328" s="35">
        <v>265</v>
      </c>
      <c r="R328" s="35">
        <v>261</v>
      </c>
      <c r="S328" s="35">
        <v>297</v>
      </c>
      <c r="T328" s="35">
        <v>265</v>
      </c>
      <c r="U328" s="35">
        <v>254</v>
      </c>
      <c r="V328" s="35">
        <v>271</v>
      </c>
      <c r="W328" s="35">
        <v>5786</v>
      </c>
    </row>
    <row r="329" spans="1:23" x14ac:dyDescent="0.4">
      <c r="A329" s="5" t="s">
        <v>618</v>
      </c>
      <c r="B329" s="35">
        <v>73</v>
      </c>
      <c r="C329" s="35">
        <v>63</v>
      </c>
      <c r="D329" s="35">
        <v>55</v>
      </c>
      <c r="E329" s="35">
        <v>65</v>
      </c>
      <c r="F329" s="35">
        <v>47</v>
      </c>
      <c r="G329" s="35">
        <v>67</v>
      </c>
      <c r="H329" s="35">
        <v>60</v>
      </c>
      <c r="I329" s="35">
        <v>81</v>
      </c>
      <c r="J329" s="35">
        <v>43</v>
      </c>
      <c r="K329" s="35"/>
      <c r="L329" s="35">
        <v>74</v>
      </c>
      <c r="M329" s="35">
        <v>76</v>
      </c>
      <c r="N329" s="35">
        <v>43</v>
      </c>
      <c r="O329" s="35">
        <v>50</v>
      </c>
      <c r="P329" s="35">
        <v>45</v>
      </c>
      <c r="Q329" s="35">
        <v>60</v>
      </c>
      <c r="R329" s="35">
        <v>62</v>
      </c>
      <c r="S329" s="35">
        <v>55</v>
      </c>
      <c r="T329" s="35">
        <v>59</v>
      </c>
      <c r="U329" s="35">
        <v>58</v>
      </c>
      <c r="V329" s="35">
        <v>62</v>
      </c>
      <c r="W329" s="35">
        <v>1198</v>
      </c>
    </row>
    <row r="330" spans="1:23" x14ac:dyDescent="0.4">
      <c r="A330" s="5" t="s">
        <v>619</v>
      </c>
      <c r="B330" s="35">
        <v>96</v>
      </c>
      <c r="C330" s="35">
        <v>102</v>
      </c>
      <c r="D330" s="35">
        <v>93</v>
      </c>
      <c r="E330" s="35">
        <v>86</v>
      </c>
      <c r="F330" s="35">
        <v>109</v>
      </c>
      <c r="G330" s="35">
        <v>106</v>
      </c>
      <c r="H330" s="35">
        <v>81</v>
      </c>
      <c r="I330" s="35">
        <v>107</v>
      </c>
      <c r="J330" s="35">
        <v>79</v>
      </c>
      <c r="K330" s="35"/>
      <c r="L330" s="35">
        <v>55</v>
      </c>
      <c r="M330" s="35">
        <v>71</v>
      </c>
      <c r="N330" s="35">
        <v>77</v>
      </c>
      <c r="O330" s="35">
        <v>74</v>
      </c>
      <c r="P330" s="35">
        <v>71</v>
      </c>
      <c r="Q330" s="35">
        <v>66</v>
      </c>
      <c r="R330" s="35">
        <v>57</v>
      </c>
      <c r="S330" s="35">
        <v>65</v>
      </c>
      <c r="T330" s="35">
        <v>73</v>
      </c>
      <c r="U330" s="35">
        <v>62</v>
      </c>
      <c r="V330" s="35">
        <v>55</v>
      </c>
      <c r="W330" s="35">
        <v>1585</v>
      </c>
    </row>
    <row r="331" spans="1:23" x14ac:dyDescent="0.4">
      <c r="A331" s="5" t="s">
        <v>620</v>
      </c>
      <c r="B331" s="35">
        <v>40</v>
      </c>
      <c r="C331" s="35">
        <v>41</v>
      </c>
      <c r="D331" s="35">
        <v>44</v>
      </c>
      <c r="E331" s="35">
        <v>37</v>
      </c>
      <c r="F331" s="35">
        <v>39</v>
      </c>
      <c r="G331" s="35">
        <v>59</v>
      </c>
      <c r="H331" s="35">
        <v>38</v>
      </c>
      <c r="I331" s="35">
        <v>43</v>
      </c>
      <c r="J331" s="35">
        <v>45</v>
      </c>
      <c r="K331" s="35"/>
      <c r="L331" s="35">
        <v>44</v>
      </c>
      <c r="M331" s="35">
        <v>33</v>
      </c>
      <c r="N331" s="35">
        <v>37</v>
      </c>
      <c r="O331" s="35">
        <v>49</v>
      </c>
      <c r="P331" s="35">
        <v>51</v>
      </c>
      <c r="Q331" s="35">
        <v>33</v>
      </c>
      <c r="R331" s="35">
        <v>38</v>
      </c>
      <c r="S331" s="35">
        <v>33</v>
      </c>
      <c r="T331" s="35">
        <v>48</v>
      </c>
      <c r="U331" s="35">
        <v>45</v>
      </c>
      <c r="V331" s="35">
        <v>35</v>
      </c>
      <c r="W331" s="35">
        <v>832</v>
      </c>
    </row>
    <row r="332" spans="1:23" x14ac:dyDescent="0.4">
      <c r="A332" s="5" t="s">
        <v>621</v>
      </c>
      <c r="B332" s="35">
        <v>68</v>
      </c>
      <c r="C332" s="35">
        <v>84</v>
      </c>
      <c r="D332" s="35">
        <v>60</v>
      </c>
      <c r="E332" s="35">
        <v>73</v>
      </c>
      <c r="F332" s="35">
        <v>89</v>
      </c>
      <c r="G332" s="35">
        <v>93</v>
      </c>
      <c r="H332" s="35">
        <v>78</v>
      </c>
      <c r="I332" s="35">
        <v>84</v>
      </c>
      <c r="J332" s="35">
        <v>74</v>
      </c>
      <c r="K332" s="35"/>
      <c r="L332" s="35">
        <v>74</v>
      </c>
      <c r="M332" s="35">
        <v>75</v>
      </c>
      <c r="N332" s="35">
        <v>72</v>
      </c>
      <c r="O332" s="35">
        <v>64</v>
      </c>
      <c r="P332" s="35">
        <v>69</v>
      </c>
      <c r="Q332" s="35">
        <v>71</v>
      </c>
      <c r="R332" s="35">
        <v>74</v>
      </c>
      <c r="S332" s="35">
        <v>55</v>
      </c>
      <c r="T332" s="35">
        <v>68</v>
      </c>
      <c r="U332" s="35">
        <v>86</v>
      </c>
      <c r="V332" s="35">
        <v>70</v>
      </c>
      <c r="W332" s="35">
        <v>1481</v>
      </c>
    </row>
    <row r="333" spans="1:23" x14ac:dyDescent="0.4">
      <c r="A333" s="5" t="s">
        <v>622</v>
      </c>
      <c r="B333" s="35">
        <v>176</v>
      </c>
      <c r="C333" s="35">
        <v>138</v>
      </c>
      <c r="D333" s="35">
        <v>171</v>
      </c>
      <c r="E333" s="35">
        <v>153</v>
      </c>
      <c r="F333" s="35">
        <v>135</v>
      </c>
      <c r="G333" s="35">
        <v>138</v>
      </c>
      <c r="H333" s="35">
        <v>163</v>
      </c>
      <c r="I333" s="35">
        <v>157</v>
      </c>
      <c r="J333" s="35">
        <v>152</v>
      </c>
      <c r="K333" s="35"/>
      <c r="L333" s="35">
        <v>111</v>
      </c>
      <c r="M333" s="35">
        <v>116</v>
      </c>
      <c r="N333" s="35">
        <v>124</v>
      </c>
      <c r="O333" s="35">
        <v>158</v>
      </c>
      <c r="P333" s="35">
        <v>137</v>
      </c>
      <c r="Q333" s="35">
        <v>135</v>
      </c>
      <c r="R333" s="35">
        <v>111</v>
      </c>
      <c r="S333" s="35">
        <v>125</v>
      </c>
      <c r="T333" s="35">
        <v>148</v>
      </c>
      <c r="U333" s="35">
        <v>146</v>
      </c>
      <c r="V333" s="35">
        <v>136</v>
      </c>
      <c r="W333" s="35">
        <v>2830</v>
      </c>
    </row>
    <row r="334" spans="1:23" x14ac:dyDescent="0.4">
      <c r="A334" s="5" t="s">
        <v>623</v>
      </c>
      <c r="B334" s="35">
        <v>90</v>
      </c>
      <c r="C334" s="35">
        <v>111</v>
      </c>
      <c r="D334" s="35">
        <v>91</v>
      </c>
      <c r="E334" s="35">
        <v>85</v>
      </c>
      <c r="F334" s="35">
        <v>113</v>
      </c>
      <c r="G334" s="35">
        <v>153</v>
      </c>
      <c r="H334" s="35">
        <v>85</v>
      </c>
      <c r="I334" s="35">
        <v>104</v>
      </c>
      <c r="J334" s="35">
        <v>110</v>
      </c>
      <c r="K334" s="35"/>
      <c r="L334" s="35">
        <v>107</v>
      </c>
      <c r="M334" s="35">
        <v>104</v>
      </c>
      <c r="N334" s="35">
        <v>105</v>
      </c>
      <c r="O334" s="35">
        <v>112</v>
      </c>
      <c r="P334" s="35">
        <v>125</v>
      </c>
      <c r="Q334" s="35">
        <v>100</v>
      </c>
      <c r="R334" s="35">
        <v>100</v>
      </c>
      <c r="S334" s="35">
        <v>97</v>
      </c>
      <c r="T334" s="35">
        <v>116</v>
      </c>
      <c r="U334" s="35">
        <v>99</v>
      </c>
      <c r="V334" s="35">
        <v>87</v>
      </c>
      <c r="W334" s="35">
        <v>2094</v>
      </c>
    </row>
    <row r="335" spans="1:23" x14ac:dyDescent="0.4">
      <c r="A335" s="5" t="s">
        <v>624</v>
      </c>
      <c r="B335" s="35">
        <v>22</v>
      </c>
      <c r="C335" s="35">
        <v>18</v>
      </c>
      <c r="D335" s="35">
        <v>22</v>
      </c>
      <c r="E335" s="35">
        <v>21</v>
      </c>
      <c r="F335" s="35">
        <v>16</v>
      </c>
      <c r="G335" s="35">
        <v>14</v>
      </c>
      <c r="H335" s="35">
        <v>18</v>
      </c>
      <c r="I335" s="35">
        <v>17</v>
      </c>
      <c r="J335" s="35">
        <v>18</v>
      </c>
      <c r="K335" s="35"/>
      <c r="L335" s="35">
        <v>18</v>
      </c>
      <c r="M335" s="35">
        <v>17</v>
      </c>
      <c r="N335" s="35">
        <v>25</v>
      </c>
      <c r="O335" s="35">
        <v>34</v>
      </c>
      <c r="P335" s="35">
        <v>24</v>
      </c>
      <c r="Q335" s="35">
        <v>17</v>
      </c>
      <c r="R335" s="35">
        <v>19</v>
      </c>
      <c r="S335" s="35">
        <v>20</v>
      </c>
      <c r="T335" s="35">
        <v>18</v>
      </c>
      <c r="U335" s="35">
        <v>24</v>
      </c>
      <c r="V335" s="35">
        <v>19</v>
      </c>
      <c r="W335" s="35">
        <v>401</v>
      </c>
    </row>
    <row r="336" spans="1:23" x14ac:dyDescent="0.4">
      <c r="A336" s="5" t="s">
        <v>625</v>
      </c>
      <c r="B336" s="35">
        <v>71</v>
      </c>
      <c r="C336" s="35">
        <v>76</v>
      </c>
      <c r="D336" s="35">
        <v>61</v>
      </c>
      <c r="E336" s="35">
        <v>58</v>
      </c>
      <c r="F336" s="35">
        <v>63</v>
      </c>
      <c r="G336" s="35">
        <v>81</v>
      </c>
      <c r="H336" s="35">
        <v>67</v>
      </c>
      <c r="I336" s="35">
        <v>47</v>
      </c>
      <c r="J336" s="35">
        <v>27</v>
      </c>
      <c r="K336" s="35"/>
      <c r="L336" s="35">
        <v>49</v>
      </c>
      <c r="M336" s="35">
        <v>48</v>
      </c>
      <c r="N336" s="35">
        <v>35</v>
      </c>
      <c r="O336" s="35">
        <v>57</v>
      </c>
      <c r="P336" s="35">
        <v>52</v>
      </c>
      <c r="Q336" s="35">
        <v>51</v>
      </c>
      <c r="R336" s="35">
        <v>46</v>
      </c>
      <c r="S336" s="35">
        <v>63</v>
      </c>
      <c r="T336" s="35">
        <v>39</v>
      </c>
      <c r="U336" s="35">
        <v>35</v>
      </c>
      <c r="V336" s="35">
        <v>34</v>
      </c>
      <c r="W336" s="35">
        <v>1060</v>
      </c>
    </row>
    <row r="337" spans="1:23" x14ac:dyDescent="0.4">
      <c r="A337" s="5" t="s">
        <v>626</v>
      </c>
      <c r="B337" s="35">
        <v>3215</v>
      </c>
      <c r="C337" s="35">
        <v>3317</v>
      </c>
      <c r="D337" s="35">
        <v>3561</v>
      </c>
      <c r="E337" s="35">
        <v>3805</v>
      </c>
      <c r="F337" s="35">
        <v>3821</v>
      </c>
      <c r="G337" s="35">
        <v>4341</v>
      </c>
      <c r="H337" s="35">
        <v>3125</v>
      </c>
      <c r="I337" s="35">
        <v>2931</v>
      </c>
      <c r="J337" s="35">
        <v>2909</v>
      </c>
      <c r="K337" s="35"/>
      <c r="L337" s="35">
        <v>2823</v>
      </c>
      <c r="M337" s="35">
        <v>2942</v>
      </c>
      <c r="N337" s="35">
        <v>2905</v>
      </c>
      <c r="O337" s="35">
        <v>2687</v>
      </c>
      <c r="P337" s="35">
        <v>2630</v>
      </c>
      <c r="Q337" s="35">
        <v>2634</v>
      </c>
      <c r="R337" s="35">
        <v>2352</v>
      </c>
      <c r="S337" s="35">
        <v>2487</v>
      </c>
      <c r="T337" s="35">
        <v>2220</v>
      </c>
      <c r="U337" s="35">
        <v>2121</v>
      </c>
      <c r="V337" s="35">
        <v>2143</v>
      </c>
      <c r="W337" s="35">
        <v>58969</v>
      </c>
    </row>
    <row r="338" spans="1:23" x14ac:dyDescent="0.4">
      <c r="A338" s="5" t="s">
        <v>627</v>
      </c>
      <c r="B338" s="35">
        <v>18</v>
      </c>
      <c r="C338" s="35">
        <v>22</v>
      </c>
      <c r="D338" s="35">
        <v>21</v>
      </c>
      <c r="E338" s="35">
        <v>21</v>
      </c>
      <c r="F338" s="35">
        <v>23</v>
      </c>
      <c r="G338" s="35">
        <v>21</v>
      </c>
      <c r="H338" s="35">
        <v>16</v>
      </c>
      <c r="I338" s="35">
        <v>21</v>
      </c>
      <c r="J338" s="35">
        <v>10</v>
      </c>
      <c r="K338" s="35"/>
      <c r="L338" s="35">
        <v>18</v>
      </c>
      <c r="M338" s="35">
        <v>21</v>
      </c>
      <c r="N338" s="35">
        <v>20</v>
      </c>
      <c r="O338" s="35">
        <v>16</v>
      </c>
      <c r="P338" s="35">
        <v>32</v>
      </c>
      <c r="Q338" s="35">
        <v>20</v>
      </c>
      <c r="R338" s="35">
        <v>11</v>
      </c>
      <c r="S338" s="35">
        <v>34</v>
      </c>
      <c r="T338" s="35">
        <v>0</v>
      </c>
      <c r="U338" s="35">
        <v>0</v>
      </c>
      <c r="V338" s="35">
        <v>0</v>
      </c>
      <c r="W338" s="35">
        <v>345</v>
      </c>
    </row>
    <row r="339" spans="1:23" x14ac:dyDescent="0.4">
      <c r="A339" s="5" t="s">
        <v>628</v>
      </c>
      <c r="B339" s="35">
        <v>34</v>
      </c>
      <c r="C339" s="35">
        <v>35</v>
      </c>
      <c r="D339" s="35">
        <v>19</v>
      </c>
      <c r="E339" s="35">
        <v>36</v>
      </c>
      <c r="F339" s="35">
        <v>32</v>
      </c>
      <c r="G339" s="35">
        <v>33</v>
      </c>
      <c r="H339" s="35">
        <v>31</v>
      </c>
      <c r="I339" s="35">
        <v>28</v>
      </c>
      <c r="J339" s="35">
        <v>24</v>
      </c>
      <c r="K339" s="35"/>
      <c r="L339" s="35">
        <v>28</v>
      </c>
      <c r="M339" s="35">
        <v>0</v>
      </c>
      <c r="N339" s="35">
        <v>24</v>
      </c>
      <c r="O339" s="35">
        <v>40</v>
      </c>
      <c r="P339" s="35">
        <v>26</v>
      </c>
      <c r="Q339" s="35">
        <v>32</v>
      </c>
      <c r="R339" s="35">
        <v>35</v>
      </c>
      <c r="S339" s="35">
        <v>32</v>
      </c>
      <c r="T339" s="35">
        <v>23</v>
      </c>
      <c r="U339" s="35">
        <v>47</v>
      </c>
      <c r="V339" s="35">
        <v>34</v>
      </c>
      <c r="W339" s="35">
        <v>593</v>
      </c>
    </row>
    <row r="340" spans="1:23" x14ac:dyDescent="0.4">
      <c r="A340" s="5" t="s">
        <v>629</v>
      </c>
      <c r="B340" s="35">
        <v>8</v>
      </c>
      <c r="C340" s="35">
        <v>8</v>
      </c>
      <c r="D340" s="35">
        <v>15</v>
      </c>
      <c r="E340" s="35">
        <v>9</v>
      </c>
      <c r="F340" s="35">
        <v>11</v>
      </c>
      <c r="G340" s="35">
        <v>1</v>
      </c>
      <c r="H340" s="35">
        <v>8</v>
      </c>
      <c r="I340" s="35">
        <v>11</v>
      </c>
      <c r="J340" s="35">
        <v>10</v>
      </c>
      <c r="K340" s="35"/>
      <c r="L340" s="35">
        <v>6</v>
      </c>
      <c r="M340" s="35">
        <v>7</v>
      </c>
      <c r="N340" s="35">
        <v>7</v>
      </c>
      <c r="O340" s="35">
        <v>11</v>
      </c>
      <c r="P340" s="35">
        <v>8</v>
      </c>
      <c r="Q340" s="35">
        <v>8</v>
      </c>
      <c r="R340" s="35">
        <v>16</v>
      </c>
      <c r="S340" s="35">
        <v>16</v>
      </c>
      <c r="T340" s="35">
        <v>16</v>
      </c>
      <c r="U340" s="35">
        <v>11</v>
      </c>
      <c r="V340" s="35">
        <v>10</v>
      </c>
      <c r="W340" s="35">
        <v>197</v>
      </c>
    </row>
    <row r="341" spans="1:23" x14ac:dyDescent="0.4">
      <c r="A341" s="5" t="s">
        <v>630</v>
      </c>
      <c r="B341" s="35">
        <v>29</v>
      </c>
      <c r="C341" s="35">
        <v>37</v>
      </c>
      <c r="D341" s="35">
        <v>34</v>
      </c>
      <c r="E341" s="35">
        <v>19</v>
      </c>
      <c r="F341" s="35">
        <v>30</v>
      </c>
      <c r="G341" s="35">
        <v>26</v>
      </c>
      <c r="H341" s="35">
        <v>52</v>
      </c>
      <c r="I341" s="35">
        <v>39</v>
      </c>
      <c r="J341" s="35">
        <v>46</v>
      </c>
      <c r="K341" s="35"/>
      <c r="L341" s="35">
        <v>35</v>
      </c>
      <c r="M341" s="35">
        <v>18</v>
      </c>
      <c r="N341" s="35">
        <v>34</v>
      </c>
      <c r="O341" s="35">
        <v>43</v>
      </c>
      <c r="P341" s="35">
        <v>42</v>
      </c>
      <c r="Q341" s="35">
        <v>49</v>
      </c>
      <c r="R341" s="35">
        <v>35</v>
      </c>
      <c r="S341" s="35">
        <v>41</v>
      </c>
      <c r="T341" s="35">
        <v>18</v>
      </c>
      <c r="U341" s="35">
        <v>47</v>
      </c>
      <c r="V341" s="35">
        <v>44</v>
      </c>
      <c r="W341" s="35">
        <v>718</v>
      </c>
    </row>
    <row r="342" spans="1:23" x14ac:dyDescent="0.4">
      <c r="A342" s="5" t="s">
        <v>631</v>
      </c>
      <c r="B342" s="35">
        <v>127</v>
      </c>
      <c r="C342" s="35">
        <v>111</v>
      </c>
      <c r="D342" s="35">
        <v>126</v>
      </c>
      <c r="E342" s="35">
        <v>138</v>
      </c>
      <c r="F342" s="35">
        <v>112</v>
      </c>
      <c r="G342" s="35">
        <v>105</v>
      </c>
      <c r="H342" s="35">
        <v>135</v>
      </c>
      <c r="I342" s="35">
        <v>138</v>
      </c>
      <c r="J342" s="35">
        <v>88</v>
      </c>
      <c r="K342" s="35"/>
      <c r="L342" s="35">
        <v>83</v>
      </c>
      <c r="M342" s="35">
        <v>83</v>
      </c>
      <c r="N342" s="35">
        <v>84</v>
      </c>
      <c r="O342" s="35">
        <v>93</v>
      </c>
      <c r="P342" s="35">
        <v>72</v>
      </c>
      <c r="Q342" s="35">
        <v>78</v>
      </c>
      <c r="R342" s="35">
        <v>80</v>
      </c>
      <c r="S342" s="35">
        <v>62</v>
      </c>
      <c r="T342" s="35">
        <v>44</v>
      </c>
      <c r="U342" s="35">
        <v>55</v>
      </c>
      <c r="V342" s="35">
        <v>64</v>
      </c>
      <c r="W342" s="35">
        <v>1878</v>
      </c>
    </row>
    <row r="343" spans="1:23" x14ac:dyDescent="0.4">
      <c r="A343" s="5" t="s">
        <v>632</v>
      </c>
      <c r="B343" s="35">
        <v>78</v>
      </c>
      <c r="C343" s="35">
        <v>98</v>
      </c>
      <c r="D343" s="35">
        <v>80</v>
      </c>
      <c r="E343" s="35">
        <v>77</v>
      </c>
      <c r="F343" s="35">
        <v>86</v>
      </c>
      <c r="G343" s="35">
        <v>79</v>
      </c>
      <c r="H343" s="35">
        <v>75</v>
      </c>
      <c r="I343" s="35">
        <v>80</v>
      </c>
      <c r="J343" s="35">
        <v>95</v>
      </c>
      <c r="K343" s="35"/>
      <c r="L343" s="35">
        <v>79</v>
      </c>
      <c r="M343" s="35">
        <v>82</v>
      </c>
      <c r="N343" s="35">
        <v>87</v>
      </c>
      <c r="O343" s="35">
        <v>102</v>
      </c>
      <c r="P343" s="35">
        <v>89</v>
      </c>
      <c r="Q343" s="35">
        <v>84</v>
      </c>
      <c r="R343" s="35">
        <v>81</v>
      </c>
      <c r="S343" s="35">
        <v>95</v>
      </c>
      <c r="T343" s="35">
        <v>73</v>
      </c>
      <c r="U343" s="35">
        <v>92</v>
      </c>
      <c r="V343" s="35">
        <v>88</v>
      </c>
      <c r="W343" s="35">
        <v>1700</v>
      </c>
    </row>
    <row r="344" spans="1:23" x14ac:dyDescent="0.4">
      <c r="A344" s="5" t="s">
        <v>633</v>
      </c>
      <c r="B344" s="35">
        <v>46</v>
      </c>
      <c r="C344" s="35">
        <v>45</v>
      </c>
      <c r="D344" s="35">
        <v>58</v>
      </c>
      <c r="E344" s="35">
        <v>53</v>
      </c>
      <c r="F344" s="35">
        <v>66</v>
      </c>
      <c r="G344" s="35">
        <v>120</v>
      </c>
      <c r="H344" s="35">
        <v>47</v>
      </c>
      <c r="I344" s="35">
        <v>51</v>
      </c>
      <c r="J344" s="35">
        <v>53</v>
      </c>
      <c r="K344" s="35"/>
      <c r="L344" s="35">
        <v>47</v>
      </c>
      <c r="M344" s="35">
        <v>49</v>
      </c>
      <c r="N344" s="35">
        <v>26</v>
      </c>
      <c r="O344" s="35">
        <v>64</v>
      </c>
      <c r="P344" s="35">
        <v>62</v>
      </c>
      <c r="Q344" s="35">
        <v>52</v>
      </c>
      <c r="R344" s="35">
        <v>47</v>
      </c>
      <c r="S344" s="35">
        <v>64</v>
      </c>
      <c r="T344" s="35">
        <v>39</v>
      </c>
      <c r="U344" s="35">
        <v>23</v>
      </c>
      <c r="V344" s="35">
        <v>0</v>
      </c>
      <c r="W344" s="35">
        <v>1012</v>
      </c>
    </row>
    <row r="345" spans="1:23" x14ac:dyDescent="0.4">
      <c r="A345" s="5" t="s">
        <v>634</v>
      </c>
      <c r="B345" s="35">
        <v>480</v>
      </c>
      <c r="C345" s="35">
        <v>573</v>
      </c>
      <c r="D345" s="35">
        <v>555</v>
      </c>
      <c r="E345" s="35">
        <v>574</v>
      </c>
      <c r="F345" s="35">
        <v>499</v>
      </c>
      <c r="G345" s="35">
        <v>591</v>
      </c>
      <c r="H345" s="35">
        <v>455</v>
      </c>
      <c r="I345" s="35">
        <v>409</v>
      </c>
      <c r="J345" s="35">
        <v>429</v>
      </c>
      <c r="K345" s="35"/>
      <c r="L345" s="35">
        <v>425</v>
      </c>
      <c r="M345" s="35">
        <v>389</v>
      </c>
      <c r="N345" s="35">
        <v>500</v>
      </c>
      <c r="O345" s="35">
        <v>532</v>
      </c>
      <c r="P345" s="35">
        <v>511</v>
      </c>
      <c r="Q345" s="35">
        <v>566</v>
      </c>
      <c r="R345" s="35">
        <v>574</v>
      </c>
      <c r="S345" s="35">
        <v>554</v>
      </c>
      <c r="T345" s="35">
        <v>552</v>
      </c>
      <c r="U345" s="35">
        <v>582</v>
      </c>
      <c r="V345" s="35">
        <v>581</v>
      </c>
      <c r="W345" s="35">
        <v>10331</v>
      </c>
    </row>
    <row r="346" spans="1:23" x14ac:dyDescent="0.4">
      <c r="A346" s="5" t="s">
        <v>635</v>
      </c>
      <c r="B346" s="35">
        <v>31</v>
      </c>
      <c r="C346" s="35">
        <v>23</v>
      </c>
      <c r="D346" s="35">
        <v>31</v>
      </c>
      <c r="E346" s="35">
        <v>28</v>
      </c>
      <c r="F346" s="35">
        <v>40</v>
      </c>
      <c r="G346" s="35">
        <v>40</v>
      </c>
      <c r="H346" s="35">
        <v>23</v>
      </c>
      <c r="I346" s="35">
        <v>21</v>
      </c>
      <c r="J346" s="35">
        <v>23</v>
      </c>
      <c r="K346" s="35"/>
      <c r="L346" s="35">
        <v>26</v>
      </c>
      <c r="M346" s="35">
        <v>32</v>
      </c>
      <c r="N346" s="35">
        <v>30</v>
      </c>
      <c r="O346" s="35">
        <v>34</v>
      </c>
      <c r="P346" s="35">
        <v>29</v>
      </c>
      <c r="Q346" s="35">
        <v>30</v>
      </c>
      <c r="R346" s="35">
        <v>32</v>
      </c>
      <c r="S346" s="35">
        <v>20</v>
      </c>
      <c r="T346" s="35">
        <v>21</v>
      </c>
      <c r="U346" s="35">
        <v>4</v>
      </c>
      <c r="V346" s="35">
        <v>0</v>
      </c>
      <c r="W346" s="35">
        <v>518</v>
      </c>
    </row>
    <row r="347" spans="1:23" x14ac:dyDescent="0.4">
      <c r="A347" s="5" t="s">
        <v>636</v>
      </c>
      <c r="B347" s="35">
        <v>97</v>
      </c>
      <c r="C347" s="35">
        <v>77</v>
      </c>
      <c r="D347" s="35">
        <v>78</v>
      </c>
      <c r="E347" s="35">
        <v>88</v>
      </c>
      <c r="F347" s="35">
        <v>67</v>
      </c>
      <c r="G347" s="35">
        <v>129</v>
      </c>
      <c r="H347" s="35">
        <v>73</v>
      </c>
      <c r="I347" s="35">
        <v>40</v>
      </c>
      <c r="J347" s="35">
        <v>84</v>
      </c>
      <c r="K347" s="35"/>
      <c r="L347" s="35">
        <v>94</v>
      </c>
      <c r="M347" s="35">
        <v>73</v>
      </c>
      <c r="N347" s="35">
        <v>56</v>
      </c>
      <c r="O347" s="35">
        <v>76</v>
      </c>
      <c r="P347" s="35">
        <v>87</v>
      </c>
      <c r="Q347" s="35">
        <v>90</v>
      </c>
      <c r="R347" s="35">
        <v>65</v>
      </c>
      <c r="S347" s="35">
        <v>83</v>
      </c>
      <c r="T347" s="35">
        <v>68</v>
      </c>
      <c r="U347" s="35">
        <v>80</v>
      </c>
      <c r="V347" s="35">
        <v>92</v>
      </c>
      <c r="W347" s="35">
        <v>1597</v>
      </c>
    </row>
    <row r="348" spans="1:23" x14ac:dyDescent="0.4">
      <c r="A348" s="5" t="s">
        <v>637</v>
      </c>
      <c r="B348" s="35">
        <v>148</v>
      </c>
      <c r="C348" s="35">
        <v>133</v>
      </c>
      <c r="D348" s="35">
        <v>127</v>
      </c>
      <c r="E348" s="35">
        <v>151</v>
      </c>
      <c r="F348" s="35">
        <v>168</v>
      </c>
      <c r="G348" s="35">
        <v>174</v>
      </c>
      <c r="H348" s="35">
        <v>105</v>
      </c>
      <c r="I348" s="35">
        <v>131</v>
      </c>
      <c r="J348" s="35">
        <v>139</v>
      </c>
      <c r="K348" s="35"/>
      <c r="L348" s="35">
        <v>119</v>
      </c>
      <c r="M348" s="35">
        <v>132</v>
      </c>
      <c r="N348" s="35">
        <v>137</v>
      </c>
      <c r="O348" s="35">
        <v>149</v>
      </c>
      <c r="P348" s="35">
        <v>161</v>
      </c>
      <c r="Q348" s="35">
        <v>120</v>
      </c>
      <c r="R348" s="35">
        <v>157</v>
      </c>
      <c r="S348" s="35">
        <v>148</v>
      </c>
      <c r="T348" s="35">
        <v>148</v>
      </c>
      <c r="U348" s="35">
        <v>151</v>
      </c>
      <c r="V348" s="35">
        <v>163</v>
      </c>
      <c r="W348" s="35">
        <v>2861</v>
      </c>
    </row>
    <row r="349" spans="1:23" x14ac:dyDescent="0.4">
      <c r="A349" s="5" t="s">
        <v>638</v>
      </c>
      <c r="B349" s="35">
        <v>64</v>
      </c>
      <c r="C349" s="35">
        <v>81</v>
      </c>
      <c r="D349" s="35">
        <v>72</v>
      </c>
      <c r="E349" s="35">
        <v>61</v>
      </c>
      <c r="F349" s="35">
        <v>73</v>
      </c>
      <c r="G349" s="35">
        <v>80</v>
      </c>
      <c r="H349" s="35">
        <v>29</v>
      </c>
      <c r="I349" s="35">
        <v>41</v>
      </c>
      <c r="J349" s="35">
        <v>50</v>
      </c>
      <c r="K349" s="35"/>
      <c r="L349" s="35">
        <v>79</v>
      </c>
      <c r="M349" s="35">
        <v>32</v>
      </c>
      <c r="N349" s="35">
        <v>43</v>
      </c>
      <c r="O349" s="35">
        <v>54</v>
      </c>
      <c r="P349" s="35">
        <v>52</v>
      </c>
      <c r="Q349" s="35">
        <v>44</v>
      </c>
      <c r="R349" s="35">
        <v>65</v>
      </c>
      <c r="S349" s="35">
        <v>59</v>
      </c>
      <c r="T349" s="35">
        <v>56</v>
      </c>
      <c r="U349" s="35">
        <v>56</v>
      </c>
      <c r="V349" s="35">
        <v>62</v>
      </c>
      <c r="W349" s="35">
        <v>1153</v>
      </c>
    </row>
    <row r="350" spans="1:23" x14ac:dyDescent="0.4">
      <c r="A350" s="5" t="s">
        <v>639</v>
      </c>
      <c r="B350" s="35">
        <v>8</v>
      </c>
      <c r="C350" s="35">
        <v>7</v>
      </c>
      <c r="D350" s="35">
        <v>3</v>
      </c>
      <c r="E350" s="35">
        <v>10</v>
      </c>
      <c r="F350" s="35">
        <v>11</v>
      </c>
      <c r="G350" s="35">
        <v>9</v>
      </c>
      <c r="H350" s="35">
        <v>6</v>
      </c>
      <c r="I350" s="35">
        <v>2</v>
      </c>
      <c r="J350" s="35">
        <v>0</v>
      </c>
      <c r="K350" s="35"/>
      <c r="L350" s="35">
        <v>2</v>
      </c>
      <c r="M350" s="35">
        <v>9</v>
      </c>
      <c r="N350" s="35">
        <v>4</v>
      </c>
      <c r="O350" s="35">
        <v>16</v>
      </c>
      <c r="P350" s="35">
        <v>9</v>
      </c>
      <c r="Q350" s="35">
        <v>6</v>
      </c>
      <c r="R350" s="35">
        <v>11</v>
      </c>
      <c r="S350" s="35">
        <v>4</v>
      </c>
      <c r="T350" s="35">
        <v>6</v>
      </c>
      <c r="U350" s="35">
        <v>0</v>
      </c>
      <c r="V350" s="35">
        <v>0</v>
      </c>
      <c r="W350" s="35">
        <v>123</v>
      </c>
    </row>
    <row r="351" spans="1:23" x14ac:dyDescent="0.4">
      <c r="A351" s="5" t="s">
        <v>640</v>
      </c>
      <c r="B351" s="35">
        <v>25</v>
      </c>
      <c r="C351" s="35">
        <v>22</v>
      </c>
      <c r="D351" s="35">
        <v>46</v>
      </c>
      <c r="E351" s="35">
        <v>30</v>
      </c>
      <c r="F351" s="35">
        <v>31</v>
      </c>
      <c r="G351" s="35">
        <v>20</v>
      </c>
      <c r="H351" s="35">
        <v>21</v>
      </c>
      <c r="I351" s="35">
        <v>21</v>
      </c>
      <c r="J351" s="35">
        <v>36</v>
      </c>
      <c r="K351" s="35"/>
      <c r="L351" s="35">
        <v>18</v>
      </c>
      <c r="M351" s="35">
        <v>22</v>
      </c>
      <c r="N351" s="35">
        <v>24</v>
      </c>
      <c r="O351" s="35">
        <v>19</v>
      </c>
      <c r="P351" s="35">
        <v>19</v>
      </c>
      <c r="Q351" s="35">
        <v>20</v>
      </c>
      <c r="R351" s="35">
        <v>26</v>
      </c>
      <c r="S351" s="35">
        <v>20</v>
      </c>
      <c r="T351" s="35">
        <v>16</v>
      </c>
      <c r="U351" s="35">
        <v>8</v>
      </c>
      <c r="V351" s="35">
        <v>0</v>
      </c>
      <c r="W351" s="35">
        <v>444</v>
      </c>
    </row>
    <row r="352" spans="1:23" x14ac:dyDescent="0.4">
      <c r="A352" s="5" t="s">
        <v>641</v>
      </c>
      <c r="B352" s="35">
        <v>52</v>
      </c>
      <c r="C352" s="35">
        <v>43</v>
      </c>
      <c r="D352" s="35">
        <v>76</v>
      </c>
      <c r="E352" s="35">
        <v>60</v>
      </c>
      <c r="F352" s="35">
        <v>56</v>
      </c>
      <c r="G352" s="35">
        <v>57</v>
      </c>
      <c r="H352" s="35">
        <v>43</v>
      </c>
      <c r="I352" s="35">
        <v>50</v>
      </c>
      <c r="J352" s="35">
        <v>49</v>
      </c>
      <c r="K352" s="35"/>
      <c r="L352" s="35">
        <v>42</v>
      </c>
      <c r="M352" s="35">
        <v>44</v>
      </c>
      <c r="N352" s="35">
        <v>45</v>
      </c>
      <c r="O352" s="35">
        <v>50</v>
      </c>
      <c r="P352" s="35">
        <v>38</v>
      </c>
      <c r="Q352" s="35">
        <v>53</v>
      </c>
      <c r="R352" s="35">
        <v>43</v>
      </c>
      <c r="S352" s="35">
        <v>29</v>
      </c>
      <c r="T352" s="35">
        <v>28</v>
      </c>
      <c r="U352" s="35">
        <v>25</v>
      </c>
      <c r="V352" s="35">
        <v>0</v>
      </c>
      <c r="W352" s="35">
        <v>883</v>
      </c>
    </row>
    <row r="353" spans="1:23" x14ac:dyDescent="0.4">
      <c r="A353" s="5" t="s">
        <v>642</v>
      </c>
      <c r="B353" s="35">
        <v>27</v>
      </c>
      <c r="C353" s="35">
        <v>58</v>
      </c>
      <c r="D353" s="35">
        <v>49</v>
      </c>
      <c r="E353" s="35">
        <v>50</v>
      </c>
      <c r="F353" s="35">
        <v>60</v>
      </c>
      <c r="G353" s="35">
        <v>59</v>
      </c>
      <c r="H353" s="35">
        <v>35</v>
      </c>
      <c r="I353" s="35">
        <v>20</v>
      </c>
      <c r="J353" s="35">
        <v>35</v>
      </c>
      <c r="K353" s="35"/>
      <c r="L353" s="35">
        <v>25</v>
      </c>
      <c r="M353" s="35">
        <v>70</v>
      </c>
      <c r="N353" s="35">
        <v>42</v>
      </c>
      <c r="O353" s="35">
        <v>48</v>
      </c>
      <c r="P353" s="35">
        <v>44</v>
      </c>
      <c r="Q353" s="35">
        <v>36</v>
      </c>
      <c r="R353" s="35">
        <v>33</v>
      </c>
      <c r="S353" s="35">
        <v>36</v>
      </c>
      <c r="T353" s="35">
        <v>36</v>
      </c>
      <c r="U353" s="35">
        <v>70</v>
      </c>
      <c r="V353" s="35">
        <v>71</v>
      </c>
      <c r="W353" s="35">
        <v>904</v>
      </c>
    </row>
    <row r="354" spans="1:23" x14ac:dyDescent="0.4">
      <c r="A354" s="5" t="s">
        <v>643</v>
      </c>
      <c r="B354" s="35">
        <v>48</v>
      </c>
      <c r="C354" s="35">
        <v>41</v>
      </c>
      <c r="D354" s="35">
        <v>41</v>
      </c>
      <c r="E354" s="35">
        <v>33</v>
      </c>
      <c r="F354" s="35">
        <v>51</v>
      </c>
      <c r="G354" s="35">
        <v>40</v>
      </c>
      <c r="H354" s="35">
        <v>25</v>
      </c>
      <c r="I354" s="35">
        <v>46</v>
      </c>
      <c r="J354" s="35">
        <v>34</v>
      </c>
      <c r="K354" s="35"/>
      <c r="L354" s="35">
        <v>28</v>
      </c>
      <c r="M354" s="35">
        <v>44</v>
      </c>
      <c r="N354" s="35">
        <v>50</v>
      </c>
      <c r="O354" s="35">
        <v>38</v>
      </c>
      <c r="P354" s="35">
        <v>32</v>
      </c>
      <c r="Q354" s="35">
        <v>32</v>
      </c>
      <c r="R354" s="35">
        <v>49</v>
      </c>
      <c r="S354" s="35">
        <v>52</v>
      </c>
      <c r="T354" s="35">
        <v>55</v>
      </c>
      <c r="U354" s="35">
        <v>45</v>
      </c>
      <c r="V354" s="35">
        <v>50</v>
      </c>
      <c r="W354" s="35">
        <v>834</v>
      </c>
    </row>
    <row r="355" spans="1:23" x14ac:dyDescent="0.4">
      <c r="A355" s="5" t="s">
        <v>644</v>
      </c>
      <c r="B355" s="35">
        <v>31</v>
      </c>
      <c r="C355" s="35">
        <v>51</v>
      </c>
      <c r="D355" s="35">
        <v>53</v>
      </c>
      <c r="E355" s="35">
        <v>33</v>
      </c>
      <c r="F355" s="35">
        <v>49</v>
      </c>
      <c r="G355" s="35">
        <v>73</v>
      </c>
      <c r="H355" s="35">
        <v>28</v>
      </c>
      <c r="I355" s="35">
        <v>28</v>
      </c>
      <c r="J355" s="35">
        <v>24</v>
      </c>
      <c r="K355" s="35"/>
      <c r="L355" s="35">
        <v>29</v>
      </c>
      <c r="M355" s="35">
        <v>41</v>
      </c>
      <c r="N355" s="35">
        <v>31</v>
      </c>
      <c r="O355" s="35">
        <v>32</v>
      </c>
      <c r="P355" s="35">
        <v>40</v>
      </c>
      <c r="Q355" s="35">
        <v>17</v>
      </c>
      <c r="R355" s="35">
        <v>34</v>
      </c>
      <c r="S355" s="35">
        <v>23</v>
      </c>
      <c r="T355" s="35">
        <v>30</v>
      </c>
      <c r="U355" s="35">
        <v>15</v>
      </c>
      <c r="V355" s="35">
        <v>36</v>
      </c>
      <c r="W355" s="35">
        <v>698</v>
      </c>
    </row>
    <row r="356" spans="1:23" x14ac:dyDescent="0.4">
      <c r="A356" s="5" t="s">
        <v>645</v>
      </c>
      <c r="B356" s="35">
        <v>178</v>
      </c>
      <c r="C356" s="35">
        <v>163</v>
      </c>
      <c r="D356" s="35">
        <v>175</v>
      </c>
      <c r="E356" s="35">
        <v>142</v>
      </c>
      <c r="F356" s="35">
        <v>157</v>
      </c>
      <c r="G356" s="35">
        <v>182</v>
      </c>
      <c r="H356" s="35">
        <v>138</v>
      </c>
      <c r="I356" s="35">
        <v>176</v>
      </c>
      <c r="J356" s="35">
        <v>144</v>
      </c>
      <c r="K356" s="35"/>
      <c r="L356" s="35">
        <v>149</v>
      </c>
      <c r="M356" s="35">
        <v>131</v>
      </c>
      <c r="N356" s="35">
        <v>143</v>
      </c>
      <c r="O356" s="35">
        <v>158</v>
      </c>
      <c r="P356" s="35">
        <v>139</v>
      </c>
      <c r="Q356" s="35">
        <v>128</v>
      </c>
      <c r="R356" s="35">
        <v>143</v>
      </c>
      <c r="S356" s="35">
        <v>111</v>
      </c>
      <c r="T356" s="35">
        <v>144</v>
      </c>
      <c r="U356" s="35">
        <v>119</v>
      </c>
      <c r="V356" s="35">
        <v>158</v>
      </c>
      <c r="W356" s="35">
        <v>2978</v>
      </c>
    </row>
    <row r="357" spans="1:23" x14ac:dyDescent="0.4">
      <c r="A357" s="5" t="s">
        <v>646</v>
      </c>
      <c r="B357" s="35">
        <v>54</v>
      </c>
      <c r="C357" s="35">
        <v>53</v>
      </c>
      <c r="D357" s="35">
        <v>45</v>
      </c>
      <c r="E357" s="35">
        <v>63</v>
      </c>
      <c r="F357" s="35">
        <v>59</v>
      </c>
      <c r="G357" s="35">
        <v>65</v>
      </c>
      <c r="H357" s="35">
        <v>56</v>
      </c>
      <c r="I357" s="35">
        <v>47</v>
      </c>
      <c r="J357" s="35">
        <v>52</v>
      </c>
      <c r="K357" s="35"/>
      <c r="L357" s="35">
        <v>38</v>
      </c>
      <c r="M357" s="35">
        <v>40</v>
      </c>
      <c r="N357" s="35">
        <v>42</v>
      </c>
      <c r="O357" s="35">
        <v>57</v>
      </c>
      <c r="P357" s="35">
        <v>45</v>
      </c>
      <c r="Q357" s="35">
        <v>32</v>
      </c>
      <c r="R357" s="35">
        <v>26</v>
      </c>
      <c r="S357" s="35">
        <v>32</v>
      </c>
      <c r="T357" s="35">
        <v>39</v>
      </c>
      <c r="U357" s="35">
        <v>20</v>
      </c>
      <c r="V357" s="35">
        <v>0</v>
      </c>
      <c r="W357" s="35">
        <v>865</v>
      </c>
    </row>
    <row r="358" spans="1:23" x14ac:dyDescent="0.4">
      <c r="A358" s="5" t="s">
        <v>647</v>
      </c>
      <c r="B358" s="35">
        <v>57</v>
      </c>
      <c r="C358" s="35">
        <v>57</v>
      </c>
      <c r="D358" s="35">
        <v>57</v>
      </c>
      <c r="E358" s="35">
        <v>52</v>
      </c>
      <c r="F358" s="35">
        <v>52</v>
      </c>
      <c r="G358" s="35">
        <v>55</v>
      </c>
      <c r="H358" s="35">
        <v>48</v>
      </c>
      <c r="I358" s="35">
        <v>57</v>
      </c>
      <c r="J358" s="35">
        <v>55</v>
      </c>
      <c r="K358" s="35"/>
      <c r="L358" s="35">
        <v>57</v>
      </c>
      <c r="M358" s="35">
        <v>93</v>
      </c>
      <c r="N358" s="35">
        <v>54</v>
      </c>
      <c r="O358" s="35">
        <v>70</v>
      </c>
      <c r="P358" s="35">
        <v>66</v>
      </c>
      <c r="Q358" s="35">
        <v>61</v>
      </c>
      <c r="R358" s="35">
        <v>64</v>
      </c>
      <c r="S358" s="35">
        <v>61</v>
      </c>
      <c r="T358" s="35">
        <v>49</v>
      </c>
      <c r="U358" s="35">
        <v>90</v>
      </c>
      <c r="V358" s="35">
        <v>73</v>
      </c>
      <c r="W358" s="35">
        <v>1228</v>
      </c>
    </row>
    <row r="359" spans="1:23" x14ac:dyDescent="0.4">
      <c r="A359" s="5" t="s">
        <v>648</v>
      </c>
      <c r="B359" s="35">
        <v>124</v>
      </c>
      <c r="C359" s="35">
        <v>143</v>
      </c>
      <c r="D359" s="35">
        <v>146</v>
      </c>
      <c r="E359" s="35">
        <v>111</v>
      </c>
      <c r="F359" s="35">
        <v>51</v>
      </c>
      <c r="G359" s="35">
        <v>136</v>
      </c>
      <c r="H359" s="35">
        <v>108</v>
      </c>
      <c r="I359" s="35">
        <v>92</v>
      </c>
      <c r="J359" s="35">
        <v>117</v>
      </c>
      <c r="K359" s="35"/>
      <c r="L359" s="35">
        <v>112</v>
      </c>
      <c r="M359" s="35">
        <v>125</v>
      </c>
      <c r="N359" s="35">
        <v>114</v>
      </c>
      <c r="O359" s="35">
        <v>111</v>
      </c>
      <c r="P359" s="35">
        <v>113</v>
      </c>
      <c r="Q359" s="35">
        <v>126</v>
      </c>
      <c r="R359" s="35">
        <v>133</v>
      </c>
      <c r="S359" s="35">
        <v>102</v>
      </c>
      <c r="T359" s="35">
        <v>117</v>
      </c>
      <c r="U359" s="35">
        <v>92</v>
      </c>
      <c r="V359" s="35">
        <v>103</v>
      </c>
      <c r="W359" s="35">
        <v>2276</v>
      </c>
    </row>
    <row r="360" spans="1:23" x14ac:dyDescent="0.4">
      <c r="A360" s="5" t="s">
        <v>649</v>
      </c>
      <c r="B360" s="35">
        <v>114</v>
      </c>
      <c r="C360" s="35">
        <v>114</v>
      </c>
      <c r="D360" s="35">
        <v>123</v>
      </c>
      <c r="E360" s="35">
        <v>127</v>
      </c>
      <c r="F360" s="35">
        <v>109</v>
      </c>
      <c r="G360" s="35">
        <v>99</v>
      </c>
      <c r="H360" s="35">
        <v>133</v>
      </c>
      <c r="I360" s="35">
        <v>103</v>
      </c>
      <c r="J360" s="35">
        <v>119</v>
      </c>
      <c r="K360" s="35"/>
      <c r="L360" s="35">
        <v>102</v>
      </c>
      <c r="M360" s="35">
        <v>119</v>
      </c>
      <c r="N360" s="35">
        <v>99</v>
      </c>
      <c r="O360" s="35">
        <v>120</v>
      </c>
      <c r="P360" s="35">
        <v>127</v>
      </c>
      <c r="Q360" s="35">
        <v>115</v>
      </c>
      <c r="R360" s="35">
        <v>116</v>
      </c>
      <c r="S360" s="35">
        <v>116</v>
      </c>
      <c r="T360" s="35">
        <v>107</v>
      </c>
      <c r="U360" s="35">
        <v>112</v>
      </c>
      <c r="V360" s="35">
        <v>109</v>
      </c>
      <c r="W360" s="35">
        <v>2283</v>
      </c>
    </row>
    <row r="361" spans="1:23" x14ac:dyDescent="0.4">
      <c r="A361" s="5" t="s">
        <v>650</v>
      </c>
      <c r="B361" s="35">
        <v>424</v>
      </c>
      <c r="C361" s="35">
        <v>425</v>
      </c>
      <c r="D361" s="35">
        <v>485</v>
      </c>
      <c r="E361" s="35">
        <v>505</v>
      </c>
      <c r="F361" s="35">
        <v>541</v>
      </c>
      <c r="G361" s="35">
        <v>580</v>
      </c>
      <c r="H361" s="35">
        <v>406</v>
      </c>
      <c r="I361" s="35">
        <v>396</v>
      </c>
      <c r="J361" s="35">
        <v>340</v>
      </c>
      <c r="K361" s="35"/>
      <c r="L361" s="35">
        <v>401</v>
      </c>
      <c r="M361" s="35">
        <v>378</v>
      </c>
      <c r="N361" s="35">
        <v>477</v>
      </c>
      <c r="O361" s="35">
        <v>471</v>
      </c>
      <c r="P361" s="35">
        <v>438</v>
      </c>
      <c r="Q361" s="35">
        <v>459</v>
      </c>
      <c r="R361" s="35">
        <v>481</v>
      </c>
      <c r="S361" s="35">
        <v>423</v>
      </c>
      <c r="T361" s="35">
        <v>397</v>
      </c>
      <c r="U361" s="35">
        <v>447</v>
      </c>
      <c r="V361" s="35">
        <v>477</v>
      </c>
      <c r="W361" s="35">
        <v>8951</v>
      </c>
    </row>
    <row r="362" spans="1:23" x14ac:dyDescent="0.4">
      <c r="A362" s="5" t="s">
        <v>651</v>
      </c>
      <c r="B362" s="35">
        <v>110</v>
      </c>
      <c r="C362" s="35">
        <v>110</v>
      </c>
      <c r="D362" s="35">
        <v>121</v>
      </c>
      <c r="E362" s="35">
        <v>94</v>
      </c>
      <c r="F362" s="35">
        <v>122</v>
      </c>
      <c r="G362" s="35">
        <v>153</v>
      </c>
      <c r="H362" s="35">
        <v>116</v>
      </c>
      <c r="I362" s="35">
        <v>122</v>
      </c>
      <c r="J362" s="35">
        <v>87</v>
      </c>
      <c r="K362" s="35"/>
      <c r="L362" s="35">
        <v>143</v>
      </c>
      <c r="M362" s="35">
        <v>114</v>
      </c>
      <c r="N362" s="35">
        <v>124</v>
      </c>
      <c r="O362" s="35">
        <v>113</v>
      </c>
      <c r="P362" s="35">
        <v>131</v>
      </c>
      <c r="Q362" s="35">
        <v>159</v>
      </c>
      <c r="R362" s="35">
        <v>134</v>
      </c>
      <c r="S362" s="35">
        <v>141</v>
      </c>
      <c r="T362" s="35">
        <v>131</v>
      </c>
      <c r="U362" s="35">
        <v>150</v>
      </c>
      <c r="V362" s="35">
        <v>147</v>
      </c>
      <c r="W362" s="35">
        <v>2522</v>
      </c>
    </row>
    <row r="363" spans="1:23" x14ac:dyDescent="0.4">
      <c r="A363" s="5" t="s">
        <v>652</v>
      </c>
      <c r="B363" s="35">
        <v>1692</v>
      </c>
      <c r="C363" s="35">
        <v>1834</v>
      </c>
      <c r="D363" s="35">
        <v>1738</v>
      </c>
      <c r="E363" s="35">
        <v>1716</v>
      </c>
      <c r="F363" s="35">
        <v>1617</v>
      </c>
      <c r="G363" s="35">
        <v>1459</v>
      </c>
      <c r="H363" s="35">
        <v>1707</v>
      </c>
      <c r="I363" s="35">
        <v>1664</v>
      </c>
      <c r="J363" s="35">
        <v>1588</v>
      </c>
      <c r="K363" s="35"/>
      <c r="L363" s="35">
        <v>1464</v>
      </c>
      <c r="M363" s="35">
        <v>1480</v>
      </c>
      <c r="N363" s="35">
        <v>1471</v>
      </c>
      <c r="O363" s="35">
        <v>1468</v>
      </c>
      <c r="P363" s="35">
        <v>1418</v>
      </c>
      <c r="Q363" s="35">
        <v>1363</v>
      </c>
      <c r="R363" s="35">
        <v>1372</v>
      </c>
      <c r="S363" s="35">
        <v>1274</v>
      </c>
      <c r="T363" s="35">
        <v>1218</v>
      </c>
      <c r="U363" s="35">
        <v>1239</v>
      </c>
      <c r="V363" s="35">
        <v>1227</v>
      </c>
      <c r="W363" s="35">
        <v>30009</v>
      </c>
    </row>
    <row r="364" spans="1:23" x14ac:dyDescent="0.4">
      <c r="A364" s="5" t="s">
        <v>760</v>
      </c>
      <c r="B364" s="35">
        <v>0</v>
      </c>
      <c r="C364" s="35">
        <v>0</v>
      </c>
      <c r="D364" s="35">
        <v>0</v>
      </c>
      <c r="E364" s="35">
        <v>0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/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855</v>
      </c>
      <c r="S364" s="35">
        <v>1579</v>
      </c>
      <c r="T364" s="35">
        <v>0</v>
      </c>
      <c r="U364" s="35">
        <v>0</v>
      </c>
      <c r="V364" s="35">
        <v>0</v>
      </c>
      <c r="W364" s="35">
        <v>2434</v>
      </c>
    </row>
    <row r="365" spans="1:23" x14ac:dyDescent="0.4">
      <c r="A365" s="5" t="s">
        <v>653</v>
      </c>
      <c r="B365" s="35">
        <v>155</v>
      </c>
      <c r="C365" s="35">
        <v>144</v>
      </c>
      <c r="D365" s="35">
        <v>136</v>
      </c>
      <c r="E365" s="35">
        <v>150</v>
      </c>
      <c r="F365" s="35">
        <v>159</v>
      </c>
      <c r="G365" s="35">
        <v>179</v>
      </c>
      <c r="H365" s="35">
        <v>145</v>
      </c>
      <c r="I365" s="35">
        <v>131</v>
      </c>
      <c r="J365" s="35">
        <v>171</v>
      </c>
      <c r="K365" s="35"/>
      <c r="L365" s="35">
        <v>108</v>
      </c>
      <c r="M365" s="35">
        <v>104</v>
      </c>
      <c r="N365" s="35">
        <v>109</v>
      </c>
      <c r="O365" s="35">
        <v>110</v>
      </c>
      <c r="P365" s="35">
        <v>109</v>
      </c>
      <c r="Q365" s="35">
        <v>130</v>
      </c>
      <c r="R365" s="35">
        <v>0</v>
      </c>
      <c r="S365" s="35">
        <v>0</v>
      </c>
      <c r="T365" s="35">
        <v>0</v>
      </c>
      <c r="U365" s="35">
        <v>0</v>
      </c>
      <c r="V365" s="35">
        <v>0</v>
      </c>
      <c r="W365" s="35">
        <v>2040</v>
      </c>
    </row>
    <row r="366" spans="1:23" x14ac:dyDescent="0.4">
      <c r="A366" s="5" t="s">
        <v>654</v>
      </c>
      <c r="B366" s="35">
        <v>90</v>
      </c>
      <c r="C366" s="35">
        <v>166</v>
      </c>
      <c r="D366" s="35">
        <v>164</v>
      </c>
      <c r="E366" s="35">
        <v>152</v>
      </c>
      <c r="F366" s="35">
        <v>176</v>
      </c>
      <c r="G366" s="35">
        <v>209</v>
      </c>
      <c r="H366" s="35">
        <v>111</v>
      </c>
      <c r="I366" s="35">
        <v>127</v>
      </c>
      <c r="J366" s="35">
        <v>155</v>
      </c>
      <c r="K366" s="35"/>
      <c r="L366" s="35">
        <v>119</v>
      </c>
      <c r="M366" s="35">
        <v>86</v>
      </c>
      <c r="N366" s="35">
        <v>89</v>
      </c>
      <c r="O366" s="35">
        <v>111</v>
      </c>
      <c r="P366" s="35">
        <v>83</v>
      </c>
      <c r="Q366" s="35">
        <v>115</v>
      </c>
      <c r="R366" s="35">
        <v>0</v>
      </c>
      <c r="S366" s="35">
        <v>0</v>
      </c>
      <c r="T366" s="35">
        <v>0</v>
      </c>
      <c r="U366" s="35">
        <v>0</v>
      </c>
      <c r="V366" s="35">
        <v>0</v>
      </c>
      <c r="W366" s="35">
        <v>1953</v>
      </c>
    </row>
    <row r="367" spans="1:23" x14ac:dyDescent="0.4">
      <c r="A367" s="5" t="s">
        <v>655</v>
      </c>
      <c r="B367" s="35">
        <v>194</v>
      </c>
      <c r="C367" s="35">
        <v>196</v>
      </c>
      <c r="D367" s="35">
        <v>259</v>
      </c>
      <c r="E367" s="35">
        <v>536</v>
      </c>
      <c r="F367" s="35">
        <v>526</v>
      </c>
      <c r="G367" s="35">
        <v>164</v>
      </c>
      <c r="H367" s="35">
        <v>117</v>
      </c>
      <c r="I367" s="35">
        <v>134</v>
      </c>
      <c r="J367" s="35">
        <v>113</v>
      </c>
      <c r="K367" s="35"/>
      <c r="L367" s="35">
        <v>94</v>
      </c>
      <c r="M367" s="35">
        <v>185</v>
      </c>
      <c r="N367" s="35">
        <v>95</v>
      </c>
      <c r="O367" s="35">
        <v>136</v>
      </c>
      <c r="P367" s="35">
        <v>43</v>
      </c>
      <c r="Q367" s="35">
        <v>185</v>
      </c>
      <c r="R367" s="35">
        <v>0</v>
      </c>
      <c r="S367" s="35">
        <v>0</v>
      </c>
      <c r="T367" s="35">
        <v>0</v>
      </c>
      <c r="U367" s="35">
        <v>0</v>
      </c>
      <c r="V367" s="35">
        <v>0</v>
      </c>
      <c r="W367" s="35">
        <v>2977</v>
      </c>
    </row>
    <row r="368" spans="1:23" x14ac:dyDescent="0.4">
      <c r="A368" s="5" t="s">
        <v>656</v>
      </c>
      <c r="B368" s="35">
        <v>23</v>
      </c>
      <c r="C368" s="35">
        <v>19</v>
      </c>
      <c r="D368" s="35">
        <v>28</v>
      </c>
      <c r="E368" s="35">
        <v>34</v>
      </c>
      <c r="F368" s="35">
        <v>27</v>
      </c>
      <c r="G368" s="35">
        <v>43</v>
      </c>
      <c r="H368" s="35">
        <v>32</v>
      </c>
      <c r="I368" s="35">
        <v>21</v>
      </c>
      <c r="J368" s="35">
        <v>0</v>
      </c>
      <c r="K368" s="35"/>
      <c r="L368" s="35">
        <v>0</v>
      </c>
      <c r="M368" s="35">
        <v>20</v>
      </c>
      <c r="N368" s="35">
        <v>15</v>
      </c>
      <c r="O368" s="35">
        <v>17</v>
      </c>
      <c r="P368" s="35">
        <v>20</v>
      </c>
      <c r="Q368" s="35">
        <v>22</v>
      </c>
      <c r="R368" s="35">
        <v>0</v>
      </c>
      <c r="S368" s="35">
        <v>0</v>
      </c>
      <c r="T368" s="35">
        <v>0</v>
      </c>
      <c r="U368" s="35">
        <v>0</v>
      </c>
      <c r="V368" s="35">
        <v>0</v>
      </c>
      <c r="W368" s="35">
        <v>321</v>
      </c>
    </row>
    <row r="369" spans="1:23" x14ac:dyDescent="0.4">
      <c r="A369" s="5" t="s">
        <v>657</v>
      </c>
      <c r="B369" s="35">
        <v>264</v>
      </c>
      <c r="C369" s="35">
        <v>276</v>
      </c>
      <c r="D369" s="35">
        <v>299</v>
      </c>
      <c r="E369" s="35">
        <v>306</v>
      </c>
      <c r="F369" s="35">
        <v>310</v>
      </c>
      <c r="G369" s="35">
        <v>371</v>
      </c>
      <c r="H369" s="35">
        <v>368</v>
      </c>
      <c r="I369" s="35">
        <v>358</v>
      </c>
      <c r="J369" s="35">
        <v>327</v>
      </c>
      <c r="K369" s="35"/>
      <c r="L369" s="35">
        <v>260</v>
      </c>
      <c r="M369" s="35">
        <v>194</v>
      </c>
      <c r="N369" s="35">
        <v>275</v>
      </c>
      <c r="O369" s="35">
        <v>279</v>
      </c>
      <c r="P369" s="35">
        <v>291</v>
      </c>
      <c r="Q369" s="35">
        <v>202</v>
      </c>
      <c r="R369" s="35">
        <v>0</v>
      </c>
      <c r="S369" s="35">
        <v>0</v>
      </c>
      <c r="T369" s="35">
        <v>0</v>
      </c>
      <c r="U369" s="35">
        <v>0</v>
      </c>
      <c r="V369" s="35">
        <v>0</v>
      </c>
      <c r="W369" s="35">
        <v>4380</v>
      </c>
    </row>
    <row r="370" spans="1:23" x14ac:dyDescent="0.4">
      <c r="A370" s="5" t="s">
        <v>658</v>
      </c>
      <c r="B370" s="35">
        <v>4</v>
      </c>
      <c r="C370" s="35">
        <v>17</v>
      </c>
      <c r="D370" s="35">
        <v>12</v>
      </c>
      <c r="E370" s="35">
        <v>14</v>
      </c>
      <c r="F370" s="35">
        <v>16</v>
      </c>
      <c r="G370" s="35">
        <v>48</v>
      </c>
      <c r="H370" s="35">
        <v>3</v>
      </c>
      <c r="I370" s="35">
        <v>5</v>
      </c>
      <c r="J370" s="35">
        <v>6</v>
      </c>
      <c r="K370" s="35"/>
      <c r="L370" s="35">
        <v>1</v>
      </c>
      <c r="M370" s="35">
        <v>5</v>
      </c>
      <c r="N370" s="35">
        <v>3</v>
      </c>
      <c r="O370" s="35">
        <v>23</v>
      </c>
      <c r="P370" s="35">
        <v>7</v>
      </c>
      <c r="Q370" s="35">
        <v>8</v>
      </c>
      <c r="R370" s="35">
        <v>0</v>
      </c>
      <c r="S370" s="35">
        <v>0</v>
      </c>
      <c r="T370" s="35">
        <v>0</v>
      </c>
      <c r="U370" s="35">
        <v>0</v>
      </c>
      <c r="V370" s="35">
        <v>0</v>
      </c>
      <c r="W370" s="35">
        <v>172</v>
      </c>
    </row>
    <row r="371" spans="1:23" x14ac:dyDescent="0.4">
      <c r="A371" s="5" t="s">
        <v>659</v>
      </c>
      <c r="B371" s="35">
        <v>564</v>
      </c>
      <c r="C371" s="35">
        <v>582</v>
      </c>
      <c r="D371" s="35">
        <v>625</v>
      </c>
      <c r="E371" s="35">
        <v>572</v>
      </c>
      <c r="F371" s="35">
        <v>675</v>
      </c>
      <c r="G371" s="35">
        <v>653</v>
      </c>
      <c r="H371" s="35">
        <v>478</v>
      </c>
      <c r="I371" s="35">
        <v>376</v>
      </c>
      <c r="J371" s="35">
        <v>316</v>
      </c>
      <c r="K371" s="35"/>
      <c r="L371" s="35">
        <v>294</v>
      </c>
      <c r="M371" s="35">
        <v>310</v>
      </c>
      <c r="N371" s="35">
        <v>297</v>
      </c>
      <c r="O371" s="35">
        <v>319</v>
      </c>
      <c r="P371" s="35">
        <v>395</v>
      </c>
      <c r="Q371" s="35">
        <v>263</v>
      </c>
      <c r="R371" s="35">
        <v>0</v>
      </c>
      <c r="S371" s="35">
        <v>0</v>
      </c>
      <c r="T371" s="35">
        <v>0</v>
      </c>
      <c r="U371" s="35">
        <v>0</v>
      </c>
      <c r="V371" s="35">
        <v>0</v>
      </c>
      <c r="W371" s="35">
        <v>6719</v>
      </c>
    </row>
    <row r="372" spans="1:23" x14ac:dyDescent="0.4">
      <c r="A372" s="5" t="s">
        <v>660</v>
      </c>
      <c r="B372" s="35">
        <v>98</v>
      </c>
      <c r="C372" s="35">
        <v>109</v>
      </c>
      <c r="D372" s="35">
        <v>107</v>
      </c>
      <c r="E372" s="35">
        <v>101</v>
      </c>
      <c r="F372" s="35">
        <v>132</v>
      </c>
      <c r="G372" s="35">
        <v>141</v>
      </c>
      <c r="H372" s="35">
        <v>94</v>
      </c>
      <c r="I372" s="35">
        <v>114</v>
      </c>
      <c r="J372" s="35">
        <v>84</v>
      </c>
      <c r="K372" s="35"/>
      <c r="L372" s="35">
        <v>120</v>
      </c>
      <c r="M372" s="35">
        <v>99</v>
      </c>
      <c r="N372" s="35">
        <v>69</v>
      </c>
      <c r="O372" s="35">
        <v>65</v>
      </c>
      <c r="P372" s="35">
        <v>72</v>
      </c>
      <c r="Q372" s="35">
        <v>54</v>
      </c>
      <c r="R372" s="35">
        <v>0</v>
      </c>
      <c r="S372" s="35">
        <v>0</v>
      </c>
      <c r="T372" s="35">
        <v>0</v>
      </c>
      <c r="U372" s="35">
        <v>0</v>
      </c>
      <c r="V372" s="35">
        <v>0</v>
      </c>
      <c r="W372" s="35">
        <v>1459</v>
      </c>
    </row>
    <row r="373" spans="1:23" x14ac:dyDescent="0.4">
      <c r="A373" s="5" t="s">
        <v>661</v>
      </c>
      <c r="B373" s="35">
        <v>366</v>
      </c>
      <c r="C373" s="35">
        <v>467</v>
      </c>
      <c r="D373" s="35">
        <v>334</v>
      </c>
      <c r="E373" s="35">
        <v>142</v>
      </c>
      <c r="F373" s="35">
        <v>157</v>
      </c>
      <c r="G373" s="35">
        <v>620</v>
      </c>
      <c r="H373" s="35">
        <v>481</v>
      </c>
      <c r="I373" s="35">
        <v>442</v>
      </c>
      <c r="J373" s="35">
        <v>463</v>
      </c>
      <c r="K373" s="35"/>
      <c r="L373" s="35">
        <v>566</v>
      </c>
      <c r="M373" s="35">
        <v>414</v>
      </c>
      <c r="N373" s="35">
        <v>594</v>
      </c>
      <c r="O373" s="35">
        <v>532</v>
      </c>
      <c r="P373" s="35">
        <v>541</v>
      </c>
      <c r="Q373" s="35">
        <v>321</v>
      </c>
      <c r="R373" s="35">
        <v>0</v>
      </c>
      <c r="S373" s="35">
        <v>0</v>
      </c>
      <c r="T373" s="35">
        <v>0</v>
      </c>
      <c r="U373" s="35">
        <v>0</v>
      </c>
      <c r="V373" s="35">
        <v>0</v>
      </c>
      <c r="W373" s="35">
        <v>6440</v>
      </c>
    </row>
    <row r="374" spans="1:23" x14ac:dyDescent="0.4">
      <c r="A374" s="5" t="s">
        <v>662</v>
      </c>
      <c r="B374" s="35">
        <v>68</v>
      </c>
      <c r="C374" s="35">
        <v>103</v>
      </c>
      <c r="D374" s="35">
        <v>78</v>
      </c>
      <c r="E374" s="35">
        <v>63</v>
      </c>
      <c r="F374" s="35">
        <v>82</v>
      </c>
      <c r="G374" s="35">
        <v>82</v>
      </c>
      <c r="H374" s="35">
        <v>77</v>
      </c>
      <c r="I374" s="35">
        <v>69</v>
      </c>
      <c r="J374" s="35">
        <v>52</v>
      </c>
      <c r="K374" s="35"/>
      <c r="L374" s="35">
        <v>49</v>
      </c>
      <c r="M374" s="35">
        <v>45</v>
      </c>
      <c r="N374" s="35">
        <v>46</v>
      </c>
      <c r="O374" s="35">
        <v>47</v>
      </c>
      <c r="P374" s="35">
        <v>46</v>
      </c>
      <c r="Q374" s="35">
        <v>47</v>
      </c>
      <c r="R374" s="35">
        <v>0</v>
      </c>
      <c r="S374" s="35">
        <v>0</v>
      </c>
      <c r="T374" s="35">
        <v>0</v>
      </c>
      <c r="U374" s="35">
        <v>0</v>
      </c>
      <c r="V374" s="35">
        <v>0</v>
      </c>
      <c r="W374" s="35">
        <v>954</v>
      </c>
    </row>
    <row r="375" spans="1:23" x14ac:dyDescent="0.4">
      <c r="A375" s="5" t="s">
        <v>663</v>
      </c>
      <c r="B375" s="35">
        <v>107</v>
      </c>
      <c r="C375" s="35">
        <v>116</v>
      </c>
      <c r="D375" s="35">
        <v>135</v>
      </c>
      <c r="E375" s="35">
        <v>178</v>
      </c>
      <c r="F375" s="35">
        <v>194</v>
      </c>
      <c r="G375" s="35">
        <v>163</v>
      </c>
      <c r="H375" s="35">
        <v>76</v>
      </c>
      <c r="I375" s="35">
        <v>107</v>
      </c>
      <c r="J375" s="35">
        <v>91</v>
      </c>
      <c r="K375" s="35"/>
      <c r="L375" s="35">
        <v>22</v>
      </c>
      <c r="M375" s="35">
        <v>130</v>
      </c>
      <c r="N375" s="35">
        <v>89</v>
      </c>
      <c r="O375" s="35">
        <v>85</v>
      </c>
      <c r="P375" s="35">
        <v>55</v>
      </c>
      <c r="Q375" s="35">
        <v>56</v>
      </c>
      <c r="R375" s="35">
        <v>0</v>
      </c>
      <c r="S375" s="35">
        <v>0</v>
      </c>
      <c r="T375" s="35">
        <v>0</v>
      </c>
      <c r="U375" s="35">
        <v>0</v>
      </c>
      <c r="V375" s="35">
        <v>0</v>
      </c>
      <c r="W375" s="35">
        <v>1604</v>
      </c>
    </row>
    <row r="376" spans="1:23" x14ac:dyDescent="0.4">
      <c r="A376" s="5" t="s">
        <v>664</v>
      </c>
      <c r="B376" s="35">
        <v>43</v>
      </c>
      <c r="C376" s="35">
        <v>52</v>
      </c>
      <c r="D376" s="35">
        <v>44</v>
      </c>
      <c r="E376" s="35">
        <v>53</v>
      </c>
      <c r="F376" s="35">
        <v>59</v>
      </c>
      <c r="G376" s="35">
        <v>61</v>
      </c>
      <c r="H376" s="35">
        <v>42</v>
      </c>
      <c r="I376" s="35">
        <v>64</v>
      </c>
      <c r="J376" s="35">
        <v>58</v>
      </c>
      <c r="K376" s="35"/>
      <c r="L376" s="35">
        <v>37</v>
      </c>
      <c r="M376" s="35">
        <v>40</v>
      </c>
      <c r="N376" s="35">
        <v>46</v>
      </c>
      <c r="O376" s="35">
        <v>76</v>
      </c>
      <c r="P376" s="35">
        <v>45</v>
      </c>
      <c r="Q376" s="35">
        <v>32</v>
      </c>
      <c r="R376" s="35">
        <v>37</v>
      </c>
      <c r="S376" s="35">
        <v>21</v>
      </c>
      <c r="T376" s="35">
        <v>30</v>
      </c>
      <c r="U376" s="35">
        <v>37</v>
      </c>
      <c r="V376" s="35">
        <v>39</v>
      </c>
      <c r="W376" s="35">
        <v>916</v>
      </c>
    </row>
    <row r="377" spans="1:23" x14ac:dyDescent="0.4">
      <c r="A377" s="5" t="s">
        <v>665</v>
      </c>
      <c r="B377" s="35">
        <v>83</v>
      </c>
      <c r="C377" s="35">
        <v>94</v>
      </c>
      <c r="D377" s="35">
        <v>82</v>
      </c>
      <c r="E377" s="35">
        <v>78</v>
      </c>
      <c r="F377" s="35">
        <v>94</v>
      </c>
      <c r="G377" s="35">
        <v>118</v>
      </c>
      <c r="H377" s="35">
        <v>76</v>
      </c>
      <c r="I377" s="35">
        <v>99</v>
      </c>
      <c r="J377" s="35">
        <v>74</v>
      </c>
      <c r="K377" s="35"/>
      <c r="L377" s="35">
        <v>67</v>
      </c>
      <c r="M377" s="35">
        <v>59</v>
      </c>
      <c r="N377" s="35">
        <v>94</v>
      </c>
      <c r="O377" s="35">
        <v>80</v>
      </c>
      <c r="P377" s="35">
        <v>76</v>
      </c>
      <c r="Q377" s="35">
        <v>76</v>
      </c>
      <c r="R377" s="35">
        <v>92</v>
      </c>
      <c r="S377" s="35">
        <v>89</v>
      </c>
      <c r="T377" s="35">
        <v>62</v>
      </c>
      <c r="U377" s="35">
        <v>61</v>
      </c>
      <c r="V377" s="35">
        <v>73</v>
      </c>
      <c r="W377" s="35">
        <v>1627</v>
      </c>
    </row>
    <row r="378" spans="1:23" x14ac:dyDescent="0.4">
      <c r="A378" s="5" t="s">
        <v>666</v>
      </c>
      <c r="B378" s="35">
        <v>212</v>
      </c>
      <c r="C378" s="35">
        <v>202</v>
      </c>
      <c r="D378" s="35">
        <v>214</v>
      </c>
      <c r="E378" s="35">
        <v>214</v>
      </c>
      <c r="F378" s="35">
        <v>213</v>
      </c>
      <c r="G378" s="35">
        <v>274</v>
      </c>
      <c r="H378" s="35">
        <v>207</v>
      </c>
      <c r="I378" s="35">
        <v>239</v>
      </c>
      <c r="J378" s="35">
        <v>218</v>
      </c>
      <c r="K378" s="35"/>
      <c r="L378" s="35">
        <v>158</v>
      </c>
      <c r="M378" s="35">
        <v>167</v>
      </c>
      <c r="N378" s="35">
        <v>199</v>
      </c>
      <c r="O378" s="35">
        <v>238</v>
      </c>
      <c r="P378" s="35">
        <v>178</v>
      </c>
      <c r="Q378" s="35">
        <v>198</v>
      </c>
      <c r="R378" s="35">
        <v>184</v>
      </c>
      <c r="S378" s="35">
        <v>188</v>
      </c>
      <c r="T378" s="35">
        <v>159</v>
      </c>
      <c r="U378" s="35">
        <v>208</v>
      </c>
      <c r="V378" s="35">
        <v>173</v>
      </c>
      <c r="W378" s="35">
        <v>4043</v>
      </c>
    </row>
    <row r="379" spans="1:23" x14ac:dyDescent="0.4">
      <c r="A379" s="5" t="s">
        <v>667</v>
      </c>
      <c r="B379" s="35">
        <v>81</v>
      </c>
      <c r="C379" s="35">
        <v>76</v>
      </c>
      <c r="D379" s="35">
        <v>73</v>
      </c>
      <c r="E379" s="35">
        <v>91</v>
      </c>
      <c r="F379" s="35">
        <v>100</v>
      </c>
      <c r="G379" s="35">
        <v>103</v>
      </c>
      <c r="H379" s="35">
        <v>76</v>
      </c>
      <c r="I379" s="35">
        <v>99</v>
      </c>
      <c r="J379" s="35">
        <v>80</v>
      </c>
      <c r="K379" s="35"/>
      <c r="L379" s="35">
        <v>110</v>
      </c>
      <c r="M379" s="35">
        <v>80</v>
      </c>
      <c r="N379" s="35">
        <v>82</v>
      </c>
      <c r="O379" s="35">
        <v>89</v>
      </c>
      <c r="P379" s="35">
        <v>81</v>
      </c>
      <c r="Q379" s="35">
        <v>57</v>
      </c>
      <c r="R379" s="35">
        <v>80</v>
      </c>
      <c r="S379" s="35">
        <v>53</v>
      </c>
      <c r="T379" s="35">
        <v>80</v>
      </c>
      <c r="U379" s="35">
        <v>71</v>
      </c>
      <c r="V379" s="35">
        <v>68</v>
      </c>
      <c r="W379" s="35">
        <v>1630</v>
      </c>
    </row>
    <row r="380" spans="1:23" x14ac:dyDescent="0.4">
      <c r="A380" s="5" t="s">
        <v>668</v>
      </c>
      <c r="B380" s="35">
        <v>111</v>
      </c>
      <c r="C380" s="35">
        <v>134</v>
      </c>
      <c r="D380" s="35">
        <v>142</v>
      </c>
      <c r="E380" s="35">
        <v>157</v>
      </c>
      <c r="F380" s="35">
        <v>151</v>
      </c>
      <c r="G380" s="35">
        <v>171</v>
      </c>
      <c r="H380" s="35">
        <v>144</v>
      </c>
      <c r="I380" s="35">
        <v>133</v>
      </c>
      <c r="J380" s="35">
        <v>133</v>
      </c>
      <c r="K380" s="35"/>
      <c r="L380" s="35">
        <v>88</v>
      </c>
      <c r="M380" s="35">
        <v>74</v>
      </c>
      <c r="N380" s="35">
        <v>94</v>
      </c>
      <c r="O380" s="35">
        <v>86</v>
      </c>
      <c r="P380" s="35">
        <v>67</v>
      </c>
      <c r="Q380" s="35">
        <v>70</v>
      </c>
      <c r="R380" s="35">
        <v>75</v>
      </c>
      <c r="S380" s="35">
        <v>69</v>
      </c>
      <c r="T380" s="35">
        <v>77</v>
      </c>
      <c r="U380" s="35">
        <v>50</v>
      </c>
      <c r="V380" s="35">
        <v>65</v>
      </c>
      <c r="W380" s="35">
        <v>2091</v>
      </c>
    </row>
    <row r="381" spans="1:23" x14ac:dyDescent="0.4">
      <c r="A381" s="5" t="s">
        <v>669</v>
      </c>
      <c r="B381" s="35">
        <v>44</v>
      </c>
      <c r="C381" s="35">
        <v>39</v>
      </c>
      <c r="D381" s="35">
        <v>36</v>
      </c>
      <c r="E381" s="35">
        <v>44</v>
      </c>
      <c r="F381" s="35">
        <v>52</v>
      </c>
      <c r="G381" s="35">
        <v>82</v>
      </c>
      <c r="H381" s="35">
        <v>35</v>
      </c>
      <c r="I381" s="35">
        <v>32</v>
      </c>
      <c r="J381" s="35">
        <v>33</v>
      </c>
      <c r="K381" s="35"/>
      <c r="L381" s="35">
        <v>38</v>
      </c>
      <c r="M381" s="35">
        <v>36</v>
      </c>
      <c r="N381" s="35">
        <v>36</v>
      </c>
      <c r="O381" s="35">
        <v>37</v>
      </c>
      <c r="P381" s="35">
        <v>28</v>
      </c>
      <c r="Q381" s="35">
        <v>44</v>
      </c>
      <c r="R381" s="35">
        <v>24</v>
      </c>
      <c r="S381" s="35">
        <v>27</v>
      </c>
      <c r="T381" s="35">
        <v>34</v>
      </c>
      <c r="U381" s="35">
        <v>25</v>
      </c>
      <c r="V381" s="35">
        <v>28</v>
      </c>
      <c r="W381" s="35">
        <v>754</v>
      </c>
    </row>
    <row r="382" spans="1:23" x14ac:dyDescent="0.4">
      <c r="A382" s="5" t="s">
        <v>670</v>
      </c>
      <c r="B382" s="35">
        <v>35</v>
      </c>
      <c r="C382" s="35">
        <v>29</v>
      </c>
      <c r="D382" s="35">
        <v>33</v>
      </c>
      <c r="E382" s="35">
        <v>38</v>
      </c>
      <c r="F382" s="35">
        <v>38</v>
      </c>
      <c r="G382" s="35">
        <v>39</v>
      </c>
      <c r="H382" s="35">
        <v>35</v>
      </c>
      <c r="I382" s="35">
        <v>31</v>
      </c>
      <c r="J382" s="35">
        <v>37</v>
      </c>
      <c r="K382" s="35"/>
      <c r="L382" s="35">
        <v>30</v>
      </c>
      <c r="M382" s="35">
        <v>25</v>
      </c>
      <c r="N382" s="35">
        <v>24</v>
      </c>
      <c r="O382" s="35">
        <v>0</v>
      </c>
      <c r="P382" s="35">
        <v>16</v>
      </c>
      <c r="Q382" s="35">
        <v>22</v>
      </c>
      <c r="R382" s="35">
        <v>16</v>
      </c>
      <c r="S382" s="35">
        <v>18</v>
      </c>
      <c r="T382" s="35">
        <v>8</v>
      </c>
      <c r="U382" s="35">
        <v>15</v>
      </c>
      <c r="V382" s="35">
        <v>20</v>
      </c>
      <c r="W382" s="35">
        <v>509</v>
      </c>
    </row>
    <row r="383" spans="1:23" x14ac:dyDescent="0.4">
      <c r="A383" s="5" t="s">
        <v>671</v>
      </c>
      <c r="B383" s="35">
        <v>18</v>
      </c>
      <c r="C383" s="35">
        <v>34</v>
      </c>
      <c r="D383" s="35">
        <v>34</v>
      </c>
      <c r="E383" s="35">
        <v>40</v>
      </c>
      <c r="F383" s="35">
        <v>35</v>
      </c>
      <c r="G383" s="35">
        <v>43</v>
      </c>
      <c r="H383" s="35">
        <v>32</v>
      </c>
      <c r="I383" s="35">
        <v>30</v>
      </c>
      <c r="J383" s="35">
        <v>27</v>
      </c>
      <c r="K383" s="35"/>
      <c r="L383" s="35">
        <v>11</v>
      </c>
      <c r="M383" s="35">
        <v>26</v>
      </c>
      <c r="N383" s="35">
        <v>18</v>
      </c>
      <c r="O383" s="35">
        <v>34</v>
      </c>
      <c r="P383" s="35">
        <v>23</v>
      </c>
      <c r="Q383" s="35">
        <v>29</v>
      </c>
      <c r="R383" s="35">
        <v>15</v>
      </c>
      <c r="S383" s="35">
        <v>16</v>
      </c>
      <c r="T383" s="35">
        <v>20</v>
      </c>
      <c r="U383" s="35">
        <v>20</v>
      </c>
      <c r="V383" s="35">
        <v>31</v>
      </c>
      <c r="W383" s="35">
        <v>536</v>
      </c>
    </row>
    <row r="384" spans="1:23" x14ac:dyDescent="0.4">
      <c r="A384" s="5" t="s">
        <v>672</v>
      </c>
      <c r="B384" s="35">
        <v>209</v>
      </c>
      <c r="C384" s="35">
        <v>242</v>
      </c>
      <c r="D384" s="35">
        <v>245</v>
      </c>
      <c r="E384" s="35">
        <v>248</v>
      </c>
      <c r="F384" s="35">
        <v>249</v>
      </c>
      <c r="G384" s="35">
        <v>400</v>
      </c>
      <c r="H384" s="35">
        <v>228</v>
      </c>
      <c r="I384" s="35">
        <v>245</v>
      </c>
      <c r="J384" s="35">
        <v>224</v>
      </c>
      <c r="K384" s="35"/>
      <c r="L384" s="35">
        <v>229</v>
      </c>
      <c r="M384" s="35">
        <v>204</v>
      </c>
      <c r="N384" s="35">
        <v>217</v>
      </c>
      <c r="O384" s="35">
        <v>258</v>
      </c>
      <c r="P384" s="35">
        <v>253</v>
      </c>
      <c r="Q384" s="35">
        <v>227</v>
      </c>
      <c r="R384" s="35">
        <v>210</v>
      </c>
      <c r="S384" s="35">
        <v>177</v>
      </c>
      <c r="T384" s="35">
        <v>224</v>
      </c>
      <c r="U384" s="35">
        <v>236</v>
      </c>
      <c r="V384" s="35">
        <v>239</v>
      </c>
      <c r="W384" s="35">
        <v>4764</v>
      </c>
    </row>
    <row r="385" spans="1:23" x14ac:dyDescent="0.4">
      <c r="A385" s="5" t="s">
        <v>673</v>
      </c>
      <c r="B385" s="35">
        <v>251</v>
      </c>
      <c r="C385" s="35">
        <v>248</v>
      </c>
      <c r="D385" s="35">
        <v>267</v>
      </c>
      <c r="E385" s="35">
        <v>268</v>
      </c>
      <c r="F385" s="35">
        <v>298</v>
      </c>
      <c r="G385" s="35">
        <v>396</v>
      </c>
      <c r="H385" s="35">
        <v>225</v>
      </c>
      <c r="I385" s="35">
        <v>328</v>
      </c>
      <c r="J385" s="35">
        <v>336</v>
      </c>
      <c r="K385" s="35"/>
      <c r="L385" s="35">
        <v>234</v>
      </c>
      <c r="M385" s="35">
        <v>232</v>
      </c>
      <c r="N385" s="35">
        <v>358</v>
      </c>
      <c r="O385" s="35">
        <v>242</v>
      </c>
      <c r="P385" s="35">
        <v>232</v>
      </c>
      <c r="Q385" s="35">
        <v>236</v>
      </c>
      <c r="R385" s="35">
        <v>246</v>
      </c>
      <c r="S385" s="35">
        <v>221</v>
      </c>
      <c r="T385" s="35">
        <v>206</v>
      </c>
      <c r="U385" s="35">
        <v>208</v>
      </c>
      <c r="V385" s="35">
        <v>240</v>
      </c>
      <c r="W385" s="35">
        <v>5272</v>
      </c>
    </row>
    <row r="386" spans="1:23" x14ac:dyDescent="0.4">
      <c r="A386" s="5" t="s">
        <v>674</v>
      </c>
      <c r="B386" s="35">
        <v>1233</v>
      </c>
      <c r="C386" s="35">
        <v>1335</v>
      </c>
      <c r="D386" s="35">
        <v>1476</v>
      </c>
      <c r="E386" s="35">
        <v>1520</v>
      </c>
      <c r="F386" s="35">
        <v>1763</v>
      </c>
      <c r="G386" s="35">
        <v>1913</v>
      </c>
      <c r="H386" s="35">
        <v>1251</v>
      </c>
      <c r="I386" s="35">
        <v>1137</v>
      </c>
      <c r="J386" s="35">
        <v>1005</v>
      </c>
      <c r="K386" s="35"/>
      <c r="L386" s="35">
        <v>1198</v>
      </c>
      <c r="M386" s="35">
        <v>1114</v>
      </c>
      <c r="N386" s="35">
        <v>1126</v>
      </c>
      <c r="O386" s="35">
        <v>1249</v>
      </c>
      <c r="P386" s="35">
        <v>1054</v>
      </c>
      <c r="Q386" s="35">
        <v>1019</v>
      </c>
      <c r="R386" s="35">
        <v>1127</v>
      </c>
      <c r="S386" s="35">
        <v>1060</v>
      </c>
      <c r="T386" s="35">
        <v>984</v>
      </c>
      <c r="U386" s="35">
        <v>945</v>
      </c>
      <c r="V386" s="35">
        <v>885</v>
      </c>
      <c r="W386" s="35">
        <v>24394</v>
      </c>
    </row>
    <row r="387" spans="1:23" x14ac:dyDescent="0.4">
      <c r="A387" s="5" t="s">
        <v>675</v>
      </c>
      <c r="B387" s="35">
        <v>40</v>
      </c>
      <c r="C387" s="35">
        <v>45</v>
      </c>
      <c r="D387" s="35">
        <v>56</v>
      </c>
      <c r="E387" s="35">
        <v>37</v>
      </c>
      <c r="F387" s="35">
        <v>54</v>
      </c>
      <c r="G387" s="35">
        <v>65</v>
      </c>
      <c r="H387" s="35">
        <v>37</v>
      </c>
      <c r="I387" s="35">
        <v>44</v>
      </c>
      <c r="J387" s="35">
        <v>36</v>
      </c>
      <c r="K387" s="35"/>
      <c r="L387" s="35">
        <v>32</v>
      </c>
      <c r="M387" s="35">
        <v>34</v>
      </c>
      <c r="N387" s="35">
        <v>44</v>
      </c>
      <c r="O387" s="35">
        <v>46</v>
      </c>
      <c r="P387" s="35">
        <v>41</v>
      </c>
      <c r="Q387" s="35">
        <v>41</v>
      </c>
      <c r="R387" s="35">
        <v>40</v>
      </c>
      <c r="S387" s="35">
        <v>37</v>
      </c>
      <c r="T387" s="35">
        <v>42</v>
      </c>
      <c r="U387" s="35">
        <v>48</v>
      </c>
      <c r="V387" s="35">
        <v>45</v>
      </c>
      <c r="W387" s="35">
        <v>864</v>
      </c>
    </row>
    <row r="388" spans="1:23" x14ac:dyDescent="0.4">
      <c r="A388" s="5" t="s">
        <v>676</v>
      </c>
      <c r="B388" s="35">
        <v>51</v>
      </c>
      <c r="C388" s="35">
        <v>59</v>
      </c>
      <c r="D388" s="35">
        <v>65</v>
      </c>
      <c r="E388" s="35">
        <v>51</v>
      </c>
      <c r="F388" s="35">
        <v>58</v>
      </c>
      <c r="G388" s="35">
        <v>63</v>
      </c>
      <c r="H388" s="35">
        <v>61</v>
      </c>
      <c r="I388" s="35">
        <v>58</v>
      </c>
      <c r="J388" s="35">
        <v>58</v>
      </c>
      <c r="K388" s="35"/>
      <c r="L388" s="35">
        <v>36</v>
      </c>
      <c r="M388" s="35">
        <v>54</v>
      </c>
      <c r="N388" s="35">
        <v>68</v>
      </c>
      <c r="O388" s="35">
        <v>55</v>
      </c>
      <c r="P388" s="35">
        <v>40</v>
      </c>
      <c r="Q388" s="35">
        <v>49</v>
      </c>
      <c r="R388" s="35">
        <v>45</v>
      </c>
      <c r="S388" s="35">
        <v>52</v>
      </c>
      <c r="T388" s="35">
        <v>44</v>
      </c>
      <c r="U388" s="35">
        <v>56</v>
      </c>
      <c r="V388" s="35">
        <v>65</v>
      </c>
      <c r="W388" s="35">
        <v>1088</v>
      </c>
    </row>
    <row r="389" spans="1:23" x14ac:dyDescent="0.4">
      <c r="A389" s="5" t="s">
        <v>677</v>
      </c>
      <c r="B389" s="35">
        <v>67</v>
      </c>
      <c r="C389" s="35">
        <v>45</v>
      </c>
      <c r="D389" s="35">
        <v>55</v>
      </c>
      <c r="E389" s="35">
        <v>74</v>
      </c>
      <c r="F389" s="35">
        <v>97</v>
      </c>
      <c r="G389" s="35">
        <v>83</v>
      </c>
      <c r="H389" s="35">
        <v>72</v>
      </c>
      <c r="I389" s="35">
        <v>62</v>
      </c>
      <c r="J389" s="35">
        <v>46</v>
      </c>
      <c r="K389" s="35"/>
      <c r="L389" s="35">
        <v>38</v>
      </c>
      <c r="M389" s="35">
        <v>41</v>
      </c>
      <c r="N389" s="35">
        <v>45</v>
      </c>
      <c r="O389" s="35">
        <v>63</v>
      </c>
      <c r="P389" s="35">
        <v>51</v>
      </c>
      <c r="Q389" s="35">
        <v>49</v>
      </c>
      <c r="R389" s="35">
        <v>51</v>
      </c>
      <c r="S389" s="35">
        <v>46</v>
      </c>
      <c r="T389" s="35">
        <v>49</v>
      </c>
      <c r="U389" s="35">
        <v>40</v>
      </c>
      <c r="V389" s="35">
        <v>50</v>
      </c>
      <c r="W389" s="35">
        <v>1124</v>
      </c>
    </row>
    <row r="390" spans="1:23" x14ac:dyDescent="0.4">
      <c r="A390" s="5" t="s">
        <v>678</v>
      </c>
      <c r="B390" s="35">
        <v>26</v>
      </c>
      <c r="C390" s="35">
        <v>30</v>
      </c>
      <c r="D390" s="35">
        <v>39</v>
      </c>
      <c r="E390" s="35">
        <v>34</v>
      </c>
      <c r="F390" s="35">
        <v>48</v>
      </c>
      <c r="G390" s="35">
        <v>68</v>
      </c>
      <c r="H390" s="35">
        <v>29</v>
      </c>
      <c r="I390" s="35">
        <v>44</v>
      </c>
      <c r="J390" s="35">
        <v>29</v>
      </c>
      <c r="K390" s="35"/>
      <c r="L390" s="35">
        <v>25</v>
      </c>
      <c r="M390" s="35">
        <v>27</v>
      </c>
      <c r="N390" s="35">
        <v>19</v>
      </c>
      <c r="O390" s="35">
        <v>23</v>
      </c>
      <c r="P390" s="35">
        <v>23</v>
      </c>
      <c r="Q390" s="35">
        <v>26</v>
      </c>
      <c r="R390" s="35">
        <v>26</v>
      </c>
      <c r="S390" s="35">
        <v>31</v>
      </c>
      <c r="T390" s="35">
        <v>26</v>
      </c>
      <c r="U390" s="35">
        <v>33</v>
      </c>
      <c r="V390" s="35">
        <v>32</v>
      </c>
      <c r="W390" s="35">
        <v>638</v>
      </c>
    </row>
    <row r="391" spans="1:23" x14ac:dyDescent="0.4">
      <c r="A391" s="5" t="s">
        <v>679</v>
      </c>
      <c r="B391" s="35">
        <v>249</v>
      </c>
      <c r="C391" s="35">
        <v>255</v>
      </c>
      <c r="D391" s="35">
        <v>263</v>
      </c>
      <c r="E391" s="35">
        <v>298</v>
      </c>
      <c r="F391" s="35">
        <v>270</v>
      </c>
      <c r="G391" s="35">
        <v>265</v>
      </c>
      <c r="H391" s="35">
        <v>259</v>
      </c>
      <c r="I391" s="35">
        <v>291</v>
      </c>
      <c r="J391" s="35">
        <v>243</v>
      </c>
      <c r="K391" s="35"/>
      <c r="L391" s="35">
        <v>277</v>
      </c>
      <c r="M391" s="35">
        <v>256</v>
      </c>
      <c r="N391" s="35">
        <v>270</v>
      </c>
      <c r="O391" s="35">
        <v>246</v>
      </c>
      <c r="P391" s="35">
        <v>222</v>
      </c>
      <c r="Q391" s="35">
        <v>263</v>
      </c>
      <c r="R391" s="35">
        <v>256</v>
      </c>
      <c r="S391" s="35">
        <v>253</v>
      </c>
      <c r="T391" s="35">
        <v>263</v>
      </c>
      <c r="U391" s="35">
        <v>221</v>
      </c>
      <c r="V391" s="35">
        <v>221</v>
      </c>
      <c r="W391" s="35">
        <v>5141</v>
      </c>
    </row>
    <row r="392" spans="1:23" x14ac:dyDescent="0.4">
      <c r="A392" s="5" t="s">
        <v>680</v>
      </c>
      <c r="B392" s="35">
        <v>1453</v>
      </c>
      <c r="C392" s="35">
        <v>1471</v>
      </c>
      <c r="D392" s="35">
        <v>1464</v>
      </c>
      <c r="E392" s="35">
        <v>1443</v>
      </c>
      <c r="F392" s="35">
        <v>1673</v>
      </c>
      <c r="G392" s="35">
        <v>1598</v>
      </c>
      <c r="H392" s="35">
        <v>1357</v>
      </c>
      <c r="I392" s="35">
        <v>1470</v>
      </c>
      <c r="J392" s="35">
        <v>1382</v>
      </c>
      <c r="K392" s="35"/>
      <c r="L392" s="35">
        <v>1330</v>
      </c>
      <c r="M392" s="35">
        <v>1027</v>
      </c>
      <c r="N392" s="35">
        <v>1096</v>
      </c>
      <c r="O392" s="35">
        <v>1195</v>
      </c>
      <c r="P392" s="35">
        <v>1066</v>
      </c>
      <c r="Q392" s="35">
        <v>1104</v>
      </c>
      <c r="R392" s="35">
        <v>1003</v>
      </c>
      <c r="S392" s="35">
        <v>1015</v>
      </c>
      <c r="T392" s="35">
        <v>1039</v>
      </c>
      <c r="U392" s="35">
        <v>1096</v>
      </c>
      <c r="V392" s="35">
        <v>1026</v>
      </c>
      <c r="W392" s="35">
        <v>25308</v>
      </c>
    </row>
    <row r="393" spans="1:23" x14ac:dyDescent="0.4">
      <c r="A393" s="5" t="s">
        <v>681</v>
      </c>
      <c r="B393" s="35">
        <v>111</v>
      </c>
      <c r="C393" s="35">
        <v>100</v>
      </c>
      <c r="D393" s="35">
        <v>105</v>
      </c>
      <c r="E393" s="35">
        <v>99</v>
      </c>
      <c r="F393" s="35">
        <v>109</v>
      </c>
      <c r="G393" s="35">
        <v>82</v>
      </c>
      <c r="H393" s="35">
        <v>92</v>
      </c>
      <c r="I393" s="35">
        <v>92</v>
      </c>
      <c r="J393" s="35">
        <v>104</v>
      </c>
      <c r="K393" s="35"/>
      <c r="L393" s="35">
        <v>82</v>
      </c>
      <c r="M393" s="35">
        <v>91</v>
      </c>
      <c r="N393" s="35">
        <v>111</v>
      </c>
      <c r="O393" s="35">
        <v>122</v>
      </c>
      <c r="P393" s="35">
        <v>86</v>
      </c>
      <c r="Q393" s="35">
        <v>75</v>
      </c>
      <c r="R393" s="35">
        <v>86</v>
      </c>
      <c r="S393" s="35">
        <v>69</v>
      </c>
      <c r="T393" s="35">
        <v>96</v>
      </c>
      <c r="U393" s="35">
        <v>155</v>
      </c>
      <c r="V393" s="35">
        <v>130</v>
      </c>
      <c r="W393" s="35">
        <v>1997</v>
      </c>
    </row>
    <row r="394" spans="1:23" x14ac:dyDescent="0.4">
      <c r="A394" s="5" t="s">
        <v>682</v>
      </c>
      <c r="B394" s="35">
        <v>559</v>
      </c>
      <c r="C394" s="35">
        <v>568</v>
      </c>
      <c r="D394" s="35">
        <v>583</v>
      </c>
      <c r="E394" s="35">
        <v>509</v>
      </c>
      <c r="F394" s="35">
        <v>600</v>
      </c>
      <c r="G394" s="35">
        <v>524</v>
      </c>
      <c r="H394" s="35">
        <v>520</v>
      </c>
      <c r="I394" s="35">
        <v>565</v>
      </c>
      <c r="J394" s="35">
        <v>505</v>
      </c>
      <c r="K394" s="35"/>
      <c r="L394" s="35">
        <v>494</v>
      </c>
      <c r="M394" s="35">
        <v>483</v>
      </c>
      <c r="N394" s="35">
        <v>492</v>
      </c>
      <c r="O394" s="35">
        <v>500</v>
      </c>
      <c r="P394" s="35">
        <v>423</v>
      </c>
      <c r="Q394" s="35">
        <v>465</v>
      </c>
      <c r="R394" s="35">
        <v>407</v>
      </c>
      <c r="S394" s="35">
        <v>406</v>
      </c>
      <c r="T394" s="35">
        <v>396</v>
      </c>
      <c r="U394" s="35">
        <v>497</v>
      </c>
      <c r="V394" s="35">
        <v>485</v>
      </c>
      <c r="W394" s="35">
        <v>9981</v>
      </c>
    </row>
    <row r="395" spans="1:23" x14ac:dyDescent="0.4">
      <c r="A395" s="5" t="s">
        <v>683</v>
      </c>
      <c r="B395" s="35">
        <v>80</v>
      </c>
      <c r="C395" s="35">
        <v>64</v>
      </c>
      <c r="D395" s="35">
        <v>57</v>
      </c>
      <c r="E395" s="35">
        <v>75</v>
      </c>
      <c r="F395" s="35">
        <v>78</v>
      </c>
      <c r="G395" s="35">
        <v>102</v>
      </c>
      <c r="H395" s="35">
        <v>57</v>
      </c>
      <c r="I395" s="35">
        <v>72</v>
      </c>
      <c r="J395" s="35">
        <v>49</v>
      </c>
      <c r="K395" s="35"/>
      <c r="L395" s="35">
        <v>58</v>
      </c>
      <c r="M395" s="35">
        <v>69</v>
      </c>
      <c r="N395" s="35">
        <v>72</v>
      </c>
      <c r="O395" s="35">
        <v>80</v>
      </c>
      <c r="P395" s="35">
        <v>83</v>
      </c>
      <c r="Q395" s="35">
        <v>73</v>
      </c>
      <c r="R395" s="35">
        <v>63</v>
      </c>
      <c r="S395" s="35">
        <v>65</v>
      </c>
      <c r="T395" s="35">
        <v>58</v>
      </c>
      <c r="U395" s="35">
        <v>0</v>
      </c>
      <c r="V395" s="35">
        <v>0</v>
      </c>
      <c r="W395" s="35">
        <v>1255</v>
      </c>
    </row>
    <row r="396" spans="1:23" x14ac:dyDescent="0.4">
      <c r="A396" s="5" t="s">
        <v>684</v>
      </c>
      <c r="B396" s="35">
        <v>360</v>
      </c>
      <c r="C396" s="35">
        <v>372</v>
      </c>
      <c r="D396" s="35">
        <v>387</v>
      </c>
      <c r="E396" s="35">
        <v>378</v>
      </c>
      <c r="F396" s="35">
        <v>418</v>
      </c>
      <c r="G396" s="35">
        <v>530</v>
      </c>
      <c r="H396" s="35">
        <v>365</v>
      </c>
      <c r="I396" s="35">
        <v>375</v>
      </c>
      <c r="J396" s="35">
        <v>320</v>
      </c>
      <c r="K396" s="35"/>
      <c r="L396" s="35">
        <v>367</v>
      </c>
      <c r="M396" s="35">
        <v>357</v>
      </c>
      <c r="N396" s="35">
        <v>379</v>
      </c>
      <c r="O396" s="35">
        <v>392</v>
      </c>
      <c r="P396" s="35">
        <v>282</v>
      </c>
      <c r="Q396" s="35">
        <v>404</v>
      </c>
      <c r="R396" s="35">
        <v>327</v>
      </c>
      <c r="S396" s="35">
        <v>284</v>
      </c>
      <c r="T396" s="35">
        <v>279</v>
      </c>
      <c r="U396" s="35">
        <v>274</v>
      </c>
      <c r="V396" s="35">
        <v>330</v>
      </c>
      <c r="W396" s="35">
        <v>7180</v>
      </c>
    </row>
    <row r="397" spans="1:23" x14ac:dyDescent="0.4">
      <c r="A397" s="5" t="s">
        <v>685</v>
      </c>
      <c r="B397" s="35">
        <v>112</v>
      </c>
      <c r="C397" s="35">
        <v>84</v>
      </c>
      <c r="D397" s="35">
        <v>105</v>
      </c>
      <c r="E397" s="35">
        <v>117</v>
      </c>
      <c r="F397" s="35">
        <v>123</v>
      </c>
      <c r="G397" s="35">
        <v>102</v>
      </c>
      <c r="H397" s="35">
        <v>92</v>
      </c>
      <c r="I397" s="35">
        <v>76</v>
      </c>
      <c r="J397" s="35">
        <v>98</v>
      </c>
      <c r="K397" s="35"/>
      <c r="L397" s="35">
        <v>52</v>
      </c>
      <c r="M397" s="35">
        <v>103</v>
      </c>
      <c r="N397" s="35">
        <v>83</v>
      </c>
      <c r="O397" s="35">
        <v>82</v>
      </c>
      <c r="P397" s="35">
        <v>68</v>
      </c>
      <c r="Q397" s="35">
        <v>102</v>
      </c>
      <c r="R397" s="35">
        <v>56</v>
      </c>
      <c r="S397" s="35">
        <v>61</v>
      </c>
      <c r="T397" s="35">
        <v>39</v>
      </c>
      <c r="U397" s="35">
        <v>14</v>
      </c>
      <c r="V397" s="35">
        <v>9</v>
      </c>
      <c r="W397" s="35">
        <v>1578</v>
      </c>
    </row>
    <row r="398" spans="1:23" x14ac:dyDescent="0.4">
      <c r="A398" s="5" t="s">
        <v>686</v>
      </c>
      <c r="B398" s="35">
        <v>237</v>
      </c>
      <c r="C398" s="35">
        <v>278</v>
      </c>
      <c r="D398" s="35">
        <v>222</v>
      </c>
      <c r="E398" s="35">
        <v>259</v>
      </c>
      <c r="F398" s="35">
        <v>326</v>
      </c>
      <c r="G398" s="35">
        <v>366</v>
      </c>
      <c r="H398" s="35">
        <v>175</v>
      </c>
      <c r="I398" s="35">
        <v>408</v>
      </c>
      <c r="J398" s="35">
        <v>197</v>
      </c>
      <c r="K398" s="35"/>
      <c r="L398" s="35">
        <v>158</v>
      </c>
      <c r="M398" s="35">
        <v>598</v>
      </c>
      <c r="N398" s="35">
        <v>209</v>
      </c>
      <c r="O398" s="35">
        <v>180</v>
      </c>
      <c r="P398" s="35">
        <v>214</v>
      </c>
      <c r="Q398" s="35">
        <v>197</v>
      </c>
      <c r="R398" s="35">
        <v>140</v>
      </c>
      <c r="S398" s="35">
        <v>169</v>
      </c>
      <c r="T398" s="35">
        <v>189</v>
      </c>
      <c r="U398" s="35">
        <v>164</v>
      </c>
      <c r="V398" s="35">
        <v>164</v>
      </c>
      <c r="W398" s="35">
        <v>4850</v>
      </c>
    </row>
    <row r="399" spans="1:23" x14ac:dyDescent="0.4">
      <c r="A399" s="5" t="s">
        <v>687</v>
      </c>
      <c r="B399" s="35">
        <v>1240</v>
      </c>
      <c r="C399" s="35">
        <v>1229</v>
      </c>
      <c r="D399" s="35">
        <v>1310</v>
      </c>
      <c r="E399" s="35">
        <v>1240</v>
      </c>
      <c r="F399" s="35">
        <v>1219</v>
      </c>
      <c r="G399" s="35">
        <v>1090</v>
      </c>
      <c r="H399" s="35">
        <v>1135</v>
      </c>
      <c r="I399" s="35">
        <v>1174</v>
      </c>
      <c r="J399" s="35">
        <v>1078</v>
      </c>
      <c r="K399" s="35"/>
      <c r="L399" s="35">
        <v>1031</v>
      </c>
      <c r="M399" s="35">
        <v>1047</v>
      </c>
      <c r="N399" s="35">
        <v>965</v>
      </c>
      <c r="O399" s="35">
        <v>965</v>
      </c>
      <c r="P399" s="35">
        <v>864</v>
      </c>
      <c r="Q399" s="35">
        <v>1018</v>
      </c>
      <c r="R399" s="35">
        <v>843</v>
      </c>
      <c r="S399" s="35">
        <v>818</v>
      </c>
      <c r="T399" s="35">
        <v>787</v>
      </c>
      <c r="U399" s="35">
        <v>707</v>
      </c>
      <c r="V399" s="35">
        <v>617</v>
      </c>
      <c r="W399" s="35">
        <v>20377</v>
      </c>
    </row>
    <row r="400" spans="1:23" x14ac:dyDescent="0.4">
      <c r="A400" s="5" t="s">
        <v>688</v>
      </c>
      <c r="B400" s="35">
        <v>419</v>
      </c>
      <c r="C400" s="35">
        <v>384</v>
      </c>
      <c r="D400" s="35">
        <v>421</v>
      </c>
      <c r="E400" s="35">
        <v>459</v>
      </c>
      <c r="F400" s="35">
        <v>493</v>
      </c>
      <c r="G400" s="35">
        <v>449</v>
      </c>
      <c r="H400" s="35">
        <v>397</v>
      </c>
      <c r="I400" s="35">
        <v>458</v>
      </c>
      <c r="J400" s="35">
        <v>393</v>
      </c>
      <c r="K400" s="35"/>
      <c r="L400" s="35">
        <v>381</v>
      </c>
      <c r="M400" s="35">
        <v>386</v>
      </c>
      <c r="N400" s="35">
        <v>407</v>
      </c>
      <c r="O400" s="35">
        <v>436</v>
      </c>
      <c r="P400" s="35">
        <v>350</v>
      </c>
      <c r="Q400" s="35">
        <v>424</v>
      </c>
      <c r="R400" s="35">
        <v>356</v>
      </c>
      <c r="S400" s="35">
        <v>366</v>
      </c>
      <c r="T400" s="35">
        <v>380</v>
      </c>
      <c r="U400" s="35">
        <v>377</v>
      </c>
      <c r="V400" s="35">
        <v>347</v>
      </c>
      <c r="W400" s="35">
        <v>8083</v>
      </c>
    </row>
    <row r="401" spans="1:23" x14ac:dyDescent="0.4">
      <c r="A401" s="5" t="s">
        <v>689</v>
      </c>
      <c r="B401" s="35">
        <v>749</v>
      </c>
      <c r="C401" s="35">
        <v>748</v>
      </c>
      <c r="D401" s="35">
        <v>783</v>
      </c>
      <c r="E401" s="35">
        <v>674</v>
      </c>
      <c r="F401" s="35">
        <v>868</v>
      </c>
      <c r="G401" s="35">
        <v>1044</v>
      </c>
      <c r="H401" s="35">
        <v>689</v>
      </c>
      <c r="I401" s="35">
        <v>640</v>
      </c>
      <c r="J401" s="35">
        <v>670</v>
      </c>
      <c r="K401" s="35"/>
      <c r="L401" s="35">
        <v>611</v>
      </c>
      <c r="M401" s="35">
        <v>648</v>
      </c>
      <c r="N401" s="35">
        <v>676</v>
      </c>
      <c r="O401" s="35">
        <v>878</v>
      </c>
      <c r="P401" s="35">
        <v>594</v>
      </c>
      <c r="Q401" s="35">
        <v>703</v>
      </c>
      <c r="R401" s="35">
        <v>633</v>
      </c>
      <c r="S401" s="35">
        <v>643</v>
      </c>
      <c r="T401" s="35">
        <v>608</v>
      </c>
      <c r="U401" s="35">
        <v>581</v>
      </c>
      <c r="V401" s="35">
        <v>605</v>
      </c>
      <c r="W401" s="35">
        <v>14045</v>
      </c>
    </row>
    <row r="402" spans="1:23" x14ac:dyDescent="0.4">
      <c r="A402" s="5" t="s">
        <v>690</v>
      </c>
      <c r="B402" s="35">
        <v>9843</v>
      </c>
      <c r="C402" s="35">
        <v>10553</v>
      </c>
      <c r="D402" s="35">
        <v>10385</v>
      </c>
      <c r="E402" s="35">
        <v>10564</v>
      </c>
      <c r="F402" s="35">
        <v>12006</v>
      </c>
      <c r="G402" s="35">
        <v>13789</v>
      </c>
      <c r="H402" s="35">
        <v>9772</v>
      </c>
      <c r="I402" s="35">
        <v>9370</v>
      </c>
      <c r="J402" s="35">
        <v>9290</v>
      </c>
      <c r="K402" s="35"/>
      <c r="L402" s="35">
        <v>8765</v>
      </c>
      <c r="M402" s="35">
        <v>8224</v>
      </c>
      <c r="N402" s="35">
        <v>8138</v>
      </c>
      <c r="O402" s="35">
        <v>8845</v>
      </c>
      <c r="P402" s="35">
        <v>7912</v>
      </c>
      <c r="Q402" s="35">
        <v>8090</v>
      </c>
      <c r="R402" s="35">
        <v>7660</v>
      </c>
      <c r="S402" s="35">
        <v>7733</v>
      </c>
      <c r="T402" s="35">
        <v>7579</v>
      </c>
      <c r="U402" s="35">
        <v>8154</v>
      </c>
      <c r="V402" s="35">
        <v>8092</v>
      </c>
      <c r="W402" s="35">
        <v>184764</v>
      </c>
    </row>
    <row r="403" spans="1:23" x14ac:dyDescent="0.4">
      <c r="A403" s="5" t="s">
        <v>691</v>
      </c>
      <c r="B403" s="35">
        <v>279</v>
      </c>
      <c r="C403" s="35">
        <v>289</v>
      </c>
      <c r="D403" s="35">
        <v>283</v>
      </c>
      <c r="E403" s="35">
        <v>356</v>
      </c>
      <c r="F403" s="35">
        <v>384</v>
      </c>
      <c r="G403" s="35">
        <v>383</v>
      </c>
      <c r="H403" s="35">
        <v>235</v>
      </c>
      <c r="I403" s="35">
        <v>274</v>
      </c>
      <c r="J403" s="35">
        <v>254</v>
      </c>
      <c r="K403" s="35"/>
      <c r="L403" s="35">
        <v>225</v>
      </c>
      <c r="M403" s="35">
        <v>230</v>
      </c>
      <c r="N403" s="35">
        <v>245</v>
      </c>
      <c r="O403" s="35">
        <v>218</v>
      </c>
      <c r="P403" s="35">
        <v>221</v>
      </c>
      <c r="Q403" s="35">
        <v>259</v>
      </c>
      <c r="R403" s="35">
        <v>251</v>
      </c>
      <c r="S403" s="35">
        <v>226</v>
      </c>
      <c r="T403" s="35">
        <v>209</v>
      </c>
      <c r="U403" s="35">
        <v>182</v>
      </c>
      <c r="V403" s="35">
        <v>183</v>
      </c>
      <c r="W403" s="35">
        <v>5186</v>
      </c>
    </row>
    <row r="404" spans="1:23" x14ac:dyDescent="0.4">
      <c r="A404" s="5" t="s">
        <v>692</v>
      </c>
      <c r="B404" s="35">
        <v>205</v>
      </c>
      <c r="C404" s="35">
        <v>223</v>
      </c>
      <c r="D404" s="35">
        <v>247</v>
      </c>
      <c r="E404" s="35">
        <v>164</v>
      </c>
      <c r="F404" s="35">
        <v>133</v>
      </c>
      <c r="G404" s="35">
        <v>139</v>
      </c>
      <c r="H404" s="35">
        <v>188</v>
      </c>
      <c r="I404" s="35">
        <v>188</v>
      </c>
      <c r="J404" s="35">
        <v>174</v>
      </c>
      <c r="K404" s="35"/>
      <c r="L404" s="35">
        <v>205</v>
      </c>
      <c r="M404" s="35">
        <v>192</v>
      </c>
      <c r="N404" s="35">
        <v>154</v>
      </c>
      <c r="O404" s="35">
        <v>138</v>
      </c>
      <c r="P404" s="35">
        <v>154</v>
      </c>
      <c r="Q404" s="35">
        <v>120</v>
      </c>
      <c r="R404" s="35">
        <v>106</v>
      </c>
      <c r="S404" s="35">
        <v>127</v>
      </c>
      <c r="T404" s="35">
        <v>113</v>
      </c>
      <c r="U404" s="35">
        <v>121</v>
      </c>
      <c r="V404" s="35">
        <v>102</v>
      </c>
      <c r="W404" s="35">
        <v>3193</v>
      </c>
    </row>
    <row r="405" spans="1:23" x14ac:dyDescent="0.4">
      <c r="A405" s="5" t="s">
        <v>693</v>
      </c>
      <c r="B405" s="35">
        <v>302</v>
      </c>
      <c r="C405" s="35">
        <v>334</v>
      </c>
      <c r="D405" s="35">
        <v>322</v>
      </c>
      <c r="E405" s="35">
        <v>319</v>
      </c>
      <c r="F405" s="35">
        <v>354</v>
      </c>
      <c r="G405" s="35">
        <v>403</v>
      </c>
      <c r="H405" s="35">
        <v>280</v>
      </c>
      <c r="I405" s="35">
        <v>318</v>
      </c>
      <c r="J405" s="35">
        <v>250</v>
      </c>
      <c r="K405" s="35"/>
      <c r="L405" s="35">
        <v>262</v>
      </c>
      <c r="M405" s="35">
        <v>265</v>
      </c>
      <c r="N405" s="35">
        <v>277</v>
      </c>
      <c r="O405" s="35">
        <v>339</v>
      </c>
      <c r="P405" s="35">
        <v>278</v>
      </c>
      <c r="Q405" s="35">
        <v>280</v>
      </c>
      <c r="R405" s="35">
        <v>223</v>
      </c>
      <c r="S405" s="35">
        <v>246</v>
      </c>
      <c r="T405" s="35">
        <v>213</v>
      </c>
      <c r="U405" s="35">
        <v>218</v>
      </c>
      <c r="V405" s="35">
        <v>212</v>
      </c>
      <c r="W405" s="35">
        <v>5695</v>
      </c>
    </row>
    <row r="406" spans="1:23" x14ac:dyDescent="0.4">
      <c r="A406" s="5" t="s">
        <v>694</v>
      </c>
      <c r="B406" s="35">
        <v>1678</v>
      </c>
      <c r="C406" s="35">
        <v>1575</v>
      </c>
      <c r="D406" s="35">
        <v>1472</v>
      </c>
      <c r="E406" s="35">
        <v>1412</v>
      </c>
      <c r="F406" s="35">
        <v>1593</v>
      </c>
      <c r="G406" s="35">
        <v>1536</v>
      </c>
      <c r="H406" s="35">
        <v>1640</v>
      </c>
      <c r="I406" s="35">
        <v>1525</v>
      </c>
      <c r="J406" s="35">
        <v>1322</v>
      </c>
      <c r="K406" s="35"/>
      <c r="L406" s="35">
        <v>1219</v>
      </c>
      <c r="M406" s="35">
        <v>1210</v>
      </c>
      <c r="N406" s="35">
        <v>1168</v>
      </c>
      <c r="O406" s="35">
        <v>1251</v>
      </c>
      <c r="P406" s="35">
        <v>1198</v>
      </c>
      <c r="Q406" s="35">
        <v>1244</v>
      </c>
      <c r="R406" s="35">
        <v>1045</v>
      </c>
      <c r="S406" s="35">
        <v>932</v>
      </c>
      <c r="T406" s="35">
        <v>792</v>
      </c>
      <c r="U406" s="35">
        <v>50</v>
      </c>
      <c r="V406" s="35">
        <v>23</v>
      </c>
      <c r="W406" s="35">
        <v>23885</v>
      </c>
    </row>
    <row r="407" spans="1:23" x14ac:dyDescent="0.4">
      <c r="A407" s="5" t="s">
        <v>695</v>
      </c>
      <c r="B407" s="35">
        <v>148</v>
      </c>
      <c r="C407" s="35">
        <v>189</v>
      </c>
      <c r="D407" s="35">
        <v>172</v>
      </c>
      <c r="E407" s="35">
        <v>175</v>
      </c>
      <c r="F407" s="35">
        <v>206</v>
      </c>
      <c r="G407" s="35">
        <v>198</v>
      </c>
      <c r="H407" s="35">
        <v>144</v>
      </c>
      <c r="I407" s="35">
        <v>143</v>
      </c>
      <c r="J407" s="35">
        <v>149</v>
      </c>
      <c r="K407" s="35"/>
      <c r="L407" s="35">
        <v>137</v>
      </c>
      <c r="M407" s="35">
        <v>138</v>
      </c>
      <c r="N407" s="35">
        <v>170</v>
      </c>
      <c r="O407" s="35">
        <v>147</v>
      </c>
      <c r="P407" s="35">
        <v>132</v>
      </c>
      <c r="Q407" s="35">
        <v>158</v>
      </c>
      <c r="R407" s="35">
        <v>142</v>
      </c>
      <c r="S407" s="35">
        <v>114</v>
      </c>
      <c r="T407" s="35">
        <v>106</v>
      </c>
      <c r="U407" s="35">
        <v>85</v>
      </c>
      <c r="V407" s="35">
        <v>105</v>
      </c>
      <c r="W407" s="35">
        <v>2958</v>
      </c>
    </row>
    <row r="408" spans="1:23" x14ac:dyDescent="0.4">
      <c r="A408" s="5" t="s">
        <v>696</v>
      </c>
      <c r="B408" s="35">
        <v>110</v>
      </c>
      <c r="C408" s="35">
        <v>89</v>
      </c>
      <c r="D408" s="35">
        <v>100</v>
      </c>
      <c r="E408" s="35">
        <v>89</v>
      </c>
      <c r="F408" s="35">
        <v>91</v>
      </c>
      <c r="G408" s="35">
        <v>119</v>
      </c>
      <c r="H408" s="35">
        <v>84</v>
      </c>
      <c r="I408" s="35">
        <v>103</v>
      </c>
      <c r="J408" s="35">
        <v>79</v>
      </c>
      <c r="K408" s="35"/>
      <c r="L408" s="35">
        <v>97</v>
      </c>
      <c r="M408" s="35">
        <v>85</v>
      </c>
      <c r="N408" s="35">
        <v>96</v>
      </c>
      <c r="O408" s="35">
        <v>93</v>
      </c>
      <c r="P408" s="35">
        <v>117</v>
      </c>
      <c r="Q408" s="35">
        <v>76</v>
      </c>
      <c r="R408" s="35">
        <v>59</v>
      </c>
      <c r="S408" s="35">
        <v>60</v>
      </c>
      <c r="T408" s="35">
        <v>65</v>
      </c>
      <c r="U408" s="35">
        <v>20</v>
      </c>
      <c r="V408" s="35">
        <v>17</v>
      </c>
      <c r="W408" s="35">
        <v>1649</v>
      </c>
    </row>
    <row r="409" spans="1:23" x14ac:dyDescent="0.4">
      <c r="A409" s="5" t="s">
        <v>697</v>
      </c>
      <c r="B409" s="35">
        <v>210</v>
      </c>
      <c r="C409" s="35">
        <v>180</v>
      </c>
      <c r="D409" s="35">
        <v>223</v>
      </c>
      <c r="E409" s="35">
        <v>219</v>
      </c>
      <c r="F409" s="35">
        <v>224</v>
      </c>
      <c r="G409" s="35">
        <v>252</v>
      </c>
      <c r="H409" s="35">
        <v>229</v>
      </c>
      <c r="I409" s="35">
        <v>229</v>
      </c>
      <c r="J409" s="35">
        <v>212</v>
      </c>
      <c r="K409" s="35"/>
      <c r="L409" s="35">
        <v>214</v>
      </c>
      <c r="M409" s="35">
        <v>217</v>
      </c>
      <c r="N409" s="35">
        <v>216</v>
      </c>
      <c r="O409" s="35">
        <v>225</v>
      </c>
      <c r="P409" s="35">
        <v>177</v>
      </c>
      <c r="Q409" s="35">
        <v>219</v>
      </c>
      <c r="R409" s="35">
        <v>234</v>
      </c>
      <c r="S409" s="35">
        <v>224</v>
      </c>
      <c r="T409" s="35">
        <v>222</v>
      </c>
      <c r="U409" s="35">
        <v>210</v>
      </c>
      <c r="V409" s="35">
        <v>231</v>
      </c>
      <c r="W409" s="35">
        <v>4367</v>
      </c>
    </row>
    <row r="410" spans="1:23" x14ac:dyDescent="0.4">
      <c r="A410" s="5" t="s">
        <v>698</v>
      </c>
      <c r="B410" s="35">
        <v>141</v>
      </c>
      <c r="C410" s="35">
        <v>147</v>
      </c>
      <c r="D410" s="35">
        <v>123</v>
      </c>
      <c r="E410" s="35">
        <v>150</v>
      </c>
      <c r="F410" s="35">
        <v>123</v>
      </c>
      <c r="G410" s="35">
        <v>107</v>
      </c>
      <c r="H410" s="35">
        <v>132</v>
      </c>
      <c r="I410" s="35">
        <v>173</v>
      </c>
      <c r="J410" s="35">
        <v>140</v>
      </c>
      <c r="K410" s="35"/>
      <c r="L410" s="35">
        <v>142</v>
      </c>
      <c r="M410" s="35">
        <v>125</v>
      </c>
      <c r="N410" s="35">
        <v>103</v>
      </c>
      <c r="O410" s="35">
        <v>166</v>
      </c>
      <c r="P410" s="35">
        <v>128</v>
      </c>
      <c r="Q410" s="35">
        <v>132</v>
      </c>
      <c r="R410" s="35">
        <v>133</v>
      </c>
      <c r="S410" s="35">
        <v>105</v>
      </c>
      <c r="T410" s="35">
        <v>129</v>
      </c>
      <c r="U410" s="35">
        <v>117</v>
      </c>
      <c r="V410" s="35">
        <v>98</v>
      </c>
      <c r="W410" s="35">
        <v>2614</v>
      </c>
    </row>
    <row r="411" spans="1:23" x14ac:dyDescent="0.4">
      <c r="A411" s="5" t="s">
        <v>333</v>
      </c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</row>
    <row r="412" spans="1:23" x14ac:dyDescent="0.4">
      <c r="A412" s="5" t="s">
        <v>332</v>
      </c>
      <c r="B412" s="35">
        <v>138504</v>
      </c>
      <c r="C412" s="35">
        <v>143020</v>
      </c>
      <c r="D412" s="35">
        <v>148058</v>
      </c>
      <c r="E412" s="35">
        <v>149903</v>
      </c>
      <c r="F412" s="35">
        <v>162125</v>
      </c>
      <c r="G412" s="35">
        <v>190474</v>
      </c>
      <c r="H412" s="35">
        <v>134731</v>
      </c>
      <c r="I412" s="35">
        <v>133651</v>
      </c>
      <c r="J412" s="35">
        <v>127363</v>
      </c>
      <c r="K412" s="35"/>
      <c r="L412" s="35">
        <v>121543</v>
      </c>
      <c r="M412" s="35">
        <v>117831</v>
      </c>
      <c r="N412" s="35">
        <v>117227</v>
      </c>
      <c r="O412" s="35">
        <v>121603</v>
      </c>
      <c r="P412" s="35">
        <v>110293</v>
      </c>
      <c r="Q412" s="35">
        <v>110672</v>
      </c>
      <c r="R412" s="35">
        <v>105947</v>
      </c>
      <c r="S412" s="35">
        <v>104625</v>
      </c>
      <c r="T412" s="35">
        <v>100963</v>
      </c>
      <c r="U412" s="35">
        <v>98011</v>
      </c>
      <c r="V412" s="35">
        <v>100045</v>
      </c>
      <c r="W412" s="35">
        <v>2536589</v>
      </c>
    </row>
  </sheetData>
  <autoFilter ref="Z4:AT29" xr:uid="{5E4F0BD7-F454-4B06-BB57-B69AD6350767}">
    <sortState xmlns:xlrd2="http://schemas.microsoft.com/office/spreadsheetml/2017/richdata2" ref="Z5:AT29">
      <sortCondition ref="Z4:Z29"/>
    </sortState>
  </autoFilter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D931-2E52-4E43-B45D-B941D10D77F8}">
  <dimension ref="A1:AE7756"/>
  <sheetViews>
    <sheetView topLeftCell="A6772" zoomScaleNormal="100" workbookViewId="0">
      <selection activeCell="M6786" sqref="M6786:Q6815"/>
    </sheetView>
  </sheetViews>
  <sheetFormatPr baseColWidth="10" defaultRowHeight="14.6" x14ac:dyDescent="0.4"/>
  <cols>
    <col min="1" max="1" width="6.15234375" customWidth="1"/>
    <col min="2" max="2" width="42.61328125" style="8" customWidth="1"/>
    <col min="3" max="3" width="3.84375" style="8" bestFit="1" customWidth="1"/>
    <col min="4" max="4" width="25.84375" style="8" bestFit="1" customWidth="1"/>
    <col min="5" max="5" width="31.3046875" style="70" customWidth="1"/>
    <col min="6" max="6" width="7.53515625" style="29" bestFit="1" customWidth="1"/>
    <col min="7" max="8" width="6.53515625" style="29" bestFit="1" customWidth="1"/>
    <col min="9" max="9" width="10.61328125" style="20" customWidth="1"/>
    <col min="10" max="10" width="10.07421875" style="4" customWidth="1"/>
    <col min="11" max="11" width="6.15234375" style="4" customWidth="1"/>
    <col min="12" max="12" width="5.921875" style="4" bestFit="1" customWidth="1"/>
    <col min="13" max="14" width="4.84375" style="4" bestFit="1" customWidth="1"/>
    <col min="15" max="15" width="6.23046875" style="4" customWidth="1"/>
    <col min="16" max="16" width="5.69140625" customWidth="1"/>
    <col min="17" max="17" width="39.4609375" bestFit="1" customWidth="1"/>
    <col min="18" max="18" width="5.3046875" bestFit="1" customWidth="1"/>
    <col min="19" max="19" width="21.23046875" customWidth="1"/>
    <col min="20" max="20" width="27.84375" style="18" customWidth="1"/>
    <col min="21" max="21" width="8.84375" style="71" bestFit="1" customWidth="1"/>
    <col min="22" max="23" width="8.84375" style="38" bestFit="1" customWidth="1"/>
    <col min="24" max="24" width="11.07421875" style="27"/>
    <col min="26" max="26" width="23.3828125" bestFit="1" customWidth="1"/>
    <col min="27" max="27" width="12.69140625" style="9" bestFit="1" customWidth="1"/>
    <col min="29" max="29" width="16.3828125" bestFit="1" customWidth="1"/>
    <col min="30" max="30" width="13.921875" style="13" bestFit="1" customWidth="1"/>
  </cols>
  <sheetData>
    <row r="1" spans="1:31" x14ac:dyDescent="0.4">
      <c r="A1" t="s">
        <v>731</v>
      </c>
      <c r="B1" t="s">
        <v>699</v>
      </c>
      <c r="C1" t="s">
        <v>700</v>
      </c>
      <c r="D1" t="s">
        <v>701</v>
      </c>
      <c r="E1" s="63" t="s">
        <v>702</v>
      </c>
      <c r="F1" s="29" t="s">
        <v>329</v>
      </c>
      <c r="G1" s="29" t="s">
        <v>703</v>
      </c>
      <c r="H1" s="29" t="s">
        <v>704</v>
      </c>
      <c r="I1" s="19"/>
      <c r="J1" s="3"/>
      <c r="K1" s="3"/>
      <c r="L1" s="29" t="s">
        <v>329</v>
      </c>
      <c r="M1" s="29" t="s">
        <v>703</v>
      </c>
      <c r="N1" s="29" t="s">
        <v>704</v>
      </c>
      <c r="O1" s="29"/>
      <c r="Q1" t="s">
        <v>699</v>
      </c>
      <c r="R1" t="s">
        <v>700</v>
      </c>
      <c r="S1" t="s">
        <v>701</v>
      </c>
      <c r="T1" s="18" t="s">
        <v>702</v>
      </c>
      <c r="U1" s="71" t="s">
        <v>329</v>
      </c>
      <c r="V1" s="38" t="s">
        <v>703</v>
      </c>
      <c r="W1" s="38" t="s">
        <v>704</v>
      </c>
    </row>
    <row r="2" spans="1:31" x14ac:dyDescent="0.4">
      <c r="B2" s="5" t="str">
        <f>+C2&amp;"-"&amp;E2</f>
        <v>VA-Municipio Autónomo Vargas</v>
      </c>
      <c r="C2" s="5" t="str">
        <f>+MID(D2,1,2)</f>
        <v>VA</v>
      </c>
      <c r="D2" s="25" t="s">
        <v>288</v>
      </c>
      <c r="E2" s="64" t="s">
        <v>757</v>
      </c>
      <c r="F2" s="2">
        <f>+L2</f>
        <v>0</v>
      </c>
      <c r="G2" s="2">
        <f t="shared" ref="G2:H2" si="0">+M2</f>
        <v>0</v>
      </c>
      <c r="H2" s="2">
        <f t="shared" si="0"/>
        <v>0</v>
      </c>
      <c r="I2" s="12" t="e">
        <f t="shared" ref="I2:I26" si="1">+VLOOKUP(B2,$Q$2:$U$373,5,FALSE)</f>
        <v>#N/A</v>
      </c>
      <c r="J2" s="34" t="e">
        <f>+I2-F2</f>
        <v>#N/A</v>
      </c>
      <c r="K2" s="34"/>
      <c r="L2" s="2">
        <f>IFERROR(VLOOKUP(B2,$Q$2:$U$373,5,FALSE),0)</f>
        <v>0</v>
      </c>
      <c r="M2" s="2">
        <f>IFERROR(VLOOKUP(B2,$Q$2:$W$373,6,FALSE),0)</f>
        <v>0</v>
      </c>
      <c r="N2" s="2">
        <f>IFERROR(VLOOKUP(B2,$Q$2:$W$373,7,FALSE),0)</f>
        <v>0</v>
      </c>
      <c r="O2" s="29"/>
      <c r="P2" s="2"/>
      <c r="Q2" s="5"/>
      <c r="R2" s="5"/>
      <c r="S2" s="61"/>
      <c r="T2" s="62"/>
      <c r="U2" s="72"/>
      <c r="V2" s="48"/>
      <c r="W2" s="48"/>
      <c r="X2" s="41"/>
    </row>
    <row r="3" spans="1:31" x14ac:dyDescent="0.4">
      <c r="B3" s="5" t="str">
        <f>+C3&amp;"-"&amp;E3</f>
        <v>DI-Municipio Autónomo Vargas</v>
      </c>
      <c r="C3" s="5" t="str">
        <f>+MID(D3,1,2)</f>
        <v>DI</v>
      </c>
      <c r="D3" s="6" t="s">
        <v>759</v>
      </c>
      <c r="E3" s="64" t="s">
        <v>757</v>
      </c>
      <c r="F3" s="2">
        <f t="shared" ref="F3:F66" si="2">+L3</f>
        <v>0</v>
      </c>
      <c r="G3" s="2">
        <f t="shared" ref="G3:G66" si="3">+M3</f>
        <v>0</v>
      </c>
      <c r="H3" s="2">
        <f t="shared" ref="H3:H66" si="4">+N3</f>
        <v>0</v>
      </c>
      <c r="I3" s="12" t="e">
        <f t="shared" si="1"/>
        <v>#N/A</v>
      </c>
      <c r="J3" s="34" t="e">
        <f>+I3-F3</f>
        <v>#N/A</v>
      </c>
      <c r="K3" s="34"/>
      <c r="L3" s="2">
        <f>IFERROR(VLOOKUP(B3,$Q$2:$U$373,5,FALSE),0)</f>
        <v>0</v>
      </c>
      <c r="M3" s="2">
        <f>IFERROR(VLOOKUP(B3,$Q$2:$W$373,6,FALSE),0)</f>
        <v>0</v>
      </c>
      <c r="N3" s="2">
        <f>IFERROR(VLOOKUP(B3,$Q$2:$W$373,7,FALSE),0)</f>
        <v>0</v>
      </c>
      <c r="O3" s="2"/>
      <c r="P3" s="2"/>
      <c r="Q3" s="5"/>
      <c r="R3" s="5"/>
      <c r="S3" s="61"/>
      <c r="T3" s="62"/>
      <c r="U3" s="72"/>
      <c r="V3" s="48"/>
      <c r="W3" s="48"/>
      <c r="X3" s="41"/>
      <c r="Z3" s="21" t="s">
        <v>331</v>
      </c>
      <c r="AA3" t="s">
        <v>705</v>
      </c>
      <c r="AC3" s="21" t="s">
        <v>331</v>
      </c>
      <c r="AD3" s="35" t="s">
        <v>705</v>
      </c>
    </row>
    <row r="4" spans="1:31" x14ac:dyDescent="0.4">
      <c r="B4" s="5" t="str">
        <f>+C4&amp;"-"&amp;E4</f>
        <v>DI-Municipio Autónomo Libertador</v>
      </c>
      <c r="C4" s="5" t="str">
        <f>+MID(D4,1,2)</f>
        <v>DI</v>
      </c>
      <c r="D4" s="25" t="s">
        <v>106</v>
      </c>
      <c r="E4" s="64" t="s">
        <v>756</v>
      </c>
      <c r="F4" s="2">
        <f t="shared" si="2"/>
        <v>0</v>
      </c>
      <c r="G4" s="2">
        <f t="shared" si="3"/>
        <v>0</v>
      </c>
      <c r="H4" s="2">
        <f t="shared" si="4"/>
        <v>0</v>
      </c>
      <c r="I4" s="12" t="e">
        <f t="shared" si="1"/>
        <v>#N/A</v>
      </c>
      <c r="J4" s="34" t="e">
        <f>+I4-F4</f>
        <v>#N/A</v>
      </c>
      <c r="K4" s="34"/>
      <c r="L4" s="2">
        <f>IFERROR(VLOOKUP(B4,$Q$2:$U$373,5,FALSE),0)</f>
        <v>0</v>
      </c>
      <c r="M4" s="2">
        <f>IFERROR(VLOOKUP(B4,$Q$2:$W$373,6,FALSE),0)</f>
        <v>0</v>
      </c>
      <c r="N4" s="2">
        <f>IFERROR(VLOOKUP(B4,$Q$2:$W$373,7,FALSE),0)</f>
        <v>0</v>
      </c>
      <c r="O4" s="2"/>
      <c r="P4" s="2"/>
      <c r="Q4" s="5"/>
      <c r="R4" s="5"/>
      <c r="S4" s="61"/>
      <c r="T4" s="24"/>
      <c r="U4" s="72"/>
      <c r="V4" s="48"/>
      <c r="W4" s="48"/>
      <c r="X4" s="41"/>
      <c r="Z4" s="5" t="s">
        <v>1</v>
      </c>
      <c r="AA4" s="22">
        <v>396</v>
      </c>
      <c r="AC4" s="5" t="s">
        <v>1</v>
      </c>
      <c r="AD4" s="35">
        <v>396</v>
      </c>
      <c r="AE4" s="35">
        <f>+AA4-AD4</f>
        <v>0</v>
      </c>
    </row>
    <row r="5" spans="1:31" x14ac:dyDescent="0.4">
      <c r="B5" s="5" t="s">
        <v>335</v>
      </c>
      <c r="C5" s="5" t="s">
        <v>706</v>
      </c>
      <c r="D5" s="25" t="s">
        <v>106</v>
      </c>
      <c r="E5" s="64" t="s">
        <v>105</v>
      </c>
      <c r="F5" s="2">
        <f t="shared" si="2"/>
        <v>0</v>
      </c>
      <c r="G5" s="2">
        <f t="shared" si="3"/>
        <v>0</v>
      </c>
      <c r="H5" s="2">
        <f t="shared" si="4"/>
        <v>0</v>
      </c>
      <c r="I5" s="12" t="e">
        <f t="shared" si="1"/>
        <v>#N/A</v>
      </c>
      <c r="J5" s="34" t="e">
        <f>+I5-F5</f>
        <v>#N/A</v>
      </c>
      <c r="K5" s="34"/>
      <c r="L5" s="2">
        <f t="shared" ref="L5:L68" si="5">IFERROR(VLOOKUP(B5,$Q$2:$U$373,5,FALSE),0)</f>
        <v>0</v>
      </c>
      <c r="M5" s="2">
        <f t="shared" ref="M5:M68" si="6">IFERROR(VLOOKUP(B5,$Q$2:$W$373,6,FALSE),0)</f>
        <v>0</v>
      </c>
      <c r="N5" s="2">
        <f t="shared" ref="N5:N68" si="7">IFERROR(VLOOKUP(B5,$Q$2:$W$373,7,FALSE),0)</f>
        <v>0</v>
      </c>
      <c r="O5" s="2"/>
      <c r="P5" s="2"/>
      <c r="Q5" s="5"/>
      <c r="R5" s="5"/>
      <c r="S5" s="61"/>
      <c r="T5" s="24"/>
      <c r="U5" s="72"/>
      <c r="V5" s="48"/>
      <c r="W5" s="48"/>
      <c r="X5" s="41"/>
      <c r="Z5" s="5" t="s">
        <v>7</v>
      </c>
      <c r="AA5" s="22">
        <v>3262</v>
      </c>
      <c r="AC5" s="5" t="s">
        <v>7</v>
      </c>
      <c r="AD5" s="35">
        <v>3262</v>
      </c>
      <c r="AE5" s="35">
        <f t="shared" ref="AE5:AE12" si="8">+AA5-AD5</f>
        <v>0</v>
      </c>
    </row>
    <row r="6" spans="1:31" x14ac:dyDescent="0.4">
      <c r="B6" s="5" t="s">
        <v>336</v>
      </c>
      <c r="C6" s="5" t="s">
        <v>706</v>
      </c>
      <c r="D6" s="25" t="s">
        <v>106</v>
      </c>
      <c r="E6" s="64" t="s">
        <v>107</v>
      </c>
      <c r="F6" s="2">
        <f t="shared" si="2"/>
        <v>0</v>
      </c>
      <c r="G6" s="2">
        <f t="shared" si="3"/>
        <v>0</v>
      </c>
      <c r="H6" s="2">
        <f t="shared" si="4"/>
        <v>0</v>
      </c>
      <c r="I6" s="12" t="e">
        <f t="shared" si="1"/>
        <v>#N/A</v>
      </c>
      <c r="J6" s="34" t="e">
        <f t="shared" ref="J6:J71" si="9">+I6-F6</f>
        <v>#N/A</v>
      </c>
      <c r="K6" s="34"/>
      <c r="L6" s="2">
        <f t="shared" si="5"/>
        <v>0</v>
      </c>
      <c r="M6" s="2">
        <f t="shared" si="6"/>
        <v>0</v>
      </c>
      <c r="N6" s="2">
        <f t="shared" si="7"/>
        <v>0</v>
      </c>
      <c r="O6" s="2"/>
      <c r="P6" s="2"/>
      <c r="Q6" s="5"/>
      <c r="R6" s="5"/>
      <c r="S6" s="61"/>
      <c r="T6" s="24"/>
      <c r="U6" s="72"/>
      <c r="V6" s="48"/>
      <c r="W6" s="48"/>
      <c r="X6" s="41"/>
      <c r="Z6" s="5" t="s">
        <v>29</v>
      </c>
      <c r="AA6" s="22">
        <v>1223</v>
      </c>
      <c r="AC6" s="5" t="s">
        <v>29</v>
      </c>
      <c r="AD6" s="35">
        <v>1223</v>
      </c>
      <c r="AE6" s="35">
        <f t="shared" si="8"/>
        <v>0</v>
      </c>
    </row>
    <row r="7" spans="1:31" x14ac:dyDescent="0.4">
      <c r="B7" s="5" t="s">
        <v>337</v>
      </c>
      <c r="C7" s="5" t="s">
        <v>706</v>
      </c>
      <c r="D7" s="25" t="s">
        <v>106</v>
      </c>
      <c r="E7" s="64" t="s">
        <v>108</v>
      </c>
      <c r="F7" s="2">
        <f t="shared" si="2"/>
        <v>0</v>
      </c>
      <c r="G7" s="2">
        <f t="shared" si="3"/>
        <v>0</v>
      </c>
      <c r="H7" s="2">
        <f t="shared" si="4"/>
        <v>0</v>
      </c>
      <c r="I7" s="12" t="e">
        <f t="shared" si="1"/>
        <v>#N/A</v>
      </c>
      <c r="J7" s="34" t="e">
        <f t="shared" si="9"/>
        <v>#N/A</v>
      </c>
      <c r="K7" s="34"/>
      <c r="L7" s="2">
        <f t="shared" si="5"/>
        <v>0</v>
      </c>
      <c r="M7" s="2">
        <f t="shared" si="6"/>
        <v>0</v>
      </c>
      <c r="N7" s="2">
        <f t="shared" si="7"/>
        <v>0</v>
      </c>
      <c r="O7" s="2"/>
      <c r="P7" s="2"/>
      <c r="Q7" s="5"/>
      <c r="R7" s="5"/>
      <c r="S7" s="61"/>
      <c r="T7" s="24"/>
      <c r="U7" s="72"/>
      <c r="V7" s="48"/>
      <c r="W7" s="48"/>
      <c r="X7" s="41"/>
      <c r="Z7" s="5" t="s">
        <v>37</v>
      </c>
      <c r="AA7" s="22">
        <v>6058</v>
      </c>
      <c r="AC7" s="5" t="s">
        <v>37</v>
      </c>
      <c r="AD7" s="35">
        <v>6058</v>
      </c>
      <c r="AE7" s="35">
        <f t="shared" si="8"/>
        <v>0</v>
      </c>
    </row>
    <row r="8" spans="1:31" x14ac:dyDescent="0.4">
      <c r="B8" s="5" t="s">
        <v>338</v>
      </c>
      <c r="C8" s="5" t="s">
        <v>706</v>
      </c>
      <c r="D8" s="25" t="s">
        <v>106</v>
      </c>
      <c r="E8" s="64" t="s">
        <v>109</v>
      </c>
      <c r="F8" s="2">
        <f t="shared" si="2"/>
        <v>0</v>
      </c>
      <c r="G8" s="2">
        <f t="shared" si="3"/>
        <v>0</v>
      </c>
      <c r="H8" s="2">
        <f t="shared" si="4"/>
        <v>0</v>
      </c>
      <c r="I8" s="12" t="e">
        <f t="shared" si="1"/>
        <v>#N/A</v>
      </c>
      <c r="J8" s="34" t="e">
        <f t="shared" si="9"/>
        <v>#N/A</v>
      </c>
      <c r="K8" s="34"/>
      <c r="L8" s="2">
        <f t="shared" si="5"/>
        <v>0</v>
      </c>
      <c r="M8" s="2">
        <f t="shared" si="6"/>
        <v>0</v>
      </c>
      <c r="N8" s="2">
        <f t="shared" si="7"/>
        <v>0</v>
      </c>
      <c r="O8" s="2"/>
      <c r="P8" s="2"/>
      <c r="Q8" s="5"/>
      <c r="R8" s="5"/>
      <c r="S8" s="61"/>
      <c r="T8" s="24"/>
      <c r="U8" s="72"/>
      <c r="V8" s="48"/>
      <c r="W8" s="48"/>
      <c r="X8" s="41"/>
      <c r="Z8" s="5" t="s">
        <v>56</v>
      </c>
      <c r="AA8" s="22">
        <v>2321</v>
      </c>
      <c r="AC8" s="5" t="s">
        <v>56</v>
      </c>
      <c r="AD8" s="35">
        <v>2321</v>
      </c>
      <c r="AE8" s="35">
        <f t="shared" si="8"/>
        <v>0</v>
      </c>
    </row>
    <row r="9" spans="1:31" x14ac:dyDescent="0.4">
      <c r="B9" s="5" t="s">
        <v>339</v>
      </c>
      <c r="C9" s="5" t="s">
        <v>706</v>
      </c>
      <c r="D9" s="25" t="s">
        <v>106</v>
      </c>
      <c r="E9" s="64" t="s">
        <v>110</v>
      </c>
      <c r="F9" s="2">
        <f t="shared" si="2"/>
        <v>0</v>
      </c>
      <c r="G9" s="2">
        <f t="shared" si="3"/>
        <v>0</v>
      </c>
      <c r="H9" s="2">
        <f t="shared" si="4"/>
        <v>0</v>
      </c>
      <c r="I9" s="12" t="e">
        <f t="shared" si="1"/>
        <v>#N/A</v>
      </c>
      <c r="J9" s="34" t="e">
        <f t="shared" si="9"/>
        <v>#N/A</v>
      </c>
      <c r="K9" s="34"/>
      <c r="L9" s="2">
        <f t="shared" si="5"/>
        <v>0</v>
      </c>
      <c r="M9" s="2">
        <f t="shared" si="6"/>
        <v>0</v>
      </c>
      <c r="N9" s="2">
        <f t="shared" si="7"/>
        <v>0</v>
      </c>
      <c r="O9" s="2"/>
      <c r="P9" s="2"/>
      <c r="Q9" s="5"/>
      <c r="R9" s="5"/>
      <c r="S9" s="61"/>
      <c r="T9" s="24"/>
      <c r="U9" s="72"/>
      <c r="V9" s="48"/>
      <c r="W9" s="48"/>
      <c r="X9" s="41"/>
      <c r="Z9" s="5" t="s">
        <v>68</v>
      </c>
      <c r="AA9" s="22">
        <v>5047</v>
      </c>
      <c r="AC9" s="5" t="s">
        <v>68</v>
      </c>
      <c r="AD9" s="35">
        <v>5047</v>
      </c>
      <c r="AE9" s="35">
        <f t="shared" si="8"/>
        <v>0</v>
      </c>
    </row>
    <row r="10" spans="1:31" x14ac:dyDescent="0.4">
      <c r="B10" s="5" t="s">
        <v>340</v>
      </c>
      <c r="C10" s="5" t="s">
        <v>706</v>
      </c>
      <c r="D10" s="25" t="s">
        <v>106</v>
      </c>
      <c r="E10" s="64" t="s">
        <v>111</v>
      </c>
      <c r="F10" s="2">
        <f t="shared" si="2"/>
        <v>0</v>
      </c>
      <c r="G10" s="2">
        <f t="shared" si="3"/>
        <v>0</v>
      </c>
      <c r="H10" s="2">
        <f t="shared" si="4"/>
        <v>0</v>
      </c>
      <c r="I10" s="12" t="e">
        <f t="shared" si="1"/>
        <v>#N/A</v>
      </c>
      <c r="J10" s="34" t="e">
        <f t="shared" si="9"/>
        <v>#N/A</v>
      </c>
      <c r="K10" s="34"/>
      <c r="L10" s="2">
        <f t="shared" si="5"/>
        <v>0</v>
      </c>
      <c r="M10" s="2">
        <f t="shared" si="6"/>
        <v>0</v>
      </c>
      <c r="N10" s="2">
        <f t="shared" si="7"/>
        <v>0</v>
      </c>
      <c r="O10" s="2"/>
      <c r="P10" s="2"/>
      <c r="Q10" s="5"/>
      <c r="R10" s="5"/>
      <c r="S10" s="61"/>
      <c r="T10" s="24"/>
      <c r="U10" s="72"/>
      <c r="V10" s="48"/>
      <c r="W10" s="48"/>
      <c r="X10" s="41"/>
      <c r="Z10" s="5" t="s">
        <v>79</v>
      </c>
      <c r="AA10" s="22">
        <v>7960</v>
      </c>
      <c r="AC10" s="5" t="s">
        <v>79</v>
      </c>
      <c r="AD10" s="35">
        <v>7960</v>
      </c>
      <c r="AE10" s="35">
        <f t="shared" si="8"/>
        <v>0</v>
      </c>
    </row>
    <row r="11" spans="1:31" x14ac:dyDescent="0.4">
      <c r="B11" s="5" t="s">
        <v>341</v>
      </c>
      <c r="C11" s="5" t="s">
        <v>706</v>
      </c>
      <c r="D11" s="25" t="s">
        <v>106</v>
      </c>
      <c r="E11" s="64" t="s">
        <v>112</v>
      </c>
      <c r="F11" s="2">
        <f t="shared" si="2"/>
        <v>0</v>
      </c>
      <c r="G11" s="2">
        <f t="shared" si="3"/>
        <v>0</v>
      </c>
      <c r="H11" s="2">
        <f t="shared" si="4"/>
        <v>0</v>
      </c>
      <c r="I11" s="12" t="e">
        <f t="shared" si="1"/>
        <v>#N/A</v>
      </c>
      <c r="J11" s="34" t="e">
        <f t="shared" si="9"/>
        <v>#N/A</v>
      </c>
      <c r="K11" s="34"/>
      <c r="L11" s="2">
        <f t="shared" si="5"/>
        <v>0</v>
      </c>
      <c r="M11" s="2">
        <f t="shared" si="6"/>
        <v>0</v>
      </c>
      <c r="N11" s="2">
        <f t="shared" si="7"/>
        <v>0</v>
      </c>
      <c r="O11" s="2"/>
      <c r="P11" s="2"/>
      <c r="Q11" s="5"/>
      <c r="R11" s="5"/>
      <c r="S11" s="61"/>
      <c r="T11" s="24"/>
      <c r="U11" s="72"/>
      <c r="V11" s="48"/>
      <c r="W11" s="48"/>
      <c r="X11" s="41"/>
      <c r="Z11" s="5" t="s">
        <v>93</v>
      </c>
      <c r="AA11" s="22">
        <v>1027</v>
      </c>
      <c r="AC11" s="5" t="s">
        <v>93</v>
      </c>
      <c r="AD11" s="35">
        <v>1027</v>
      </c>
      <c r="AE11" s="35">
        <f t="shared" si="8"/>
        <v>0</v>
      </c>
    </row>
    <row r="12" spans="1:31" x14ac:dyDescent="0.4">
      <c r="B12" s="5" t="s">
        <v>342</v>
      </c>
      <c r="C12" s="5" t="s">
        <v>706</v>
      </c>
      <c r="D12" s="25" t="s">
        <v>106</v>
      </c>
      <c r="E12" s="64" t="s">
        <v>113</v>
      </c>
      <c r="F12" s="2">
        <f t="shared" si="2"/>
        <v>0</v>
      </c>
      <c r="G12" s="2">
        <f t="shared" si="3"/>
        <v>0</v>
      </c>
      <c r="H12" s="2">
        <f t="shared" si="4"/>
        <v>0</v>
      </c>
      <c r="I12" s="12" t="e">
        <f t="shared" si="1"/>
        <v>#N/A</v>
      </c>
      <c r="J12" s="34" t="e">
        <f t="shared" si="9"/>
        <v>#N/A</v>
      </c>
      <c r="K12" s="34"/>
      <c r="L12" s="2">
        <f t="shared" si="5"/>
        <v>0</v>
      </c>
      <c r="M12" s="2">
        <f t="shared" si="6"/>
        <v>0</v>
      </c>
      <c r="N12" s="2">
        <f t="shared" si="7"/>
        <v>0</v>
      </c>
      <c r="O12" s="2"/>
      <c r="P12" s="2"/>
      <c r="Q12" s="5"/>
      <c r="R12" s="5"/>
      <c r="S12" s="61"/>
      <c r="T12" s="24"/>
      <c r="U12" s="72"/>
      <c r="V12" s="48"/>
      <c r="W12" s="48"/>
      <c r="X12" s="41"/>
      <c r="Z12" s="5" t="s">
        <v>101</v>
      </c>
      <c r="AA12" s="22">
        <v>393</v>
      </c>
      <c r="AC12" s="5" t="s">
        <v>101</v>
      </c>
      <c r="AD12" s="35">
        <v>393</v>
      </c>
      <c r="AE12" s="35">
        <f t="shared" si="8"/>
        <v>0</v>
      </c>
    </row>
    <row r="13" spans="1:31" x14ac:dyDescent="0.4">
      <c r="B13" s="5" t="s">
        <v>343</v>
      </c>
      <c r="C13" s="5" t="s">
        <v>706</v>
      </c>
      <c r="D13" s="25" t="s">
        <v>106</v>
      </c>
      <c r="E13" s="64" t="s">
        <v>114</v>
      </c>
      <c r="F13" s="2">
        <f t="shared" si="2"/>
        <v>0</v>
      </c>
      <c r="G13" s="2">
        <f t="shared" si="3"/>
        <v>0</v>
      </c>
      <c r="H13" s="2">
        <f t="shared" si="4"/>
        <v>0</v>
      </c>
      <c r="I13" s="12" t="e">
        <f t="shared" si="1"/>
        <v>#N/A</v>
      </c>
      <c r="J13" s="34" t="e">
        <f t="shared" si="9"/>
        <v>#N/A</v>
      </c>
      <c r="K13" s="34"/>
      <c r="L13" s="2">
        <f t="shared" si="5"/>
        <v>0</v>
      </c>
      <c r="M13" s="2">
        <f t="shared" si="6"/>
        <v>0</v>
      </c>
      <c r="N13" s="2">
        <f t="shared" si="7"/>
        <v>0</v>
      </c>
      <c r="O13" s="2"/>
      <c r="P13" s="2"/>
      <c r="Q13" s="5"/>
      <c r="R13" s="5"/>
      <c r="S13" s="61"/>
      <c r="T13" s="64"/>
      <c r="U13" s="72"/>
      <c r="V13" s="48"/>
      <c r="W13" s="48"/>
      <c r="X13" s="41"/>
      <c r="Z13" s="5" t="s">
        <v>734</v>
      </c>
      <c r="AA13" s="22">
        <v>0</v>
      </c>
      <c r="AC13" s="5" t="s">
        <v>784</v>
      </c>
      <c r="AD13" s="35">
        <v>14866</v>
      </c>
      <c r="AE13" s="35">
        <f>+AA14-AD13</f>
        <v>-1354</v>
      </c>
    </row>
    <row r="14" spans="1:31" x14ac:dyDescent="0.4">
      <c r="B14" s="5" t="s">
        <v>344</v>
      </c>
      <c r="C14" s="5" t="s">
        <v>706</v>
      </c>
      <c r="D14" s="25" t="s">
        <v>106</v>
      </c>
      <c r="E14" s="64" t="s">
        <v>115</v>
      </c>
      <c r="F14" s="2">
        <f t="shared" si="2"/>
        <v>0</v>
      </c>
      <c r="G14" s="2">
        <f t="shared" si="3"/>
        <v>0</v>
      </c>
      <c r="H14" s="2">
        <f t="shared" si="4"/>
        <v>0</v>
      </c>
      <c r="I14" s="12" t="e">
        <f t="shared" si="1"/>
        <v>#N/A</v>
      </c>
      <c r="J14" s="34" t="e">
        <f t="shared" si="9"/>
        <v>#N/A</v>
      </c>
      <c r="K14" s="34"/>
      <c r="L14" s="2">
        <f t="shared" si="5"/>
        <v>0</v>
      </c>
      <c r="M14" s="2">
        <f t="shared" si="6"/>
        <v>0</v>
      </c>
      <c r="N14" s="2">
        <f t="shared" si="7"/>
        <v>0</v>
      </c>
      <c r="O14" s="2"/>
      <c r="P14" s="2"/>
      <c r="Q14" s="5"/>
      <c r="R14" s="5"/>
      <c r="S14" s="61"/>
      <c r="T14" s="64"/>
      <c r="U14" s="72"/>
      <c r="V14" s="48"/>
      <c r="W14" s="48"/>
      <c r="X14" s="41"/>
      <c r="Z14" s="5" t="s">
        <v>106</v>
      </c>
      <c r="AA14" s="22">
        <v>13512</v>
      </c>
      <c r="AC14" s="5" t="s">
        <v>785</v>
      </c>
      <c r="AD14" s="35">
        <v>2543</v>
      </c>
      <c r="AE14" s="35">
        <f>+AA16-AD14</f>
        <v>0</v>
      </c>
    </row>
    <row r="15" spans="1:31" x14ac:dyDescent="0.4">
      <c r="B15" s="5" t="s">
        <v>345</v>
      </c>
      <c r="C15" s="5" t="s">
        <v>706</v>
      </c>
      <c r="D15" s="25" t="s">
        <v>106</v>
      </c>
      <c r="E15" s="64" t="s">
        <v>116</v>
      </c>
      <c r="F15" s="2">
        <f t="shared" si="2"/>
        <v>0</v>
      </c>
      <c r="G15" s="2">
        <f t="shared" si="3"/>
        <v>0</v>
      </c>
      <c r="H15" s="2">
        <f t="shared" si="4"/>
        <v>0</v>
      </c>
      <c r="I15" s="12" t="e">
        <f t="shared" si="1"/>
        <v>#N/A</v>
      </c>
      <c r="J15" s="34" t="e">
        <f t="shared" si="9"/>
        <v>#N/A</v>
      </c>
      <c r="K15" s="34"/>
      <c r="L15" s="2">
        <f t="shared" si="5"/>
        <v>0</v>
      </c>
      <c r="M15" s="2">
        <f t="shared" si="6"/>
        <v>0</v>
      </c>
      <c r="N15" s="2">
        <f t="shared" si="7"/>
        <v>0</v>
      </c>
      <c r="O15" s="2"/>
      <c r="P15" s="2"/>
      <c r="Q15" s="5"/>
      <c r="R15" s="5"/>
      <c r="S15" s="61"/>
      <c r="T15" s="24"/>
      <c r="U15" s="72"/>
      <c r="V15" s="48"/>
      <c r="W15" s="48"/>
      <c r="X15" s="41"/>
      <c r="Z15" s="5" t="s">
        <v>334</v>
      </c>
      <c r="AA15" s="22">
        <v>1354</v>
      </c>
      <c r="AC15" s="5" t="s">
        <v>786</v>
      </c>
      <c r="AD15" s="35">
        <v>2798</v>
      </c>
      <c r="AE15" s="35">
        <f t="shared" ref="AE15:AE24" si="10">+AA17-AD15</f>
        <v>0</v>
      </c>
    </row>
    <row r="16" spans="1:31" x14ac:dyDescent="0.4">
      <c r="B16" s="5" t="s">
        <v>346</v>
      </c>
      <c r="C16" s="5" t="s">
        <v>706</v>
      </c>
      <c r="D16" s="25" t="s">
        <v>106</v>
      </c>
      <c r="E16" s="64" t="s">
        <v>117</v>
      </c>
      <c r="F16" s="2">
        <f t="shared" si="2"/>
        <v>0</v>
      </c>
      <c r="G16" s="2">
        <f t="shared" si="3"/>
        <v>0</v>
      </c>
      <c r="H16" s="2">
        <f t="shared" si="4"/>
        <v>0</v>
      </c>
      <c r="I16" s="12" t="e">
        <f t="shared" si="1"/>
        <v>#N/A</v>
      </c>
      <c r="J16" s="34" t="e">
        <f t="shared" si="9"/>
        <v>#N/A</v>
      </c>
      <c r="K16" s="34"/>
      <c r="L16" s="2">
        <f t="shared" si="5"/>
        <v>0</v>
      </c>
      <c r="M16" s="2">
        <f t="shared" si="6"/>
        <v>0</v>
      </c>
      <c r="N16" s="2">
        <f t="shared" si="7"/>
        <v>0</v>
      </c>
      <c r="O16" s="2"/>
      <c r="P16" s="2"/>
      <c r="Q16" s="5"/>
      <c r="R16" s="5"/>
      <c r="S16" s="61"/>
      <c r="T16" s="24"/>
      <c r="U16" s="72"/>
      <c r="V16" s="48"/>
      <c r="W16" s="48"/>
      <c r="X16" s="41"/>
      <c r="Z16" s="5" t="s">
        <v>129</v>
      </c>
      <c r="AA16" s="22">
        <v>2543</v>
      </c>
      <c r="AC16" s="5" t="s">
        <v>164</v>
      </c>
      <c r="AD16" s="35">
        <v>6747</v>
      </c>
      <c r="AE16" s="35">
        <f t="shared" si="10"/>
        <v>0</v>
      </c>
    </row>
    <row r="17" spans="2:31" x14ac:dyDescent="0.4">
      <c r="B17" s="5" t="s">
        <v>347</v>
      </c>
      <c r="C17" s="5" t="s">
        <v>706</v>
      </c>
      <c r="D17" s="25" t="s">
        <v>106</v>
      </c>
      <c r="E17" s="64" t="s">
        <v>118</v>
      </c>
      <c r="F17" s="2">
        <f t="shared" si="2"/>
        <v>0</v>
      </c>
      <c r="G17" s="2">
        <f t="shared" si="3"/>
        <v>0</v>
      </c>
      <c r="H17" s="2">
        <f t="shared" si="4"/>
        <v>0</v>
      </c>
      <c r="I17" s="12" t="e">
        <f t="shared" si="1"/>
        <v>#N/A</v>
      </c>
      <c r="J17" s="34" t="e">
        <f t="shared" si="9"/>
        <v>#N/A</v>
      </c>
      <c r="K17" s="34"/>
      <c r="L17" s="2">
        <f t="shared" si="5"/>
        <v>0</v>
      </c>
      <c r="M17" s="2">
        <f t="shared" si="6"/>
        <v>0</v>
      </c>
      <c r="N17" s="2">
        <f t="shared" si="7"/>
        <v>0</v>
      </c>
      <c r="O17" s="2"/>
      <c r="P17" s="2"/>
      <c r="Q17" s="5"/>
      <c r="R17" s="5"/>
      <c r="S17" s="61"/>
      <c r="T17" s="24"/>
      <c r="U17" s="72"/>
      <c r="V17" s="48"/>
      <c r="W17" s="48"/>
      <c r="X17" s="41"/>
      <c r="Z17" s="5" t="s">
        <v>150</v>
      </c>
      <c r="AA17" s="22">
        <v>2798</v>
      </c>
      <c r="AC17" s="5" t="s">
        <v>173</v>
      </c>
      <c r="AD17" s="35">
        <v>3552</v>
      </c>
      <c r="AE17" s="35">
        <f t="shared" si="10"/>
        <v>0</v>
      </c>
    </row>
    <row r="18" spans="2:31" x14ac:dyDescent="0.4">
      <c r="B18" s="5" t="s">
        <v>348</v>
      </c>
      <c r="C18" s="5" t="s">
        <v>706</v>
      </c>
      <c r="D18" s="25" t="s">
        <v>106</v>
      </c>
      <c r="E18" s="64" t="s">
        <v>119</v>
      </c>
      <c r="F18" s="2">
        <f t="shared" si="2"/>
        <v>0</v>
      </c>
      <c r="G18" s="2">
        <f t="shared" si="3"/>
        <v>0</v>
      </c>
      <c r="H18" s="2">
        <f t="shared" si="4"/>
        <v>0</v>
      </c>
      <c r="I18" s="12" t="e">
        <f t="shared" si="1"/>
        <v>#N/A</v>
      </c>
      <c r="J18" s="34" t="e">
        <f t="shared" si="9"/>
        <v>#N/A</v>
      </c>
      <c r="K18" s="34"/>
      <c r="L18" s="2">
        <f t="shared" si="5"/>
        <v>0</v>
      </c>
      <c r="M18" s="2">
        <f t="shared" si="6"/>
        <v>0</v>
      </c>
      <c r="N18" s="2">
        <f t="shared" si="7"/>
        <v>0</v>
      </c>
      <c r="O18" s="2"/>
      <c r="P18" s="2"/>
      <c r="Q18" s="5"/>
      <c r="R18" s="5"/>
      <c r="S18" s="61"/>
      <c r="T18" s="24"/>
      <c r="U18" s="72"/>
      <c r="V18" s="48"/>
      <c r="W18" s="48"/>
      <c r="X18" s="41"/>
      <c r="Z18" s="5" t="s">
        <v>164</v>
      </c>
      <c r="AA18" s="22">
        <v>6747</v>
      </c>
      <c r="AC18" s="5" t="s">
        <v>193</v>
      </c>
      <c r="AD18" s="35">
        <v>9021</v>
      </c>
      <c r="AE18" s="35">
        <f t="shared" si="10"/>
        <v>0</v>
      </c>
    </row>
    <row r="19" spans="2:31" x14ac:dyDescent="0.4">
      <c r="B19" s="5" t="s">
        <v>349</v>
      </c>
      <c r="C19" s="5" t="s">
        <v>706</v>
      </c>
      <c r="D19" s="25" t="s">
        <v>106</v>
      </c>
      <c r="E19" s="64" t="s">
        <v>120</v>
      </c>
      <c r="F19" s="2">
        <f t="shared" si="2"/>
        <v>0</v>
      </c>
      <c r="G19" s="2">
        <f t="shared" si="3"/>
        <v>0</v>
      </c>
      <c r="H19" s="2">
        <f t="shared" si="4"/>
        <v>0</v>
      </c>
      <c r="I19" s="12" t="e">
        <f t="shared" si="1"/>
        <v>#N/A</v>
      </c>
      <c r="J19" s="34" t="e">
        <f t="shared" si="9"/>
        <v>#N/A</v>
      </c>
      <c r="K19" s="34"/>
      <c r="L19" s="2">
        <f t="shared" si="5"/>
        <v>0</v>
      </c>
      <c r="M19" s="2">
        <f t="shared" si="6"/>
        <v>0</v>
      </c>
      <c r="N19" s="2">
        <f t="shared" si="7"/>
        <v>0</v>
      </c>
      <c r="O19" s="2"/>
      <c r="P19" s="2"/>
      <c r="Q19" s="5"/>
      <c r="R19" s="5"/>
      <c r="S19" s="61"/>
      <c r="T19" s="24"/>
      <c r="U19" s="72"/>
      <c r="V19" s="48"/>
      <c r="W19" s="48"/>
      <c r="X19" s="41"/>
      <c r="Z19" s="5" t="s">
        <v>173</v>
      </c>
      <c r="AA19" s="22">
        <v>3552</v>
      </c>
      <c r="AC19" s="5" t="s">
        <v>207</v>
      </c>
      <c r="AD19" s="35">
        <v>2483</v>
      </c>
      <c r="AE19" s="35">
        <f t="shared" si="10"/>
        <v>0</v>
      </c>
    </row>
    <row r="20" spans="2:31" x14ac:dyDescent="0.4">
      <c r="B20" s="5" t="s">
        <v>350</v>
      </c>
      <c r="C20" s="5" t="s">
        <v>706</v>
      </c>
      <c r="D20" s="25" t="s">
        <v>106</v>
      </c>
      <c r="E20" s="64" t="s">
        <v>121</v>
      </c>
      <c r="F20" s="2">
        <f t="shared" si="2"/>
        <v>0</v>
      </c>
      <c r="G20" s="2">
        <f t="shared" si="3"/>
        <v>0</v>
      </c>
      <c r="H20" s="2">
        <f t="shared" si="4"/>
        <v>0</v>
      </c>
      <c r="I20" s="12" t="e">
        <f t="shared" si="1"/>
        <v>#N/A</v>
      </c>
      <c r="J20" s="34" t="e">
        <f t="shared" si="9"/>
        <v>#N/A</v>
      </c>
      <c r="K20" s="34"/>
      <c r="L20" s="2">
        <f t="shared" si="5"/>
        <v>0</v>
      </c>
      <c r="M20" s="2">
        <f t="shared" si="6"/>
        <v>0</v>
      </c>
      <c r="N20" s="2">
        <f t="shared" si="7"/>
        <v>0</v>
      </c>
      <c r="O20" s="2"/>
      <c r="P20" s="2"/>
      <c r="Q20" s="5"/>
      <c r="R20" s="5"/>
      <c r="S20" s="61"/>
      <c r="T20" s="24"/>
      <c r="U20" s="72"/>
      <c r="V20" s="48"/>
      <c r="W20" s="48"/>
      <c r="X20" s="41"/>
      <c r="Z20" s="5" t="s">
        <v>193</v>
      </c>
      <c r="AA20" s="22">
        <v>9021</v>
      </c>
      <c r="AC20" s="5" t="s">
        <v>216</v>
      </c>
      <c r="AD20" s="35">
        <v>1522</v>
      </c>
      <c r="AE20" s="35">
        <f t="shared" si="10"/>
        <v>0</v>
      </c>
    </row>
    <row r="21" spans="2:31" x14ac:dyDescent="0.4">
      <c r="B21" s="5" t="s">
        <v>351</v>
      </c>
      <c r="C21" s="5" t="s">
        <v>706</v>
      </c>
      <c r="D21" s="25" t="s">
        <v>106</v>
      </c>
      <c r="E21" s="64" t="s">
        <v>122</v>
      </c>
      <c r="F21" s="2">
        <f t="shared" si="2"/>
        <v>0</v>
      </c>
      <c r="G21" s="2">
        <f t="shared" si="3"/>
        <v>0</v>
      </c>
      <c r="H21" s="2">
        <f t="shared" si="4"/>
        <v>0</v>
      </c>
      <c r="I21" s="12" t="e">
        <f t="shared" si="1"/>
        <v>#N/A</v>
      </c>
      <c r="J21" s="34" t="e">
        <f t="shared" si="9"/>
        <v>#N/A</v>
      </c>
      <c r="K21" s="34"/>
      <c r="L21" s="2">
        <f t="shared" si="5"/>
        <v>0</v>
      </c>
      <c r="M21" s="2">
        <f t="shared" si="6"/>
        <v>0</v>
      </c>
      <c r="N21" s="2">
        <f t="shared" si="7"/>
        <v>0</v>
      </c>
      <c r="O21" s="2"/>
      <c r="P21" s="2"/>
      <c r="Q21" s="5"/>
      <c r="R21" s="5"/>
      <c r="S21" s="61"/>
      <c r="T21" s="24"/>
      <c r="U21" s="72"/>
      <c r="V21" s="48"/>
      <c r="W21" s="48"/>
      <c r="X21" s="41"/>
      <c r="Z21" s="5" t="s">
        <v>207</v>
      </c>
      <c r="AA21" s="22">
        <v>2483</v>
      </c>
      <c r="AC21" s="5" t="s">
        <v>227</v>
      </c>
      <c r="AD21" s="35">
        <v>2899</v>
      </c>
      <c r="AE21" s="35">
        <f t="shared" si="10"/>
        <v>0</v>
      </c>
    </row>
    <row r="22" spans="2:31" x14ac:dyDescent="0.4">
      <c r="B22" s="5" t="s">
        <v>352</v>
      </c>
      <c r="C22" s="5" t="s">
        <v>706</v>
      </c>
      <c r="D22" s="25" t="s">
        <v>106</v>
      </c>
      <c r="E22" s="64" t="s">
        <v>123</v>
      </c>
      <c r="F22" s="2">
        <f t="shared" si="2"/>
        <v>0</v>
      </c>
      <c r="G22" s="2">
        <f t="shared" si="3"/>
        <v>0</v>
      </c>
      <c r="H22" s="2">
        <f t="shared" si="4"/>
        <v>0</v>
      </c>
      <c r="I22" s="12" t="e">
        <f t="shared" si="1"/>
        <v>#N/A</v>
      </c>
      <c r="J22" s="34" t="e">
        <f t="shared" si="9"/>
        <v>#N/A</v>
      </c>
      <c r="K22" s="34"/>
      <c r="L22" s="2">
        <f t="shared" si="5"/>
        <v>0</v>
      </c>
      <c r="M22" s="2">
        <f t="shared" si="6"/>
        <v>0</v>
      </c>
      <c r="N22" s="2">
        <f t="shared" si="7"/>
        <v>0</v>
      </c>
      <c r="O22" s="2"/>
      <c r="P22" s="2"/>
      <c r="Q22" s="5"/>
      <c r="R22" s="5"/>
      <c r="S22" s="61"/>
      <c r="T22" s="24"/>
      <c r="U22" s="72"/>
      <c r="V22" s="48"/>
      <c r="W22" s="48"/>
      <c r="X22" s="41"/>
      <c r="Z22" s="5" t="s">
        <v>216</v>
      </c>
      <c r="AA22" s="22">
        <v>1522</v>
      </c>
      <c r="AC22" s="5" t="s">
        <v>239</v>
      </c>
      <c r="AD22" s="35">
        <v>2782</v>
      </c>
      <c r="AE22" s="35">
        <f t="shared" si="10"/>
        <v>0</v>
      </c>
    </row>
    <row r="23" spans="2:31" x14ac:dyDescent="0.4">
      <c r="B23" s="5" t="s">
        <v>353</v>
      </c>
      <c r="C23" s="5" t="s">
        <v>706</v>
      </c>
      <c r="D23" s="25" t="s">
        <v>106</v>
      </c>
      <c r="E23" s="64" t="s">
        <v>124</v>
      </c>
      <c r="F23" s="2">
        <f t="shared" si="2"/>
        <v>0</v>
      </c>
      <c r="G23" s="2">
        <f t="shared" si="3"/>
        <v>0</v>
      </c>
      <c r="H23" s="2">
        <f t="shared" si="4"/>
        <v>0</v>
      </c>
      <c r="I23" s="12" t="e">
        <f t="shared" si="1"/>
        <v>#N/A</v>
      </c>
      <c r="J23" s="34" t="e">
        <f t="shared" si="9"/>
        <v>#N/A</v>
      </c>
      <c r="K23" s="34"/>
      <c r="L23" s="2">
        <f t="shared" si="5"/>
        <v>0</v>
      </c>
      <c r="M23" s="2">
        <f t="shared" si="6"/>
        <v>0</v>
      </c>
      <c r="N23" s="2">
        <f t="shared" si="7"/>
        <v>0</v>
      </c>
      <c r="O23" s="2"/>
      <c r="P23" s="2"/>
      <c r="Q23" s="5"/>
      <c r="R23" s="5"/>
      <c r="S23" s="61"/>
      <c r="T23" s="24"/>
      <c r="U23" s="72"/>
      <c r="V23" s="48"/>
      <c r="W23" s="48"/>
      <c r="X23" s="41"/>
      <c r="Z23" s="5" t="s">
        <v>227</v>
      </c>
      <c r="AA23" s="22">
        <v>2899</v>
      </c>
      <c r="AC23" s="5" t="s">
        <v>249</v>
      </c>
      <c r="AD23" s="35">
        <v>4746</v>
      </c>
      <c r="AE23" s="35">
        <f t="shared" si="10"/>
        <v>0</v>
      </c>
    </row>
    <row r="24" spans="2:31" x14ac:dyDescent="0.4">
      <c r="B24" s="5" t="s">
        <v>354</v>
      </c>
      <c r="C24" s="5" t="s">
        <v>706</v>
      </c>
      <c r="D24" s="25" t="s">
        <v>106</v>
      </c>
      <c r="E24" s="64" t="s">
        <v>125</v>
      </c>
      <c r="F24" s="2">
        <f t="shared" si="2"/>
        <v>0</v>
      </c>
      <c r="G24" s="2">
        <f t="shared" si="3"/>
        <v>0</v>
      </c>
      <c r="H24" s="2">
        <f t="shared" si="4"/>
        <v>0</v>
      </c>
      <c r="I24" s="12" t="e">
        <f t="shared" si="1"/>
        <v>#N/A</v>
      </c>
      <c r="J24" s="34" t="e">
        <f t="shared" si="9"/>
        <v>#N/A</v>
      </c>
      <c r="K24" s="34"/>
      <c r="L24" s="2">
        <f t="shared" si="5"/>
        <v>0</v>
      </c>
      <c r="M24" s="2">
        <f t="shared" si="6"/>
        <v>0</v>
      </c>
      <c r="N24" s="2">
        <f t="shared" si="7"/>
        <v>0</v>
      </c>
      <c r="O24" s="2"/>
      <c r="P24" s="2"/>
      <c r="Q24" s="5"/>
      <c r="R24" s="5"/>
      <c r="S24" s="61"/>
      <c r="T24" s="24"/>
      <c r="U24" s="72"/>
      <c r="V24" s="48"/>
      <c r="W24" s="48"/>
      <c r="X24" s="41"/>
      <c r="Z24" s="5" t="s">
        <v>239</v>
      </c>
      <c r="AA24" s="22">
        <v>2782</v>
      </c>
      <c r="AC24" s="5" t="s">
        <v>271</v>
      </c>
      <c r="AD24" s="35">
        <v>3349</v>
      </c>
      <c r="AE24" s="35">
        <f t="shared" si="10"/>
        <v>0</v>
      </c>
    </row>
    <row r="25" spans="2:31" x14ac:dyDescent="0.4">
      <c r="B25" s="5" t="s">
        <v>355</v>
      </c>
      <c r="C25" s="5" t="s">
        <v>706</v>
      </c>
      <c r="D25" s="25" t="s">
        <v>106</v>
      </c>
      <c r="E25" s="64" t="s">
        <v>126</v>
      </c>
      <c r="F25" s="2">
        <f t="shared" si="2"/>
        <v>0</v>
      </c>
      <c r="G25" s="2">
        <f t="shared" si="3"/>
        <v>0</v>
      </c>
      <c r="H25" s="2">
        <f t="shared" si="4"/>
        <v>0</v>
      </c>
      <c r="I25" s="12" t="e">
        <f t="shared" si="1"/>
        <v>#N/A</v>
      </c>
      <c r="J25" s="34" t="e">
        <f t="shared" si="9"/>
        <v>#N/A</v>
      </c>
      <c r="K25" s="34"/>
      <c r="L25" s="2">
        <f t="shared" si="5"/>
        <v>0</v>
      </c>
      <c r="M25" s="2">
        <f t="shared" si="6"/>
        <v>0</v>
      </c>
      <c r="N25" s="2">
        <f t="shared" si="7"/>
        <v>0</v>
      </c>
      <c r="O25" s="2"/>
      <c r="P25" s="2"/>
      <c r="Q25" s="5"/>
      <c r="R25" s="5"/>
      <c r="S25" s="61"/>
      <c r="T25" s="24"/>
      <c r="U25" s="72"/>
      <c r="V25" s="49"/>
      <c r="W25" s="48"/>
      <c r="X25" s="41"/>
      <c r="Z25" s="5" t="s">
        <v>249</v>
      </c>
      <c r="AA25" s="22">
        <v>4746</v>
      </c>
      <c r="AC25" s="5" t="s">
        <v>300</v>
      </c>
      <c r="AD25" s="35">
        <v>2021</v>
      </c>
      <c r="AE25" s="35">
        <f>+AA28-AD25</f>
        <v>0</v>
      </c>
    </row>
    <row r="26" spans="2:31" x14ac:dyDescent="0.4">
      <c r="B26" s="5" t="s">
        <v>356</v>
      </c>
      <c r="C26" s="5" t="s">
        <v>706</v>
      </c>
      <c r="D26" s="25" t="s">
        <v>106</v>
      </c>
      <c r="E26" s="64" t="s">
        <v>127</v>
      </c>
      <c r="F26" s="2">
        <f t="shared" si="2"/>
        <v>0</v>
      </c>
      <c r="G26" s="2">
        <f t="shared" si="3"/>
        <v>0</v>
      </c>
      <c r="H26" s="2">
        <f t="shared" si="4"/>
        <v>0</v>
      </c>
      <c r="I26" s="12" t="e">
        <f t="shared" si="1"/>
        <v>#N/A</v>
      </c>
      <c r="J26" s="34" t="e">
        <f t="shared" si="9"/>
        <v>#N/A</v>
      </c>
      <c r="K26" s="34"/>
      <c r="L26" s="2">
        <f t="shared" si="5"/>
        <v>0</v>
      </c>
      <c r="M26" s="2">
        <f t="shared" si="6"/>
        <v>0</v>
      </c>
      <c r="N26" s="2">
        <f t="shared" si="7"/>
        <v>0</v>
      </c>
      <c r="O26" s="2"/>
      <c r="P26" s="2"/>
      <c r="Q26" s="5"/>
      <c r="R26" s="5"/>
      <c r="S26" s="61"/>
      <c r="T26" s="24"/>
      <c r="U26" s="72"/>
      <c r="V26" s="48"/>
      <c r="W26" s="48"/>
      <c r="X26" s="41"/>
      <c r="Z26" s="5" t="s">
        <v>271</v>
      </c>
      <c r="AA26" s="22">
        <v>3349</v>
      </c>
      <c r="AC26" s="5" t="s">
        <v>312</v>
      </c>
      <c r="AD26" s="35">
        <v>13029</v>
      </c>
      <c r="AE26" s="35">
        <f>+AA29-AD26</f>
        <v>0</v>
      </c>
    </row>
    <row r="27" spans="2:31" x14ac:dyDescent="0.4">
      <c r="B27" s="5" t="s">
        <v>357</v>
      </c>
      <c r="C27" s="5" t="s">
        <v>707</v>
      </c>
      <c r="D27" s="25" t="s">
        <v>1</v>
      </c>
      <c r="E27" s="64" t="s">
        <v>0</v>
      </c>
      <c r="F27" s="2">
        <f t="shared" si="2"/>
        <v>0</v>
      </c>
      <c r="G27" s="2">
        <f t="shared" si="3"/>
        <v>0</v>
      </c>
      <c r="H27" s="2">
        <f t="shared" si="4"/>
        <v>0</v>
      </c>
      <c r="I27" s="12" t="e">
        <f t="shared" ref="I27:I68" si="11">+VLOOKUP(B27,$Q$2:$U$373,5,FALSE)</f>
        <v>#N/A</v>
      </c>
      <c r="J27" s="34" t="e">
        <f t="shared" si="9"/>
        <v>#N/A</v>
      </c>
      <c r="K27" s="34"/>
      <c r="L27" s="2">
        <f t="shared" si="5"/>
        <v>0</v>
      </c>
      <c r="M27" s="2">
        <f t="shared" si="6"/>
        <v>0</v>
      </c>
      <c r="N27" s="2">
        <f t="shared" si="7"/>
        <v>0</v>
      </c>
      <c r="O27" s="2"/>
      <c r="P27" s="2"/>
      <c r="Q27" s="5"/>
      <c r="R27" s="5"/>
      <c r="S27" s="61"/>
      <c r="T27" s="24"/>
      <c r="U27" s="72"/>
      <c r="V27" s="48"/>
      <c r="W27" s="48"/>
      <c r="X27" s="41"/>
      <c r="Z27" s="5" t="s">
        <v>288</v>
      </c>
      <c r="AA27" s="22">
        <v>0</v>
      </c>
      <c r="AC27" s="5" t="s">
        <v>333</v>
      </c>
      <c r="AD27" s="35"/>
      <c r="AE27" s="35">
        <f>+AA29-AD27</f>
        <v>13029</v>
      </c>
    </row>
    <row r="28" spans="2:31" x14ac:dyDescent="0.4">
      <c r="B28" s="5" t="s">
        <v>358</v>
      </c>
      <c r="C28" s="5" t="s">
        <v>707</v>
      </c>
      <c r="D28" s="25" t="s">
        <v>1</v>
      </c>
      <c r="E28" s="64" t="s">
        <v>2</v>
      </c>
      <c r="F28" s="2">
        <f t="shared" si="2"/>
        <v>0</v>
      </c>
      <c r="G28" s="2">
        <f t="shared" si="3"/>
        <v>0</v>
      </c>
      <c r="H28" s="2">
        <f t="shared" si="4"/>
        <v>0</v>
      </c>
      <c r="I28" s="12" t="e">
        <f t="shared" si="11"/>
        <v>#N/A</v>
      </c>
      <c r="J28" s="34" t="e">
        <f t="shared" si="9"/>
        <v>#N/A</v>
      </c>
      <c r="K28" s="34"/>
      <c r="L28" s="2">
        <f t="shared" si="5"/>
        <v>0</v>
      </c>
      <c r="M28" s="2">
        <f t="shared" si="6"/>
        <v>0</v>
      </c>
      <c r="N28" s="2">
        <f t="shared" si="7"/>
        <v>0</v>
      </c>
      <c r="O28" s="2"/>
      <c r="P28" s="2"/>
      <c r="Q28" s="5"/>
      <c r="R28" s="5"/>
      <c r="S28" s="61"/>
      <c r="T28" s="64"/>
      <c r="U28" s="72"/>
      <c r="V28" s="48"/>
      <c r="W28" s="48"/>
      <c r="X28" s="41"/>
      <c r="Z28" s="5" t="s">
        <v>300</v>
      </c>
      <c r="AA28" s="22">
        <v>2021</v>
      </c>
      <c r="AC28" s="5" t="s">
        <v>332</v>
      </c>
      <c r="AD28" s="35">
        <v>100045</v>
      </c>
      <c r="AE28" s="35"/>
    </row>
    <row r="29" spans="2:31" x14ac:dyDescent="0.4">
      <c r="B29" s="5" t="s">
        <v>359</v>
      </c>
      <c r="C29" s="5" t="s">
        <v>707</v>
      </c>
      <c r="D29" s="25" t="s">
        <v>1</v>
      </c>
      <c r="E29" s="64" t="s">
        <v>3</v>
      </c>
      <c r="F29" s="2">
        <f t="shared" si="2"/>
        <v>0</v>
      </c>
      <c r="G29" s="2">
        <f t="shared" si="3"/>
        <v>0</v>
      </c>
      <c r="H29" s="2">
        <f t="shared" si="4"/>
        <v>0</v>
      </c>
      <c r="I29" s="12" t="e">
        <f t="shared" si="11"/>
        <v>#N/A</v>
      </c>
      <c r="J29" s="34" t="e">
        <f t="shared" si="9"/>
        <v>#N/A</v>
      </c>
      <c r="K29" s="34"/>
      <c r="L29" s="2">
        <f t="shared" si="5"/>
        <v>0</v>
      </c>
      <c r="M29" s="2">
        <f t="shared" si="6"/>
        <v>0</v>
      </c>
      <c r="N29" s="2">
        <f t="shared" si="7"/>
        <v>0</v>
      </c>
      <c r="O29" s="2"/>
      <c r="P29" s="2"/>
      <c r="Q29" s="5"/>
      <c r="R29" s="5"/>
      <c r="S29" s="61"/>
      <c r="T29" s="64"/>
      <c r="U29" s="72"/>
      <c r="V29" s="48"/>
      <c r="W29" s="48"/>
      <c r="X29" s="41"/>
      <c r="Z29" s="5" t="s">
        <v>312</v>
      </c>
      <c r="AA29" s="22">
        <v>13029</v>
      </c>
      <c r="AD29"/>
      <c r="AE29" s="35">
        <f>+AA29-AD29</f>
        <v>13029</v>
      </c>
    </row>
    <row r="30" spans="2:31" x14ac:dyDescent="0.4">
      <c r="B30" s="5" t="s">
        <v>360</v>
      </c>
      <c r="C30" s="5" t="s">
        <v>707</v>
      </c>
      <c r="D30" s="25" t="s">
        <v>1</v>
      </c>
      <c r="E30" s="64" t="s">
        <v>4</v>
      </c>
      <c r="F30" s="2">
        <f t="shared" si="2"/>
        <v>0</v>
      </c>
      <c r="G30" s="2">
        <f t="shared" si="3"/>
        <v>0</v>
      </c>
      <c r="H30" s="2">
        <f t="shared" si="4"/>
        <v>0</v>
      </c>
      <c r="I30" s="12" t="e">
        <f t="shared" si="11"/>
        <v>#N/A</v>
      </c>
      <c r="J30" s="34" t="e">
        <f t="shared" si="9"/>
        <v>#N/A</v>
      </c>
      <c r="K30" s="34"/>
      <c r="L30" s="2">
        <f t="shared" si="5"/>
        <v>0</v>
      </c>
      <c r="M30" s="2">
        <f t="shared" si="6"/>
        <v>0</v>
      </c>
      <c r="N30" s="2">
        <f t="shared" si="7"/>
        <v>0</v>
      </c>
      <c r="O30" s="2"/>
      <c r="P30" s="2"/>
      <c r="Q30" s="5"/>
      <c r="R30" s="5"/>
      <c r="S30" s="61"/>
      <c r="T30" s="64"/>
      <c r="U30" s="72"/>
      <c r="V30" s="48"/>
      <c r="W30" s="48"/>
      <c r="X30" s="41"/>
      <c r="Z30" s="5" t="s">
        <v>332</v>
      </c>
      <c r="AA30" s="22">
        <v>100045</v>
      </c>
      <c r="AD30"/>
      <c r="AE30" s="35">
        <f>+AA29-AD30</f>
        <v>13029</v>
      </c>
    </row>
    <row r="31" spans="2:31" x14ac:dyDescent="0.4">
      <c r="B31" s="5" t="s">
        <v>361</v>
      </c>
      <c r="C31" s="5" t="s">
        <v>707</v>
      </c>
      <c r="D31" s="25" t="s">
        <v>1</v>
      </c>
      <c r="E31" s="64" t="s">
        <v>5</v>
      </c>
      <c r="F31" s="2">
        <f t="shared" si="2"/>
        <v>0</v>
      </c>
      <c r="G31" s="2">
        <f t="shared" si="3"/>
        <v>0</v>
      </c>
      <c r="H31" s="2">
        <f t="shared" si="4"/>
        <v>0</v>
      </c>
      <c r="I31" s="12" t="e">
        <f t="shared" si="11"/>
        <v>#N/A</v>
      </c>
      <c r="J31" s="34" t="e">
        <f t="shared" si="9"/>
        <v>#N/A</v>
      </c>
      <c r="K31" s="34"/>
      <c r="L31" s="2">
        <f t="shared" si="5"/>
        <v>0</v>
      </c>
      <c r="M31" s="2">
        <f t="shared" si="6"/>
        <v>0</v>
      </c>
      <c r="N31" s="2">
        <f t="shared" si="7"/>
        <v>0</v>
      </c>
      <c r="O31" s="2"/>
      <c r="P31" s="2"/>
      <c r="Q31" s="5"/>
      <c r="R31" s="5"/>
      <c r="S31" s="61"/>
      <c r="T31" s="64"/>
      <c r="U31" s="72"/>
      <c r="V31" s="48"/>
      <c r="W31" s="48"/>
      <c r="X31" s="41"/>
    </row>
    <row r="32" spans="2:31" x14ac:dyDescent="0.4">
      <c r="B32" s="5" t="s">
        <v>732</v>
      </c>
      <c r="C32" s="5" t="s">
        <v>707</v>
      </c>
      <c r="D32" s="25" t="s">
        <v>1</v>
      </c>
      <c r="E32" s="64" t="s">
        <v>330</v>
      </c>
      <c r="F32" s="2">
        <f t="shared" si="2"/>
        <v>0</v>
      </c>
      <c r="G32" s="2">
        <f t="shared" si="3"/>
        <v>0</v>
      </c>
      <c r="H32" s="2">
        <f t="shared" si="4"/>
        <v>0</v>
      </c>
      <c r="I32" s="12" t="e">
        <f t="shared" si="11"/>
        <v>#N/A</v>
      </c>
      <c r="J32" s="34" t="e">
        <f>+I32-F32</f>
        <v>#N/A</v>
      </c>
      <c r="K32" s="34"/>
      <c r="L32" s="2">
        <f t="shared" si="5"/>
        <v>0</v>
      </c>
      <c r="M32" s="2">
        <f t="shared" si="6"/>
        <v>0</v>
      </c>
      <c r="N32" s="2">
        <f t="shared" si="7"/>
        <v>0</v>
      </c>
      <c r="O32" s="2"/>
      <c r="P32" s="2"/>
      <c r="Q32" s="5"/>
      <c r="R32" s="5"/>
      <c r="S32" s="53"/>
      <c r="T32" s="64"/>
      <c r="U32" s="72"/>
      <c r="V32" s="48"/>
      <c r="W32" s="48"/>
      <c r="X32" s="41"/>
    </row>
    <row r="33" spans="2:24" x14ac:dyDescent="0.4">
      <c r="B33" s="5" t="s">
        <v>730</v>
      </c>
      <c r="C33" s="5" t="s">
        <v>707</v>
      </c>
      <c r="D33" s="25" t="s">
        <v>1</v>
      </c>
      <c r="E33" s="64" t="s">
        <v>328</v>
      </c>
      <c r="F33" s="2">
        <f t="shared" si="2"/>
        <v>0</v>
      </c>
      <c r="G33" s="2">
        <f t="shared" si="3"/>
        <v>0</v>
      </c>
      <c r="H33" s="2">
        <f t="shared" si="4"/>
        <v>0</v>
      </c>
      <c r="I33" s="12" t="e">
        <f t="shared" si="11"/>
        <v>#N/A</v>
      </c>
      <c r="J33" s="34" t="e">
        <f t="shared" si="9"/>
        <v>#N/A</v>
      </c>
      <c r="K33" s="34"/>
      <c r="L33" s="2">
        <f t="shared" si="5"/>
        <v>0</v>
      </c>
      <c r="M33" s="2">
        <f t="shared" si="6"/>
        <v>0</v>
      </c>
      <c r="N33" s="2">
        <f t="shared" si="7"/>
        <v>0</v>
      </c>
      <c r="O33" s="2"/>
      <c r="P33" s="2"/>
      <c r="Q33" s="5"/>
      <c r="R33" s="5"/>
      <c r="S33" s="53"/>
      <c r="T33" s="64"/>
      <c r="U33" s="72"/>
      <c r="V33" s="48"/>
      <c r="W33" s="48"/>
      <c r="X33" s="41"/>
    </row>
    <row r="34" spans="2:24" x14ac:dyDescent="0.4">
      <c r="B34" s="5" t="s">
        <v>362</v>
      </c>
      <c r="C34" s="5" t="s">
        <v>708</v>
      </c>
      <c r="D34" s="25" t="s">
        <v>7</v>
      </c>
      <c r="E34" s="64" t="s">
        <v>6</v>
      </c>
      <c r="F34" s="2">
        <f t="shared" si="2"/>
        <v>0</v>
      </c>
      <c r="G34" s="2">
        <f t="shared" si="3"/>
        <v>0</v>
      </c>
      <c r="H34" s="2">
        <f t="shared" si="4"/>
        <v>0</v>
      </c>
      <c r="I34" s="12" t="e">
        <f t="shared" si="11"/>
        <v>#N/A</v>
      </c>
      <c r="J34" s="34" t="e">
        <f t="shared" si="9"/>
        <v>#N/A</v>
      </c>
      <c r="K34" s="34"/>
      <c r="L34" s="2">
        <f t="shared" si="5"/>
        <v>0</v>
      </c>
      <c r="M34" s="2">
        <f t="shared" si="6"/>
        <v>0</v>
      </c>
      <c r="N34" s="2">
        <f t="shared" si="7"/>
        <v>0</v>
      </c>
      <c r="O34" s="2"/>
      <c r="P34" s="2"/>
      <c r="Q34" s="5"/>
      <c r="R34" s="5"/>
      <c r="S34" s="53"/>
      <c r="T34" s="64"/>
      <c r="U34" s="72"/>
      <c r="V34" s="48"/>
      <c r="W34" s="48"/>
      <c r="X34" s="41"/>
    </row>
    <row r="35" spans="2:24" x14ac:dyDescent="0.4">
      <c r="B35" s="5" t="s">
        <v>363</v>
      </c>
      <c r="C35" s="5" t="s">
        <v>708</v>
      </c>
      <c r="D35" s="25" t="s">
        <v>7</v>
      </c>
      <c r="E35" s="64" t="s">
        <v>8</v>
      </c>
      <c r="F35" s="2">
        <f t="shared" si="2"/>
        <v>0</v>
      </c>
      <c r="G35" s="2">
        <f t="shared" si="3"/>
        <v>0</v>
      </c>
      <c r="H35" s="2">
        <f t="shared" si="4"/>
        <v>0</v>
      </c>
      <c r="I35" s="12" t="e">
        <f t="shared" si="11"/>
        <v>#N/A</v>
      </c>
      <c r="J35" s="34" t="e">
        <f t="shared" si="9"/>
        <v>#N/A</v>
      </c>
      <c r="K35" s="34"/>
      <c r="L35" s="2">
        <f t="shared" si="5"/>
        <v>0</v>
      </c>
      <c r="M35" s="2">
        <f t="shared" si="6"/>
        <v>0</v>
      </c>
      <c r="N35" s="2">
        <f t="shared" si="7"/>
        <v>0</v>
      </c>
      <c r="O35" s="2"/>
      <c r="P35" s="2"/>
      <c r="Q35" s="5"/>
      <c r="R35" s="5"/>
      <c r="S35" s="53"/>
      <c r="T35" s="64"/>
      <c r="U35" s="72"/>
      <c r="V35" s="48"/>
      <c r="W35" s="48"/>
      <c r="X35" s="41"/>
    </row>
    <row r="36" spans="2:24" x14ac:dyDescent="0.4">
      <c r="B36" s="5" t="s">
        <v>364</v>
      </c>
      <c r="C36" s="5" t="s">
        <v>708</v>
      </c>
      <c r="D36" s="25" t="s">
        <v>7</v>
      </c>
      <c r="E36" s="64" t="s">
        <v>9</v>
      </c>
      <c r="F36" s="2">
        <f t="shared" si="2"/>
        <v>0</v>
      </c>
      <c r="G36" s="2">
        <f t="shared" si="3"/>
        <v>0</v>
      </c>
      <c r="H36" s="2">
        <f t="shared" si="4"/>
        <v>0</v>
      </c>
      <c r="I36" s="12" t="e">
        <f t="shared" si="11"/>
        <v>#N/A</v>
      </c>
      <c r="J36" s="34" t="e">
        <f t="shared" si="9"/>
        <v>#N/A</v>
      </c>
      <c r="K36" s="34"/>
      <c r="L36" s="2">
        <f t="shared" si="5"/>
        <v>0</v>
      </c>
      <c r="M36" s="2">
        <f t="shared" si="6"/>
        <v>0</v>
      </c>
      <c r="N36" s="2">
        <f t="shared" si="7"/>
        <v>0</v>
      </c>
      <c r="O36" s="2"/>
      <c r="P36" s="2"/>
      <c r="Q36" s="5"/>
      <c r="R36" s="5"/>
      <c r="S36" s="53"/>
      <c r="T36" s="64"/>
      <c r="U36" s="72"/>
      <c r="V36" s="48"/>
      <c r="W36" s="48"/>
      <c r="X36" s="41"/>
    </row>
    <row r="37" spans="2:24" x14ac:dyDescent="0.4">
      <c r="B37" s="5" t="s">
        <v>365</v>
      </c>
      <c r="C37" s="5" t="s">
        <v>708</v>
      </c>
      <c r="D37" s="25" t="s">
        <v>7</v>
      </c>
      <c r="E37" s="64" t="s">
        <v>10</v>
      </c>
      <c r="F37" s="2">
        <f t="shared" si="2"/>
        <v>0</v>
      </c>
      <c r="G37" s="2">
        <f t="shared" si="3"/>
        <v>0</v>
      </c>
      <c r="H37" s="2">
        <f t="shared" si="4"/>
        <v>0</v>
      </c>
      <c r="I37" s="12" t="e">
        <f t="shared" si="11"/>
        <v>#N/A</v>
      </c>
      <c r="J37" s="34" t="e">
        <f t="shared" si="9"/>
        <v>#N/A</v>
      </c>
      <c r="K37" s="34"/>
      <c r="L37" s="2">
        <f t="shared" si="5"/>
        <v>0</v>
      </c>
      <c r="M37" s="2">
        <f t="shared" si="6"/>
        <v>0</v>
      </c>
      <c r="N37" s="2">
        <f t="shared" si="7"/>
        <v>0</v>
      </c>
      <c r="O37" s="2"/>
      <c r="P37" s="2"/>
      <c r="Q37" s="5"/>
      <c r="R37" s="5"/>
      <c r="S37" s="53"/>
      <c r="T37" s="64"/>
      <c r="U37" s="72"/>
      <c r="V37" s="48"/>
      <c r="W37" s="48"/>
      <c r="X37" s="41"/>
    </row>
    <row r="38" spans="2:24" x14ac:dyDescent="0.4">
      <c r="B38" s="5" t="s">
        <v>366</v>
      </c>
      <c r="C38" s="5" t="s">
        <v>708</v>
      </c>
      <c r="D38" s="25" t="s">
        <v>7</v>
      </c>
      <c r="E38" s="64" t="s">
        <v>11</v>
      </c>
      <c r="F38" s="2">
        <f t="shared" si="2"/>
        <v>0</v>
      </c>
      <c r="G38" s="2">
        <f t="shared" si="3"/>
        <v>0</v>
      </c>
      <c r="H38" s="2">
        <f t="shared" si="4"/>
        <v>0</v>
      </c>
      <c r="I38" s="12" t="e">
        <f t="shared" si="11"/>
        <v>#N/A</v>
      </c>
      <c r="J38" s="34" t="e">
        <f t="shared" si="9"/>
        <v>#N/A</v>
      </c>
      <c r="K38" s="34"/>
      <c r="L38" s="2">
        <f t="shared" si="5"/>
        <v>0</v>
      </c>
      <c r="M38" s="2">
        <f t="shared" si="6"/>
        <v>0</v>
      </c>
      <c r="N38" s="2">
        <f t="shared" si="7"/>
        <v>0</v>
      </c>
      <c r="O38" s="2"/>
      <c r="P38" s="2"/>
      <c r="Q38" s="5"/>
      <c r="R38" s="5"/>
      <c r="S38" s="53"/>
      <c r="T38" s="65"/>
      <c r="U38" s="72"/>
      <c r="V38" s="48"/>
      <c r="W38" s="48"/>
      <c r="X38" s="41"/>
    </row>
    <row r="39" spans="2:24" x14ac:dyDescent="0.4">
      <c r="B39" s="5" t="s">
        <v>367</v>
      </c>
      <c r="C39" s="5" t="s">
        <v>708</v>
      </c>
      <c r="D39" s="25" t="s">
        <v>7</v>
      </c>
      <c r="E39" s="64" t="s">
        <v>12</v>
      </c>
      <c r="F39" s="2">
        <f t="shared" si="2"/>
        <v>0</v>
      </c>
      <c r="G39" s="2">
        <f t="shared" si="3"/>
        <v>0</v>
      </c>
      <c r="H39" s="2">
        <f t="shared" si="4"/>
        <v>0</v>
      </c>
      <c r="I39" s="12" t="e">
        <f t="shared" si="11"/>
        <v>#N/A</v>
      </c>
      <c r="J39" s="34" t="e">
        <f t="shared" si="9"/>
        <v>#N/A</v>
      </c>
      <c r="K39" s="34"/>
      <c r="L39" s="2">
        <f t="shared" si="5"/>
        <v>0</v>
      </c>
      <c r="M39" s="2">
        <f t="shared" si="6"/>
        <v>0</v>
      </c>
      <c r="N39" s="2">
        <f t="shared" si="7"/>
        <v>0</v>
      </c>
      <c r="O39" s="2"/>
      <c r="P39" s="2"/>
      <c r="Q39" s="5"/>
      <c r="R39" s="5"/>
      <c r="S39" s="61"/>
      <c r="T39" s="64"/>
      <c r="U39" s="72"/>
      <c r="V39" s="48"/>
      <c r="W39" s="48"/>
      <c r="X39" s="41"/>
    </row>
    <row r="40" spans="2:24" x14ac:dyDescent="0.4">
      <c r="B40" s="5" t="s">
        <v>368</v>
      </c>
      <c r="C40" s="5" t="s">
        <v>708</v>
      </c>
      <c r="D40" s="25" t="s">
        <v>7</v>
      </c>
      <c r="E40" s="64" t="s">
        <v>13</v>
      </c>
      <c r="F40" s="2">
        <f t="shared" si="2"/>
        <v>0</v>
      </c>
      <c r="G40" s="2">
        <f t="shared" si="3"/>
        <v>0</v>
      </c>
      <c r="H40" s="2">
        <f t="shared" si="4"/>
        <v>0</v>
      </c>
      <c r="I40" s="12" t="e">
        <f t="shared" si="11"/>
        <v>#N/A</v>
      </c>
      <c r="J40" s="34" t="e">
        <f t="shared" si="9"/>
        <v>#N/A</v>
      </c>
      <c r="K40" s="34"/>
      <c r="L40" s="2">
        <f t="shared" si="5"/>
        <v>0</v>
      </c>
      <c r="M40" s="2">
        <f t="shared" si="6"/>
        <v>0</v>
      </c>
      <c r="N40" s="2">
        <f t="shared" si="7"/>
        <v>0</v>
      </c>
      <c r="O40" s="2"/>
      <c r="P40" s="2"/>
      <c r="Q40" s="5"/>
      <c r="R40" s="5"/>
      <c r="S40" s="61"/>
      <c r="T40" s="64"/>
      <c r="U40" s="72"/>
      <c r="V40" s="48"/>
      <c r="W40" s="48"/>
      <c r="X40" s="41"/>
    </row>
    <row r="41" spans="2:24" x14ac:dyDescent="0.4">
      <c r="B41" s="5" t="s">
        <v>369</v>
      </c>
      <c r="C41" s="5" t="s">
        <v>708</v>
      </c>
      <c r="D41" s="25" t="s">
        <v>7</v>
      </c>
      <c r="E41" s="64" t="s">
        <v>14</v>
      </c>
      <c r="F41" s="2">
        <f t="shared" si="2"/>
        <v>0</v>
      </c>
      <c r="G41" s="2">
        <f t="shared" si="3"/>
        <v>0</v>
      </c>
      <c r="H41" s="2">
        <f t="shared" si="4"/>
        <v>0</v>
      </c>
      <c r="I41" s="12" t="e">
        <f t="shared" si="11"/>
        <v>#N/A</v>
      </c>
      <c r="J41" s="34" t="e">
        <f t="shared" si="9"/>
        <v>#N/A</v>
      </c>
      <c r="K41" s="34"/>
      <c r="L41" s="2">
        <f t="shared" si="5"/>
        <v>0</v>
      </c>
      <c r="M41" s="2">
        <f t="shared" si="6"/>
        <v>0</v>
      </c>
      <c r="N41" s="2">
        <f t="shared" si="7"/>
        <v>0</v>
      </c>
      <c r="O41" s="2"/>
      <c r="P41" s="2"/>
      <c r="Q41" s="5"/>
      <c r="R41" s="5"/>
      <c r="S41" s="61"/>
      <c r="T41" s="64"/>
      <c r="U41" s="72"/>
      <c r="V41" s="48"/>
      <c r="W41" s="48"/>
      <c r="X41" s="41"/>
    </row>
    <row r="42" spans="2:24" x14ac:dyDescent="0.4">
      <c r="B42" s="5" t="s">
        <v>370</v>
      </c>
      <c r="C42" s="5" t="s">
        <v>708</v>
      </c>
      <c r="D42" s="25" t="s">
        <v>7</v>
      </c>
      <c r="E42" s="64" t="s">
        <v>15</v>
      </c>
      <c r="F42" s="2">
        <f t="shared" si="2"/>
        <v>0</v>
      </c>
      <c r="G42" s="2">
        <f t="shared" si="3"/>
        <v>0</v>
      </c>
      <c r="H42" s="2">
        <f t="shared" si="4"/>
        <v>0</v>
      </c>
      <c r="I42" s="12" t="e">
        <f t="shared" si="11"/>
        <v>#N/A</v>
      </c>
      <c r="J42" s="34" t="e">
        <f t="shared" si="9"/>
        <v>#N/A</v>
      </c>
      <c r="K42" s="34"/>
      <c r="L42" s="2">
        <f t="shared" si="5"/>
        <v>0</v>
      </c>
      <c r="M42" s="2">
        <f t="shared" si="6"/>
        <v>0</v>
      </c>
      <c r="N42" s="2">
        <f t="shared" si="7"/>
        <v>0</v>
      </c>
      <c r="O42" s="2"/>
      <c r="P42" s="2"/>
      <c r="Q42" s="5"/>
      <c r="R42" s="5"/>
      <c r="S42" s="61"/>
      <c r="T42" s="64"/>
      <c r="U42" s="72"/>
      <c r="V42" s="48"/>
      <c r="W42" s="48"/>
      <c r="X42" s="41"/>
    </row>
    <row r="43" spans="2:24" x14ac:dyDescent="0.4">
      <c r="B43" s="5" t="s">
        <v>371</v>
      </c>
      <c r="C43" s="5" t="s">
        <v>708</v>
      </c>
      <c r="D43" s="25" t="s">
        <v>7</v>
      </c>
      <c r="E43" s="64" t="s">
        <v>16</v>
      </c>
      <c r="F43" s="2">
        <f t="shared" si="2"/>
        <v>0</v>
      </c>
      <c r="G43" s="2">
        <f t="shared" si="3"/>
        <v>0</v>
      </c>
      <c r="H43" s="2">
        <f t="shared" si="4"/>
        <v>0</v>
      </c>
      <c r="I43" s="12" t="e">
        <f t="shared" si="11"/>
        <v>#N/A</v>
      </c>
      <c r="J43" s="34" t="e">
        <f t="shared" si="9"/>
        <v>#N/A</v>
      </c>
      <c r="K43" s="34"/>
      <c r="L43" s="2">
        <f t="shared" si="5"/>
        <v>0</v>
      </c>
      <c r="M43" s="2">
        <f t="shared" si="6"/>
        <v>0</v>
      </c>
      <c r="N43" s="2">
        <f t="shared" si="7"/>
        <v>0</v>
      </c>
      <c r="O43" s="2"/>
      <c r="P43" s="2"/>
      <c r="Q43" s="5"/>
      <c r="R43" s="5"/>
      <c r="S43" s="61"/>
      <c r="T43" s="64"/>
      <c r="U43" s="72"/>
      <c r="V43" s="48"/>
      <c r="W43" s="48"/>
      <c r="X43" s="41"/>
    </row>
    <row r="44" spans="2:24" x14ac:dyDescent="0.4">
      <c r="B44" s="5" t="s">
        <v>372</v>
      </c>
      <c r="C44" s="5" t="s">
        <v>708</v>
      </c>
      <c r="D44" s="25" t="s">
        <v>7</v>
      </c>
      <c r="E44" s="64" t="s">
        <v>17</v>
      </c>
      <c r="F44" s="2">
        <f t="shared" si="2"/>
        <v>0</v>
      </c>
      <c r="G44" s="2">
        <f t="shared" si="3"/>
        <v>0</v>
      </c>
      <c r="H44" s="2">
        <f t="shared" si="4"/>
        <v>0</v>
      </c>
      <c r="I44" s="12" t="e">
        <f t="shared" si="11"/>
        <v>#N/A</v>
      </c>
      <c r="J44" s="34" t="e">
        <f t="shared" si="9"/>
        <v>#N/A</v>
      </c>
      <c r="K44" s="34"/>
      <c r="L44" s="2">
        <f t="shared" si="5"/>
        <v>0</v>
      </c>
      <c r="M44" s="2">
        <f t="shared" si="6"/>
        <v>0</v>
      </c>
      <c r="N44" s="2">
        <f t="shared" si="7"/>
        <v>0</v>
      </c>
      <c r="O44" s="2"/>
      <c r="P44" s="2"/>
      <c r="Q44" s="5"/>
      <c r="R44" s="5"/>
      <c r="S44" s="61"/>
      <c r="T44" s="64"/>
      <c r="U44" s="72"/>
      <c r="V44" s="48"/>
      <c r="W44" s="48"/>
      <c r="X44" s="41"/>
    </row>
    <row r="45" spans="2:24" x14ac:dyDescent="0.4">
      <c r="B45" s="5" t="s">
        <v>373</v>
      </c>
      <c r="C45" s="5" t="s">
        <v>708</v>
      </c>
      <c r="D45" s="25" t="s">
        <v>7</v>
      </c>
      <c r="E45" s="64" t="s">
        <v>18</v>
      </c>
      <c r="F45" s="2">
        <f t="shared" si="2"/>
        <v>0</v>
      </c>
      <c r="G45" s="2">
        <f t="shared" si="3"/>
        <v>0</v>
      </c>
      <c r="H45" s="2">
        <f t="shared" si="4"/>
        <v>0</v>
      </c>
      <c r="I45" s="12" t="e">
        <f t="shared" si="11"/>
        <v>#N/A</v>
      </c>
      <c r="J45" s="34" t="e">
        <f t="shared" si="9"/>
        <v>#N/A</v>
      </c>
      <c r="K45" s="34"/>
      <c r="L45" s="2">
        <f t="shared" si="5"/>
        <v>0</v>
      </c>
      <c r="M45" s="2">
        <f t="shared" si="6"/>
        <v>0</v>
      </c>
      <c r="N45" s="2">
        <f t="shared" si="7"/>
        <v>0</v>
      </c>
      <c r="O45" s="2"/>
      <c r="P45" s="2"/>
      <c r="Q45" s="5"/>
      <c r="R45" s="5"/>
      <c r="S45" s="61"/>
      <c r="T45" s="64"/>
      <c r="U45" s="72"/>
      <c r="V45" s="48"/>
      <c r="W45" s="48"/>
      <c r="X45" s="41"/>
    </row>
    <row r="46" spans="2:24" x14ac:dyDescent="0.4">
      <c r="B46" s="5" t="s">
        <v>374</v>
      </c>
      <c r="C46" s="5" t="s">
        <v>708</v>
      </c>
      <c r="D46" s="25" t="s">
        <v>7</v>
      </c>
      <c r="E46" s="64" t="s">
        <v>19</v>
      </c>
      <c r="F46" s="2">
        <f t="shared" si="2"/>
        <v>0</v>
      </c>
      <c r="G46" s="2">
        <f t="shared" si="3"/>
        <v>0</v>
      </c>
      <c r="H46" s="2">
        <f t="shared" si="4"/>
        <v>0</v>
      </c>
      <c r="I46" s="12" t="e">
        <f t="shared" si="11"/>
        <v>#N/A</v>
      </c>
      <c r="J46" s="34" t="e">
        <f t="shared" si="9"/>
        <v>#N/A</v>
      </c>
      <c r="K46" s="34"/>
      <c r="L46" s="2">
        <f t="shared" si="5"/>
        <v>0</v>
      </c>
      <c r="M46" s="2">
        <f t="shared" si="6"/>
        <v>0</v>
      </c>
      <c r="N46" s="2">
        <f t="shared" si="7"/>
        <v>0</v>
      </c>
      <c r="O46" s="2"/>
      <c r="P46" s="2"/>
      <c r="Q46" s="5"/>
      <c r="R46" s="5"/>
      <c r="S46" s="61"/>
      <c r="T46" s="64"/>
      <c r="U46" s="72"/>
      <c r="V46" s="48"/>
      <c r="W46" s="48"/>
      <c r="X46" s="41"/>
    </row>
    <row r="47" spans="2:24" x14ac:dyDescent="0.4">
      <c r="B47" s="5" t="s">
        <v>375</v>
      </c>
      <c r="C47" s="5" t="s">
        <v>708</v>
      </c>
      <c r="D47" s="25" t="s">
        <v>7</v>
      </c>
      <c r="E47" s="64" t="s">
        <v>20</v>
      </c>
      <c r="F47" s="2">
        <f t="shared" si="2"/>
        <v>0</v>
      </c>
      <c r="G47" s="2">
        <f t="shared" si="3"/>
        <v>0</v>
      </c>
      <c r="H47" s="2">
        <f t="shared" si="4"/>
        <v>0</v>
      </c>
      <c r="I47" s="12" t="e">
        <f t="shared" si="11"/>
        <v>#N/A</v>
      </c>
      <c r="J47" s="34" t="e">
        <f t="shared" si="9"/>
        <v>#N/A</v>
      </c>
      <c r="K47" s="34"/>
      <c r="L47" s="2">
        <f t="shared" si="5"/>
        <v>0</v>
      </c>
      <c r="M47" s="2">
        <f t="shared" si="6"/>
        <v>0</v>
      </c>
      <c r="N47" s="2">
        <f t="shared" si="7"/>
        <v>0</v>
      </c>
      <c r="O47" s="2"/>
      <c r="P47" s="2"/>
      <c r="Q47" s="5"/>
      <c r="R47" s="5"/>
      <c r="S47" s="61"/>
      <c r="T47" s="64"/>
      <c r="U47" s="72"/>
      <c r="V47" s="48"/>
      <c r="W47" s="48"/>
      <c r="X47" s="41"/>
    </row>
    <row r="48" spans="2:24" x14ac:dyDescent="0.4">
      <c r="B48" s="5" t="s">
        <v>376</v>
      </c>
      <c r="C48" s="5" t="s">
        <v>708</v>
      </c>
      <c r="D48" s="25" t="s">
        <v>7</v>
      </c>
      <c r="E48" s="64" t="s">
        <v>21</v>
      </c>
      <c r="F48" s="2">
        <f t="shared" si="2"/>
        <v>0</v>
      </c>
      <c r="G48" s="2">
        <f t="shared" si="3"/>
        <v>0</v>
      </c>
      <c r="H48" s="2">
        <f t="shared" si="4"/>
        <v>0</v>
      </c>
      <c r="I48" s="12" t="e">
        <f t="shared" si="11"/>
        <v>#N/A</v>
      </c>
      <c r="J48" s="34" t="e">
        <f t="shared" si="9"/>
        <v>#N/A</v>
      </c>
      <c r="K48" s="34"/>
      <c r="L48" s="2">
        <f t="shared" si="5"/>
        <v>0</v>
      </c>
      <c r="M48" s="2">
        <f t="shared" si="6"/>
        <v>0</v>
      </c>
      <c r="N48" s="2">
        <f t="shared" si="7"/>
        <v>0</v>
      </c>
      <c r="O48" s="2"/>
      <c r="P48" s="2"/>
      <c r="Q48" s="5"/>
      <c r="R48" s="5"/>
      <c r="S48" s="61"/>
      <c r="T48" s="64"/>
      <c r="U48" s="72"/>
      <c r="V48" s="48"/>
      <c r="W48" s="48"/>
      <c r="X48" s="41"/>
    </row>
    <row r="49" spans="2:24" x14ac:dyDescent="0.4">
      <c r="B49" s="5" t="s">
        <v>377</v>
      </c>
      <c r="C49" s="5" t="s">
        <v>708</v>
      </c>
      <c r="D49" s="25" t="s">
        <v>7</v>
      </c>
      <c r="E49" s="64" t="s">
        <v>22</v>
      </c>
      <c r="F49" s="2">
        <f t="shared" si="2"/>
        <v>0</v>
      </c>
      <c r="G49" s="2">
        <f t="shared" si="3"/>
        <v>0</v>
      </c>
      <c r="H49" s="2">
        <f t="shared" si="4"/>
        <v>0</v>
      </c>
      <c r="I49" s="12" t="e">
        <f t="shared" si="11"/>
        <v>#N/A</v>
      </c>
      <c r="J49" s="34" t="e">
        <f t="shared" si="9"/>
        <v>#N/A</v>
      </c>
      <c r="K49" s="34"/>
      <c r="L49" s="2">
        <f t="shared" si="5"/>
        <v>0</v>
      </c>
      <c r="M49" s="2">
        <f t="shared" si="6"/>
        <v>0</v>
      </c>
      <c r="N49" s="2">
        <f t="shared" si="7"/>
        <v>0</v>
      </c>
      <c r="O49" s="2"/>
      <c r="P49" s="2"/>
      <c r="Q49" s="5"/>
      <c r="R49" s="5"/>
      <c r="S49" s="61"/>
      <c r="T49" s="64"/>
      <c r="U49" s="72"/>
      <c r="V49" s="48"/>
      <c r="W49" s="48"/>
      <c r="X49" s="41"/>
    </row>
    <row r="50" spans="2:24" x14ac:dyDescent="0.4">
      <c r="B50" s="5" t="s">
        <v>378</v>
      </c>
      <c r="C50" s="5" t="s">
        <v>708</v>
      </c>
      <c r="D50" s="25" t="s">
        <v>7</v>
      </c>
      <c r="E50" s="64" t="s">
        <v>23</v>
      </c>
      <c r="F50" s="2">
        <f t="shared" si="2"/>
        <v>0</v>
      </c>
      <c r="G50" s="2">
        <f t="shared" si="3"/>
        <v>0</v>
      </c>
      <c r="H50" s="2">
        <f t="shared" si="4"/>
        <v>0</v>
      </c>
      <c r="I50" s="12" t="e">
        <f t="shared" si="11"/>
        <v>#N/A</v>
      </c>
      <c r="J50" s="34" t="e">
        <f t="shared" si="9"/>
        <v>#N/A</v>
      </c>
      <c r="K50" s="34"/>
      <c r="L50" s="2">
        <f t="shared" si="5"/>
        <v>0</v>
      </c>
      <c r="M50" s="2">
        <f t="shared" si="6"/>
        <v>0</v>
      </c>
      <c r="N50" s="2">
        <f t="shared" si="7"/>
        <v>0</v>
      </c>
      <c r="O50" s="2"/>
      <c r="P50" s="2"/>
      <c r="Q50" s="5"/>
      <c r="R50" s="5"/>
      <c r="S50" s="61"/>
      <c r="T50" s="64"/>
      <c r="U50" s="72"/>
      <c r="V50" s="48"/>
      <c r="W50" s="48"/>
      <c r="X50" s="41"/>
    </row>
    <row r="51" spans="2:24" x14ac:dyDescent="0.4">
      <c r="B51" s="5" t="s">
        <v>379</v>
      </c>
      <c r="C51" s="5" t="s">
        <v>708</v>
      </c>
      <c r="D51" s="25" t="s">
        <v>7</v>
      </c>
      <c r="E51" s="64" t="s">
        <v>24</v>
      </c>
      <c r="F51" s="2">
        <f t="shared" si="2"/>
        <v>0</v>
      </c>
      <c r="G51" s="2">
        <f t="shared" si="3"/>
        <v>0</v>
      </c>
      <c r="H51" s="2">
        <f t="shared" si="4"/>
        <v>0</v>
      </c>
      <c r="I51" s="12" t="e">
        <f t="shared" si="11"/>
        <v>#N/A</v>
      </c>
      <c r="J51" s="34" t="e">
        <f t="shared" si="9"/>
        <v>#N/A</v>
      </c>
      <c r="K51" s="34"/>
      <c r="L51" s="2">
        <f t="shared" si="5"/>
        <v>0</v>
      </c>
      <c r="M51" s="2">
        <f t="shared" si="6"/>
        <v>0</v>
      </c>
      <c r="N51" s="2">
        <f t="shared" si="7"/>
        <v>0</v>
      </c>
      <c r="O51" s="2"/>
      <c r="P51" s="2"/>
      <c r="Q51" s="5"/>
      <c r="R51" s="5"/>
      <c r="S51" s="61"/>
      <c r="T51" s="64"/>
      <c r="U51" s="72"/>
      <c r="V51" s="48"/>
      <c r="W51" s="48"/>
      <c r="X51" s="41"/>
    </row>
    <row r="52" spans="2:24" x14ac:dyDescent="0.4">
      <c r="B52" s="5" t="s">
        <v>380</v>
      </c>
      <c r="C52" s="5" t="s">
        <v>708</v>
      </c>
      <c r="D52" s="25" t="s">
        <v>7</v>
      </c>
      <c r="E52" s="64" t="s">
        <v>25</v>
      </c>
      <c r="F52" s="2">
        <f t="shared" si="2"/>
        <v>0</v>
      </c>
      <c r="G52" s="2">
        <f t="shared" si="3"/>
        <v>0</v>
      </c>
      <c r="H52" s="2">
        <f t="shared" si="4"/>
        <v>0</v>
      </c>
      <c r="I52" s="12" t="e">
        <f t="shared" si="11"/>
        <v>#N/A</v>
      </c>
      <c r="J52" s="34" t="e">
        <f t="shared" si="9"/>
        <v>#N/A</v>
      </c>
      <c r="K52" s="34"/>
      <c r="L52" s="2">
        <f t="shared" si="5"/>
        <v>0</v>
      </c>
      <c r="M52" s="2">
        <f t="shared" si="6"/>
        <v>0</v>
      </c>
      <c r="N52" s="2">
        <f t="shared" si="7"/>
        <v>0</v>
      </c>
      <c r="O52" s="2"/>
      <c r="P52" s="2"/>
      <c r="Q52" s="5"/>
      <c r="R52" s="5"/>
      <c r="S52" s="61"/>
      <c r="T52" s="64"/>
      <c r="U52" s="72"/>
      <c r="V52" s="48"/>
      <c r="W52" s="48"/>
      <c r="X52" s="41"/>
    </row>
    <row r="53" spans="2:24" x14ac:dyDescent="0.4">
      <c r="B53" s="5" t="s">
        <v>381</v>
      </c>
      <c r="C53" s="5" t="s">
        <v>708</v>
      </c>
      <c r="D53" s="25" t="s">
        <v>7</v>
      </c>
      <c r="E53" s="64" t="s">
        <v>26</v>
      </c>
      <c r="F53" s="2">
        <f t="shared" si="2"/>
        <v>0</v>
      </c>
      <c r="G53" s="2">
        <f t="shared" si="3"/>
        <v>0</v>
      </c>
      <c r="H53" s="2">
        <f t="shared" si="4"/>
        <v>0</v>
      </c>
      <c r="I53" s="12" t="e">
        <f t="shared" si="11"/>
        <v>#N/A</v>
      </c>
      <c r="J53" s="34" t="e">
        <f t="shared" si="9"/>
        <v>#N/A</v>
      </c>
      <c r="K53" s="34"/>
      <c r="L53" s="2">
        <f t="shared" si="5"/>
        <v>0</v>
      </c>
      <c r="M53" s="2">
        <f t="shared" si="6"/>
        <v>0</v>
      </c>
      <c r="N53" s="2">
        <f t="shared" si="7"/>
        <v>0</v>
      </c>
      <c r="O53" s="2"/>
      <c r="P53" s="2"/>
      <c r="Q53" s="5"/>
      <c r="R53" s="5"/>
      <c r="S53" s="61"/>
      <c r="T53" s="64"/>
      <c r="U53" s="72"/>
      <c r="V53" s="48"/>
      <c r="W53" s="48"/>
      <c r="X53" s="41"/>
    </row>
    <row r="54" spans="2:24" x14ac:dyDescent="0.4">
      <c r="B54" s="5" t="s">
        <v>382</v>
      </c>
      <c r="C54" s="5" t="s">
        <v>708</v>
      </c>
      <c r="D54" s="25" t="s">
        <v>7</v>
      </c>
      <c r="E54" s="64" t="s">
        <v>27</v>
      </c>
      <c r="F54" s="2">
        <f t="shared" si="2"/>
        <v>0</v>
      </c>
      <c r="G54" s="2">
        <f t="shared" si="3"/>
        <v>0</v>
      </c>
      <c r="H54" s="2">
        <f t="shared" si="4"/>
        <v>0</v>
      </c>
      <c r="I54" s="12" t="e">
        <f t="shared" si="11"/>
        <v>#N/A</v>
      </c>
      <c r="J54" s="34" t="e">
        <f t="shared" si="9"/>
        <v>#N/A</v>
      </c>
      <c r="K54" s="34"/>
      <c r="L54" s="2">
        <f t="shared" si="5"/>
        <v>0</v>
      </c>
      <c r="M54" s="2">
        <f t="shared" si="6"/>
        <v>0</v>
      </c>
      <c r="N54" s="2">
        <f t="shared" si="7"/>
        <v>0</v>
      </c>
      <c r="O54" s="2"/>
      <c r="P54" s="2"/>
      <c r="Q54" s="5"/>
      <c r="R54" s="5"/>
      <c r="S54" s="61"/>
      <c r="T54" s="64"/>
      <c r="U54" s="72"/>
      <c r="V54" s="48"/>
      <c r="W54" s="48"/>
      <c r="X54" s="41"/>
    </row>
    <row r="55" spans="2:24" x14ac:dyDescent="0.4">
      <c r="B55" s="5" t="s">
        <v>383</v>
      </c>
      <c r="C55" s="5" t="s">
        <v>709</v>
      </c>
      <c r="D55" s="25" t="s">
        <v>29</v>
      </c>
      <c r="E55" s="64" t="s">
        <v>28</v>
      </c>
      <c r="F55" s="2">
        <f t="shared" si="2"/>
        <v>0</v>
      </c>
      <c r="G55" s="2">
        <f t="shared" si="3"/>
        <v>0</v>
      </c>
      <c r="H55" s="2">
        <f t="shared" si="4"/>
        <v>0</v>
      </c>
      <c r="I55" s="12" t="e">
        <f t="shared" si="11"/>
        <v>#N/A</v>
      </c>
      <c r="J55" s="34" t="e">
        <f t="shared" si="9"/>
        <v>#N/A</v>
      </c>
      <c r="K55" s="34"/>
      <c r="L55" s="2">
        <f t="shared" si="5"/>
        <v>0</v>
      </c>
      <c r="M55" s="2">
        <f t="shared" si="6"/>
        <v>0</v>
      </c>
      <c r="N55" s="2">
        <f t="shared" si="7"/>
        <v>0</v>
      </c>
      <c r="O55" s="2"/>
      <c r="P55" s="2"/>
      <c r="Q55" s="5"/>
      <c r="R55" s="5"/>
      <c r="S55" s="61"/>
      <c r="T55" s="64"/>
      <c r="U55" s="72"/>
      <c r="V55" s="48"/>
      <c r="W55" s="48"/>
      <c r="X55" s="41"/>
    </row>
    <row r="56" spans="2:24" x14ac:dyDescent="0.4">
      <c r="B56" s="5" t="s">
        <v>384</v>
      </c>
      <c r="C56" s="5" t="s">
        <v>709</v>
      </c>
      <c r="D56" s="25" t="s">
        <v>29</v>
      </c>
      <c r="E56" s="64" t="s">
        <v>30</v>
      </c>
      <c r="F56" s="2">
        <f t="shared" si="2"/>
        <v>0</v>
      </c>
      <c r="G56" s="2">
        <f t="shared" si="3"/>
        <v>0</v>
      </c>
      <c r="H56" s="2">
        <f t="shared" si="4"/>
        <v>0</v>
      </c>
      <c r="I56" s="12" t="e">
        <f t="shared" si="11"/>
        <v>#N/A</v>
      </c>
      <c r="J56" s="34" t="e">
        <f t="shared" si="9"/>
        <v>#N/A</v>
      </c>
      <c r="K56" s="34"/>
      <c r="L56" s="2">
        <f t="shared" si="5"/>
        <v>0</v>
      </c>
      <c r="M56" s="2">
        <f t="shared" si="6"/>
        <v>0</v>
      </c>
      <c r="N56" s="2">
        <f t="shared" si="7"/>
        <v>0</v>
      </c>
      <c r="O56" s="2"/>
      <c r="P56" s="2"/>
      <c r="Q56" s="5"/>
      <c r="R56" s="5"/>
      <c r="S56" s="61"/>
      <c r="T56" s="64"/>
      <c r="U56" s="72"/>
      <c r="V56" s="48"/>
      <c r="W56" s="48"/>
      <c r="X56" s="41"/>
    </row>
    <row r="57" spans="2:24" x14ac:dyDescent="0.4">
      <c r="B57" s="5" t="s">
        <v>385</v>
      </c>
      <c r="C57" s="5" t="s">
        <v>709</v>
      </c>
      <c r="D57" s="25" t="s">
        <v>29</v>
      </c>
      <c r="E57" s="64" t="s">
        <v>31</v>
      </c>
      <c r="F57" s="2">
        <f t="shared" si="2"/>
        <v>0</v>
      </c>
      <c r="G57" s="2">
        <f t="shared" si="3"/>
        <v>0</v>
      </c>
      <c r="H57" s="2">
        <f t="shared" si="4"/>
        <v>0</v>
      </c>
      <c r="I57" s="12" t="e">
        <f t="shared" si="11"/>
        <v>#N/A</v>
      </c>
      <c r="J57" s="34" t="e">
        <f t="shared" si="9"/>
        <v>#N/A</v>
      </c>
      <c r="K57" s="34"/>
      <c r="L57" s="2">
        <f t="shared" si="5"/>
        <v>0</v>
      </c>
      <c r="M57" s="2">
        <f t="shared" si="6"/>
        <v>0</v>
      </c>
      <c r="N57" s="2">
        <f t="shared" si="7"/>
        <v>0</v>
      </c>
      <c r="O57" s="2"/>
      <c r="P57" s="2"/>
      <c r="Q57" s="5"/>
      <c r="R57" s="5"/>
      <c r="S57" s="61"/>
      <c r="T57" s="64"/>
      <c r="U57" s="72"/>
      <c r="V57" s="48"/>
      <c r="W57" s="48"/>
      <c r="X57" s="41"/>
    </row>
    <row r="58" spans="2:24" x14ac:dyDescent="0.4">
      <c r="B58" s="5" t="s">
        <v>386</v>
      </c>
      <c r="C58" s="5" t="s">
        <v>709</v>
      </c>
      <c r="D58" s="25" t="s">
        <v>29</v>
      </c>
      <c r="E58" s="64" t="s">
        <v>32</v>
      </c>
      <c r="F58" s="2">
        <f t="shared" si="2"/>
        <v>0</v>
      </c>
      <c r="G58" s="2">
        <f t="shared" si="3"/>
        <v>0</v>
      </c>
      <c r="H58" s="2">
        <f t="shared" si="4"/>
        <v>0</v>
      </c>
      <c r="I58" s="12" t="e">
        <f t="shared" si="11"/>
        <v>#N/A</v>
      </c>
      <c r="J58" s="34" t="e">
        <f t="shared" si="9"/>
        <v>#N/A</v>
      </c>
      <c r="K58" s="34"/>
      <c r="L58" s="2">
        <f t="shared" si="5"/>
        <v>0</v>
      </c>
      <c r="M58" s="2">
        <f t="shared" si="6"/>
        <v>0</v>
      </c>
      <c r="N58" s="2">
        <f t="shared" si="7"/>
        <v>0</v>
      </c>
      <c r="O58" s="2"/>
      <c r="P58" s="2"/>
      <c r="Q58" s="5"/>
      <c r="R58" s="5"/>
      <c r="S58" s="61"/>
      <c r="T58" s="64"/>
      <c r="U58" s="72"/>
      <c r="V58" s="48"/>
      <c r="W58" s="48"/>
      <c r="X58" s="41"/>
    </row>
    <row r="59" spans="2:24" x14ac:dyDescent="0.4">
      <c r="B59" s="5" t="s">
        <v>387</v>
      </c>
      <c r="C59" s="5" t="s">
        <v>709</v>
      </c>
      <c r="D59" s="25" t="s">
        <v>29</v>
      </c>
      <c r="E59" s="64" t="s">
        <v>33</v>
      </c>
      <c r="F59" s="2">
        <f t="shared" si="2"/>
        <v>0</v>
      </c>
      <c r="G59" s="2">
        <f t="shared" si="3"/>
        <v>0</v>
      </c>
      <c r="H59" s="2">
        <f t="shared" si="4"/>
        <v>0</v>
      </c>
      <c r="I59" s="12" t="e">
        <f t="shared" si="11"/>
        <v>#N/A</v>
      </c>
      <c r="J59" s="34" t="e">
        <f t="shared" si="9"/>
        <v>#N/A</v>
      </c>
      <c r="K59" s="34"/>
      <c r="L59" s="2">
        <f t="shared" si="5"/>
        <v>0</v>
      </c>
      <c r="M59" s="2">
        <f t="shared" si="6"/>
        <v>0</v>
      </c>
      <c r="N59" s="2">
        <f t="shared" si="7"/>
        <v>0</v>
      </c>
      <c r="O59" s="2"/>
      <c r="P59" s="2"/>
      <c r="Q59" s="5"/>
      <c r="R59" s="5"/>
      <c r="S59" s="61"/>
      <c r="T59" s="64"/>
      <c r="U59" s="72"/>
      <c r="V59" s="48"/>
      <c r="W59" s="48"/>
      <c r="X59" s="41"/>
    </row>
    <row r="60" spans="2:24" x14ac:dyDescent="0.4">
      <c r="B60" s="5" t="s">
        <v>388</v>
      </c>
      <c r="C60" s="5" t="s">
        <v>709</v>
      </c>
      <c r="D60" s="25" t="s">
        <v>29</v>
      </c>
      <c r="E60" s="64" t="s">
        <v>34</v>
      </c>
      <c r="F60" s="2">
        <f t="shared" si="2"/>
        <v>0</v>
      </c>
      <c r="G60" s="2">
        <f t="shared" si="3"/>
        <v>0</v>
      </c>
      <c r="H60" s="2">
        <f t="shared" si="4"/>
        <v>0</v>
      </c>
      <c r="I60" s="12" t="e">
        <f t="shared" si="11"/>
        <v>#N/A</v>
      </c>
      <c r="J60" s="34" t="e">
        <f t="shared" si="9"/>
        <v>#N/A</v>
      </c>
      <c r="K60" s="34"/>
      <c r="L60" s="2">
        <f t="shared" si="5"/>
        <v>0</v>
      </c>
      <c r="M60" s="2">
        <f t="shared" si="6"/>
        <v>0</v>
      </c>
      <c r="N60" s="2">
        <f t="shared" si="7"/>
        <v>0</v>
      </c>
      <c r="O60" s="2"/>
      <c r="P60" s="2"/>
      <c r="Q60" s="5"/>
      <c r="R60" s="5"/>
      <c r="S60" s="61"/>
      <c r="T60" s="64"/>
      <c r="U60" s="72"/>
      <c r="V60" s="48"/>
      <c r="W60" s="48"/>
      <c r="X60" s="41"/>
    </row>
    <row r="61" spans="2:24" x14ac:dyDescent="0.4">
      <c r="B61" s="5" t="s">
        <v>389</v>
      </c>
      <c r="C61" s="5" t="s">
        <v>709</v>
      </c>
      <c r="D61" s="25" t="s">
        <v>29</v>
      </c>
      <c r="E61" s="65" t="s">
        <v>35</v>
      </c>
      <c r="F61" s="2">
        <f t="shared" si="2"/>
        <v>0</v>
      </c>
      <c r="G61" s="2">
        <f t="shared" si="3"/>
        <v>0</v>
      </c>
      <c r="H61" s="2">
        <f t="shared" si="4"/>
        <v>0</v>
      </c>
      <c r="I61" s="12" t="e">
        <f t="shared" si="11"/>
        <v>#N/A</v>
      </c>
      <c r="J61" s="34" t="e">
        <f t="shared" si="9"/>
        <v>#N/A</v>
      </c>
      <c r="K61" s="34"/>
      <c r="L61" s="2">
        <f t="shared" si="5"/>
        <v>0</v>
      </c>
      <c r="M61" s="2">
        <f t="shared" si="6"/>
        <v>0</v>
      </c>
      <c r="N61" s="2">
        <f t="shared" si="7"/>
        <v>0</v>
      </c>
      <c r="O61" s="2"/>
      <c r="P61" s="2"/>
      <c r="Q61" s="5"/>
      <c r="R61" s="5"/>
      <c r="S61" s="61"/>
      <c r="T61" s="64"/>
      <c r="U61" s="72"/>
      <c r="V61" s="48"/>
      <c r="W61" s="48"/>
      <c r="X61" s="41"/>
    </row>
    <row r="62" spans="2:24" x14ac:dyDescent="0.4">
      <c r="B62" s="5" t="s">
        <v>390</v>
      </c>
      <c r="C62" s="5" t="s">
        <v>710</v>
      </c>
      <c r="D62" s="25" t="s">
        <v>37</v>
      </c>
      <c r="E62" s="64" t="s">
        <v>36</v>
      </c>
      <c r="F62" s="2">
        <f t="shared" si="2"/>
        <v>0</v>
      </c>
      <c r="G62" s="2">
        <f t="shared" si="3"/>
        <v>0</v>
      </c>
      <c r="H62" s="2">
        <f t="shared" si="4"/>
        <v>0</v>
      </c>
      <c r="I62" s="12" t="e">
        <f t="shared" si="11"/>
        <v>#N/A</v>
      </c>
      <c r="J62" s="34" t="e">
        <f t="shared" si="9"/>
        <v>#N/A</v>
      </c>
      <c r="K62" s="34"/>
      <c r="L62" s="2">
        <f t="shared" si="5"/>
        <v>0</v>
      </c>
      <c r="M62" s="2">
        <f t="shared" si="6"/>
        <v>0</v>
      </c>
      <c r="N62" s="2">
        <f t="shared" si="7"/>
        <v>0</v>
      </c>
      <c r="O62" s="2"/>
      <c r="P62" s="2"/>
      <c r="Q62" s="5"/>
      <c r="R62" s="5"/>
      <c r="S62" s="61"/>
      <c r="T62" s="64"/>
      <c r="U62" s="72"/>
      <c r="V62" s="48"/>
      <c r="W62" s="48"/>
      <c r="X62" s="41"/>
    </row>
    <row r="63" spans="2:24" x14ac:dyDescent="0.4">
      <c r="B63" s="5" t="s">
        <v>391</v>
      </c>
      <c r="C63" s="5" t="s">
        <v>710</v>
      </c>
      <c r="D63" s="25" t="s">
        <v>37</v>
      </c>
      <c r="E63" s="64" t="s">
        <v>38</v>
      </c>
      <c r="F63" s="2">
        <f t="shared" si="2"/>
        <v>0</v>
      </c>
      <c r="G63" s="2">
        <f t="shared" si="3"/>
        <v>0</v>
      </c>
      <c r="H63" s="2">
        <f t="shared" si="4"/>
        <v>0</v>
      </c>
      <c r="I63" s="12" t="e">
        <f t="shared" si="11"/>
        <v>#N/A</v>
      </c>
      <c r="J63" s="34" t="e">
        <f t="shared" si="9"/>
        <v>#N/A</v>
      </c>
      <c r="K63" s="34"/>
      <c r="L63" s="2">
        <f t="shared" si="5"/>
        <v>0</v>
      </c>
      <c r="M63" s="2">
        <f t="shared" si="6"/>
        <v>0</v>
      </c>
      <c r="N63" s="2">
        <f t="shared" si="7"/>
        <v>0</v>
      </c>
      <c r="O63" s="2"/>
      <c r="P63" s="2"/>
      <c r="Q63" s="5"/>
      <c r="R63" s="5"/>
      <c r="S63" s="61"/>
      <c r="T63" s="64"/>
      <c r="U63" s="72"/>
      <c r="V63" s="48"/>
      <c r="W63" s="48"/>
      <c r="X63" s="41"/>
    </row>
    <row r="64" spans="2:24" x14ac:dyDescent="0.4">
      <c r="B64" s="5" t="s">
        <v>392</v>
      </c>
      <c r="C64" s="5" t="s">
        <v>710</v>
      </c>
      <c r="D64" s="25" t="s">
        <v>37</v>
      </c>
      <c r="E64" s="64" t="s">
        <v>39</v>
      </c>
      <c r="F64" s="2">
        <f t="shared" si="2"/>
        <v>0</v>
      </c>
      <c r="G64" s="2">
        <f t="shared" si="3"/>
        <v>0</v>
      </c>
      <c r="H64" s="2">
        <f t="shared" si="4"/>
        <v>0</v>
      </c>
      <c r="I64" s="12" t="e">
        <f t="shared" si="11"/>
        <v>#N/A</v>
      </c>
      <c r="J64" s="34" t="e">
        <f t="shared" si="9"/>
        <v>#N/A</v>
      </c>
      <c r="K64" s="34"/>
      <c r="L64" s="2">
        <f t="shared" si="5"/>
        <v>0</v>
      </c>
      <c r="M64" s="2">
        <f t="shared" si="6"/>
        <v>0</v>
      </c>
      <c r="N64" s="2">
        <f t="shared" si="7"/>
        <v>0</v>
      </c>
      <c r="O64" s="2"/>
      <c r="P64" s="2"/>
      <c r="Q64" s="5"/>
      <c r="R64" s="5"/>
      <c r="S64" s="61"/>
      <c r="T64" s="64"/>
      <c r="U64" s="72"/>
      <c r="V64" s="48"/>
      <c r="W64" s="48"/>
      <c r="X64" s="41"/>
    </row>
    <row r="65" spans="2:24" x14ac:dyDescent="0.4">
      <c r="B65" s="5" t="s">
        <v>393</v>
      </c>
      <c r="C65" s="5" t="s">
        <v>710</v>
      </c>
      <c r="D65" s="25" t="s">
        <v>37</v>
      </c>
      <c r="E65" s="64" t="s">
        <v>40</v>
      </c>
      <c r="F65" s="2">
        <f t="shared" si="2"/>
        <v>0</v>
      </c>
      <c r="G65" s="2">
        <f t="shared" si="3"/>
        <v>0</v>
      </c>
      <c r="H65" s="2">
        <f t="shared" si="4"/>
        <v>0</v>
      </c>
      <c r="I65" s="12" t="e">
        <f t="shared" si="11"/>
        <v>#N/A</v>
      </c>
      <c r="J65" s="34" t="e">
        <f t="shared" si="9"/>
        <v>#N/A</v>
      </c>
      <c r="K65" s="34"/>
      <c r="L65" s="2">
        <f t="shared" si="5"/>
        <v>0</v>
      </c>
      <c r="M65" s="2">
        <f t="shared" si="6"/>
        <v>0</v>
      </c>
      <c r="N65" s="2">
        <f t="shared" si="7"/>
        <v>0</v>
      </c>
      <c r="O65" s="2"/>
      <c r="P65" s="2"/>
      <c r="Q65" s="5"/>
      <c r="R65" s="5"/>
      <c r="S65" s="61"/>
      <c r="T65" s="64"/>
      <c r="U65" s="72"/>
      <c r="V65" s="48"/>
      <c r="W65" s="48"/>
      <c r="X65" s="41"/>
    </row>
    <row r="66" spans="2:24" x14ac:dyDescent="0.4">
      <c r="B66" s="5" t="s">
        <v>394</v>
      </c>
      <c r="C66" s="5" t="s">
        <v>710</v>
      </c>
      <c r="D66" s="25" t="s">
        <v>37</v>
      </c>
      <c r="E66" s="64" t="s">
        <v>41</v>
      </c>
      <c r="F66" s="2">
        <f t="shared" si="2"/>
        <v>0</v>
      </c>
      <c r="G66" s="2">
        <f t="shared" si="3"/>
        <v>0</v>
      </c>
      <c r="H66" s="2">
        <f t="shared" si="4"/>
        <v>0</v>
      </c>
      <c r="I66" s="12" t="e">
        <f t="shared" si="11"/>
        <v>#N/A</v>
      </c>
      <c r="J66" s="34" t="e">
        <f t="shared" si="9"/>
        <v>#N/A</v>
      </c>
      <c r="K66" s="34"/>
      <c r="L66" s="2">
        <f t="shared" si="5"/>
        <v>0</v>
      </c>
      <c r="M66" s="2">
        <f t="shared" si="6"/>
        <v>0</v>
      </c>
      <c r="N66" s="2">
        <f t="shared" si="7"/>
        <v>0</v>
      </c>
      <c r="O66" s="2"/>
      <c r="P66" s="2"/>
      <c r="Q66" s="5"/>
      <c r="R66" s="5"/>
      <c r="S66" s="61"/>
      <c r="T66" s="64"/>
      <c r="U66" s="72"/>
      <c r="V66" s="48"/>
      <c r="W66" s="48"/>
      <c r="X66" s="41"/>
    </row>
    <row r="67" spans="2:24" x14ac:dyDescent="0.4">
      <c r="B67" s="5" t="s">
        <v>395</v>
      </c>
      <c r="C67" s="5" t="s">
        <v>710</v>
      </c>
      <c r="D67" s="25" t="s">
        <v>37</v>
      </c>
      <c r="E67" s="64" t="s">
        <v>42</v>
      </c>
      <c r="F67" s="2">
        <f t="shared" ref="F67:F130" si="12">+L67</f>
        <v>0</v>
      </c>
      <c r="G67" s="2">
        <f t="shared" ref="G67:G130" si="13">+M67</f>
        <v>0</v>
      </c>
      <c r="H67" s="2">
        <f t="shared" ref="H67:H130" si="14">+N67</f>
        <v>0</v>
      </c>
      <c r="I67" s="12" t="e">
        <f t="shared" si="11"/>
        <v>#N/A</v>
      </c>
      <c r="J67" s="34" t="e">
        <f t="shared" si="9"/>
        <v>#N/A</v>
      </c>
      <c r="K67" s="34"/>
      <c r="L67" s="2">
        <f t="shared" si="5"/>
        <v>0</v>
      </c>
      <c r="M67" s="2">
        <f t="shared" si="6"/>
        <v>0</v>
      </c>
      <c r="N67" s="2">
        <f t="shared" si="7"/>
        <v>0</v>
      </c>
      <c r="O67" s="2"/>
      <c r="P67" s="2"/>
      <c r="Q67" s="5"/>
      <c r="R67" s="5"/>
      <c r="S67" s="61"/>
      <c r="T67" s="64"/>
      <c r="U67" s="72"/>
      <c r="V67" s="48"/>
      <c r="W67" s="48"/>
      <c r="X67" s="41"/>
    </row>
    <row r="68" spans="2:24" x14ac:dyDescent="0.4">
      <c r="B68" s="5" t="s">
        <v>396</v>
      </c>
      <c r="C68" s="5" t="s">
        <v>710</v>
      </c>
      <c r="D68" s="25" t="s">
        <v>37</v>
      </c>
      <c r="E68" s="64" t="s">
        <v>43</v>
      </c>
      <c r="F68" s="2">
        <f t="shared" si="12"/>
        <v>0</v>
      </c>
      <c r="G68" s="2">
        <f t="shared" si="13"/>
        <v>0</v>
      </c>
      <c r="H68" s="2">
        <f t="shared" si="14"/>
        <v>0</v>
      </c>
      <c r="I68" s="12" t="e">
        <f t="shared" si="11"/>
        <v>#N/A</v>
      </c>
      <c r="J68" s="34" t="e">
        <f t="shared" si="9"/>
        <v>#N/A</v>
      </c>
      <c r="K68" s="34"/>
      <c r="L68" s="2">
        <f t="shared" si="5"/>
        <v>0</v>
      </c>
      <c r="M68" s="2">
        <f t="shared" si="6"/>
        <v>0</v>
      </c>
      <c r="N68" s="2">
        <f t="shared" si="7"/>
        <v>0</v>
      </c>
      <c r="O68" s="2"/>
      <c r="P68" s="2"/>
      <c r="Q68" s="5"/>
      <c r="R68" s="5"/>
      <c r="S68" s="61"/>
      <c r="T68" s="64"/>
      <c r="U68" s="72"/>
      <c r="V68" s="48"/>
      <c r="W68" s="48"/>
      <c r="X68" s="41"/>
    </row>
    <row r="69" spans="2:24" x14ac:dyDescent="0.4">
      <c r="B69" s="5" t="s">
        <v>397</v>
      </c>
      <c r="C69" s="5" t="s">
        <v>710</v>
      </c>
      <c r="D69" s="25" t="s">
        <v>37</v>
      </c>
      <c r="E69" s="64" t="s">
        <v>44</v>
      </c>
      <c r="F69" s="2">
        <f t="shared" si="12"/>
        <v>0</v>
      </c>
      <c r="G69" s="2">
        <f t="shared" si="13"/>
        <v>0</v>
      </c>
      <c r="H69" s="2">
        <f t="shared" si="14"/>
        <v>0</v>
      </c>
      <c r="I69" s="12" t="e">
        <f t="shared" ref="I69:I132" si="15">+VLOOKUP(B69,$Q$2:$U$373,5,FALSE)</f>
        <v>#N/A</v>
      </c>
      <c r="J69" s="34" t="e">
        <f t="shared" si="9"/>
        <v>#N/A</v>
      </c>
      <c r="K69" s="34"/>
      <c r="L69" s="2">
        <f t="shared" ref="L69:L132" si="16">IFERROR(VLOOKUP(B69,$Q$2:$U$373,5,FALSE),0)</f>
        <v>0</v>
      </c>
      <c r="M69" s="2">
        <f t="shared" ref="M69:M132" si="17">IFERROR(VLOOKUP(B69,$Q$2:$W$373,6,FALSE),0)</f>
        <v>0</v>
      </c>
      <c r="N69" s="2">
        <f t="shared" ref="N69:N132" si="18">IFERROR(VLOOKUP(B69,$Q$2:$W$373,7,FALSE),0)</f>
        <v>0</v>
      </c>
      <c r="O69" s="2"/>
      <c r="P69" s="2"/>
      <c r="Q69" s="5"/>
      <c r="R69" s="5"/>
      <c r="S69" s="61"/>
      <c r="T69" s="64"/>
      <c r="U69" s="72"/>
      <c r="V69" s="48"/>
      <c r="W69" s="48"/>
      <c r="X69" s="41"/>
    </row>
    <row r="70" spans="2:24" x14ac:dyDescent="0.4">
      <c r="B70" s="5" t="s">
        <v>398</v>
      </c>
      <c r="C70" s="5" t="s">
        <v>710</v>
      </c>
      <c r="D70" s="25" t="s">
        <v>37</v>
      </c>
      <c r="E70" s="64" t="s">
        <v>45</v>
      </c>
      <c r="F70" s="2">
        <f t="shared" si="12"/>
        <v>0</v>
      </c>
      <c r="G70" s="2">
        <f t="shared" si="13"/>
        <v>0</v>
      </c>
      <c r="H70" s="2">
        <f t="shared" si="14"/>
        <v>0</v>
      </c>
      <c r="I70" s="12" t="e">
        <f t="shared" si="15"/>
        <v>#N/A</v>
      </c>
      <c r="J70" s="34" t="e">
        <f t="shared" si="9"/>
        <v>#N/A</v>
      </c>
      <c r="K70" s="34"/>
      <c r="L70" s="2">
        <f t="shared" si="16"/>
        <v>0</v>
      </c>
      <c r="M70" s="2">
        <f t="shared" si="17"/>
        <v>0</v>
      </c>
      <c r="N70" s="2">
        <f t="shared" si="18"/>
        <v>0</v>
      </c>
      <c r="O70" s="2"/>
      <c r="P70" s="2"/>
      <c r="Q70" s="5"/>
      <c r="R70" s="5"/>
      <c r="S70" s="61"/>
      <c r="T70" s="64"/>
      <c r="U70" s="72"/>
      <c r="V70" s="48"/>
      <c r="W70" s="48"/>
      <c r="X70" s="41"/>
    </row>
    <row r="71" spans="2:24" x14ac:dyDescent="0.4">
      <c r="B71" s="5" t="s">
        <v>399</v>
      </c>
      <c r="C71" s="5" t="s">
        <v>710</v>
      </c>
      <c r="D71" s="25" t="s">
        <v>37</v>
      </c>
      <c r="E71" s="64" t="s">
        <v>46</v>
      </c>
      <c r="F71" s="2">
        <f t="shared" si="12"/>
        <v>0</v>
      </c>
      <c r="G71" s="2">
        <f t="shared" si="13"/>
        <v>0</v>
      </c>
      <c r="H71" s="2">
        <f t="shared" si="14"/>
        <v>0</v>
      </c>
      <c r="I71" s="12" t="e">
        <f t="shared" si="15"/>
        <v>#N/A</v>
      </c>
      <c r="J71" s="34" t="e">
        <f t="shared" si="9"/>
        <v>#N/A</v>
      </c>
      <c r="K71" s="34"/>
      <c r="L71" s="2">
        <f t="shared" si="16"/>
        <v>0</v>
      </c>
      <c r="M71" s="2">
        <f t="shared" si="17"/>
        <v>0</v>
      </c>
      <c r="N71" s="2">
        <f t="shared" si="18"/>
        <v>0</v>
      </c>
      <c r="O71" s="2"/>
      <c r="P71" s="2"/>
      <c r="Q71" s="5"/>
      <c r="R71" s="5"/>
      <c r="S71" s="61"/>
      <c r="T71" s="64"/>
      <c r="U71" s="72"/>
      <c r="V71" s="48"/>
      <c r="W71" s="48"/>
      <c r="X71" s="41"/>
    </row>
    <row r="72" spans="2:24" x14ac:dyDescent="0.4">
      <c r="B72" s="5" t="s">
        <v>400</v>
      </c>
      <c r="C72" s="5" t="s">
        <v>710</v>
      </c>
      <c r="D72" s="25" t="s">
        <v>37</v>
      </c>
      <c r="E72" s="64" t="s">
        <v>47</v>
      </c>
      <c r="F72" s="2">
        <f t="shared" si="12"/>
        <v>0</v>
      </c>
      <c r="G72" s="2">
        <f t="shared" si="13"/>
        <v>0</v>
      </c>
      <c r="H72" s="2">
        <f t="shared" si="14"/>
        <v>0</v>
      </c>
      <c r="I72" s="12" t="e">
        <f t="shared" si="15"/>
        <v>#N/A</v>
      </c>
      <c r="J72" s="34" t="e">
        <f t="shared" ref="J72:J135" si="19">+I72-F72</f>
        <v>#N/A</v>
      </c>
      <c r="K72" s="34"/>
      <c r="L72" s="2">
        <f t="shared" si="16"/>
        <v>0</v>
      </c>
      <c r="M72" s="2">
        <f t="shared" si="17"/>
        <v>0</v>
      </c>
      <c r="N72" s="2">
        <f t="shared" si="18"/>
        <v>0</v>
      </c>
      <c r="O72" s="2"/>
      <c r="P72" s="2"/>
      <c r="Q72" s="5"/>
      <c r="R72" s="5"/>
      <c r="S72" s="61"/>
      <c r="T72" s="64"/>
      <c r="U72" s="72"/>
      <c r="V72" s="48"/>
      <c r="W72" s="48"/>
      <c r="X72" s="41"/>
    </row>
    <row r="73" spans="2:24" x14ac:dyDescent="0.4">
      <c r="B73" s="5" t="s">
        <v>401</v>
      </c>
      <c r="C73" s="5" t="s">
        <v>710</v>
      </c>
      <c r="D73" s="25" t="s">
        <v>37</v>
      </c>
      <c r="E73" s="64" t="s">
        <v>48</v>
      </c>
      <c r="F73" s="2">
        <f t="shared" si="12"/>
        <v>0</v>
      </c>
      <c r="G73" s="2">
        <f t="shared" si="13"/>
        <v>0</v>
      </c>
      <c r="H73" s="2">
        <f t="shared" si="14"/>
        <v>0</v>
      </c>
      <c r="I73" s="12" t="e">
        <f t="shared" si="15"/>
        <v>#N/A</v>
      </c>
      <c r="J73" s="34" t="e">
        <f t="shared" si="19"/>
        <v>#N/A</v>
      </c>
      <c r="K73" s="34"/>
      <c r="L73" s="2">
        <f t="shared" si="16"/>
        <v>0</v>
      </c>
      <c r="M73" s="2">
        <f t="shared" si="17"/>
        <v>0</v>
      </c>
      <c r="N73" s="2">
        <f t="shared" si="18"/>
        <v>0</v>
      </c>
      <c r="O73" s="2"/>
      <c r="P73" s="2"/>
      <c r="Q73" s="5"/>
      <c r="R73" s="5"/>
      <c r="S73" s="61"/>
      <c r="T73" s="64"/>
      <c r="U73" s="72"/>
      <c r="V73" s="48"/>
      <c r="W73" s="48"/>
      <c r="X73" s="41"/>
    </row>
    <row r="74" spans="2:24" x14ac:dyDescent="0.4">
      <c r="B74" s="5" t="s">
        <v>402</v>
      </c>
      <c r="C74" s="5" t="s">
        <v>710</v>
      </c>
      <c r="D74" s="25" t="s">
        <v>37</v>
      </c>
      <c r="E74" s="64" t="s">
        <v>49</v>
      </c>
      <c r="F74" s="2">
        <f t="shared" si="12"/>
        <v>0</v>
      </c>
      <c r="G74" s="2">
        <f t="shared" si="13"/>
        <v>0</v>
      </c>
      <c r="H74" s="2">
        <f t="shared" si="14"/>
        <v>0</v>
      </c>
      <c r="I74" s="12" t="e">
        <f t="shared" si="15"/>
        <v>#N/A</v>
      </c>
      <c r="J74" s="34" t="e">
        <f t="shared" si="19"/>
        <v>#N/A</v>
      </c>
      <c r="K74" s="34"/>
      <c r="L74" s="2">
        <f t="shared" si="16"/>
        <v>0</v>
      </c>
      <c r="M74" s="2">
        <f t="shared" si="17"/>
        <v>0</v>
      </c>
      <c r="N74" s="2">
        <f t="shared" si="18"/>
        <v>0</v>
      </c>
      <c r="O74" s="2"/>
      <c r="P74" s="2"/>
      <c r="Q74" s="5"/>
      <c r="R74" s="5"/>
      <c r="S74" s="61"/>
      <c r="T74" s="64"/>
      <c r="U74" s="72"/>
      <c r="V74" s="48"/>
      <c r="W74" s="48"/>
      <c r="X74" s="41"/>
    </row>
    <row r="75" spans="2:24" x14ac:dyDescent="0.4">
      <c r="B75" s="5" t="s">
        <v>403</v>
      </c>
      <c r="C75" s="5" t="s">
        <v>710</v>
      </c>
      <c r="D75" s="25" t="s">
        <v>37</v>
      </c>
      <c r="E75" s="64" t="s">
        <v>50</v>
      </c>
      <c r="F75" s="2">
        <f t="shared" si="12"/>
        <v>0</v>
      </c>
      <c r="G75" s="2">
        <f t="shared" si="13"/>
        <v>0</v>
      </c>
      <c r="H75" s="2">
        <f t="shared" si="14"/>
        <v>0</v>
      </c>
      <c r="I75" s="12" t="e">
        <f t="shared" si="15"/>
        <v>#N/A</v>
      </c>
      <c r="J75" s="34" t="e">
        <f t="shared" si="19"/>
        <v>#N/A</v>
      </c>
      <c r="K75" s="34"/>
      <c r="L75" s="2">
        <f t="shared" si="16"/>
        <v>0</v>
      </c>
      <c r="M75" s="2">
        <f t="shared" si="17"/>
        <v>0</v>
      </c>
      <c r="N75" s="2">
        <f t="shared" si="18"/>
        <v>0</v>
      </c>
      <c r="O75" s="2"/>
      <c r="P75" s="2"/>
      <c r="Q75" s="5"/>
      <c r="R75" s="5"/>
      <c r="S75" s="61"/>
      <c r="T75" s="64"/>
      <c r="U75" s="72"/>
      <c r="V75" s="48"/>
      <c r="W75" s="48"/>
      <c r="X75" s="41"/>
    </row>
    <row r="76" spans="2:24" x14ac:dyDescent="0.4">
      <c r="B76" s="5" t="s">
        <v>404</v>
      </c>
      <c r="C76" s="5" t="s">
        <v>710</v>
      </c>
      <c r="D76" s="25" t="s">
        <v>37</v>
      </c>
      <c r="E76" s="64" t="s">
        <v>51</v>
      </c>
      <c r="F76" s="2">
        <f t="shared" si="12"/>
        <v>0</v>
      </c>
      <c r="G76" s="2">
        <f t="shared" si="13"/>
        <v>0</v>
      </c>
      <c r="H76" s="2">
        <f t="shared" si="14"/>
        <v>0</v>
      </c>
      <c r="I76" s="12" t="e">
        <f t="shared" si="15"/>
        <v>#N/A</v>
      </c>
      <c r="J76" s="34" t="e">
        <f t="shared" si="19"/>
        <v>#N/A</v>
      </c>
      <c r="K76" s="34"/>
      <c r="L76" s="2">
        <f t="shared" si="16"/>
        <v>0</v>
      </c>
      <c r="M76" s="2">
        <f t="shared" si="17"/>
        <v>0</v>
      </c>
      <c r="N76" s="2">
        <f t="shared" si="18"/>
        <v>0</v>
      </c>
      <c r="O76" s="2"/>
      <c r="P76" s="2"/>
      <c r="Q76" s="5"/>
      <c r="R76" s="5"/>
      <c r="S76" s="61"/>
      <c r="T76" s="64"/>
      <c r="U76" s="72"/>
      <c r="V76" s="48"/>
      <c r="W76" s="48"/>
      <c r="X76" s="41"/>
    </row>
    <row r="77" spans="2:24" x14ac:dyDescent="0.4">
      <c r="B77" s="5" t="s">
        <v>405</v>
      </c>
      <c r="C77" s="5" t="s">
        <v>710</v>
      </c>
      <c r="D77" s="25" t="s">
        <v>37</v>
      </c>
      <c r="E77" s="64" t="s">
        <v>52</v>
      </c>
      <c r="F77" s="2">
        <f t="shared" si="12"/>
        <v>0</v>
      </c>
      <c r="G77" s="2">
        <f t="shared" si="13"/>
        <v>0</v>
      </c>
      <c r="H77" s="2">
        <f t="shared" si="14"/>
        <v>0</v>
      </c>
      <c r="I77" s="12" t="e">
        <f t="shared" si="15"/>
        <v>#N/A</v>
      </c>
      <c r="J77" s="34" t="e">
        <f t="shared" si="19"/>
        <v>#N/A</v>
      </c>
      <c r="K77" s="34"/>
      <c r="L77" s="2">
        <f t="shared" si="16"/>
        <v>0</v>
      </c>
      <c r="M77" s="2">
        <f t="shared" si="17"/>
        <v>0</v>
      </c>
      <c r="N77" s="2">
        <f t="shared" si="18"/>
        <v>0</v>
      </c>
      <c r="O77" s="2"/>
      <c r="P77" s="2"/>
      <c r="Q77" s="5"/>
      <c r="R77" s="5"/>
      <c r="S77" s="61"/>
      <c r="T77" s="64"/>
      <c r="U77" s="72"/>
      <c r="V77" s="48"/>
      <c r="W77" s="48"/>
      <c r="X77" s="41"/>
    </row>
    <row r="78" spans="2:24" x14ac:dyDescent="0.4">
      <c r="B78" s="5" t="s">
        <v>406</v>
      </c>
      <c r="C78" s="5" t="s">
        <v>710</v>
      </c>
      <c r="D78" s="25" t="s">
        <v>37</v>
      </c>
      <c r="E78" s="64" t="s">
        <v>53</v>
      </c>
      <c r="F78" s="2">
        <f t="shared" si="12"/>
        <v>0</v>
      </c>
      <c r="G78" s="2">
        <f t="shared" si="13"/>
        <v>0</v>
      </c>
      <c r="H78" s="2">
        <f t="shared" si="14"/>
        <v>0</v>
      </c>
      <c r="I78" s="12" t="e">
        <f t="shared" si="15"/>
        <v>#N/A</v>
      </c>
      <c r="J78" s="34" t="e">
        <f t="shared" si="19"/>
        <v>#N/A</v>
      </c>
      <c r="K78" s="34"/>
      <c r="L78" s="2">
        <f t="shared" si="16"/>
        <v>0</v>
      </c>
      <c r="M78" s="2">
        <f t="shared" si="17"/>
        <v>0</v>
      </c>
      <c r="N78" s="2">
        <f t="shared" si="18"/>
        <v>0</v>
      </c>
      <c r="O78" s="2"/>
      <c r="P78" s="2"/>
      <c r="Q78" s="5"/>
      <c r="R78" s="5"/>
      <c r="S78" s="61"/>
      <c r="T78" s="64"/>
      <c r="U78" s="72"/>
      <c r="V78" s="48"/>
      <c r="W78" s="48"/>
      <c r="X78" s="41"/>
    </row>
    <row r="79" spans="2:24" x14ac:dyDescent="0.4">
      <c r="B79" s="5" t="s">
        <v>407</v>
      </c>
      <c r="C79" s="5" t="s">
        <v>710</v>
      </c>
      <c r="D79" s="25" t="s">
        <v>37</v>
      </c>
      <c r="E79" s="64" t="s">
        <v>54</v>
      </c>
      <c r="F79" s="2">
        <f t="shared" si="12"/>
        <v>0</v>
      </c>
      <c r="G79" s="2">
        <f t="shared" si="13"/>
        <v>0</v>
      </c>
      <c r="H79" s="2">
        <f t="shared" si="14"/>
        <v>0</v>
      </c>
      <c r="I79" s="12" t="e">
        <f t="shared" si="15"/>
        <v>#N/A</v>
      </c>
      <c r="J79" s="34" t="e">
        <f t="shared" si="19"/>
        <v>#N/A</v>
      </c>
      <c r="K79" s="34"/>
      <c r="L79" s="2">
        <f t="shared" si="16"/>
        <v>0</v>
      </c>
      <c r="M79" s="2">
        <f t="shared" si="17"/>
        <v>0</v>
      </c>
      <c r="N79" s="2">
        <f t="shared" si="18"/>
        <v>0</v>
      </c>
      <c r="O79" s="2"/>
      <c r="P79" s="2"/>
      <c r="Q79" s="5"/>
      <c r="R79" s="5"/>
      <c r="S79" s="61"/>
      <c r="T79" s="64"/>
      <c r="U79" s="72"/>
      <c r="V79" s="48"/>
      <c r="W79" s="48"/>
      <c r="X79" s="41"/>
    </row>
    <row r="80" spans="2:24" x14ac:dyDescent="0.4">
      <c r="B80" s="5" t="s">
        <v>408</v>
      </c>
      <c r="C80" s="5" t="s">
        <v>711</v>
      </c>
      <c r="D80" s="25" t="s">
        <v>56</v>
      </c>
      <c r="E80" s="64" t="s">
        <v>55</v>
      </c>
      <c r="F80" s="2">
        <f t="shared" si="12"/>
        <v>0</v>
      </c>
      <c r="G80" s="2">
        <f t="shared" si="13"/>
        <v>0</v>
      </c>
      <c r="H80" s="2">
        <f t="shared" si="14"/>
        <v>0</v>
      </c>
      <c r="I80" s="12" t="e">
        <f t="shared" si="15"/>
        <v>#N/A</v>
      </c>
      <c r="J80" s="34" t="e">
        <f t="shared" si="19"/>
        <v>#N/A</v>
      </c>
      <c r="K80" s="34"/>
      <c r="L80" s="2">
        <f t="shared" si="16"/>
        <v>0</v>
      </c>
      <c r="M80" s="2">
        <f t="shared" si="17"/>
        <v>0</v>
      </c>
      <c r="N80" s="2">
        <f t="shared" si="18"/>
        <v>0</v>
      </c>
      <c r="O80" s="2"/>
      <c r="P80" s="2"/>
      <c r="Q80" s="5"/>
      <c r="R80" s="5"/>
      <c r="S80" s="61"/>
      <c r="T80" s="64"/>
      <c r="U80" s="72"/>
      <c r="V80" s="48"/>
      <c r="W80" s="48"/>
      <c r="X80" s="41"/>
    </row>
    <row r="81" spans="2:24" x14ac:dyDescent="0.4">
      <c r="B81" s="5" t="s">
        <v>409</v>
      </c>
      <c r="C81" s="5" t="s">
        <v>711</v>
      </c>
      <c r="D81" s="25" t="s">
        <v>56</v>
      </c>
      <c r="E81" s="64" t="s">
        <v>57</v>
      </c>
      <c r="F81" s="2">
        <f t="shared" si="12"/>
        <v>0</v>
      </c>
      <c r="G81" s="2">
        <f t="shared" si="13"/>
        <v>0</v>
      </c>
      <c r="H81" s="2">
        <f t="shared" si="14"/>
        <v>0</v>
      </c>
      <c r="I81" s="12" t="e">
        <f t="shared" si="15"/>
        <v>#N/A</v>
      </c>
      <c r="J81" s="34" t="e">
        <f t="shared" si="19"/>
        <v>#N/A</v>
      </c>
      <c r="K81" s="34"/>
      <c r="L81" s="2">
        <f t="shared" si="16"/>
        <v>0</v>
      </c>
      <c r="M81" s="2">
        <f t="shared" si="17"/>
        <v>0</v>
      </c>
      <c r="N81" s="2">
        <f t="shared" si="18"/>
        <v>0</v>
      </c>
      <c r="O81" s="2"/>
      <c r="P81" s="2"/>
      <c r="Q81" s="5"/>
      <c r="R81" s="5"/>
      <c r="S81" s="61"/>
      <c r="T81" s="64"/>
      <c r="U81" s="72"/>
      <c r="V81" s="48"/>
      <c r="W81" s="48"/>
      <c r="X81" s="41"/>
    </row>
    <row r="82" spans="2:24" x14ac:dyDescent="0.4">
      <c r="B82" s="5" t="s">
        <v>410</v>
      </c>
      <c r="C82" s="5" t="s">
        <v>711</v>
      </c>
      <c r="D82" s="25" t="s">
        <v>56</v>
      </c>
      <c r="E82" s="64" t="s">
        <v>58</v>
      </c>
      <c r="F82" s="2">
        <f t="shared" si="12"/>
        <v>0</v>
      </c>
      <c r="G82" s="2">
        <f t="shared" si="13"/>
        <v>0</v>
      </c>
      <c r="H82" s="2">
        <f t="shared" si="14"/>
        <v>0</v>
      </c>
      <c r="I82" s="12" t="e">
        <f t="shared" si="15"/>
        <v>#N/A</v>
      </c>
      <c r="J82" s="34" t="e">
        <f t="shared" si="19"/>
        <v>#N/A</v>
      </c>
      <c r="K82" s="34"/>
      <c r="L82" s="2">
        <f t="shared" si="16"/>
        <v>0</v>
      </c>
      <c r="M82" s="2">
        <f t="shared" si="17"/>
        <v>0</v>
      </c>
      <c r="N82" s="2">
        <f t="shared" si="18"/>
        <v>0</v>
      </c>
      <c r="O82" s="2"/>
      <c r="P82" s="2"/>
      <c r="Q82" s="5"/>
      <c r="R82" s="5"/>
      <c r="S82" s="61"/>
      <c r="T82" s="64"/>
      <c r="U82" s="72"/>
      <c r="V82" s="48"/>
      <c r="W82" s="48"/>
      <c r="X82" s="41"/>
    </row>
    <row r="83" spans="2:24" x14ac:dyDescent="0.4">
      <c r="B83" s="5" t="s">
        <v>411</v>
      </c>
      <c r="C83" s="5" t="s">
        <v>711</v>
      </c>
      <c r="D83" s="25" t="s">
        <v>56</v>
      </c>
      <c r="E83" s="64" t="s">
        <v>59</v>
      </c>
      <c r="F83" s="2">
        <f t="shared" si="12"/>
        <v>0</v>
      </c>
      <c r="G83" s="2">
        <f t="shared" si="13"/>
        <v>0</v>
      </c>
      <c r="H83" s="2">
        <f t="shared" si="14"/>
        <v>0</v>
      </c>
      <c r="I83" s="12" t="e">
        <f t="shared" si="15"/>
        <v>#N/A</v>
      </c>
      <c r="J83" s="34" t="e">
        <f t="shared" si="19"/>
        <v>#N/A</v>
      </c>
      <c r="K83" s="34"/>
      <c r="L83" s="2">
        <f t="shared" si="16"/>
        <v>0</v>
      </c>
      <c r="M83" s="2">
        <f t="shared" si="17"/>
        <v>0</v>
      </c>
      <c r="N83" s="2">
        <f t="shared" si="18"/>
        <v>0</v>
      </c>
      <c r="O83" s="2"/>
      <c r="P83" s="2"/>
      <c r="Q83" s="5"/>
      <c r="R83" s="5"/>
      <c r="S83" s="61"/>
      <c r="T83" s="64"/>
      <c r="U83" s="72"/>
      <c r="V83" s="48"/>
      <c r="W83" s="48"/>
      <c r="X83" s="41"/>
    </row>
    <row r="84" spans="2:24" x14ac:dyDescent="0.4">
      <c r="B84" s="5" t="s">
        <v>412</v>
      </c>
      <c r="C84" s="5" t="s">
        <v>711</v>
      </c>
      <c r="D84" s="25" t="s">
        <v>56</v>
      </c>
      <c r="E84" s="64" t="s">
        <v>60</v>
      </c>
      <c r="F84" s="2">
        <f t="shared" si="12"/>
        <v>0</v>
      </c>
      <c r="G84" s="2">
        <f t="shared" si="13"/>
        <v>0</v>
      </c>
      <c r="H84" s="2">
        <f t="shared" si="14"/>
        <v>0</v>
      </c>
      <c r="I84" s="12" t="e">
        <f t="shared" si="15"/>
        <v>#N/A</v>
      </c>
      <c r="J84" s="34" t="e">
        <f t="shared" si="19"/>
        <v>#N/A</v>
      </c>
      <c r="K84" s="34"/>
      <c r="L84" s="2">
        <f t="shared" si="16"/>
        <v>0</v>
      </c>
      <c r="M84" s="2">
        <f t="shared" si="17"/>
        <v>0</v>
      </c>
      <c r="N84" s="2">
        <f t="shared" si="18"/>
        <v>0</v>
      </c>
      <c r="O84" s="2"/>
      <c r="P84" s="2"/>
      <c r="Q84" s="5"/>
      <c r="R84" s="5"/>
      <c r="S84" s="61"/>
      <c r="T84" s="64"/>
      <c r="U84" s="72"/>
      <c r="V84" s="48"/>
      <c r="W84" s="48"/>
      <c r="X84" s="41"/>
    </row>
    <row r="85" spans="2:24" x14ac:dyDescent="0.4">
      <c r="B85" s="5" t="s">
        <v>413</v>
      </c>
      <c r="C85" s="5" t="s">
        <v>711</v>
      </c>
      <c r="D85" s="25" t="s">
        <v>56</v>
      </c>
      <c r="E85" s="64" t="s">
        <v>36</v>
      </c>
      <c r="F85" s="2">
        <f t="shared" si="12"/>
        <v>0</v>
      </c>
      <c r="G85" s="2">
        <f t="shared" si="13"/>
        <v>0</v>
      </c>
      <c r="H85" s="2">
        <f t="shared" si="14"/>
        <v>0</v>
      </c>
      <c r="I85" s="12" t="e">
        <f t="shared" si="15"/>
        <v>#N/A</v>
      </c>
      <c r="J85" s="34" t="e">
        <f t="shared" si="19"/>
        <v>#N/A</v>
      </c>
      <c r="K85" s="34"/>
      <c r="L85" s="2">
        <f t="shared" si="16"/>
        <v>0</v>
      </c>
      <c r="M85" s="2">
        <f t="shared" si="17"/>
        <v>0</v>
      </c>
      <c r="N85" s="2">
        <f t="shared" si="18"/>
        <v>0</v>
      </c>
      <c r="O85" s="2"/>
      <c r="P85" s="2"/>
      <c r="Q85" s="5"/>
      <c r="R85" s="5"/>
      <c r="S85" s="61"/>
      <c r="T85" s="64"/>
      <c r="U85" s="72"/>
      <c r="V85" s="48"/>
      <c r="W85" s="48"/>
      <c r="X85" s="41"/>
    </row>
    <row r="86" spans="2:24" x14ac:dyDescent="0.4">
      <c r="B86" s="5" t="s">
        <v>414</v>
      </c>
      <c r="C86" s="5" t="s">
        <v>711</v>
      </c>
      <c r="D86" s="25" t="s">
        <v>56</v>
      </c>
      <c r="E86" s="64" t="s">
        <v>61</v>
      </c>
      <c r="F86" s="2">
        <f t="shared" si="12"/>
        <v>0</v>
      </c>
      <c r="G86" s="2">
        <f t="shared" si="13"/>
        <v>0</v>
      </c>
      <c r="H86" s="2">
        <f t="shared" si="14"/>
        <v>0</v>
      </c>
      <c r="I86" s="12" t="e">
        <f t="shared" si="15"/>
        <v>#N/A</v>
      </c>
      <c r="J86" s="34" t="e">
        <f t="shared" si="19"/>
        <v>#N/A</v>
      </c>
      <c r="K86" s="34"/>
      <c r="L86" s="2">
        <f t="shared" si="16"/>
        <v>0</v>
      </c>
      <c r="M86" s="2">
        <f t="shared" si="17"/>
        <v>0</v>
      </c>
      <c r="N86" s="2">
        <f t="shared" si="18"/>
        <v>0</v>
      </c>
      <c r="O86" s="2"/>
      <c r="P86" s="2"/>
      <c r="Q86" s="5"/>
      <c r="R86" s="5"/>
      <c r="S86" s="61"/>
      <c r="T86" s="64"/>
      <c r="U86" s="72"/>
      <c r="V86" s="48"/>
      <c r="W86" s="48"/>
      <c r="X86" s="41"/>
    </row>
    <row r="87" spans="2:24" x14ac:dyDescent="0.4">
      <c r="B87" s="5" t="s">
        <v>415</v>
      </c>
      <c r="C87" s="5" t="s">
        <v>711</v>
      </c>
      <c r="D87" s="25" t="s">
        <v>56</v>
      </c>
      <c r="E87" s="64" t="s">
        <v>62</v>
      </c>
      <c r="F87" s="2">
        <f t="shared" si="12"/>
        <v>0</v>
      </c>
      <c r="G87" s="2">
        <f t="shared" si="13"/>
        <v>0</v>
      </c>
      <c r="H87" s="2">
        <f t="shared" si="14"/>
        <v>0</v>
      </c>
      <c r="I87" s="12" t="e">
        <f t="shared" si="15"/>
        <v>#N/A</v>
      </c>
      <c r="J87" s="34" t="e">
        <f t="shared" si="19"/>
        <v>#N/A</v>
      </c>
      <c r="K87" s="34"/>
      <c r="L87" s="2">
        <f t="shared" si="16"/>
        <v>0</v>
      </c>
      <c r="M87" s="2">
        <f t="shared" si="17"/>
        <v>0</v>
      </c>
      <c r="N87" s="2">
        <f t="shared" si="18"/>
        <v>0</v>
      </c>
      <c r="O87" s="2"/>
      <c r="P87" s="2"/>
      <c r="Q87" s="5"/>
      <c r="R87" s="5"/>
      <c r="S87" s="61"/>
      <c r="T87" s="64"/>
      <c r="U87" s="72"/>
      <c r="V87" s="48"/>
      <c r="W87" s="48"/>
      <c r="X87" s="41"/>
    </row>
    <row r="88" spans="2:24" x14ac:dyDescent="0.4">
      <c r="B88" s="5" t="s">
        <v>416</v>
      </c>
      <c r="C88" s="5" t="s">
        <v>711</v>
      </c>
      <c r="D88" s="25" t="s">
        <v>56</v>
      </c>
      <c r="E88" s="64" t="s">
        <v>63</v>
      </c>
      <c r="F88" s="2">
        <f t="shared" si="12"/>
        <v>0</v>
      </c>
      <c r="G88" s="2">
        <f t="shared" si="13"/>
        <v>0</v>
      </c>
      <c r="H88" s="2">
        <f t="shared" si="14"/>
        <v>0</v>
      </c>
      <c r="I88" s="12" t="e">
        <f t="shared" si="15"/>
        <v>#N/A</v>
      </c>
      <c r="J88" s="34" t="e">
        <f t="shared" si="19"/>
        <v>#N/A</v>
      </c>
      <c r="K88" s="34"/>
      <c r="L88" s="2">
        <f t="shared" si="16"/>
        <v>0</v>
      </c>
      <c r="M88" s="2">
        <f t="shared" si="17"/>
        <v>0</v>
      </c>
      <c r="N88" s="2">
        <f t="shared" si="18"/>
        <v>0</v>
      </c>
      <c r="O88" s="2"/>
      <c r="P88" s="2"/>
      <c r="Q88" s="5"/>
      <c r="R88" s="5"/>
      <c r="S88" s="61"/>
      <c r="T88" s="64"/>
      <c r="U88" s="72"/>
      <c r="V88" s="48"/>
      <c r="W88" s="48"/>
      <c r="X88" s="41"/>
    </row>
    <row r="89" spans="2:24" x14ac:dyDescent="0.4">
      <c r="B89" s="5" t="s">
        <v>417</v>
      </c>
      <c r="C89" s="5" t="s">
        <v>711</v>
      </c>
      <c r="D89" s="25" t="s">
        <v>56</v>
      </c>
      <c r="E89" s="64" t="s">
        <v>64</v>
      </c>
      <c r="F89" s="2">
        <f t="shared" si="12"/>
        <v>0</v>
      </c>
      <c r="G89" s="2">
        <f t="shared" si="13"/>
        <v>0</v>
      </c>
      <c r="H89" s="2">
        <f t="shared" si="14"/>
        <v>0</v>
      </c>
      <c r="I89" s="12" t="e">
        <f t="shared" si="15"/>
        <v>#N/A</v>
      </c>
      <c r="J89" s="34" t="e">
        <f t="shared" si="19"/>
        <v>#N/A</v>
      </c>
      <c r="K89" s="34"/>
      <c r="L89" s="2">
        <f t="shared" si="16"/>
        <v>0</v>
      </c>
      <c r="M89" s="2">
        <f t="shared" si="17"/>
        <v>0</v>
      </c>
      <c r="N89" s="2">
        <f t="shared" si="18"/>
        <v>0</v>
      </c>
      <c r="O89" s="2"/>
      <c r="P89" s="2"/>
      <c r="Q89" s="5"/>
      <c r="R89" s="5"/>
      <c r="S89" s="61"/>
      <c r="T89" s="65"/>
      <c r="U89" s="72"/>
      <c r="V89" s="48"/>
      <c r="W89" s="48"/>
      <c r="X89" s="41"/>
    </row>
    <row r="90" spans="2:24" x14ac:dyDescent="0.4">
      <c r="B90" s="5" t="s">
        <v>418</v>
      </c>
      <c r="C90" s="5" t="s">
        <v>711</v>
      </c>
      <c r="D90" s="25" t="s">
        <v>56</v>
      </c>
      <c r="E90" s="64" t="s">
        <v>65</v>
      </c>
      <c r="F90" s="2">
        <f t="shared" si="12"/>
        <v>0</v>
      </c>
      <c r="G90" s="2">
        <f t="shared" si="13"/>
        <v>0</v>
      </c>
      <c r="H90" s="2">
        <f t="shared" si="14"/>
        <v>0</v>
      </c>
      <c r="I90" s="12" t="e">
        <f t="shared" si="15"/>
        <v>#N/A</v>
      </c>
      <c r="J90" s="34" t="e">
        <f t="shared" si="19"/>
        <v>#N/A</v>
      </c>
      <c r="K90" s="34"/>
      <c r="L90" s="2">
        <f t="shared" si="16"/>
        <v>0</v>
      </c>
      <c r="M90" s="2">
        <f t="shared" si="17"/>
        <v>0</v>
      </c>
      <c r="N90" s="2">
        <f t="shared" si="18"/>
        <v>0</v>
      </c>
      <c r="O90" s="2"/>
      <c r="P90" s="2"/>
      <c r="Q90" s="5"/>
      <c r="R90" s="5"/>
      <c r="S90" s="61"/>
      <c r="T90" s="64"/>
      <c r="U90" s="72"/>
      <c r="V90" s="48"/>
      <c r="W90" s="48"/>
      <c r="X90" s="41"/>
    </row>
    <row r="91" spans="2:24" x14ac:dyDescent="0.4">
      <c r="B91" s="5" t="s">
        <v>419</v>
      </c>
      <c r="C91" s="5" t="s">
        <v>711</v>
      </c>
      <c r="D91" s="25" t="s">
        <v>56</v>
      </c>
      <c r="E91" s="64" t="s">
        <v>66</v>
      </c>
      <c r="F91" s="2">
        <f t="shared" si="12"/>
        <v>0</v>
      </c>
      <c r="G91" s="2">
        <f t="shared" si="13"/>
        <v>0</v>
      </c>
      <c r="H91" s="2">
        <f t="shared" si="14"/>
        <v>0</v>
      </c>
      <c r="I91" s="12" t="e">
        <f t="shared" si="15"/>
        <v>#N/A</v>
      </c>
      <c r="J91" s="34" t="e">
        <f t="shared" si="19"/>
        <v>#N/A</v>
      </c>
      <c r="K91" s="34"/>
      <c r="L91" s="2">
        <f t="shared" si="16"/>
        <v>0</v>
      </c>
      <c r="M91" s="2">
        <f t="shared" si="17"/>
        <v>0</v>
      </c>
      <c r="N91" s="2">
        <f t="shared" si="18"/>
        <v>0</v>
      </c>
      <c r="O91" s="2"/>
      <c r="P91" s="2"/>
      <c r="Q91" s="5"/>
      <c r="R91" s="5"/>
      <c r="S91" s="61"/>
      <c r="T91" s="64"/>
      <c r="U91" s="72"/>
      <c r="V91" s="48"/>
      <c r="W91" s="48"/>
      <c r="X91" s="41"/>
    </row>
    <row r="92" spans="2:24" x14ac:dyDescent="0.4">
      <c r="B92" s="5" t="s">
        <v>420</v>
      </c>
      <c r="C92" s="5" t="s">
        <v>712</v>
      </c>
      <c r="D92" s="25" t="s">
        <v>68</v>
      </c>
      <c r="E92" s="64" t="s">
        <v>67</v>
      </c>
      <c r="F92" s="2">
        <f t="shared" si="12"/>
        <v>0</v>
      </c>
      <c r="G92" s="2">
        <f t="shared" si="13"/>
        <v>0</v>
      </c>
      <c r="H92" s="2">
        <f t="shared" si="14"/>
        <v>0</v>
      </c>
      <c r="I92" s="12" t="e">
        <f t="shared" si="15"/>
        <v>#N/A</v>
      </c>
      <c r="J92" s="34" t="e">
        <f t="shared" si="19"/>
        <v>#N/A</v>
      </c>
      <c r="K92" s="34"/>
      <c r="L92" s="2">
        <f t="shared" si="16"/>
        <v>0</v>
      </c>
      <c r="M92" s="2">
        <f t="shared" si="17"/>
        <v>0</v>
      </c>
      <c r="N92" s="2">
        <f t="shared" si="18"/>
        <v>0</v>
      </c>
      <c r="O92" s="2"/>
      <c r="P92" s="2"/>
      <c r="Q92" s="5"/>
      <c r="R92" s="5"/>
      <c r="S92" s="61"/>
      <c r="T92" s="64"/>
      <c r="U92" s="72"/>
      <c r="V92" s="48"/>
      <c r="W92" s="48"/>
      <c r="X92" s="41"/>
    </row>
    <row r="93" spans="2:24" x14ac:dyDescent="0.4">
      <c r="B93" s="5" t="s">
        <v>421</v>
      </c>
      <c r="C93" s="5" t="s">
        <v>712</v>
      </c>
      <c r="D93" s="25" t="s">
        <v>68</v>
      </c>
      <c r="E93" s="64" t="s">
        <v>69</v>
      </c>
      <c r="F93" s="2">
        <f t="shared" si="12"/>
        <v>0</v>
      </c>
      <c r="G93" s="2">
        <f t="shared" si="13"/>
        <v>0</v>
      </c>
      <c r="H93" s="2">
        <f t="shared" si="14"/>
        <v>0</v>
      </c>
      <c r="I93" s="12" t="e">
        <f t="shared" si="15"/>
        <v>#N/A</v>
      </c>
      <c r="J93" s="34" t="e">
        <f t="shared" si="19"/>
        <v>#N/A</v>
      </c>
      <c r="K93" s="34"/>
      <c r="L93" s="2">
        <f t="shared" si="16"/>
        <v>0</v>
      </c>
      <c r="M93" s="2">
        <f t="shared" si="17"/>
        <v>0</v>
      </c>
      <c r="N93" s="2">
        <f t="shared" si="18"/>
        <v>0</v>
      </c>
      <c r="O93" s="2"/>
      <c r="P93" s="2"/>
      <c r="Q93" s="5"/>
      <c r="R93" s="5"/>
      <c r="S93" s="61"/>
      <c r="T93" s="64"/>
      <c r="U93" s="72"/>
      <c r="V93" s="48"/>
      <c r="W93" s="48"/>
      <c r="X93" s="41"/>
    </row>
    <row r="94" spans="2:24" x14ac:dyDescent="0.4">
      <c r="B94" s="5" t="s">
        <v>422</v>
      </c>
      <c r="C94" s="5" t="s">
        <v>712</v>
      </c>
      <c r="D94" s="25" t="s">
        <v>68</v>
      </c>
      <c r="E94" s="64" t="s">
        <v>70</v>
      </c>
      <c r="F94" s="2">
        <f t="shared" si="12"/>
        <v>0</v>
      </c>
      <c r="G94" s="2">
        <f t="shared" si="13"/>
        <v>0</v>
      </c>
      <c r="H94" s="2">
        <f t="shared" si="14"/>
        <v>0</v>
      </c>
      <c r="I94" s="12" t="e">
        <f t="shared" si="15"/>
        <v>#N/A</v>
      </c>
      <c r="J94" s="34" t="e">
        <f t="shared" si="19"/>
        <v>#N/A</v>
      </c>
      <c r="K94" s="34"/>
      <c r="L94" s="2">
        <f t="shared" si="16"/>
        <v>0</v>
      </c>
      <c r="M94" s="2">
        <f t="shared" si="17"/>
        <v>0</v>
      </c>
      <c r="N94" s="2">
        <f t="shared" si="18"/>
        <v>0</v>
      </c>
      <c r="O94" s="2"/>
      <c r="P94" s="2"/>
      <c r="Q94" s="5"/>
      <c r="R94" s="5"/>
      <c r="S94" s="61"/>
      <c r="T94" s="64"/>
      <c r="U94" s="72"/>
      <c r="V94" s="48"/>
      <c r="W94" s="48"/>
      <c r="X94" s="41"/>
    </row>
    <row r="95" spans="2:24" x14ac:dyDescent="0.4">
      <c r="B95" s="5" t="s">
        <v>423</v>
      </c>
      <c r="C95" s="5" t="s">
        <v>712</v>
      </c>
      <c r="D95" s="25" t="s">
        <v>68</v>
      </c>
      <c r="E95" s="64" t="s">
        <v>71</v>
      </c>
      <c r="F95" s="2">
        <f t="shared" si="12"/>
        <v>0</v>
      </c>
      <c r="G95" s="2">
        <f t="shared" si="13"/>
        <v>0</v>
      </c>
      <c r="H95" s="2">
        <f t="shared" si="14"/>
        <v>0</v>
      </c>
      <c r="I95" s="12" t="e">
        <f t="shared" si="15"/>
        <v>#N/A</v>
      </c>
      <c r="J95" s="34" t="e">
        <f t="shared" si="19"/>
        <v>#N/A</v>
      </c>
      <c r="K95" s="34"/>
      <c r="L95" s="2">
        <f t="shared" si="16"/>
        <v>0</v>
      </c>
      <c r="M95" s="2">
        <f t="shared" si="17"/>
        <v>0</v>
      </c>
      <c r="N95" s="2">
        <f t="shared" si="18"/>
        <v>0</v>
      </c>
      <c r="O95" s="2"/>
      <c r="P95" s="2"/>
      <c r="Q95" s="5"/>
      <c r="R95" s="5"/>
      <c r="S95" s="61"/>
      <c r="T95" s="64"/>
      <c r="U95" s="72"/>
      <c r="V95" s="48"/>
      <c r="W95" s="48"/>
      <c r="X95" s="41"/>
    </row>
    <row r="96" spans="2:24" x14ac:dyDescent="0.4">
      <c r="B96" s="5" t="s">
        <v>424</v>
      </c>
      <c r="C96" s="5" t="s">
        <v>712</v>
      </c>
      <c r="D96" s="25" t="s">
        <v>68</v>
      </c>
      <c r="E96" s="64" t="s">
        <v>72</v>
      </c>
      <c r="F96" s="2">
        <f t="shared" si="12"/>
        <v>0</v>
      </c>
      <c r="G96" s="2">
        <f t="shared" si="13"/>
        <v>0</v>
      </c>
      <c r="H96" s="2">
        <f t="shared" si="14"/>
        <v>0</v>
      </c>
      <c r="I96" s="12" t="e">
        <f t="shared" si="15"/>
        <v>#N/A</v>
      </c>
      <c r="J96" s="34" t="e">
        <f t="shared" si="19"/>
        <v>#N/A</v>
      </c>
      <c r="K96" s="34"/>
      <c r="L96" s="2">
        <f t="shared" si="16"/>
        <v>0</v>
      </c>
      <c r="M96" s="2">
        <f t="shared" si="17"/>
        <v>0</v>
      </c>
      <c r="N96" s="2">
        <f t="shared" si="18"/>
        <v>0</v>
      </c>
      <c r="O96" s="2"/>
      <c r="P96" s="2"/>
      <c r="Q96" s="5"/>
      <c r="R96" s="5"/>
      <c r="S96" s="61"/>
      <c r="T96" s="64"/>
      <c r="U96" s="72"/>
      <c r="V96" s="48"/>
      <c r="W96" s="48"/>
      <c r="X96" s="41"/>
    </row>
    <row r="97" spans="2:24" x14ac:dyDescent="0.4">
      <c r="B97" s="5" t="s">
        <v>425</v>
      </c>
      <c r="C97" s="5" t="s">
        <v>712</v>
      </c>
      <c r="D97" s="25" t="s">
        <v>68</v>
      </c>
      <c r="E97" s="64" t="s">
        <v>73</v>
      </c>
      <c r="F97" s="2">
        <f t="shared" si="12"/>
        <v>0</v>
      </c>
      <c r="G97" s="2">
        <f t="shared" si="13"/>
        <v>0</v>
      </c>
      <c r="H97" s="2">
        <f t="shared" si="14"/>
        <v>0</v>
      </c>
      <c r="I97" s="12" t="e">
        <f t="shared" si="15"/>
        <v>#N/A</v>
      </c>
      <c r="J97" s="34" t="e">
        <f t="shared" si="19"/>
        <v>#N/A</v>
      </c>
      <c r="K97" s="34"/>
      <c r="L97" s="2">
        <f t="shared" si="16"/>
        <v>0</v>
      </c>
      <c r="M97" s="2">
        <f t="shared" si="17"/>
        <v>0</v>
      </c>
      <c r="N97" s="2">
        <f t="shared" si="18"/>
        <v>0</v>
      </c>
      <c r="O97" s="2"/>
      <c r="P97" s="2"/>
      <c r="Q97" s="5"/>
      <c r="R97" s="5"/>
      <c r="S97" s="61"/>
      <c r="T97" s="64"/>
      <c r="U97" s="72"/>
      <c r="V97" s="48"/>
      <c r="W97" s="48"/>
      <c r="X97" s="41"/>
    </row>
    <row r="98" spans="2:24" x14ac:dyDescent="0.4">
      <c r="B98" s="5" t="s">
        <v>426</v>
      </c>
      <c r="C98" s="5" t="s">
        <v>712</v>
      </c>
      <c r="D98" s="25" t="s">
        <v>68</v>
      </c>
      <c r="E98" s="64" t="s">
        <v>74</v>
      </c>
      <c r="F98" s="2">
        <f t="shared" si="12"/>
        <v>0</v>
      </c>
      <c r="G98" s="2">
        <f t="shared" si="13"/>
        <v>0</v>
      </c>
      <c r="H98" s="2">
        <f t="shared" si="14"/>
        <v>0</v>
      </c>
      <c r="I98" s="12" t="e">
        <f t="shared" si="15"/>
        <v>#N/A</v>
      </c>
      <c r="J98" s="34" t="e">
        <f t="shared" si="19"/>
        <v>#N/A</v>
      </c>
      <c r="K98" s="34"/>
      <c r="L98" s="2">
        <f t="shared" si="16"/>
        <v>0</v>
      </c>
      <c r="M98" s="2">
        <f t="shared" si="17"/>
        <v>0</v>
      </c>
      <c r="N98" s="2">
        <f t="shared" si="18"/>
        <v>0</v>
      </c>
      <c r="O98" s="2"/>
      <c r="P98" s="2"/>
      <c r="Q98" s="5"/>
      <c r="R98" s="5"/>
      <c r="S98" s="61"/>
      <c r="T98" s="64"/>
      <c r="U98" s="72"/>
      <c r="V98" s="48"/>
      <c r="W98" s="48"/>
      <c r="X98" s="41"/>
    </row>
    <row r="99" spans="2:24" x14ac:dyDescent="0.4">
      <c r="B99" s="5" t="s">
        <v>427</v>
      </c>
      <c r="C99" s="5" t="s">
        <v>712</v>
      </c>
      <c r="D99" s="25" t="s">
        <v>68</v>
      </c>
      <c r="E99" s="64" t="s">
        <v>75</v>
      </c>
      <c r="F99" s="2">
        <f t="shared" si="12"/>
        <v>0</v>
      </c>
      <c r="G99" s="2">
        <f t="shared" si="13"/>
        <v>0</v>
      </c>
      <c r="H99" s="2">
        <f t="shared" si="14"/>
        <v>0</v>
      </c>
      <c r="I99" s="12" t="e">
        <f t="shared" si="15"/>
        <v>#N/A</v>
      </c>
      <c r="J99" s="34" t="e">
        <f t="shared" si="19"/>
        <v>#N/A</v>
      </c>
      <c r="K99" s="34"/>
      <c r="L99" s="2">
        <f t="shared" si="16"/>
        <v>0</v>
      </c>
      <c r="M99" s="2">
        <f t="shared" si="17"/>
        <v>0</v>
      </c>
      <c r="N99" s="2">
        <f t="shared" si="18"/>
        <v>0</v>
      </c>
      <c r="O99" s="2"/>
      <c r="P99" s="2"/>
      <c r="Q99" s="5"/>
      <c r="R99" s="5"/>
      <c r="S99" s="61"/>
      <c r="T99" s="64"/>
      <c r="U99" s="72"/>
      <c r="V99" s="48"/>
      <c r="W99" s="48"/>
      <c r="X99" s="41"/>
    </row>
    <row r="100" spans="2:24" x14ac:dyDescent="0.4">
      <c r="B100" s="5" t="s">
        <v>428</v>
      </c>
      <c r="C100" s="5" t="s">
        <v>712</v>
      </c>
      <c r="D100" s="25" t="s">
        <v>68</v>
      </c>
      <c r="E100" s="64" t="s">
        <v>76</v>
      </c>
      <c r="F100" s="2">
        <f t="shared" si="12"/>
        <v>0</v>
      </c>
      <c r="G100" s="2">
        <f t="shared" si="13"/>
        <v>0</v>
      </c>
      <c r="H100" s="2">
        <f t="shared" si="14"/>
        <v>0</v>
      </c>
      <c r="I100" s="12" t="e">
        <f t="shared" si="15"/>
        <v>#N/A</v>
      </c>
      <c r="J100" s="34" t="e">
        <f t="shared" si="19"/>
        <v>#N/A</v>
      </c>
      <c r="K100" s="34"/>
      <c r="L100" s="2">
        <f t="shared" si="16"/>
        <v>0</v>
      </c>
      <c r="M100" s="2">
        <f t="shared" si="17"/>
        <v>0</v>
      </c>
      <c r="N100" s="2">
        <f t="shared" si="18"/>
        <v>0</v>
      </c>
      <c r="O100" s="2"/>
      <c r="P100" s="2"/>
      <c r="Q100" s="5"/>
      <c r="R100" s="5"/>
      <c r="S100" s="61"/>
      <c r="T100" s="64"/>
      <c r="U100" s="72"/>
      <c r="V100" s="48"/>
      <c r="W100" s="48"/>
      <c r="X100" s="41"/>
    </row>
    <row r="101" spans="2:24" x14ac:dyDescent="0.4">
      <c r="B101" s="5" t="s">
        <v>429</v>
      </c>
      <c r="C101" s="5" t="s">
        <v>712</v>
      </c>
      <c r="D101" s="25" t="s">
        <v>68</v>
      </c>
      <c r="E101" s="64" t="s">
        <v>77</v>
      </c>
      <c r="F101" s="2">
        <f t="shared" si="12"/>
        <v>0</v>
      </c>
      <c r="G101" s="2">
        <f t="shared" si="13"/>
        <v>0</v>
      </c>
      <c r="H101" s="2">
        <f t="shared" si="14"/>
        <v>0</v>
      </c>
      <c r="I101" s="12" t="e">
        <f t="shared" si="15"/>
        <v>#N/A</v>
      </c>
      <c r="J101" s="34" t="e">
        <f t="shared" si="19"/>
        <v>#N/A</v>
      </c>
      <c r="K101" s="34"/>
      <c r="L101" s="2">
        <f t="shared" si="16"/>
        <v>0</v>
      </c>
      <c r="M101" s="2">
        <f t="shared" si="17"/>
        <v>0</v>
      </c>
      <c r="N101" s="2">
        <f t="shared" si="18"/>
        <v>0</v>
      </c>
      <c r="O101" s="2"/>
      <c r="P101" s="2"/>
      <c r="Q101" s="5"/>
      <c r="R101" s="5"/>
      <c r="S101" s="61"/>
      <c r="T101" s="64"/>
      <c r="U101" s="72"/>
      <c r="V101" s="48"/>
      <c r="W101" s="48"/>
      <c r="X101" s="41"/>
    </row>
    <row r="102" spans="2:24" x14ac:dyDescent="0.4">
      <c r="B102" s="5" t="s">
        <v>430</v>
      </c>
      <c r="C102" s="5" t="s">
        <v>712</v>
      </c>
      <c r="D102" s="25" t="s">
        <v>68</v>
      </c>
      <c r="E102" s="64" t="s">
        <v>51</v>
      </c>
      <c r="F102" s="2">
        <f t="shared" si="12"/>
        <v>0</v>
      </c>
      <c r="G102" s="2">
        <f t="shared" si="13"/>
        <v>0</v>
      </c>
      <c r="H102" s="2">
        <f t="shared" si="14"/>
        <v>0</v>
      </c>
      <c r="I102" s="12" t="e">
        <f t="shared" si="15"/>
        <v>#N/A</v>
      </c>
      <c r="J102" s="34" t="e">
        <f t="shared" si="19"/>
        <v>#N/A</v>
      </c>
      <c r="K102" s="34"/>
      <c r="L102" s="2">
        <f t="shared" si="16"/>
        <v>0</v>
      </c>
      <c r="M102" s="2">
        <f t="shared" si="17"/>
        <v>0</v>
      </c>
      <c r="N102" s="2">
        <f t="shared" si="18"/>
        <v>0</v>
      </c>
      <c r="O102" s="2"/>
      <c r="P102" s="2"/>
      <c r="Q102" s="5"/>
      <c r="R102" s="5"/>
      <c r="S102" s="61"/>
      <c r="T102" s="64"/>
      <c r="U102" s="72"/>
      <c r="V102" s="48"/>
      <c r="W102" s="48"/>
      <c r="X102" s="41"/>
    </row>
    <row r="103" spans="2:24" x14ac:dyDescent="0.4">
      <c r="B103" s="5" t="s">
        <v>431</v>
      </c>
      <c r="C103" s="5" t="s">
        <v>713</v>
      </c>
      <c r="D103" s="25" t="s">
        <v>79</v>
      </c>
      <c r="E103" s="64" t="s">
        <v>78</v>
      </c>
      <c r="F103" s="2">
        <f t="shared" si="12"/>
        <v>0</v>
      </c>
      <c r="G103" s="2">
        <f t="shared" si="13"/>
        <v>0</v>
      </c>
      <c r="H103" s="2">
        <f t="shared" si="14"/>
        <v>0</v>
      </c>
      <c r="I103" s="12" t="e">
        <f t="shared" si="15"/>
        <v>#N/A</v>
      </c>
      <c r="J103" s="34" t="e">
        <f t="shared" si="19"/>
        <v>#N/A</v>
      </c>
      <c r="K103" s="34"/>
      <c r="L103" s="2">
        <f t="shared" si="16"/>
        <v>0</v>
      </c>
      <c r="M103" s="2">
        <f t="shared" si="17"/>
        <v>0</v>
      </c>
      <c r="N103" s="2">
        <f t="shared" si="18"/>
        <v>0</v>
      </c>
      <c r="O103" s="2"/>
      <c r="P103" s="2"/>
      <c r="Q103" s="5"/>
      <c r="R103" s="5"/>
      <c r="S103" s="61"/>
      <c r="T103" s="64"/>
      <c r="U103" s="72"/>
      <c r="V103" s="48"/>
      <c r="W103" s="48"/>
      <c r="X103" s="41"/>
    </row>
    <row r="104" spans="2:24" x14ac:dyDescent="0.4">
      <c r="B104" s="5" t="s">
        <v>432</v>
      </c>
      <c r="C104" s="5" t="s">
        <v>713</v>
      </c>
      <c r="D104" s="25" t="s">
        <v>79</v>
      </c>
      <c r="E104" s="64" t="s">
        <v>80</v>
      </c>
      <c r="F104" s="2">
        <f t="shared" si="12"/>
        <v>0</v>
      </c>
      <c r="G104" s="2">
        <f t="shared" si="13"/>
        <v>0</v>
      </c>
      <c r="H104" s="2">
        <f t="shared" si="14"/>
        <v>0</v>
      </c>
      <c r="I104" s="12" t="e">
        <f t="shared" si="15"/>
        <v>#N/A</v>
      </c>
      <c r="J104" s="34" t="e">
        <f t="shared" si="19"/>
        <v>#N/A</v>
      </c>
      <c r="K104" s="34"/>
      <c r="L104" s="2">
        <f t="shared" si="16"/>
        <v>0</v>
      </c>
      <c r="M104" s="2">
        <f t="shared" si="17"/>
        <v>0</v>
      </c>
      <c r="N104" s="2">
        <f t="shared" si="18"/>
        <v>0</v>
      </c>
      <c r="O104" s="2"/>
      <c r="P104" s="2"/>
      <c r="Q104" s="5"/>
      <c r="R104" s="5"/>
      <c r="S104" s="61"/>
      <c r="T104" s="64"/>
      <c r="U104" s="72"/>
      <c r="V104" s="48"/>
      <c r="W104" s="48"/>
      <c r="X104" s="41"/>
    </row>
    <row r="105" spans="2:24" x14ac:dyDescent="0.4">
      <c r="B105" s="5" t="s">
        <v>433</v>
      </c>
      <c r="C105" s="5" t="s">
        <v>713</v>
      </c>
      <c r="D105" s="25" t="s">
        <v>79</v>
      </c>
      <c r="E105" s="64" t="s">
        <v>81</v>
      </c>
      <c r="F105" s="2">
        <f t="shared" si="12"/>
        <v>0</v>
      </c>
      <c r="G105" s="2">
        <f t="shared" si="13"/>
        <v>0</v>
      </c>
      <c r="H105" s="2">
        <f t="shared" si="14"/>
        <v>0</v>
      </c>
      <c r="I105" s="12" t="e">
        <f t="shared" si="15"/>
        <v>#N/A</v>
      </c>
      <c r="J105" s="34" t="e">
        <f t="shared" si="19"/>
        <v>#N/A</v>
      </c>
      <c r="K105" s="34"/>
      <c r="L105" s="2">
        <f t="shared" si="16"/>
        <v>0</v>
      </c>
      <c r="M105" s="2">
        <f t="shared" si="17"/>
        <v>0</v>
      </c>
      <c r="N105" s="2">
        <f t="shared" si="18"/>
        <v>0</v>
      </c>
      <c r="O105" s="2"/>
      <c r="P105" s="2"/>
      <c r="Q105" s="5"/>
      <c r="R105" s="5"/>
      <c r="S105" s="61"/>
      <c r="T105" s="64"/>
      <c r="U105" s="72"/>
      <c r="V105" s="48"/>
      <c r="W105" s="48"/>
      <c r="X105" s="41"/>
    </row>
    <row r="106" spans="2:24" x14ac:dyDescent="0.4">
      <c r="B106" s="5" t="s">
        <v>434</v>
      </c>
      <c r="C106" s="5" t="s">
        <v>713</v>
      </c>
      <c r="D106" s="25" t="s">
        <v>79</v>
      </c>
      <c r="E106" s="64" t="s">
        <v>82</v>
      </c>
      <c r="F106" s="2">
        <f t="shared" si="12"/>
        <v>0</v>
      </c>
      <c r="G106" s="2">
        <f t="shared" si="13"/>
        <v>0</v>
      </c>
      <c r="H106" s="2">
        <f t="shared" si="14"/>
        <v>0</v>
      </c>
      <c r="I106" s="12" t="e">
        <f t="shared" si="15"/>
        <v>#N/A</v>
      </c>
      <c r="J106" s="34" t="e">
        <f t="shared" si="19"/>
        <v>#N/A</v>
      </c>
      <c r="K106" s="34"/>
      <c r="L106" s="2">
        <f t="shared" si="16"/>
        <v>0</v>
      </c>
      <c r="M106" s="2">
        <f t="shared" si="17"/>
        <v>0</v>
      </c>
      <c r="N106" s="2">
        <f t="shared" si="18"/>
        <v>0</v>
      </c>
      <c r="O106" s="2"/>
      <c r="P106" s="2"/>
      <c r="Q106" s="5"/>
      <c r="R106" s="5"/>
      <c r="S106" s="61"/>
      <c r="T106" s="64"/>
      <c r="U106" s="72"/>
      <c r="V106" s="48"/>
      <c r="W106" s="48"/>
      <c r="X106" s="41"/>
    </row>
    <row r="107" spans="2:24" x14ac:dyDescent="0.4">
      <c r="B107" s="5" t="s">
        <v>435</v>
      </c>
      <c r="C107" s="5" t="s">
        <v>713</v>
      </c>
      <c r="D107" s="25" t="s">
        <v>79</v>
      </c>
      <c r="E107" s="64" t="s">
        <v>83</v>
      </c>
      <c r="F107" s="2">
        <f t="shared" si="12"/>
        <v>0</v>
      </c>
      <c r="G107" s="2">
        <f t="shared" si="13"/>
        <v>0</v>
      </c>
      <c r="H107" s="2">
        <f t="shared" si="14"/>
        <v>0</v>
      </c>
      <c r="I107" s="12" t="e">
        <f t="shared" si="15"/>
        <v>#N/A</v>
      </c>
      <c r="J107" s="34" t="e">
        <f t="shared" si="19"/>
        <v>#N/A</v>
      </c>
      <c r="K107" s="34"/>
      <c r="L107" s="2">
        <f t="shared" si="16"/>
        <v>0</v>
      </c>
      <c r="M107" s="2">
        <f t="shared" si="17"/>
        <v>0</v>
      </c>
      <c r="N107" s="2">
        <f t="shared" si="18"/>
        <v>0</v>
      </c>
      <c r="O107" s="2"/>
      <c r="P107" s="2"/>
      <c r="Q107" s="5"/>
      <c r="R107" s="5"/>
      <c r="S107" s="61"/>
      <c r="T107" s="64"/>
      <c r="U107" s="72"/>
      <c r="V107" s="48"/>
      <c r="W107" s="48"/>
      <c r="X107" s="41"/>
    </row>
    <row r="108" spans="2:24" x14ac:dyDescent="0.4">
      <c r="B108" s="5" t="s">
        <v>436</v>
      </c>
      <c r="C108" s="5" t="s">
        <v>713</v>
      </c>
      <c r="D108" s="25" t="s">
        <v>79</v>
      </c>
      <c r="E108" s="64" t="s">
        <v>44</v>
      </c>
      <c r="F108" s="2">
        <f t="shared" si="12"/>
        <v>0</v>
      </c>
      <c r="G108" s="2">
        <f t="shared" si="13"/>
        <v>0</v>
      </c>
      <c r="H108" s="2">
        <f t="shared" si="14"/>
        <v>0</v>
      </c>
      <c r="I108" s="12" t="e">
        <f t="shared" si="15"/>
        <v>#N/A</v>
      </c>
      <c r="J108" s="34" t="e">
        <f t="shared" si="19"/>
        <v>#N/A</v>
      </c>
      <c r="K108" s="34"/>
      <c r="L108" s="2">
        <f t="shared" si="16"/>
        <v>0</v>
      </c>
      <c r="M108" s="2">
        <f t="shared" si="17"/>
        <v>0</v>
      </c>
      <c r="N108" s="2">
        <f t="shared" si="18"/>
        <v>0</v>
      </c>
      <c r="O108" s="2"/>
      <c r="P108" s="2"/>
      <c r="Q108" s="5"/>
      <c r="R108" s="5"/>
      <c r="S108" s="61"/>
      <c r="T108" s="64"/>
      <c r="U108" s="72"/>
      <c r="V108" s="48"/>
      <c r="W108" s="48"/>
      <c r="X108" s="41"/>
    </row>
    <row r="109" spans="2:24" x14ac:dyDescent="0.4">
      <c r="B109" s="5" t="s">
        <v>437</v>
      </c>
      <c r="C109" s="5" t="s">
        <v>713</v>
      </c>
      <c r="D109" s="25" t="s">
        <v>79</v>
      </c>
      <c r="E109" s="64" t="s">
        <v>84</v>
      </c>
      <c r="F109" s="2">
        <f t="shared" si="12"/>
        <v>0</v>
      </c>
      <c r="G109" s="2">
        <f t="shared" si="13"/>
        <v>0</v>
      </c>
      <c r="H109" s="2">
        <f t="shared" si="14"/>
        <v>0</v>
      </c>
      <c r="I109" s="12" t="e">
        <f t="shared" si="15"/>
        <v>#N/A</v>
      </c>
      <c r="J109" s="34" t="e">
        <f t="shared" si="19"/>
        <v>#N/A</v>
      </c>
      <c r="K109" s="34"/>
      <c r="L109" s="2">
        <f t="shared" si="16"/>
        <v>0</v>
      </c>
      <c r="M109" s="2">
        <f t="shared" si="17"/>
        <v>0</v>
      </c>
      <c r="N109" s="2">
        <f t="shared" si="18"/>
        <v>0</v>
      </c>
      <c r="O109" s="2"/>
      <c r="P109" s="2"/>
      <c r="Q109" s="5"/>
      <c r="R109" s="5"/>
      <c r="S109" s="61"/>
      <c r="T109" s="64"/>
      <c r="U109" s="72"/>
      <c r="V109" s="48"/>
      <c r="W109" s="48"/>
      <c r="X109" s="41"/>
    </row>
    <row r="110" spans="2:24" x14ac:dyDescent="0.4">
      <c r="B110" s="5" t="s">
        <v>438</v>
      </c>
      <c r="C110" s="5" t="s">
        <v>713</v>
      </c>
      <c r="D110" s="25" t="s">
        <v>79</v>
      </c>
      <c r="E110" s="64" t="s">
        <v>85</v>
      </c>
      <c r="F110" s="2">
        <f t="shared" si="12"/>
        <v>0</v>
      </c>
      <c r="G110" s="2">
        <f t="shared" si="13"/>
        <v>0</v>
      </c>
      <c r="H110" s="2">
        <f t="shared" si="14"/>
        <v>0</v>
      </c>
      <c r="I110" s="12" t="e">
        <f t="shared" si="15"/>
        <v>#N/A</v>
      </c>
      <c r="J110" s="34" t="e">
        <f t="shared" si="19"/>
        <v>#N/A</v>
      </c>
      <c r="K110" s="34"/>
      <c r="L110" s="2">
        <f t="shared" si="16"/>
        <v>0</v>
      </c>
      <c r="M110" s="2">
        <f t="shared" si="17"/>
        <v>0</v>
      </c>
      <c r="N110" s="2">
        <f t="shared" si="18"/>
        <v>0</v>
      </c>
      <c r="O110" s="2"/>
      <c r="P110" s="2"/>
      <c r="Q110" s="5"/>
      <c r="R110" s="5"/>
      <c r="S110" s="61"/>
      <c r="T110" s="64"/>
      <c r="U110" s="72"/>
      <c r="V110" s="48"/>
      <c r="W110" s="48"/>
      <c r="X110" s="41"/>
    </row>
    <row r="111" spans="2:24" x14ac:dyDescent="0.4">
      <c r="B111" s="5" t="s">
        <v>439</v>
      </c>
      <c r="C111" s="5" t="s">
        <v>713</v>
      </c>
      <c r="D111" s="25" t="s">
        <v>79</v>
      </c>
      <c r="E111" s="64" t="s">
        <v>86</v>
      </c>
      <c r="F111" s="2">
        <f t="shared" si="12"/>
        <v>0</v>
      </c>
      <c r="G111" s="2">
        <f t="shared" si="13"/>
        <v>0</v>
      </c>
      <c r="H111" s="2">
        <f t="shared" si="14"/>
        <v>0</v>
      </c>
      <c r="I111" s="12" t="e">
        <f t="shared" si="15"/>
        <v>#N/A</v>
      </c>
      <c r="J111" s="34" t="e">
        <f t="shared" si="19"/>
        <v>#N/A</v>
      </c>
      <c r="K111" s="34"/>
      <c r="L111" s="2">
        <f t="shared" si="16"/>
        <v>0</v>
      </c>
      <c r="M111" s="2">
        <f t="shared" si="17"/>
        <v>0</v>
      </c>
      <c r="N111" s="2">
        <f t="shared" si="18"/>
        <v>0</v>
      </c>
      <c r="O111" s="2"/>
      <c r="P111" s="2"/>
      <c r="Q111" s="5"/>
      <c r="R111" s="5"/>
      <c r="S111" s="61"/>
      <c r="T111" s="64"/>
      <c r="U111" s="72"/>
      <c r="V111" s="48"/>
      <c r="W111" s="48"/>
      <c r="X111" s="41"/>
    </row>
    <row r="112" spans="2:24" x14ac:dyDescent="0.4">
      <c r="B112" s="5" t="s">
        <v>440</v>
      </c>
      <c r="C112" s="5" t="s">
        <v>713</v>
      </c>
      <c r="D112" s="25" t="s">
        <v>79</v>
      </c>
      <c r="E112" s="64" t="s">
        <v>87</v>
      </c>
      <c r="F112" s="2">
        <f t="shared" si="12"/>
        <v>0</v>
      </c>
      <c r="G112" s="2">
        <f t="shared" si="13"/>
        <v>0</v>
      </c>
      <c r="H112" s="2">
        <f t="shared" si="14"/>
        <v>0</v>
      </c>
      <c r="I112" s="12" t="e">
        <f t="shared" si="15"/>
        <v>#N/A</v>
      </c>
      <c r="J112" s="34" t="e">
        <f t="shared" si="19"/>
        <v>#N/A</v>
      </c>
      <c r="K112" s="34"/>
      <c r="L112" s="2">
        <f t="shared" si="16"/>
        <v>0</v>
      </c>
      <c r="M112" s="2">
        <f t="shared" si="17"/>
        <v>0</v>
      </c>
      <c r="N112" s="2">
        <f t="shared" si="18"/>
        <v>0</v>
      </c>
      <c r="O112" s="2"/>
      <c r="P112" s="2"/>
      <c r="Q112" s="5"/>
      <c r="R112" s="5"/>
      <c r="S112" s="61"/>
      <c r="T112" s="64"/>
      <c r="U112" s="72"/>
      <c r="V112" s="48"/>
      <c r="W112" s="48"/>
      <c r="X112" s="41"/>
    </row>
    <row r="113" spans="2:24" x14ac:dyDescent="0.4">
      <c r="B113" s="5" t="s">
        <v>441</v>
      </c>
      <c r="C113" s="5" t="s">
        <v>713</v>
      </c>
      <c r="D113" s="25" t="s">
        <v>79</v>
      </c>
      <c r="E113" s="64" t="s">
        <v>88</v>
      </c>
      <c r="F113" s="2">
        <f t="shared" si="12"/>
        <v>0</v>
      </c>
      <c r="G113" s="2">
        <f t="shared" si="13"/>
        <v>0</v>
      </c>
      <c r="H113" s="2">
        <f t="shared" si="14"/>
        <v>0</v>
      </c>
      <c r="I113" s="12" t="e">
        <f t="shared" si="15"/>
        <v>#N/A</v>
      </c>
      <c r="J113" s="34" t="e">
        <f t="shared" si="19"/>
        <v>#N/A</v>
      </c>
      <c r="K113" s="34"/>
      <c r="L113" s="2">
        <f t="shared" si="16"/>
        <v>0</v>
      </c>
      <c r="M113" s="2">
        <f t="shared" si="17"/>
        <v>0</v>
      </c>
      <c r="N113" s="2">
        <f t="shared" si="18"/>
        <v>0</v>
      </c>
      <c r="O113" s="2"/>
      <c r="P113" s="2"/>
      <c r="Q113" s="5"/>
      <c r="R113" s="5"/>
      <c r="S113" s="61"/>
      <c r="T113" s="64"/>
      <c r="U113" s="72"/>
      <c r="V113" s="48"/>
      <c r="W113" s="48"/>
      <c r="X113" s="41"/>
    </row>
    <row r="114" spans="2:24" x14ac:dyDescent="0.4">
      <c r="B114" s="5" t="s">
        <v>442</v>
      </c>
      <c r="C114" s="5" t="s">
        <v>713</v>
      </c>
      <c r="D114" s="25" t="s">
        <v>79</v>
      </c>
      <c r="E114" s="64" t="s">
        <v>89</v>
      </c>
      <c r="F114" s="2">
        <f t="shared" si="12"/>
        <v>0</v>
      </c>
      <c r="G114" s="2">
        <f t="shared" si="13"/>
        <v>0</v>
      </c>
      <c r="H114" s="2">
        <f t="shared" si="14"/>
        <v>0</v>
      </c>
      <c r="I114" s="12" t="e">
        <f t="shared" si="15"/>
        <v>#N/A</v>
      </c>
      <c r="J114" s="34" t="e">
        <f t="shared" si="19"/>
        <v>#N/A</v>
      </c>
      <c r="K114" s="34"/>
      <c r="L114" s="2">
        <f t="shared" si="16"/>
        <v>0</v>
      </c>
      <c r="M114" s="2">
        <f t="shared" si="17"/>
        <v>0</v>
      </c>
      <c r="N114" s="2">
        <f t="shared" si="18"/>
        <v>0</v>
      </c>
      <c r="O114" s="2"/>
      <c r="P114" s="2"/>
      <c r="Q114" s="5"/>
      <c r="R114" s="5"/>
      <c r="S114" s="61"/>
      <c r="T114" s="64"/>
      <c r="U114" s="72"/>
      <c r="V114" s="48"/>
      <c r="W114" s="48"/>
      <c r="X114" s="41"/>
    </row>
    <row r="115" spans="2:24" x14ac:dyDescent="0.4">
      <c r="B115" s="5" t="s">
        <v>443</v>
      </c>
      <c r="C115" s="5" t="s">
        <v>713</v>
      </c>
      <c r="D115" s="25" t="s">
        <v>79</v>
      </c>
      <c r="E115" s="64" t="s">
        <v>90</v>
      </c>
      <c r="F115" s="2">
        <f t="shared" si="12"/>
        <v>0</v>
      </c>
      <c r="G115" s="2">
        <f t="shared" si="13"/>
        <v>0</v>
      </c>
      <c r="H115" s="2">
        <f t="shared" si="14"/>
        <v>0</v>
      </c>
      <c r="I115" s="12" t="e">
        <f t="shared" si="15"/>
        <v>#N/A</v>
      </c>
      <c r="J115" s="34" t="e">
        <f t="shared" si="19"/>
        <v>#N/A</v>
      </c>
      <c r="K115" s="34"/>
      <c r="L115" s="2">
        <f t="shared" si="16"/>
        <v>0</v>
      </c>
      <c r="M115" s="2">
        <f t="shared" si="17"/>
        <v>0</v>
      </c>
      <c r="N115" s="2">
        <f t="shared" si="18"/>
        <v>0</v>
      </c>
      <c r="O115" s="2"/>
      <c r="P115" s="2"/>
      <c r="Q115" s="5"/>
      <c r="R115" s="5"/>
      <c r="S115" s="61"/>
      <c r="T115" s="64"/>
      <c r="U115" s="72"/>
      <c r="V115" s="48"/>
      <c r="W115" s="48"/>
      <c r="X115" s="41"/>
    </row>
    <row r="116" spans="2:24" x14ac:dyDescent="0.4">
      <c r="B116" s="5" t="s">
        <v>444</v>
      </c>
      <c r="C116" s="5" t="s">
        <v>713</v>
      </c>
      <c r="D116" s="25" t="s">
        <v>79</v>
      </c>
      <c r="E116" s="65" t="s">
        <v>91</v>
      </c>
      <c r="F116" s="2">
        <f t="shared" si="12"/>
        <v>0</v>
      </c>
      <c r="G116" s="2">
        <f t="shared" si="13"/>
        <v>0</v>
      </c>
      <c r="H116" s="2">
        <f t="shared" si="14"/>
        <v>0</v>
      </c>
      <c r="I116" s="12" t="e">
        <f t="shared" si="15"/>
        <v>#N/A</v>
      </c>
      <c r="J116" s="34" t="e">
        <f t="shared" si="19"/>
        <v>#N/A</v>
      </c>
      <c r="K116" s="34"/>
      <c r="L116" s="2">
        <f t="shared" si="16"/>
        <v>0</v>
      </c>
      <c r="M116" s="2">
        <f t="shared" si="17"/>
        <v>0</v>
      </c>
      <c r="N116" s="2">
        <f t="shared" si="18"/>
        <v>0</v>
      </c>
      <c r="O116" s="2"/>
      <c r="P116" s="2"/>
      <c r="Q116" s="5"/>
      <c r="R116" s="5"/>
      <c r="S116" s="61"/>
      <c r="T116" s="64"/>
      <c r="U116" s="72"/>
      <c r="V116" s="48"/>
      <c r="W116" s="48"/>
      <c r="X116" s="41"/>
    </row>
    <row r="117" spans="2:24" x14ac:dyDescent="0.4">
      <c r="B117" s="5" t="s">
        <v>445</v>
      </c>
      <c r="C117" s="5" t="s">
        <v>714</v>
      </c>
      <c r="D117" s="25" t="s">
        <v>93</v>
      </c>
      <c r="E117" s="64" t="s">
        <v>92</v>
      </c>
      <c r="F117" s="2">
        <f t="shared" si="12"/>
        <v>0</v>
      </c>
      <c r="G117" s="2">
        <f t="shared" si="13"/>
        <v>0</v>
      </c>
      <c r="H117" s="2">
        <f t="shared" si="14"/>
        <v>0</v>
      </c>
      <c r="I117" s="12" t="e">
        <f t="shared" si="15"/>
        <v>#N/A</v>
      </c>
      <c r="J117" s="34" t="e">
        <f t="shared" si="19"/>
        <v>#N/A</v>
      </c>
      <c r="K117" s="34"/>
      <c r="L117" s="2">
        <f t="shared" si="16"/>
        <v>0</v>
      </c>
      <c r="M117" s="2">
        <f t="shared" si="17"/>
        <v>0</v>
      </c>
      <c r="N117" s="2">
        <f t="shared" si="18"/>
        <v>0</v>
      </c>
      <c r="O117" s="2"/>
      <c r="P117" s="2"/>
      <c r="Q117" s="5"/>
      <c r="R117" s="5"/>
      <c r="S117" s="61"/>
      <c r="T117" s="64"/>
      <c r="U117" s="72"/>
      <c r="V117" s="48"/>
      <c r="W117" s="48"/>
      <c r="X117" s="41"/>
    </row>
    <row r="118" spans="2:24" x14ac:dyDescent="0.4">
      <c r="B118" s="5" t="s">
        <v>446</v>
      </c>
      <c r="C118" s="5" t="s">
        <v>714</v>
      </c>
      <c r="D118" s="25" t="s">
        <v>93</v>
      </c>
      <c r="E118" s="64" t="s">
        <v>94</v>
      </c>
      <c r="F118" s="2">
        <f t="shared" si="12"/>
        <v>0</v>
      </c>
      <c r="G118" s="2">
        <f t="shared" si="13"/>
        <v>0</v>
      </c>
      <c r="H118" s="2">
        <f t="shared" si="14"/>
        <v>0</v>
      </c>
      <c r="I118" s="12" t="e">
        <f t="shared" si="15"/>
        <v>#N/A</v>
      </c>
      <c r="J118" s="34" t="e">
        <f t="shared" si="19"/>
        <v>#N/A</v>
      </c>
      <c r="K118" s="34"/>
      <c r="L118" s="2">
        <f t="shared" si="16"/>
        <v>0</v>
      </c>
      <c r="M118" s="2">
        <f t="shared" si="17"/>
        <v>0</v>
      </c>
      <c r="N118" s="2">
        <f t="shared" si="18"/>
        <v>0</v>
      </c>
      <c r="O118" s="2"/>
      <c r="P118" s="2"/>
      <c r="Q118" s="5"/>
      <c r="R118" s="5"/>
      <c r="S118" s="61"/>
      <c r="T118" s="64"/>
      <c r="U118" s="72"/>
      <c r="V118" s="48"/>
      <c r="W118" s="48"/>
      <c r="X118" s="41"/>
    </row>
    <row r="119" spans="2:24" x14ac:dyDescent="0.4">
      <c r="B119" s="5" t="s">
        <v>447</v>
      </c>
      <c r="C119" s="5" t="s">
        <v>714</v>
      </c>
      <c r="D119" s="25" t="s">
        <v>93</v>
      </c>
      <c r="E119" s="64" t="s">
        <v>40</v>
      </c>
      <c r="F119" s="2">
        <f t="shared" si="12"/>
        <v>0</v>
      </c>
      <c r="G119" s="2">
        <f t="shared" si="13"/>
        <v>0</v>
      </c>
      <c r="H119" s="2">
        <f t="shared" si="14"/>
        <v>0</v>
      </c>
      <c r="I119" s="12" t="e">
        <f t="shared" si="15"/>
        <v>#N/A</v>
      </c>
      <c r="J119" s="34" t="e">
        <f t="shared" si="19"/>
        <v>#N/A</v>
      </c>
      <c r="K119" s="34"/>
      <c r="L119" s="2">
        <f t="shared" si="16"/>
        <v>0</v>
      </c>
      <c r="M119" s="2">
        <f t="shared" si="17"/>
        <v>0</v>
      </c>
      <c r="N119" s="2">
        <f t="shared" si="18"/>
        <v>0</v>
      </c>
      <c r="O119" s="2"/>
      <c r="P119" s="2"/>
      <c r="Q119" s="5"/>
      <c r="R119" s="5"/>
      <c r="S119" s="61"/>
      <c r="T119" s="64"/>
      <c r="U119" s="72"/>
      <c r="V119" s="48"/>
      <c r="W119" s="48"/>
      <c r="X119" s="41"/>
    </row>
    <row r="120" spans="2:24" x14ac:dyDescent="0.4">
      <c r="B120" s="5" t="s">
        <v>448</v>
      </c>
      <c r="C120" s="5" t="s">
        <v>714</v>
      </c>
      <c r="D120" s="25" t="s">
        <v>93</v>
      </c>
      <c r="E120" s="64" t="s">
        <v>95</v>
      </c>
      <c r="F120" s="2">
        <f t="shared" si="12"/>
        <v>0</v>
      </c>
      <c r="G120" s="2">
        <f t="shared" si="13"/>
        <v>0</v>
      </c>
      <c r="H120" s="2">
        <f t="shared" si="14"/>
        <v>0</v>
      </c>
      <c r="I120" s="12" t="e">
        <f t="shared" si="15"/>
        <v>#N/A</v>
      </c>
      <c r="J120" s="34" t="e">
        <f t="shared" si="19"/>
        <v>#N/A</v>
      </c>
      <c r="K120" s="34"/>
      <c r="L120" s="2">
        <f t="shared" si="16"/>
        <v>0</v>
      </c>
      <c r="M120" s="2">
        <f t="shared" si="17"/>
        <v>0</v>
      </c>
      <c r="N120" s="2">
        <f t="shared" si="18"/>
        <v>0</v>
      </c>
      <c r="O120" s="2"/>
      <c r="P120" s="2"/>
      <c r="Q120" s="5"/>
      <c r="R120" s="5"/>
      <c r="S120" s="61"/>
      <c r="T120" s="64"/>
      <c r="U120" s="72"/>
      <c r="V120" s="48"/>
      <c r="W120" s="48"/>
      <c r="X120" s="41"/>
    </row>
    <row r="121" spans="2:24" x14ac:dyDescent="0.4">
      <c r="B121" s="5" t="s">
        <v>449</v>
      </c>
      <c r="C121" s="5" t="s">
        <v>714</v>
      </c>
      <c r="D121" s="25" t="s">
        <v>93</v>
      </c>
      <c r="E121" s="64" t="s">
        <v>96</v>
      </c>
      <c r="F121" s="2">
        <f t="shared" si="12"/>
        <v>0</v>
      </c>
      <c r="G121" s="2">
        <f t="shared" si="13"/>
        <v>0</v>
      </c>
      <c r="H121" s="2">
        <f t="shared" si="14"/>
        <v>0</v>
      </c>
      <c r="I121" s="12" t="e">
        <f t="shared" si="15"/>
        <v>#N/A</v>
      </c>
      <c r="J121" s="34" t="e">
        <f t="shared" si="19"/>
        <v>#N/A</v>
      </c>
      <c r="K121" s="34"/>
      <c r="L121" s="2">
        <f t="shared" si="16"/>
        <v>0</v>
      </c>
      <c r="M121" s="2">
        <f t="shared" si="17"/>
        <v>0</v>
      </c>
      <c r="N121" s="2">
        <f t="shared" si="18"/>
        <v>0</v>
      </c>
      <c r="O121" s="2"/>
      <c r="P121" s="2"/>
      <c r="Q121" s="5"/>
      <c r="R121" s="5"/>
      <c r="S121" s="61"/>
      <c r="T121" s="64"/>
      <c r="U121" s="72"/>
      <c r="V121" s="48"/>
      <c r="W121" s="48"/>
      <c r="X121" s="41"/>
    </row>
    <row r="122" spans="2:24" x14ac:dyDescent="0.4">
      <c r="B122" s="5" t="s">
        <v>450</v>
      </c>
      <c r="C122" s="5" t="s">
        <v>714</v>
      </c>
      <c r="D122" s="25" t="s">
        <v>93</v>
      </c>
      <c r="E122" s="64" t="s">
        <v>97</v>
      </c>
      <c r="F122" s="2">
        <f t="shared" si="12"/>
        <v>0</v>
      </c>
      <c r="G122" s="2">
        <f t="shared" si="13"/>
        <v>0</v>
      </c>
      <c r="H122" s="2">
        <f t="shared" si="14"/>
        <v>0</v>
      </c>
      <c r="I122" s="12" t="e">
        <f t="shared" si="15"/>
        <v>#N/A</v>
      </c>
      <c r="J122" s="34" t="e">
        <f t="shared" si="19"/>
        <v>#N/A</v>
      </c>
      <c r="K122" s="34"/>
      <c r="L122" s="2">
        <f t="shared" si="16"/>
        <v>0</v>
      </c>
      <c r="M122" s="2">
        <f t="shared" si="17"/>
        <v>0</v>
      </c>
      <c r="N122" s="2">
        <f t="shared" si="18"/>
        <v>0</v>
      </c>
      <c r="O122" s="2"/>
      <c r="P122" s="2"/>
      <c r="Q122" s="5"/>
      <c r="R122" s="5"/>
      <c r="S122" s="61"/>
      <c r="T122" s="64"/>
      <c r="U122" s="72"/>
      <c r="V122" s="48"/>
      <c r="W122" s="48"/>
      <c r="X122" s="41"/>
    </row>
    <row r="123" spans="2:24" x14ac:dyDescent="0.4">
      <c r="B123" s="5" t="s">
        <v>451</v>
      </c>
      <c r="C123" s="5" t="s">
        <v>714</v>
      </c>
      <c r="D123" s="25" t="s">
        <v>93</v>
      </c>
      <c r="E123" s="64" t="s">
        <v>34</v>
      </c>
      <c r="F123" s="2">
        <f t="shared" si="12"/>
        <v>0</v>
      </c>
      <c r="G123" s="2">
        <f t="shared" si="13"/>
        <v>0</v>
      </c>
      <c r="H123" s="2">
        <f t="shared" si="14"/>
        <v>0</v>
      </c>
      <c r="I123" s="12" t="e">
        <f t="shared" si="15"/>
        <v>#N/A</v>
      </c>
      <c r="J123" s="34" t="e">
        <f t="shared" si="19"/>
        <v>#N/A</v>
      </c>
      <c r="K123" s="34"/>
      <c r="L123" s="2">
        <f t="shared" si="16"/>
        <v>0</v>
      </c>
      <c r="M123" s="2">
        <f t="shared" si="17"/>
        <v>0</v>
      </c>
      <c r="N123" s="2">
        <f t="shared" si="18"/>
        <v>0</v>
      </c>
      <c r="O123" s="2"/>
      <c r="P123" s="2"/>
      <c r="Q123" s="5"/>
      <c r="R123" s="5"/>
      <c r="S123" s="61"/>
      <c r="T123" s="64"/>
      <c r="U123" s="72"/>
      <c r="V123" s="48"/>
      <c r="W123" s="48"/>
      <c r="X123" s="41"/>
    </row>
    <row r="124" spans="2:24" x14ac:dyDescent="0.4">
      <c r="B124" s="5" t="s">
        <v>452</v>
      </c>
      <c r="C124" s="5" t="s">
        <v>714</v>
      </c>
      <c r="D124" s="25" t="s">
        <v>93</v>
      </c>
      <c r="E124" s="64" t="s">
        <v>98</v>
      </c>
      <c r="F124" s="2">
        <f t="shared" si="12"/>
        <v>0</v>
      </c>
      <c r="G124" s="2">
        <f t="shared" si="13"/>
        <v>0</v>
      </c>
      <c r="H124" s="2">
        <f t="shared" si="14"/>
        <v>0</v>
      </c>
      <c r="I124" s="12" t="e">
        <f t="shared" si="15"/>
        <v>#N/A</v>
      </c>
      <c r="J124" s="34" t="e">
        <f t="shared" si="19"/>
        <v>#N/A</v>
      </c>
      <c r="K124" s="34"/>
      <c r="L124" s="2">
        <f t="shared" si="16"/>
        <v>0</v>
      </c>
      <c r="M124" s="2">
        <f t="shared" si="17"/>
        <v>0</v>
      </c>
      <c r="N124" s="2">
        <f t="shared" si="18"/>
        <v>0</v>
      </c>
      <c r="O124" s="2"/>
      <c r="P124" s="2"/>
      <c r="Q124" s="5"/>
      <c r="R124" s="5"/>
      <c r="S124" s="61"/>
      <c r="T124" s="64"/>
      <c r="U124" s="72"/>
      <c r="V124" s="48"/>
      <c r="W124" s="48"/>
      <c r="X124" s="41"/>
    </row>
    <row r="125" spans="2:24" x14ac:dyDescent="0.4">
      <c r="B125" s="5" t="s">
        <v>453</v>
      </c>
      <c r="C125" s="5" t="s">
        <v>714</v>
      </c>
      <c r="D125" s="25" t="s">
        <v>93</v>
      </c>
      <c r="E125" s="64" t="s">
        <v>99</v>
      </c>
      <c r="F125" s="2">
        <f t="shared" si="12"/>
        <v>0</v>
      </c>
      <c r="G125" s="2">
        <f t="shared" si="13"/>
        <v>0</v>
      </c>
      <c r="H125" s="2">
        <f t="shared" si="14"/>
        <v>0</v>
      </c>
      <c r="I125" s="12" t="e">
        <f t="shared" si="15"/>
        <v>#N/A</v>
      </c>
      <c r="J125" s="34" t="e">
        <f t="shared" si="19"/>
        <v>#N/A</v>
      </c>
      <c r="K125" s="34"/>
      <c r="L125" s="2">
        <f t="shared" si="16"/>
        <v>0</v>
      </c>
      <c r="M125" s="2">
        <f t="shared" si="17"/>
        <v>0</v>
      </c>
      <c r="N125" s="2">
        <f t="shared" si="18"/>
        <v>0</v>
      </c>
      <c r="O125" s="2"/>
      <c r="P125" s="2"/>
      <c r="Q125" s="5"/>
      <c r="R125" s="5"/>
      <c r="S125" s="61"/>
      <c r="T125" s="64"/>
      <c r="U125" s="72"/>
      <c r="V125" s="48"/>
      <c r="W125" s="48"/>
      <c r="X125" s="41"/>
    </row>
    <row r="126" spans="2:24" x14ac:dyDescent="0.4">
      <c r="B126" s="5" t="s">
        <v>454</v>
      </c>
      <c r="C126" s="5" t="s">
        <v>715</v>
      </c>
      <c r="D126" s="25" t="s">
        <v>101</v>
      </c>
      <c r="E126" s="64" t="s">
        <v>100</v>
      </c>
      <c r="F126" s="2">
        <f t="shared" si="12"/>
        <v>0</v>
      </c>
      <c r="G126" s="2">
        <f t="shared" si="13"/>
        <v>0</v>
      </c>
      <c r="H126" s="2">
        <f t="shared" si="14"/>
        <v>0</v>
      </c>
      <c r="I126" s="12" t="e">
        <f t="shared" si="15"/>
        <v>#N/A</v>
      </c>
      <c r="J126" s="34" t="e">
        <f t="shared" si="19"/>
        <v>#N/A</v>
      </c>
      <c r="K126" s="34"/>
      <c r="L126" s="2">
        <f t="shared" si="16"/>
        <v>0</v>
      </c>
      <c r="M126" s="2">
        <f t="shared" si="17"/>
        <v>0</v>
      </c>
      <c r="N126" s="2">
        <f t="shared" si="18"/>
        <v>0</v>
      </c>
      <c r="O126" s="2"/>
      <c r="P126" s="2"/>
      <c r="Q126" s="5"/>
      <c r="R126" s="5"/>
      <c r="S126" s="61"/>
      <c r="T126" s="64"/>
      <c r="U126" s="72"/>
      <c r="V126" s="48"/>
      <c r="W126" s="48"/>
      <c r="X126" s="41"/>
    </row>
    <row r="127" spans="2:24" x14ac:dyDescent="0.4">
      <c r="B127" s="5" t="s">
        <v>455</v>
      </c>
      <c r="C127" s="5" t="s">
        <v>715</v>
      </c>
      <c r="D127" s="25" t="s">
        <v>101</v>
      </c>
      <c r="E127" s="64" t="s">
        <v>102</v>
      </c>
      <c r="F127" s="2">
        <f t="shared" si="12"/>
        <v>0</v>
      </c>
      <c r="G127" s="2">
        <f t="shared" si="13"/>
        <v>0</v>
      </c>
      <c r="H127" s="2">
        <f t="shared" si="14"/>
        <v>0</v>
      </c>
      <c r="I127" s="12" t="e">
        <f t="shared" si="15"/>
        <v>#N/A</v>
      </c>
      <c r="J127" s="34" t="e">
        <f t="shared" si="19"/>
        <v>#N/A</v>
      </c>
      <c r="K127" s="34"/>
      <c r="L127" s="2">
        <f t="shared" si="16"/>
        <v>0</v>
      </c>
      <c r="M127" s="2">
        <f t="shared" si="17"/>
        <v>0</v>
      </c>
      <c r="N127" s="2">
        <f t="shared" si="18"/>
        <v>0</v>
      </c>
      <c r="O127" s="2"/>
      <c r="P127" s="2"/>
      <c r="Q127" s="5"/>
      <c r="R127" s="5"/>
      <c r="S127" s="61"/>
      <c r="T127" s="64"/>
      <c r="U127" s="72"/>
      <c r="V127" s="48"/>
      <c r="W127" s="48"/>
      <c r="X127" s="41"/>
    </row>
    <row r="128" spans="2:24" x14ac:dyDescent="0.4">
      <c r="B128" s="5" t="s">
        <v>456</v>
      </c>
      <c r="C128" s="5" t="s">
        <v>715</v>
      </c>
      <c r="D128" s="25" t="s">
        <v>101</v>
      </c>
      <c r="E128" s="64" t="s">
        <v>103</v>
      </c>
      <c r="F128" s="2">
        <f t="shared" si="12"/>
        <v>0</v>
      </c>
      <c r="G128" s="2">
        <f t="shared" si="13"/>
        <v>0</v>
      </c>
      <c r="H128" s="2">
        <f t="shared" si="14"/>
        <v>0</v>
      </c>
      <c r="I128" s="12" t="e">
        <f t="shared" si="15"/>
        <v>#N/A</v>
      </c>
      <c r="J128" s="34" t="e">
        <f t="shared" si="19"/>
        <v>#N/A</v>
      </c>
      <c r="K128" s="34"/>
      <c r="L128" s="2">
        <f t="shared" si="16"/>
        <v>0</v>
      </c>
      <c r="M128" s="2">
        <f t="shared" si="17"/>
        <v>0</v>
      </c>
      <c r="N128" s="2">
        <f t="shared" si="18"/>
        <v>0</v>
      </c>
      <c r="O128" s="2"/>
      <c r="P128" s="2"/>
      <c r="Q128" s="5"/>
      <c r="R128" s="5"/>
      <c r="S128" s="61"/>
      <c r="T128" s="64"/>
      <c r="U128" s="72"/>
      <c r="V128" s="48"/>
      <c r="W128" s="48"/>
      <c r="X128" s="41"/>
    </row>
    <row r="129" spans="2:24" x14ac:dyDescent="0.4">
      <c r="B129" s="5" t="s">
        <v>457</v>
      </c>
      <c r="C129" s="5" t="s">
        <v>715</v>
      </c>
      <c r="D129" s="25" t="s">
        <v>101</v>
      </c>
      <c r="E129" s="64" t="s">
        <v>104</v>
      </c>
      <c r="F129" s="2">
        <f t="shared" si="12"/>
        <v>0</v>
      </c>
      <c r="G129" s="2">
        <f t="shared" si="13"/>
        <v>0</v>
      </c>
      <c r="H129" s="2">
        <f t="shared" si="14"/>
        <v>0</v>
      </c>
      <c r="I129" s="12" t="e">
        <f t="shared" si="15"/>
        <v>#N/A</v>
      </c>
      <c r="J129" s="34" t="e">
        <f t="shared" si="19"/>
        <v>#N/A</v>
      </c>
      <c r="K129" s="34"/>
      <c r="L129" s="2">
        <f t="shared" si="16"/>
        <v>0</v>
      </c>
      <c r="M129" s="2">
        <f t="shared" si="17"/>
        <v>0</v>
      </c>
      <c r="N129" s="2">
        <f t="shared" si="18"/>
        <v>0</v>
      </c>
      <c r="O129" s="2"/>
      <c r="P129" s="2"/>
      <c r="Q129" s="5"/>
      <c r="R129" s="5"/>
      <c r="S129" s="61"/>
      <c r="T129" s="64"/>
      <c r="U129" s="72"/>
      <c r="V129" s="48"/>
      <c r="W129" s="48"/>
      <c r="X129" s="41"/>
    </row>
    <row r="130" spans="2:24" x14ac:dyDescent="0.4">
      <c r="B130" s="5" t="s">
        <v>458</v>
      </c>
      <c r="C130" s="5" t="s">
        <v>716</v>
      </c>
      <c r="D130" s="25" t="s">
        <v>129</v>
      </c>
      <c r="E130" s="64" t="s">
        <v>128</v>
      </c>
      <c r="F130" s="2">
        <f t="shared" si="12"/>
        <v>0</v>
      </c>
      <c r="G130" s="2">
        <f t="shared" si="13"/>
        <v>0</v>
      </c>
      <c r="H130" s="2">
        <f t="shared" si="14"/>
        <v>0</v>
      </c>
      <c r="I130" s="12" t="e">
        <f t="shared" si="15"/>
        <v>#N/A</v>
      </c>
      <c r="J130" s="34" t="e">
        <f t="shared" si="19"/>
        <v>#N/A</v>
      </c>
      <c r="K130" s="34"/>
      <c r="L130" s="2">
        <f t="shared" si="16"/>
        <v>0</v>
      </c>
      <c r="M130" s="2">
        <f t="shared" si="17"/>
        <v>0</v>
      </c>
      <c r="N130" s="2">
        <f t="shared" si="18"/>
        <v>0</v>
      </c>
      <c r="O130" s="2"/>
      <c r="P130" s="2"/>
      <c r="Q130" s="5"/>
      <c r="R130" s="5"/>
      <c r="S130" s="61"/>
      <c r="T130" s="64"/>
      <c r="U130" s="72"/>
      <c r="V130" s="48"/>
      <c r="W130" s="48"/>
      <c r="X130" s="41"/>
    </row>
    <row r="131" spans="2:24" x14ac:dyDescent="0.4">
      <c r="B131" s="5" t="s">
        <v>459</v>
      </c>
      <c r="C131" s="5" t="s">
        <v>716</v>
      </c>
      <c r="D131" s="25" t="s">
        <v>129</v>
      </c>
      <c r="E131" s="64" t="s">
        <v>36</v>
      </c>
      <c r="F131" s="2">
        <f t="shared" ref="F131:F194" si="20">+L131</f>
        <v>0</v>
      </c>
      <c r="G131" s="2">
        <f t="shared" ref="G131:G194" si="21">+M131</f>
        <v>0</v>
      </c>
      <c r="H131" s="2">
        <f t="shared" ref="H131:H194" si="22">+N131</f>
        <v>0</v>
      </c>
      <c r="I131" s="12" t="e">
        <f t="shared" si="15"/>
        <v>#N/A</v>
      </c>
      <c r="J131" s="34" t="e">
        <f t="shared" si="19"/>
        <v>#N/A</v>
      </c>
      <c r="K131" s="34"/>
      <c r="L131" s="2">
        <f t="shared" si="16"/>
        <v>0</v>
      </c>
      <c r="M131" s="2">
        <f t="shared" si="17"/>
        <v>0</v>
      </c>
      <c r="N131" s="2">
        <f t="shared" si="18"/>
        <v>0</v>
      </c>
      <c r="O131" s="2"/>
      <c r="P131" s="2"/>
      <c r="Q131" s="5"/>
      <c r="R131" s="5"/>
      <c r="S131" s="61"/>
      <c r="T131" s="64"/>
      <c r="U131" s="72"/>
      <c r="V131" s="48"/>
      <c r="W131" s="48"/>
      <c r="X131" s="41"/>
    </row>
    <row r="132" spans="2:24" x14ac:dyDescent="0.4">
      <c r="B132" s="5" t="s">
        <v>460</v>
      </c>
      <c r="C132" s="5" t="s">
        <v>716</v>
      </c>
      <c r="D132" s="25" t="s">
        <v>129</v>
      </c>
      <c r="E132" s="64" t="s">
        <v>130</v>
      </c>
      <c r="F132" s="2">
        <f t="shared" si="20"/>
        <v>0</v>
      </c>
      <c r="G132" s="2">
        <f t="shared" si="21"/>
        <v>0</v>
      </c>
      <c r="H132" s="2">
        <f t="shared" si="22"/>
        <v>0</v>
      </c>
      <c r="I132" s="12" t="e">
        <f t="shared" si="15"/>
        <v>#N/A</v>
      </c>
      <c r="J132" s="34" t="e">
        <f t="shared" si="19"/>
        <v>#N/A</v>
      </c>
      <c r="K132" s="34"/>
      <c r="L132" s="2">
        <f t="shared" si="16"/>
        <v>0</v>
      </c>
      <c r="M132" s="2">
        <f t="shared" si="17"/>
        <v>0</v>
      </c>
      <c r="N132" s="2">
        <f t="shared" si="18"/>
        <v>0</v>
      </c>
      <c r="O132" s="2"/>
      <c r="P132" s="2"/>
      <c r="Q132" s="5"/>
      <c r="R132" s="5"/>
      <c r="S132" s="61"/>
      <c r="T132" s="64"/>
      <c r="U132" s="72"/>
      <c r="V132" s="48"/>
      <c r="W132" s="48"/>
      <c r="X132" s="41"/>
    </row>
    <row r="133" spans="2:24" x14ac:dyDescent="0.4">
      <c r="B133" s="5" t="s">
        <v>461</v>
      </c>
      <c r="C133" s="5" t="s">
        <v>716</v>
      </c>
      <c r="D133" s="25" t="s">
        <v>129</v>
      </c>
      <c r="E133" s="64" t="s">
        <v>131</v>
      </c>
      <c r="F133" s="2">
        <f t="shared" si="20"/>
        <v>0</v>
      </c>
      <c r="G133" s="2">
        <f t="shared" si="21"/>
        <v>0</v>
      </c>
      <c r="H133" s="2">
        <f t="shared" si="22"/>
        <v>0</v>
      </c>
      <c r="I133" s="12" t="e">
        <f t="shared" ref="I133:I196" si="23">+VLOOKUP(B133,$Q$2:$U$373,5,FALSE)</f>
        <v>#N/A</v>
      </c>
      <c r="J133" s="34" t="e">
        <f t="shared" si="19"/>
        <v>#N/A</v>
      </c>
      <c r="K133" s="34"/>
      <c r="L133" s="2">
        <f t="shared" ref="L133:L196" si="24">IFERROR(VLOOKUP(B133,$Q$2:$U$373,5,FALSE),0)</f>
        <v>0</v>
      </c>
      <c r="M133" s="2">
        <f t="shared" ref="M133:M196" si="25">IFERROR(VLOOKUP(B133,$Q$2:$W$373,6,FALSE),0)</f>
        <v>0</v>
      </c>
      <c r="N133" s="2">
        <f t="shared" ref="N133:N196" si="26">IFERROR(VLOOKUP(B133,$Q$2:$W$373,7,FALSE),0)</f>
        <v>0</v>
      </c>
      <c r="O133" s="2"/>
      <c r="P133" s="2"/>
      <c r="Q133" s="5"/>
      <c r="R133" s="5"/>
      <c r="S133" s="61"/>
      <c r="T133" s="64"/>
      <c r="U133" s="72"/>
      <c r="V133" s="48"/>
      <c r="W133" s="48"/>
      <c r="X133" s="41"/>
    </row>
    <row r="134" spans="2:24" x14ac:dyDescent="0.4">
      <c r="B134" s="5" t="s">
        <v>462</v>
      </c>
      <c r="C134" s="5" t="s">
        <v>716</v>
      </c>
      <c r="D134" s="25" t="s">
        <v>129</v>
      </c>
      <c r="E134" s="64" t="s">
        <v>132</v>
      </c>
      <c r="F134" s="2">
        <f t="shared" si="20"/>
        <v>0</v>
      </c>
      <c r="G134" s="2">
        <f t="shared" si="21"/>
        <v>0</v>
      </c>
      <c r="H134" s="2">
        <f t="shared" si="22"/>
        <v>0</v>
      </c>
      <c r="I134" s="12" t="e">
        <f t="shared" si="23"/>
        <v>#N/A</v>
      </c>
      <c r="J134" s="34" t="e">
        <f t="shared" si="19"/>
        <v>#N/A</v>
      </c>
      <c r="K134" s="34"/>
      <c r="L134" s="2">
        <f t="shared" si="24"/>
        <v>0</v>
      </c>
      <c r="M134" s="2">
        <f t="shared" si="25"/>
        <v>0</v>
      </c>
      <c r="N134" s="2">
        <f t="shared" si="26"/>
        <v>0</v>
      </c>
      <c r="O134" s="2"/>
      <c r="P134" s="2"/>
      <c r="Q134" s="5"/>
      <c r="R134" s="5"/>
      <c r="S134" s="61"/>
      <c r="T134" s="64"/>
      <c r="U134" s="72"/>
      <c r="V134" s="48"/>
      <c r="W134" s="48"/>
      <c r="X134" s="41"/>
    </row>
    <row r="135" spans="2:24" x14ac:dyDescent="0.4">
      <c r="B135" s="5" t="s">
        <v>463</v>
      </c>
      <c r="C135" s="5" t="s">
        <v>716</v>
      </c>
      <c r="D135" s="25" t="s">
        <v>129</v>
      </c>
      <c r="E135" s="64" t="s">
        <v>133</v>
      </c>
      <c r="F135" s="2">
        <f t="shared" si="20"/>
        <v>0</v>
      </c>
      <c r="G135" s="2">
        <f t="shared" si="21"/>
        <v>0</v>
      </c>
      <c r="H135" s="2">
        <f t="shared" si="22"/>
        <v>0</v>
      </c>
      <c r="I135" s="12" t="e">
        <f t="shared" si="23"/>
        <v>#N/A</v>
      </c>
      <c r="J135" s="34" t="e">
        <f t="shared" si="19"/>
        <v>#N/A</v>
      </c>
      <c r="K135" s="34"/>
      <c r="L135" s="2">
        <f t="shared" si="24"/>
        <v>0</v>
      </c>
      <c r="M135" s="2">
        <f t="shared" si="25"/>
        <v>0</v>
      </c>
      <c r="N135" s="2">
        <f t="shared" si="26"/>
        <v>0</v>
      </c>
      <c r="O135" s="2"/>
      <c r="P135" s="2"/>
      <c r="Q135" s="5"/>
      <c r="R135" s="5"/>
      <c r="S135" s="61"/>
      <c r="T135" s="64"/>
      <c r="U135" s="72"/>
      <c r="V135" s="48"/>
      <c r="W135" s="48"/>
      <c r="X135" s="41"/>
    </row>
    <row r="136" spans="2:24" x14ac:dyDescent="0.4">
      <c r="B136" s="5" t="s">
        <v>464</v>
      </c>
      <c r="C136" s="5" t="s">
        <v>716</v>
      </c>
      <c r="D136" s="25" t="s">
        <v>129</v>
      </c>
      <c r="E136" s="64" t="s">
        <v>134</v>
      </c>
      <c r="F136" s="2">
        <f t="shared" si="20"/>
        <v>0</v>
      </c>
      <c r="G136" s="2">
        <f t="shared" si="21"/>
        <v>0</v>
      </c>
      <c r="H136" s="2">
        <f t="shared" si="22"/>
        <v>0</v>
      </c>
      <c r="I136" s="12" t="e">
        <f t="shared" si="23"/>
        <v>#N/A</v>
      </c>
      <c r="J136" s="34" t="e">
        <f t="shared" ref="J136:J199" si="27">+I136-F136</f>
        <v>#N/A</v>
      </c>
      <c r="K136" s="34"/>
      <c r="L136" s="2">
        <f t="shared" si="24"/>
        <v>0</v>
      </c>
      <c r="M136" s="2">
        <f t="shared" si="25"/>
        <v>0</v>
      </c>
      <c r="N136" s="2">
        <f t="shared" si="26"/>
        <v>0</v>
      </c>
      <c r="O136" s="2"/>
      <c r="P136" s="2"/>
      <c r="Q136" s="5"/>
      <c r="R136" s="5"/>
      <c r="S136" s="61"/>
      <c r="T136" s="64"/>
      <c r="U136" s="72"/>
      <c r="V136" s="48"/>
      <c r="W136" s="48"/>
      <c r="X136" s="41"/>
    </row>
    <row r="137" spans="2:24" x14ac:dyDescent="0.4">
      <c r="B137" s="5" t="s">
        <v>465</v>
      </c>
      <c r="C137" s="5" t="s">
        <v>716</v>
      </c>
      <c r="D137" s="25" t="s">
        <v>129</v>
      </c>
      <c r="E137" s="64" t="s">
        <v>135</v>
      </c>
      <c r="F137" s="2">
        <f t="shared" si="20"/>
        <v>0</v>
      </c>
      <c r="G137" s="2">
        <f t="shared" si="21"/>
        <v>0</v>
      </c>
      <c r="H137" s="2">
        <f t="shared" si="22"/>
        <v>0</v>
      </c>
      <c r="I137" s="12" t="e">
        <f t="shared" si="23"/>
        <v>#N/A</v>
      </c>
      <c r="J137" s="34" t="e">
        <f t="shared" si="27"/>
        <v>#N/A</v>
      </c>
      <c r="K137" s="34"/>
      <c r="L137" s="2">
        <f t="shared" si="24"/>
        <v>0</v>
      </c>
      <c r="M137" s="2">
        <f t="shared" si="25"/>
        <v>0</v>
      </c>
      <c r="N137" s="2">
        <f t="shared" si="26"/>
        <v>0</v>
      </c>
      <c r="O137" s="2"/>
      <c r="P137" s="2"/>
      <c r="Q137" s="5"/>
      <c r="R137" s="5"/>
      <c r="S137" s="61"/>
      <c r="T137" s="64"/>
      <c r="U137" s="72"/>
      <c r="V137" s="48"/>
      <c r="W137" s="48"/>
      <c r="X137" s="41"/>
    </row>
    <row r="138" spans="2:24" x14ac:dyDescent="0.4">
      <c r="B138" s="5" t="s">
        <v>466</v>
      </c>
      <c r="C138" s="5" t="s">
        <v>716</v>
      </c>
      <c r="D138" s="25" t="s">
        <v>129</v>
      </c>
      <c r="E138" s="64" t="s">
        <v>94</v>
      </c>
      <c r="F138" s="2">
        <f t="shared" si="20"/>
        <v>0</v>
      </c>
      <c r="G138" s="2">
        <f t="shared" si="21"/>
        <v>0</v>
      </c>
      <c r="H138" s="2">
        <f t="shared" si="22"/>
        <v>0</v>
      </c>
      <c r="I138" s="12" t="e">
        <f t="shared" si="23"/>
        <v>#N/A</v>
      </c>
      <c r="J138" s="34" t="e">
        <f t="shared" si="27"/>
        <v>#N/A</v>
      </c>
      <c r="K138" s="34"/>
      <c r="L138" s="2">
        <f t="shared" si="24"/>
        <v>0</v>
      </c>
      <c r="M138" s="2">
        <f t="shared" si="25"/>
        <v>0</v>
      </c>
      <c r="N138" s="2">
        <f t="shared" si="26"/>
        <v>0</v>
      </c>
      <c r="O138" s="2"/>
      <c r="P138" s="2"/>
      <c r="Q138" s="5"/>
      <c r="R138" s="5"/>
      <c r="S138" s="61"/>
      <c r="T138" s="64"/>
      <c r="U138" s="72"/>
      <c r="V138" s="48"/>
      <c r="W138" s="48"/>
      <c r="X138" s="41"/>
    </row>
    <row r="139" spans="2:24" x14ac:dyDescent="0.4">
      <c r="B139" s="5" t="s">
        <v>467</v>
      </c>
      <c r="C139" s="5" t="s">
        <v>716</v>
      </c>
      <c r="D139" s="25" t="s">
        <v>129</v>
      </c>
      <c r="E139" s="64" t="s">
        <v>136</v>
      </c>
      <c r="F139" s="2">
        <f t="shared" si="20"/>
        <v>0</v>
      </c>
      <c r="G139" s="2">
        <f t="shared" si="21"/>
        <v>0</v>
      </c>
      <c r="H139" s="2">
        <f t="shared" si="22"/>
        <v>0</v>
      </c>
      <c r="I139" s="12" t="e">
        <f t="shared" si="23"/>
        <v>#N/A</v>
      </c>
      <c r="J139" s="34" t="e">
        <f t="shared" si="27"/>
        <v>#N/A</v>
      </c>
      <c r="K139" s="34"/>
      <c r="L139" s="2">
        <f t="shared" si="24"/>
        <v>0</v>
      </c>
      <c r="M139" s="2">
        <f t="shared" si="25"/>
        <v>0</v>
      </c>
      <c r="N139" s="2">
        <f t="shared" si="26"/>
        <v>0</v>
      </c>
      <c r="O139" s="2"/>
      <c r="P139" s="2"/>
      <c r="Q139" s="5"/>
      <c r="R139" s="5"/>
      <c r="S139" s="61"/>
      <c r="T139" s="64"/>
      <c r="U139" s="72"/>
      <c r="V139" s="48"/>
      <c r="W139" s="48"/>
      <c r="X139" s="41"/>
    </row>
    <row r="140" spans="2:24" x14ac:dyDescent="0.4">
      <c r="B140" s="5" t="s">
        <v>468</v>
      </c>
      <c r="C140" s="5" t="s">
        <v>716</v>
      </c>
      <c r="D140" s="25" t="s">
        <v>129</v>
      </c>
      <c r="E140" s="64" t="s">
        <v>137</v>
      </c>
      <c r="F140" s="2">
        <f t="shared" si="20"/>
        <v>0</v>
      </c>
      <c r="G140" s="2">
        <f t="shared" si="21"/>
        <v>0</v>
      </c>
      <c r="H140" s="2">
        <f t="shared" si="22"/>
        <v>0</v>
      </c>
      <c r="I140" s="12" t="e">
        <f t="shared" si="23"/>
        <v>#N/A</v>
      </c>
      <c r="J140" s="34" t="e">
        <f t="shared" si="27"/>
        <v>#N/A</v>
      </c>
      <c r="K140" s="34"/>
      <c r="L140" s="2">
        <f t="shared" si="24"/>
        <v>0</v>
      </c>
      <c r="M140" s="2">
        <f t="shared" si="25"/>
        <v>0</v>
      </c>
      <c r="N140" s="2">
        <f t="shared" si="26"/>
        <v>0</v>
      </c>
      <c r="O140" s="2"/>
      <c r="P140" s="2"/>
      <c r="Q140" s="5"/>
      <c r="R140" s="5"/>
      <c r="S140" s="61"/>
      <c r="T140" s="64"/>
      <c r="U140" s="72"/>
      <c r="V140" s="48"/>
      <c r="W140" s="48"/>
      <c r="X140" s="41"/>
    </row>
    <row r="141" spans="2:24" x14ac:dyDescent="0.4">
      <c r="B141" s="5" t="s">
        <v>469</v>
      </c>
      <c r="C141" s="5" t="s">
        <v>716</v>
      </c>
      <c r="D141" s="25" t="s">
        <v>129</v>
      </c>
      <c r="E141" s="64" t="s">
        <v>138</v>
      </c>
      <c r="F141" s="2">
        <f t="shared" si="20"/>
        <v>0</v>
      </c>
      <c r="G141" s="2">
        <f t="shared" si="21"/>
        <v>0</v>
      </c>
      <c r="H141" s="2">
        <f t="shared" si="22"/>
        <v>0</v>
      </c>
      <c r="I141" s="12" t="e">
        <f t="shared" si="23"/>
        <v>#N/A</v>
      </c>
      <c r="J141" s="34" t="e">
        <f t="shared" si="27"/>
        <v>#N/A</v>
      </c>
      <c r="K141" s="34"/>
      <c r="L141" s="2">
        <f t="shared" si="24"/>
        <v>0</v>
      </c>
      <c r="M141" s="2">
        <f t="shared" si="25"/>
        <v>0</v>
      </c>
      <c r="N141" s="2">
        <f t="shared" si="26"/>
        <v>0</v>
      </c>
      <c r="O141" s="2"/>
      <c r="P141" s="2"/>
      <c r="Q141" s="5"/>
      <c r="R141" s="5"/>
      <c r="S141" s="61"/>
      <c r="T141" s="64"/>
      <c r="U141" s="72"/>
      <c r="V141" s="49"/>
      <c r="W141" s="48"/>
      <c r="X141" s="41"/>
    </row>
    <row r="142" spans="2:24" x14ac:dyDescent="0.4">
      <c r="B142" s="5" t="s">
        <v>470</v>
      </c>
      <c r="C142" s="5" t="s">
        <v>716</v>
      </c>
      <c r="D142" s="25" t="s">
        <v>129</v>
      </c>
      <c r="E142" s="64" t="s">
        <v>139</v>
      </c>
      <c r="F142" s="2">
        <f t="shared" si="20"/>
        <v>0</v>
      </c>
      <c r="G142" s="2">
        <f t="shared" si="21"/>
        <v>0</v>
      </c>
      <c r="H142" s="2">
        <f t="shared" si="22"/>
        <v>0</v>
      </c>
      <c r="I142" s="12" t="e">
        <f t="shared" si="23"/>
        <v>#N/A</v>
      </c>
      <c r="J142" s="34" t="e">
        <f t="shared" si="27"/>
        <v>#N/A</v>
      </c>
      <c r="K142" s="34"/>
      <c r="L142" s="2">
        <f t="shared" si="24"/>
        <v>0</v>
      </c>
      <c r="M142" s="2">
        <f t="shared" si="25"/>
        <v>0</v>
      </c>
      <c r="N142" s="2">
        <f t="shared" si="26"/>
        <v>0</v>
      </c>
      <c r="O142" s="2"/>
      <c r="P142" s="2"/>
      <c r="Q142" s="5"/>
      <c r="R142" s="5"/>
      <c r="S142" s="61"/>
      <c r="T142" s="65"/>
      <c r="U142" s="72"/>
      <c r="V142" s="48"/>
      <c r="W142" s="48"/>
      <c r="X142" s="41"/>
    </row>
    <row r="143" spans="2:24" x14ac:dyDescent="0.4">
      <c r="B143" s="5" t="s">
        <v>471</v>
      </c>
      <c r="C143" s="5" t="s">
        <v>716</v>
      </c>
      <c r="D143" s="25" t="s">
        <v>129</v>
      </c>
      <c r="E143" s="64" t="s">
        <v>85</v>
      </c>
      <c r="F143" s="2">
        <f t="shared" si="20"/>
        <v>0</v>
      </c>
      <c r="G143" s="2">
        <f t="shared" si="21"/>
        <v>0</v>
      </c>
      <c r="H143" s="2">
        <f t="shared" si="22"/>
        <v>0</v>
      </c>
      <c r="I143" s="12" t="e">
        <f t="shared" si="23"/>
        <v>#N/A</v>
      </c>
      <c r="J143" s="34" t="e">
        <f t="shared" si="27"/>
        <v>#N/A</v>
      </c>
      <c r="K143" s="34"/>
      <c r="L143" s="2">
        <f t="shared" si="24"/>
        <v>0</v>
      </c>
      <c r="M143" s="2">
        <f t="shared" si="25"/>
        <v>0</v>
      </c>
      <c r="N143" s="2">
        <f t="shared" si="26"/>
        <v>0</v>
      </c>
      <c r="O143" s="2"/>
      <c r="P143" s="2"/>
      <c r="Q143" s="5"/>
      <c r="R143" s="5"/>
      <c r="S143" s="61"/>
      <c r="T143" s="64"/>
      <c r="U143" s="72"/>
      <c r="V143" s="48"/>
      <c r="W143" s="48"/>
      <c r="X143" s="41"/>
    </row>
    <row r="144" spans="2:24" x14ac:dyDescent="0.4">
      <c r="B144" s="5" t="s">
        <v>472</v>
      </c>
      <c r="C144" s="5" t="s">
        <v>716</v>
      </c>
      <c r="D144" s="25" t="s">
        <v>129</v>
      </c>
      <c r="E144" s="64" t="s">
        <v>140</v>
      </c>
      <c r="F144" s="2">
        <f t="shared" si="20"/>
        <v>0</v>
      </c>
      <c r="G144" s="2">
        <f t="shared" si="21"/>
        <v>0</v>
      </c>
      <c r="H144" s="2">
        <f t="shared" si="22"/>
        <v>0</v>
      </c>
      <c r="I144" s="12" t="e">
        <f t="shared" si="23"/>
        <v>#N/A</v>
      </c>
      <c r="J144" s="34" t="e">
        <f t="shared" si="27"/>
        <v>#N/A</v>
      </c>
      <c r="K144" s="34"/>
      <c r="L144" s="2">
        <f t="shared" si="24"/>
        <v>0</v>
      </c>
      <c r="M144" s="2">
        <f t="shared" si="25"/>
        <v>0</v>
      </c>
      <c r="N144" s="2">
        <f t="shared" si="26"/>
        <v>0</v>
      </c>
      <c r="O144" s="2"/>
      <c r="P144" s="2"/>
      <c r="Q144" s="5"/>
      <c r="R144" s="5"/>
      <c r="S144" s="61"/>
      <c r="T144" s="64"/>
      <c r="U144" s="72"/>
      <c r="V144" s="48"/>
      <c r="W144" s="48"/>
      <c r="X144" s="41"/>
    </row>
    <row r="145" spans="2:24" x14ac:dyDescent="0.4">
      <c r="B145" s="5" t="s">
        <v>473</v>
      </c>
      <c r="C145" s="5" t="s">
        <v>716</v>
      </c>
      <c r="D145" s="25" t="s">
        <v>129</v>
      </c>
      <c r="E145" s="64" t="s">
        <v>141</v>
      </c>
      <c r="F145" s="2">
        <f t="shared" si="20"/>
        <v>0</v>
      </c>
      <c r="G145" s="2">
        <f t="shared" si="21"/>
        <v>0</v>
      </c>
      <c r="H145" s="2">
        <f t="shared" si="22"/>
        <v>0</v>
      </c>
      <c r="I145" s="12" t="e">
        <f t="shared" si="23"/>
        <v>#N/A</v>
      </c>
      <c r="J145" s="34" t="e">
        <f t="shared" si="27"/>
        <v>#N/A</v>
      </c>
      <c r="K145" s="34"/>
      <c r="L145" s="2">
        <f t="shared" si="24"/>
        <v>0</v>
      </c>
      <c r="M145" s="2">
        <f t="shared" si="25"/>
        <v>0</v>
      </c>
      <c r="N145" s="2">
        <f t="shared" si="26"/>
        <v>0</v>
      </c>
      <c r="O145" s="2"/>
      <c r="P145" s="2"/>
      <c r="Q145" s="5"/>
      <c r="R145" s="5"/>
      <c r="S145" s="61"/>
      <c r="T145" s="64"/>
      <c r="U145" s="72"/>
      <c r="V145" s="48"/>
      <c r="W145" s="48"/>
      <c r="X145" s="41"/>
    </row>
    <row r="146" spans="2:24" x14ac:dyDescent="0.4">
      <c r="B146" s="5" t="s">
        <v>474</v>
      </c>
      <c r="C146" s="5" t="s">
        <v>716</v>
      </c>
      <c r="D146" s="25" t="s">
        <v>129</v>
      </c>
      <c r="E146" s="64" t="s">
        <v>143</v>
      </c>
      <c r="F146" s="2">
        <f t="shared" si="20"/>
        <v>0</v>
      </c>
      <c r="G146" s="2">
        <f t="shared" si="21"/>
        <v>0</v>
      </c>
      <c r="H146" s="2">
        <f t="shared" si="22"/>
        <v>0</v>
      </c>
      <c r="I146" s="12" t="e">
        <f t="shared" si="23"/>
        <v>#N/A</v>
      </c>
      <c r="J146" s="34" t="e">
        <f t="shared" si="27"/>
        <v>#N/A</v>
      </c>
      <c r="K146" s="34"/>
      <c r="L146" s="2">
        <f t="shared" si="24"/>
        <v>0</v>
      </c>
      <c r="M146" s="2">
        <f t="shared" si="25"/>
        <v>0</v>
      </c>
      <c r="N146" s="2">
        <f t="shared" si="26"/>
        <v>0</v>
      </c>
      <c r="O146" s="2"/>
      <c r="P146" s="2"/>
      <c r="Q146" s="5"/>
      <c r="R146" s="5"/>
      <c r="S146" s="61"/>
      <c r="T146" s="64"/>
      <c r="U146" s="72"/>
      <c r="V146" s="48"/>
      <c r="W146" s="48"/>
      <c r="X146" s="41"/>
    </row>
    <row r="147" spans="2:24" x14ac:dyDescent="0.4">
      <c r="B147" s="5" t="s">
        <v>475</v>
      </c>
      <c r="C147" s="5" t="s">
        <v>716</v>
      </c>
      <c r="D147" s="25" t="s">
        <v>129</v>
      </c>
      <c r="E147" s="64" t="s">
        <v>21</v>
      </c>
      <c r="F147" s="2">
        <f t="shared" si="20"/>
        <v>0</v>
      </c>
      <c r="G147" s="2">
        <f t="shared" si="21"/>
        <v>0</v>
      </c>
      <c r="H147" s="2">
        <f t="shared" si="22"/>
        <v>0</v>
      </c>
      <c r="I147" s="12" t="e">
        <f t="shared" si="23"/>
        <v>#N/A</v>
      </c>
      <c r="J147" s="34" t="e">
        <f t="shared" si="27"/>
        <v>#N/A</v>
      </c>
      <c r="K147" s="34"/>
      <c r="L147" s="2">
        <f t="shared" si="24"/>
        <v>0</v>
      </c>
      <c r="M147" s="2">
        <f t="shared" si="25"/>
        <v>0</v>
      </c>
      <c r="N147" s="2">
        <f t="shared" si="26"/>
        <v>0</v>
      </c>
      <c r="O147" s="2"/>
      <c r="P147" s="2"/>
      <c r="Q147" s="5"/>
      <c r="R147" s="5"/>
      <c r="S147" s="61"/>
      <c r="T147" s="64"/>
      <c r="U147" s="72"/>
      <c r="V147" s="48"/>
      <c r="W147" s="48"/>
      <c r="X147" s="41"/>
    </row>
    <row r="148" spans="2:24" x14ac:dyDescent="0.4">
      <c r="B148" s="5" t="s">
        <v>476</v>
      </c>
      <c r="C148" s="5" t="s">
        <v>716</v>
      </c>
      <c r="D148" s="25" t="s">
        <v>129</v>
      </c>
      <c r="E148" s="64" t="s">
        <v>144</v>
      </c>
      <c r="F148" s="2">
        <f t="shared" si="20"/>
        <v>0</v>
      </c>
      <c r="G148" s="2">
        <f t="shared" si="21"/>
        <v>0</v>
      </c>
      <c r="H148" s="2">
        <f t="shared" si="22"/>
        <v>0</v>
      </c>
      <c r="I148" s="12" t="e">
        <f t="shared" si="23"/>
        <v>#N/A</v>
      </c>
      <c r="J148" s="34" t="e">
        <f t="shared" si="27"/>
        <v>#N/A</v>
      </c>
      <c r="K148" s="34"/>
      <c r="L148" s="2">
        <f t="shared" si="24"/>
        <v>0</v>
      </c>
      <c r="M148" s="2">
        <f t="shared" si="25"/>
        <v>0</v>
      </c>
      <c r="N148" s="2">
        <f t="shared" si="26"/>
        <v>0</v>
      </c>
      <c r="O148" s="2"/>
      <c r="P148" s="2"/>
      <c r="Q148" s="5"/>
      <c r="R148" s="5"/>
      <c r="S148" s="61"/>
      <c r="T148" s="64"/>
      <c r="U148" s="72"/>
      <c r="V148" s="48"/>
      <c r="W148" s="48"/>
      <c r="X148" s="41"/>
    </row>
    <row r="149" spans="2:24" x14ac:dyDescent="0.4">
      <c r="B149" s="5" t="s">
        <v>477</v>
      </c>
      <c r="C149" s="5" t="s">
        <v>716</v>
      </c>
      <c r="D149" s="25" t="s">
        <v>129</v>
      </c>
      <c r="E149" s="64" t="s">
        <v>145</v>
      </c>
      <c r="F149" s="2">
        <f t="shared" si="20"/>
        <v>0</v>
      </c>
      <c r="G149" s="2">
        <f t="shared" si="21"/>
        <v>0</v>
      </c>
      <c r="H149" s="2">
        <f t="shared" si="22"/>
        <v>0</v>
      </c>
      <c r="I149" s="12" t="e">
        <f t="shared" si="23"/>
        <v>#N/A</v>
      </c>
      <c r="J149" s="34" t="e">
        <f t="shared" si="27"/>
        <v>#N/A</v>
      </c>
      <c r="K149" s="34"/>
      <c r="L149" s="2">
        <f t="shared" si="24"/>
        <v>0</v>
      </c>
      <c r="M149" s="2">
        <f t="shared" si="25"/>
        <v>0</v>
      </c>
      <c r="N149" s="2">
        <f t="shared" si="26"/>
        <v>0</v>
      </c>
      <c r="O149" s="2"/>
      <c r="P149" s="2"/>
      <c r="Q149" s="5"/>
      <c r="R149" s="5"/>
      <c r="S149" s="61"/>
      <c r="T149" s="64"/>
      <c r="U149" s="72"/>
      <c r="V149" s="48"/>
      <c r="W149" s="49"/>
      <c r="X149" s="41"/>
    </row>
    <row r="150" spans="2:24" x14ac:dyDescent="0.4">
      <c r="B150" s="5" t="s">
        <v>478</v>
      </c>
      <c r="C150" s="5" t="s">
        <v>716</v>
      </c>
      <c r="D150" s="25" t="s">
        <v>129</v>
      </c>
      <c r="E150" s="64" t="s">
        <v>51</v>
      </c>
      <c r="F150" s="2">
        <f t="shared" si="20"/>
        <v>0</v>
      </c>
      <c r="G150" s="2">
        <f t="shared" si="21"/>
        <v>0</v>
      </c>
      <c r="H150" s="2">
        <f t="shared" si="22"/>
        <v>0</v>
      </c>
      <c r="I150" s="12" t="e">
        <f t="shared" si="23"/>
        <v>#N/A</v>
      </c>
      <c r="J150" s="34" t="e">
        <f t="shared" si="27"/>
        <v>#N/A</v>
      </c>
      <c r="K150" s="34"/>
      <c r="L150" s="2">
        <f t="shared" si="24"/>
        <v>0</v>
      </c>
      <c r="M150" s="2">
        <f t="shared" si="25"/>
        <v>0</v>
      </c>
      <c r="N150" s="2">
        <f t="shared" si="26"/>
        <v>0</v>
      </c>
      <c r="O150" s="2"/>
      <c r="P150" s="2"/>
      <c r="Q150" s="5"/>
      <c r="R150" s="5"/>
      <c r="S150" s="61"/>
      <c r="T150" s="64"/>
      <c r="U150" s="72"/>
      <c r="V150" s="48"/>
      <c r="W150" s="48"/>
      <c r="X150" s="41"/>
    </row>
    <row r="151" spans="2:24" x14ac:dyDescent="0.4">
      <c r="B151" s="5" t="s">
        <v>479</v>
      </c>
      <c r="C151" s="5" t="s">
        <v>716</v>
      </c>
      <c r="D151" s="25" t="s">
        <v>129</v>
      </c>
      <c r="E151" s="64" t="s">
        <v>146</v>
      </c>
      <c r="F151" s="2">
        <f t="shared" si="20"/>
        <v>0</v>
      </c>
      <c r="G151" s="2">
        <f t="shared" si="21"/>
        <v>0</v>
      </c>
      <c r="H151" s="2">
        <f t="shared" si="22"/>
        <v>0</v>
      </c>
      <c r="I151" s="12" t="e">
        <f t="shared" si="23"/>
        <v>#N/A</v>
      </c>
      <c r="J151" s="34" t="e">
        <f t="shared" si="27"/>
        <v>#N/A</v>
      </c>
      <c r="K151" s="34"/>
      <c r="L151" s="2">
        <f t="shared" si="24"/>
        <v>0</v>
      </c>
      <c r="M151" s="2">
        <f t="shared" si="25"/>
        <v>0</v>
      </c>
      <c r="N151" s="2">
        <f t="shared" si="26"/>
        <v>0</v>
      </c>
      <c r="O151" s="2"/>
      <c r="P151" s="2"/>
      <c r="Q151" s="5"/>
      <c r="R151" s="5"/>
      <c r="S151" s="61"/>
      <c r="T151" s="64"/>
      <c r="U151" s="72"/>
      <c r="V151" s="48"/>
      <c r="W151" s="48"/>
      <c r="X151" s="41"/>
    </row>
    <row r="152" spans="2:24" x14ac:dyDescent="0.4">
      <c r="B152" s="5" t="s">
        <v>480</v>
      </c>
      <c r="C152" s="5" t="s">
        <v>716</v>
      </c>
      <c r="D152" s="25" t="s">
        <v>129</v>
      </c>
      <c r="E152" s="64" t="s">
        <v>147</v>
      </c>
      <c r="F152" s="2">
        <f t="shared" si="20"/>
        <v>0</v>
      </c>
      <c r="G152" s="2">
        <f t="shared" si="21"/>
        <v>0</v>
      </c>
      <c r="H152" s="2">
        <f t="shared" si="22"/>
        <v>0</v>
      </c>
      <c r="I152" s="12" t="e">
        <f t="shared" si="23"/>
        <v>#N/A</v>
      </c>
      <c r="J152" s="34" t="e">
        <f t="shared" si="27"/>
        <v>#N/A</v>
      </c>
      <c r="K152" s="34"/>
      <c r="L152" s="2">
        <f t="shared" si="24"/>
        <v>0</v>
      </c>
      <c r="M152" s="2">
        <f t="shared" si="25"/>
        <v>0</v>
      </c>
      <c r="N152" s="2">
        <f t="shared" si="26"/>
        <v>0</v>
      </c>
      <c r="O152" s="2"/>
      <c r="P152" s="2"/>
      <c r="Q152" s="5"/>
      <c r="R152" s="5"/>
      <c r="S152" s="25"/>
      <c r="T152" s="64"/>
      <c r="U152" s="72"/>
      <c r="V152" s="48"/>
      <c r="W152" s="48"/>
      <c r="X152" s="41"/>
    </row>
    <row r="153" spans="2:24" x14ac:dyDescent="0.4">
      <c r="B153" s="5" t="s">
        <v>481</v>
      </c>
      <c r="C153" s="5" t="s">
        <v>716</v>
      </c>
      <c r="D153" s="25" t="s">
        <v>129</v>
      </c>
      <c r="E153" s="64" t="s">
        <v>148</v>
      </c>
      <c r="F153" s="2">
        <f t="shared" si="20"/>
        <v>0</v>
      </c>
      <c r="G153" s="2">
        <f t="shared" si="21"/>
        <v>0</v>
      </c>
      <c r="H153" s="2">
        <f t="shared" si="22"/>
        <v>0</v>
      </c>
      <c r="I153" s="12" t="e">
        <f t="shared" si="23"/>
        <v>#N/A</v>
      </c>
      <c r="J153" s="34" t="e">
        <f t="shared" si="27"/>
        <v>#N/A</v>
      </c>
      <c r="K153" s="34"/>
      <c r="L153" s="2">
        <f t="shared" si="24"/>
        <v>0</v>
      </c>
      <c r="M153" s="2">
        <f t="shared" si="25"/>
        <v>0</v>
      </c>
      <c r="N153" s="2">
        <f t="shared" si="26"/>
        <v>0</v>
      </c>
      <c r="O153" s="2"/>
      <c r="P153" s="2"/>
      <c r="Q153" s="5"/>
      <c r="R153" s="5"/>
      <c r="S153" s="25"/>
      <c r="T153" s="64"/>
      <c r="U153" s="72"/>
      <c r="V153" s="48"/>
      <c r="W153" s="48"/>
      <c r="X153" s="41"/>
    </row>
    <row r="154" spans="2:24" x14ac:dyDescent="0.4">
      <c r="B154" s="5" t="s">
        <v>482</v>
      </c>
      <c r="C154" s="5" t="s">
        <v>716</v>
      </c>
      <c r="D154" s="25" t="s">
        <v>129</v>
      </c>
      <c r="E154" s="64" t="s">
        <v>54</v>
      </c>
      <c r="F154" s="2">
        <f t="shared" si="20"/>
        <v>0</v>
      </c>
      <c r="G154" s="2">
        <f t="shared" si="21"/>
        <v>0</v>
      </c>
      <c r="H154" s="2">
        <f t="shared" si="22"/>
        <v>0</v>
      </c>
      <c r="I154" s="12" t="e">
        <f t="shared" si="23"/>
        <v>#N/A</v>
      </c>
      <c r="J154" s="34" t="e">
        <f t="shared" si="27"/>
        <v>#N/A</v>
      </c>
      <c r="K154" s="34"/>
      <c r="L154" s="2">
        <f t="shared" si="24"/>
        <v>0</v>
      </c>
      <c r="M154" s="2">
        <f t="shared" si="25"/>
        <v>0</v>
      </c>
      <c r="N154" s="2">
        <f t="shared" si="26"/>
        <v>0</v>
      </c>
      <c r="O154" s="2"/>
      <c r="P154" s="2"/>
      <c r="Q154" s="5"/>
      <c r="R154" s="5"/>
      <c r="S154" s="25"/>
      <c r="T154" s="64"/>
      <c r="U154" s="72"/>
      <c r="V154" s="48"/>
      <c r="W154" s="48"/>
      <c r="X154" s="41"/>
    </row>
    <row r="155" spans="2:24" x14ac:dyDescent="0.4">
      <c r="B155" s="5" t="s">
        <v>483</v>
      </c>
      <c r="C155" s="5" t="s">
        <v>717</v>
      </c>
      <c r="D155" s="25" t="s">
        <v>150</v>
      </c>
      <c r="E155" s="64" t="s">
        <v>149</v>
      </c>
      <c r="F155" s="2">
        <f t="shared" si="20"/>
        <v>0</v>
      </c>
      <c r="G155" s="2">
        <f t="shared" si="21"/>
        <v>0</v>
      </c>
      <c r="H155" s="2">
        <f t="shared" si="22"/>
        <v>0</v>
      </c>
      <c r="I155" s="12" t="e">
        <f t="shared" si="23"/>
        <v>#N/A</v>
      </c>
      <c r="J155" s="34" t="e">
        <f t="shared" si="27"/>
        <v>#N/A</v>
      </c>
      <c r="K155" s="34"/>
      <c r="L155" s="2">
        <f t="shared" si="24"/>
        <v>0</v>
      </c>
      <c r="M155" s="2">
        <f t="shared" si="25"/>
        <v>0</v>
      </c>
      <c r="N155" s="2">
        <f t="shared" si="26"/>
        <v>0</v>
      </c>
      <c r="O155" s="2"/>
      <c r="P155" s="2"/>
      <c r="Q155" s="5"/>
      <c r="R155" s="5"/>
      <c r="S155" s="25"/>
      <c r="T155" s="64"/>
      <c r="U155" s="72"/>
      <c r="V155" s="48"/>
      <c r="W155" s="48"/>
      <c r="X155" s="41"/>
    </row>
    <row r="156" spans="2:24" x14ac:dyDescent="0.4">
      <c r="B156" s="5" t="s">
        <v>484</v>
      </c>
      <c r="C156" s="5" t="s">
        <v>717</v>
      </c>
      <c r="D156" s="25" t="s">
        <v>150</v>
      </c>
      <c r="E156" s="64" t="s">
        <v>151</v>
      </c>
      <c r="F156" s="2">
        <f t="shared" si="20"/>
        <v>0</v>
      </c>
      <c r="G156" s="2">
        <f t="shared" si="21"/>
        <v>0</v>
      </c>
      <c r="H156" s="2">
        <f t="shared" si="22"/>
        <v>0</v>
      </c>
      <c r="I156" s="12" t="e">
        <f t="shared" si="23"/>
        <v>#N/A</v>
      </c>
      <c r="J156" s="34" t="e">
        <f t="shared" si="27"/>
        <v>#N/A</v>
      </c>
      <c r="K156" s="34"/>
      <c r="L156" s="2">
        <f t="shared" si="24"/>
        <v>0</v>
      </c>
      <c r="M156" s="2">
        <f t="shared" si="25"/>
        <v>0</v>
      </c>
      <c r="N156" s="2">
        <f t="shared" si="26"/>
        <v>0</v>
      </c>
      <c r="O156" s="2"/>
      <c r="P156" s="2"/>
      <c r="Q156" s="5"/>
      <c r="R156" s="5"/>
      <c r="S156" s="25"/>
      <c r="T156" s="64"/>
      <c r="U156" s="72"/>
      <c r="V156" s="48"/>
      <c r="W156" s="48"/>
      <c r="X156" s="41"/>
    </row>
    <row r="157" spans="2:24" x14ac:dyDescent="0.4">
      <c r="B157" s="5" t="s">
        <v>485</v>
      </c>
      <c r="C157" s="5" t="s">
        <v>717</v>
      </c>
      <c r="D157" s="25" t="s">
        <v>150</v>
      </c>
      <c r="E157" s="64" t="s">
        <v>152</v>
      </c>
      <c r="F157" s="2">
        <f t="shared" si="20"/>
        <v>0</v>
      </c>
      <c r="G157" s="2">
        <f t="shared" si="21"/>
        <v>0</v>
      </c>
      <c r="H157" s="2">
        <f t="shared" si="22"/>
        <v>0</v>
      </c>
      <c r="I157" s="12" t="e">
        <f t="shared" si="23"/>
        <v>#N/A</v>
      </c>
      <c r="J157" s="34" t="e">
        <f t="shared" si="27"/>
        <v>#N/A</v>
      </c>
      <c r="K157" s="34"/>
      <c r="L157" s="2">
        <f t="shared" si="24"/>
        <v>0</v>
      </c>
      <c r="M157" s="2">
        <f t="shared" si="25"/>
        <v>0</v>
      </c>
      <c r="N157" s="2">
        <f t="shared" si="26"/>
        <v>0</v>
      </c>
      <c r="O157" s="2"/>
      <c r="P157" s="2"/>
      <c r="Q157" s="5"/>
      <c r="R157" s="5"/>
      <c r="S157" s="25"/>
      <c r="T157" s="64"/>
      <c r="U157" s="72"/>
      <c r="V157" s="48"/>
      <c r="W157" s="48"/>
      <c r="X157" s="41"/>
    </row>
    <row r="158" spans="2:24" x14ac:dyDescent="0.4">
      <c r="B158" s="5" t="s">
        <v>486</v>
      </c>
      <c r="C158" s="5" t="s">
        <v>717</v>
      </c>
      <c r="D158" s="25" t="s">
        <v>150</v>
      </c>
      <c r="E158" s="64" t="s">
        <v>153</v>
      </c>
      <c r="F158" s="2">
        <f t="shared" si="20"/>
        <v>0</v>
      </c>
      <c r="G158" s="2">
        <f t="shared" si="21"/>
        <v>0</v>
      </c>
      <c r="H158" s="2">
        <f t="shared" si="22"/>
        <v>0</v>
      </c>
      <c r="I158" s="12" t="e">
        <f t="shared" si="23"/>
        <v>#N/A</v>
      </c>
      <c r="J158" s="34" t="e">
        <f t="shared" si="27"/>
        <v>#N/A</v>
      </c>
      <c r="K158" s="34"/>
      <c r="L158" s="2">
        <f t="shared" si="24"/>
        <v>0</v>
      </c>
      <c r="M158" s="2">
        <f t="shared" si="25"/>
        <v>0</v>
      </c>
      <c r="N158" s="2">
        <f t="shared" si="26"/>
        <v>0</v>
      </c>
      <c r="O158" s="2"/>
      <c r="P158" s="2"/>
      <c r="Q158" s="5"/>
      <c r="R158" s="5"/>
      <c r="S158" s="25"/>
      <c r="T158" s="64"/>
      <c r="U158" s="72"/>
      <c r="V158" s="48"/>
      <c r="W158" s="48"/>
      <c r="X158" s="41"/>
    </row>
    <row r="159" spans="2:24" x14ac:dyDescent="0.4">
      <c r="B159" s="5" t="s">
        <v>487</v>
      </c>
      <c r="C159" s="5" t="s">
        <v>717</v>
      </c>
      <c r="D159" s="25" t="s">
        <v>150</v>
      </c>
      <c r="E159" s="64" t="s">
        <v>154</v>
      </c>
      <c r="F159" s="2">
        <f t="shared" si="20"/>
        <v>0</v>
      </c>
      <c r="G159" s="2">
        <f t="shared" si="21"/>
        <v>0</v>
      </c>
      <c r="H159" s="2">
        <f t="shared" si="22"/>
        <v>0</v>
      </c>
      <c r="I159" s="12" t="e">
        <f t="shared" si="23"/>
        <v>#N/A</v>
      </c>
      <c r="J159" s="34" t="e">
        <f t="shared" si="27"/>
        <v>#N/A</v>
      </c>
      <c r="K159" s="34"/>
      <c r="L159" s="2">
        <f t="shared" si="24"/>
        <v>0</v>
      </c>
      <c r="M159" s="2">
        <f t="shared" si="25"/>
        <v>0</v>
      </c>
      <c r="N159" s="2">
        <f t="shared" si="26"/>
        <v>0</v>
      </c>
      <c r="O159" s="2"/>
      <c r="P159" s="2"/>
      <c r="Q159" s="5"/>
      <c r="R159" s="5"/>
      <c r="S159" s="25"/>
      <c r="T159" s="64"/>
      <c r="U159" s="72"/>
      <c r="V159" s="48"/>
      <c r="W159" s="48"/>
      <c r="X159" s="41"/>
    </row>
    <row r="160" spans="2:24" x14ac:dyDescent="0.4">
      <c r="B160" s="5" t="s">
        <v>488</v>
      </c>
      <c r="C160" s="5" t="s">
        <v>717</v>
      </c>
      <c r="D160" s="25" t="s">
        <v>150</v>
      </c>
      <c r="E160" s="64" t="s">
        <v>155</v>
      </c>
      <c r="F160" s="2">
        <f t="shared" si="20"/>
        <v>0</v>
      </c>
      <c r="G160" s="2">
        <f t="shared" si="21"/>
        <v>0</v>
      </c>
      <c r="H160" s="2">
        <f t="shared" si="22"/>
        <v>0</v>
      </c>
      <c r="I160" s="12" t="e">
        <f t="shared" si="23"/>
        <v>#N/A</v>
      </c>
      <c r="J160" s="34" t="e">
        <f t="shared" si="27"/>
        <v>#N/A</v>
      </c>
      <c r="K160" s="34"/>
      <c r="L160" s="2">
        <f t="shared" si="24"/>
        <v>0</v>
      </c>
      <c r="M160" s="2">
        <f t="shared" si="25"/>
        <v>0</v>
      </c>
      <c r="N160" s="2">
        <f t="shared" si="26"/>
        <v>0</v>
      </c>
      <c r="O160" s="2"/>
      <c r="P160" s="2"/>
      <c r="Q160" s="5"/>
      <c r="R160" s="5"/>
      <c r="S160" s="25"/>
      <c r="T160" s="64"/>
      <c r="U160" s="72"/>
      <c r="V160" s="48"/>
      <c r="W160" s="48"/>
      <c r="X160" s="41"/>
    </row>
    <row r="161" spans="2:24" x14ac:dyDescent="0.4">
      <c r="B161" s="5" t="s">
        <v>489</v>
      </c>
      <c r="C161" s="5" t="s">
        <v>717</v>
      </c>
      <c r="D161" s="25" t="s">
        <v>150</v>
      </c>
      <c r="E161" s="64" t="s">
        <v>156</v>
      </c>
      <c r="F161" s="2">
        <f t="shared" si="20"/>
        <v>0</v>
      </c>
      <c r="G161" s="2">
        <f t="shared" si="21"/>
        <v>0</v>
      </c>
      <c r="H161" s="2">
        <f t="shared" si="22"/>
        <v>0</v>
      </c>
      <c r="I161" s="12" t="e">
        <f t="shared" si="23"/>
        <v>#N/A</v>
      </c>
      <c r="J161" s="34" t="e">
        <f t="shared" si="27"/>
        <v>#N/A</v>
      </c>
      <c r="K161" s="34"/>
      <c r="L161" s="2">
        <f t="shared" si="24"/>
        <v>0</v>
      </c>
      <c r="M161" s="2">
        <f t="shared" si="25"/>
        <v>0</v>
      </c>
      <c r="N161" s="2">
        <f t="shared" si="26"/>
        <v>0</v>
      </c>
      <c r="O161" s="2"/>
      <c r="P161" s="2"/>
      <c r="Q161" s="5"/>
      <c r="R161" s="5"/>
      <c r="S161" s="25"/>
      <c r="T161" s="64"/>
      <c r="U161" s="72"/>
      <c r="V161" s="48"/>
      <c r="W161" s="48"/>
      <c r="X161" s="41"/>
    </row>
    <row r="162" spans="2:24" x14ac:dyDescent="0.4">
      <c r="B162" s="5" t="s">
        <v>490</v>
      </c>
      <c r="C162" s="5" t="s">
        <v>717</v>
      </c>
      <c r="D162" s="25" t="s">
        <v>150</v>
      </c>
      <c r="E162" s="64" t="s">
        <v>85</v>
      </c>
      <c r="F162" s="2">
        <f t="shared" si="20"/>
        <v>0</v>
      </c>
      <c r="G162" s="2">
        <f t="shared" si="21"/>
        <v>0</v>
      </c>
      <c r="H162" s="2">
        <f t="shared" si="22"/>
        <v>0</v>
      </c>
      <c r="I162" s="12" t="e">
        <f t="shared" si="23"/>
        <v>#N/A</v>
      </c>
      <c r="J162" s="34" t="e">
        <f t="shared" si="27"/>
        <v>#N/A</v>
      </c>
      <c r="K162" s="34"/>
      <c r="L162" s="2">
        <f t="shared" si="24"/>
        <v>0</v>
      </c>
      <c r="M162" s="2">
        <f t="shared" si="25"/>
        <v>0</v>
      </c>
      <c r="N162" s="2">
        <f t="shared" si="26"/>
        <v>0</v>
      </c>
      <c r="O162" s="2"/>
      <c r="P162" s="2"/>
      <c r="Q162" s="5"/>
      <c r="R162" s="5"/>
      <c r="S162" s="25"/>
      <c r="T162" s="64"/>
      <c r="U162" s="72"/>
      <c r="V162" s="48"/>
      <c r="W162" s="48"/>
      <c r="X162" s="41"/>
    </row>
    <row r="163" spans="2:24" x14ac:dyDescent="0.4">
      <c r="B163" s="5" t="s">
        <v>491</v>
      </c>
      <c r="C163" s="5" t="s">
        <v>717</v>
      </c>
      <c r="D163" s="25" t="s">
        <v>150</v>
      </c>
      <c r="E163" s="64" t="s">
        <v>157</v>
      </c>
      <c r="F163" s="2">
        <f t="shared" si="20"/>
        <v>0</v>
      </c>
      <c r="G163" s="2">
        <f t="shared" si="21"/>
        <v>0</v>
      </c>
      <c r="H163" s="2">
        <f t="shared" si="22"/>
        <v>0</v>
      </c>
      <c r="I163" s="12" t="e">
        <f t="shared" si="23"/>
        <v>#N/A</v>
      </c>
      <c r="J163" s="34" t="e">
        <f t="shared" si="27"/>
        <v>#N/A</v>
      </c>
      <c r="K163" s="34"/>
      <c r="L163" s="2">
        <f t="shared" si="24"/>
        <v>0</v>
      </c>
      <c r="M163" s="2">
        <f t="shared" si="25"/>
        <v>0</v>
      </c>
      <c r="N163" s="2">
        <f t="shared" si="26"/>
        <v>0</v>
      </c>
      <c r="O163" s="2"/>
      <c r="P163" s="2"/>
      <c r="Q163" s="5"/>
      <c r="R163" s="5"/>
      <c r="S163" s="25"/>
      <c r="T163" s="64"/>
      <c r="U163" s="72"/>
      <c r="V163" s="48"/>
      <c r="W163" s="48"/>
      <c r="X163" s="41"/>
    </row>
    <row r="164" spans="2:24" x14ac:dyDescent="0.4">
      <c r="B164" s="5" t="s">
        <v>492</v>
      </c>
      <c r="C164" s="5" t="s">
        <v>717</v>
      </c>
      <c r="D164" s="25" t="s">
        <v>150</v>
      </c>
      <c r="E164" s="64" t="s">
        <v>158</v>
      </c>
      <c r="F164" s="2">
        <f t="shared" si="20"/>
        <v>0</v>
      </c>
      <c r="G164" s="2">
        <f t="shared" si="21"/>
        <v>0</v>
      </c>
      <c r="H164" s="2">
        <f t="shared" si="22"/>
        <v>0</v>
      </c>
      <c r="I164" s="12" t="e">
        <f t="shared" si="23"/>
        <v>#N/A</v>
      </c>
      <c r="J164" s="34" t="e">
        <f t="shared" si="27"/>
        <v>#N/A</v>
      </c>
      <c r="K164" s="34"/>
      <c r="L164" s="2">
        <f t="shared" si="24"/>
        <v>0</v>
      </c>
      <c r="M164" s="2">
        <f t="shared" si="25"/>
        <v>0</v>
      </c>
      <c r="N164" s="2">
        <f t="shared" si="26"/>
        <v>0</v>
      </c>
      <c r="O164" s="2"/>
      <c r="P164" s="2"/>
      <c r="Q164" s="5"/>
      <c r="R164" s="5"/>
      <c r="S164" s="25"/>
      <c r="T164" s="64"/>
      <c r="U164" s="72"/>
      <c r="V164" s="48"/>
      <c r="W164" s="48"/>
      <c r="X164" s="41"/>
    </row>
    <row r="165" spans="2:24" x14ac:dyDescent="0.4">
      <c r="B165" s="5" t="s">
        <v>493</v>
      </c>
      <c r="C165" s="5" t="s">
        <v>717</v>
      </c>
      <c r="D165" s="25" t="s">
        <v>150</v>
      </c>
      <c r="E165" s="64" t="s">
        <v>159</v>
      </c>
      <c r="F165" s="2">
        <f t="shared" si="20"/>
        <v>0</v>
      </c>
      <c r="G165" s="2">
        <f t="shared" si="21"/>
        <v>0</v>
      </c>
      <c r="H165" s="2">
        <f t="shared" si="22"/>
        <v>0</v>
      </c>
      <c r="I165" s="12" t="e">
        <f t="shared" si="23"/>
        <v>#N/A</v>
      </c>
      <c r="J165" s="34" t="e">
        <f t="shared" si="27"/>
        <v>#N/A</v>
      </c>
      <c r="K165" s="34"/>
      <c r="L165" s="2">
        <f t="shared" si="24"/>
        <v>0</v>
      </c>
      <c r="M165" s="2">
        <f t="shared" si="25"/>
        <v>0</v>
      </c>
      <c r="N165" s="2">
        <f t="shared" si="26"/>
        <v>0</v>
      </c>
      <c r="O165" s="2"/>
      <c r="P165" s="2"/>
      <c r="Q165" s="5"/>
      <c r="R165" s="5"/>
      <c r="S165" s="25"/>
      <c r="T165" s="64"/>
      <c r="U165" s="72"/>
      <c r="V165" s="48"/>
      <c r="W165" s="48"/>
      <c r="X165" s="41"/>
    </row>
    <row r="166" spans="2:24" x14ac:dyDescent="0.4">
      <c r="B166" s="5" t="s">
        <v>494</v>
      </c>
      <c r="C166" s="5" t="s">
        <v>717</v>
      </c>
      <c r="D166" s="25" t="s">
        <v>150</v>
      </c>
      <c r="E166" s="64" t="s">
        <v>76</v>
      </c>
      <c r="F166" s="2">
        <f t="shared" si="20"/>
        <v>0</v>
      </c>
      <c r="G166" s="2">
        <f t="shared" si="21"/>
        <v>0</v>
      </c>
      <c r="H166" s="2">
        <f t="shared" si="22"/>
        <v>0</v>
      </c>
      <c r="I166" s="12" t="e">
        <f t="shared" si="23"/>
        <v>#N/A</v>
      </c>
      <c r="J166" s="34" t="e">
        <f t="shared" si="27"/>
        <v>#N/A</v>
      </c>
      <c r="K166" s="34"/>
      <c r="L166" s="2">
        <f t="shared" si="24"/>
        <v>0</v>
      </c>
      <c r="M166" s="2">
        <f t="shared" si="25"/>
        <v>0</v>
      </c>
      <c r="N166" s="2">
        <f t="shared" si="26"/>
        <v>0</v>
      </c>
      <c r="O166" s="2"/>
      <c r="P166" s="2"/>
      <c r="Q166" s="5"/>
      <c r="R166" s="5"/>
      <c r="S166" s="25"/>
      <c r="T166" s="64"/>
      <c r="U166" s="72"/>
      <c r="V166" s="48"/>
      <c r="W166" s="48"/>
      <c r="X166" s="41"/>
    </row>
    <row r="167" spans="2:24" x14ac:dyDescent="0.4">
      <c r="B167" s="5" t="s">
        <v>495</v>
      </c>
      <c r="C167" s="5" t="s">
        <v>717</v>
      </c>
      <c r="D167" s="25" t="s">
        <v>150</v>
      </c>
      <c r="E167" s="64" t="s">
        <v>160</v>
      </c>
      <c r="F167" s="2">
        <f t="shared" si="20"/>
        <v>0</v>
      </c>
      <c r="G167" s="2">
        <f t="shared" si="21"/>
        <v>0</v>
      </c>
      <c r="H167" s="2">
        <f t="shared" si="22"/>
        <v>0</v>
      </c>
      <c r="I167" s="12" t="e">
        <f t="shared" si="23"/>
        <v>#N/A</v>
      </c>
      <c r="J167" s="34" t="e">
        <f t="shared" si="27"/>
        <v>#N/A</v>
      </c>
      <c r="K167" s="34"/>
      <c r="L167" s="2">
        <f t="shared" si="24"/>
        <v>0</v>
      </c>
      <c r="M167" s="2">
        <f t="shared" si="25"/>
        <v>0</v>
      </c>
      <c r="N167" s="2">
        <f t="shared" si="26"/>
        <v>0</v>
      </c>
      <c r="O167" s="2"/>
      <c r="P167" s="2"/>
      <c r="Q167" s="5"/>
      <c r="R167" s="5"/>
      <c r="S167" s="25"/>
      <c r="T167" s="64"/>
      <c r="U167" s="72"/>
      <c r="V167" s="48"/>
      <c r="W167" s="48"/>
      <c r="X167" s="41"/>
    </row>
    <row r="168" spans="2:24" x14ac:dyDescent="0.4">
      <c r="B168" s="5" t="s">
        <v>496</v>
      </c>
      <c r="C168" s="5" t="s">
        <v>717</v>
      </c>
      <c r="D168" s="25" t="s">
        <v>150</v>
      </c>
      <c r="E168" s="64" t="s">
        <v>161</v>
      </c>
      <c r="F168" s="2">
        <f t="shared" si="20"/>
        <v>0</v>
      </c>
      <c r="G168" s="2">
        <f t="shared" si="21"/>
        <v>0</v>
      </c>
      <c r="H168" s="2">
        <f t="shared" si="22"/>
        <v>0</v>
      </c>
      <c r="I168" s="12" t="e">
        <f t="shared" si="23"/>
        <v>#N/A</v>
      </c>
      <c r="J168" s="34" t="e">
        <f t="shared" si="27"/>
        <v>#N/A</v>
      </c>
      <c r="K168" s="34"/>
      <c r="L168" s="2">
        <f t="shared" si="24"/>
        <v>0</v>
      </c>
      <c r="M168" s="2">
        <f t="shared" si="25"/>
        <v>0</v>
      </c>
      <c r="N168" s="2">
        <f t="shared" si="26"/>
        <v>0</v>
      </c>
      <c r="O168" s="2"/>
      <c r="P168" s="2"/>
      <c r="Q168" s="5"/>
      <c r="R168" s="5"/>
      <c r="S168" s="25"/>
      <c r="T168" s="64"/>
      <c r="U168" s="72"/>
      <c r="V168" s="48"/>
      <c r="W168" s="48"/>
      <c r="X168" s="41"/>
    </row>
    <row r="169" spans="2:24" x14ac:dyDescent="0.4">
      <c r="B169" s="5" t="s">
        <v>497</v>
      </c>
      <c r="C169" s="5" t="s">
        <v>717</v>
      </c>
      <c r="D169" s="25" t="s">
        <v>150</v>
      </c>
      <c r="E169" s="65" t="s">
        <v>162</v>
      </c>
      <c r="F169" s="2">
        <f t="shared" si="20"/>
        <v>0</v>
      </c>
      <c r="G169" s="2">
        <f t="shared" si="21"/>
        <v>0</v>
      </c>
      <c r="H169" s="2">
        <f t="shared" si="22"/>
        <v>0</v>
      </c>
      <c r="I169" s="12" t="e">
        <f t="shared" si="23"/>
        <v>#N/A</v>
      </c>
      <c r="J169" s="34" t="e">
        <f t="shared" si="27"/>
        <v>#N/A</v>
      </c>
      <c r="K169" s="34"/>
      <c r="L169" s="2">
        <f t="shared" si="24"/>
        <v>0</v>
      </c>
      <c r="M169" s="2">
        <f t="shared" si="25"/>
        <v>0</v>
      </c>
      <c r="N169" s="2">
        <f t="shared" si="26"/>
        <v>0</v>
      </c>
      <c r="O169" s="2"/>
      <c r="P169" s="2"/>
      <c r="Q169" s="5"/>
      <c r="R169" s="5"/>
      <c r="S169" s="25"/>
      <c r="T169" s="64"/>
      <c r="U169" s="72"/>
      <c r="V169" s="48"/>
      <c r="W169" s="48"/>
      <c r="X169" s="41"/>
    </row>
    <row r="170" spans="2:24" x14ac:dyDescent="0.4">
      <c r="B170" s="5" t="s">
        <v>498</v>
      </c>
      <c r="C170" s="5" t="s">
        <v>718</v>
      </c>
      <c r="D170" s="25" t="s">
        <v>164</v>
      </c>
      <c r="E170" s="64" t="s">
        <v>163</v>
      </c>
      <c r="F170" s="2">
        <f t="shared" si="20"/>
        <v>0</v>
      </c>
      <c r="G170" s="2">
        <f t="shared" si="21"/>
        <v>0</v>
      </c>
      <c r="H170" s="2">
        <f t="shared" si="22"/>
        <v>0</v>
      </c>
      <c r="I170" s="12" t="e">
        <f t="shared" si="23"/>
        <v>#N/A</v>
      </c>
      <c r="J170" s="34" t="e">
        <f t="shared" si="27"/>
        <v>#N/A</v>
      </c>
      <c r="K170" s="34"/>
      <c r="L170" s="2">
        <f t="shared" si="24"/>
        <v>0</v>
      </c>
      <c r="M170" s="2">
        <f t="shared" si="25"/>
        <v>0</v>
      </c>
      <c r="N170" s="2">
        <f t="shared" si="26"/>
        <v>0</v>
      </c>
      <c r="O170" s="2"/>
      <c r="P170" s="2"/>
      <c r="Q170" s="5"/>
      <c r="R170" s="5"/>
      <c r="S170" s="25"/>
      <c r="T170" s="64"/>
      <c r="U170" s="72"/>
      <c r="V170" s="48"/>
      <c r="W170" s="48"/>
      <c r="X170" s="41"/>
    </row>
    <row r="171" spans="2:24" x14ac:dyDescent="0.4">
      <c r="B171" s="5" t="s">
        <v>499</v>
      </c>
      <c r="C171" s="5" t="s">
        <v>718</v>
      </c>
      <c r="D171" s="25" t="s">
        <v>164</v>
      </c>
      <c r="E171" s="64" t="s">
        <v>165</v>
      </c>
      <c r="F171" s="2">
        <f t="shared" si="20"/>
        <v>0</v>
      </c>
      <c r="G171" s="2">
        <f t="shared" si="21"/>
        <v>0</v>
      </c>
      <c r="H171" s="2">
        <f t="shared" si="22"/>
        <v>0</v>
      </c>
      <c r="I171" s="12" t="e">
        <f t="shared" si="23"/>
        <v>#N/A</v>
      </c>
      <c r="J171" s="34" t="e">
        <f t="shared" si="27"/>
        <v>#N/A</v>
      </c>
      <c r="K171" s="34"/>
      <c r="L171" s="2">
        <f t="shared" si="24"/>
        <v>0</v>
      </c>
      <c r="M171" s="2">
        <f t="shared" si="25"/>
        <v>0</v>
      </c>
      <c r="N171" s="2">
        <f t="shared" si="26"/>
        <v>0</v>
      </c>
      <c r="O171" s="2"/>
      <c r="P171" s="2"/>
      <c r="Q171" s="5"/>
      <c r="R171" s="5"/>
      <c r="S171" s="25"/>
      <c r="T171" s="64"/>
      <c r="U171" s="72"/>
      <c r="V171" s="48"/>
      <c r="W171" s="48"/>
      <c r="X171" s="41"/>
    </row>
    <row r="172" spans="2:24" x14ac:dyDescent="0.4">
      <c r="B172" s="5" t="s">
        <v>500</v>
      </c>
      <c r="C172" s="5" t="s">
        <v>718</v>
      </c>
      <c r="D172" s="25" t="s">
        <v>164</v>
      </c>
      <c r="E172" s="64" t="s">
        <v>166</v>
      </c>
      <c r="F172" s="2">
        <f t="shared" si="20"/>
        <v>0</v>
      </c>
      <c r="G172" s="2">
        <f t="shared" si="21"/>
        <v>0</v>
      </c>
      <c r="H172" s="2">
        <f t="shared" si="22"/>
        <v>0</v>
      </c>
      <c r="I172" s="12" t="e">
        <f t="shared" si="23"/>
        <v>#N/A</v>
      </c>
      <c r="J172" s="34" t="e">
        <f t="shared" si="27"/>
        <v>#N/A</v>
      </c>
      <c r="K172" s="34"/>
      <c r="L172" s="2">
        <f t="shared" si="24"/>
        <v>0</v>
      </c>
      <c r="M172" s="2">
        <f t="shared" si="25"/>
        <v>0</v>
      </c>
      <c r="N172" s="2">
        <f t="shared" si="26"/>
        <v>0</v>
      </c>
      <c r="O172" s="2"/>
      <c r="P172" s="2"/>
      <c r="Q172" s="5"/>
      <c r="R172" s="5"/>
      <c r="S172" s="25"/>
      <c r="T172" s="64"/>
      <c r="U172" s="72"/>
      <c r="V172" s="48"/>
      <c r="W172" s="48"/>
      <c r="X172" s="41"/>
    </row>
    <row r="173" spans="2:24" x14ac:dyDescent="0.4">
      <c r="B173" s="5" t="s">
        <v>501</v>
      </c>
      <c r="C173" s="5" t="s">
        <v>718</v>
      </c>
      <c r="D173" s="25" t="s">
        <v>164</v>
      </c>
      <c r="E173" s="64" t="s">
        <v>167</v>
      </c>
      <c r="F173" s="2">
        <f t="shared" si="20"/>
        <v>0</v>
      </c>
      <c r="G173" s="2">
        <f t="shared" si="21"/>
        <v>0</v>
      </c>
      <c r="H173" s="2">
        <f t="shared" si="22"/>
        <v>0</v>
      </c>
      <c r="I173" s="12" t="e">
        <f t="shared" si="23"/>
        <v>#N/A</v>
      </c>
      <c r="J173" s="34" t="e">
        <f t="shared" si="27"/>
        <v>#N/A</v>
      </c>
      <c r="K173" s="34"/>
      <c r="L173" s="2">
        <f t="shared" si="24"/>
        <v>0</v>
      </c>
      <c r="M173" s="2">
        <f t="shared" si="25"/>
        <v>0</v>
      </c>
      <c r="N173" s="2">
        <f t="shared" si="26"/>
        <v>0</v>
      </c>
      <c r="O173" s="2"/>
      <c r="P173" s="2"/>
      <c r="Q173" s="5"/>
      <c r="R173" s="5"/>
      <c r="S173" s="25"/>
      <c r="T173" s="64"/>
      <c r="U173" s="72"/>
      <c r="V173" s="48"/>
      <c r="W173" s="48"/>
      <c r="X173" s="41"/>
    </row>
    <row r="174" spans="2:24" x14ac:dyDescent="0.4">
      <c r="B174" s="5" t="s">
        <v>502</v>
      </c>
      <c r="C174" s="5" t="s">
        <v>718</v>
      </c>
      <c r="D174" s="25" t="s">
        <v>164</v>
      </c>
      <c r="E174" s="64" t="s">
        <v>168</v>
      </c>
      <c r="F174" s="2">
        <f t="shared" si="20"/>
        <v>0</v>
      </c>
      <c r="G174" s="2">
        <f t="shared" si="21"/>
        <v>0</v>
      </c>
      <c r="H174" s="2">
        <f t="shared" si="22"/>
        <v>0</v>
      </c>
      <c r="I174" s="12" t="e">
        <f t="shared" si="23"/>
        <v>#N/A</v>
      </c>
      <c r="J174" s="34" t="e">
        <f t="shared" si="27"/>
        <v>#N/A</v>
      </c>
      <c r="K174" s="34"/>
      <c r="L174" s="2">
        <f t="shared" si="24"/>
        <v>0</v>
      </c>
      <c r="M174" s="2">
        <f t="shared" si="25"/>
        <v>0</v>
      </c>
      <c r="N174" s="2">
        <f t="shared" si="26"/>
        <v>0</v>
      </c>
      <c r="O174" s="2"/>
      <c r="P174" s="2"/>
      <c r="Q174" s="5"/>
      <c r="R174" s="5"/>
      <c r="S174" s="25"/>
      <c r="T174" s="64"/>
      <c r="U174" s="72"/>
      <c r="V174" s="48"/>
      <c r="W174" s="48"/>
      <c r="X174" s="41"/>
    </row>
    <row r="175" spans="2:24" x14ac:dyDescent="0.4">
      <c r="B175" s="5" t="s">
        <v>503</v>
      </c>
      <c r="C175" s="5" t="s">
        <v>718</v>
      </c>
      <c r="D175" s="25" t="s">
        <v>164</v>
      </c>
      <c r="E175" s="64" t="s">
        <v>169</v>
      </c>
      <c r="F175" s="2">
        <f t="shared" si="20"/>
        <v>0</v>
      </c>
      <c r="G175" s="2">
        <f t="shared" si="21"/>
        <v>0</v>
      </c>
      <c r="H175" s="2">
        <f t="shared" si="22"/>
        <v>0</v>
      </c>
      <c r="I175" s="12" t="e">
        <f t="shared" si="23"/>
        <v>#N/A</v>
      </c>
      <c r="J175" s="34" t="e">
        <f t="shared" si="27"/>
        <v>#N/A</v>
      </c>
      <c r="K175" s="34"/>
      <c r="L175" s="2">
        <f t="shared" si="24"/>
        <v>0</v>
      </c>
      <c r="M175" s="2">
        <f t="shared" si="25"/>
        <v>0</v>
      </c>
      <c r="N175" s="2">
        <f t="shared" si="26"/>
        <v>0</v>
      </c>
      <c r="O175" s="2"/>
      <c r="P175" s="2"/>
      <c r="Q175" s="5"/>
      <c r="R175" s="5"/>
      <c r="S175" s="61"/>
      <c r="T175" s="64"/>
      <c r="U175" s="72"/>
      <c r="V175" s="48"/>
      <c r="W175" s="48"/>
      <c r="X175" s="41"/>
    </row>
    <row r="176" spans="2:24" x14ac:dyDescent="0.4">
      <c r="B176" s="5" t="s">
        <v>504</v>
      </c>
      <c r="C176" s="5" t="s">
        <v>718</v>
      </c>
      <c r="D176" s="25" t="s">
        <v>164</v>
      </c>
      <c r="E176" s="64" t="s">
        <v>170</v>
      </c>
      <c r="F176" s="2">
        <f t="shared" si="20"/>
        <v>0</v>
      </c>
      <c r="G176" s="2">
        <f t="shared" si="21"/>
        <v>0</v>
      </c>
      <c r="H176" s="2">
        <f t="shared" si="22"/>
        <v>0</v>
      </c>
      <c r="I176" s="12" t="e">
        <f t="shared" si="23"/>
        <v>#N/A</v>
      </c>
      <c r="J176" s="34" t="e">
        <f t="shared" si="27"/>
        <v>#N/A</v>
      </c>
      <c r="K176" s="34"/>
      <c r="L176" s="2">
        <f t="shared" si="24"/>
        <v>0</v>
      </c>
      <c r="M176" s="2">
        <f t="shared" si="25"/>
        <v>0</v>
      </c>
      <c r="N176" s="2">
        <f t="shared" si="26"/>
        <v>0</v>
      </c>
      <c r="O176" s="2"/>
      <c r="P176" s="2"/>
      <c r="Q176" s="5"/>
      <c r="R176" s="5"/>
      <c r="S176" s="61"/>
      <c r="T176" s="64"/>
      <c r="U176" s="72"/>
      <c r="V176" s="48"/>
      <c r="W176" s="48"/>
      <c r="X176" s="41"/>
    </row>
    <row r="177" spans="2:24" x14ac:dyDescent="0.4">
      <c r="B177" s="5" t="s">
        <v>505</v>
      </c>
      <c r="C177" s="5" t="s">
        <v>718</v>
      </c>
      <c r="D177" s="25" t="s">
        <v>164</v>
      </c>
      <c r="E177" s="64" t="s">
        <v>171</v>
      </c>
      <c r="F177" s="2">
        <f t="shared" si="20"/>
        <v>0</v>
      </c>
      <c r="G177" s="2">
        <f t="shared" si="21"/>
        <v>0</v>
      </c>
      <c r="H177" s="2">
        <f t="shared" si="22"/>
        <v>0</v>
      </c>
      <c r="I177" s="12" t="e">
        <f t="shared" si="23"/>
        <v>#N/A</v>
      </c>
      <c r="J177" s="34" t="e">
        <f t="shared" si="27"/>
        <v>#N/A</v>
      </c>
      <c r="K177" s="34"/>
      <c r="L177" s="2">
        <f t="shared" si="24"/>
        <v>0</v>
      </c>
      <c r="M177" s="2">
        <f t="shared" si="25"/>
        <v>0</v>
      </c>
      <c r="N177" s="2">
        <f t="shared" si="26"/>
        <v>0</v>
      </c>
      <c r="O177" s="2"/>
      <c r="P177" s="2"/>
      <c r="Q177" s="5"/>
      <c r="R177" s="5"/>
      <c r="S177" s="61"/>
      <c r="T177" s="64"/>
      <c r="U177" s="72"/>
      <c r="V177" s="48"/>
      <c r="W177" s="48"/>
      <c r="X177" s="41"/>
    </row>
    <row r="178" spans="2:24" x14ac:dyDescent="0.4">
      <c r="B178" s="5" t="s">
        <v>506</v>
      </c>
      <c r="C178" s="5" t="s">
        <v>718</v>
      </c>
      <c r="D178" s="25" t="s">
        <v>164</v>
      </c>
      <c r="E178" s="64" t="s">
        <v>53</v>
      </c>
      <c r="F178" s="2">
        <f t="shared" si="20"/>
        <v>0</v>
      </c>
      <c r="G178" s="2">
        <f t="shared" si="21"/>
        <v>0</v>
      </c>
      <c r="H178" s="2">
        <f t="shared" si="22"/>
        <v>0</v>
      </c>
      <c r="I178" s="12" t="e">
        <f t="shared" si="23"/>
        <v>#N/A</v>
      </c>
      <c r="J178" s="34" t="e">
        <f t="shared" si="27"/>
        <v>#N/A</v>
      </c>
      <c r="K178" s="34"/>
      <c r="L178" s="2">
        <f t="shared" si="24"/>
        <v>0</v>
      </c>
      <c r="M178" s="2">
        <f t="shared" si="25"/>
        <v>0</v>
      </c>
      <c r="N178" s="2">
        <f t="shared" si="26"/>
        <v>0</v>
      </c>
      <c r="O178" s="2"/>
      <c r="P178" s="2"/>
      <c r="Q178" s="5"/>
      <c r="R178" s="5"/>
      <c r="S178" s="61"/>
      <c r="T178" s="64"/>
      <c r="U178" s="72"/>
      <c r="V178" s="48"/>
      <c r="W178" s="48"/>
      <c r="X178" s="41"/>
    </row>
    <row r="179" spans="2:24" x14ac:dyDescent="0.4">
      <c r="B179" s="5" t="s">
        <v>507</v>
      </c>
      <c r="C179" s="5" t="s">
        <v>719</v>
      </c>
      <c r="D179" s="25" t="s">
        <v>173</v>
      </c>
      <c r="E179" s="64" t="s">
        <v>172</v>
      </c>
      <c r="F179" s="2">
        <f t="shared" si="20"/>
        <v>0</v>
      </c>
      <c r="G179" s="2">
        <f t="shared" si="21"/>
        <v>0</v>
      </c>
      <c r="H179" s="2">
        <f t="shared" si="22"/>
        <v>0</v>
      </c>
      <c r="I179" s="12" t="e">
        <f t="shared" si="23"/>
        <v>#N/A</v>
      </c>
      <c r="J179" s="34" t="e">
        <f t="shared" si="27"/>
        <v>#N/A</v>
      </c>
      <c r="K179" s="34"/>
      <c r="L179" s="2">
        <f t="shared" si="24"/>
        <v>0</v>
      </c>
      <c r="M179" s="2">
        <f t="shared" si="25"/>
        <v>0</v>
      </c>
      <c r="N179" s="2">
        <f t="shared" si="26"/>
        <v>0</v>
      </c>
      <c r="O179" s="2"/>
      <c r="P179" s="2"/>
      <c r="Q179" s="5"/>
      <c r="R179" s="5"/>
      <c r="S179" s="61"/>
      <c r="T179" s="64"/>
      <c r="U179" s="72"/>
      <c r="V179" s="48"/>
      <c r="W179" s="48"/>
      <c r="X179" s="41"/>
    </row>
    <row r="180" spans="2:24" x14ac:dyDescent="0.4">
      <c r="B180" s="5" t="s">
        <v>508</v>
      </c>
      <c r="C180" s="5" t="s">
        <v>719</v>
      </c>
      <c r="D180" s="25" t="s">
        <v>173</v>
      </c>
      <c r="E180" s="64" t="s">
        <v>174</v>
      </c>
      <c r="F180" s="2">
        <f t="shared" si="20"/>
        <v>0</v>
      </c>
      <c r="G180" s="2">
        <f t="shared" si="21"/>
        <v>0</v>
      </c>
      <c r="H180" s="2">
        <f t="shared" si="22"/>
        <v>0</v>
      </c>
      <c r="I180" s="12" t="e">
        <f t="shared" si="23"/>
        <v>#N/A</v>
      </c>
      <c r="J180" s="34" t="e">
        <f t="shared" si="27"/>
        <v>#N/A</v>
      </c>
      <c r="K180" s="34"/>
      <c r="L180" s="2">
        <f t="shared" si="24"/>
        <v>0</v>
      </c>
      <c r="M180" s="2">
        <f t="shared" si="25"/>
        <v>0</v>
      </c>
      <c r="N180" s="2">
        <f t="shared" si="26"/>
        <v>0</v>
      </c>
      <c r="O180" s="2"/>
      <c r="P180" s="2"/>
      <c r="Q180" s="5"/>
      <c r="R180" s="5"/>
      <c r="S180" s="61"/>
      <c r="T180" s="64"/>
      <c r="U180" s="72"/>
      <c r="V180" s="48"/>
      <c r="W180" s="48"/>
      <c r="X180" s="41"/>
    </row>
    <row r="181" spans="2:24" x14ac:dyDescent="0.4">
      <c r="B181" s="5" t="s">
        <v>509</v>
      </c>
      <c r="C181" s="5" t="s">
        <v>719</v>
      </c>
      <c r="D181" s="25" t="s">
        <v>173</v>
      </c>
      <c r="E181" s="64" t="s">
        <v>175</v>
      </c>
      <c r="F181" s="2">
        <f t="shared" si="20"/>
        <v>0</v>
      </c>
      <c r="G181" s="2">
        <f t="shared" si="21"/>
        <v>0</v>
      </c>
      <c r="H181" s="2">
        <f t="shared" si="22"/>
        <v>0</v>
      </c>
      <c r="I181" s="12" t="e">
        <f t="shared" si="23"/>
        <v>#N/A</v>
      </c>
      <c r="J181" s="34" t="e">
        <f t="shared" si="27"/>
        <v>#N/A</v>
      </c>
      <c r="K181" s="34"/>
      <c r="L181" s="2">
        <f t="shared" si="24"/>
        <v>0</v>
      </c>
      <c r="M181" s="2">
        <f t="shared" si="25"/>
        <v>0</v>
      </c>
      <c r="N181" s="2">
        <f t="shared" si="26"/>
        <v>0</v>
      </c>
      <c r="O181" s="2"/>
      <c r="P181" s="2"/>
      <c r="Q181" s="5"/>
      <c r="R181" s="5"/>
      <c r="S181" s="61"/>
      <c r="T181" s="64"/>
      <c r="U181" s="72"/>
      <c r="V181" s="48"/>
      <c r="W181" s="48"/>
      <c r="X181" s="41"/>
    </row>
    <row r="182" spans="2:24" x14ac:dyDescent="0.4">
      <c r="B182" s="5" t="s">
        <v>510</v>
      </c>
      <c r="C182" s="5" t="s">
        <v>719</v>
      </c>
      <c r="D182" s="25" t="s">
        <v>173</v>
      </c>
      <c r="E182" s="64" t="s">
        <v>176</v>
      </c>
      <c r="F182" s="2">
        <f t="shared" si="20"/>
        <v>0</v>
      </c>
      <c r="G182" s="2">
        <f t="shared" si="21"/>
        <v>0</v>
      </c>
      <c r="H182" s="2">
        <f t="shared" si="22"/>
        <v>0</v>
      </c>
      <c r="I182" s="12" t="e">
        <f t="shared" si="23"/>
        <v>#N/A</v>
      </c>
      <c r="J182" s="34" t="e">
        <f t="shared" si="27"/>
        <v>#N/A</v>
      </c>
      <c r="K182" s="34"/>
      <c r="L182" s="2">
        <f t="shared" si="24"/>
        <v>0</v>
      </c>
      <c r="M182" s="2">
        <f t="shared" si="25"/>
        <v>0</v>
      </c>
      <c r="N182" s="2">
        <f t="shared" si="26"/>
        <v>0</v>
      </c>
      <c r="O182" s="2"/>
      <c r="P182" s="2"/>
      <c r="Q182" s="5"/>
      <c r="R182" s="5"/>
      <c r="S182" s="61"/>
      <c r="T182" s="64"/>
      <c r="U182" s="72"/>
      <c r="V182" s="48"/>
      <c r="W182" s="48"/>
      <c r="X182" s="41"/>
    </row>
    <row r="183" spans="2:24" x14ac:dyDescent="0.4">
      <c r="B183" s="5" t="s">
        <v>511</v>
      </c>
      <c r="C183" s="5" t="s">
        <v>719</v>
      </c>
      <c r="D183" s="25" t="s">
        <v>173</v>
      </c>
      <c r="E183" s="64" t="s">
        <v>177</v>
      </c>
      <c r="F183" s="2">
        <f t="shared" si="20"/>
        <v>0</v>
      </c>
      <c r="G183" s="2">
        <f t="shared" si="21"/>
        <v>0</v>
      </c>
      <c r="H183" s="2">
        <f t="shared" si="22"/>
        <v>0</v>
      </c>
      <c r="I183" s="12" t="e">
        <f t="shared" si="23"/>
        <v>#N/A</v>
      </c>
      <c r="J183" s="34" t="e">
        <f t="shared" si="27"/>
        <v>#N/A</v>
      </c>
      <c r="K183" s="34"/>
      <c r="L183" s="2">
        <f t="shared" si="24"/>
        <v>0</v>
      </c>
      <c r="M183" s="2">
        <f t="shared" si="25"/>
        <v>0</v>
      </c>
      <c r="N183" s="2">
        <f t="shared" si="26"/>
        <v>0</v>
      </c>
      <c r="O183" s="2"/>
      <c r="P183" s="2"/>
      <c r="Q183" s="5"/>
      <c r="R183" s="5"/>
      <c r="S183" s="61"/>
      <c r="T183" s="64"/>
      <c r="U183" s="72"/>
      <c r="V183" s="48"/>
      <c r="W183" s="48"/>
      <c r="X183" s="41"/>
    </row>
    <row r="184" spans="2:24" x14ac:dyDescent="0.4">
      <c r="B184" s="5" t="s">
        <v>512</v>
      </c>
      <c r="C184" s="5" t="s">
        <v>719</v>
      </c>
      <c r="D184" s="25" t="s">
        <v>173</v>
      </c>
      <c r="E184" s="64" t="s">
        <v>178</v>
      </c>
      <c r="F184" s="2">
        <f t="shared" si="20"/>
        <v>0</v>
      </c>
      <c r="G184" s="2">
        <f t="shared" si="21"/>
        <v>0</v>
      </c>
      <c r="H184" s="2">
        <f t="shared" si="22"/>
        <v>0</v>
      </c>
      <c r="I184" s="12" t="e">
        <f t="shared" si="23"/>
        <v>#N/A</v>
      </c>
      <c r="J184" s="34" t="e">
        <f t="shared" si="27"/>
        <v>#N/A</v>
      </c>
      <c r="K184" s="34"/>
      <c r="L184" s="2">
        <f t="shared" si="24"/>
        <v>0</v>
      </c>
      <c r="M184" s="2">
        <f t="shared" si="25"/>
        <v>0</v>
      </c>
      <c r="N184" s="2">
        <f t="shared" si="26"/>
        <v>0</v>
      </c>
      <c r="O184" s="2"/>
      <c r="P184" s="2"/>
      <c r="Q184" s="5"/>
      <c r="R184" s="5"/>
      <c r="S184" s="61"/>
      <c r="T184" s="64"/>
      <c r="U184" s="72"/>
      <c r="V184" s="48"/>
      <c r="W184" s="48"/>
      <c r="X184" s="41"/>
    </row>
    <row r="185" spans="2:24" x14ac:dyDescent="0.4">
      <c r="B185" s="5" t="s">
        <v>513</v>
      </c>
      <c r="C185" s="5" t="s">
        <v>719</v>
      </c>
      <c r="D185" s="25" t="s">
        <v>173</v>
      </c>
      <c r="E185" s="64" t="s">
        <v>179</v>
      </c>
      <c r="F185" s="2">
        <f t="shared" si="20"/>
        <v>0</v>
      </c>
      <c r="G185" s="2">
        <f t="shared" si="21"/>
        <v>0</v>
      </c>
      <c r="H185" s="2">
        <f t="shared" si="22"/>
        <v>0</v>
      </c>
      <c r="I185" s="12" t="e">
        <f t="shared" si="23"/>
        <v>#N/A</v>
      </c>
      <c r="J185" s="34" t="e">
        <f t="shared" si="27"/>
        <v>#N/A</v>
      </c>
      <c r="K185" s="34"/>
      <c r="L185" s="2">
        <f t="shared" si="24"/>
        <v>0</v>
      </c>
      <c r="M185" s="2">
        <f t="shared" si="25"/>
        <v>0</v>
      </c>
      <c r="N185" s="2">
        <f t="shared" si="26"/>
        <v>0</v>
      </c>
      <c r="O185" s="2"/>
      <c r="P185" s="2"/>
      <c r="Q185" s="5"/>
      <c r="R185" s="5"/>
      <c r="S185" s="61"/>
      <c r="T185" s="64"/>
      <c r="U185" s="72"/>
      <c r="V185" s="48"/>
      <c r="W185" s="48"/>
      <c r="X185" s="41"/>
    </row>
    <row r="186" spans="2:24" x14ac:dyDescent="0.4">
      <c r="B186" s="5" t="s">
        <v>514</v>
      </c>
      <c r="C186" s="5" t="s">
        <v>719</v>
      </c>
      <c r="D186" s="25" t="s">
        <v>173</v>
      </c>
      <c r="E186" s="64" t="s">
        <v>180</v>
      </c>
      <c r="F186" s="2">
        <f t="shared" si="20"/>
        <v>0</v>
      </c>
      <c r="G186" s="2">
        <f t="shared" si="21"/>
        <v>0</v>
      </c>
      <c r="H186" s="2">
        <f t="shared" si="22"/>
        <v>0</v>
      </c>
      <c r="I186" s="12" t="e">
        <f t="shared" si="23"/>
        <v>#N/A</v>
      </c>
      <c r="J186" s="34" t="e">
        <f t="shared" si="27"/>
        <v>#N/A</v>
      </c>
      <c r="K186" s="34"/>
      <c r="L186" s="2">
        <f t="shared" si="24"/>
        <v>0</v>
      </c>
      <c r="M186" s="2">
        <f t="shared" si="25"/>
        <v>0</v>
      </c>
      <c r="N186" s="2">
        <f t="shared" si="26"/>
        <v>0</v>
      </c>
      <c r="O186" s="2"/>
      <c r="P186" s="2"/>
      <c r="Q186" s="5"/>
      <c r="R186" s="5"/>
      <c r="S186" s="61"/>
      <c r="T186" s="64"/>
      <c r="U186" s="72"/>
      <c r="V186" s="48"/>
      <c r="W186" s="48"/>
      <c r="X186" s="41"/>
    </row>
    <row r="187" spans="2:24" x14ac:dyDescent="0.4">
      <c r="B187" s="5" t="s">
        <v>515</v>
      </c>
      <c r="C187" s="5" t="s">
        <v>719</v>
      </c>
      <c r="D187" s="25" t="s">
        <v>173</v>
      </c>
      <c r="E187" s="64" t="s">
        <v>181</v>
      </c>
      <c r="F187" s="2">
        <f t="shared" si="20"/>
        <v>0</v>
      </c>
      <c r="G187" s="2">
        <f t="shared" si="21"/>
        <v>0</v>
      </c>
      <c r="H187" s="2">
        <f t="shared" si="22"/>
        <v>0</v>
      </c>
      <c r="I187" s="12" t="e">
        <f t="shared" si="23"/>
        <v>#N/A</v>
      </c>
      <c r="J187" s="34" t="e">
        <f t="shared" si="27"/>
        <v>#N/A</v>
      </c>
      <c r="K187" s="34"/>
      <c r="L187" s="2">
        <f t="shared" si="24"/>
        <v>0</v>
      </c>
      <c r="M187" s="2">
        <f t="shared" si="25"/>
        <v>0</v>
      </c>
      <c r="N187" s="2">
        <f t="shared" si="26"/>
        <v>0</v>
      </c>
      <c r="O187" s="2"/>
      <c r="P187" s="2"/>
      <c r="Q187" s="5"/>
      <c r="R187" s="5"/>
      <c r="S187" s="61"/>
      <c r="T187" s="64"/>
      <c r="U187" s="72"/>
      <c r="V187" s="48"/>
      <c r="W187" s="48"/>
      <c r="X187" s="41"/>
    </row>
    <row r="188" spans="2:24" x14ac:dyDescent="0.4">
      <c r="B188" s="5" t="s">
        <v>516</v>
      </c>
      <c r="C188" s="5" t="s">
        <v>719</v>
      </c>
      <c r="D188" s="25" t="s">
        <v>173</v>
      </c>
      <c r="E188" s="64" t="s">
        <v>182</v>
      </c>
      <c r="F188" s="2">
        <f t="shared" si="20"/>
        <v>0</v>
      </c>
      <c r="G188" s="2">
        <f t="shared" si="21"/>
        <v>0</v>
      </c>
      <c r="H188" s="2">
        <f t="shared" si="22"/>
        <v>0</v>
      </c>
      <c r="I188" s="12" t="e">
        <f t="shared" si="23"/>
        <v>#N/A</v>
      </c>
      <c r="J188" s="34" t="e">
        <f t="shared" si="27"/>
        <v>#N/A</v>
      </c>
      <c r="K188" s="34"/>
      <c r="L188" s="2">
        <f t="shared" si="24"/>
        <v>0</v>
      </c>
      <c r="M188" s="2">
        <f t="shared" si="25"/>
        <v>0</v>
      </c>
      <c r="N188" s="2">
        <f t="shared" si="26"/>
        <v>0</v>
      </c>
      <c r="O188" s="2"/>
      <c r="P188" s="2"/>
      <c r="Q188" s="5"/>
      <c r="R188" s="5"/>
      <c r="S188" s="61"/>
      <c r="T188" s="64"/>
      <c r="U188" s="72"/>
      <c r="V188" s="48"/>
      <c r="W188" s="48"/>
      <c r="X188" s="41"/>
    </row>
    <row r="189" spans="2:24" x14ac:dyDescent="0.4">
      <c r="B189" s="5" t="s">
        <v>517</v>
      </c>
      <c r="C189" s="5" t="s">
        <v>719</v>
      </c>
      <c r="D189" s="25" t="s">
        <v>173</v>
      </c>
      <c r="E189" s="64" t="s">
        <v>183</v>
      </c>
      <c r="F189" s="2">
        <f t="shared" si="20"/>
        <v>0</v>
      </c>
      <c r="G189" s="2">
        <f t="shared" si="21"/>
        <v>0</v>
      </c>
      <c r="H189" s="2">
        <f t="shared" si="22"/>
        <v>0</v>
      </c>
      <c r="I189" s="12" t="e">
        <f t="shared" si="23"/>
        <v>#N/A</v>
      </c>
      <c r="J189" s="34" t="e">
        <f t="shared" si="27"/>
        <v>#N/A</v>
      </c>
      <c r="K189" s="34"/>
      <c r="L189" s="2">
        <f t="shared" si="24"/>
        <v>0</v>
      </c>
      <c r="M189" s="2">
        <f t="shared" si="25"/>
        <v>0</v>
      </c>
      <c r="N189" s="2">
        <f t="shared" si="26"/>
        <v>0</v>
      </c>
      <c r="O189" s="2"/>
      <c r="P189" s="2"/>
      <c r="Q189" s="5"/>
      <c r="R189" s="5"/>
      <c r="S189" s="61"/>
      <c r="T189" s="64"/>
      <c r="U189" s="72"/>
      <c r="V189" s="48"/>
      <c r="W189" s="48"/>
      <c r="X189" s="41"/>
    </row>
    <row r="190" spans="2:24" x14ac:dyDescent="0.4">
      <c r="B190" s="5" t="s">
        <v>518</v>
      </c>
      <c r="C190" s="5" t="s">
        <v>719</v>
      </c>
      <c r="D190" s="25" t="s">
        <v>173</v>
      </c>
      <c r="E190" s="64" t="s">
        <v>44</v>
      </c>
      <c r="F190" s="2">
        <f t="shared" si="20"/>
        <v>0</v>
      </c>
      <c r="G190" s="2">
        <f t="shared" si="21"/>
        <v>0</v>
      </c>
      <c r="H190" s="2">
        <f t="shared" si="22"/>
        <v>0</v>
      </c>
      <c r="I190" s="12" t="e">
        <f t="shared" si="23"/>
        <v>#N/A</v>
      </c>
      <c r="J190" s="34" t="e">
        <f t="shared" si="27"/>
        <v>#N/A</v>
      </c>
      <c r="K190" s="34"/>
      <c r="L190" s="2">
        <f t="shared" si="24"/>
        <v>0</v>
      </c>
      <c r="M190" s="2">
        <f t="shared" si="25"/>
        <v>0</v>
      </c>
      <c r="N190" s="2">
        <f t="shared" si="26"/>
        <v>0</v>
      </c>
      <c r="O190" s="2"/>
      <c r="P190" s="2"/>
      <c r="Q190" s="5"/>
      <c r="R190" s="5"/>
      <c r="S190" s="61"/>
      <c r="T190" s="64"/>
      <c r="U190" s="72"/>
      <c r="V190" s="48"/>
      <c r="W190" s="48"/>
      <c r="X190" s="41"/>
    </row>
    <row r="191" spans="2:24" x14ac:dyDescent="0.4">
      <c r="B191" s="5" t="s">
        <v>519</v>
      </c>
      <c r="C191" s="5" t="s">
        <v>719</v>
      </c>
      <c r="D191" s="25" t="s">
        <v>173</v>
      </c>
      <c r="E191" s="64" t="s">
        <v>85</v>
      </c>
      <c r="F191" s="2">
        <f t="shared" si="20"/>
        <v>0</v>
      </c>
      <c r="G191" s="2">
        <f t="shared" si="21"/>
        <v>0</v>
      </c>
      <c r="H191" s="2">
        <f t="shared" si="22"/>
        <v>0</v>
      </c>
      <c r="I191" s="12" t="e">
        <f t="shared" si="23"/>
        <v>#N/A</v>
      </c>
      <c r="J191" s="34" t="e">
        <f t="shared" si="27"/>
        <v>#N/A</v>
      </c>
      <c r="K191" s="34"/>
      <c r="L191" s="2">
        <f t="shared" si="24"/>
        <v>0</v>
      </c>
      <c r="M191" s="2">
        <f t="shared" si="25"/>
        <v>0</v>
      </c>
      <c r="N191" s="2">
        <f t="shared" si="26"/>
        <v>0</v>
      </c>
      <c r="O191" s="2"/>
      <c r="P191" s="2"/>
      <c r="Q191" s="5"/>
      <c r="R191" s="5"/>
      <c r="S191" s="61"/>
      <c r="T191" s="64"/>
      <c r="U191" s="72"/>
      <c r="V191" s="48"/>
      <c r="W191" s="48"/>
      <c r="X191" s="41"/>
    </row>
    <row r="192" spans="2:24" x14ac:dyDescent="0.4">
      <c r="B192" s="5" t="s">
        <v>520</v>
      </c>
      <c r="C192" s="5" t="s">
        <v>719</v>
      </c>
      <c r="D192" s="25" t="s">
        <v>173</v>
      </c>
      <c r="E192" s="64" t="s">
        <v>184</v>
      </c>
      <c r="F192" s="2">
        <f t="shared" si="20"/>
        <v>0</v>
      </c>
      <c r="G192" s="2">
        <f t="shared" si="21"/>
        <v>0</v>
      </c>
      <c r="H192" s="2">
        <f t="shared" si="22"/>
        <v>0</v>
      </c>
      <c r="I192" s="12" t="e">
        <f t="shared" si="23"/>
        <v>#N/A</v>
      </c>
      <c r="J192" s="34" t="e">
        <f t="shared" si="27"/>
        <v>#N/A</v>
      </c>
      <c r="K192" s="34"/>
      <c r="L192" s="2">
        <f t="shared" si="24"/>
        <v>0</v>
      </c>
      <c r="M192" s="2">
        <f t="shared" si="25"/>
        <v>0</v>
      </c>
      <c r="N192" s="2">
        <f t="shared" si="26"/>
        <v>0</v>
      </c>
      <c r="O192" s="2"/>
      <c r="P192" s="2"/>
      <c r="Q192" s="5"/>
      <c r="R192" s="5"/>
      <c r="S192" s="61"/>
      <c r="T192" s="64"/>
      <c r="U192" s="72"/>
      <c r="V192" s="48"/>
      <c r="W192" s="48"/>
      <c r="X192" s="41"/>
    </row>
    <row r="193" spans="2:24" x14ac:dyDescent="0.4">
      <c r="B193" s="5" t="s">
        <v>521</v>
      </c>
      <c r="C193" s="5" t="s">
        <v>719</v>
      </c>
      <c r="D193" s="25" t="s">
        <v>173</v>
      </c>
      <c r="E193" s="64" t="s">
        <v>185</v>
      </c>
      <c r="F193" s="2">
        <f t="shared" si="20"/>
        <v>0</v>
      </c>
      <c r="G193" s="2">
        <f t="shared" si="21"/>
        <v>0</v>
      </c>
      <c r="H193" s="2">
        <f t="shared" si="22"/>
        <v>0</v>
      </c>
      <c r="I193" s="12" t="e">
        <f t="shared" si="23"/>
        <v>#N/A</v>
      </c>
      <c r="J193" s="34" t="e">
        <f t="shared" si="27"/>
        <v>#N/A</v>
      </c>
      <c r="K193" s="34"/>
      <c r="L193" s="2">
        <f t="shared" si="24"/>
        <v>0</v>
      </c>
      <c r="M193" s="2">
        <f t="shared" si="25"/>
        <v>0</v>
      </c>
      <c r="N193" s="2">
        <f t="shared" si="26"/>
        <v>0</v>
      </c>
      <c r="O193" s="2"/>
      <c r="P193" s="2"/>
      <c r="Q193" s="5"/>
      <c r="R193" s="5"/>
      <c r="S193" s="61"/>
      <c r="T193" s="64"/>
      <c r="U193" s="72"/>
      <c r="V193" s="48"/>
      <c r="W193" s="48"/>
      <c r="X193" s="41"/>
    </row>
    <row r="194" spans="2:24" x14ac:dyDescent="0.4">
      <c r="B194" s="5" t="s">
        <v>522</v>
      </c>
      <c r="C194" s="5" t="s">
        <v>719</v>
      </c>
      <c r="D194" s="25" t="s">
        <v>173</v>
      </c>
      <c r="E194" s="64" t="s">
        <v>186</v>
      </c>
      <c r="F194" s="2">
        <f t="shared" si="20"/>
        <v>0</v>
      </c>
      <c r="G194" s="2">
        <f t="shared" si="21"/>
        <v>0</v>
      </c>
      <c r="H194" s="2">
        <f t="shared" si="22"/>
        <v>0</v>
      </c>
      <c r="I194" s="12" t="e">
        <f t="shared" si="23"/>
        <v>#N/A</v>
      </c>
      <c r="J194" s="34" t="e">
        <f t="shared" si="27"/>
        <v>#N/A</v>
      </c>
      <c r="K194" s="34"/>
      <c r="L194" s="2">
        <f t="shared" si="24"/>
        <v>0</v>
      </c>
      <c r="M194" s="2">
        <f t="shared" si="25"/>
        <v>0</v>
      </c>
      <c r="N194" s="2">
        <f t="shared" si="26"/>
        <v>0</v>
      </c>
      <c r="O194" s="2"/>
      <c r="P194" s="2"/>
      <c r="Q194" s="5"/>
      <c r="R194" s="5"/>
      <c r="S194" s="61"/>
      <c r="T194" s="64"/>
      <c r="U194" s="72"/>
      <c r="V194" s="48"/>
      <c r="W194" s="48"/>
      <c r="X194" s="41"/>
    </row>
    <row r="195" spans="2:24" x14ac:dyDescent="0.4">
      <c r="B195" s="5" t="s">
        <v>523</v>
      </c>
      <c r="C195" s="5" t="s">
        <v>719</v>
      </c>
      <c r="D195" s="25" t="s">
        <v>173</v>
      </c>
      <c r="E195" s="64" t="s">
        <v>187</v>
      </c>
      <c r="F195" s="2">
        <f t="shared" ref="F195:F258" si="28">+L195</f>
        <v>0</v>
      </c>
      <c r="G195" s="2">
        <f t="shared" ref="G195:G258" si="29">+M195</f>
        <v>0</v>
      </c>
      <c r="H195" s="2">
        <f t="shared" ref="H195:H258" si="30">+N195</f>
        <v>0</v>
      </c>
      <c r="I195" s="12" t="e">
        <f t="shared" si="23"/>
        <v>#N/A</v>
      </c>
      <c r="J195" s="34" t="e">
        <f t="shared" si="27"/>
        <v>#N/A</v>
      </c>
      <c r="K195" s="34"/>
      <c r="L195" s="2">
        <f t="shared" si="24"/>
        <v>0</v>
      </c>
      <c r="M195" s="2">
        <f t="shared" si="25"/>
        <v>0</v>
      </c>
      <c r="N195" s="2">
        <f t="shared" si="26"/>
        <v>0</v>
      </c>
      <c r="O195" s="2"/>
      <c r="P195" s="2"/>
      <c r="Q195" s="5"/>
      <c r="R195" s="5"/>
      <c r="S195" s="61"/>
      <c r="T195" s="65"/>
      <c r="U195" s="72"/>
      <c r="V195" s="48"/>
      <c r="W195" s="48"/>
      <c r="X195" s="41"/>
    </row>
    <row r="196" spans="2:24" x14ac:dyDescent="0.4">
      <c r="B196" s="5" t="s">
        <v>524</v>
      </c>
      <c r="C196" s="5" t="s">
        <v>719</v>
      </c>
      <c r="D196" s="25" t="s">
        <v>173</v>
      </c>
      <c r="E196" s="64" t="s">
        <v>188</v>
      </c>
      <c r="F196" s="2">
        <f t="shared" si="28"/>
        <v>0</v>
      </c>
      <c r="G196" s="2">
        <f t="shared" si="29"/>
        <v>0</v>
      </c>
      <c r="H196" s="2">
        <f t="shared" si="30"/>
        <v>0</v>
      </c>
      <c r="I196" s="12" t="e">
        <f t="shared" si="23"/>
        <v>#N/A</v>
      </c>
      <c r="J196" s="34" t="e">
        <f t="shared" si="27"/>
        <v>#N/A</v>
      </c>
      <c r="K196" s="34"/>
      <c r="L196" s="2">
        <f t="shared" si="24"/>
        <v>0</v>
      </c>
      <c r="M196" s="2">
        <f t="shared" si="25"/>
        <v>0</v>
      </c>
      <c r="N196" s="2">
        <f t="shared" si="26"/>
        <v>0</v>
      </c>
      <c r="O196" s="2"/>
      <c r="P196" s="2"/>
      <c r="Q196" s="5"/>
      <c r="R196" s="5"/>
      <c r="S196" s="61"/>
      <c r="T196" s="64"/>
      <c r="U196" s="72"/>
      <c r="V196" s="48"/>
      <c r="W196" s="48"/>
      <c r="X196" s="41"/>
    </row>
    <row r="197" spans="2:24" x14ac:dyDescent="0.4">
      <c r="B197" s="5" t="s">
        <v>525</v>
      </c>
      <c r="C197" s="5" t="s">
        <v>719</v>
      </c>
      <c r="D197" s="25" t="s">
        <v>173</v>
      </c>
      <c r="E197" s="64" t="s">
        <v>189</v>
      </c>
      <c r="F197" s="2">
        <f t="shared" si="28"/>
        <v>0</v>
      </c>
      <c r="G197" s="2">
        <f t="shared" si="29"/>
        <v>0</v>
      </c>
      <c r="H197" s="2">
        <f t="shared" si="30"/>
        <v>0</v>
      </c>
      <c r="I197" s="12" t="e">
        <f t="shared" ref="I197:I260" si="31">+VLOOKUP(B197,$Q$2:$U$373,5,FALSE)</f>
        <v>#N/A</v>
      </c>
      <c r="J197" s="34" t="e">
        <f t="shared" si="27"/>
        <v>#N/A</v>
      </c>
      <c r="K197" s="34"/>
      <c r="L197" s="2">
        <f t="shared" ref="L197:L260" si="32">IFERROR(VLOOKUP(B197,$Q$2:$U$373,5,FALSE),0)</f>
        <v>0</v>
      </c>
      <c r="M197" s="2">
        <f t="shared" ref="M197:M260" si="33">IFERROR(VLOOKUP(B197,$Q$2:$W$373,6,FALSE),0)</f>
        <v>0</v>
      </c>
      <c r="N197" s="2">
        <f t="shared" ref="N197:N260" si="34">IFERROR(VLOOKUP(B197,$Q$2:$W$373,7,FALSE),0)</f>
        <v>0</v>
      </c>
      <c r="O197" s="2"/>
      <c r="P197" s="2"/>
      <c r="Q197" s="5"/>
      <c r="R197" s="5"/>
      <c r="S197" s="61"/>
      <c r="T197" s="64"/>
      <c r="U197" s="72"/>
      <c r="V197" s="48"/>
      <c r="W197" s="48"/>
      <c r="X197" s="41"/>
    </row>
    <row r="198" spans="2:24" x14ac:dyDescent="0.4">
      <c r="B198" s="5" t="s">
        <v>526</v>
      </c>
      <c r="C198" s="5" t="s">
        <v>719</v>
      </c>
      <c r="D198" s="25" t="s">
        <v>173</v>
      </c>
      <c r="E198" s="64" t="s">
        <v>51</v>
      </c>
      <c r="F198" s="2">
        <f t="shared" si="28"/>
        <v>0</v>
      </c>
      <c r="G198" s="2">
        <f t="shared" si="29"/>
        <v>0</v>
      </c>
      <c r="H198" s="2">
        <f t="shared" si="30"/>
        <v>0</v>
      </c>
      <c r="I198" s="12" t="e">
        <f t="shared" si="31"/>
        <v>#N/A</v>
      </c>
      <c r="J198" s="34" t="e">
        <f t="shared" si="27"/>
        <v>#N/A</v>
      </c>
      <c r="K198" s="34"/>
      <c r="L198" s="2">
        <f t="shared" si="32"/>
        <v>0</v>
      </c>
      <c r="M198" s="2">
        <f t="shared" si="33"/>
        <v>0</v>
      </c>
      <c r="N198" s="2">
        <f t="shared" si="34"/>
        <v>0</v>
      </c>
      <c r="O198" s="2"/>
      <c r="P198" s="2"/>
      <c r="Q198" s="5"/>
      <c r="R198" s="5"/>
      <c r="S198" s="61"/>
      <c r="T198" s="64"/>
      <c r="U198" s="72"/>
      <c r="V198" s="48"/>
      <c r="W198" s="48"/>
      <c r="X198" s="41"/>
    </row>
    <row r="199" spans="2:24" x14ac:dyDescent="0.4">
      <c r="B199" s="5" t="s">
        <v>527</v>
      </c>
      <c r="C199" s="5" t="s">
        <v>719</v>
      </c>
      <c r="D199" s="25" t="s">
        <v>173</v>
      </c>
      <c r="E199" s="64" t="s">
        <v>52</v>
      </c>
      <c r="F199" s="2">
        <f t="shared" si="28"/>
        <v>0</v>
      </c>
      <c r="G199" s="2">
        <f t="shared" si="29"/>
        <v>0</v>
      </c>
      <c r="H199" s="2">
        <f t="shared" si="30"/>
        <v>0</v>
      </c>
      <c r="I199" s="12" t="e">
        <f t="shared" si="31"/>
        <v>#N/A</v>
      </c>
      <c r="J199" s="34" t="e">
        <f t="shared" si="27"/>
        <v>#N/A</v>
      </c>
      <c r="K199" s="34"/>
      <c r="L199" s="2">
        <f t="shared" si="32"/>
        <v>0</v>
      </c>
      <c r="M199" s="2">
        <f t="shared" si="33"/>
        <v>0</v>
      </c>
      <c r="N199" s="2">
        <f t="shared" si="34"/>
        <v>0</v>
      </c>
      <c r="O199" s="2"/>
      <c r="P199" s="2"/>
      <c r="Q199" s="5"/>
      <c r="R199" s="5"/>
      <c r="S199" s="61"/>
      <c r="T199" s="64"/>
      <c r="U199" s="72"/>
      <c r="V199" s="48"/>
      <c r="W199" s="48"/>
      <c r="X199" s="41"/>
    </row>
    <row r="200" spans="2:24" x14ac:dyDescent="0.4">
      <c r="B200" s="5" t="s">
        <v>528</v>
      </c>
      <c r="C200" s="5" t="s">
        <v>719</v>
      </c>
      <c r="D200" s="25" t="s">
        <v>173</v>
      </c>
      <c r="E200" s="64" t="s">
        <v>190</v>
      </c>
      <c r="F200" s="2">
        <f t="shared" si="28"/>
        <v>0</v>
      </c>
      <c r="G200" s="2">
        <f t="shared" si="29"/>
        <v>0</v>
      </c>
      <c r="H200" s="2">
        <f t="shared" si="30"/>
        <v>0</v>
      </c>
      <c r="I200" s="12" t="e">
        <f t="shared" si="31"/>
        <v>#N/A</v>
      </c>
      <c r="J200" s="34" t="e">
        <f t="shared" ref="J200:J263" si="35">+I200-F200</f>
        <v>#N/A</v>
      </c>
      <c r="K200" s="34"/>
      <c r="L200" s="2">
        <f t="shared" si="32"/>
        <v>0</v>
      </c>
      <c r="M200" s="2">
        <f t="shared" si="33"/>
        <v>0</v>
      </c>
      <c r="N200" s="2">
        <f t="shared" si="34"/>
        <v>0</v>
      </c>
      <c r="O200" s="2"/>
      <c r="P200" s="2"/>
      <c r="Q200" s="5"/>
      <c r="R200" s="5"/>
      <c r="S200" s="61"/>
      <c r="T200" s="64"/>
      <c r="U200" s="72"/>
      <c r="V200" s="48"/>
      <c r="W200" s="48"/>
      <c r="X200" s="41"/>
    </row>
    <row r="201" spans="2:24" x14ac:dyDescent="0.4">
      <c r="B201" s="5" t="s">
        <v>529</v>
      </c>
      <c r="C201" s="5" t="s">
        <v>719</v>
      </c>
      <c r="D201" s="25" t="s">
        <v>173</v>
      </c>
      <c r="E201" s="64" t="s">
        <v>191</v>
      </c>
      <c r="F201" s="2">
        <f t="shared" si="28"/>
        <v>0</v>
      </c>
      <c r="G201" s="2">
        <f t="shared" si="29"/>
        <v>0</v>
      </c>
      <c r="H201" s="2">
        <f t="shared" si="30"/>
        <v>0</v>
      </c>
      <c r="I201" s="12" t="e">
        <f t="shared" si="31"/>
        <v>#N/A</v>
      </c>
      <c r="J201" s="34" t="e">
        <f t="shared" si="35"/>
        <v>#N/A</v>
      </c>
      <c r="K201" s="34"/>
      <c r="L201" s="2">
        <f t="shared" si="32"/>
        <v>0</v>
      </c>
      <c r="M201" s="2">
        <f t="shared" si="33"/>
        <v>0</v>
      </c>
      <c r="N201" s="2">
        <f t="shared" si="34"/>
        <v>0</v>
      </c>
      <c r="O201" s="2"/>
      <c r="P201" s="2"/>
      <c r="Q201" s="5"/>
      <c r="R201" s="5"/>
      <c r="S201" s="61"/>
      <c r="T201" s="64"/>
      <c r="U201" s="72"/>
      <c r="V201" s="48"/>
      <c r="W201" s="48"/>
      <c r="X201" s="41"/>
    </row>
    <row r="202" spans="2:24" x14ac:dyDescent="0.4">
      <c r="B202" s="5" t="s">
        <v>530</v>
      </c>
      <c r="C202" s="5" t="s">
        <v>720</v>
      </c>
      <c r="D202" s="25" t="s">
        <v>193</v>
      </c>
      <c r="E202" s="64" t="s">
        <v>192</v>
      </c>
      <c r="F202" s="2">
        <f t="shared" si="28"/>
        <v>0</v>
      </c>
      <c r="G202" s="2">
        <f t="shared" si="29"/>
        <v>0</v>
      </c>
      <c r="H202" s="2">
        <f t="shared" si="30"/>
        <v>0</v>
      </c>
      <c r="I202" s="12" t="e">
        <f t="shared" si="31"/>
        <v>#N/A</v>
      </c>
      <c r="J202" s="34" t="e">
        <f t="shared" si="35"/>
        <v>#N/A</v>
      </c>
      <c r="K202" s="34"/>
      <c r="L202" s="2">
        <f t="shared" si="32"/>
        <v>0</v>
      </c>
      <c r="M202" s="2">
        <f t="shared" si="33"/>
        <v>0</v>
      </c>
      <c r="N202" s="2">
        <f t="shared" si="34"/>
        <v>0</v>
      </c>
      <c r="O202" s="2"/>
      <c r="P202" s="2"/>
      <c r="Q202" s="5"/>
      <c r="R202" s="5"/>
      <c r="S202" s="61"/>
      <c r="T202" s="64"/>
      <c r="U202" s="72"/>
      <c r="V202" s="48"/>
      <c r="W202" s="48"/>
      <c r="X202" s="41"/>
    </row>
    <row r="203" spans="2:24" x14ac:dyDescent="0.4">
      <c r="B203" s="5" t="s">
        <v>531</v>
      </c>
      <c r="C203" s="5" t="s">
        <v>720</v>
      </c>
      <c r="D203" s="25" t="s">
        <v>193</v>
      </c>
      <c r="E203" s="64" t="s">
        <v>174</v>
      </c>
      <c r="F203" s="2">
        <f t="shared" si="28"/>
        <v>0</v>
      </c>
      <c r="G203" s="2">
        <f t="shared" si="29"/>
        <v>0</v>
      </c>
      <c r="H203" s="2">
        <f t="shared" si="30"/>
        <v>0</v>
      </c>
      <c r="I203" s="12" t="e">
        <f t="shared" si="31"/>
        <v>#N/A</v>
      </c>
      <c r="J203" s="34" t="e">
        <f t="shared" si="35"/>
        <v>#N/A</v>
      </c>
      <c r="K203" s="34"/>
      <c r="L203" s="2">
        <f t="shared" si="32"/>
        <v>0</v>
      </c>
      <c r="M203" s="2">
        <f t="shared" si="33"/>
        <v>0</v>
      </c>
      <c r="N203" s="2">
        <f t="shared" si="34"/>
        <v>0</v>
      </c>
      <c r="O203" s="2"/>
      <c r="P203" s="2"/>
      <c r="Q203" s="5"/>
      <c r="R203" s="5"/>
      <c r="S203" s="61"/>
      <c r="T203" s="64"/>
      <c r="U203" s="72"/>
      <c r="V203" s="48"/>
      <c r="W203" s="48"/>
      <c r="X203" s="41"/>
    </row>
    <row r="204" spans="2:24" x14ac:dyDescent="0.4">
      <c r="B204" s="5" t="s">
        <v>532</v>
      </c>
      <c r="C204" s="5" t="s">
        <v>720</v>
      </c>
      <c r="D204" s="25" t="s">
        <v>193</v>
      </c>
      <c r="E204" s="64" t="s">
        <v>194</v>
      </c>
      <c r="F204" s="2">
        <f t="shared" si="28"/>
        <v>0</v>
      </c>
      <c r="G204" s="2">
        <f t="shared" si="29"/>
        <v>0</v>
      </c>
      <c r="H204" s="2">
        <f t="shared" si="30"/>
        <v>0</v>
      </c>
      <c r="I204" s="12" t="e">
        <f t="shared" si="31"/>
        <v>#N/A</v>
      </c>
      <c r="J204" s="34" t="e">
        <f t="shared" si="35"/>
        <v>#N/A</v>
      </c>
      <c r="K204" s="34"/>
      <c r="L204" s="2">
        <f t="shared" si="32"/>
        <v>0</v>
      </c>
      <c r="M204" s="2">
        <f t="shared" si="33"/>
        <v>0</v>
      </c>
      <c r="N204" s="2">
        <f t="shared" si="34"/>
        <v>0</v>
      </c>
      <c r="O204" s="2"/>
      <c r="P204" s="2"/>
      <c r="Q204" s="5"/>
      <c r="R204" s="5"/>
      <c r="S204" s="61"/>
      <c r="T204" s="64"/>
      <c r="U204" s="72"/>
      <c r="V204" s="48"/>
      <c r="W204" s="48"/>
      <c r="X204" s="41"/>
    </row>
    <row r="205" spans="2:24" x14ac:dyDescent="0.4">
      <c r="B205" s="5" t="s">
        <v>533</v>
      </c>
      <c r="C205" s="5" t="s">
        <v>720</v>
      </c>
      <c r="D205" s="25" t="s">
        <v>193</v>
      </c>
      <c r="E205" s="64" t="s">
        <v>195</v>
      </c>
      <c r="F205" s="2">
        <f t="shared" si="28"/>
        <v>0</v>
      </c>
      <c r="G205" s="2">
        <f t="shared" si="29"/>
        <v>0</v>
      </c>
      <c r="H205" s="2">
        <f t="shared" si="30"/>
        <v>0</v>
      </c>
      <c r="I205" s="12" t="e">
        <f t="shared" si="31"/>
        <v>#N/A</v>
      </c>
      <c r="J205" s="34" t="e">
        <f t="shared" si="35"/>
        <v>#N/A</v>
      </c>
      <c r="K205" s="34"/>
      <c r="L205" s="2">
        <f t="shared" si="32"/>
        <v>0</v>
      </c>
      <c r="M205" s="2">
        <f t="shared" si="33"/>
        <v>0</v>
      </c>
      <c r="N205" s="2">
        <f t="shared" si="34"/>
        <v>0</v>
      </c>
      <c r="O205" s="2"/>
      <c r="P205" s="2"/>
      <c r="Q205" s="5"/>
      <c r="R205" s="5"/>
      <c r="S205" s="61"/>
      <c r="T205" s="64"/>
      <c r="U205" s="72"/>
      <c r="V205" s="48"/>
      <c r="W205" s="48"/>
      <c r="X205" s="41"/>
    </row>
    <row r="206" spans="2:24" x14ac:dyDescent="0.4">
      <c r="B206" s="5" t="s">
        <v>534</v>
      </c>
      <c r="C206" s="5" t="s">
        <v>720</v>
      </c>
      <c r="D206" s="25" t="s">
        <v>193</v>
      </c>
      <c r="E206" s="64" t="s">
        <v>196</v>
      </c>
      <c r="F206" s="2">
        <f t="shared" si="28"/>
        <v>0</v>
      </c>
      <c r="G206" s="2">
        <f t="shared" si="29"/>
        <v>0</v>
      </c>
      <c r="H206" s="2">
        <f t="shared" si="30"/>
        <v>0</v>
      </c>
      <c r="I206" s="12" t="e">
        <f t="shared" si="31"/>
        <v>#N/A</v>
      </c>
      <c r="J206" s="34" t="e">
        <f t="shared" si="35"/>
        <v>#N/A</v>
      </c>
      <c r="K206" s="34"/>
      <c r="L206" s="2">
        <f t="shared" si="32"/>
        <v>0</v>
      </c>
      <c r="M206" s="2">
        <f t="shared" si="33"/>
        <v>0</v>
      </c>
      <c r="N206" s="2">
        <f t="shared" si="34"/>
        <v>0</v>
      </c>
      <c r="O206" s="2"/>
      <c r="P206" s="2"/>
      <c r="Q206" s="5"/>
      <c r="R206" s="5"/>
      <c r="S206" s="61"/>
      <c r="T206" s="64"/>
      <c r="U206" s="72"/>
      <c r="V206" s="48"/>
      <c r="W206" s="48"/>
      <c r="X206" s="41"/>
    </row>
    <row r="207" spans="2:24" x14ac:dyDescent="0.4">
      <c r="B207" s="5" t="s">
        <v>535</v>
      </c>
      <c r="C207" s="5" t="s">
        <v>720</v>
      </c>
      <c r="D207" s="25" t="s">
        <v>193</v>
      </c>
      <c r="E207" s="64" t="s">
        <v>197</v>
      </c>
      <c r="F207" s="2">
        <f t="shared" si="28"/>
        <v>0</v>
      </c>
      <c r="G207" s="2">
        <f t="shared" si="29"/>
        <v>0</v>
      </c>
      <c r="H207" s="2">
        <f t="shared" si="30"/>
        <v>0</v>
      </c>
      <c r="I207" s="12" t="e">
        <f t="shared" si="31"/>
        <v>#N/A</v>
      </c>
      <c r="J207" s="34" t="e">
        <f t="shared" si="35"/>
        <v>#N/A</v>
      </c>
      <c r="K207" s="34"/>
      <c r="L207" s="2">
        <f t="shared" si="32"/>
        <v>0</v>
      </c>
      <c r="M207" s="2">
        <f t="shared" si="33"/>
        <v>0</v>
      </c>
      <c r="N207" s="2">
        <f t="shared" si="34"/>
        <v>0</v>
      </c>
      <c r="O207" s="2"/>
      <c r="P207" s="2"/>
      <c r="Q207" s="5"/>
      <c r="R207" s="5"/>
      <c r="S207" s="61"/>
      <c r="T207" s="64"/>
      <c r="U207" s="72"/>
      <c r="V207" s="48"/>
      <c r="W207" s="48"/>
      <c r="X207" s="41"/>
    </row>
    <row r="208" spans="2:24" x14ac:dyDescent="0.4">
      <c r="B208" s="5" t="s">
        <v>536</v>
      </c>
      <c r="C208" s="5" t="s">
        <v>720</v>
      </c>
      <c r="D208" s="25" t="s">
        <v>193</v>
      </c>
      <c r="E208" s="64" t="s">
        <v>198</v>
      </c>
      <c r="F208" s="2">
        <f t="shared" si="28"/>
        <v>0</v>
      </c>
      <c r="G208" s="2">
        <f t="shared" si="29"/>
        <v>0</v>
      </c>
      <c r="H208" s="2">
        <f t="shared" si="30"/>
        <v>0</v>
      </c>
      <c r="I208" s="12" t="e">
        <f t="shared" si="31"/>
        <v>#N/A</v>
      </c>
      <c r="J208" s="34" t="e">
        <f t="shared" si="35"/>
        <v>#N/A</v>
      </c>
      <c r="K208" s="34"/>
      <c r="L208" s="2">
        <f t="shared" si="32"/>
        <v>0</v>
      </c>
      <c r="M208" s="2">
        <f t="shared" si="33"/>
        <v>0</v>
      </c>
      <c r="N208" s="2">
        <f t="shared" si="34"/>
        <v>0</v>
      </c>
      <c r="O208" s="2"/>
      <c r="P208" s="2"/>
      <c r="Q208" s="5"/>
      <c r="R208" s="5"/>
      <c r="S208" s="61"/>
      <c r="T208" s="64"/>
      <c r="U208" s="72"/>
      <c r="V208" s="48"/>
      <c r="W208" s="48"/>
      <c r="X208" s="41"/>
    </row>
    <row r="209" spans="2:24" x14ac:dyDescent="0.4">
      <c r="B209" s="5" t="s">
        <v>537</v>
      </c>
      <c r="C209" s="5" t="s">
        <v>720</v>
      </c>
      <c r="D209" s="25" t="s">
        <v>193</v>
      </c>
      <c r="E209" s="64" t="s">
        <v>199</v>
      </c>
      <c r="F209" s="2">
        <f t="shared" si="28"/>
        <v>0</v>
      </c>
      <c r="G209" s="2">
        <f t="shared" si="29"/>
        <v>0</v>
      </c>
      <c r="H209" s="2">
        <f t="shared" si="30"/>
        <v>0</v>
      </c>
      <c r="I209" s="12" t="e">
        <f t="shared" si="31"/>
        <v>#N/A</v>
      </c>
      <c r="J209" s="34" t="e">
        <f t="shared" si="35"/>
        <v>#N/A</v>
      </c>
      <c r="K209" s="34"/>
      <c r="L209" s="2">
        <f t="shared" si="32"/>
        <v>0</v>
      </c>
      <c r="M209" s="2">
        <f t="shared" si="33"/>
        <v>0</v>
      </c>
      <c r="N209" s="2">
        <f t="shared" si="34"/>
        <v>0</v>
      </c>
      <c r="O209" s="2"/>
      <c r="P209" s="2"/>
      <c r="Q209" s="5"/>
      <c r="R209" s="5"/>
      <c r="S209" s="61"/>
      <c r="T209" s="64"/>
      <c r="U209" s="72"/>
      <c r="V209" s="48"/>
      <c r="W209" s="48"/>
      <c r="X209" s="41"/>
    </row>
    <row r="210" spans="2:24" x14ac:dyDescent="0.4">
      <c r="B210" s="5" t="s">
        <v>538</v>
      </c>
      <c r="C210" s="5" t="s">
        <v>720</v>
      </c>
      <c r="D210" s="25" t="s">
        <v>193</v>
      </c>
      <c r="E210" s="64" t="s">
        <v>200</v>
      </c>
      <c r="F210" s="2">
        <f t="shared" si="28"/>
        <v>0</v>
      </c>
      <c r="G210" s="2">
        <f t="shared" si="29"/>
        <v>0</v>
      </c>
      <c r="H210" s="2">
        <f t="shared" si="30"/>
        <v>0</v>
      </c>
      <c r="I210" s="12" t="e">
        <f t="shared" si="31"/>
        <v>#N/A</v>
      </c>
      <c r="J210" s="34" t="e">
        <f t="shared" si="35"/>
        <v>#N/A</v>
      </c>
      <c r="K210" s="34"/>
      <c r="L210" s="2">
        <f t="shared" si="32"/>
        <v>0</v>
      </c>
      <c r="M210" s="2">
        <f t="shared" si="33"/>
        <v>0</v>
      </c>
      <c r="N210" s="2">
        <f t="shared" si="34"/>
        <v>0</v>
      </c>
      <c r="O210" s="2"/>
      <c r="P210" s="2"/>
      <c r="Q210" s="5"/>
      <c r="R210" s="5"/>
      <c r="S210" s="61"/>
      <c r="T210" s="64"/>
      <c r="U210" s="72"/>
      <c r="V210" s="48"/>
      <c r="W210" s="48"/>
      <c r="X210" s="41"/>
    </row>
    <row r="211" spans="2:24" x14ac:dyDescent="0.4">
      <c r="B211" s="5" t="s">
        <v>539</v>
      </c>
      <c r="C211" s="5" t="s">
        <v>720</v>
      </c>
      <c r="D211" s="25" t="s">
        <v>193</v>
      </c>
      <c r="E211" s="64" t="s">
        <v>201</v>
      </c>
      <c r="F211" s="2">
        <f t="shared" si="28"/>
        <v>0</v>
      </c>
      <c r="G211" s="2">
        <f t="shared" si="29"/>
        <v>0</v>
      </c>
      <c r="H211" s="2">
        <f t="shared" si="30"/>
        <v>0</v>
      </c>
      <c r="I211" s="12" t="e">
        <f t="shared" si="31"/>
        <v>#N/A</v>
      </c>
      <c r="J211" s="34" t="e">
        <f t="shared" si="35"/>
        <v>#N/A</v>
      </c>
      <c r="K211" s="34"/>
      <c r="L211" s="2">
        <f t="shared" si="32"/>
        <v>0</v>
      </c>
      <c r="M211" s="2">
        <f t="shared" si="33"/>
        <v>0</v>
      </c>
      <c r="N211" s="2">
        <f t="shared" si="34"/>
        <v>0</v>
      </c>
      <c r="O211" s="2"/>
      <c r="P211" s="2"/>
      <c r="Q211" s="5"/>
      <c r="R211" s="5"/>
      <c r="S211" s="61"/>
      <c r="T211" s="64"/>
      <c r="U211" s="72"/>
      <c r="V211" s="48"/>
      <c r="W211" s="48"/>
      <c r="X211" s="41"/>
    </row>
    <row r="212" spans="2:24" x14ac:dyDescent="0.4">
      <c r="B212" s="5" t="s">
        <v>540</v>
      </c>
      <c r="C212" s="5" t="s">
        <v>720</v>
      </c>
      <c r="D212" s="25" t="s">
        <v>193</v>
      </c>
      <c r="E212" s="64" t="s">
        <v>14</v>
      </c>
      <c r="F212" s="2">
        <f t="shared" si="28"/>
        <v>0</v>
      </c>
      <c r="G212" s="2">
        <f t="shared" si="29"/>
        <v>0</v>
      </c>
      <c r="H212" s="2">
        <f t="shared" si="30"/>
        <v>0</v>
      </c>
      <c r="I212" s="12" t="e">
        <f t="shared" si="31"/>
        <v>#N/A</v>
      </c>
      <c r="J212" s="34" t="e">
        <f t="shared" si="35"/>
        <v>#N/A</v>
      </c>
      <c r="K212" s="34"/>
      <c r="L212" s="2">
        <f t="shared" si="32"/>
        <v>0</v>
      </c>
      <c r="M212" s="2">
        <f t="shared" si="33"/>
        <v>0</v>
      </c>
      <c r="N212" s="2">
        <f t="shared" si="34"/>
        <v>0</v>
      </c>
      <c r="O212" s="2"/>
      <c r="P212" s="2"/>
      <c r="Q212" s="5"/>
      <c r="R212" s="5"/>
      <c r="S212" s="61"/>
      <c r="T212" s="64"/>
      <c r="U212" s="72"/>
      <c r="V212" s="48"/>
      <c r="W212" s="48"/>
      <c r="X212" s="41"/>
    </row>
    <row r="213" spans="2:24" x14ac:dyDescent="0.4">
      <c r="B213" s="5" t="s">
        <v>541</v>
      </c>
      <c r="C213" s="5" t="s">
        <v>720</v>
      </c>
      <c r="D213" s="25" t="s">
        <v>193</v>
      </c>
      <c r="E213" s="64" t="s">
        <v>202</v>
      </c>
      <c r="F213" s="2">
        <f t="shared" si="28"/>
        <v>0</v>
      </c>
      <c r="G213" s="2">
        <f t="shared" si="29"/>
        <v>0</v>
      </c>
      <c r="H213" s="2">
        <f t="shared" si="30"/>
        <v>0</v>
      </c>
      <c r="I213" s="12" t="e">
        <f t="shared" si="31"/>
        <v>#N/A</v>
      </c>
      <c r="J213" s="34" t="e">
        <f t="shared" si="35"/>
        <v>#N/A</v>
      </c>
      <c r="K213" s="34"/>
      <c r="L213" s="2">
        <f t="shared" si="32"/>
        <v>0</v>
      </c>
      <c r="M213" s="2">
        <f t="shared" si="33"/>
        <v>0</v>
      </c>
      <c r="N213" s="2">
        <f t="shared" si="34"/>
        <v>0</v>
      </c>
      <c r="O213" s="2"/>
      <c r="P213" s="2"/>
      <c r="Q213" s="5"/>
      <c r="R213" s="5"/>
      <c r="S213" s="61"/>
      <c r="T213" s="64"/>
      <c r="U213" s="72"/>
      <c r="V213" s="48"/>
      <c r="W213" s="48"/>
      <c r="X213" s="41"/>
    </row>
    <row r="214" spans="2:24" x14ac:dyDescent="0.4">
      <c r="B214" s="5" t="s">
        <v>542</v>
      </c>
      <c r="C214" s="5" t="s">
        <v>720</v>
      </c>
      <c r="D214" s="25" t="s">
        <v>193</v>
      </c>
      <c r="E214" s="64" t="s">
        <v>203</v>
      </c>
      <c r="F214" s="2">
        <f t="shared" si="28"/>
        <v>0</v>
      </c>
      <c r="G214" s="2">
        <f t="shared" si="29"/>
        <v>0</v>
      </c>
      <c r="H214" s="2">
        <f t="shared" si="30"/>
        <v>0</v>
      </c>
      <c r="I214" s="12" t="e">
        <f t="shared" si="31"/>
        <v>#N/A</v>
      </c>
      <c r="J214" s="34" t="e">
        <f t="shared" si="35"/>
        <v>#N/A</v>
      </c>
      <c r="K214" s="34"/>
      <c r="L214" s="2">
        <f t="shared" si="32"/>
        <v>0</v>
      </c>
      <c r="M214" s="2">
        <f t="shared" si="33"/>
        <v>0</v>
      </c>
      <c r="N214" s="2">
        <f t="shared" si="34"/>
        <v>0</v>
      </c>
      <c r="O214" s="2"/>
      <c r="P214" s="2"/>
      <c r="Q214" s="5"/>
      <c r="R214" s="5"/>
      <c r="S214" s="61"/>
      <c r="T214" s="64"/>
      <c r="U214" s="72"/>
      <c r="V214" s="48"/>
      <c r="W214" s="48"/>
      <c r="X214" s="41"/>
    </row>
    <row r="215" spans="2:24" x14ac:dyDescent="0.4">
      <c r="B215" s="5" t="s">
        <v>543</v>
      </c>
      <c r="C215" s="5" t="s">
        <v>720</v>
      </c>
      <c r="D215" s="25" t="s">
        <v>193</v>
      </c>
      <c r="E215" s="64" t="s">
        <v>32</v>
      </c>
      <c r="F215" s="2">
        <f t="shared" si="28"/>
        <v>0</v>
      </c>
      <c r="G215" s="2">
        <f t="shared" si="29"/>
        <v>0</v>
      </c>
      <c r="H215" s="2">
        <f t="shared" si="30"/>
        <v>0</v>
      </c>
      <c r="I215" s="12" t="e">
        <f t="shared" si="31"/>
        <v>#N/A</v>
      </c>
      <c r="J215" s="34" t="e">
        <f t="shared" si="35"/>
        <v>#N/A</v>
      </c>
      <c r="K215" s="34"/>
      <c r="L215" s="2">
        <f t="shared" si="32"/>
        <v>0</v>
      </c>
      <c r="M215" s="2">
        <f t="shared" si="33"/>
        <v>0</v>
      </c>
      <c r="N215" s="2">
        <f t="shared" si="34"/>
        <v>0</v>
      </c>
      <c r="O215" s="2"/>
      <c r="P215" s="2"/>
      <c r="Q215" s="5"/>
      <c r="R215" s="5"/>
      <c r="S215" s="61"/>
      <c r="T215" s="64"/>
      <c r="U215" s="72"/>
      <c r="V215" s="48"/>
      <c r="W215" s="48"/>
      <c r="X215" s="41"/>
    </row>
    <row r="216" spans="2:24" x14ac:dyDescent="0.4">
      <c r="B216" s="5" t="s">
        <v>544</v>
      </c>
      <c r="C216" s="5" t="s">
        <v>720</v>
      </c>
      <c r="D216" s="25" t="s">
        <v>193</v>
      </c>
      <c r="E216" s="64" t="s">
        <v>204</v>
      </c>
      <c r="F216" s="2">
        <f t="shared" si="28"/>
        <v>0</v>
      </c>
      <c r="G216" s="2">
        <f t="shared" si="29"/>
        <v>0</v>
      </c>
      <c r="H216" s="2">
        <f t="shared" si="30"/>
        <v>0</v>
      </c>
      <c r="I216" s="12" t="e">
        <f t="shared" si="31"/>
        <v>#N/A</v>
      </c>
      <c r="J216" s="34" t="e">
        <f t="shared" si="35"/>
        <v>#N/A</v>
      </c>
      <c r="K216" s="34"/>
      <c r="L216" s="2">
        <f t="shared" si="32"/>
        <v>0</v>
      </c>
      <c r="M216" s="2">
        <f t="shared" si="33"/>
        <v>0</v>
      </c>
      <c r="N216" s="2">
        <f t="shared" si="34"/>
        <v>0</v>
      </c>
      <c r="O216" s="2"/>
      <c r="P216" s="2"/>
      <c r="Q216" s="5"/>
      <c r="R216" s="5"/>
      <c r="S216" s="61"/>
      <c r="T216" s="64"/>
      <c r="U216" s="72"/>
      <c r="V216" s="48"/>
      <c r="W216" s="48"/>
      <c r="X216" s="41"/>
    </row>
    <row r="217" spans="2:24" x14ac:dyDescent="0.4">
      <c r="B217" s="5" t="s">
        <v>545</v>
      </c>
      <c r="C217" s="5" t="s">
        <v>720</v>
      </c>
      <c r="D217" s="25" t="s">
        <v>193</v>
      </c>
      <c r="E217" s="64" t="s">
        <v>205</v>
      </c>
      <c r="F217" s="2">
        <f t="shared" si="28"/>
        <v>0</v>
      </c>
      <c r="G217" s="2">
        <f t="shared" si="29"/>
        <v>0</v>
      </c>
      <c r="H217" s="2">
        <f t="shared" si="30"/>
        <v>0</v>
      </c>
      <c r="I217" s="12" t="e">
        <f t="shared" si="31"/>
        <v>#N/A</v>
      </c>
      <c r="J217" s="34" t="e">
        <f t="shared" si="35"/>
        <v>#N/A</v>
      </c>
      <c r="K217" s="34"/>
      <c r="L217" s="2">
        <f t="shared" si="32"/>
        <v>0</v>
      </c>
      <c r="M217" s="2">
        <f t="shared" si="33"/>
        <v>0</v>
      </c>
      <c r="N217" s="2">
        <f t="shared" si="34"/>
        <v>0</v>
      </c>
      <c r="O217" s="2"/>
      <c r="P217" s="2"/>
      <c r="Q217" s="5"/>
      <c r="R217" s="5"/>
      <c r="S217" s="61"/>
      <c r="T217" s="64"/>
      <c r="U217" s="72"/>
      <c r="V217" s="48"/>
      <c r="W217" s="48"/>
      <c r="X217" s="41"/>
    </row>
    <row r="218" spans="2:24" x14ac:dyDescent="0.4">
      <c r="B218" s="5" t="s">
        <v>546</v>
      </c>
      <c r="C218" s="5" t="s">
        <v>720</v>
      </c>
      <c r="D218" s="25" t="s">
        <v>193</v>
      </c>
      <c r="E218" s="64" t="s">
        <v>206</v>
      </c>
      <c r="F218" s="2">
        <f t="shared" si="28"/>
        <v>0</v>
      </c>
      <c r="G218" s="2">
        <f t="shared" si="29"/>
        <v>0</v>
      </c>
      <c r="H218" s="2">
        <f t="shared" si="30"/>
        <v>0</v>
      </c>
      <c r="I218" s="12" t="e">
        <f t="shared" si="31"/>
        <v>#N/A</v>
      </c>
      <c r="J218" s="34" t="e">
        <f t="shared" si="35"/>
        <v>#N/A</v>
      </c>
      <c r="K218" s="34"/>
      <c r="L218" s="2">
        <f t="shared" si="32"/>
        <v>0</v>
      </c>
      <c r="M218" s="2">
        <f t="shared" si="33"/>
        <v>0</v>
      </c>
      <c r="N218" s="2">
        <f t="shared" si="34"/>
        <v>0</v>
      </c>
      <c r="O218" s="2"/>
      <c r="P218" s="2"/>
      <c r="Q218" s="5"/>
      <c r="R218" s="5"/>
      <c r="S218" s="61"/>
      <c r="T218" s="64"/>
      <c r="U218" s="72"/>
      <c r="V218" s="48"/>
      <c r="W218" s="48"/>
      <c r="X218" s="41"/>
    </row>
    <row r="219" spans="2:24" x14ac:dyDescent="0.4">
      <c r="B219" s="5" t="s">
        <v>547</v>
      </c>
      <c r="C219" s="5" t="s">
        <v>720</v>
      </c>
      <c r="D219" s="25" t="s">
        <v>193</v>
      </c>
      <c r="E219" s="64" t="s">
        <v>25</v>
      </c>
      <c r="F219" s="2">
        <f t="shared" si="28"/>
        <v>0</v>
      </c>
      <c r="G219" s="2">
        <f t="shared" si="29"/>
        <v>0</v>
      </c>
      <c r="H219" s="2">
        <f t="shared" si="30"/>
        <v>0</v>
      </c>
      <c r="I219" s="12" t="e">
        <f t="shared" si="31"/>
        <v>#N/A</v>
      </c>
      <c r="J219" s="34" t="e">
        <f t="shared" si="35"/>
        <v>#N/A</v>
      </c>
      <c r="K219" s="34"/>
      <c r="L219" s="2">
        <f t="shared" si="32"/>
        <v>0</v>
      </c>
      <c r="M219" s="2">
        <f t="shared" si="33"/>
        <v>0</v>
      </c>
      <c r="N219" s="2">
        <f t="shared" si="34"/>
        <v>0</v>
      </c>
      <c r="O219" s="2"/>
      <c r="P219" s="2"/>
      <c r="Q219" s="5"/>
      <c r="R219" s="5"/>
      <c r="S219" s="61"/>
      <c r="T219" s="64"/>
      <c r="U219" s="72"/>
      <c r="V219" s="48"/>
      <c r="W219" s="48"/>
      <c r="X219" s="41"/>
    </row>
    <row r="220" spans="2:24" x14ac:dyDescent="0.4">
      <c r="B220" s="5" t="s">
        <v>548</v>
      </c>
      <c r="C220" s="5" t="s">
        <v>720</v>
      </c>
      <c r="D220" s="25" t="s">
        <v>193</v>
      </c>
      <c r="E220" s="64" t="s">
        <v>51</v>
      </c>
      <c r="F220" s="2">
        <f t="shared" si="28"/>
        <v>0</v>
      </c>
      <c r="G220" s="2">
        <f t="shared" si="29"/>
        <v>0</v>
      </c>
      <c r="H220" s="2">
        <f t="shared" si="30"/>
        <v>0</v>
      </c>
      <c r="I220" s="12" t="e">
        <f t="shared" si="31"/>
        <v>#N/A</v>
      </c>
      <c r="J220" s="34" t="e">
        <f t="shared" si="35"/>
        <v>#N/A</v>
      </c>
      <c r="K220" s="34"/>
      <c r="L220" s="2">
        <f t="shared" si="32"/>
        <v>0</v>
      </c>
      <c r="M220" s="2">
        <f t="shared" si="33"/>
        <v>0</v>
      </c>
      <c r="N220" s="2">
        <f t="shared" si="34"/>
        <v>0</v>
      </c>
      <c r="O220" s="2"/>
      <c r="P220" s="2"/>
      <c r="Q220" s="5"/>
      <c r="R220" s="5"/>
      <c r="S220" s="61"/>
      <c r="T220" s="64"/>
      <c r="U220" s="72"/>
      <c r="V220" s="48"/>
      <c r="W220" s="48"/>
      <c r="X220" s="41"/>
    </row>
    <row r="221" spans="2:24" x14ac:dyDescent="0.4">
      <c r="B221" s="5" t="s">
        <v>549</v>
      </c>
      <c r="C221" s="5" t="s">
        <v>720</v>
      </c>
      <c r="D221" s="25" t="s">
        <v>193</v>
      </c>
      <c r="E221" s="64" t="s">
        <v>53</v>
      </c>
      <c r="F221" s="2">
        <f t="shared" si="28"/>
        <v>0</v>
      </c>
      <c r="G221" s="2">
        <f t="shared" si="29"/>
        <v>0</v>
      </c>
      <c r="H221" s="2">
        <f t="shared" si="30"/>
        <v>0</v>
      </c>
      <c r="I221" s="12" t="e">
        <f t="shared" si="31"/>
        <v>#N/A</v>
      </c>
      <c r="J221" s="34" t="e">
        <f t="shared" si="35"/>
        <v>#N/A</v>
      </c>
      <c r="K221" s="34"/>
      <c r="L221" s="2">
        <f t="shared" si="32"/>
        <v>0</v>
      </c>
      <c r="M221" s="2">
        <f t="shared" si="33"/>
        <v>0</v>
      </c>
      <c r="N221" s="2">
        <f t="shared" si="34"/>
        <v>0</v>
      </c>
      <c r="O221" s="2"/>
      <c r="P221" s="2"/>
      <c r="Q221" s="5"/>
      <c r="R221" s="5"/>
      <c r="S221" s="61"/>
      <c r="T221" s="64"/>
      <c r="U221" s="72"/>
      <c r="V221" s="48"/>
      <c r="W221" s="48"/>
      <c r="X221" s="41"/>
    </row>
    <row r="222" spans="2:24" x14ac:dyDescent="0.4">
      <c r="B222" s="5" t="s">
        <v>550</v>
      </c>
      <c r="C222" s="5" t="s">
        <v>720</v>
      </c>
      <c r="D222" s="25" t="s">
        <v>193</v>
      </c>
      <c r="E222" s="65" t="s">
        <v>54</v>
      </c>
      <c r="F222" s="2">
        <f t="shared" si="28"/>
        <v>0</v>
      </c>
      <c r="G222" s="2">
        <f t="shared" si="29"/>
        <v>0</v>
      </c>
      <c r="H222" s="2">
        <f t="shared" si="30"/>
        <v>0</v>
      </c>
      <c r="I222" s="12" t="e">
        <f t="shared" si="31"/>
        <v>#N/A</v>
      </c>
      <c r="J222" s="34" t="e">
        <f t="shared" si="35"/>
        <v>#N/A</v>
      </c>
      <c r="K222" s="34"/>
      <c r="L222" s="2">
        <f t="shared" si="32"/>
        <v>0</v>
      </c>
      <c r="M222" s="2">
        <f t="shared" si="33"/>
        <v>0</v>
      </c>
      <c r="N222" s="2">
        <f t="shared" si="34"/>
        <v>0</v>
      </c>
      <c r="O222" s="2"/>
      <c r="P222" s="2"/>
      <c r="Q222" s="5"/>
      <c r="R222" s="5"/>
      <c r="S222" s="61"/>
      <c r="T222" s="64"/>
      <c r="U222" s="72"/>
      <c r="V222" s="48"/>
      <c r="W222" s="48"/>
      <c r="X222" s="41"/>
    </row>
    <row r="223" spans="2:24" x14ac:dyDescent="0.4">
      <c r="B223" s="5" t="s">
        <v>551</v>
      </c>
      <c r="C223" s="5" t="s">
        <v>721</v>
      </c>
      <c r="D223" s="25" t="s">
        <v>207</v>
      </c>
      <c r="E223" s="64" t="s">
        <v>128</v>
      </c>
      <c r="F223" s="2">
        <f t="shared" si="28"/>
        <v>0</v>
      </c>
      <c r="G223" s="2">
        <f t="shared" si="29"/>
        <v>0</v>
      </c>
      <c r="H223" s="2">
        <f t="shared" si="30"/>
        <v>0</v>
      </c>
      <c r="I223" s="12" t="e">
        <f t="shared" si="31"/>
        <v>#N/A</v>
      </c>
      <c r="J223" s="34" t="e">
        <f t="shared" si="35"/>
        <v>#N/A</v>
      </c>
      <c r="K223" s="34"/>
      <c r="L223" s="2">
        <f t="shared" si="32"/>
        <v>0</v>
      </c>
      <c r="M223" s="2">
        <f t="shared" si="33"/>
        <v>0</v>
      </c>
      <c r="N223" s="2">
        <f t="shared" si="34"/>
        <v>0</v>
      </c>
      <c r="O223" s="2"/>
      <c r="P223" s="2"/>
      <c r="Q223" s="5"/>
      <c r="R223" s="5"/>
      <c r="S223" s="61"/>
      <c r="T223" s="64"/>
      <c r="U223" s="72"/>
      <c r="V223" s="48"/>
      <c r="W223" s="48"/>
      <c r="X223" s="41"/>
    </row>
    <row r="224" spans="2:24" x14ac:dyDescent="0.4">
      <c r="B224" s="5" t="s">
        <v>552</v>
      </c>
      <c r="C224" s="5" t="s">
        <v>721</v>
      </c>
      <c r="D224" s="25" t="s">
        <v>207</v>
      </c>
      <c r="E224" s="64" t="s">
        <v>208</v>
      </c>
      <c r="F224" s="2">
        <f t="shared" si="28"/>
        <v>0</v>
      </c>
      <c r="G224" s="2">
        <f t="shared" si="29"/>
        <v>0</v>
      </c>
      <c r="H224" s="2">
        <f t="shared" si="30"/>
        <v>0</v>
      </c>
      <c r="I224" s="12" t="e">
        <f t="shared" si="31"/>
        <v>#N/A</v>
      </c>
      <c r="J224" s="34" t="e">
        <f t="shared" si="35"/>
        <v>#N/A</v>
      </c>
      <c r="K224" s="34"/>
      <c r="L224" s="2">
        <f t="shared" si="32"/>
        <v>0</v>
      </c>
      <c r="M224" s="2">
        <f t="shared" si="33"/>
        <v>0</v>
      </c>
      <c r="N224" s="2">
        <f t="shared" si="34"/>
        <v>0</v>
      </c>
      <c r="O224" s="2"/>
      <c r="P224" s="2"/>
      <c r="Q224" s="5"/>
      <c r="R224" s="5"/>
      <c r="S224" s="61"/>
      <c r="T224" s="64"/>
      <c r="U224" s="72"/>
      <c r="V224" s="48"/>
      <c r="W224" s="48"/>
      <c r="X224" s="41"/>
    </row>
    <row r="225" spans="2:24" x14ac:dyDescent="0.4">
      <c r="B225" s="5" t="s">
        <v>553</v>
      </c>
      <c r="C225" s="5" t="s">
        <v>721</v>
      </c>
      <c r="D225" s="25" t="s">
        <v>207</v>
      </c>
      <c r="E225" s="64" t="s">
        <v>36</v>
      </c>
      <c r="F225" s="2">
        <f t="shared" si="28"/>
        <v>0</v>
      </c>
      <c r="G225" s="2">
        <f t="shared" si="29"/>
        <v>0</v>
      </c>
      <c r="H225" s="2">
        <f t="shared" si="30"/>
        <v>0</v>
      </c>
      <c r="I225" s="12" t="e">
        <f t="shared" si="31"/>
        <v>#N/A</v>
      </c>
      <c r="J225" s="34" t="e">
        <f t="shared" si="35"/>
        <v>#N/A</v>
      </c>
      <c r="K225" s="34"/>
      <c r="L225" s="2">
        <f t="shared" si="32"/>
        <v>0</v>
      </c>
      <c r="M225" s="2">
        <f t="shared" si="33"/>
        <v>0</v>
      </c>
      <c r="N225" s="2">
        <f t="shared" si="34"/>
        <v>0</v>
      </c>
      <c r="O225" s="2"/>
      <c r="P225" s="2"/>
      <c r="Q225" s="5"/>
      <c r="R225" s="5"/>
      <c r="S225" s="61"/>
      <c r="T225" s="64"/>
      <c r="U225" s="72"/>
      <c r="V225" s="48"/>
      <c r="W225" s="48"/>
      <c r="X225" s="41"/>
    </row>
    <row r="226" spans="2:24" x14ac:dyDescent="0.4">
      <c r="B226" s="5" t="s">
        <v>554</v>
      </c>
      <c r="C226" s="5" t="s">
        <v>721</v>
      </c>
      <c r="D226" s="25" t="s">
        <v>207</v>
      </c>
      <c r="E226" s="64" t="s">
        <v>209</v>
      </c>
      <c r="F226" s="2">
        <f t="shared" si="28"/>
        <v>0</v>
      </c>
      <c r="G226" s="2">
        <f t="shared" si="29"/>
        <v>0</v>
      </c>
      <c r="H226" s="2">
        <f t="shared" si="30"/>
        <v>0</v>
      </c>
      <c r="I226" s="12" t="e">
        <f t="shared" si="31"/>
        <v>#N/A</v>
      </c>
      <c r="J226" s="34" t="e">
        <f t="shared" si="35"/>
        <v>#N/A</v>
      </c>
      <c r="K226" s="34"/>
      <c r="L226" s="2">
        <f t="shared" si="32"/>
        <v>0</v>
      </c>
      <c r="M226" s="2">
        <f t="shared" si="33"/>
        <v>0</v>
      </c>
      <c r="N226" s="2">
        <f t="shared" si="34"/>
        <v>0</v>
      </c>
      <c r="O226" s="2"/>
      <c r="P226" s="2"/>
      <c r="Q226" s="5"/>
      <c r="R226" s="5"/>
      <c r="S226" s="61"/>
      <c r="T226" s="64"/>
      <c r="U226" s="72"/>
      <c r="V226" s="48"/>
      <c r="W226" s="48"/>
      <c r="X226" s="41"/>
    </row>
    <row r="227" spans="2:24" x14ac:dyDescent="0.4">
      <c r="B227" s="5" t="s">
        <v>555</v>
      </c>
      <c r="C227" s="5" t="s">
        <v>721</v>
      </c>
      <c r="D227" s="25" t="s">
        <v>207</v>
      </c>
      <c r="E227" s="64" t="s">
        <v>69</v>
      </c>
      <c r="F227" s="2">
        <f t="shared" si="28"/>
        <v>0</v>
      </c>
      <c r="G227" s="2">
        <f t="shared" si="29"/>
        <v>0</v>
      </c>
      <c r="H227" s="2">
        <f t="shared" si="30"/>
        <v>0</v>
      </c>
      <c r="I227" s="12" t="e">
        <f t="shared" si="31"/>
        <v>#N/A</v>
      </c>
      <c r="J227" s="34" t="e">
        <f t="shared" si="35"/>
        <v>#N/A</v>
      </c>
      <c r="K227" s="34"/>
      <c r="L227" s="2">
        <f t="shared" si="32"/>
        <v>0</v>
      </c>
      <c r="M227" s="2">
        <f t="shared" si="33"/>
        <v>0</v>
      </c>
      <c r="N227" s="2">
        <f t="shared" si="34"/>
        <v>0</v>
      </c>
      <c r="O227" s="2"/>
      <c r="P227" s="2"/>
      <c r="Q227" s="5"/>
      <c r="R227" s="5"/>
      <c r="S227" s="61"/>
      <c r="T227" s="64"/>
      <c r="U227" s="72"/>
      <c r="V227" s="48"/>
      <c r="W227" s="48"/>
      <c r="X227" s="41"/>
    </row>
    <row r="228" spans="2:24" x14ac:dyDescent="0.4">
      <c r="B228" s="5" t="s">
        <v>556</v>
      </c>
      <c r="C228" s="5" t="s">
        <v>721</v>
      </c>
      <c r="D228" s="25" t="s">
        <v>207</v>
      </c>
      <c r="E228" s="64" t="s">
        <v>62</v>
      </c>
      <c r="F228" s="2">
        <f t="shared" si="28"/>
        <v>0</v>
      </c>
      <c r="G228" s="2">
        <f t="shared" si="29"/>
        <v>0</v>
      </c>
      <c r="H228" s="2">
        <f t="shared" si="30"/>
        <v>0</v>
      </c>
      <c r="I228" s="12" t="e">
        <f t="shared" si="31"/>
        <v>#N/A</v>
      </c>
      <c r="J228" s="34" t="e">
        <f t="shared" si="35"/>
        <v>#N/A</v>
      </c>
      <c r="K228" s="34"/>
      <c r="L228" s="2">
        <f t="shared" si="32"/>
        <v>0</v>
      </c>
      <c r="M228" s="2">
        <f t="shared" si="33"/>
        <v>0</v>
      </c>
      <c r="N228" s="2">
        <f t="shared" si="34"/>
        <v>0</v>
      </c>
      <c r="O228" s="2"/>
      <c r="P228" s="2"/>
      <c r="Q228" s="5"/>
      <c r="R228" s="5"/>
      <c r="S228" s="61"/>
      <c r="T228" s="64"/>
      <c r="U228" s="72"/>
      <c r="V228" s="48"/>
      <c r="W228" s="48"/>
      <c r="X228" s="41"/>
    </row>
    <row r="229" spans="2:24" x14ac:dyDescent="0.4">
      <c r="B229" s="5" t="s">
        <v>557</v>
      </c>
      <c r="C229" s="5" t="s">
        <v>721</v>
      </c>
      <c r="D229" s="25" t="s">
        <v>207</v>
      </c>
      <c r="E229" s="64" t="s">
        <v>44</v>
      </c>
      <c r="F229" s="2">
        <f t="shared" si="28"/>
        <v>0</v>
      </c>
      <c r="G229" s="2">
        <f t="shared" si="29"/>
        <v>0</v>
      </c>
      <c r="H229" s="2">
        <f t="shared" si="30"/>
        <v>0</v>
      </c>
      <c r="I229" s="12" t="e">
        <f t="shared" si="31"/>
        <v>#N/A</v>
      </c>
      <c r="J229" s="34" t="e">
        <f t="shared" si="35"/>
        <v>#N/A</v>
      </c>
      <c r="K229" s="34"/>
      <c r="L229" s="2">
        <f t="shared" si="32"/>
        <v>0</v>
      </c>
      <c r="M229" s="2">
        <f t="shared" si="33"/>
        <v>0</v>
      </c>
      <c r="N229" s="2">
        <f t="shared" si="34"/>
        <v>0</v>
      </c>
      <c r="O229" s="2"/>
      <c r="P229" s="2"/>
      <c r="Q229" s="5"/>
      <c r="R229" s="5"/>
      <c r="S229" s="61"/>
      <c r="T229" s="64"/>
      <c r="U229" s="72"/>
      <c r="V229" s="48"/>
      <c r="W229" s="48"/>
      <c r="X229" s="41"/>
    </row>
    <row r="230" spans="2:24" x14ac:dyDescent="0.4">
      <c r="B230" s="5" t="s">
        <v>558</v>
      </c>
      <c r="C230" s="5" t="s">
        <v>721</v>
      </c>
      <c r="D230" s="25" t="s">
        <v>207</v>
      </c>
      <c r="E230" s="64" t="s">
        <v>210</v>
      </c>
      <c r="F230" s="2">
        <f t="shared" si="28"/>
        <v>0</v>
      </c>
      <c r="G230" s="2">
        <f t="shared" si="29"/>
        <v>0</v>
      </c>
      <c r="H230" s="2">
        <f t="shared" si="30"/>
        <v>0</v>
      </c>
      <c r="I230" s="12" t="e">
        <f t="shared" si="31"/>
        <v>#N/A</v>
      </c>
      <c r="J230" s="34" t="e">
        <f t="shared" si="35"/>
        <v>#N/A</v>
      </c>
      <c r="K230" s="34"/>
      <c r="L230" s="2">
        <f t="shared" si="32"/>
        <v>0</v>
      </c>
      <c r="M230" s="2">
        <f t="shared" si="33"/>
        <v>0</v>
      </c>
      <c r="N230" s="2">
        <f t="shared" si="34"/>
        <v>0</v>
      </c>
      <c r="O230" s="2"/>
      <c r="P230" s="2"/>
      <c r="Q230" s="5"/>
      <c r="R230" s="5"/>
      <c r="S230" s="61"/>
      <c r="T230" s="64"/>
      <c r="U230" s="72"/>
      <c r="V230" s="48"/>
      <c r="W230" s="48"/>
      <c r="X230" s="41"/>
    </row>
    <row r="231" spans="2:24" x14ac:dyDescent="0.4">
      <c r="B231" s="5" t="s">
        <v>559</v>
      </c>
      <c r="C231" s="5" t="s">
        <v>721</v>
      </c>
      <c r="D231" s="25" t="s">
        <v>207</v>
      </c>
      <c r="E231" s="64" t="s">
        <v>74</v>
      </c>
      <c r="F231" s="2">
        <f t="shared" si="28"/>
        <v>0</v>
      </c>
      <c r="G231" s="2">
        <f t="shared" si="29"/>
        <v>0</v>
      </c>
      <c r="H231" s="2">
        <f t="shared" si="30"/>
        <v>0</v>
      </c>
      <c r="I231" s="12" t="e">
        <f t="shared" si="31"/>
        <v>#N/A</v>
      </c>
      <c r="J231" s="34" t="e">
        <f t="shared" si="35"/>
        <v>#N/A</v>
      </c>
      <c r="K231" s="34"/>
      <c r="L231" s="2">
        <f t="shared" si="32"/>
        <v>0</v>
      </c>
      <c r="M231" s="2">
        <f t="shared" si="33"/>
        <v>0</v>
      </c>
      <c r="N231" s="2">
        <f t="shared" si="34"/>
        <v>0</v>
      </c>
      <c r="O231" s="2"/>
      <c r="P231" s="2"/>
      <c r="Q231" s="5"/>
      <c r="R231" s="5"/>
      <c r="S231" s="61"/>
      <c r="T231" s="64"/>
      <c r="U231" s="72"/>
      <c r="V231" s="48"/>
      <c r="W231" s="48"/>
      <c r="X231" s="41"/>
    </row>
    <row r="232" spans="2:24" x14ac:dyDescent="0.4">
      <c r="B232" s="5" t="s">
        <v>560</v>
      </c>
      <c r="C232" s="5" t="s">
        <v>721</v>
      </c>
      <c r="D232" s="25" t="s">
        <v>207</v>
      </c>
      <c r="E232" s="64" t="s">
        <v>211</v>
      </c>
      <c r="F232" s="2">
        <f t="shared" si="28"/>
        <v>0</v>
      </c>
      <c r="G232" s="2">
        <f t="shared" si="29"/>
        <v>0</v>
      </c>
      <c r="H232" s="2">
        <f t="shared" si="30"/>
        <v>0</v>
      </c>
      <c r="I232" s="12" t="e">
        <f t="shared" si="31"/>
        <v>#N/A</v>
      </c>
      <c r="J232" s="34" t="e">
        <f t="shared" si="35"/>
        <v>#N/A</v>
      </c>
      <c r="K232" s="34"/>
      <c r="L232" s="2">
        <f t="shared" si="32"/>
        <v>0</v>
      </c>
      <c r="M232" s="2">
        <f t="shared" si="33"/>
        <v>0</v>
      </c>
      <c r="N232" s="2">
        <f t="shared" si="34"/>
        <v>0</v>
      </c>
      <c r="O232" s="2"/>
      <c r="P232" s="2"/>
      <c r="Q232" s="5"/>
      <c r="R232" s="5"/>
      <c r="S232" s="61"/>
      <c r="T232" s="64"/>
      <c r="U232" s="72"/>
      <c r="V232" s="48"/>
      <c r="W232" s="48"/>
      <c r="X232" s="41"/>
    </row>
    <row r="233" spans="2:24" x14ac:dyDescent="0.4">
      <c r="B233" s="5" t="s">
        <v>561</v>
      </c>
      <c r="C233" s="5" t="s">
        <v>721</v>
      </c>
      <c r="D233" s="25" t="s">
        <v>207</v>
      </c>
      <c r="E233" s="64" t="s">
        <v>212</v>
      </c>
      <c r="F233" s="2">
        <f t="shared" si="28"/>
        <v>0</v>
      </c>
      <c r="G233" s="2">
        <f t="shared" si="29"/>
        <v>0</v>
      </c>
      <c r="H233" s="2">
        <f t="shared" si="30"/>
        <v>0</v>
      </c>
      <c r="I233" s="12" t="e">
        <f t="shared" si="31"/>
        <v>#N/A</v>
      </c>
      <c r="J233" s="34" t="e">
        <f t="shared" si="35"/>
        <v>#N/A</v>
      </c>
      <c r="K233" s="34"/>
      <c r="L233" s="2">
        <f t="shared" si="32"/>
        <v>0</v>
      </c>
      <c r="M233" s="2">
        <f t="shared" si="33"/>
        <v>0</v>
      </c>
      <c r="N233" s="2">
        <f t="shared" si="34"/>
        <v>0</v>
      </c>
      <c r="O233" s="2"/>
      <c r="P233" s="2"/>
      <c r="Q233" s="5"/>
      <c r="R233" s="5"/>
      <c r="S233" s="61"/>
      <c r="T233" s="64"/>
      <c r="U233" s="72"/>
      <c r="V233" s="48"/>
      <c r="W233" s="48"/>
      <c r="X233" s="41"/>
    </row>
    <row r="234" spans="2:24" x14ac:dyDescent="0.4">
      <c r="B234" s="5" t="s">
        <v>562</v>
      </c>
      <c r="C234" s="5" t="s">
        <v>721</v>
      </c>
      <c r="D234" s="25" t="s">
        <v>207</v>
      </c>
      <c r="E234" s="64" t="s">
        <v>213</v>
      </c>
      <c r="F234" s="2">
        <f t="shared" si="28"/>
        <v>0</v>
      </c>
      <c r="G234" s="2">
        <f t="shared" si="29"/>
        <v>0</v>
      </c>
      <c r="H234" s="2">
        <f t="shared" si="30"/>
        <v>0</v>
      </c>
      <c r="I234" s="12" t="e">
        <f t="shared" si="31"/>
        <v>#N/A</v>
      </c>
      <c r="J234" s="34" t="e">
        <f t="shared" si="35"/>
        <v>#N/A</v>
      </c>
      <c r="K234" s="34"/>
      <c r="L234" s="2">
        <f t="shared" si="32"/>
        <v>0</v>
      </c>
      <c r="M234" s="2">
        <f t="shared" si="33"/>
        <v>0</v>
      </c>
      <c r="N234" s="2">
        <f t="shared" si="34"/>
        <v>0</v>
      </c>
      <c r="O234" s="2"/>
      <c r="P234" s="2"/>
      <c r="Q234" s="5"/>
      <c r="R234" s="5"/>
      <c r="S234" s="61"/>
      <c r="T234" s="64"/>
      <c r="U234" s="72"/>
      <c r="V234" s="48"/>
      <c r="W234" s="48"/>
      <c r="X234" s="41"/>
    </row>
    <row r="235" spans="2:24" x14ac:dyDescent="0.4">
      <c r="B235" s="5" t="s">
        <v>563</v>
      </c>
      <c r="C235" s="5" t="s">
        <v>721</v>
      </c>
      <c r="D235" s="25" t="s">
        <v>207</v>
      </c>
      <c r="E235" s="64" t="s">
        <v>214</v>
      </c>
      <c r="F235" s="2">
        <f t="shared" si="28"/>
        <v>0</v>
      </c>
      <c r="G235" s="2">
        <f t="shared" si="29"/>
        <v>0</v>
      </c>
      <c r="H235" s="2">
        <f t="shared" si="30"/>
        <v>0</v>
      </c>
      <c r="I235" s="12" t="e">
        <f t="shared" si="31"/>
        <v>#N/A</v>
      </c>
      <c r="J235" s="34" t="e">
        <f t="shared" si="35"/>
        <v>#N/A</v>
      </c>
      <c r="K235" s="34"/>
      <c r="L235" s="2">
        <f t="shared" si="32"/>
        <v>0</v>
      </c>
      <c r="M235" s="2">
        <f t="shared" si="33"/>
        <v>0</v>
      </c>
      <c r="N235" s="2">
        <f t="shared" si="34"/>
        <v>0</v>
      </c>
      <c r="O235" s="2"/>
      <c r="P235" s="2"/>
      <c r="Q235" s="5"/>
      <c r="R235" s="5"/>
      <c r="S235" s="61"/>
      <c r="T235" s="64"/>
      <c r="U235" s="72"/>
      <c r="V235" s="48"/>
      <c r="W235" s="48"/>
      <c r="X235" s="41"/>
    </row>
    <row r="236" spans="2:24" x14ac:dyDescent="0.4">
      <c r="B236" s="5" t="s">
        <v>564</v>
      </c>
      <c r="C236" s="5" t="s">
        <v>722</v>
      </c>
      <c r="D236" s="25" t="s">
        <v>216</v>
      </c>
      <c r="E236" s="64" t="s">
        <v>215</v>
      </c>
      <c r="F236" s="2">
        <f t="shared" si="28"/>
        <v>0</v>
      </c>
      <c r="G236" s="2">
        <f t="shared" si="29"/>
        <v>0</v>
      </c>
      <c r="H236" s="2">
        <f t="shared" si="30"/>
        <v>0</v>
      </c>
      <c r="I236" s="12" t="e">
        <f t="shared" si="31"/>
        <v>#N/A</v>
      </c>
      <c r="J236" s="34" t="e">
        <f t="shared" si="35"/>
        <v>#N/A</v>
      </c>
      <c r="K236" s="34"/>
      <c r="L236" s="2">
        <f t="shared" si="32"/>
        <v>0</v>
      </c>
      <c r="M236" s="2">
        <f t="shared" si="33"/>
        <v>0</v>
      </c>
      <c r="N236" s="2">
        <f t="shared" si="34"/>
        <v>0</v>
      </c>
      <c r="O236" s="2"/>
      <c r="P236" s="2"/>
      <c r="Q236" s="5"/>
      <c r="R236" s="5"/>
      <c r="S236" s="61"/>
      <c r="T236" s="64"/>
      <c r="U236" s="72"/>
      <c r="V236" s="48"/>
      <c r="W236" s="48"/>
      <c r="X236" s="41"/>
    </row>
    <row r="237" spans="2:24" x14ac:dyDescent="0.4">
      <c r="B237" s="5" t="s">
        <v>565</v>
      </c>
      <c r="C237" s="5" t="s">
        <v>722</v>
      </c>
      <c r="D237" s="25" t="s">
        <v>216</v>
      </c>
      <c r="E237" s="64" t="s">
        <v>59</v>
      </c>
      <c r="F237" s="2">
        <f t="shared" si="28"/>
        <v>0</v>
      </c>
      <c r="G237" s="2">
        <f t="shared" si="29"/>
        <v>0</v>
      </c>
      <c r="H237" s="2">
        <f t="shared" si="30"/>
        <v>0</v>
      </c>
      <c r="I237" s="12" t="e">
        <f t="shared" si="31"/>
        <v>#N/A</v>
      </c>
      <c r="J237" s="34" t="e">
        <f t="shared" si="35"/>
        <v>#N/A</v>
      </c>
      <c r="K237" s="34"/>
      <c r="L237" s="2">
        <f t="shared" si="32"/>
        <v>0</v>
      </c>
      <c r="M237" s="2">
        <f t="shared" si="33"/>
        <v>0</v>
      </c>
      <c r="N237" s="2">
        <f t="shared" si="34"/>
        <v>0</v>
      </c>
      <c r="O237" s="2"/>
      <c r="P237" s="2"/>
      <c r="Q237" s="5"/>
      <c r="R237" s="5"/>
      <c r="S237" s="61"/>
      <c r="T237" s="64"/>
      <c r="U237" s="72"/>
      <c r="V237" s="48"/>
      <c r="W237" s="48"/>
      <c r="X237" s="41"/>
    </row>
    <row r="238" spans="2:24" x14ac:dyDescent="0.4">
      <c r="B238" s="5" t="s">
        <v>566</v>
      </c>
      <c r="C238" s="5" t="s">
        <v>722</v>
      </c>
      <c r="D238" s="25" t="s">
        <v>216</v>
      </c>
      <c r="E238" s="64" t="s">
        <v>217</v>
      </c>
      <c r="F238" s="2">
        <f t="shared" si="28"/>
        <v>0</v>
      </c>
      <c r="G238" s="2">
        <f t="shared" si="29"/>
        <v>0</v>
      </c>
      <c r="H238" s="2">
        <f t="shared" si="30"/>
        <v>0</v>
      </c>
      <c r="I238" s="12" t="e">
        <f t="shared" si="31"/>
        <v>#N/A</v>
      </c>
      <c r="J238" s="34" t="e">
        <f t="shared" si="35"/>
        <v>#N/A</v>
      </c>
      <c r="K238" s="34"/>
      <c r="L238" s="2">
        <f t="shared" si="32"/>
        <v>0</v>
      </c>
      <c r="M238" s="2">
        <f t="shared" si="33"/>
        <v>0</v>
      </c>
      <c r="N238" s="2">
        <f t="shared" si="34"/>
        <v>0</v>
      </c>
      <c r="O238" s="2"/>
      <c r="P238" s="2"/>
      <c r="Q238" s="5"/>
      <c r="R238" s="5"/>
      <c r="S238" s="61"/>
      <c r="T238" s="64"/>
      <c r="U238" s="72"/>
      <c r="V238" s="48"/>
      <c r="W238" s="48"/>
      <c r="X238" s="41"/>
    </row>
    <row r="239" spans="2:24" x14ac:dyDescent="0.4">
      <c r="B239" s="5" t="s">
        <v>567</v>
      </c>
      <c r="C239" s="5" t="s">
        <v>722</v>
      </c>
      <c r="D239" s="25" t="s">
        <v>216</v>
      </c>
      <c r="E239" s="64" t="s">
        <v>218</v>
      </c>
      <c r="F239" s="2">
        <f t="shared" si="28"/>
        <v>0</v>
      </c>
      <c r="G239" s="2">
        <f t="shared" si="29"/>
        <v>0</v>
      </c>
      <c r="H239" s="2">
        <f t="shared" si="30"/>
        <v>0</v>
      </c>
      <c r="I239" s="12" t="e">
        <f t="shared" si="31"/>
        <v>#N/A</v>
      </c>
      <c r="J239" s="34" t="e">
        <f t="shared" si="35"/>
        <v>#N/A</v>
      </c>
      <c r="K239" s="34"/>
      <c r="L239" s="2">
        <f t="shared" si="32"/>
        <v>0</v>
      </c>
      <c r="M239" s="2">
        <f t="shared" si="33"/>
        <v>0</v>
      </c>
      <c r="N239" s="2">
        <f t="shared" si="34"/>
        <v>0</v>
      </c>
      <c r="O239" s="2"/>
      <c r="P239" s="2"/>
      <c r="Q239" s="5"/>
      <c r="R239" s="5"/>
      <c r="S239" s="61"/>
      <c r="T239" s="64"/>
      <c r="U239" s="72"/>
      <c r="V239" s="48"/>
      <c r="W239" s="48"/>
      <c r="X239" s="41"/>
    </row>
    <row r="240" spans="2:24" x14ac:dyDescent="0.4">
      <c r="B240" s="5" t="s">
        <v>568</v>
      </c>
      <c r="C240" s="5" t="s">
        <v>722</v>
      </c>
      <c r="D240" s="25" t="s">
        <v>216</v>
      </c>
      <c r="E240" s="64" t="s">
        <v>219</v>
      </c>
      <c r="F240" s="2">
        <f t="shared" si="28"/>
        <v>0</v>
      </c>
      <c r="G240" s="2">
        <f t="shared" si="29"/>
        <v>0</v>
      </c>
      <c r="H240" s="2">
        <f t="shared" si="30"/>
        <v>0</v>
      </c>
      <c r="I240" s="12" t="e">
        <f t="shared" si="31"/>
        <v>#N/A</v>
      </c>
      <c r="J240" s="34" t="e">
        <f t="shared" si="35"/>
        <v>#N/A</v>
      </c>
      <c r="K240" s="34"/>
      <c r="L240" s="2">
        <f t="shared" si="32"/>
        <v>0</v>
      </c>
      <c r="M240" s="2">
        <f t="shared" si="33"/>
        <v>0</v>
      </c>
      <c r="N240" s="2">
        <f t="shared" si="34"/>
        <v>0</v>
      </c>
      <c r="O240" s="2"/>
      <c r="P240" s="2"/>
      <c r="Q240" s="5"/>
      <c r="R240" s="5"/>
      <c r="S240" s="61"/>
      <c r="T240" s="64"/>
      <c r="U240" s="72"/>
      <c r="V240" s="48"/>
      <c r="W240" s="48"/>
      <c r="X240" s="41"/>
    </row>
    <row r="241" spans="2:24" x14ac:dyDescent="0.4">
      <c r="B241" s="5" t="s">
        <v>569</v>
      </c>
      <c r="C241" s="5" t="s">
        <v>722</v>
      </c>
      <c r="D241" s="25" t="s">
        <v>216</v>
      </c>
      <c r="E241" s="64" t="s">
        <v>220</v>
      </c>
      <c r="F241" s="2">
        <f t="shared" si="28"/>
        <v>0</v>
      </c>
      <c r="G241" s="2">
        <f t="shared" si="29"/>
        <v>0</v>
      </c>
      <c r="H241" s="2">
        <f t="shared" si="30"/>
        <v>0</v>
      </c>
      <c r="I241" s="12" t="e">
        <f t="shared" si="31"/>
        <v>#N/A</v>
      </c>
      <c r="J241" s="34" t="e">
        <f t="shared" si="35"/>
        <v>#N/A</v>
      </c>
      <c r="K241" s="34"/>
      <c r="L241" s="2">
        <f t="shared" si="32"/>
        <v>0</v>
      </c>
      <c r="M241" s="2">
        <f t="shared" si="33"/>
        <v>0</v>
      </c>
      <c r="N241" s="2">
        <f t="shared" si="34"/>
        <v>0</v>
      </c>
      <c r="O241" s="2"/>
      <c r="P241" s="2"/>
      <c r="Q241" s="5"/>
      <c r="R241" s="5"/>
      <c r="S241" s="61"/>
      <c r="T241" s="64"/>
      <c r="U241" s="72"/>
      <c r="V241" s="48"/>
      <c r="W241" s="48"/>
      <c r="X241" s="41"/>
    </row>
    <row r="242" spans="2:24" x14ac:dyDescent="0.4">
      <c r="B242" s="5" t="s">
        <v>570</v>
      </c>
      <c r="C242" s="5" t="s">
        <v>722</v>
      </c>
      <c r="D242" s="25" t="s">
        <v>216</v>
      </c>
      <c r="E242" s="64" t="s">
        <v>221</v>
      </c>
      <c r="F242" s="2">
        <f t="shared" si="28"/>
        <v>0</v>
      </c>
      <c r="G242" s="2">
        <f t="shared" si="29"/>
        <v>0</v>
      </c>
      <c r="H242" s="2">
        <f t="shared" si="30"/>
        <v>0</v>
      </c>
      <c r="I242" s="12" t="e">
        <f t="shared" si="31"/>
        <v>#N/A</v>
      </c>
      <c r="J242" s="34" t="e">
        <f t="shared" si="35"/>
        <v>#N/A</v>
      </c>
      <c r="K242" s="34"/>
      <c r="L242" s="2">
        <f t="shared" si="32"/>
        <v>0</v>
      </c>
      <c r="M242" s="2">
        <f t="shared" si="33"/>
        <v>0</v>
      </c>
      <c r="N242" s="2">
        <f t="shared" si="34"/>
        <v>0</v>
      </c>
      <c r="O242" s="2"/>
      <c r="P242" s="2"/>
      <c r="Q242" s="5"/>
      <c r="R242" s="5"/>
      <c r="S242" s="61"/>
      <c r="T242" s="64"/>
      <c r="U242" s="72"/>
      <c r="V242" s="48"/>
      <c r="W242" s="48"/>
      <c r="X242" s="41"/>
    </row>
    <row r="243" spans="2:24" x14ac:dyDescent="0.4">
      <c r="B243" s="5" t="s">
        <v>571</v>
      </c>
      <c r="C243" s="5" t="s">
        <v>722</v>
      </c>
      <c r="D243" s="25" t="s">
        <v>216</v>
      </c>
      <c r="E243" s="64" t="s">
        <v>222</v>
      </c>
      <c r="F243" s="2">
        <f t="shared" si="28"/>
        <v>0</v>
      </c>
      <c r="G243" s="2">
        <f t="shared" si="29"/>
        <v>0</v>
      </c>
      <c r="H243" s="2">
        <f t="shared" si="30"/>
        <v>0</v>
      </c>
      <c r="I243" s="12" t="e">
        <f t="shared" si="31"/>
        <v>#N/A</v>
      </c>
      <c r="J243" s="34" t="e">
        <f t="shared" si="35"/>
        <v>#N/A</v>
      </c>
      <c r="K243" s="34"/>
      <c r="L243" s="2">
        <f t="shared" si="32"/>
        <v>0</v>
      </c>
      <c r="M243" s="2">
        <f t="shared" si="33"/>
        <v>0</v>
      </c>
      <c r="N243" s="2">
        <f t="shared" si="34"/>
        <v>0</v>
      </c>
      <c r="O243" s="2"/>
      <c r="P243" s="2"/>
      <c r="Q243" s="5"/>
      <c r="R243" s="5"/>
      <c r="S243" s="61"/>
      <c r="T243" s="64"/>
      <c r="U243" s="72"/>
      <c r="V243" s="48"/>
      <c r="W243" s="48"/>
      <c r="X243" s="41"/>
    </row>
    <row r="244" spans="2:24" x14ac:dyDescent="0.4">
      <c r="B244" s="5" t="s">
        <v>572</v>
      </c>
      <c r="C244" s="5" t="s">
        <v>722</v>
      </c>
      <c r="D244" s="25" t="s">
        <v>216</v>
      </c>
      <c r="E244" s="64" t="s">
        <v>223</v>
      </c>
      <c r="F244" s="2">
        <f t="shared" si="28"/>
        <v>0</v>
      </c>
      <c r="G244" s="2">
        <f t="shared" si="29"/>
        <v>0</v>
      </c>
      <c r="H244" s="2">
        <f t="shared" si="30"/>
        <v>0</v>
      </c>
      <c r="I244" s="12" t="e">
        <f t="shared" si="31"/>
        <v>#N/A</v>
      </c>
      <c r="J244" s="34" t="e">
        <f t="shared" si="35"/>
        <v>#N/A</v>
      </c>
      <c r="K244" s="34"/>
      <c r="L244" s="2">
        <f t="shared" si="32"/>
        <v>0</v>
      </c>
      <c r="M244" s="2">
        <f t="shared" si="33"/>
        <v>0</v>
      </c>
      <c r="N244" s="2">
        <f t="shared" si="34"/>
        <v>0</v>
      </c>
      <c r="O244" s="2"/>
      <c r="P244" s="2"/>
      <c r="Q244" s="5"/>
      <c r="R244" s="5"/>
      <c r="S244" s="61"/>
      <c r="T244" s="64"/>
      <c r="U244" s="72"/>
      <c r="V244" s="48"/>
      <c r="W244" s="48"/>
      <c r="X244" s="41"/>
    </row>
    <row r="245" spans="2:24" x14ac:dyDescent="0.4">
      <c r="B245" s="5" t="s">
        <v>573</v>
      </c>
      <c r="C245" s="5" t="s">
        <v>722</v>
      </c>
      <c r="D245" s="25" t="s">
        <v>216</v>
      </c>
      <c r="E245" s="64" t="s">
        <v>224</v>
      </c>
      <c r="F245" s="2">
        <f t="shared" si="28"/>
        <v>0</v>
      </c>
      <c r="G245" s="2">
        <f t="shared" si="29"/>
        <v>0</v>
      </c>
      <c r="H245" s="2">
        <f t="shared" si="30"/>
        <v>0</v>
      </c>
      <c r="I245" s="12" t="e">
        <f t="shared" si="31"/>
        <v>#N/A</v>
      </c>
      <c r="J245" s="34" t="e">
        <f t="shared" si="35"/>
        <v>#N/A</v>
      </c>
      <c r="K245" s="34"/>
      <c r="L245" s="2">
        <f t="shared" si="32"/>
        <v>0</v>
      </c>
      <c r="M245" s="2">
        <f t="shared" si="33"/>
        <v>0</v>
      </c>
      <c r="N245" s="2">
        <f t="shared" si="34"/>
        <v>0</v>
      </c>
      <c r="O245" s="2"/>
      <c r="P245" s="2"/>
      <c r="Q245" s="5"/>
      <c r="R245" s="5"/>
      <c r="S245" s="61"/>
      <c r="T245" s="64"/>
      <c r="U245" s="72"/>
      <c r="V245" s="48"/>
      <c r="W245" s="48"/>
      <c r="X245" s="41"/>
    </row>
    <row r="246" spans="2:24" x14ac:dyDescent="0.4">
      <c r="B246" s="5" t="s">
        <v>574</v>
      </c>
      <c r="C246" s="5" t="s">
        <v>722</v>
      </c>
      <c r="D246" s="25" t="s">
        <v>216</v>
      </c>
      <c r="E246" s="64" t="s">
        <v>225</v>
      </c>
      <c r="F246" s="2">
        <f t="shared" si="28"/>
        <v>0</v>
      </c>
      <c r="G246" s="2">
        <f t="shared" si="29"/>
        <v>0</v>
      </c>
      <c r="H246" s="2">
        <f t="shared" si="30"/>
        <v>0</v>
      </c>
      <c r="I246" s="12" t="e">
        <f t="shared" si="31"/>
        <v>#N/A</v>
      </c>
      <c r="J246" s="34" t="e">
        <f t="shared" si="35"/>
        <v>#N/A</v>
      </c>
      <c r="K246" s="34"/>
      <c r="L246" s="2">
        <f t="shared" si="32"/>
        <v>0</v>
      </c>
      <c r="M246" s="2">
        <f t="shared" si="33"/>
        <v>0</v>
      </c>
      <c r="N246" s="2">
        <f t="shared" si="34"/>
        <v>0</v>
      </c>
      <c r="O246" s="2"/>
      <c r="P246" s="2"/>
      <c r="Q246" s="5"/>
      <c r="R246" s="5"/>
      <c r="S246" s="61"/>
      <c r="T246" s="64"/>
      <c r="U246" s="72"/>
      <c r="V246" s="48"/>
      <c r="W246" s="48"/>
      <c r="X246" s="41"/>
    </row>
    <row r="247" spans="2:24" x14ac:dyDescent="0.4">
      <c r="B247" s="5" t="s">
        <v>575</v>
      </c>
      <c r="C247" s="5" t="s">
        <v>723</v>
      </c>
      <c r="D247" s="25" t="s">
        <v>227</v>
      </c>
      <c r="E247" s="64" t="s">
        <v>226</v>
      </c>
      <c r="F247" s="2">
        <f t="shared" si="28"/>
        <v>0</v>
      </c>
      <c r="G247" s="2">
        <f t="shared" si="29"/>
        <v>0</v>
      </c>
      <c r="H247" s="2">
        <f t="shared" si="30"/>
        <v>0</v>
      </c>
      <c r="I247" s="12" t="e">
        <f t="shared" si="31"/>
        <v>#N/A</v>
      </c>
      <c r="J247" s="34" t="e">
        <f t="shared" si="35"/>
        <v>#N/A</v>
      </c>
      <c r="K247" s="34"/>
      <c r="L247" s="2">
        <f t="shared" si="32"/>
        <v>0</v>
      </c>
      <c r="M247" s="2">
        <f t="shared" si="33"/>
        <v>0</v>
      </c>
      <c r="N247" s="2">
        <f t="shared" si="34"/>
        <v>0</v>
      </c>
      <c r="O247" s="2"/>
      <c r="P247" s="2"/>
      <c r="Q247" s="5"/>
      <c r="R247" s="5"/>
      <c r="S247" s="61"/>
      <c r="T247" s="65"/>
      <c r="U247" s="72"/>
      <c r="V247" s="48"/>
      <c r="W247" s="48"/>
      <c r="X247" s="41"/>
    </row>
    <row r="248" spans="2:24" x14ac:dyDescent="0.4">
      <c r="B248" s="5" t="s">
        <v>576</v>
      </c>
      <c r="C248" s="5" t="s">
        <v>723</v>
      </c>
      <c r="D248" s="25" t="s">
        <v>227</v>
      </c>
      <c r="E248" s="64" t="s">
        <v>228</v>
      </c>
      <c r="F248" s="2">
        <f t="shared" si="28"/>
        <v>0</v>
      </c>
      <c r="G248" s="2">
        <f t="shared" si="29"/>
        <v>0</v>
      </c>
      <c r="H248" s="2">
        <f t="shared" si="30"/>
        <v>0</v>
      </c>
      <c r="I248" s="12" t="e">
        <f t="shared" si="31"/>
        <v>#N/A</v>
      </c>
      <c r="J248" s="34" t="e">
        <f t="shared" si="35"/>
        <v>#N/A</v>
      </c>
      <c r="K248" s="34"/>
      <c r="L248" s="2">
        <f t="shared" si="32"/>
        <v>0</v>
      </c>
      <c r="M248" s="2">
        <f t="shared" si="33"/>
        <v>0</v>
      </c>
      <c r="N248" s="2">
        <f t="shared" si="34"/>
        <v>0</v>
      </c>
      <c r="O248" s="2"/>
      <c r="P248" s="2"/>
      <c r="Q248" s="5"/>
      <c r="R248" s="5"/>
      <c r="S248" s="25"/>
      <c r="T248" s="64"/>
      <c r="U248" s="72"/>
      <c r="V248" s="48"/>
      <c r="W248" s="48"/>
      <c r="X248" s="41"/>
    </row>
    <row r="249" spans="2:24" x14ac:dyDescent="0.4">
      <c r="B249" s="5" t="s">
        <v>577</v>
      </c>
      <c r="C249" s="5" t="s">
        <v>723</v>
      </c>
      <c r="D249" s="25" t="s">
        <v>227</v>
      </c>
      <c r="E249" s="64" t="s">
        <v>229</v>
      </c>
      <c r="F249" s="2">
        <f t="shared" si="28"/>
        <v>0</v>
      </c>
      <c r="G249" s="2">
        <f t="shared" si="29"/>
        <v>0</v>
      </c>
      <c r="H249" s="2">
        <f t="shared" si="30"/>
        <v>0</v>
      </c>
      <c r="I249" s="12" t="e">
        <f t="shared" si="31"/>
        <v>#N/A</v>
      </c>
      <c r="J249" s="34" t="e">
        <f t="shared" si="35"/>
        <v>#N/A</v>
      </c>
      <c r="K249" s="34"/>
      <c r="L249" s="2">
        <f t="shared" si="32"/>
        <v>0</v>
      </c>
      <c r="M249" s="2">
        <f t="shared" si="33"/>
        <v>0</v>
      </c>
      <c r="N249" s="2">
        <f t="shared" si="34"/>
        <v>0</v>
      </c>
      <c r="O249" s="2"/>
      <c r="P249" s="2"/>
      <c r="Q249" s="5"/>
      <c r="R249" s="5"/>
      <c r="S249" s="25"/>
      <c r="T249" s="64"/>
      <c r="U249" s="72"/>
      <c r="V249" s="48"/>
      <c r="W249" s="48"/>
      <c r="X249" s="41"/>
    </row>
    <row r="250" spans="2:24" x14ac:dyDescent="0.4">
      <c r="B250" s="5" t="s">
        <v>578</v>
      </c>
      <c r="C250" s="5" t="s">
        <v>723</v>
      </c>
      <c r="D250" s="25" t="s">
        <v>227</v>
      </c>
      <c r="E250" s="64" t="s">
        <v>230</v>
      </c>
      <c r="F250" s="2">
        <f t="shared" si="28"/>
        <v>0</v>
      </c>
      <c r="G250" s="2">
        <f t="shared" si="29"/>
        <v>0</v>
      </c>
      <c r="H250" s="2">
        <f t="shared" si="30"/>
        <v>0</v>
      </c>
      <c r="I250" s="12" t="e">
        <f t="shared" si="31"/>
        <v>#N/A</v>
      </c>
      <c r="J250" s="34" t="e">
        <f t="shared" si="35"/>
        <v>#N/A</v>
      </c>
      <c r="K250" s="34"/>
      <c r="L250" s="2">
        <f t="shared" si="32"/>
        <v>0</v>
      </c>
      <c r="M250" s="2">
        <f t="shared" si="33"/>
        <v>0</v>
      </c>
      <c r="N250" s="2">
        <f t="shared" si="34"/>
        <v>0</v>
      </c>
      <c r="O250" s="2"/>
      <c r="P250" s="2"/>
      <c r="Q250" s="5"/>
      <c r="R250" s="5"/>
      <c r="S250" s="25"/>
      <c r="T250" s="64"/>
      <c r="U250" s="72"/>
      <c r="V250" s="48"/>
      <c r="W250" s="48"/>
      <c r="X250" s="41"/>
    </row>
    <row r="251" spans="2:24" x14ac:dyDescent="0.4">
      <c r="B251" s="5" t="s">
        <v>579</v>
      </c>
      <c r="C251" s="5" t="s">
        <v>723</v>
      </c>
      <c r="D251" s="25" t="s">
        <v>227</v>
      </c>
      <c r="E251" s="64" t="s">
        <v>231</v>
      </c>
      <c r="F251" s="2">
        <f t="shared" si="28"/>
        <v>0</v>
      </c>
      <c r="G251" s="2">
        <f t="shared" si="29"/>
        <v>0</v>
      </c>
      <c r="H251" s="2">
        <f t="shared" si="30"/>
        <v>0</v>
      </c>
      <c r="I251" s="12" t="e">
        <f t="shared" si="31"/>
        <v>#N/A</v>
      </c>
      <c r="J251" s="34" t="e">
        <f t="shared" si="35"/>
        <v>#N/A</v>
      </c>
      <c r="K251" s="34"/>
      <c r="L251" s="2">
        <f t="shared" si="32"/>
        <v>0</v>
      </c>
      <c r="M251" s="2">
        <f t="shared" si="33"/>
        <v>0</v>
      </c>
      <c r="N251" s="2">
        <f t="shared" si="34"/>
        <v>0</v>
      </c>
      <c r="O251" s="2"/>
      <c r="P251" s="2"/>
      <c r="Q251" s="5"/>
      <c r="R251" s="5"/>
      <c r="S251" s="25"/>
      <c r="T251" s="64"/>
      <c r="U251" s="72"/>
      <c r="V251" s="48"/>
      <c r="W251" s="48"/>
      <c r="X251" s="41"/>
    </row>
    <row r="252" spans="2:24" ht="23.15" x14ac:dyDescent="0.4">
      <c r="B252" s="5" t="s">
        <v>580</v>
      </c>
      <c r="C252" s="5" t="s">
        <v>723</v>
      </c>
      <c r="D252" s="25" t="s">
        <v>227</v>
      </c>
      <c r="E252" s="64" t="s">
        <v>232</v>
      </c>
      <c r="F252" s="2">
        <f t="shared" si="28"/>
        <v>0</v>
      </c>
      <c r="G252" s="2">
        <f t="shared" si="29"/>
        <v>0</v>
      </c>
      <c r="H252" s="2">
        <f t="shared" si="30"/>
        <v>0</v>
      </c>
      <c r="I252" s="12" t="e">
        <f t="shared" si="31"/>
        <v>#N/A</v>
      </c>
      <c r="J252" s="34" t="e">
        <f t="shared" si="35"/>
        <v>#N/A</v>
      </c>
      <c r="K252" s="34"/>
      <c r="L252" s="2">
        <f t="shared" si="32"/>
        <v>0</v>
      </c>
      <c r="M252" s="2">
        <f t="shared" si="33"/>
        <v>0</v>
      </c>
      <c r="N252" s="2">
        <f t="shared" si="34"/>
        <v>0</v>
      </c>
      <c r="O252" s="2"/>
      <c r="P252" s="2"/>
      <c r="Q252" s="5"/>
      <c r="R252" s="5"/>
      <c r="S252" s="25"/>
      <c r="T252" s="64"/>
      <c r="U252" s="72"/>
      <c r="V252" s="48"/>
      <c r="W252" s="48"/>
      <c r="X252" s="41"/>
    </row>
    <row r="253" spans="2:24" x14ac:dyDescent="0.4">
      <c r="B253" s="5" t="s">
        <v>581</v>
      </c>
      <c r="C253" s="5" t="s">
        <v>723</v>
      </c>
      <c r="D253" s="25" t="s">
        <v>227</v>
      </c>
      <c r="E253" s="64" t="s">
        <v>233</v>
      </c>
      <c r="F253" s="2">
        <f t="shared" si="28"/>
        <v>0</v>
      </c>
      <c r="G253" s="2">
        <f t="shared" si="29"/>
        <v>0</v>
      </c>
      <c r="H253" s="2">
        <f t="shared" si="30"/>
        <v>0</v>
      </c>
      <c r="I253" s="12" t="e">
        <f t="shared" si="31"/>
        <v>#N/A</v>
      </c>
      <c r="J253" s="34" t="e">
        <f t="shared" si="35"/>
        <v>#N/A</v>
      </c>
      <c r="K253" s="34"/>
      <c r="L253" s="2">
        <f t="shared" si="32"/>
        <v>0</v>
      </c>
      <c r="M253" s="2">
        <f t="shared" si="33"/>
        <v>0</v>
      </c>
      <c r="N253" s="2">
        <f t="shared" si="34"/>
        <v>0</v>
      </c>
      <c r="O253" s="2"/>
      <c r="P253" s="2"/>
      <c r="Q253" s="5"/>
      <c r="R253" s="5"/>
      <c r="S253" s="25"/>
      <c r="T253" s="64"/>
      <c r="U253" s="72"/>
      <c r="V253" s="48"/>
      <c r="W253" s="48"/>
      <c r="X253" s="41"/>
    </row>
    <row r="254" spans="2:24" x14ac:dyDescent="0.4">
      <c r="B254" s="5" t="s">
        <v>582</v>
      </c>
      <c r="C254" s="5" t="s">
        <v>723</v>
      </c>
      <c r="D254" s="25" t="s">
        <v>227</v>
      </c>
      <c r="E254" s="64" t="s">
        <v>32</v>
      </c>
      <c r="F254" s="2">
        <f t="shared" si="28"/>
        <v>0</v>
      </c>
      <c r="G254" s="2">
        <f t="shared" si="29"/>
        <v>0</v>
      </c>
      <c r="H254" s="2">
        <f t="shared" si="30"/>
        <v>0</v>
      </c>
      <c r="I254" s="12" t="e">
        <f t="shared" si="31"/>
        <v>#N/A</v>
      </c>
      <c r="J254" s="34" t="e">
        <f t="shared" si="35"/>
        <v>#N/A</v>
      </c>
      <c r="K254" s="34"/>
      <c r="L254" s="2">
        <f t="shared" si="32"/>
        <v>0</v>
      </c>
      <c r="M254" s="2">
        <f t="shared" si="33"/>
        <v>0</v>
      </c>
      <c r="N254" s="2">
        <f t="shared" si="34"/>
        <v>0</v>
      </c>
      <c r="O254" s="2"/>
      <c r="P254" s="2"/>
      <c r="Q254" s="5"/>
      <c r="R254" s="5"/>
      <c r="S254" s="25"/>
      <c r="T254" s="64"/>
      <c r="U254" s="72"/>
      <c r="V254" s="48"/>
      <c r="W254" s="48"/>
      <c r="X254" s="41"/>
    </row>
    <row r="255" spans="2:24" x14ac:dyDescent="0.4">
      <c r="B255" s="5" t="s">
        <v>583</v>
      </c>
      <c r="C255" s="5" t="s">
        <v>723</v>
      </c>
      <c r="D255" s="25" t="s">
        <v>227</v>
      </c>
      <c r="E255" s="64" t="s">
        <v>234</v>
      </c>
      <c r="F255" s="2">
        <f t="shared" si="28"/>
        <v>0</v>
      </c>
      <c r="G255" s="2">
        <f t="shared" si="29"/>
        <v>0</v>
      </c>
      <c r="H255" s="2">
        <f t="shared" si="30"/>
        <v>0</v>
      </c>
      <c r="I255" s="12" t="e">
        <f t="shared" si="31"/>
        <v>#N/A</v>
      </c>
      <c r="J255" s="34" t="e">
        <f t="shared" si="35"/>
        <v>#N/A</v>
      </c>
      <c r="K255" s="34"/>
      <c r="L255" s="2">
        <f t="shared" si="32"/>
        <v>0</v>
      </c>
      <c r="M255" s="2">
        <f t="shared" si="33"/>
        <v>0</v>
      </c>
      <c r="N255" s="2">
        <f t="shared" si="34"/>
        <v>0</v>
      </c>
      <c r="O255" s="2"/>
      <c r="P255" s="2"/>
      <c r="Q255" s="5"/>
      <c r="R255" s="5"/>
      <c r="S255" s="25"/>
      <c r="T255" s="64"/>
      <c r="U255" s="72"/>
      <c r="V255" s="48"/>
      <c r="W255" s="48"/>
      <c r="X255" s="41"/>
    </row>
    <row r="256" spans="2:24" x14ac:dyDescent="0.4">
      <c r="B256" s="5" t="s">
        <v>584</v>
      </c>
      <c r="C256" s="5" t="s">
        <v>723</v>
      </c>
      <c r="D256" s="25" t="s">
        <v>227</v>
      </c>
      <c r="E256" s="64" t="s">
        <v>235</v>
      </c>
      <c r="F256" s="2">
        <f t="shared" si="28"/>
        <v>0</v>
      </c>
      <c r="G256" s="2">
        <f t="shared" si="29"/>
        <v>0</v>
      </c>
      <c r="H256" s="2">
        <f t="shared" si="30"/>
        <v>0</v>
      </c>
      <c r="I256" s="12" t="e">
        <f t="shared" si="31"/>
        <v>#N/A</v>
      </c>
      <c r="J256" s="34" t="e">
        <f t="shared" si="35"/>
        <v>#N/A</v>
      </c>
      <c r="K256" s="34"/>
      <c r="L256" s="2">
        <f t="shared" si="32"/>
        <v>0</v>
      </c>
      <c r="M256" s="2">
        <f t="shared" si="33"/>
        <v>0</v>
      </c>
      <c r="N256" s="2">
        <f t="shared" si="34"/>
        <v>0</v>
      </c>
      <c r="O256" s="2"/>
      <c r="P256" s="2"/>
      <c r="Q256" s="5"/>
      <c r="R256" s="5"/>
      <c r="S256" s="25"/>
      <c r="T256" s="64"/>
      <c r="U256" s="72"/>
      <c r="V256" s="48"/>
      <c r="W256" s="48"/>
      <c r="X256" s="41"/>
    </row>
    <row r="257" spans="2:24" x14ac:dyDescent="0.4">
      <c r="B257" s="5" t="s">
        <v>585</v>
      </c>
      <c r="C257" s="5" t="s">
        <v>723</v>
      </c>
      <c r="D257" s="25" t="s">
        <v>227</v>
      </c>
      <c r="E257" s="64" t="s">
        <v>236</v>
      </c>
      <c r="F257" s="2">
        <f t="shared" si="28"/>
        <v>0</v>
      </c>
      <c r="G257" s="2">
        <f t="shared" si="29"/>
        <v>0</v>
      </c>
      <c r="H257" s="2">
        <f t="shared" si="30"/>
        <v>0</v>
      </c>
      <c r="I257" s="12" t="e">
        <f t="shared" si="31"/>
        <v>#N/A</v>
      </c>
      <c r="J257" s="34" t="e">
        <f t="shared" si="35"/>
        <v>#N/A</v>
      </c>
      <c r="K257" s="34"/>
      <c r="L257" s="2">
        <f t="shared" si="32"/>
        <v>0</v>
      </c>
      <c r="M257" s="2">
        <f t="shared" si="33"/>
        <v>0</v>
      </c>
      <c r="N257" s="2">
        <f t="shared" si="34"/>
        <v>0</v>
      </c>
      <c r="O257" s="2"/>
      <c r="P257" s="2"/>
      <c r="Q257" s="5"/>
      <c r="R257" s="5"/>
      <c r="S257" s="25"/>
      <c r="T257" s="64"/>
      <c r="U257" s="72"/>
      <c r="V257" s="48"/>
      <c r="W257" s="48"/>
      <c r="X257" s="41"/>
    </row>
    <row r="258" spans="2:24" x14ac:dyDescent="0.4">
      <c r="B258" s="5" t="s">
        <v>586</v>
      </c>
      <c r="C258" s="5" t="s">
        <v>723</v>
      </c>
      <c r="D258" s="25" t="s">
        <v>227</v>
      </c>
      <c r="E258" s="64" t="s">
        <v>237</v>
      </c>
      <c r="F258" s="2">
        <f t="shared" si="28"/>
        <v>0</v>
      </c>
      <c r="G258" s="2">
        <f t="shared" si="29"/>
        <v>0</v>
      </c>
      <c r="H258" s="2">
        <f t="shared" si="30"/>
        <v>0</v>
      </c>
      <c r="I258" s="12" t="e">
        <f t="shared" si="31"/>
        <v>#N/A</v>
      </c>
      <c r="J258" s="34" t="e">
        <f t="shared" si="35"/>
        <v>#N/A</v>
      </c>
      <c r="K258" s="34"/>
      <c r="L258" s="2">
        <f t="shared" si="32"/>
        <v>0</v>
      </c>
      <c r="M258" s="2">
        <f t="shared" si="33"/>
        <v>0</v>
      </c>
      <c r="N258" s="2">
        <f t="shared" si="34"/>
        <v>0</v>
      </c>
      <c r="O258" s="2"/>
      <c r="P258" s="2"/>
      <c r="Q258" s="5"/>
      <c r="R258" s="5"/>
      <c r="S258" s="25"/>
      <c r="T258" s="64"/>
      <c r="U258" s="72"/>
      <c r="V258" s="48"/>
      <c r="W258" s="48"/>
      <c r="X258" s="41"/>
    </row>
    <row r="259" spans="2:24" x14ac:dyDescent="0.4">
      <c r="B259" s="5" t="s">
        <v>587</v>
      </c>
      <c r="C259" s="5" t="s">
        <v>723</v>
      </c>
      <c r="D259" s="25" t="s">
        <v>227</v>
      </c>
      <c r="E259" s="64" t="s">
        <v>51</v>
      </c>
      <c r="F259" s="2">
        <f t="shared" ref="F259:F322" si="36">+L259</f>
        <v>0</v>
      </c>
      <c r="G259" s="2">
        <f t="shared" ref="G259:G322" si="37">+M259</f>
        <v>0</v>
      </c>
      <c r="H259" s="2">
        <f t="shared" ref="H259:H322" si="38">+N259</f>
        <v>0</v>
      </c>
      <c r="I259" s="12" t="e">
        <f t="shared" si="31"/>
        <v>#N/A</v>
      </c>
      <c r="J259" s="34" t="e">
        <f t="shared" si="35"/>
        <v>#N/A</v>
      </c>
      <c r="K259" s="34"/>
      <c r="L259" s="2">
        <f t="shared" si="32"/>
        <v>0</v>
      </c>
      <c r="M259" s="2">
        <f t="shared" si="33"/>
        <v>0</v>
      </c>
      <c r="N259" s="2">
        <f t="shared" si="34"/>
        <v>0</v>
      </c>
      <c r="O259" s="2"/>
      <c r="P259" s="2"/>
      <c r="Q259" s="5"/>
      <c r="R259" s="5"/>
      <c r="S259" s="25"/>
      <c r="T259" s="64"/>
      <c r="U259" s="72"/>
      <c r="V259" s="48"/>
      <c r="W259" s="48"/>
      <c r="X259" s="41"/>
    </row>
    <row r="260" spans="2:24" x14ac:dyDescent="0.4">
      <c r="B260" s="5" t="s">
        <v>588</v>
      </c>
      <c r="C260" s="5" t="s">
        <v>723</v>
      </c>
      <c r="D260" s="25" t="s">
        <v>227</v>
      </c>
      <c r="E260" s="64" t="s">
        <v>238</v>
      </c>
      <c r="F260" s="2">
        <f t="shared" si="36"/>
        <v>0</v>
      </c>
      <c r="G260" s="2">
        <f t="shared" si="37"/>
        <v>0</v>
      </c>
      <c r="H260" s="2">
        <f t="shared" si="38"/>
        <v>0</v>
      </c>
      <c r="I260" s="12" t="e">
        <f t="shared" si="31"/>
        <v>#N/A</v>
      </c>
      <c r="J260" s="34" t="e">
        <f t="shared" si="35"/>
        <v>#N/A</v>
      </c>
      <c r="K260" s="34"/>
      <c r="L260" s="2">
        <f t="shared" si="32"/>
        <v>0</v>
      </c>
      <c r="M260" s="2">
        <f t="shared" si="33"/>
        <v>0</v>
      </c>
      <c r="N260" s="2">
        <f t="shared" si="34"/>
        <v>0</v>
      </c>
      <c r="O260" s="2"/>
      <c r="P260" s="2"/>
      <c r="Q260" s="5"/>
      <c r="R260" s="5"/>
      <c r="S260" s="25"/>
      <c r="T260" s="64"/>
      <c r="U260" s="72"/>
      <c r="V260" s="48"/>
      <c r="W260" s="48"/>
      <c r="X260" s="41"/>
    </row>
    <row r="261" spans="2:24" x14ac:dyDescent="0.4">
      <c r="B261" s="5" t="s">
        <v>589</v>
      </c>
      <c r="C261" s="5" t="s">
        <v>724</v>
      </c>
      <c r="D261" s="25" t="s">
        <v>239</v>
      </c>
      <c r="E261" s="64" t="s">
        <v>163</v>
      </c>
      <c r="F261" s="2">
        <f t="shared" si="36"/>
        <v>0</v>
      </c>
      <c r="G261" s="2">
        <f t="shared" si="37"/>
        <v>0</v>
      </c>
      <c r="H261" s="2">
        <f t="shared" si="38"/>
        <v>0</v>
      </c>
      <c r="I261" s="12" t="e">
        <f t="shared" ref="I261:I324" si="39">+VLOOKUP(B261,$Q$2:$U$373,5,FALSE)</f>
        <v>#N/A</v>
      </c>
      <c r="J261" s="34" t="e">
        <f t="shared" si="35"/>
        <v>#N/A</v>
      </c>
      <c r="K261" s="34"/>
      <c r="L261" s="2">
        <f t="shared" ref="L261:L324" si="40">IFERROR(VLOOKUP(B261,$Q$2:$U$373,5,FALSE),0)</f>
        <v>0</v>
      </c>
      <c r="M261" s="2">
        <f t="shared" ref="M261:M324" si="41">IFERROR(VLOOKUP(B261,$Q$2:$W$373,6,FALSE),0)</f>
        <v>0</v>
      </c>
      <c r="N261" s="2">
        <f t="shared" ref="N261:N324" si="42">IFERROR(VLOOKUP(B261,$Q$2:$W$373,7,FALSE),0)</f>
        <v>0</v>
      </c>
      <c r="O261" s="2"/>
      <c r="P261" s="2"/>
      <c r="Q261" s="5"/>
      <c r="R261" s="5"/>
      <c r="S261" s="25"/>
      <c r="T261" s="64"/>
      <c r="U261" s="72"/>
      <c r="V261" s="48"/>
      <c r="W261" s="48"/>
      <c r="X261" s="41"/>
    </row>
    <row r="262" spans="2:24" x14ac:dyDescent="0.4">
      <c r="B262" s="5" t="s">
        <v>590</v>
      </c>
      <c r="C262" s="5" t="s">
        <v>724</v>
      </c>
      <c r="D262" s="25" t="s">
        <v>239</v>
      </c>
      <c r="E262" s="64" t="s">
        <v>240</v>
      </c>
      <c r="F262" s="2">
        <f t="shared" si="36"/>
        <v>0</v>
      </c>
      <c r="G262" s="2">
        <f t="shared" si="37"/>
        <v>0</v>
      </c>
      <c r="H262" s="2">
        <f t="shared" si="38"/>
        <v>0</v>
      </c>
      <c r="I262" s="12" t="e">
        <f t="shared" si="39"/>
        <v>#N/A</v>
      </c>
      <c r="J262" s="34" t="e">
        <f t="shared" si="35"/>
        <v>#N/A</v>
      </c>
      <c r="K262" s="34"/>
      <c r="L262" s="2">
        <f t="shared" si="40"/>
        <v>0</v>
      </c>
      <c r="M262" s="2">
        <f t="shared" si="41"/>
        <v>0</v>
      </c>
      <c r="N262" s="2">
        <f t="shared" si="42"/>
        <v>0</v>
      </c>
      <c r="O262" s="2"/>
      <c r="P262" s="2"/>
      <c r="Q262" s="5"/>
      <c r="R262" s="5"/>
      <c r="S262" s="25"/>
      <c r="T262" s="64"/>
      <c r="U262" s="72"/>
      <c r="V262" s="48"/>
      <c r="W262" s="48"/>
      <c r="X262" s="41"/>
    </row>
    <row r="263" spans="2:24" x14ac:dyDescent="0.4">
      <c r="B263" s="5" t="s">
        <v>591</v>
      </c>
      <c r="C263" s="5" t="s">
        <v>724</v>
      </c>
      <c r="D263" s="25" t="s">
        <v>239</v>
      </c>
      <c r="E263" s="64" t="s">
        <v>59</v>
      </c>
      <c r="F263" s="2">
        <f t="shared" si="36"/>
        <v>0</v>
      </c>
      <c r="G263" s="2">
        <f t="shared" si="37"/>
        <v>0</v>
      </c>
      <c r="H263" s="2">
        <f t="shared" si="38"/>
        <v>0</v>
      </c>
      <c r="I263" s="12" t="e">
        <f t="shared" si="39"/>
        <v>#N/A</v>
      </c>
      <c r="J263" s="34" t="e">
        <f t="shared" si="35"/>
        <v>#N/A</v>
      </c>
      <c r="K263" s="34"/>
      <c r="L263" s="2">
        <f t="shared" si="40"/>
        <v>0</v>
      </c>
      <c r="M263" s="2">
        <f t="shared" si="41"/>
        <v>0</v>
      </c>
      <c r="N263" s="2">
        <f t="shared" si="42"/>
        <v>0</v>
      </c>
      <c r="O263" s="2"/>
      <c r="P263" s="2"/>
      <c r="Q263" s="5"/>
      <c r="R263" s="5"/>
      <c r="S263" s="25"/>
      <c r="T263" s="64"/>
      <c r="U263" s="72"/>
      <c r="V263" s="48"/>
      <c r="W263" s="48"/>
      <c r="X263" s="41"/>
    </row>
    <row r="264" spans="2:24" x14ac:dyDescent="0.4">
      <c r="B264" s="5" t="s">
        <v>592</v>
      </c>
      <c r="C264" s="5" t="s">
        <v>724</v>
      </c>
      <c r="D264" s="25" t="s">
        <v>239</v>
      </c>
      <c r="E264" s="64" t="s">
        <v>241</v>
      </c>
      <c r="F264" s="2">
        <f t="shared" si="36"/>
        <v>0</v>
      </c>
      <c r="G264" s="2">
        <f t="shared" si="37"/>
        <v>0</v>
      </c>
      <c r="H264" s="2">
        <f t="shared" si="38"/>
        <v>0</v>
      </c>
      <c r="I264" s="12" t="e">
        <f t="shared" si="39"/>
        <v>#N/A</v>
      </c>
      <c r="J264" s="34" t="e">
        <f t="shared" ref="J264:J327" si="43">+I264-F264</f>
        <v>#N/A</v>
      </c>
      <c r="K264" s="34"/>
      <c r="L264" s="2">
        <f t="shared" si="40"/>
        <v>0</v>
      </c>
      <c r="M264" s="2">
        <f t="shared" si="41"/>
        <v>0</v>
      </c>
      <c r="N264" s="2">
        <f t="shared" si="42"/>
        <v>0</v>
      </c>
      <c r="O264" s="2"/>
      <c r="P264" s="2"/>
      <c r="Q264" s="5"/>
      <c r="R264" s="5"/>
      <c r="S264" s="25"/>
      <c r="T264" s="64"/>
      <c r="U264" s="72"/>
      <c r="V264" s="48"/>
      <c r="W264" s="48"/>
      <c r="X264" s="41"/>
    </row>
    <row r="265" spans="2:24" x14ac:dyDescent="0.4">
      <c r="B265" s="5" t="s">
        <v>593</v>
      </c>
      <c r="C265" s="5" t="s">
        <v>724</v>
      </c>
      <c r="D265" s="25" t="s">
        <v>239</v>
      </c>
      <c r="E265" s="64" t="s">
        <v>242</v>
      </c>
      <c r="F265" s="2">
        <f t="shared" si="36"/>
        <v>0</v>
      </c>
      <c r="G265" s="2">
        <f t="shared" si="37"/>
        <v>0</v>
      </c>
      <c r="H265" s="2">
        <f t="shared" si="38"/>
        <v>0</v>
      </c>
      <c r="I265" s="12" t="e">
        <f t="shared" si="39"/>
        <v>#N/A</v>
      </c>
      <c r="J265" s="34" t="e">
        <f t="shared" si="43"/>
        <v>#N/A</v>
      </c>
      <c r="K265" s="34"/>
      <c r="L265" s="2">
        <f t="shared" si="40"/>
        <v>0</v>
      </c>
      <c r="M265" s="2">
        <f t="shared" si="41"/>
        <v>0</v>
      </c>
      <c r="N265" s="2">
        <f t="shared" si="42"/>
        <v>0</v>
      </c>
      <c r="O265" s="2"/>
      <c r="P265" s="2"/>
      <c r="Q265" s="5"/>
      <c r="R265" s="5"/>
      <c r="S265" s="25"/>
      <c r="T265" s="64"/>
      <c r="U265" s="72"/>
      <c r="V265" s="48"/>
      <c r="W265" s="48"/>
      <c r="X265" s="41"/>
    </row>
    <row r="266" spans="2:24" x14ac:dyDescent="0.4">
      <c r="B266" s="5" t="s">
        <v>594</v>
      </c>
      <c r="C266" s="5" t="s">
        <v>724</v>
      </c>
      <c r="D266" s="25" t="s">
        <v>239</v>
      </c>
      <c r="E266" s="64" t="s">
        <v>36</v>
      </c>
      <c r="F266" s="2">
        <f t="shared" si="36"/>
        <v>0</v>
      </c>
      <c r="G266" s="2">
        <f t="shared" si="37"/>
        <v>0</v>
      </c>
      <c r="H266" s="2">
        <f t="shared" si="38"/>
        <v>0</v>
      </c>
      <c r="I266" s="12" t="e">
        <f t="shared" si="39"/>
        <v>#N/A</v>
      </c>
      <c r="J266" s="34" t="e">
        <f t="shared" si="43"/>
        <v>#N/A</v>
      </c>
      <c r="K266" s="34"/>
      <c r="L266" s="2">
        <f t="shared" si="40"/>
        <v>0</v>
      </c>
      <c r="M266" s="2">
        <f t="shared" si="41"/>
        <v>0</v>
      </c>
      <c r="N266" s="2">
        <f t="shared" si="42"/>
        <v>0</v>
      </c>
      <c r="O266" s="2"/>
      <c r="P266" s="2"/>
      <c r="Q266" s="5"/>
      <c r="R266" s="5"/>
      <c r="S266" s="25"/>
      <c r="T266" s="64"/>
      <c r="U266" s="72"/>
      <c r="V266" s="48"/>
      <c r="W266" s="48"/>
      <c r="X266" s="41"/>
    </row>
    <row r="267" spans="2:24" x14ac:dyDescent="0.4">
      <c r="B267" s="5" t="s">
        <v>595</v>
      </c>
      <c r="C267" s="5" t="s">
        <v>724</v>
      </c>
      <c r="D267" s="25" t="s">
        <v>239</v>
      </c>
      <c r="E267" s="64" t="s">
        <v>243</v>
      </c>
      <c r="F267" s="2">
        <f t="shared" si="36"/>
        <v>0</v>
      </c>
      <c r="G267" s="2">
        <f t="shared" si="37"/>
        <v>0</v>
      </c>
      <c r="H267" s="2">
        <f t="shared" si="38"/>
        <v>0</v>
      </c>
      <c r="I267" s="12" t="e">
        <f t="shared" si="39"/>
        <v>#N/A</v>
      </c>
      <c r="J267" s="34" t="e">
        <f t="shared" si="43"/>
        <v>#N/A</v>
      </c>
      <c r="K267" s="34"/>
      <c r="L267" s="2">
        <f t="shared" si="40"/>
        <v>0</v>
      </c>
      <c r="M267" s="2">
        <f t="shared" si="41"/>
        <v>0</v>
      </c>
      <c r="N267" s="2">
        <f t="shared" si="42"/>
        <v>0</v>
      </c>
      <c r="O267" s="2"/>
      <c r="P267" s="2"/>
      <c r="Q267" s="5"/>
      <c r="R267" s="5"/>
      <c r="S267" s="25"/>
      <c r="T267" s="64"/>
      <c r="U267" s="72"/>
      <c r="V267" s="48"/>
      <c r="W267" s="48"/>
      <c r="X267" s="41"/>
    </row>
    <row r="268" spans="2:24" x14ac:dyDescent="0.4">
      <c r="B268" s="5" t="s">
        <v>596</v>
      </c>
      <c r="C268" s="5" t="s">
        <v>724</v>
      </c>
      <c r="D268" s="25" t="s">
        <v>239</v>
      </c>
      <c r="E268" s="64" t="s">
        <v>244</v>
      </c>
      <c r="F268" s="2">
        <f t="shared" si="36"/>
        <v>0</v>
      </c>
      <c r="G268" s="2">
        <f t="shared" si="37"/>
        <v>0</v>
      </c>
      <c r="H268" s="2">
        <f t="shared" si="38"/>
        <v>0</v>
      </c>
      <c r="I268" s="12" t="e">
        <f t="shared" si="39"/>
        <v>#N/A</v>
      </c>
      <c r="J268" s="34" t="e">
        <f t="shared" si="43"/>
        <v>#N/A</v>
      </c>
      <c r="K268" s="34"/>
      <c r="L268" s="2">
        <f t="shared" si="40"/>
        <v>0</v>
      </c>
      <c r="M268" s="2">
        <f t="shared" si="41"/>
        <v>0</v>
      </c>
      <c r="N268" s="2">
        <f t="shared" si="42"/>
        <v>0</v>
      </c>
      <c r="O268" s="2"/>
      <c r="P268" s="2"/>
      <c r="Q268" s="5"/>
      <c r="R268" s="5"/>
      <c r="S268" s="25"/>
      <c r="T268" s="64"/>
      <c r="U268" s="72"/>
      <c r="V268" s="48"/>
      <c r="W268" s="48"/>
      <c r="X268" s="41"/>
    </row>
    <row r="269" spans="2:24" x14ac:dyDescent="0.4">
      <c r="B269" s="5" t="s">
        <v>597</v>
      </c>
      <c r="C269" s="5" t="s">
        <v>724</v>
      </c>
      <c r="D269" s="25" t="s">
        <v>239</v>
      </c>
      <c r="E269" s="64" t="s">
        <v>44</v>
      </c>
      <c r="F269" s="2">
        <f t="shared" si="36"/>
        <v>0</v>
      </c>
      <c r="G269" s="2">
        <f t="shared" si="37"/>
        <v>0</v>
      </c>
      <c r="H269" s="2">
        <f t="shared" si="38"/>
        <v>0</v>
      </c>
      <c r="I269" s="12" t="e">
        <f t="shared" si="39"/>
        <v>#N/A</v>
      </c>
      <c r="J269" s="34" t="e">
        <f t="shared" si="43"/>
        <v>#N/A</v>
      </c>
      <c r="K269" s="34"/>
      <c r="L269" s="2">
        <f t="shared" si="40"/>
        <v>0</v>
      </c>
      <c r="M269" s="2">
        <f t="shared" si="41"/>
        <v>0</v>
      </c>
      <c r="N269" s="2">
        <f t="shared" si="42"/>
        <v>0</v>
      </c>
      <c r="O269" s="2"/>
      <c r="P269" s="2"/>
      <c r="Q269" s="5"/>
      <c r="R269" s="5"/>
      <c r="S269" s="25"/>
      <c r="T269" s="64"/>
      <c r="U269" s="72"/>
      <c r="V269" s="48"/>
      <c r="W269" s="48"/>
      <c r="X269" s="41"/>
    </row>
    <row r="270" spans="2:24" x14ac:dyDescent="0.4">
      <c r="B270" s="5" t="s">
        <v>598</v>
      </c>
      <c r="C270" s="5" t="s">
        <v>724</v>
      </c>
      <c r="D270" s="25" t="s">
        <v>239</v>
      </c>
      <c r="E270" s="64" t="s">
        <v>222</v>
      </c>
      <c r="F270" s="2">
        <f t="shared" si="36"/>
        <v>0</v>
      </c>
      <c r="G270" s="2">
        <f t="shared" si="37"/>
        <v>0</v>
      </c>
      <c r="H270" s="2">
        <f t="shared" si="38"/>
        <v>0</v>
      </c>
      <c r="I270" s="12" t="e">
        <f t="shared" si="39"/>
        <v>#N/A</v>
      </c>
      <c r="J270" s="34" t="e">
        <f t="shared" si="43"/>
        <v>#N/A</v>
      </c>
      <c r="K270" s="34"/>
      <c r="L270" s="2">
        <f t="shared" si="40"/>
        <v>0</v>
      </c>
      <c r="M270" s="2">
        <f t="shared" si="41"/>
        <v>0</v>
      </c>
      <c r="N270" s="2">
        <f t="shared" si="42"/>
        <v>0</v>
      </c>
      <c r="O270" s="2"/>
      <c r="P270" s="2"/>
      <c r="Q270" s="5"/>
      <c r="R270" s="5"/>
      <c r="S270" s="25"/>
      <c r="T270" s="64"/>
      <c r="U270" s="72"/>
      <c r="V270" s="48"/>
      <c r="W270" s="48"/>
      <c r="X270" s="41"/>
    </row>
    <row r="271" spans="2:24" x14ac:dyDescent="0.4">
      <c r="B271" s="5" t="s">
        <v>599</v>
      </c>
      <c r="C271" s="5" t="s">
        <v>724</v>
      </c>
      <c r="D271" s="25" t="s">
        <v>239</v>
      </c>
      <c r="E271" s="64" t="s">
        <v>245</v>
      </c>
      <c r="F271" s="2">
        <f t="shared" si="36"/>
        <v>0</v>
      </c>
      <c r="G271" s="2">
        <f t="shared" si="37"/>
        <v>0</v>
      </c>
      <c r="H271" s="2">
        <f t="shared" si="38"/>
        <v>0</v>
      </c>
      <c r="I271" s="12" t="e">
        <f t="shared" si="39"/>
        <v>#N/A</v>
      </c>
      <c r="J271" s="34" t="e">
        <f t="shared" si="43"/>
        <v>#N/A</v>
      </c>
      <c r="K271" s="34"/>
      <c r="L271" s="2">
        <f t="shared" si="40"/>
        <v>0</v>
      </c>
      <c r="M271" s="2">
        <f t="shared" si="41"/>
        <v>0</v>
      </c>
      <c r="N271" s="2">
        <f t="shared" si="42"/>
        <v>0</v>
      </c>
      <c r="O271" s="2"/>
      <c r="P271" s="2"/>
      <c r="Q271" s="5"/>
      <c r="R271" s="5"/>
      <c r="S271" s="25"/>
      <c r="T271" s="64"/>
      <c r="U271" s="72"/>
      <c r="V271" s="48"/>
      <c r="W271" s="48"/>
      <c r="X271" s="41"/>
    </row>
    <row r="272" spans="2:24" x14ac:dyDescent="0.4">
      <c r="B272" s="5" t="s">
        <v>600</v>
      </c>
      <c r="C272" s="5" t="s">
        <v>724</v>
      </c>
      <c r="D272" s="25" t="s">
        <v>239</v>
      </c>
      <c r="E272" s="64" t="s">
        <v>246</v>
      </c>
      <c r="F272" s="2">
        <f t="shared" si="36"/>
        <v>0</v>
      </c>
      <c r="G272" s="2">
        <f t="shared" si="37"/>
        <v>0</v>
      </c>
      <c r="H272" s="2">
        <f t="shared" si="38"/>
        <v>0</v>
      </c>
      <c r="I272" s="12" t="e">
        <f t="shared" si="39"/>
        <v>#N/A</v>
      </c>
      <c r="J272" s="34" t="e">
        <f t="shared" si="43"/>
        <v>#N/A</v>
      </c>
      <c r="K272" s="34"/>
      <c r="L272" s="2">
        <f t="shared" si="40"/>
        <v>0</v>
      </c>
      <c r="M272" s="2">
        <f t="shared" si="41"/>
        <v>0</v>
      </c>
      <c r="N272" s="2">
        <f t="shared" si="42"/>
        <v>0</v>
      </c>
      <c r="O272" s="2"/>
      <c r="P272" s="2"/>
      <c r="Q272" s="5"/>
      <c r="R272" s="5"/>
      <c r="S272" s="25"/>
      <c r="T272" s="64"/>
      <c r="U272" s="72"/>
      <c r="V272" s="48"/>
      <c r="W272" s="48"/>
      <c r="X272" s="41"/>
    </row>
    <row r="273" spans="2:24" x14ac:dyDescent="0.4">
      <c r="B273" s="5" t="s">
        <v>601</v>
      </c>
      <c r="C273" s="5" t="s">
        <v>724</v>
      </c>
      <c r="D273" s="25" t="s">
        <v>239</v>
      </c>
      <c r="E273" s="64" t="s">
        <v>247</v>
      </c>
      <c r="F273" s="2">
        <f t="shared" si="36"/>
        <v>0</v>
      </c>
      <c r="G273" s="2">
        <f t="shared" si="37"/>
        <v>0</v>
      </c>
      <c r="H273" s="2">
        <f t="shared" si="38"/>
        <v>0</v>
      </c>
      <c r="I273" s="12" t="e">
        <f t="shared" si="39"/>
        <v>#N/A</v>
      </c>
      <c r="J273" s="34" t="e">
        <f t="shared" si="43"/>
        <v>#N/A</v>
      </c>
      <c r="K273" s="34"/>
      <c r="L273" s="2">
        <f t="shared" si="40"/>
        <v>0</v>
      </c>
      <c r="M273" s="2">
        <f t="shared" si="41"/>
        <v>0</v>
      </c>
      <c r="N273" s="2">
        <f t="shared" si="42"/>
        <v>0</v>
      </c>
      <c r="O273" s="2"/>
      <c r="P273" s="2"/>
      <c r="Q273" s="5"/>
      <c r="R273" s="5"/>
      <c r="S273" s="25"/>
      <c r="T273" s="64"/>
      <c r="U273" s="72"/>
      <c r="V273" s="48"/>
      <c r="W273" s="48"/>
      <c r="X273" s="41"/>
    </row>
    <row r="274" spans="2:24" x14ac:dyDescent="0.4">
      <c r="B274" s="5" t="s">
        <v>602</v>
      </c>
      <c r="C274" s="5" t="s">
        <v>724</v>
      </c>
      <c r="D274" s="25" t="s">
        <v>239</v>
      </c>
      <c r="E274" s="64" t="s">
        <v>51</v>
      </c>
      <c r="F274" s="2">
        <f t="shared" si="36"/>
        <v>0</v>
      </c>
      <c r="G274" s="2">
        <f t="shared" si="37"/>
        <v>0</v>
      </c>
      <c r="H274" s="2">
        <f t="shared" si="38"/>
        <v>0</v>
      </c>
      <c r="I274" s="12" t="e">
        <f t="shared" si="39"/>
        <v>#N/A</v>
      </c>
      <c r="J274" s="34" t="e">
        <f t="shared" si="43"/>
        <v>#N/A</v>
      </c>
      <c r="K274" s="34"/>
      <c r="L274" s="2">
        <f t="shared" si="40"/>
        <v>0</v>
      </c>
      <c r="M274" s="2">
        <f t="shared" si="41"/>
        <v>0</v>
      </c>
      <c r="N274" s="2">
        <f t="shared" si="42"/>
        <v>0</v>
      </c>
      <c r="O274" s="2"/>
      <c r="P274" s="2"/>
      <c r="Q274" s="5"/>
      <c r="R274" s="5"/>
      <c r="S274" s="25"/>
      <c r="T274" s="64"/>
      <c r="U274" s="72"/>
      <c r="V274" s="48"/>
      <c r="W274" s="48"/>
      <c r="X274" s="41"/>
    </row>
    <row r="275" spans="2:24" x14ac:dyDescent="0.4">
      <c r="B275" s="5" t="s">
        <v>603</v>
      </c>
      <c r="C275" s="5" t="s">
        <v>724</v>
      </c>
      <c r="D275" s="25" t="s">
        <v>239</v>
      </c>
      <c r="E275" s="65" t="s">
        <v>248</v>
      </c>
      <c r="F275" s="2">
        <f t="shared" si="36"/>
        <v>0</v>
      </c>
      <c r="G275" s="2">
        <f t="shared" si="37"/>
        <v>0</v>
      </c>
      <c r="H275" s="2">
        <f t="shared" si="38"/>
        <v>0</v>
      </c>
      <c r="I275" s="12" t="e">
        <f t="shared" si="39"/>
        <v>#N/A</v>
      </c>
      <c r="J275" s="34" t="e">
        <f t="shared" si="43"/>
        <v>#N/A</v>
      </c>
      <c r="K275" s="34"/>
      <c r="L275" s="2">
        <f t="shared" si="40"/>
        <v>0</v>
      </c>
      <c r="M275" s="2">
        <f t="shared" si="41"/>
        <v>0</v>
      </c>
      <c r="N275" s="2">
        <f t="shared" si="42"/>
        <v>0</v>
      </c>
      <c r="O275" s="2"/>
      <c r="P275" s="2"/>
      <c r="Q275" s="5"/>
      <c r="R275" s="5"/>
      <c r="S275" s="25"/>
      <c r="T275" s="64"/>
      <c r="U275" s="72"/>
      <c r="V275" s="48"/>
      <c r="W275" s="48"/>
      <c r="X275" s="41"/>
    </row>
    <row r="276" spans="2:24" x14ac:dyDescent="0.4">
      <c r="B276" s="5" t="s">
        <v>604</v>
      </c>
      <c r="C276" s="5" t="s">
        <v>725</v>
      </c>
      <c r="D276" s="25" t="s">
        <v>249</v>
      </c>
      <c r="E276" s="64" t="s">
        <v>174</v>
      </c>
      <c r="F276" s="2">
        <f t="shared" si="36"/>
        <v>0</v>
      </c>
      <c r="G276" s="2">
        <f t="shared" si="37"/>
        <v>0</v>
      </c>
      <c r="H276" s="2">
        <f t="shared" si="38"/>
        <v>0</v>
      </c>
      <c r="I276" s="12" t="e">
        <f t="shared" si="39"/>
        <v>#N/A</v>
      </c>
      <c r="J276" s="34" t="e">
        <f t="shared" si="43"/>
        <v>#N/A</v>
      </c>
      <c r="K276" s="34"/>
      <c r="L276" s="2">
        <f t="shared" si="40"/>
        <v>0</v>
      </c>
      <c r="M276" s="2">
        <f t="shared" si="41"/>
        <v>0</v>
      </c>
      <c r="N276" s="2">
        <f t="shared" si="42"/>
        <v>0</v>
      </c>
      <c r="O276" s="2"/>
      <c r="P276" s="2"/>
      <c r="Q276" s="5"/>
      <c r="R276" s="5"/>
      <c r="S276" s="61"/>
      <c r="T276" s="64"/>
      <c r="U276" s="72"/>
      <c r="V276" s="48"/>
      <c r="W276" s="48"/>
      <c r="X276" s="41"/>
    </row>
    <row r="277" spans="2:24" x14ac:dyDescent="0.4">
      <c r="B277" s="5" t="s">
        <v>605</v>
      </c>
      <c r="C277" s="5" t="s">
        <v>725</v>
      </c>
      <c r="D277" s="25" t="s">
        <v>249</v>
      </c>
      <c r="E277" s="64" t="s">
        <v>250</v>
      </c>
      <c r="F277" s="2">
        <f t="shared" si="36"/>
        <v>0</v>
      </c>
      <c r="G277" s="2">
        <f t="shared" si="37"/>
        <v>0</v>
      </c>
      <c r="H277" s="2">
        <f t="shared" si="38"/>
        <v>0</v>
      </c>
      <c r="I277" s="12" t="e">
        <f t="shared" si="39"/>
        <v>#N/A</v>
      </c>
      <c r="J277" s="34" t="e">
        <f t="shared" si="43"/>
        <v>#N/A</v>
      </c>
      <c r="K277" s="34"/>
      <c r="L277" s="2">
        <f t="shared" si="40"/>
        <v>0</v>
      </c>
      <c r="M277" s="2">
        <f t="shared" si="41"/>
        <v>0</v>
      </c>
      <c r="N277" s="2">
        <f t="shared" si="42"/>
        <v>0</v>
      </c>
      <c r="O277" s="2"/>
      <c r="P277" s="2"/>
      <c r="Q277" s="5"/>
      <c r="R277" s="5"/>
      <c r="S277" s="61"/>
      <c r="T277" s="64"/>
      <c r="U277" s="72"/>
      <c r="V277" s="48"/>
      <c r="W277" s="48"/>
      <c r="X277" s="41"/>
    </row>
    <row r="278" spans="2:24" x14ac:dyDescent="0.4">
      <c r="B278" s="5" t="s">
        <v>606</v>
      </c>
      <c r="C278" s="5" t="s">
        <v>725</v>
      </c>
      <c r="D278" s="25" t="s">
        <v>249</v>
      </c>
      <c r="E278" s="64" t="s">
        <v>251</v>
      </c>
      <c r="F278" s="2">
        <f t="shared" si="36"/>
        <v>0</v>
      </c>
      <c r="G278" s="2">
        <f t="shared" si="37"/>
        <v>0</v>
      </c>
      <c r="H278" s="2">
        <f t="shared" si="38"/>
        <v>0</v>
      </c>
      <c r="I278" s="12" t="e">
        <f t="shared" si="39"/>
        <v>#N/A</v>
      </c>
      <c r="J278" s="34" t="e">
        <f t="shared" si="43"/>
        <v>#N/A</v>
      </c>
      <c r="K278" s="34"/>
      <c r="L278" s="2">
        <f t="shared" si="40"/>
        <v>0</v>
      </c>
      <c r="M278" s="2">
        <f t="shared" si="41"/>
        <v>0</v>
      </c>
      <c r="N278" s="2">
        <f t="shared" si="42"/>
        <v>0</v>
      </c>
      <c r="O278" s="2"/>
      <c r="P278" s="2"/>
      <c r="Q278" s="5"/>
      <c r="R278" s="5"/>
      <c r="S278" s="61"/>
      <c r="T278" s="64"/>
      <c r="U278" s="72"/>
      <c r="V278" s="48"/>
      <c r="W278" s="48"/>
      <c r="X278" s="41"/>
    </row>
    <row r="279" spans="2:24" x14ac:dyDescent="0.4">
      <c r="B279" s="5" t="s">
        <v>607</v>
      </c>
      <c r="C279" s="5" t="s">
        <v>725</v>
      </c>
      <c r="D279" s="25" t="s">
        <v>249</v>
      </c>
      <c r="E279" s="64" t="s">
        <v>36</v>
      </c>
      <c r="F279" s="2">
        <f t="shared" si="36"/>
        <v>0</v>
      </c>
      <c r="G279" s="2">
        <f t="shared" si="37"/>
        <v>0</v>
      </c>
      <c r="H279" s="2">
        <f t="shared" si="38"/>
        <v>0</v>
      </c>
      <c r="I279" s="12" t="e">
        <f t="shared" si="39"/>
        <v>#N/A</v>
      </c>
      <c r="J279" s="34" t="e">
        <f t="shared" si="43"/>
        <v>#N/A</v>
      </c>
      <c r="K279" s="34"/>
      <c r="L279" s="2">
        <f t="shared" si="40"/>
        <v>0</v>
      </c>
      <c r="M279" s="2">
        <f t="shared" si="41"/>
        <v>0</v>
      </c>
      <c r="N279" s="2">
        <f t="shared" si="42"/>
        <v>0</v>
      </c>
      <c r="O279" s="2"/>
      <c r="P279" s="2"/>
      <c r="Q279" s="5"/>
      <c r="R279" s="5"/>
      <c r="S279" s="61"/>
      <c r="T279" s="64"/>
      <c r="U279" s="72"/>
      <c r="V279" s="48"/>
      <c r="W279" s="48"/>
      <c r="X279" s="41"/>
    </row>
    <row r="280" spans="2:24" x14ac:dyDescent="0.4">
      <c r="B280" s="5" t="s">
        <v>608</v>
      </c>
      <c r="C280" s="5" t="s">
        <v>725</v>
      </c>
      <c r="D280" s="25" t="s">
        <v>249</v>
      </c>
      <c r="E280" s="64" t="s">
        <v>252</v>
      </c>
      <c r="F280" s="2">
        <f t="shared" si="36"/>
        <v>0</v>
      </c>
      <c r="G280" s="2">
        <f t="shared" si="37"/>
        <v>0</v>
      </c>
      <c r="H280" s="2">
        <f t="shared" si="38"/>
        <v>0</v>
      </c>
      <c r="I280" s="12" t="e">
        <f t="shared" si="39"/>
        <v>#N/A</v>
      </c>
      <c r="J280" s="34" t="e">
        <f t="shared" si="43"/>
        <v>#N/A</v>
      </c>
      <c r="K280" s="34"/>
      <c r="L280" s="2">
        <f t="shared" si="40"/>
        <v>0</v>
      </c>
      <c r="M280" s="2">
        <f t="shared" si="41"/>
        <v>0</v>
      </c>
      <c r="N280" s="2">
        <f t="shared" si="42"/>
        <v>0</v>
      </c>
      <c r="O280" s="2"/>
      <c r="P280" s="2"/>
      <c r="Q280" s="5"/>
      <c r="R280" s="5"/>
      <c r="S280" s="61"/>
      <c r="T280" s="64"/>
      <c r="U280" s="72"/>
      <c r="V280" s="48"/>
      <c r="W280" s="48"/>
      <c r="X280" s="41"/>
    </row>
    <row r="281" spans="2:24" x14ac:dyDescent="0.4">
      <c r="B281" s="5" t="s">
        <v>609</v>
      </c>
      <c r="C281" s="5" t="s">
        <v>725</v>
      </c>
      <c r="D281" s="25" t="s">
        <v>249</v>
      </c>
      <c r="E281" s="64" t="s">
        <v>253</v>
      </c>
      <c r="F281" s="2">
        <f t="shared" si="36"/>
        <v>0</v>
      </c>
      <c r="G281" s="2">
        <f t="shared" si="37"/>
        <v>0</v>
      </c>
      <c r="H281" s="2">
        <f t="shared" si="38"/>
        <v>0</v>
      </c>
      <c r="I281" s="12" t="e">
        <f t="shared" si="39"/>
        <v>#N/A</v>
      </c>
      <c r="J281" s="34" t="e">
        <f t="shared" si="43"/>
        <v>#N/A</v>
      </c>
      <c r="K281" s="34"/>
      <c r="L281" s="2">
        <f t="shared" si="40"/>
        <v>0</v>
      </c>
      <c r="M281" s="2">
        <f t="shared" si="41"/>
        <v>0</v>
      </c>
      <c r="N281" s="2">
        <f t="shared" si="42"/>
        <v>0</v>
      </c>
      <c r="O281" s="2"/>
      <c r="P281" s="2"/>
      <c r="Q281" s="5"/>
      <c r="R281" s="5"/>
      <c r="S281" s="61"/>
      <c r="T281" s="64"/>
      <c r="U281" s="72"/>
      <c r="V281" s="48"/>
      <c r="W281" s="48"/>
      <c r="X281" s="41"/>
    </row>
    <row r="282" spans="2:24" x14ac:dyDescent="0.4">
      <c r="B282" s="5" t="s">
        <v>610</v>
      </c>
      <c r="C282" s="5" t="s">
        <v>725</v>
      </c>
      <c r="D282" s="25" t="s">
        <v>249</v>
      </c>
      <c r="E282" s="64" t="s">
        <v>254</v>
      </c>
      <c r="F282" s="2">
        <f t="shared" si="36"/>
        <v>0</v>
      </c>
      <c r="G282" s="2">
        <f t="shared" si="37"/>
        <v>0</v>
      </c>
      <c r="H282" s="2">
        <f t="shared" si="38"/>
        <v>0</v>
      </c>
      <c r="I282" s="12" t="e">
        <f t="shared" si="39"/>
        <v>#N/A</v>
      </c>
      <c r="J282" s="34" t="e">
        <f t="shared" si="43"/>
        <v>#N/A</v>
      </c>
      <c r="K282" s="34"/>
      <c r="L282" s="2">
        <f t="shared" si="40"/>
        <v>0</v>
      </c>
      <c r="M282" s="2">
        <f t="shared" si="41"/>
        <v>0</v>
      </c>
      <c r="N282" s="2">
        <f t="shared" si="42"/>
        <v>0</v>
      </c>
      <c r="O282" s="2"/>
      <c r="P282" s="2"/>
      <c r="Q282" s="5"/>
      <c r="R282" s="5"/>
      <c r="S282" s="61"/>
      <c r="T282" s="64"/>
      <c r="U282" s="72"/>
      <c r="V282" s="48"/>
      <c r="W282" s="48"/>
      <c r="X282" s="41"/>
    </row>
    <row r="283" spans="2:24" x14ac:dyDescent="0.4">
      <c r="B283" s="5" t="s">
        <v>611</v>
      </c>
      <c r="C283" s="5" t="s">
        <v>725</v>
      </c>
      <c r="D283" s="25" t="s">
        <v>249</v>
      </c>
      <c r="E283" s="64" t="s">
        <v>11</v>
      </c>
      <c r="F283" s="2">
        <f t="shared" si="36"/>
        <v>0</v>
      </c>
      <c r="G283" s="2">
        <f t="shared" si="37"/>
        <v>0</v>
      </c>
      <c r="H283" s="2">
        <f t="shared" si="38"/>
        <v>0</v>
      </c>
      <c r="I283" s="12" t="e">
        <f t="shared" si="39"/>
        <v>#N/A</v>
      </c>
      <c r="J283" s="34" t="e">
        <f t="shared" si="43"/>
        <v>#N/A</v>
      </c>
      <c r="K283" s="34"/>
      <c r="L283" s="2">
        <f t="shared" si="40"/>
        <v>0</v>
      </c>
      <c r="M283" s="2">
        <f t="shared" si="41"/>
        <v>0</v>
      </c>
      <c r="N283" s="2">
        <f t="shared" si="42"/>
        <v>0</v>
      </c>
      <c r="O283" s="2"/>
      <c r="P283" s="2"/>
      <c r="Q283" s="5"/>
      <c r="R283" s="5"/>
      <c r="S283" s="61"/>
      <c r="T283" s="64"/>
      <c r="U283" s="72"/>
      <c r="V283" s="48"/>
      <c r="W283" s="48"/>
      <c r="X283" s="41"/>
    </row>
    <row r="284" spans="2:24" x14ac:dyDescent="0.4">
      <c r="B284" s="5" t="s">
        <v>612</v>
      </c>
      <c r="C284" s="5" t="s">
        <v>725</v>
      </c>
      <c r="D284" s="25" t="s">
        <v>249</v>
      </c>
      <c r="E284" s="64" t="s">
        <v>255</v>
      </c>
      <c r="F284" s="2">
        <f t="shared" si="36"/>
        <v>0</v>
      </c>
      <c r="G284" s="2">
        <f t="shared" si="37"/>
        <v>0</v>
      </c>
      <c r="H284" s="2">
        <f t="shared" si="38"/>
        <v>0</v>
      </c>
      <c r="I284" s="12" t="e">
        <f t="shared" si="39"/>
        <v>#N/A</v>
      </c>
      <c r="J284" s="34" t="e">
        <f t="shared" si="43"/>
        <v>#N/A</v>
      </c>
      <c r="K284" s="34"/>
      <c r="L284" s="2">
        <f t="shared" si="40"/>
        <v>0</v>
      </c>
      <c r="M284" s="2">
        <f t="shared" si="41"/>
        <v>0</v>
      </c>
      <c r="N284" s="2">
        <f t="shared" si="42"/>
        <v>0</v>
      </c>
      <c r="O284" s="2"/>
      <c r="P284" s="2"/>
      <c r="Q284" s="5"/>
      <c r="R284" s="5"/>
      <c r="S284" s="61"/>
      <c r="T284" s="64"/>
      <c r="U284" s="72"/>
      <c r="V284" s="48"/>
      <c r="W284" s="48"/>
      <c r="X284" s="41"/>
    </row>
    <row r="285" spans="2:24" x14ac:dyDescent="0.4">
      <c r="B285" s="5" t="s">
        <v>613</v>
      </c>
      <c r="C285" s="5" t="s">
        <v>725</v>
      </c>
      <c r="D285" s="25" t="s">
        <v>249</v>
      </c>
      <c r="E285" s="64" t="s">
        <v>256</v>
      </c>
      <c r="F285" s="2">
        <f t="shared" si="36"/>
        <v>0</v>
      </c>
      <c r="G285" s="2">
        <f t="shared" si="37"/>
        <v>0</v>
      </c>
      <c r="H285" s="2">
        <f t="shared" si="38"/>
        <v>0</v>
      </c>
      <c r="I285" s="12" t="e">
        <f t="shared" si="39"/>
        <v>#N/A</v>
      </c>
      <c r="J285" s="34" t="e">
        <f t="shared" si="43"/>
        <v>#N/A</v>
      </c>
      <c r="K285" s="34"/>
      <c r="L285" s="2">
        <f t="shared" si="40"/>
        <v>0</v>
      </c>
      <c r="M285" s="2">
        <f t="shared" si="41"/>
        <v>0</v>
      </c>
      <c r="N285" s="2">
        <f t="shared" si="42"/>
        <v>0</v>
      </c>
      <c r="O285" s="2"/>
      <c r="P285" s="2"/>
      <c r="Q285" s="5"/>
      <c r="R285" s="5"/>
      <c r="S285" s="61"/>
      <c r="T285" s="64"/>
      <c r="U285" s="72"/>
      <c r="V285" s="48"/>
      <c r="W285" s="48"/>
      <c r="X285" s="41"/>
    </row>
    <row r="286" spans="2:24" x14ac:dyDescent="0.4">
      <c r="B286" s="5" t="s">
        <v>614</v>
      </c>
      <c r="C286" s="5" t="s">
        <v>725</v>
      </c>
      <c r="D286" s="25" t="s">
        <v>249</v>
      </c>
      <c r="E286" s="64" t="s">
        <v>14</v>
      </c>
      <c r="F286" s="2">
        <f t="shared" si="36"/>
        <v>0</v>
      </c>
      <c r="G286" s="2">
        <f t="shared" si="37"/>
        <v>0</v>
      </c>
      <c r="H286" s="2">
        <f t="shared" si="38"/>
        <v>0</v>
      </c>
      <c r="I286" s="12" t="e">
        <f t="shared" si="39"/>
        <v>#N/A</v>
      </c>
      <c r="J286" s="34" t="e">
        <f t="shared" si="43"/>
        <v>#N/A</v>
      </c>
      <c r="K286" s="34"/>
      <c r="L286" s="2">
        <f t="shared" si="40"/>
        <v>0</v>
      </c>
      <c r="M286" s="2">
        <f t="shared" si="41"/>
        <v>0</v>
      </c>
      <c r="N286" s="2">
        <f t="shared" si="42"/>
        <v>0</v>
      </c>
      <c r="O286" s="2"/>
      <c r="P286" s="2"/>
      <c r="Q286" s="5"/>
      <c r="R286" s="5"/>
      <c r="S286" s="61"/>
      <c r="T286" s="64"/>
      <c r="U286" s="72"/>
      <c r="V286" s="48"/>
      <c r="W286" s="48"/>
      <c r="X286" s="41"/>
    </row>
    <row r="287" spans="2:24" x14ac:dyDescent="0.4">
      <c r="B287" s="5" t="s">
        <v>615</v>
      </c>
      <c r="C287" s="5" t="s">
        <v>725</v>
      </c>
      <c r="D287" s="25" t="s">
        <v>249</v>
      </c>
      <c r="E287" s="64" t="s">
        <v>257</v>
      </c>
      <c r="F287" s="2">
        <f t="shared" si="36"/>
        <v>0</v>
      </c>
      <c r="G287" s="2">
        <f t="shared" si="37"/>
        <v>0</v>
      </c>
      <c r="H287" s="2">
        <f t="shared" si="38"/>
        <v>0</v>
      </c>
      <c r="I287" s="12" t="e">
        <f t="shared" si="39"/>
        <v>#N/A</v>
      </c>
      <c r="J287" s="34" t="e">
        <f t="shared" si="43"/>
        <v>#N/A</v>
      </c>
      <c r="K287" s="34"/>
      <c r="L287" s="2">
        <f t="shared" si="40"/>
        <v>0</v>
      </c>
      <c r="M287" s="2">
        <f t="shared" si="41"/>
        <v>0</v>
      </c>
      <c r="N287" s="2">
        <f t="shared" si="42"/>
        <v>0</v>
      </c>
      <c r="O287" s="2"/>
      <c r="P287" s="2"/>
      <c r="Q287" s="5"/>
      <c r="R287" s="5"/>
      <c r="S287" s="61"/>
      <c r="T287" s="64"/>
      <c r="U287" s="72"/>
      <c r="V287" s="48"/>
      <c r="W287" s="48"/>
      <c r="X287" s="41"/>
    </row>
    <row r="288" spans="2:24" x14ac:dyDescent="0.4">
      <c r="B288" s="5" t="s">
        <v>616</v>
      </c>
      <c r="C288" s="5" t="s">
        <v>725</v>
      </c>
      <c r="D288" s="25" t="s">
        <v>249</v>
      </c>
      <c r="E288" s="64" t="s">
        <v>258</v>
      </c>
      <c r="F288" s="2">
        <f t="shared" si="36"/>
        <v>0</v>
      </c>
      <c r="G288" s="2">
        <f t="shared" si="37"/>
        <v>0</v>
      </c>
      <c r="H288" s="2">
        <f t="shared" si="38"/>
        <v>0</v>
      </c>
      <c r="I288" s="12" t="e">
        <f t="shared" si="39"/>
        <v>#N/A</v>
      </c>
      <c r="J288" s="34" t="e">
        <f t="shared" si="43"/>
        <v>#N/A</v>
      </c>
      <c r="K288" s="34"/>
      <c r="L288" s="2">
        <f t="shared" si="40"/>
        <v>0</v>
      </c>
      <c r="M288" s="2">
        <f t="shared" si="41"/>
        <v>0</v>
      </c>
      <c r="N288" s="2">
        <f t="shared" si="42"/>
        <v>0</v>
      </c>
      <c r="O288" s="2"/>
      <c r="P288" s="2"/>
      <c r="Q288" s="5"/>
      <c r="R288" s="5"/>
      <c r="S288" s="61"/>
      <c r="T288" s="64"/>
      <c r="U288" s="72"/>
      <c r="V288" s="48"/>
      <c r="W288" s="48"/>
      <c r="X288" s="41"/>
    </row>
    <row r="289" spans="2:24" x14ac:dyDescent="0.4">
      <c r="B289" s="5" t="s">
        <v>617</v>
      </c>
      <c r="C289" s="5" t="s">
        <v>725</v>
      </c>
      <c r="D289" s="25" t="s">
        <v>249</v>
      </c>
      <c r="E289" s="64" t="s">
        <v>259</v>
      </c>
      <c r="F289" s="2">
        <f t="shared" si="36"/>
        <v>0</v>
      </c>
      <c r="G289" s="2">
        <f t="shared" si="37"/>
        <v>0</v>
      </c>
      <c r="H289" s="2">
        <f t="shared" si="38"/>
        <v>0</v>
      </c>
      <c r="I289" s="12" t="e">
        <f t="shared" si="39"/>
        <v>#N/A</v>
      </c>
      <c r="J289" s="34" t="e">
        <f t="shared" si="43"/>
        <v>#N/A</v>
      </c>
      <c r="K289" s="34"/>
      <c r="L289" s="2">
        <f t="shared" si="40"/>
        <v>0</v>
      </c>
      <c r="M289" s="2">
        <f t="shared" si="41"/>
        <v>0</v>
      </c>
      <c r="N289" s="2">
        <f t="shared" si="42"/>
        <v>0</v>
      </c>
      <c r="O289" s="2"/>
      <c r="P289" s="2"/>
      <c r="Q289" s="5"/>
      <c r="R289" s="5"/>
      <c r="S289" s="61"/>
      <c r="T289" s="65"/>
      <c r="U289" s="72"/>
      <c r="V289" s="48"/>
      <c r="W289" s="48"/>
      <c r="X289" s="41"/>
    </row>
    <row r="290" spans="2:24" x14ac:dyDescent="0.4">
      <c r="B290" s="5" t="s">
        <v>618</v>
      </c>
      <c r="C290" s="5" t="s">
        <v>725</v>
      </c>
      <c r="D290" s="25" t="s">
        <v>249</v>
      </c>
      <c r="E290" s="64" t="s">
        <v>18</v>
      </c>
      <c r="F290" s="2">
        <f t="shared" si="36"/>
        <v>0</v>
      </c>
      <c r="G290" s="2">
        <f t="shared" si="37"/>
        <v>0</v>
      </c>
      <c r="H290" s="2">
        <f t="shared" si="38"/>
        <v>0</v>
      </c>
      <c r="I290" s="12" t="e">
        <f t="shared" si="39"/>
        <v>#N/A</v>
      </c>
      <c r="J290" s="34" t="e">
        <f t="shared" si="43"/>
        <v>#N/A</v>
      </c>
      <c r="K290" s="34"/>
      <c r="L290" s="2">
        <f t="shared" si="40"/>
        <v>0</v>
      </c>
      <c r="M290" s="2">
        <f t="shared" si="41"/>
        <v>0</v>
      </c>
      <c r="N290" s="2">
        <f t="shared" si="42"/>
        <v>0</v>
      </c>
      <c r="O290" s="2"/>
      <c r="P290" s="2"/>
      <c r="Q290" s="5"/>
      <c r="R290" s="5"/>
      <c r="S290" s="61"/>
      <c r="T290" s="64"/>
      <c r="U290" s="72"/>
      <c r="V290" s="48"/>
      <c r="W290" s="48"/>
      <c r="X290" s="41"/>
    </row>
    <row r="291" spans="2:24" x14ac:dyDescent="0.4">
      <c r="B291" s="5" t="s">
        <v>619</v>
      </c>
      <c r="C291" s="5" t="s">
        <v>725</v>
      </c>
      <c r="D291" s="25" t="s">
        <v>249</v>
      </c>
      <c r="E291" s="64" t="s">
        <v>44</v>
      </c>
      <c r="F291" s="2">
        <f t="shared" si="36"/>
        <v>0</v>
      </c>
      <c r="G291" s="2">
        <f t="shared" si="37"/>
        <v>0</v>
      </c>
      <c r="H291" s="2">
        <f t="shared" si="38"/>
        <v>0</v>
      </c>
      <c r="I291" s="12" t="e">
        <f t="shared" si="39"/>
        <v>#N/A</v>
      </c>
      <c r="J291" s="34" t="e">
        <f t="shared" si="43"/>
        <v>#N/A</v>
      </c>
      <c r="K291" s="34"/>
      <c r="L291" s="2">
        <f t="shared" si="40"/>
        <v>0</v>
      </c>
      <c r="M291" s="2">
        <f t="shared" si="41"/>
        <v>0</v>
      </c>
      <c r="N291" s="2">
        <f t="shared" si="42"/>
        <v>0</v>
      </c>
      <c r="O291" s="2"/>
      <c r="P291" s="2"/>
      <c r="Q291" s="5"/>
      <c r="R291" s="5"/>
      <c r="S291" s="61"/>
      <c r="T291" s="64"/>
      <c r="U291" s="72"/>
      <c r="V291" s="48"/>
      <c r="W291" s="48"/>
      <c r="X291" s="41"/>
    </row>
    <row r="292" spans="2:24" x14ac:dyDescent="0.4">
      <c r="B292" s="5" t="s">
        <v>620</v>
      </c>
      <c r="C292" s="5" t="s">
        <v>725</v>
      </c>
      <c r="D292" s="25" t="s">
        <v>249</v>
      </c>
      <c r="E292" s="64" t="s">
        <v>260</v>
      </c>
      <c r="F292" s="2">
        <f t="shared" si="36"/>
        <v>0</v>
      </c>
      <c r="G292" s="2">
        <f t="shared" si="37"/>
        <v>0</v>
      </c>
      <c r="H292" s="2">
        <f t="shared" si="38"/>
        <v>0</v>
      </c>
      <c r="I292" s="12" t="e">
        <f t="shared" si="39"/>
        <v>#N/A</v>
      </c>
      <c r="J292" s="34" t="e">
        <f t="shared" si="43"/>
        <v>#N/A</v>
      </c>
      <c r="K292" s="34"/>
      <c r="L292" s="2">
        <f t="shared" si="40"/>
        <v>0</v>
      </c>
      <c r="M292" s="2">
        <f t="shared" si="41"/>
        <v>0</v>
      </c>
      <c r="N292" s="2">
        <f t="shared" si="42"/>
        <v>0</v>
      </c>
      <c r="O292" s="2"/>
      <c r="P292" s="2"/>
      <c r="Q292" s="5"/>
      <c r="R292" s="5"/>
      <c r="S292" s="61"/>
      <c r="T292" s="64"/>
      <c r="U292" s="72"/>
      <c r="V292" s="48"/>
      <c r="W292" s="48"/>
      <c r="X292" s="41"/>
    </row>
    <row r="293" spans="2:24" x14ac:dyDescent="0.4">
      <c r="B293" s="5" t="s">
        <v>621</v>
      </c>
      <c r="C293" s="5" t="s">
        <v>725</v>
      </c>
      <c r="D293" s="25" t="s">
        <v>249</v>
      </c>
      <c r="E293" s="64" t="s">
        <v>261</v>
      </c>
      <c r="F293" s="2">
        <f t="shared" si="36"/>
        <v>0</v>
      </c>
      <c r="G293" s="2">
        <f t="shared" si="37"/>
        <v>0</v>
      </c>
      <c r="H293" s="2">
        <f t="shared" si="38"/>
        <v>0</v>
      </c>
      <c r="I293" s="12" t="e">
        <f t="shared" si="39"/>
        <v>#N/A</v>
      </c>
      <c r="J293" s="34" t="e">
        <f t="shared" si="43"/>
        <v>#N/A</v>
      </c>
      <c r="K293" s="34"/>
      <c r="L293" s="2">
        <f t="shared" si="40"/>
        <v>0</v>
      </c>
      <c r="M293" s="2">
        <f t="shared" si="41"/>
        <v>0</v>
      </c>
      <c r="N293" s="2">
        <f t="shared" si="42"/>
        <v>0</v>
      </c>
      <c r="O293" s="2"/>
      <c r="P293" s="2"/>
      <c r="Q293" s="5"/>
      <c r="R293" s="5"/>
      <c r="S293" s="61"/>
      <c r="T293" s="64"/>
      <c r="U293" s="72"/>
      <c r="V293" s="48"/>
      <c r="W293" s="48"/>
      <c r="X293" s="41"/>
    </row>
    <row r="294" spans="2:24" x14ac:dyDescent="0.4">
      <c r="B294" s="5" t="s">
        <v>622</v>
      </c>
      <c r="C294" s="5" t="s">
        <v>725</v>
      </c>
      <c r="D294" s="25" t="s">
        <v>249</v>
      </c>
      <c r="E294" s="64" t="s">
        <v>262</v>
      </c>
      <c r="F294" s="2">
        <f t="shared" si="36"/>
        <v>0</v>
      </c>
      <c r="G294" s="2">
        <f t="shared" si="37"/>
        <v>0</v>
      </c>
      <c r="H294" s="2">
        <f t="shared" si="38"/>
        <v>0</v>
      </c>
      <c r="I294" s="12" t="e">
        <f t="shared" si="39"/>
        <v>#N/A</v>
      </c>
      <c r="J294" s="34" t="e">
        <f t="shared" si="43"/>
        <v>#N/A</v>
      </c>
      <c r="K294" s="34"/>
      <c r="L294" s="2">
        <f t="shared" si="40"/>
        <v>0</v>
      </c>
      <c r="M294" s="2">
        <f t="shared" si="41"/>
        <v>0</v>
      </c>
      <c r="N294" s="2">
        <f t="shared" si="42"/>
        <v>0</v>
      </c>
      <c r="O294" s="2"/>
      <c r="P294" s="2"/>
      <c r="Q294" s="5"/>
      <c r="R294" s="5"/>
      <c r="S294" s="61"/>
      <c r="T294" s="64"/>
      <c r="U294" s="72"/>
      <c r="V294" s="48"/>
      <c r="W294" s="48"/>
      <c r="X294" s="41"/>
    </row>
    <row r="295" spans="2:24" x14ac:dyDescent="0.4">
      <c r="B295" s="5" t="s">
        <v>623</v>
      </c>
      <c r="C295" s="5" t="s">
        <v>725</v>
      </c>
      <c r="D295" s="25" t="s">
        <v>249</v>
      </c>
      <c r="E295" s="64" t="s">
        <v>263</v>
      </c>
      <c r="F295" s="2">
        <f t="shared" si="36"/>
        <v>0</v>
      </c>
      <c r="G295" s="2">
        <f t="shared" si="37"/>
        <v>0</v>
      </c>
      <c r="H295" s="2">
        <f t="shared" si="38"/>
        <v>0</v>
      </c>
      <c r="I295" s="12" t="e">
        <f t="shared" si="39"/>
        <v>#N/A</v>
      </c>
      <c r="J295" s="34" t="e">
        <f t="shared" si="43"/>
        <v>#N/A</v>
      </c>
      <c r="K295" s="34"/>
      <c r="L295" s="2">
        <f t="shared" si="40"/>
        <v>0</v>
      </c>
      <c r="M295" s="2">
        <f t="shared" si="41"/>
        <v>0</v>
      </c>
      <c r="N295" s="2">
        <f t="shared" si="42"/>
        <v>0</v>
      </c>
      <c r="O295" s="2"/>
      <c r="P295" s="2"/>
      <c r="Q295" s="5"/>
      <c r="R295" s="5"/>
      <c r="S295" s="61"/>
      <c r="T295" s="64"/>
      <c r="U295" s="72"/>
      <c r="V295" s="48"/>
      <c r="W295" s="48"/>
      <c r="X295" s="41"/>
    </row>
    <row r="296" spans="2:24" x14ac:dyDescent="0.4">
      <c r="B296" s="5" t="s">
        <v>624</v>
      </c>
      <c r="C296" s="5" t="s">
        <v>725</v>
      </c>
      <c r="D296" s="25" t="s">
        <v>249</v>
      </c>
      <c r="E296" s="64" t="s">
        <v>264</v>
      </c>
      <c r="F296" s="2">
        <f t="shared" si="36"/>
        <v>0</v>
      </c>
      <c r="G296" s="2">
        <f t="shared" si="37"/>
        <v>0</v>
      </c>
      <c r="H296" s="2">
        <f t="shared" si="38"/>
        <v>0</v>
      </c>
      <c r="I296" s="12" t="e">
        <f t="shared" si="39"/>
        <v>#N/A</v>
      </c>
      <c r="J296" s="34" t="e">
        <f t="shared" si="43"/>
        <v>#N/A</v>
      </c>
      <c r="K296" s="34"/>
      <c r="L296" s="2">
        <f t="shared" si="40"/>
        <v>0</v>
      </c>
      <c r="M296" s="2">
        <f t="shared" si="41"/>
        <v>0</v>
      </c>
      <c r="N296" s="2">
        <f t="shared" si="42"/>
        <v>0</v>
      </c>
      <c r="O296" s="2"/>
      <c r="P296" s="2"/>
      <c r="Q296" s="5"/>
      <c r="R296" s="5"/>
      <c r="S296" s="61"/>
      <c r="T296" s="64"/>
      <c r="U296" s="72"/>
      <c r="V296" s="48"/>
      <c r="W296" s="48"/>
      <c r="X296" s="41"/>
    </row>
    <row r="297" spans="2:24" x14ac:dyDescent="0.4">
      <c r="B297" s="5" t="s">
        <v>625</v>
      </c>
      <c r="C297" s="5" t="s">
        <v>725</v>
      </c>
      <c r="D297" s="25" t="s">
        <v>249</v>
      </c>
      <c r="E297" s="64" t="s">
        <v>265</v>
      </c>
      <c r="F297" s="2">
        <f t="shared" si="36"/>
        <v>0</v>
      </c>
      <c r="G297" s="2">
        <f t="shared" si="37"/>
        <v>0</v>
      </c>
      <c r="H297" s="2">
        <f t="shared" si="38"/>
        <v>0</v>
      </c>
      <c r="I297" s="12" t="e">
        <f t="shared" si="39"/>
        <v>#N/A</v>
      </c>
      <c r="J297" s="34" t="e">
        <f t="shared" si="43"/>
        <v>#N/A</v>
      </c>
      <c r="K297" s="34"/>
      <c r="L297" s="2">
        <f t="shared" si="40"/>
        <v>0</v>
      </c>
      <c r="M297" s="2">
        <f t="shared" si="41"/>
        <v>0</v>
      </c>
      <c r="N297" s="2">
        <f t="shared" si="42"/>
        <v>0</v>
      </c>
      <c r="O297" s="2"/>
      <c r="P297" s="2"/>
      <c r="Q297" s="5"/>
      <c r="R297" s="5"/>
      <c r="S297" s="61"/>
      <c r="T297" s="64"/>
      <c r="U297" s="72"/>
      <c r="V297" s="48"/>
      <c r="W297" s="48"/>
      <c r="X297" s="41"/>
    </row>
    <row r="298" spans="2:24" x14ac:dyDescent="0.4">
      <c r="B298" s="5" t="s">
        <v>626</v>
      </c>
      <c r="C298" s="5" t="s">
        <v>725</v>
      </c>
      <c r="D298" s="25" t="s">
        <v>249</v>
      </c>
      <c r="E298" s="64" t="s">
        <v>266</v>
      </c>
      <c r="F298" s="2">
        <f t="shared" si="36"/>
        <v>0</v>
      </c>
      <c r="G298" s="2">
        <f t="shared" si="37"/>
        <v>0</v>
      </c>
      <c r="H298" s="2">
        <f t="shared" si="38"/>
        <v>0</v>
      </c>
      <c r="I298" s="12" t="e">
        <f t="shared" si="39"/>
        <v>#N/A</v>
      </c>
      <c r="J298" s="34" t="e">
        <f t="shared" si="43"/>
        <v>#N/A</v>
      </c>
      <c r="K298" s="34"/>
      <c r="L298" s="2">
        <f t="shared" si="40"/>
        <v>0</v>
      </c>
      <c r="M298" s="2">
        <f t="shared" si="41"/>
        <v>0</v>
      </c>
      <c r="N298" s="2">
        <f t="shared" si="42"/>
        <v>0</v>
      </c>
      <c r="O298" s="2"/>
      <c r="P298" s="2"/>
      <c r="Q298" s="5"/>
      <c r="R298" s="5"/>
      <c r="S298" s="61"/>
      <c r="T298" s="64"/>
      <c r="U298" s="72"/>
      <c r="V298" s="48"/>
      <c r="W298" s="48"/>
      <c r="X298" s="41"/>
    </row>
    <row r="299" spans="2:24" x14ac:dyDescent="0.4">
      <c r="B299" s="5" t="s">
        <v>627</v>
      </c>
      <c r="C299" s="5" t="s">
        <v>725</v>
      </c>
      <c r="D299" s="25" t="s">
        <v>249</v>
      </c>
      <c r="E299" s="64" t="s">
        <v>267</v>
      </c>
      <c r="F299" s="2">
        <f t="shared" si="36"/>
        <v>0</v>
      </c>
      <c r="G299" s="2">
        <f t="shared" si="37"/>
        <v>0</v>
      </c>
      <c r="H299" s="2">
        <f t="shared" si="38"/>
        <v>0</v>
      </c>
      <c r="I299" s="12" t="e">
        <f t="shared" si="39"/>
        <v>#N/A</v>
      </c>
      <c r="J299" s="34" t="e">
        <f t="shared" si="43"/>
        <v>#N/A</v>
      </c>
      <c r="K299" s="34"/>
      <c r="L299" s="2">
        <f t="shared" si="40"/>
        <v>0</v>
      </c>
      <c r="M299" s="2">
        <f t="shared" si="41"/>
        <v>0</v>
      </c>
      <c r="N299" s="2">
        <f t="shared" si="42"/>
        <v>0</v>
      </c>
      <c r="O299" s="2"/>
      <c r="P299" s="2"/>
      <c r="Q299" s="5"/>
      <c r="R299" s="5"/>
      <c r="S299" s="61"/>
      <c r="T299" s="64"/>
      <c r="U299" s="72"/>
      <c r="V299" s="48"/>
      <c r="W299" s="48"/>
      <c r="X299" s="41"/>
    </row>
    <row r="300" spans="2:24" x14ac:dyDescent="0.4">
      <c r="B300" s="5" t="s">
        <v>628</v>
      </c>
      <c r="C300" s="5" t="s">
        <v>725</v>
      </c>
      <c r="D300" s="25" t="s">
        <v>249</v>
      </c>
      <c r="E300" s="64" t="s">
        <v>268</v>
      </c>
      <c r="F300" s="2">
        <f t="shared" si="36"/>
        <v>0</v>
      </c>
      <c r="G300" s="2">
        <f t="shared" si="37"/>
        <v>0</v>
      </c>
      <c r="H300" s="2">
        <f t="shared" si="38"/>
        <v>0</v>
      </c>
      <c r="I300" s="12" t="e">
        <f t="shared" si="39"/>
        <v>#N/A</v>
      </c>
      <c r="J300" s="34" t="e">
        <f t="shared" si="43"/>
        <v>#N/A</v>
      </c>
      <c r="K300" s="34"/>
      <c r="L300" s="2">
        <f t="shared" si="40"/>
        <v>0</v>
      </c>
      <c r="M300" s="2">
        <f t="shared" si="41"/>
        <v>0</v>
      </c>
      <c r="N300" s="2">
        <f t="shared" si="42"/>
        <v>0</v>
      </c>
      <c r="O300" s="2"/>
      <c r="P300" s="2"/>
      <c r="Q300" s="5"/>
      <c r="R300" s="5"/>
      <c r="S300" s="61"/>
      <c r="T300" s="64"/>
      <c r="U300" s="72"/>
      <c r="V300" s="48"/>
      <c r="W300" s="48"/>
      <c r="X300" s="41"/>
    </row>
    <row r="301" spans="2:24" x14ac:dyDescent="0.4">
      <c r="B301" s="5" t="s">
        <v>629</v>
      </c>
      <c r="C301" s="5" t="s">
        <v>725</v>
      </c>
      <c r="D301" s="25" t="s">
        <v>249</v>
      </c>
      <c r="E301" s="64" t="s">
        <v>26</v>
      </c>
      <c r="F301" s="2">
        <f t="shared" si="36"/>
        <v>0</v>
      </c>
      <c r="G301" s="2">
        <f t="shared" si="37"/>
        <v>0</v>
      </c>
      <c r="H301" s="2">
        <f t="shared" si="38"/>
        <v>0</v>
      </c>
      <c r="I301" s="12" t="e">
        <f t="shared" si="39"/>
        <v>#N/A</v>
      </c>
      <c r="J301" s="34" t="e">
        <f t="shared" si="43"/>
        <v>#N/A</v>
      </c>
      <c r="K301" s="34"/>
      <c r="L301" s="2">
        <f t="shared" si="40"/>
        <v>0</v>
      </c>
      <c r="M301" s="2">
        <f t="shared" si="41"/>
        <v>0</v>
      </c>
      <c r="N301" s="2">
        <f t="shared" si="42"/>
        <v>0</v>
      </c>
      <c r="O301" s="2"/>
      <c r="P301" s="2"/>
      <c r="Q301" s="5"/>
      <c r="R301" s="5"/>
      <c r="S301" s="61"/>
      <c r="T301" s="64"/>
      <c r="U301" s="72"/>
      <c r="V301" s="48"/>
      <c r="W301" s="48"/>
      <c r="X301" s="41"/>
    </row>
    <row r="302" spans="2:24" x14ac:dyDescent="0.4">
      <c r="B302" s="5" t="s">
        <v>630</v>
      </c>
      <c r="C302" s="5" t="s">
        <v>725</v>
      </c>
      <c r="D302" s="25" t="s">
        <v>249</v>
      </c>
      <c r="E302" s="64" t="s">
        <v>51</v>
      </c>
      <c r="F302" s="2">
        <f t="shared" si="36"/>
        <v>0</v>
      </c>
      <c r="G302" s="2">
        <f t="shared" si="37"/>
        <v>0</v>
      </c>
      <c r="H302" s="2">
        <f t="shared" si="38"/>
        <v>0</v>
      </c>
      <c r="I302" s="12" t="e">
        <f t="shared" si="39"/>
        <v>#N/A</v>
      </c>
      <c r="J302" s="34" t="e">
        <f t="shared" si="43"/>
        <v>#N/A</v>
      </c>
      <c r="K302" s="34"/>
      <c r="L302" s="2">
        <f t="shared" si="40"/>
        <v>0</v>
      </c>
      <c r="M302" s="2">
        <f t="shared" si="41"/>
        <v>0</v>
      </c>
      <c r="N302" s="2">
        <f t="shared" si="42"/>
        <v>0</v>
      </c>
      <c r="O302" s="2"/>
      <c r="P302" s="2"/>
      <c r="Q302" s="5"/>
      <c r="R302" s="5"/>
      <c r="S302" s="61"/>
      <c r="T302" s="64"/>
      <c r="U302" s="72"/>
      <c r="V302" s="48"/>
      <c r="W302" s="48"/>
      <c r="X302" s="41"/>
    </row>
    <row r="303" spans="2:24" x14ac:dyDescent="0.4">
      <c r="B303" s="5" t="s">
        <v>631</v>
      </c>
      <c r="C303" s="5" t="s">
        <v>725</v>
      </c>
      <c r="D303" s="25" t="s">
        <v>249</v>
      </c>
      <c r="E303" s="64" t="s">
        <v>269</v>
      </c>
      <c r="F303" s="2">
        <f t="shared" si="36"/>
        <v>0</v>
      </c>
      <c r="G303" s="2">
        <f t="shared" si="37"/>
        <v>0</v>
      </c>
      <c r="H303" s="2">
        <f t="shared" si="38"/>
        <v>0</v>
      </c>
      <c r="I303" s="12" t="e">
        <f t="shared" si="39"/>
        <v>#N/A</v>
      </c>
      <c r="J303" s="34" t="e">
        <f t="shared" si="43"/>
        <v>#N/A</v>
      </c>
      <c r="K303" s="34"/>
      <c r="L303" s="2">
        <f t="shared" si="40"/>
        <v>0</v>
      </c>
      <c r="M303" s="2">
        <f t="shared" si="41"/>
        <v>0</v>
      </c>
      <c r="N303" s="2">
        <f t="shared" si="42"/>
        <v>0</v>
      </c>
      <c r="O303" s="2"/>
      <c r="P303" s="2"/>
      <c r="Q303" s="5"/>
      <c r="R303" s="5"/>
      <c r="S303" s="61"/>
      <c r="T303" s="64"/>
      <c r="U303" s="72"/>
      <c r="V303" s="48"/>
      <c r="W303" s="48"/>
      <c r="X303" s="41"/>
    </row>
    <row r="304" spans="2:24" x14ac:dyDescent="0.4">
      <c r="B304" s="5" t="s">
        <v>632</v>
      </c>
      <c r="C304" s="5" t="s">
        <v>725</v>
      </c>
      <c r="D304" s="25" t="s">
        <v>249</v>
      </c>
      <c r="E304" s="64" t="s">
        <v>270</v>
      </c>
      <c r="F304" s="2">
        <f t="shared" si="36"/>
        <v>0</v>
      </c>
      <c r="G304" s="2">
        <f t="shared" si="37"/>
        <v>0</v>
      </c>
      <c r="H304" s="2">
        <f t="shared" si="38"/>
        <v>0</v>
      </c>
      <c r="I304" s="12" t="e">
        <f t="shared" si="39"/>
        <v>#N/A</v>
      </c>
      <c r="J304" s="34" t="e">
        <f t="shared" si="43"/>
        <v>#N/A</v>
      </c>
      <c r="K304" s="34"/>
      <c r="L304" s="2">
        <f t="shared" si="40"/>
        <v>0</v>
      </c>
      <c r="M304" s="2">
        <f t="shared" si="41"/>
        <v>0</v>
      </c>
      <c r="N304" s="2">
        <f t="shared" si="42"/>
        <v>0</v>
      </c>
      <c r="O304" s="2"/>
      <c r="P304" s="2"/>
      <c r="Q304" s="5"/>
      <c r="R304" s="5"/>
      <c r="S304" s="61"/>
      <c r="T304" s="64"/>
      <c r="U304" s="72"/>
      <c r="V304" s="48"/>
      <c r="W304" s="48"/>
      <c r="X304" s="41"/>
    </row>
    <row r="305" spans="2:24" x14ac:dyDescent="0.4">
      <c r="B305" s="5" t="s">
        <v>633</v>
      </c>
      <c r="C305" s="5" t="s">
        <v>726</v>
      </c>
      <c r="D305" s="25" t="s">
        <v>271</v>
      </c>
      <c r="E305" s="64" t="s">
        <v>174</v>
      </c>
      <c r="F305" s="2">
        <f t="shared" si="36"/>
        <v>0</v>
      </c>
      <c r="G305" s="2">
        <f t="shared" si="37"/>
        <v>0</v>
      </c>
      <c r="H305" s="2">
        <f t="shared" si="38"/>
        <v>0</v>
      </c>
      <c r="I305" s="12" t="e">
        <f t="shared" si="39"/>
        <v>#N/A</v>
      </c>
      <c r="J305" s="34" t="e">
        <f t="shared" si="43"/>
        <v>#N/A</v>
      </c>
      <c r="K305" s="34"/>
      <c r="L305" s="2">
        <f t="shared" si="40"/>
        <v>0</v>
      </c>
      <c r="M305" s="2">
        <f t="shared" si="41"/>
        <v>0</v>
      </c>
      <c r="N305" s="2">
        <f t="shared" si="42"/>
        <v>0</v>
      </c>
      <c r="O305" s="2"/>
      <c r="P305" s="2"/>
      <c r="Q305" s="5"/>
      <c r="R305" s="5"/>
      <c r="S305" s="61"/>
      <c r="T305" s="64"/>
      <c r="U305" s="72"/>
      <c r="V305" s="48"/>
      <c r="W305" s="48"/>
      <c r="X305" s="41"/>
    </row>
    <row r="306" spans="2:24" x14ac:dyDescent="0.4">
      <c r="B306" s="5" t="s">
        <v>634</v>
      </c>
      <c r="C306" s="5" t="s">
        <v>726</v>
      </c>
      <c r="D306" s="25" t="s">
        <v>271</v>
      </c>
      <c r="E306" s="64" t="s">
        <v>272</v>
      </c>
      <c r="F306" s="2">
        <f t="shared" si="36"/>
        <v>0</v>
      </c>
      <c r="G306" s="2">
        <f t="shared" si="37"/>
        <v>0</v>
      </c>
      <c r="H306" s="2">
        <f t="shared" si="38"/>
        <v>0</v>
      </c>
      <c r="I306" s="12" t="e">
        <f t="shared" si="39"/>
        <v>#N/A</v>
      </c>
      <c r="J306" s="34" t="e">
        <f t="shared" si="43"/>
        <v>#N/A</v>
      </c>
      <c r="K306" s="34"/>
      <c r="L306" s="2">
        <f t="shared" si="40"/>
        <v>0</v>
      </c>
      <c r="M306" s="2">
        <f t="shared" si="41"/>
        <v>0</v>
      </c>
      <c r="N306" s="2">
        <f t="shared" si="42"/>
        <v>0</v>
      </c>
      <c r="O306" s="2"/>
      <c r="P306" s="2"/>
      <c r="Q306" s="5"/>
      <c r="R306" s="5"/>
      <c r="S306" s="61"/>
      <c r="T306" s="64"/>
      <c r="U306" s="72"/>
      <c r="V306" s="48"/>
      <c r="W306" s="48"/>
      <c r="X306" s="41"/>
    </row>
    <row r="307" spans="2:24" x14ac:dyDescent="0.4">
      <c r="B307" s="5" t="s">
        <v>635</v>
      </c>
      <c r="C307" s="5" t="s">
        <v>726</v>
      </c>
      <c r="D307" s="25" t="s">
        <v>271</v>
      </c>
      <c r="E307" s="64" t="s">
        <v>36</v>
      </c>
      <c r="F307" s="2">
        <f t="shared" si="36"/>
        <v>0</v>
      </c>
      <c r="G307" s="2">
        <f t="shared" si="37"/>
        <v>0</v>
      </c>
      <c r="H307" s="2">
        <f t="shared" si="38"/>
        <v>0</v>
      </c>
      <c r="I307" s="12" t="e">
        <f t="shared" si="39"/>
        <v>#N/A</v>
      </c>
      <c r="J307" s="34" t="e">
        <f t="shared" si="43"/>
        <v>#N/A</v>
      </c>
      <c r="K307" s="34"/>
      <c r="L307" s="2">
        <f t="shared" si="40"/>
        <v>0</v>
      </c>
      <c r="M307" s="2">
        <f t="shared" si="41"/>
        <v>0</v>
      </c>
      <c r="N307" s="2">
        <f t="shared" si="42"/>
        <v>0</v>
      </c>
      <c r="O307" s="2"/>
      <c r="P307" s="2"/>
      <c r="Q307" s="5"/>
      <c r="R307" s="5"/>
      <c r="S307" s="61"/>
      <c r="T307" s="64"/>
      <c r="U307" s="72"/>
      <c r="V307" s="48"/>
      <c r="W307" s="48"/>
      <c r="X307" s="41"/>
    </row>
    <row r="308" spans="2:24" x14ac:dyDescent="0.4">
      <c r="B308" s="5" t="s">
        <v>636</v>
      </c>
      <c r="C308" s="5" t="s">
        <v>726</v>
      </c>
      <c r="D308" s="25" t="s">
        <v>271</v>
      </c>
      <c r="E308" s="64" t="s">
        <v>273</v>
      </c>
      <c r="F308" s="2">
        <f t="shared" si="36"/>
        <v>0</v>
      </c>
      <c r="G308" s="2">
        <f t="shared" si="37"/>
        <v>0</v>
      </c>
      <c r="H308" s="2">
        <f t="shared" si="38"/>
        <v>0</v>
      </c>
      <c r="I308" s="12" t="e">
        <f t="shared" si="39"/>
        <v>#N/A</v>
      </c>
      <c r="J308" s="34" t="e">
        <f t="shared" si="43"/>
        <v>#N/A</v>
      </c>
      <c r="K308" s="34"/>
      <c r="L308" s="2">
        <f t="shared" si="40"/>
        <v>0</v>
      </c>
      <c r="M308" s="2">
        <f t="shared" si="41"/>
        <v>0</v>
      </c>
      <c r="N308" s="2">
        <f t="shared" si="42"/>
        <v>0</v>
      </c>
      <c r="O308" s="2"/>
      <c r="P308" s="2"/>
      <c r="Q308" s="5"/>
      <c r="R308" s="5"/>
      <c r="S308" s="61"/>
      <c r="T308" s="64"/>
      <c r="U308" s="72"/>
      <c r="V308" s="48"/>
      <c r="W308" s="48"/>
      <c r="X308" s="41"/>
    </row>
    <row r="309" spans="2:24" x14ac:dyDescent="0.4">
      <c r="B309" s="5" t="s">
        <v>637</v>
      </c>
      <c r="C309" s="5" t="s">
        <v>726</v>
      </c>
      <c r="D309" s="25" t="s">
        <v>271</v>
      </c>
      <c r="E309" s="64" t="s">
        <v>274</v>
      </c>
      <c r="F309" s="2">
        <f t="shared" si="36"/>
        <v>0</v>
      </c>
      <c r="G309" s="2">
        <f t="shared" si="37"/>
        <v>0</v>
      </c>
      <c r="H309" s="2">
        <f t="shared" si="38"/>
        <v>0</v>
      </c>
      <c r="I309" s="12" t="e">
        <f t="shared" si="39"/>
        <v>#N/A</v>
      </c>
      <c r="J309" s="34" t="e">
        <f t="shared" si="43"/>
        <v>#N/A</v>
      </c>
      <c r="K309" s="34"/>
      <c r="L309" s="2">
        <f t="shared" si="40"/>
        <v>0</v>
      </c>
      <c r="M309" s="2">
        <f t="shared" si="41"/>
        <v>0</v>
      </c>
      <c r="N309" s="2">
        <f t="shared" si="42"/>
        <v>0</v>
      </c>
      <c r="O309" s="2"/>
      <c r="P309" s="2"/>
      <c r="Q309" s="5"/>
      <c r="R309" s="5"/>
      <c r="S309" s="61"/>
      <c r="T309" s="64"/>
      <c r="U309" s="72"/>
      <c r="V309" s="48"/>
      <c r="W309" s="48"/>
      <c r="X309" s="41"/>
    </row>
    <row r="310" spans="2:24" x14ac:dyDescent="0.4">
      <c r="B310" s="5" t="s">
        <v>638</v>
      </c>
      <c r="C310" s="5" t="s">
        <v>726</v>
      </c>
      <c r="D310" s="25" t="s">
        <v>271</v>
      </c>
      <c r="E310" s="64" t="s">
        <v>275</v>
      </c>
      <c r="F310" s="2">
        <f t="shared" si="36"/>
        <v>0</v>
      </c>
      <c r="G310" s="2">
        <f t="shared" si="37"/>
        <v>0</v>
      </c>
      <c r="H310" s="2">
        <f t="shared" si="38"/>
        <v>0</v>
      </c>
      <c r="I310" s="12" t="e">
        <f t="shared" si="39"/>
        <v>#N/A</v>
      </c>
      <c r="J310" s="34" t="e">
        <f t="shared" si="43"/>
        <v>#N/A</v>
      </c>
      <c r="K310" s="34"/>
      <c r="L310" s="2">
        <f t="shared" si="40"/>
        <v>0</v>
      </c>
      <c r="M310" s="2">
        <f t="shared" si="41"/>
        <v>0</v>
      </c>
      <c r="N310" s="2">
        <f t="shared" si="42"/>
        <v>0</v>
      </c>
      <c r="O310" s="2"/>
      <c r="P310" s="2"/>
      <c r="Q310" s="5"/>
      <c r="R310" s="5"/>
      <c r="S310" s="61"/>
      <c r="T310" s="64"/>
      <c r="U310" s="72"/>
      <c r="V310" s="48"/>
      <c r="W310" s="48"/>
      <c r="X310" s="41"/>
    </row>
    <row r="311" spans="2:24" x14ac:dyDescent="0.4">
      <c r="B311" s="5" t="s">
        <v>639</v>
      </c>
      <c r="C311" s="5" t="s">
        <v>726</v>
      </c>
      <c r="D311" s="25" t="s">
        <v>271</v>
      </c>
      <c r="E311" s="64" t="s">
        <v>276</v>
      </c>
      <c r="F311" s="2">
        <f t="shared" si="36"/>
        <v>0</v>
      </c>
      <c r="G311" s="2">
        <f t="shared" si="37"/>
        <v>0</v>
      </c>
      <c r="H311" s="2">
        <f t="shared" si="38"/>
        <v>0</v>
      </c>
      <c r="I311" s="12" t="e">
        <f t="shared" si="39"/>
        <v>#N/A</v>
      </c>
      <c r="J311" s="34" t="e">
        <f t="shared" si="43"/>
        <v>#N/A</v>
      </c>
      <c r="K311" s="34"/>
      <c r="L311" s="2">
        <f t="shared" si="40"/>
        <v>0</v>
      </c>
      <c r="M311" s="2">
        <f t="shared" si="41"/>
        <v>0</v>
      </c>
      <c r="N311" s="2">
        <f t="shared" si="42"/>
        <v>0</v>
      </c>
      <c r="O311" s="2"/>
      <c r="P311" s="2"/>
      <c r="Q311" s="5"/>
      <c r="R311" s="5"/>
      <c r="S311" s="61"/>
      <c r="T311" s="64"/>
      <c r="U311" s="72"/>
      <c r="V311" s="48"/>
      <c r="W311" s="48"/>
      <c r="X311" s="41"/>
    </row>
    <row r="312" spans="2:24" x14ac:dyDescent="0.4">
      <c r="B312" s="5" t="s">
        <v>640</v>
      </c>
      <c r="C312" s="5" t="s">
        <v>726</v>
      </c>
      <c r="D312" s="25" t="s">
        <v>271</v>
      </c>
      <c r="E312" s="64" t="s">
        <v>277</v>
      </c>
      <c r="F312" s="2">
        <f t="shared" si="36"/>
        <v>0</v>
      </c>
      <c r="G312" s="2">
        <f t="shared" si="37"/>
        <v>0</v>
      </c>
      <c r="H312" s="2">
        <f t="shared" si="38"/>
        <v>0</v>
      </c>
      <c r="I312" s="12" t="e">
        <f t="shared" si="39"/>
        <v>#N/A</v>
      </c>
      <c r="J312" s="34" t="e">
        <f t="shared" si="43"/>
        <v>#N/A</v>
      </c>
      <c r="K312" s="34"/>
      <c r="L312" s="2">
        <f t="shared" si="40"/>
        <v>0</v>
      </c>
      <c r="M312" s="2">
        <f t="shared" si="41"/>
        <v>0</v>
      </c>
      <c r="N312" s="2">
        <f t="shared" si="42"/>
        <v>0</v>
      </c>
      <c r="O312" s="2"/>
      <c r="P312" s="2"/>
      <c r="Q312" s="5"/>
      <c r="R312" s="5"/>
      <c r="S312" s="61"/>
      <c r="T312" s="64"/>
      <c r="U312" s="72"/>
      <c r="V312" s="50"/>
      <c r="W312" s="50"/>
      <c r="X312" s="41"/>
    </row>
    <row r="313" spans="2:24" x14ac:dyDescent="0.4">
      <c r="B313" s="5" t="s">
        <v>641</v>
      </c>
      <c r="C313" s="5" t="s">
        <v>726</v>
      </c>
      <c r="D313" s="25" t="s">
        <v>271</v>
      </c>
      <c r="E313" s="64" t="s">
        <v>278</v>
      </c>
      <c r="F313" s="2">
        <f t="shared" si="36"/>
        <v>0</v>
      </c>
      <c r="G313" s="2">
        <f t="shared" si="37"/>
        <v>0</v>
      </c>
      <c r="H313" s="2">
        <f t="shared" si="38"/>
        <v>0</v>
      </c>
      <c r="I313" s="12" t="e">
        <f t="shared" si="39"/>
        <v>#N/A</v>
      </c>
      <c r="J313" s="34" t="e">
        <f t="shared" si="43"/>
        <v>#N/A</v>
      </c>
      <c r="K313" s="34"/>
      <c r="L313" s="2">
        <f t="shared" si="40"/>
        <v>0</v>
      </c>
      <c r="M313" s="2">
        <f t="shared" si="41"/>
        <v>0</v>
      </c>
      <c r="N313" s="2">
        <f t="shared" si="42"/>
        <v>0</v>
      </c>
      <c r="O313" s="2"/>
      <c r="P313" s="2"/>
      <c r="Q313" s="5"/>
      <c r="R313" s="5"/>
      <c r="S313" s="61"/>
      <c r="T313" s="64"/>
      <c r="U313" s="72"/>
      <c r="V313" s="48"/>
      <c r="W313" s="48"/>
      <c r="X313" s="41"/>
    </row>
    <row r="314" spans="2:24" x14ac:dyDescent="0.4">
      <c r="B314" s="5" t="s">
        <v>642</v>
      </c>
      <c r="C314" s="5" t="s">
        <v>726</v>
      </c>
      <c r="D314" s="25" t="s">
        <v>271</v>
      </c>
      <c r="E314" s="64" t="s">
        <v>85</v>
      </c>
      <c r="F314" s="2">
        <f t="shared" si="36"/>
        <v>0</v>
      </c>
      <c r="G314" s="2">
        <f t="shared" si="37"/>
        <v>0</v>
      </c>
      <c r="H314" s="2">
        <f t="shared" si="38"/>
        <v>0</v>
      </c>
      <c r="I314" s="12" t="e">
        <f t="shared" si="39"/>
        <v>#N/A</v>
      </c>
      <c r="J314" s="34" t="e">
        <f t="shared" si="43"/>
        <v>#N/A</v>
      </c>
      <c r="K314" s="34"/>
      <c r="L314" s="2">
        <f t="shared" si="40"/>
        <v>0</v>
      </c>
      <c r="M314" s="2">
        <f t="shared" si="41"/>
        <v>0</v>
      </c>
      <c r="N314" s="2">
        <f t="shared" si="42"/>
        <v>0</v>
      </c>
      <c r="O314" s="2"/>
      <c r="P314" s="2"/>
      <c r="Q314" s="5"/>
      <c r="R314" s="5"/>
      <c r="S314" s="61"/>
      <c r="T314" s="64"/>
      <c r="U314" s="72"/>
      <c r="V314" s="48"/>
      <c r="W314" s="48"/>
      <c r="X314" s="41"/>
    </row>
    <row r="315" spans="2:24" x14ac:dyDescent="0.4">
      <c r="B315" s="5" t="s">
        <v>643</v>
      </c>
      <c r="C315" s="5" t="s">
        <v>726</v>
      </c>
      <c r="D315" s="25" t="s">
        <v>271</v>
      </c>
      <c r="E315" s="64" t="s">
        <v>279</v>
      </c>
      <c r="F315" s="2">
        <f t="shared" si="36"/>
        <v>0</v>
      </c>
      <c r="G315" s="2">
        <f t="shared" si="37"/>
        <v>0</v>
      </c>
      <c r="H315" s="2">
        <f t="shared" si="38"/>
        <v>0</v>
      </c>
      <c r="I315" s="12" t="e">
        <f t="shared" si="39"/>
        <v>#N/A</v>
      </c>
      <c r="J315" s="34" t="e">
        <f t="shared" si="43"/>
        <v>#N/A</v>
      </c>
      <c r="K315" s="34"/>
      <c r="L315" s="2">
        <f t="shared" si="40"/>
        <v>0</v>
      </c>
      <c r="M315" s="2">
        <f t="shared" si="41"/>
        <v>0</v>
      </c>
      <c r="N315" s="2">
        <f t="shared" si="42"/>
        <v>0</v>
      </c>
      <c r="O315" s="2"/>
      <c r="P315" s="2"/>
      <c r="Q315" s="5"/>
      <c r="R315" s="5"/>
      <c r="S315" s="61"/>
      <c r="T315" s="64"/>
      <c r="U315" s="72"/>
      <c r="V315" s="48"/>
      <c r="W315" s="48"/>
      <c r="X315" s="41"/>
    </row>
    <row r="316" spans="2:24" x14ac:dyDescent="0.4">
      <c r="B316" s="5" t="s">
        <v>644</v>
      </c>
      <c r="C316" s="5" t="s">
        <v>726</v>
      </c>
      <c r="D316" s="25" t="s">
        <v>271</v>
      </c>
      <c r="E316" s="64" t="s">
        <v>280</v>
      </c>
      <c r="F316" s="2">
        <f t="shared" si="36"/>
        <v>0</v>
      </c>
      <c r="G316" s="2">
        <f t="shared" si="37"/>
        <v>0</v>
      </c>
      <c r="H316" s="2">
        <f t="shared" si="38"/>
        <v>0</v>
      </c>
      <c r="I316" s="12" t="e">
        <f t="shared" si="39"/>
        <v>#N/A</v>
      </c>
      <c r="J316" s="34" t="e">
        <f t="shared" si="43"/>
        <v>#N/A</v>
      </c>
      <c r="K316" s="34"/>
      <c r="L316" s="2">
        <f t="shared" si="40"/>
        <v>0</v>
      </c>
      <c r="M316" s="2">
        <f t="shared" si="41"/>
        <v>0</v>
      </c>
      <c r="N316" s="2">
        <f t="shared" si="42"/>
        <v>0</v>
      </c>
      <c r="O316" s="2"/>
      <c r="P316" s="2"/>
      <c r="Q316" s="5"/>
      <c r="R316" s="5"/>
      <c r="S316" s="61"/>
      <c r="T316" s="64"/>
      <c r="U316" s="72"/>
      <c r="V316" s="48"/>
      <c r="W316" s="48"/>
      <c r="X316" s="41"/>
    </row>
    <row r="317" spans="2:24" x14ac:dyDescent="0.4">
      <c r="B317" s="5" t="s">
        <v>645</v>
      </c>
      <c r="C317" s="5" t="s">
        <v>726</v>
      </c>
      <c r="D317" s="25" t="s">
        <v>271</v>
      </c>
      <c r="E317" s="64" t="s">
        <v>281</v>
      </c>
      <c r="F317" s="2">
        <f t="shared" si="36"/>
        <v>0</v>
      </c>
      <c r="G317" s="2">
        <f t="shared" si="37"/>
        <v>0</v>
      </c>
      <c r="H317" s="2">
        <f t="shared" si="38"/>
        <v>0</v>
      </c>
      <c r="I317" s="12" t="e">
        <f t="shared" si="39"/>
        <v>#N/A</v>
      </c>
      <c r="J317" s="34" t="e">
        <f t="shared" si="43"/>
        <v>#N/A</v>
      </c>
      <c r="K317" s="34"/>
      <c r="L317" s="2">
        <f t="shared" si="40"/>
        <v>0</v>
      </c>
      <c r="M317" s="2">
        <f t="shared" si="41"/>
        <v>0</v>
      </c>
      <c r="N317" s="2">
        <f t="shared" si="42"/>
        <v>0</v>
      </c>
      <c r="O317" s="2"/>
      <c r="P317" s="2"/>
      <c r="Q317" s="5"/>
      <c r="R317" s="5"/>
      <c r="S317" s="61"/>
      <c r="T317" s="64"/>
      <c r="U317" s="72"/>
      <c r="V317" s="48"/>
      <c r="W317" s="48"/>
      <c r="X317" s="41"/>
    </row>
    <row r="318" spans="2:24" x14ac:dyDescent="0.4">
      <c r="B318" s="5" t="s">
        <v>646</v>
      </c>
      <c r="C318" s="5" t="s">
        <v>726</v>
      </c>
      <c r="D318" s="25" t="s">
        <v>271</v>
      </c>
      <c r="E318" s="64" t="s">
        <v>282</v>
      </c>
      <c r="F318" s="2">
        <f t="shared" si="36"/>
        <v>0</v>
      </c>
      <c r="G318" s="2">
        <f t="shared" si="37"/>
        <v>0</v>
      </c>
      <c r="H318" s="2">
        <f t="shared" si="38"/>
        <v>0</v>
      </c>
      <c r="I318" s="12" t="e">
        <f t="shared" si="39"/>
        <v>#N/A</v>
      </c>
      <c r="J318" s="34" t="e">
        <f t="shared" si="43"/>
        <v>#N/A</v>
      </c>
      <c r="K318" s="34"/>
      <c r="L318" s="2">
        <f t="shared" si="40"/>
        <v>0</v>
      </c>
      <c r="M318" s="2">
        <f t="shared" si="41"/>
        <v>0</v>
      </c>
      <c r="N318" s="2">
        <f t="shared" si="42"/>
        <v>0</v>
      </c>
      <c r="O318" s="2"/>
      <c r="P318" s="2"/>
      <c r="Q318" s="5"/>
      <c r="R318" s="5"/>
      <c r="S318" s="61"/>
      <c r="T318" s="64"/>
      <c r="U318" s="72"/>
      <c r="V318" s="48"/>
      <c r="W318" s="48"/>
      <c r="X318" s="41"/>
    </row>
    <row r="319" spans="2:24" x14ac:dyDescent="0.4">
      <c r="B319" s="5" t="s">
        <v>647</v>
      </c>
      <c r="C319" s="5" t="s">
        <v>726</v>
      </c>
      <c r="D319" s="25" t="s">
        <v>271</v>
      </c>
      <c r="E319" s="64" t="s">
        <v>283</v>
      </c>
      <c r="F319" s="2">
        <f t="shared" si="36"/>
        <v>0</v>
      </c>
      <c r="G319" s="2">
        <f t="shared" si="37"/>
        <v>0</v>
      </c>
      <c r="H319" s="2">
        <f t="shared" si="38"/>
        <v>0</v>
      </c>
      <c r="I319" s="12" t="e">
        <f t="shared" si="39"/>
        <v>#N/A</v>
      </c>
      <c r="J319" s="34" t="e">
        <f t="shared" si="43"/>
        <v>#N/A</v>
      </c>
      <c r="K319" s="34"/>
      <c r="L319" s="2">
        <f t="shared" si="40"/>
        <v>0</v>
      </c>
      <c r="M319" s="2">
        <f t="shared" si="41"/>
        <v>0</v>
      </c>
      <c r="N319" s="2">
        <f t="shared" si="42"/>
        <v>0</v>
      </c>
      <c r="O319" s="2"/>
      <c r="P319" s="2"/>
      <c r="Q319" s="5"/>
      <c r="R319" s="5"/>
      <c r="S319" s="61"/>
      <c r="T319" s="64"/>
      <c r="U319" s="72"/>
      <c r="V319" s="48"/>
      <c r="W319" s="48"/>
      <c r="X319" s="41"/>
    </row>
    <row r="320" spans="2:24" x14ac:dyDescent="0.4">
      <c r="B320" s="5" t="s">
        <v>648</v>
      </c>
      <c r="C320" s="5" t="s">
        <v>726</v>
      </c>
      <c r="D320" s="25" t="s">
        <v>271</v>
      </c>
      <c r="E320" s="64" t="s">
        <v>284</v>
      </c>
      <c r="F320" s="2">
        <f t="shared" si="36"/>
        <v>0</v>
      </c>
      <c r="G320" s="2">
        <f t="shared" si="37"/>
        <v>0</v>
      </c>
      <c r="H320" s="2">
        <f t="shared" si="38"/>
        <v>0</v>
      </c>
      <c r="I320" s="12" t="e">
        <f t="shared" si="39"/>
        <v>#N/A</v>
      </c>
      <c r="J320" s="34" t="e">
        <f t="shared" si="43"/>
        <v>#N/A</v>
      </c>
      <c r="K320" s="34"/>
      <c r="L320" s="2">
        <f t="shared" si="40"/>
        <v>0</v>
      </c>
      <c r="M320" s="2">
        <f t="shared" si="41"/>
        <v>0</v>
      </c>
      <c r="N320" s="2">
        <f t="shared" si="42"/>
        <v>0</v>
      </c>
      <c r="O320" s="2"/>
      <c r="P320" s="2"/>
      <c r="Q320" s="5"/>
      <c r="R320" s="5"/>
      <c r="S320" s="61"/>
      <c r="T320" s="65"/>
      <c r="U320" s="72"/>
      <c r="V320" s="48"/>
      <c r="W320" s="48"/>
      <c r="X320" s="41"/>
    </row>
    <row r="321" spans="2:24" x14ac:dyDescent="0.4">
      <c r="B321" s="5" t="s">
        <v>649</v>
      </c>
      <c r="C321" s="5" t="s">
        <v>726</v>
      </c>
      <c r="D321" s="25" t="s">
        <v>271</v>
      </c>
      <c r="E321" s="64" t="s">
        <v>51</v>
      </c>
      <c r="F321" s="2">
        <f t="shared" si="36"/>
        <v>0</v>
      </c>
      <c r="G321" s="2">
        <f t="shared" si="37"/>
        <v>0</v>
      </c>
      <c r="H321" s="2">
        <f t="shared" si="38"/>
        <v>0</v>
      </c>
      <c r="I321" s="12" t="e">
        <f t="shared" si="39"/>
        <v>#N/A</v>
      </c>
      <c r="J321" s="34" t="e">
        <f t="shared" si="43"/>
        <v>#N/A</v>
      </c>
      <c r="K321" s="34"/>
      <c r="L321" s="2">
        <f t="shared" si="40"/>
        <v>0</v>
      </c>
      <c r="M321" s="2">
        <f t="shared" si="41"/>
        <v>0</v>
      </c>
      <c r="N321" s="2">
        <f t="shared" si="42"/>
        <v>0</v>
      </c>
      <c r="O321" s="2"/>
      <c r="P321" s="2"/>
      <c r="Q321" s="5"/>
      <c r="R321" s="5"/>
      <c r="S321" s="61"/>
      <c r="T321" s="64"/>
      <c r="U321" s="72"/>
      <c r="V321" s="48"/>
      <c r="W321" s="48"/>
      <c r="X321" s="41"/>
    </row>
    <row r="322" spans="2:24" x14ac:dyDescent="0.4">
      <c r="B322" s="5" t="s">
        <v>650</v>
      </c>
      <c r="C322" s="5" t="s">
        <v>726</v>
      </c>
      <c r="D322" s="25" t="s">
        <v>271</v>
      </c>
      <c r="E322" s="64" t="s">
        <v>285</v>
      </c>
      <c r="F322" s="2">
        <f t="shared" si="36"/>
        <v>0</v>
      </c>
      <c r="G322" s="2">
        <f t="shared" si="37"/>
        <v>0</v>
      </c>
      <c r="H322" s="2">
        <f t="shared" si="38"/>
        <v>0</v>
      </c>
      <c r="I322" s="12" t="e">
        <f t="shared" si="39"/>
        <v>#N/A</v>
      </c>
      <c r="J322" s="34" t="e">
        <f t="shared" si="43"/>
        <v>#N/A</v>
      </c>
      <c r="K322" s="34"/>
      <c r="L322" s="2">
        <f t="shared" si="40"/>
        <v>0</v>
      </c>
      <c r="M322" s="2">
        <f t="shared" si="41"/>
        <v>0</v>
      </c>
      <c r="N322" s="2">
        <f t="shared" si="42"/>
        <v>0</v>
      </c>
      <c r="O322" s="2"/>
      <c r="P322" s="2"/>
      <c r="Q322" s="5"/>
      <c r="R322" s="5"/>
      <c r="S322" s="61"/>
      <c r="T322" s="64"/>
      <c r="U322" s="72"/>
      <c r="V322" s="48"/>
      <c r="W322" s="48"/>
      <c r="X322" s="41"/>
    </row>
    <row r="323" spans="2:24" x14ac:dyDescent="0.4">
      <c r="B323" s="5" t="s">
        <v>651</v>
      </c>
      <c r="C323" s="5" t="s">
        <v>726</v>
      </c>
      <c r="D323" s="25" t="s">
        <v>271</v>
      </c>
      <c r="E323" s="64" t="s">
        <v>53</v>
      </c>
      <c r="F323" s="2">
        <f t="shared" ref="F323:F371" si="44">+L323</f>
        <v>0</v>
      </c>
      <c r="G323" s="2">
        <f t="shared" ref="G323:G371" si="45">+M323</f>
        <v>0</v>
      </c>
      <c r="H323" s="2">
        <f t="shared" ref="H323:H371" si="46">+N323</f>
        <v>0</v>
      </c>
      <c r="I323" s="12" t="e">
        <f t="shared" si="39"/>
        <v>#N/A</v>
      </c>
      <c r="J323" s="34" t="e">
        <f t="shared" si="43"/>
        <v>#N/A</v>
      </c>
      <c r="K323" s="34"/>
      <c r="L323" s="2">
        <f t="shared" si="40"/>
        <v>0</v>
      </c>
      <c r="M323" s="2">
        <f t="shared" si="41"/>
        <v>0</v>
      </c>
      <c r="N323" s="2">
        <f t="shared" si="42"/>
        <v>0</v>
      </c>
      <c r="O323" s="2"/>
      <c r="P323" s="2"/>
      <c r="Q323" s="5"/>
      <c r="R323" s="5"/>
      <c r="S323" s="61"/>
      <c r="T323" s="64"/>
      <c r="U323" s="72"/>
      <c r="V323" s="48"/>
      <c r="W323" s="48"/>
      <c r="X323" s="41"/>
    </row>
    <row r="324" spans="2:24" x14ac:dyDescent="0.4">
      <c r="B324" s="5" t="s">
        <v>652</v>
      </c>
      <c r="C324" s="5" t="s">
        <v>726</v>
      </c>
      <c r="D324" s="25" t="s">
        <v>271</v>
      </c>
      <c r="E324" s="65" t="s">
        <v>286</v>
      </c>
      <c r="F324" s="2">
        <f t="shared" si="44"/>
        <v>0</v>
      </c>
      <c r="G324" s="2">
        <f t="shared" si="45"/>
        <v>0</v>
      </c>
      <c r="H324" s="2">
        <f t="shared" si="46"/>
        <v>0</v>
      </c>
      <c r="I324" s="12" t="e">
        <f t="shared" si="39"/>
        <v>#N/A</v>
      </c>
      <c r="J324" s="34" t="e">
        <f t="shared" si="43"/>
        <v>#N/A</v>
      </c>
      <c r="K324" s="34"/>
      <c r="L324" s="2">
        <f t="shared" si="40"/>
        <v>0</v>
      </c>
      <c r="M324" s="2">
        <f t="shared" si="41"/>
        <v>0</v>
      </c>
      <c r="N324" s="2">
        <f t="shared" si="42"/>
        <v>0</v>
      </c>
      <c r="O324" s="2"/>
      <c r="P324" s="2"/>
      <c r="Q324" s="5"/>
      <c r="R324" s="5"/>
      <c r="S324" s="6"/>
      <c r="T324" s="54"/>
      <c r="U324" s="73"/>
      <c r="V324" s="48"/>
      <c r="W324" s="48"/>
      <c r="X324" s="41"/>
    </row>
    <row r="325" spans="2:24" x14ac:dyDescent="0.4">
      <c r="B325" s="5" t="s">
        <v>653</v>
      </c>
      <c r="C325" s="5" t="s">
        <v>727</v>
      </c>
      <c r="D325" s="25" t="s">
        <v>288</v>
      </c>
      <c r="E325" s="64" t="s">
        <v>287</v>
      </c>
      <c r="F325" s="2">
        <f t="shared" si="44"/>
        <v>0</v>
      </c>
      <c r="G325" s="2">
        <f t="shared" si="45"/>
        <v>0</v>
      </c>
      <c r="H325" s="2">
        <f t="shared" si="46"/>
        <v>0</v>
      </c>
      <c r="I325" s="12" t="e">
        <f t="shared" ref="I325:I371" si="47">+VLOOKUP(B325,$Q$2:$U$373,5,FALSE)</f>
        <v>#N/A</v>
      </c>
      <c r="J325" s="34" t="e">
        <f t="shared" si="43"/>
        <v>#N/A</v>
      </c>
      <c r="K325" s="34"/>
      <c r="L325" s="2">
        <f t="shared" ref="L325:L371" si="48">IFERROR(VLOOKUP(B325,$Q$2:$U$373,5,FALSE),0)</f>
        <v>0</v>
      </c>
      <c r="M325" s="2">
        <f t="shared" ref="M325:M371" si="49">IFERROR(VLOOKUP(B325,$Q$2:$W$373,6,FALSE),0)</f>
        <v>0</v>
      </c>
      <c r="N325" s="2">
        <f t="shared" ref="N325:N371" si="50">IFERROR(VLOOKUP(B325,$Q$2:$W$373,7,FALSE),0)</f>
        <v>0</v>
      </c>
      <c r="O325" s="2"/>
      <c r="P325" s="2"/>
      <c r="Q325" s="5"/>
      <c r="R325" s="5"/>
      <c r="S325" s="6"/>
      <c r="T325" s="54"/>
      <c r="U325" s="73"/>
      <c r="V325" s="48"/>
      <c r="W325" s="48"/>
      <c r="X325" s="41"/>
    </row>
    <row r="326" spans="2:24" x14ac:dyDescent="0.4">
      <c r="B326" s="5" t="s">
        <v>654</v>
      </c>
      <c r="C326" s="5" t="s">
        <v>727</v>
      </c>
      <c r="D326" s="25" t="s">
        <v>288</v>
      </c>
      <c r="E326" s="64" t="s">
        <v>289</v>
      </c>
      <c r="F326" s="2">
        <f t="shared" si="44"/>
        <v>0</v>
      </c>
      <c r="G326" s="2">
        <f t="shared" si="45"/>
        <v>0</v>
      </c>
      <c r="H326" s="2">
        <f t="shared" si="46"/>
        <v>0</v>
      </c>
      <c r="I326" s="12" t="e">
        <f t="shared" si="47"/>
        <v>#N/A</v>
      </c>
      <c r="J326" s="34" t="e">
        <f t="shared" si="43"/>
        <v>#N/A</v>
      </c>
      <c r="K326" s="34"/>
      <c r="L326" s="2">
        <f t="shared" si="48"/>
        <v>0</v>
      </c>
      <c r="M326" s="2">
        <f t="shared" si="49"/>
        <v>0</v>
      </c>
      <c r="N326" s="2">
        <f t="shared" si="50"/>
        <v>0</v>
      </c>
      <c r="O326" s="2"/>
      <c r="P326" s="2"/>
      <c r="Q326" s="5"/>
      <c r="R326" s="5"/>
      <c r="S326" s="6"/>
      <c r="T326" s="54"/>
      <c r="U326" s="73"/>
      <c r="V326" s="48"/>
      <c r="W326" s="48"/>
      <c r="X326" s="41"/>
    </row>
    <row r="327" spans="2:24" x14ac:dyDescent="0.4">
      <c r="B327" s="5" t="s">
        <v>655</v>
      </c>
      <c r="C327" s="5" t="s">
        <v>727</v>
      </c>
      <c r="D327" s="25" t="s">
        <v>288</v>
      </c>
      <c r="E327" s="64" t="s">
        <v>290</v>
      </c>
      <c r="F327" s="2">
        <f t="shared" si="44"/>
        <v>0</v>
      </c>
      <c r="G327" s="2">
        <f t="shared" si="45"/>
        <v>0</v>
      </c>
      <c r="H327" s="2">
        <f t="shared" si="46"/>
        <v>0</v>
      </c>
      <c r="I327" s="12" t="e">
        <f t="shared" si="47"/>
        <v>#N/A</v>
      </c>
      <c r="J327" s="34" t="e">
        <f t="shared" si="43"/>
        <v>#N/A</v>
      </c>
      <c r="K327" s="34"/>
      <c r="L327" s="2">
        <f t="shared" si="48"/>
        <v>0</v>
      </c>
      <c r="M327" s="2">
        <f t="shared" si="49"/>
        <v>0</v>
      </c>
      <c r="N327" s="2">
        <f t="shared" si="50"/>
        <v>0</v>
      </c>
      <c r="O327" s="2"/>
      <c r="P327" s="2"/>
      <c r="Q327" s="5"/>
      <c r="R327" s="5"/>
      <c r="S327" s="6"/>
      <c r="T327" s="54"/>
      <c r="U327" s="73"/>
      <c r="V327" s="48"/>
      <c r="W327" s="48"/>
      <c r="X327" s="41"/>
    </row>
    <row r="328" spans="2:24" x14ac:dyDescent="0.4">
      <c r="B328" s="5" t="s">
        <v>656</v>
      </c>
      <c r="C328" s="5" t="s">
        <v>727</v>
      </c>
      <c r="D328" s="25" t="s">
        <v>288</v>
      </c>
      <c r="E328" s="64" t="s">
        <v>291</v>
      </c>
      <c r="F328" s="2">
        <f t="shared" si="44"/>
        <v>0</v>
      </c>
      <c r="G328" s="2">
        <f t="shared" si="45"/>
        <v>0</v>
      </c>
      <c r="H328" s="2">
        <f t="shared" si="46"/>
        <v>0</v>
      </c>
      <c r="I328" s="12" t="e">
        <f t="shared" si="47"/>
        <v>#N/A</v>
      </c>
      <c r="J328" s="34" t="e">
        <f t="shared" ref="J328:J371" si="51">+I328-F328</f>
        <v>#N/A</v>
      </c>
      <c r="K328" s="34"/>
      <c r="L328" s="2">
        <f t="shared" si="48"/>
        <v>0</v>
      </c>
      <c r="M328" s="2">
        <f t="shared" si="49"/>
        <v>0</v>
      </c>
      <c r="N328" s="2">
        <f t="shared" si="50"/>
        <v>0</v>
      </c>
      <c r="O328" s="2"/>
      <c r="P328" s="2"/>
      <c r="Q328" s="5"/>
      <c r="R328" s="5"/>
      <c r="S328" s="6"/>
      <c r="T328" s="54"/>
      <c r="U328" s="73"/>
      <c r="V328" s="48"/>
      <c r="W328" s="48"/>
      <c r="X328" s="41"/>
    </row>
    <row r="329" spans="2:24" x14ac:dyDescent="0.4">
      <c r="B329" s="5" t="s">
        <v>657</v>
      </c>
      <c r="C329" s="5" t="s">
        <v>727</v>
      </c>
      <c r="D329" s="25" t="s">
        <v>288</v>
      </c>
      <c r="E329" s="64" t="s">
        <v>292</v>
      </c>
      <c r="F329" s="2">
        <f t="shared" si="44"/>
        <v>0</v>
      </c>
      <c r="G329" s="2">
        <f t="shared" si="45"/>
        <v>0</v>
      </c>
      <c r="H329" s="2">
        <f t="shared" si="46"/>
        <v>0</v>
      </c>
      <c r="I329" s="12" t="e">
        <f t="shared" si="47"/>
        <v>#N/A</v>
      </c>
      <c r="J329" s="34" t="e">
        <f t="shared" si="51"/>
        <v>#N/A</v>
      </c>
      <c r="K329" s="34"/>
      <c r="L329" s="2">
        <f t="shared" si="48"/>
        <v>0</v>
      </c>
      <c r="M329" s="2">
        <f t="shared" si="49"/>
        <v>0</v>
      </c>
      <c r="N329" s="2">
        <f t="shared" si="50"/>
        <v>0</v>
      </c>
      <c r="O329" s="2"/>
      <c r="P329" s="2"/>
      <c r="Q329" s="5"/>
      <c r="R329" s="5"/>
      <c r="S329" s="6"/>
      <c r="T329" s="54"/>
      <c r="U329" s="73"/>
      <c r="V329" s="48"/>
      <c r="W329" s="48"/>
      <c r="X329" s="41"/>
    </row>
    <row r="330" spans="2:24" x14ac:dyDescent="0.4">
      <c r="B330" s="5" t="s">
        <v>658</v>
      </c>
      <c r="C330" s="5" t="s">
        <v>727</v>
      </c>
      <c r="D330" s="25" t="s">
        <v>288</v>
      </c>
      <c r="E330" s="64" t="s">
        <v>293</v>
      </c>
      <c r="F330" s="2">
        <f t="shared" si="44"/>
        <v>0</v>
      </c>
      <c r="G330" s="2">
        <f t="shared" si="45"/>
        <v>0</v>
      </c>
      <c r="H330" s="2">
        <f t="shared" si="46"/>
        <v>0</v>
      </c>
      <c r="I330" s="12" t="e">
        <f t="shared" si="47"/>
        <v>#N/A</v>
      </c>
      <c r="J330" s="34" t="e">
        <f t="shared" si="51"/>
        <v>#N/A</v>
      </c>
      <c r="K330" s="34"/>
      <c r="L330" s="2">
        <f t="shared" si="48"/>
        <v>0</v>
      </c>
      <c r="M330" s="2">
        <f t="shared" si="49"/>
        <v>0</v>
      </c>
      <c r="N330" s="2">
        <f t="shared" si="50"/>
        <v>0</v>
      </c>
      <c r="O330" s="2"/>
      <c r="P330" s="2"/>
      <c r="Q330" s="5"/>
      <c r="R330" s="5"/>
      <c r="S330" s="6"/>
      <c r="T330" s="54"/>
      <c r="U330" s="73"/>
      <c r="V330" s="48"/>
      <c r="W330" s="48"/>
      <c r="X330" s="41"/>
    </row>
    <row r="331" spans="2:24" x14ac:dyDescent="0.4">
      <c r="B331" s="5" t="s">
        <v>659</v>
      </c>
      <c r="C331" s="5" t="s">
        <v>727</v>
      </c>
      <c r="D331" s="25" t="s">
        <v>288</v>
      </c>
      <c r="E331" s="64" t="s">
        <v>294</v>
      </c>
      <c r="F331" s="2">
        <f t="shared" si="44"/>
        <v>0</v>
      </c>
      <c r="G331" s="2">
        <f t="shared" si="45"/>
        <v>0</v>
      </c>
      <c r="H331" s="2">
        <f t="shared" si="46"/>
        <v>0</v>
      </c>
      <c r="I331" s="12" t="e">
        <f t="shared" si="47"/>
        <v>#N/A</v>
      </c>
      <c r="J331" s="34" t="e">
        <f t="shared" si="51"/>
        <v>#N/A</v>
      </c>
      <c r="K331" s="34"/>
      <c r="L331" s="2">
        <f t="shared" si="48"/>
        <v>0</v>
      </c>
      <c r="M331" s="2">
        <f t="shared" si="49"/>
        <v>0</v>
      </c>
      <c r="N331" s="2">
        <f t="shared" si="50"/>
        <v>0</v>
      </c>
      <c r="O331" s="2"/>
      <c r="P331" s="2"/>
      <c r="Q331" s="5"/>
      <c r="R331" s="5"/>
      <c r="S331" s="15"/>
      <c r="T331" s="16"/>
      <c r="U331" s="74"/>
      <c r="V331" s="48"/>
      <c r="W331" s="48"/>
      <c r="X331" s="41"/>
    </row>
    <row r="332" spans="2:24" x14ac:dyDescent="0.4">
      <c r="B332" s="5" t="s">
        <v>660</v>
      </c>
      <c r="C332" s="5" t="s">
        <v>727</v>
      </c>
      <c r="D332" s="25" t="s">
        <v>288</v>
      </c>
      <c r="E332" s="64" t="s">
        <v>295</v>
      </c>
      <c r="F332" s="2">
        <f t="shared" si="44"/>
        <v>0</v>
      </c>
      <c r="G332" s="2">
        <f t="shared" si="45"/>
        <v>0</v>
      </c>
      <c r="H332" s="2">
        <f t="shared" si="46"/>
        <v>0</v>
      </c>
      <c r="I332" s="12" t="e">
        <f t="shared" si="47"/>
        <v>#N/A</v>
      </c>
      <c r="J332" s="34" t="e">
        <f t="shared" si="51"/>
        <v>#N/A</v>
      </c>
      <c r="K332" s="34"/>
      <c r="L332" s="2">
        <f t="shared" si="48"/>
        <v>0</v>
      </c>
      <c r="M332" s="2">
        <f t="shared" si="49"/>
        <v>0</v>
      </c>
      <c r="N332" s="2">
        <f t="shared" si="50"/>
        <v>0</v>
      </c>
      <c r="O332" s="2"/>
      <c r="P332" s="2"/>
      <c r="Q332" s="5"/>
      <c r="R332" s="5"/>
      <c r="S332" s="15"/>
      <c r="T332" s="17"/>
      <c r="U332" s="75"/>
      <c r="V332" s="48"/>
      <c r="W332" s="48"/>
      <c r="X332" s="41"/>
    </row>
    <row r="333" spans="2:24" x14ac:dyDescent="0.4">
      <c r="B333" s="5" t="s">
        <v>661</v>
      </c>
      <c r="C333" s="5" t="s">
        <v>727</v>
      </c>
      <c r="D333" s="25" t="s">
        <v>288</v>
      </c>
      <c r="E333" s="64" t="s">
        <v>296</v>
      </c>
      <c r="F333" s="2">
        <f t="shared" si="44"/>
        <v>0</v>
      </c>
      <c r="G333" s="2">
        <f t="shared" si="45"/>
        <v>0</v>
      </c>
      <c r="H333" s="2">
        <f t="shared" si="46"/>
        <v>0</v>
      </c>
      <c r="I333" s="12" t="e">
        <f t="shared" si="47"/>
        <v>#N/A</v>
      </c>
      <c r="J333" s="34" t="e">
        <f t="shared" si="51"/>
        <v>#N/A</v>
      </c>
      <c r="K333" s="34"/>
      <c r="L333" s="2">
        <f t="shared" si="48"/>
        <v>0</v>
      </c>
      <c r="M333" s="2">
        <f t="shared" si="49"/>
        <v>0</v>
      </c>
      <c r="N333" s="2">
        <f t="shared" si="50"/>
        <v>0</v>
      </c>
      <c r="O333" s="2"/>
      <c r="P333" s="2"/>
      <c r="Q333" s="5"/>
      <c r="R333" s="5"/>
      <c r="S333" s="15"/>
      <c r="T333" s="55"/>
      <c r="U333" s="75"/>
      <c r="V333" s="48"/>
      <c r="W333" s="48"/>
      <c r="X333" s="41"/>
    </row>
    <row r="334" spans="2:24" x14ac:dyDescent="0.4">
      <c r="B334" s="5" t="s">
        <v>662</v>
      </c>
      <c r="C334" s="5" t="s">
        <v>727</v>
      </c>
      <c r="D334" s="25" t="s">
        <v>288</v>
      </c>
      <c r="E334" s="64" t="s">
        <v>297</v>
      </c>
      <c r="F334" s="2">
        <f t="shared" si="44"/>
        <v>0</v>
      </c>
      <c r="G334" s="2">
        <f t="shared" si="45"/>
        <v>0</v>
      </c>
      <c r="H334" s="2">
        <f t="shared" si="46"/>
        <v>0</v>
      </c>
      <c r="I334" s="12" t="e">
        <f t="shared" si="47"/>
        <v>#N/A</v>
      </c>
      <c r="J334" s="34" t="e">
        <f t="shared" si="51"/>
        <v>#N/A</v>
      </c>
      <c r="K334" s="34"/>
      <c r="L334" s="2">
        <f t="shared" si="48"/>
        <v>0</v>
      </c>
      <c r="M334" s="2">
        <f t="shared" si="49"/>
        <v>0</v>
      </c>
      <c r="N334" s="2">
        <f t="shared" si="50"/>
        <v>0</v>
      </c>
      <c r="O334" s="2"/>
      <c r="P334" s="2"/>
      <c r="Q334" s="5"/>
      <c r="R334" s="5"/>
      <c r="S334" s="25"/>
      <c r="T334" s="55"/>
      <c r="U334" s="76"/>
      <c r="V334" s="48"/>
      <c r="W334" s="48"/>
      <c r="X334" s="41"/>
    </row>
    <row r="335" spans="2:24" x14ac:dyDescent="0.4">
      <c r="B335" s="5" t="s">
        <v>663</v>
      </c>
      <c r="C335" s="5" t="s">
        <v>727</v>
      </c>
      <c r="D335" s="25" t="s">
        <v>288</v>
      </c>
      <c r="E335" s="64" t="s">
        <v>298</v>
      </c>
      <c r="F335" s="2">
        <f t="shared" si="44"/>
        <v>0</v>
      </c>
      <c r="G335" s="2">
        <f t="shared" si="45"/>
        <v>0</v>
      </c>
      <c r="H335" s="2">
        <f t="shared" si="46"/>
        <v>0</v>
      </c>
      <c r="I335" s="12" t="e">
        <f t="shared" si="47"/>
        <v>#N/A</v>
      </c>
      <c r="J335" s="34" t="e">
        <f t="shared" si="51"/>
        <v>#N/A</v>
      </c>
      <c r="K335" s="34"/>
      <c r="L335" s="2">
        <f t="shared" si="48"/>
        <v>0</v>
      </c>
      <c r="M335" s="2">
        <f t="shared" si="49"/>
        <v>0</v>
      </c>
      <c r="N335" s="2">
        <f t="shared" si="50"/>
        <v>0</v>
      </c>
      <c r="O335" s="2"/>
      <c r="P335" s="2"/>
      <c r="Q335" s="5"/>
      <c r="R335" s="5"/>
      <c r="S335" s="45"/>
      <c r="T335" s="55"/>
      <c r="U335" s="76"/>
      <c r="V335" s="48"/>
      <c r="W335" s="48"/>
      <c r="X335" s="41"/>
    </row>
    <row r="336" spans="2:24" x14ac:dyDescent="0.4">
      <c r="B336" s="5" t="s">
        <v>664</v>
      </c>
      <c r="C336" s="5" t="s">
        <v>728</v>
      </c>
      <c r="D336" s="25" t="s">
        <v>300</v>
      </c>
      <c r="E336" s="64" t="s">
        <v>299</v>
      </c>
      <c r="F336" s="2">
        <f t="shared" si="44"/>
        <v>0</v>
      </c>
      <c r="G336" s="2">
        <f t="shared" si="45"/>
        <v>0</v>
      </c>
      <c r="H336" s="2">
        <f t="shared" si="46"/>
        <v>0</v>
      </c>
      <c r="I336" s="12" t="e">
        <f t="shared" si="47"/>
        <v>#N/A</v>
      </c>
      <c r="J336" s="34" t="e">
        <f t="shared" si="51"/>
        <v>#N/A</v>
      </c>
      <c r="K336" s="34"/>
      <c r="L336" s="2">
        <f t="shared" si="48"/>
        <v>0</v>
      </c>
      <c r="M336" s="2">
        <f t="shared" si="49"/>
        <v>0</v>
      </c>
      <c r="N336" s="2">
        <f t="shared" si="50"/>
        <v>0</v>
      </c>
      <c r="O336" s="2"/>
      <c r="P336" s="2"/>
      <c r="Q336" s="5"/>
      <c r="R336" s="5"/>
      <c r="S336" s="61"/>
      <c r="T336" s="64"/>
      <c r="U336" s="76"/>
      <c r="V336" s="48"/>
      <c r="W336" s="48"/>
      <c r="X336" s="41"/>
    </row>
    <row r="337" spans="2:27" x14ac:dyDescent="0.4">
      <c r="B337" s="5" t="s">
        <v>665</v>
      </c>
      <c r="C337" s="5" t="s">
        <v>728</v>
      </c>
      <c r="D337" s="25" t="s">
        <v>300</v>
      </c>
      <c r="E337" s="64" t="s">
        <v>36</v>
      </c>
      <c r="F337" s="2">
        <f t="shared" si="44"/>
        <v>0</v>
      </c>
      <c r="G337" s="2">
        <f t="shared" si="45"/>
        <v>0</v>
      </c>
      <c r="H337" s="2">
        <f t="shared" si="46"/>
        <v>0</v>
      </c>
      <c r="I337" s="12" t="e">
        <f t="shared" si="47"/>
        <v>#N/A</v>
      </c>
      <c r="J337" s="34" t="e">
        <f t="shared" si="51"/>
        <v>#N/A</v>
      </c>
      <c r="K337" s="34"/>
      <c r="L337" s="2">
        <f t="shared" si="48"/>
        <v>0</v>
      </c>
      <c r="M337" s="2">
        <f t="shared" si="49"/>
        <v>0</v>
      </c>
      <c r="N337" s="2">
        <f t="shared" si="50"/>
        <v>0</v>
      </c>
      <c r="O337" s="2"/>
      <c r="P337" s="2"/>
      <c r="Q337" s="5"/>
      <c r="R337" s="5"/>
      <c r="S337" s="61"/>
      <c r="T337" s="64"/>
      <c r="U337" s="76"/>
      <c r="V337" s="48"/>
      <c r="W337" s="48"/>
      <c r="X337" s="41"/>
    </row>
    <row r="338" spans="2:27" x14ac:dyDescent="0.4">
      <c r="B338" s="5" t="s">
        <v>666</v>
      </c>
      <c r="C338" s="5" t="s">
        <v>728</v>
      </c>
      <c r="D338" s="25" t="s">
        <v>300</v>
      </c>
      <c r="E338" s="64" t="s">
        <v>301</v>
      </c>
      <c r="F338" s="2">
        <f t="shared" si="44"/>
        <v>0</v>
      </c>
      <c r="G338" s="2">
        <f t="shared" si="45"/>
        <v>0</v>
      </c>
      <c r="H338" s="2">
        <f t="shared" si="46"/>
        <v>0</v>
      </c>
      <c r="I338" s="12" t="e">
        <f t="shared" si="47"/>
        <v>#N/A</v>
      </c>
      <c r="J338" s="34" t="e">
        <f t="shared" si="51"/>
        <v>#N/A</v>
      </c>
      <c r="K338" s="34"/>
      <c r="L338" s="2">
        <f t="shared" si="48"/>
        <v>0</v>
      </c>
      <c r="M338" s="2">
        <f t="shared" si="49"/>
        <v>0</v>
      </c>
      <c r="N338" s="2">
        <f t="shared" si="50"/>
        <v>0</v>
      </c>
      <c r="O338" s="2"/>
      <c r="P338" s="2"/>
      <c r="Q338" s="5"/>
      <c r="R338" s="5"/>
      <c r="S338" s="61"/>
      <c r="T338" s="64"/>
      <c r="U338" s="76"/>
      <c r="V338" s="48"/>
      <c r="W338" s="48"/>
      <c r="X338" s="41"/>
    </row>
    <row r="339" spans="2:27" x14ac:dyDescent="0.4">
      <c r="B339" s="5" t="s">
        <v>667</v>
      </c>
      <c r="C339" s="5" t="s">
        <v>728</v>
      </c>
      <c r="D339" s="25" t="s">
        <v>300</v>
      </c>
      <c r="E339" s="64" t="s">
        <v>302</v>
      </c>
      <c r="F339" s="2">
        <f t="shared" si="44"/>
        <v>0</v>
      </c>
      <c r="G339" s="2">
        <f t="shared" si="45"/>
        <v>0</v>
      </c>
      <c r="H339" s="2">
        <f t="shared" si="46"/>
        <v>0</v>
      </c>
      <c r="I339" s="12" t="e">
        <f t="shared" si="47"/>
        <v>#N/A</v>
      </c>
      <c r="J339" s="34" t="e">
        <f t="shared" si="51"/>
        <v>#N/A</v>
      </c>
      <c r="K339" s="34"/>
      <c r="L339" s="2">
        <f t="shared" si="48"/>
        <v>0</v>
      </c>
      <c r="M339" s="2">
        <f t="shared" si="49"/>
        <v>0</v>
      </c>
      <c r="N339" s="2">
        <f t="shared" si="50"/>
        <v>0</v>
      </c>
      <c r="O339" s="2"/>
      <c r="P339" s="2"/>
      <c r="Q339" s="5"/>
      <c r="R339" s="5"/>
      <c r="S339" s="61"/>
      <c r="T339" s="64"/>
      <c r="U339" s="76"/>
      <c r="V339" s="48"/>
      <c r="W339" s="48"/>
      <c r="X339" s="41"/>
    </row>
    <row r="340" spans="2:27" x14ac:dyDescent="0.4">
      <c r="B340" s="5" t="s">
        <v>668</v>
      </c>
      <c r="C340" s="5" t="s">
        <v>728</v>
      </c>
      <c r="D340" s="25" t="s">
        <v>300</v>
      </c>
      <c r="E340" s="64" t="s">
        <v>14</v>
      </c>
      <c r="F340" s="2">
        <f t="shared" si="44"/>
        <v>0</v>
      </c>
      <c r="G340" s="2">
        <f t="shared" si="45"/>
        <v>0</v>
      </c>
      <c r="H340" s="2">
        <f t="shared" si="46"/>
        <v>0</v>
      </c>
      <c r="I340" s="12" t="e">
        <f t="shared" si="47"/>
        <v>#N/A</v>
      </c>
      <c r="J340" s="34" t="e">
        <f t="shared" si="51"/>
        <v>#N/A</v>
      </c>
      <c r="K340" s="34"/>
      <c r="L340" s="2">
        <f t="shared" si="48"/>
        <v>0</v>
      </c>
      <c r="M340" s="2">
        <f t="shared" si="49"/>
        <v>0</v>
      </c>
      <c r="N340" s="2">
        <f t="shared" si="50"/>
        <v>0</v>
      </c>
      <c r="O340" s="2"/>
      <c r="P340" s="2"/>
      <c r="Q340" s="5"/>
      <c r="R340" s="5"/>
      <c r="S340" s="61"/>
      <c r="T340" s="64"/>
      <c r="U340" s="76"/>
      <c r="V340" s="48"/>
      <c r="W340" s="48"/>
      <c r="X340" s="41"/>
    </row>
    <row r="341" spans="2:27" x14ac:dyDescent="0.4">
      <c r="B341" s="5" t="s">
        <v>669</v>
      </c>
      <c r="C341" s="5" t="s">
        <v>728</v>
      </c>
      <c r="D341" s="25" t="s">
        <v>300</v>
      </c>
      <c r="E341" s="64" t="s">
        <v>303</v>
      </c>
      <c r="F341" s="2">
        <f t="shared" si="44"/>
        <v>0</v>
      </c>
      <c r="G341" s="2">
        <f t="shared" si="45"/>
        <v>0</v>
      </c>
      <c r="H341" s="2">
        <f t="shared" si="46"/>
        <v>0</v>
      </c>
      <c r="I341" s="12" t="e">
        <f t="shared" si="47"/>
        <v>#N/A</v>
      </c>
      <c r="J341" s="34" t="e">
        <f t="shared" si="51"/>
        <v>#N/A</v>
      </c>
      <c r="K341" s="34"/>
      <c r="L341" s="2">
        <f t="shared" si="48"/>
        <v>0</v>
      </c>
      <c r="M341" s="2">
        <f t="shared" si="49"/>
        <v>0</v>
      </c>
      <c r="N341" s="2">
        <f t="shared" si="50"/>
        <v>0</v>
      </c>
      <c r="O341" s="2"/>
      <c r="P341" s="2"/>
      <c r="Q341" s="5"/>
      <c r="R341" s="5"/>
      <c r="S341" s="61"/>
      <c r="T341" s="64"/>
      <c r="U341" s="76"/>
      <c r="V341" s="48"/>
      <c r="W341" s="48"/>
      <c r="X341" s="41"/>
    </row>
    <row r="342" spans="2:27" x14ac:dyDescent="0.4">
      <c r="B342" s="5" t="s">
        <v>670</v>
      </c>
      <c r="C342" s="5" t="s">
        <v>728</v>
      </c>
      <c r="D342" s="25" t="s">
        <v>300</v>
      </c>
      <c r="E342" s="64" t="s">
        <v>304</v>
      </c>
      <c r="F342" s="2">
        <f t="shared" si="44"/>
        <v>0</v>
      </c>
      <c r="G342" s="2">
        <f t="shared" si="45"/>
        <v>0</v>
      </c>
      <c r="H342" s="2">
        <f t="shared" si="46"/>
        <v>0</v>
      </c>
      <c r="I342" s="12" t="e">
        <f t="shared" si="47"/>
        <v>#N/A</v>
      </c>
      <c r="J342" s="34" t="e">
        <f t="shared" si="51"/>
        <v>#N/A</v>
      </c>
      <c r="K342" s="34"/>
      <c r="L342" s="2">
        <f t="shared" si="48"/>
        <v>0</v>
      </c>
      <c r="M342" s="2">
        <f t="shared" si="49"/>
        <v>0</v>
      </c>
      <c r="N342" s="2">
        <f t="shared" si="50"/>
        <v>0</v>
      </c>
      <c r="O342" s="2"/>
      <c r="P342" s="2"/>
      <c r="Q342" s="5"/>
      <c r="R342" s="5"/>
      <c r="S342" s="61"/>
      <c r="T342" s="64"/>
      <c r="U342" s="76"/>
      <c r="V342" s="48"/>
      <c r="W342" s="48"/>
      <c r="X342" s="41"/>
    </row>
    <row r="343" spans="2:27" x14ac:dyDescent="0.4">
      <c r="B343" s="5" t="s">
        <v>671</v>
      </c>
      <c r="C343" s="5" t="s">
        <v>728</v>
      </c>
      <c r="D343" s="25" t="s">
        <v>300</v>
      </c>
      <c r="E343" s="64" t="s">
        <v>305</v>
      </c>
      <c r="F343" s="2">
        <f t="shared" si="44"/>
        <v>0</v>
      </c>
      <c r="G343" s="2">
        <f t="shared" si="45"/>
        <v>0</v>
      </c>
      <c r="H343" s="2">
        <f t="shared" si="46"/>
        <v>0</v>
      </c>
      <c r="I343" s="12" t="e">
        <f t="shared" si="47"/>
        <v>#N/A</v>
      </c>
      <c r="J343" s="34" t="e">
        <f t="shared" si="51"/>
        <v>#N/A</v>
      </c>
      <c r="K343" s="34"/>
      <c r="L343" s="2">
        <f t="shared" si="48"/>
        <v>0</v>
      </c>
      <c r="M343" s="2">
        <f t="shared" si="49"/>
        <v>0</v>
      </c>
      <c r="N343" s="2">
        <f t="shared" si="50"/>
        <v>0</v>
      </c>
      <c r="O343" s="2"/>
      <c r="P343" s="2"/>
      <c r="Q343" s="5"/>
      <c r="R343" s="5"/>
      <c r="S343" s="61"/>
      <c r="T343" s="64"/>
      <c r="U343" s="76"/>
      <c r="V343" s="48"/>
      <c r="W343" s="48"/>
      <c r="X343" s="41"/>
    </row>
    <row r="344" spans="2:27" x14ac:dyDescent="0.4">
      <c r="B344" s="5" t="s">
        <v>672</v>
      </c>
      <c r="C344" s="5" t="s">
        <v>728</v>
      </c>
      <c r="D344" s="25" t="s">
        <v>300</v>
      </c>
      <c r="E344" s="64" t="s">
        <v>306</v>
      </c>
      <c r="F344" s="2">
        <f t="shared" si="44"/>
        <v>0</v>
      </c>
      <c r="G344" s="2">
        <f t="shared" si="45"/>
        <v>0</v>
      </c>
      <c r="H344" s="2">
        <f t="shared" si="46"/>
        <v>0</v>
      </c>
      <c r="I344" s="12" t="e">
        <f t="shared" si="47"/>
        <v>#N/A</v>
      </c>
      <c r="J344" s="34" t="e">
        <f t="shared" si="51"/>
        <v>#N/A</v>
      </c>
      <c r="K344" s="34"/>
      <c r="L344" s="2">
        <f t="shared" si="48"/>
        <v>0</v>
      </c>
      <c r="M344" s="2">
        <f t="shared" si="49"/>
        <v>0</v>
      </c>
      <c r="N344" s="2">
        <f t="shared" si="50"/>
        <v>0</v>
      </c>
      <c r="O344" s="2"/>
      <c r="P344" s="2"/>
      <c r="Q344" s="5"/>
      <c r="R344" s="5"/>
      <c r="S344" s="61"/>
      <c r="T344" s="64"/>
      <c r="U344" s="76"/>
      <c r="V344" s="48"/>
      <c r="W344" s="48"/>
      <c r="X344" s="41"/>
      <c r="Y344" s="1"/>
      <c r="Z344" s="1"/>
      <c r="AA344" s="26"/>
    </row>
    <row r="345" spans="2:27" x14ac:dyDescent="0.4">
      <c r="B345" s="5" t="s">
        <v>673</v>
      </c>
      <c r="C345" s="5" t="s">
        <v>728</v>
      </c>
      <c r="D345" s="25" t="s">
        <v>300</v>
      </c>
      <c r="E345" s="64" t="s">
        <v>307</v>
      </c>
      <c r="F345" s="2">
        <f t="shared" si="44"/>
        <v>0</v>
      </c>
      <c r="G345" s="2">
        <f t="shared" si="45"/>
        <v>0</v>
      </c>
      <c r="H345" s="2">
        <f t="shared" si="46"/>
        <v>0</v>
      </c>
      <c r="I345" s="12" t="e">
        <f t="shared" si="47"/>
        <v>#N/A</v>
      </c>
      <c r="J345" s="34" t="e">
        <f t="shared" si="51"/>
        <v>#N/A</v>
      </c>
      <c r="K345" s="34"/>
      <c r="L345" s="2">
        <f t="shared" si="48"/>
        <v>0</v>
      </c>
      <c r="M345" s="2">
        <f t="shared" si="49"/>
        <v>0</v>
      </c>
      <c r="N345" s="2">
        <f t="shared" si="50"/>
        <v>0</v>
      </c>
      <c r="O345" s="2"/>
      <c r="P345" s="2"/>
      <c r="Q345" s="5"/>
      <c r="R345" s="5"/>
      <c r="S345" s="61"/>
      <c r="T345" s="64"/>
      <c r="U345" s="76"/>
      <c r="V345" s="48"/>
      <c r="W345" s="48"/>
      <c r="X345" s="41"/>
      <c r="Y345" s="1"/>
      <c r="Z345" s="1"/>
      <c r="AA345" s="26"/>
    </row>
    <row r="346" spans="2:27" x14ac:dyDescent="0.4">
      <c r="B346" s="5" t="s">
        <v>674</v>
      </c>
      <c r="C346" s="5" t="s">
        <v>728</v>
      </c>
      <c r="D346" s="25" t="s">
        <v>300</v>
      </c>
      <c r="E346" s="64" t="s">
        <v>308</v>
      </c>
      <c r="F346" s="2">
        <f t="shared" si="44"/>
        <v>0</v>
      </c>
      <c r="G346" s="2">
        <f t="shared" si="45"/>
        <v>0</v>
      </c>
      <c r="H346" s="2">
        <f t="shared" si="46"/>
        <v>0</v>
      </c>
      <c r="I346" s="12" t="e">
        <f t="shared" si="47"/>
        <v>#N/A</v>
      </c>
      <c r="J346" s="34" t="e">
        <f t="shared" si="51"/>
        <v>#N/A</v>
      </c>
      <c r="K346" s="34"/>
      <c r="L346" s="2">
        <f t="shared" si="48"/>
        <v>0</v>
      </c>
      <c r="M346" s="2">
        <f t="shared" si="49"/>
        <v>0</v>
      </c>
      <c r="N346" s="2">
        <f t="shared" si="50"/>
        <v>0</v>
      </c>
      <c r="O346" s="2"/>
      <c r="P346" s="2"/>
      <c r="Q346" s="5"/>
      <c r="R346" s="5"/>
      <c r="S346" s="61"/>
      <c r="T346" s="64"/>
      <c r="U346" s="76"/>
      <c r="V346" s="48"/>
      <c r="W346" s="48"/>
      <c r="X346" s="41"/>
      <c r="Y346" s="1"/>
      <c r="Z346" s="1"/>
      <c r="AA346" s="26"/>
    </row>
    <row r="347" spans="2:27" x14ac:dyDescent="0.4">
      <c r="B347" s="5" t="s">
        <v>675</v>
      </c>
      <c r="C347" s="5" t="s">
        <v>728</v>
      </c>
      <c r="D347" s="25" t="s">
        <v>300</v>
      </c>
      <c r="E347" s="64" t="s">
        <v>51</v>
      </c>
      <c r="F347" s="2">
        <f t="shared" si="44"/>
        <v>0</v>
      </c>
      <c r="G347" s="2">
        <f t="shared" si="45"/>
        <v>0</v>
      </c>
      <c r="H347" s="2">
        <f t="shared" si="46"/>
        <v>0</v>
      </c>
      <c r="I347" s="12" t="e">
        <f t="shared" si="47"/>
        <v>#N/A</v>
      </c>
      <c r="J347" s="34" t="e">
        <f t="shared" si="51"/>
        <v>#N/A</v>
      </c>
      <c r="K347" s="34"/>
      <c r="L347" s="2">
        <f t="shared" si="48"/>
        <v>0</v>
      </c>
      <c r="M347" s="2">
        <f t="shared" si="49"/>
        <v>0</v>
      </c>
      <c r="N347" s="2">
        <f t="shared" si="50"/>
        <v>0</v>
      </c>
      <c r="O347" s="2"/>
      <c r="P347" s="2"/>
      <c r="Q347" s="5"/>
      <c r="R347" s="5"/>
      <c r="S347" s="61"/>
      <c r="T347" s="64"/>
      <c r="U347" s="76"/>
      <c r="V347" s="48"/>
      <c r="W347" s="48"/>
      <c r="X347" s="41"/>
      <c r="Y347" s="1"/>
      <c r="Z347" s="1"/>
      <c r="AA347" s="26"/>
    </row>
    <row r="348" spans="2:27" x14ac:dyDescent="0.4">
      <c r="B348" s="5" t="s">
        <v>676</v>
      </c>
      <c r="C348" s="5" t="s">
        <v>728</v>
      </c>
      <c r="D348" s="25" t="s">
        <v>300</v>
      </c>
      <c r="E348" s="64" t="s">
        <v>309</v>
      </c>
      <c r="F348" s="2">
        <f t="shared" si="44"/>
        <v>0</v>
      </c>
      <c r="G348" s="2">
        <f t="shared" si="45"/>
        <v>0</v>
      </c>
      <c r="H348" s="2">
        <f t="shared" si="46"/>
        <v>0</v>
      </c>
      <c r="I348" s="12" t="e">
        <f t="shared" si="47"/>
        <v>#N/A</v>
      </c>
      <c r="J348" s="34" t="e">
        <f t="shared" si="51"/>
        <v>#N/A</v>
      </c>
      <c r="K348" s="34"/>
      <c r="L348" s="2">
        <f t="shared" si="48"/>
        <v>0</v>
      </c>
      <c r="M348" s="2">
        <f t="shared" si="49"/>
        <v>0</v>
      </c>
      <c r="N348" s="2">
        <f t="shared" si="50"/>
        <v>0</v>
      </c>
      <c r="O348" s="2"/>
      <c r="P348" s="2"/>
      <c r="Q348" s="5"/>
      <c r="R348" s="5"/>
      <c r="S348" s="61"/>
      <c r="T348" s="64"/>
      <c r="U348" s="76"/>
      <c r="V348" s="48"/>
      <c r="W348" s="48"/>
      <c r="X348" s="41"/>
      <c r="Y348" s="1"/>
      <c r="Z348" s="1"/>
      <c r="AA348" s="26"/>
    </row>
    <row r="349" spans="2:27" x14ac:dyDescent="0.4">
      <c r="B349" s="5" t="s">
        <v>677</v>
      </c>
      <c r="C349" s="5" t="s">
        <v>728</v>
      </c>
      <c r="D349" s="25" t="s">
        <v>300</v>
      </c>
      <c r="E349" s="64" t="s">
        <v>310</v>
      </c>
      <c r="F349" s="2">
        <f t="shared" si="44"/>
        <v>0</v>
      </c>
      <c r="G349" s="2">
        <f t="shared" si="45"/>
        <v>0</v>
      </c>
      <c r="H349" s="2">
        <f t="shared" si="46"/>
        <v>0</v>
      </c>
      <c r="I349" s="12" t="e">
        <f t="shared" si="47"/>
        <v>#N/A</v>
      </c>
      <c r="J349" s="34" t="e">
        <f t="shared" si="51"/>
        <v>#N/A</v>
      </c>
      <c r="K349" s="34"/>
      <c r="L349" s="2">
        <f t="shared" si="48"/>
        <v>0</v>
      </c>
      <c r="M349" s="2">
        <f t="shared" si="49"/>
        <v>0</v>
      </c>
      <c r="N349" s="2">
        <f t="shared" si="50"/>
        <v>0</v>
      </c>
      <c r="O349" s="2"/>
      <c r="P349" s="2"/>
      <c r="Q349" s="5"/>
      <c r="R349" s="5"/>
      <c r="S349" s="61"/>
      <c r="T349" s="64"/>
      <c r="U349" s="76"/>
      <c r="V349" s="48"/>
      <c r="W349" s="48"/>
      <c r="X349" s="41"/>
      <c r="Y349" s="1"/>
      <c r="Z349" s="1"/>
      <c r="AA349" s="26"/>
    </row>
    <row r="350" spans="2:27" x14ac:dyDescent="0.4">
      <c r="B350" s="5" t="s">
        <v>678</v>
      </c>
      <c r="C350" s="5" t="s">
        <v>729</v>
      </c>
      <c r="D350" s="25" t="s">
        <v>312</v>
      </c>
      <c r="E350" s="64" t="s">
        <v>311</v>
      </c>
      <c r="F350" s="2">
        <f t="shared" si="44"/>
        <v>0</v>
      </c>
      <c r="G350" s="2">
        <f t="shared" si="45"/>
        <v>0</v>
      </c>
      <c r="H350" s="2">
        <f t="shared" si="46"/>
        <v>0</v>
      </c>
      <c r="I350" s="12" t="e">
        <f t="shared" si="47"/>
        <v>#N/A</v>
      </c>
      <c r="J350" s="34" t="e">
        <f t="shared" si="51"/>
        <v>#N/A</v>
      </c>
      <c r="K350" s="34"/>
      <c r="L350" s="2">
        <f t="shared" si="48"/>
        <v>0</v>
      </c>
      <c r="M350" s="2">
        <f t="shared" si="49"/>
        <v>0</v>
      </c>
      <c r="N350" s="2">
        <f t="shared" si="50"/>
        <v>0</v>
      </c>
      <c r="O350" s="2"/>
      <c r="P350" s="2"/>
      <c r="Q350" s="5"/>
      <c r="R350" s="5"/>
      <c r="S350" s="61"/>
      <c r="T350" s="64"/>
      <c r="U350" s="76"/>
      <c r="V350" s="48"/>
      <c r="W350" s="48"/>
      <c r="X350" s="41"/>
      <c r="Y350" s="1"/>
      <c r="Z350" s="1"/>
      <c r="AA350" s="26"/>
    </row>
    <row r="351" spans="2:27" x14ac:dyDescent="0.4">
      <c r="B351" s="5" t="s">
        <v>679</v>
      </c>
      <c r="C351" s="5" t="s">
        <v>729</v>
      </c>
      <c r="D351" s="25" t="s">
        <v>312</v>
      </c>
      <c r="E351" s="64" t="s">
        <v>313</v>
      </c>
      <c r="F351" s="2">
        <f t="shared" si="44"/>
        <v>0</v>
      </c>
      <c r="G351" s="2">
        <f t="shared" si="45"/>
        <v>0</v>
      </c>
      <c r="H351" s="2">
        <f t="shared" si="46"/>
        <v>0</v>
      </c>
      <c r="I351" s="12" t="e">
        <f t="shared" si="47"/>
        <v>#N/A</v>
      </c>
      <c r="J351" s="34" t="e">
        <f t="shared" si="51"/>
        <v>#N/A</v>
      </c>
      <c r="K351" s="34"/>
      <c r="L351" s="2">
        <f t="shared" si="48"/>
        <v>0</v>
      </c>
      <c r="M351" s="2">
        <f t="shared" si="49"/>
        <v>0</v>
      </c>
      <c r="N351" s="2">
        <f t="shared" si="50"/>
        <v>0</v>
      </c>
      <c r="O351" s="2"/>
      <c r="P351" s="2"/>
      <c r="Q351" s="5"/>
      <c r="R351" s="5"/>
      <c r="S351" s="61"/>
      <c r="T351" s="64"/>
      <c r="U351" s="76"/>
      <c r="V351" s="48"/>
      <c r="W351" s="48"/>
      <c r="X351" s="41"/>
      <c r="Y351" s="1"/>
      <c r="Z351" s="1"/>
      <c r="AA351" s="26"/>
    </row>
    <row r="352" spans="2:27" x14ac:dyDescent="0.4">
      <c r="B352" s="5" t="s">
        <v>680</v>
      </c>
      <c r="C352" s="5" t="s">
        <v>729</v>
      </c>
      <c r="D352" s="25" t="s">
        <v>312</v>
      </c>
      <c r="E352" s="64" t="s">
        <v>314</v>
      </c>
      <c r="F352" s="2">
        <f t="shared" si="44"/>
        <v>0</v>
      </c>
      <c r="G352" s="2">
        <f t="shared" si="45"/>
        <v>0</v>
      </c>
      <c r="H352" s="2">
        <f t="shared" si="46"/>
        <v>0</v>
      </c>
      <c r="I352" s="12" t="e">
        <f t="shared" si="47"/>
        <v>#N/A</v>
      </c>
      <c r="J352" s="34" t="e">
        <f t="shared" si="51"/>
        <v>#N/A</v>
      </c>
      <c r="K352" s="34"/>
      <c r="L352" s="2">
        <f t="shared" si="48"/>
        <v>0</v>
      </c>
      <c r="M352" s="2">
        <f t="shared" si="49"/>
        <v>0</v>
      </c>
      <c r="N352" s="2">
        <f t="shared" si="50"/>
        <v>0</v>
      </c>
      <c r="O352" s="2"/>
      <c r="P352" s="2"/>
      <c r="Q352" s="5"/>
      <c r="R352" s="5"/>
      <c r="S352" s="61"/>
      <c r="T352" s="64"/>
      <c r="U352" s="76"/>
      <c r="V352" s="48"/>
      <c r="W352" s="48"/>
      <c r="X352" s="41"/>
      <c r="Y352" s="1"/>
      <c r="Z352" s="1"/>
      <c r="AA352" s="26"/>
    </row>
    <row r="353" spans="2:27" x14ac:dyDescent="0.4">
      <c r="B353" s="5" t="s">
        <v>681</v>
      </c>
      <c r="C353" s="5" t="s">
        <v>729</v>
      </c>
      <c r="D353" s="25" t="s">
        <v>312</v>
      </c>
      <c r="E353" s="64" t="s">
        <v>315</v>
      </c>
      <c r="F353" s="2">
        <f t="shared" si="44"/>
        <v>0</v>
      </c>
      <c r="G353" s="2">
        <f t="shared" si="45"/>
        <v>0</v>
      </c>
      <c r="H353" s="2">
        <f t="shared" si="46"/>
        <v>0</v>
      </c>
      <c r="I353" s="12" t="e">
        <f t="shared" si="47"/>
        <v>#N/A</v>
      </c>
      <c r="J353" s="34" t="e">
        <f t="shared" si="51"/>
        <v>#N/A</v>
      </c>
      <c r="K353" s="34"/>
      <c r="L353" s="2">
        <f t="shared" si="48"/>
        <v>0</v>
      </c>
      <c r="M353" s="2">
        <f t="shared" si="49"/>
        <v>0</v>
      </c>
      <c r="N353" s="2">
        <f t="shared" si="50"/>
        <v>0</v>
      </c>
      <c r="O353" s="2"/>
      <c r="P353" s="2"/>
      <c r="Q353" s="5"/>
      <c r="R353" s="5"/>
      <c r="S353" s="61"/>
      <c r="T353" s="64"/>
      <c r="U353" s="76"/>
      <c r="V353" s="48"/>
      <c r="W353" s="48"/>
      <c r="X353" s="41"/>
      <c r="Y353" s="1"/>
      <c r="Z353" s="1"/>
      <c r="AA353" s="26"/>
    </row>
    <row r="354" spans="2:27" x14ac:dyDescent="0.4">
      <c r="B354" s="5" t="s">
        <v>682</v>
      </c>
      <c r="C354" s="5" t="s">
        <v>729</v>
      </c>
      <c r="D354" s="25" t="s">
        <v>312</v>
      </c>
      <c r="E354" s="64" t="s">
        <v>316</v>
      </c>
      <c r="F354" s="2">
        <f t="shared" si="44"/>
        <v>0</v>
      </c>
      <c r="G354" s="2">
        <f t="shared" si="45"/>
        <v>0</v>
      </c>
      <c r="H354" s="2">
        <f t="shared" si="46"/>
        <v>0</v>
      </c>
      <c r="I354" s="12" t="e">
        <f t="shared" si="47"/>
        <v>#N/A</v>
      </c>
      <c r="J354" s="34" t="e">
        <f t="shared" si="51"/>
        <v>#N/A</v>
      </c>
      <c r="K354" s="34"/>
      <c r="L354" s="2">
        <f t="shared" si="48"/>
        <v>0</v>
      </c>
      <c r="M354" s="2">
        <f t="shared" si="49"/>
        <v>0</v>
      </c>
      <c r="N354" s="2">
        <f t="shared" si="50"/>
        <v>0</v>
      </c>
      <c r="O354" s="2"/>
      <c r="P354" s="2"/>
      <c r="Q354" s="5"/>
      <c r="R354" s="5"/>
      <c r="S354" s="61"/>
      <c r="T354" s="64"/>
      <c r="U354" s="76"/>
      <c r="V354" s="48"/>
      <c r="W354" s="48"/>
      <c r="X354" s="41"/>
      <c r="Y354" s="1"/>
      <c r="Z354" s="1"/>
      <c r="AA354" s="26"/>
    </row>
    <row r="355" spans="2:27" x14ac:dyDescent="0.4">
      <c r="B355" s="5" t="s">
        <v>683</v>
      </c>
      <c r="C355" s="5" t="s">
        <v>729</v>
      </c>
      <c r="D355" s="25" t="s">
        <v>312</v>
      </c>
      <c r="E355" s="64" t="s">
        <v>317</v>
      </c>
      <c r="F355" s="2">
        <f t="shared" si="44"/>
        <v>0</v>
      </c>
      <c r="G355" s="2">
        <f t="shared" si="45"/>
        <v>0</v>
      </c>
      <c r="H355" s="2">
        <f t="shared" si="46"/>
        <v>0</v>
      </c>
      <c r="I355" s="12" t="e">
        <f t="shared" si="47"/>
        <v>#N/A</v>
      </c>
      <c r="J355" s="34" t="e">
        <f t="shared" si="51"/>
        <v>#N/A</v>
      </c>
      <c r="K355" s="34"/>
      <c r="L355" s="2">
        <f t="shared" si="48"/>
        <v>0</v>
      </c>
      <c r="M355" s="2">
        <f t="shared" si="49"/>
        <v>0</v>
      </c>
      <c r="N355" s="2">
        <f t="shared" si="50"/>
        <v>0</v>
      </c>
      <c r="O355" s="2"/>
      <c r="P355" s="2"/>
      <c r="Q355" s="5"/>
      <c r="R355" s="5"/>
      <c r="S355" s="61"/>
      <c r="T355" s="64"/>
      <c r="U355" s="76"/>
      <c r="V355" s="48"/>
      <c r="W355" s="48"/>
      <c r="X355" s="41"/>
      <c r="Y355" s="1"/>
      <c r="Z355" s="1"/>
      <c r="AA355" s="26"/>
    </row>
    <row r="356" spans="2:27" x14ac:dyDescent="0.4">
      <c r="B356" s="5" t="s">
        <v>684</v>
      </c>
      <c r="C356" s="5" t="s">
        <v>729</v>
      </c>
      <c r="D356" s="25" t="s">
        <v>312</v>
      </c>
      <c r="E356" s="64" t="s">
        <v>318</v>
      </c>
      <c r="F356" s="2">
        <f t="shared" si="44"/>
        <v>0</v>
      </c>
      <c r="G356" s="2">
        <f t="shared" si="45"/>
        <v>0</v>
      </c>
      <c r="H356" s="2">
        <f t="shared" si="46"/>
        <v>0</v>
      </c>
      <c r="I356" s="12" t="e">
        <f t="shared" si="47"/>
        <v>#N/A</v>
      </c>
      <c r="J356" s="34" t="e">
        <f t="shared" si="51"/>
        <v>#N/A</v>
      </c>
      <c r="K356" s="34"/>
      <c r="L356" s="2">
        <f t="shared" si="48"/>
        <v>0</v>
      </c>
      <c r="M356" s="2">
        <f t="shared" si="49"/>
        <v>0</v>
      </c>
      <c r="N356" s="2">
        <f t="shared" si="50"/>
        <v>0</v>
      </c>
      <c r="O356" s="2"/>
      <c r="P356" s="2"/>
      <c r="Q356" s="5"/>
      <c r="R356" s="5"/>
      <c r="S356" s="61"/>
      <c r="T356" s="64"/>
      <c r="U356" s="76"/>
      <c r="V356" s="48"/>
      <c r="W356" s="48"/>
      <c r="X356" s="41"/>
      <c r="Y356" s="1"/>
      <c r="Z356" s="1"/>
      <c r="AA356" s="26"/>
    </row>
    <row r="357" spans="2:27" x14ac:dyDescent="0.4">
      <c r="B357" s="5" t="s">
        <v>685</v>
      </c>
      <c r="C357" s="5" t="s">
        <v>729</v>
      </c>
      <c r="D357" s="25" t="s">
        <v>312</v>
      </c>
      <c r="E357" s="64" t="s">
        <v>319</v>
      </c>
      <c r="F357" s="2">
        <f t="shared" si="44"/>
        <v>0</v>
      </c>
      <c r="G357" s="2">
        <f t="shared" si="45"/>
        <v>0</v>
      </c>
      <c r="H357" s="2">
        <f t="shared" si="46"/>
        <v>0</v>
      </c>
      <c r="I357" s="12" t="e">
        <f t="shared" si="47"/>
        <v>#N/A</v>
      </c>
      <c r="J357" s="34" t="e">
        <f t="shared" si="51"/>
        <v>#N/A</v>
      </c>
      <c r="K357" s="34"/>
      <c r="L357" s="2">
        <f t="shared" si="48"/>
        <v>0</v>
      </c>
      <c r="M357" s="2">
        <f t="shared" si="49"/>
        <v>0</v>
      </c>
      <c r="N357" s="2">
        <f t="shared" si="50"/>
        <v>0</v>
      </c>
      <c r="O357" s="2"/>
      <c r="P357" s="2"/>
      <c r="Q357" s="5"/>
      <c r="R357" s="5"/>
      <c r="S357" s="61"/>
      <c r="T357" s="64"/>
      <c r="U357" s="76"/>
      <c r="V357" s="48"/>
      <c r="W357" s="48"/>
      <c r="X357" s="41"/>
      <c r="Y357" s="1"/>
      <c r="Z357" s="1"/>
      <c r="AA357" s="26"/>
    </row>
    <row r="358" spans="2:27" x14ac:dyDescent="0.4">
      <c r="B358" s="5" t="s">
        <v>686</v>
      </c>
      <c r="C358" s="5" t="s">
        <v>729</v>
      </c>
      <c r="D358" s="25" t="s">
        <v>312</v>
      </c>
      <c r="E358" s="64" t="s">
        <v>320</v>
      </c>
      <c r="F358" s="2">
        <f t="shared" si="44"/>
        <v>0</v>
      </c>
      <c r="G358" s="2">
        <f t="shared" si="45"/>
        <v>0</v>
      </c>
      <c r="H358" s="2">
        <f t="shared" si="46"/>
        <v>0</v>
      </c>
      <c r="I358" s="12" t="e">
        <f t="shared" si="47"/>
        <v>#N/A</v>
      </c>
      <c r="J358" s="34" t="e">
        <f t="shared" si="51"/>
        <v>#N/A</v>
      </c>
      <c r="K358" s="34"/>
      <c r="L358" s="2">
        <f t="shared" si="48"/>
        <v>0</v>
      </c>
      <c r="M358" s="2">
        <f t="shared" si="49"/>
        <v>0</v>
      </c>
      <c r="N358" s="2">
        <f t="shared" si="50"/>
        <v>0</v>
      </c>
      <c r="O358" s="2"/>
      <c r="P358" s="2"/>
      <c r="Q358" s="5"/>
      <c r="R358" s="5"/>
      <c r="S358" s="61"/>
      <c r="T358" s="64"/>
      <c r="U358" s="76"/>
      <c r="V358" s="48"/>
      <c r="W358" s="48"/>
      <c r="X358" s="41"/>
      <c r="Y358" s="1"/>
      <c r="Z358" s="1"/>
      <c r="AA358" s="26"/>
    </row>
    <row r="359" spans="2:27" x14ac:dyDescent="0.4">
      <c r="B359" s="5" t="s">
        <v>687</v>
      </c>
      <c r="C359" s="5" t="s">
        <v>729</v>
      </c>
      <c r="D359" s="25" t="s">
        <v>312</v>
      </c>
      <c r="E359" s="64" t="s">
        <v>321</v>
      </c>
      <c r="F359" s="2">
        <f t="shared" si="44"/>
        <v>0</v>
      </c>
      <c r="G359" s="2">
        <f t="shared" si="45"/>
        <v>0</v>
      </c>
      <c r="H359" s="2">
        <f t="shared" si="46"/>
        <v>0</v>
      </c>
      <c r="I359" s="12" t="e">
        <f t="shared" si="47"/>
        <v>#N/A</v>
      </c>
      <c r="J359" s="34" t="e">
        <f t="shared" si="51"/>
        <v>#N/A</v>
      </c>
      <c r="K359" s="34"/>
      <c r="L359" s="2">
        <f t="shared" si="48"/>
        <v>0</v>
      </c>
      <c r="M359" s="2">
        <f t="shared" si="49"/>
        <v>0</v>
      </c>
      <c r="N359" s="2">
        <f t="shared" si="50"/>
        <v>0</v>
      </c>
      <c r="O359" s="2"/>
      <c r="P359" s="2"/>
      <c r="Q359" s="5"/>
      <c r="R359" s="5"/>
      <c r="S359" s="61"/>
      <c r="T359" s="64"/>
      <c r="U359" s="76"/>
      <c r="V359" s="48"/>
      <c r="W359" s="48"/>
      <c r="X359" s="41"/>
      <c r="Y359" s="1"/>
      <c r="Z359" s="1"/>
      <c r="AA359" s="26"/>
    </row>
    <row r="360" spans="2:27" x14ac:dyDescent="0.4">
      <c r="B360" s="5" t="s">
        <v>688</v>
      </c>
      <c r="C360" s="5" t="s">
        <v>729</v>
      </c>
      <c r="D360" s="25" t="s">
        <v>312</v>
      </c>
      <c r="E360" s="64" t="s">
        <v>322</v>
      </c>
      <c r="F360" s="2">
        <f t="shared" si="44"/>
        <v>0</v>
      </c>
      <c r="G360" s="2">
        <f t="shared" si="45"/>
        <v>0</v>
      </c>
      <c r="H360" s="2">
        <f t="shared" si="46"/>
        <v>0</v>
      </c>
      <c r="I360" s="12" t="e">
        <f t="shared" si="47"/>
        <v>#N/A</v>
      </c>
      <c r="J360" s="34" t="e">
        <f t="shared" si="51"/>
        <v>#N/A</v>
      </c>
      <c r="K360" s="34"/>
      <c r="L360" s="2">
        <f t="shared" si="48"/>
        <v>0</v>
      </c>
      <c r="M360" s="2">
        <f t="shared" si="49"/>
        <v>0</v>
      </c>
      <c r="N360" s="2">
        <f t="shared" si="50"/>
        <v>0</v>
      </c>
      <c r="O360" s="2"/>
      <c r="P360" s="2"/>
      <c r="Q360" s="5"/>
      <c r="R360" s="5"/>
      <c r="S360" s="61"/>
      <c r="T360" s="64"/>
      <c r="U360" s="76"/>
      <c r="V360" s="48"/>
      <c r="W360" s="48"/>
      <c r="X360" s="41"/>
      <c r="Y360" s="1"/>
      <c r="Z360" s="1"/>
      <c r="AA360" s="26"/>
    </row>
    <row r="361" spans="2:27" x14ac:dyDescent="0.4">
      <c r="B361" s="5" t="s">
        <v>689</v>
      </c>
      <c r="C361" s="5" t="s">
        <v>729</v>
      </c>
      <c r="D361" s="25" t="s">
        <v>312</v>
      </c>
      <c r="E361" s="64" t="s">
        <v>323</v>
      </c>
      <c r="F361" s="2">
        <f t="shared" si="44"/>
        <v>0</v>
      </c>
      <c r="G361" s="2">
        <f t="shared" si="45"/>
        <v>0</v>
      </c>
      <c r="H361" s="2">
        <f t="shared" si="46"/>
        <v>0</v>
      </c>
      <c r="I361" s="12" t="e">
        <f t="shared" si="47"/>
        <v>#N/A</v>
      </c>
      <c r="J361" s="34" t="e">
        <f t="shared" si="51"/>
        <v>#N/A</v>
      </c>
      <c r="K361" s="34"/>
      <c r="L361" s="2">
        <f t="shared" si="48"/>
        <v>0</v>
      </c>
      <c r="M361" s="2">
        <f t="shared" si="49"/>
        <v>0</v>
      </c>
      <c r="N361" s="2">
        <f t="shared" si="50"/>
        <v>0</v>
      </c>
      <c r="O361" s="2"/>
      <c r="P361" s="2"/>
      <c r="Q361" s="5"/>
      <c r="R361" s="5"/>
      <c r="S361" s="61"/>
      <c r="T361" s="64"/>
      <c r="U361" s="76"/>
      <c r="V361" s="48"/>
      <c r="W361" s="48"/>
      <c r="X361" s="41"/>
      <c r="Y361" s="1"/>
      <c r="Z361" s="1"/>
      <c r="AA361" s="26"/>
    </row>
    <row r="362" spans="2:27" x14ac:dyDescent="0.4">
      <c r="B362" s="5" t="s">
        <v>690</v>
      </c>
      <c r="C362" s="5" t="s">
        <v>729</v>
      </c>
      <c r="D362" s="25" t="s">
        <v>312</v>
      </c>
      <c r="E362" s="64" t="s">
        <v>324</v>
      </c>
      <c r="F362" s="2">
        <f t="shared" si="44"/>
        <v>0</v>
      </c>
      <c r="G362" s="2">
        <f t="shared" si="45"/>
        <v>0</v>
      </c>
      <c r="H362" s="2">
        <f t="shared" si="46"/>
        <v>0</v>
      </c>
      <c r="I362" s="12" t="e">
        <f t="shared" si="47"/>
        <v>#N/A</v>
      </c>
      <c r="J362" s="34" t="e">
        <f t="shared" si="51"/>
        <v>#N/A</v>
      </c>
      <c r="K362" s="34"/>
      <c r="L362" s="2">
        <f t="shared" si="48"/>
        <v>0</v>
      </c>
      <c r="M362" s="2">
        <f t="shared" si="49"/>
        <v>0</v>
      </c>
      <c r="N362" s="2">
        <f t="shared" si="50"/>
        <v>0</v>
      </c>
      <c r="O362" s="2"/>
      <c r="P362" s="2"/>
      <c r="Q362" s="5"/>
      <c r="R362" s="5"/>
      <c r="S362" s="61"/>
      <c r="T362" s="64"/>
      <c r="U362" s="76"/>
      <c r="V362" s="48"/>
      <c r="W362" s="48"/>
      <c r="X362" s="41"/>
      <c r="Y362" s="1"/>
      <c r="Z362" s="1"/>
      <c r="AA362" s="26"/>
    </row>
    <row r="363" spans="2:27" x14ac:dyDescent="0.4">
      <c r="B363" s="5" t="s">
        <v>691</v>
      </c>
      <c r="C363" s="5" t="s">
        <v>729</v>
      </c>
      <c r="D363" s="25" t="s">
        <v>312</v>
      </c>
      <c r="E363" s="64" t="s">
        <v>85</v>
      </c>
      <c r="F363" s="2">
        <f t="shared" si="44"/>
        <v>0</v>
      </c>
      <c r="G363" s="2">
        <f t="shared" si="45"/>
        <v>0</v>
      </c>
      <c r="H363" s="2">
        <f t="shared" si="46"/>
        <v>0</v>
      </c>
      <c r="I363" s="12" t="e">
        <f t="shared" si="47"/>
        <v>#N/A</v>
      </c>
      <c r="J363" s="34" t="e">
        <f t="shared" si="51"/>
        <v>#N/A</v>
      </c>
      <c r="K363" s="34"/>
      <c r="L363" s="2">
        <f t="shared" si="48"/>
        <v>0</v>
      </c>
      <c r="M363" s="2">
        <f t="shared" si="49"/>
        <v>0</v>
      </c>
      <c r="N363" s="2">
        <f t="shared" si="50"/>
        <v>0</v>
      </c>
      <c r="O363" s="2"/>
      <c r="P363" s="2"/>
      <c r="Q363" s="5"/>
      <c r="R363" s="5"/>
      <c r="S363" s="61"/>
      <c r="T363" s="64"/>
      <c r="U363" s="76"/>
      <c r="V363" s="48"/>
      <c r="W363" s="48"/>
      <c r="X363" s="41"/>
      <c r="Y363" s="1"/>
      <c r="Z363" s="1"/>
      <c r="AA363" s="26"/>
    </row>
    <row r="364" spans="2:27" x14ac:dyDescent="0.4">
      <c r="B364" s="5" t="s">
        <v>692</v>
      </c>
      <c r="C364" s="5" t="s">
        <v>729</v>
      </c>
      <c r="D364" s="25" t="s">
        <v>312</v>
      </c>
      <c r="E364" s="64" t="s">
        <v>32</v>
      </c>
      <c r="F364" s="2">
        <f t="shared" si="44"/>
        <v>0</v>
      </c>
      <c r="G364" s="2">
        <f t="shared" si="45"/>
        <v>0</v>
      </c>
      <c r="H364" s="2">
        <f t="shared" si="46"/>
        <v>0</v>
      </c>
      <c r="I364" s="12" t="e">
        <f t="shared" si="47"/>
        <v>#N/A</v>
      </c>
      <c r="J364" s="34" t="e">
        <f t="shared" si="51"/>
        <v>#N/A</v>
      </c>
      <c r="K364" s="34"/>
      <c r="L364" s="2">
        <f t="shared" si="48"/>
        <v>0</v>
      </c>
      <c r="M364" s="2">
        <f t="shared" si="49"/>
        <v>0</v>
      </c>
      <c r="N364" s="2">
        <f t="shared" si="50"/>
        <v>0</v>
      </c>
      <c r="O364" s="2"/>
      <c r="P364" s="2"/>
      <c r="Q364" s="5"/>
      <c r="R364" s="5"/>
      <c r="S364" s="61"/>
      <c r="T364" s="64"/>
      <c r="U364" s="76"/>
      <c r="V364" s="48"/>
      <c r="W364" s="48"/>
      <c r="X364" s="41"/>
      <c r="Y364" s="1"/>
      <c r="Z364" s="1"/>
      <c r="AA364" s="26"/>
    </row>
    <row r="365" spans="2:27" x14ac:dyDescent="0.4">
      <c r="B365" s="5" t="s">
        <v>693</v>
      </c>
      <c r="C365" s="5" t="s">
        <v>729</v>
      </c>
      <c r="D365" s="25" t="s">
        <v>312</v>
      </c>
      <c r="E365" s="64" t="s">
        <v>325</v>
      </c>
      <c r="F365" s="2">
        <f t="shared" si="44"/>
        <v>0</v>
      </c>
      <c r="G365" s="2">
        <f t="shared" si="45"/>
        <v>0</v>
      </c>
      <c r="H365" s="2">
        <f t="shared" si="46"/>
        <v>0</v>
      </c>
      <c r="I365" s="12" t="e">
        <f t="shared" si="47"/>
        <v>#N/A</v>
      </c>
      <c r="J365" s="34" t="e">
        <f t="shared" si="51"/>
        <v>#N/A</v>
      </c>
      <c r="K365" s="34"/>
      <c r="L365" s="2">
        <f t="shared" si="48"/>
        <v>0</v>
      </c>
      <c r="M365" s="2">
        <f t="shared" si="49"/>
        <v>0</v>
      </c>
      <c r="N365" s="2">
        <f t="shared" si="50"/>
        <v>0</v>
      </c>
      <c r="O365" s="2"/>
      <c r="P365" s="2"/>
      <c r="Q365" s="5"/>
      <c r="R365" s="5"/>
      <c r="S365" s="61"/>
      <c r="T365" s="64"/>
      <c r="U365" s="76"/>
      <c r="V365" s="48"/>
      <c r="W365" s="48"/>
      <c r="X365" s="41"/>
      <c r="Y365" s="1"/>
      <c r="Z365" s="1"/>
      <c r="AA365" s="26"/>
    </row>
    <row r="366" spans="2:27" x14ac:dyDescent="0.4">
      <c r="B366" s="5" t="s">
        <v>694</v>
      </c>
      <c r="C366" s="5" t="s">
        <v>729</v>
      </c>
      <c r="D366" s="25" t="s">
        <v>312</v>
      </c>
      <c r="E366" s="64" t="s">
        <v>144</v>
      </c>
      <c r="F366" s="2">
        <f t="shared" si="44"/>
        <v>0</v>
      </c>
      <c r="G366" s="2">
        <f t="shared" si="45"/>
        <v>0</v>
      </c>
      <c r="H366" s="2">
        <f t="shared" si="46"/>
        <v>0</v>
      </c>
      <c r="I366" s="12" t="e">
        <f t="shared" si="47"/>
        <v>#N/A</v>
      </c>
      <c r="J366" s="34" t="e">
        <f t="shared" si="51"/>
        <v>#N/A</v>
      </c>
      <c r="K366" s="34"/>
      <c r="L366" s="2">
        <f t="shared" si="48"/>
        <v>0</v>
      </c>
      <c r="M366" s="2">
        <f t="shared" si="49"/>
        <v>0</v>
      </c>
      <c r="N366" s="2">
        <f t="shared" si="50"/>
        <v>0</v>
      </c>
      <c r="O366" s="2"/>
      <c r="P366" s="2"/>
      <c r="Q366" s="5"/>
      <c r="R366" s="5"/>
      <c r="S366" s="61"/>
      <c r="T366" s="65"/>
      <c r="U366" s="76"/>
      <c r="V366" s="48"/>
      <c r="W366" s="48"/>
      <c r="X366" s="41"/>
      <c r="Y366" s="1"/>
      <c r="Z366" s="1"/>
      <c r="AA366" s="26"/>
    </row>
    <row r="367" spans="2:27" x14ac:dyDescent="0.4">
      <c r="B367" s="5" t="s">
        <v>695</v>
      </c>
      <c r="C367" s="5" t="s">
        <v>729</v>
      </c>
      <c r="D367" s="25" t="s">
        <v>312</v>
      </c>
      <c r="E367" s="64" t="s">
        <v>326</v>
      </c>
      <c r="F367" s="2">
        <f t="shared" si="44"/>
        <v>0</v>
      </c>
      <c r="G367" s="2">
        <f t="shared" si="45"/>
        <v>0</v>
      </c>
      <c r="H367" s="2">
        <f t="shared" si="46"/>
        <v>0</v>
      </c>
      <c r="I367" s="12" t="e">
        <f t="shared" si="47"/>
        <v>#N/A</v>
      </c>
      <c r="J367" s="34" t="e">
        <f t="shared" si="51"/>
        <v>#N/A</v>
      </c>
      <c r="K367" s="34"/>
      <c r="L367" s="2">
        <f t="shared" si="48"/>
        <v>0</v>
      </c>
      <c r="M367" s="2">
        <f t="shared" si="49"/>
        <v>0</v>
      </c>
      <c r="N367" s="2">
        <f t="shared" si="50"/>
        <v>0</v>
      </c>
      <c r="O367" s="2"/>
      <c r="P367" s="2"/>
      <c r="Q367" s="5"/>
      <c r="R367" s="5"/>
      <c r="S367" s="61"/>
      <c r="T367" s="64"/>
      <c r="U367" s="76"/>
      <c r="V367" s="48"/>
      <c r="W367" s="48"/>
      <c r="X367" s="41"/>
    </row>
    <row r="368" spans="2:27" x14ac:dyDescent="0.4">
      <c r="B368" s="5" t="s">
        <v>696</v>
      </c>
      <c r="C368" s="5" t="s">
        <v>729</v>
      </c>
      <c r="D368" s="25" t="s">
        <v>312</v>
      </c>
      <c r="E368" s="64" t="s">
        <v>25</v>
      </c>
      <c r="F368" s="2">
        <f t="shared" si="44"/>
        <v>0</v>
      </c>
      <c r="G368" s="2">
        <f t="shared" si="45"/>
        <v>0</v>
      </c>
      <c r="H368" s="2">
        <f t="shared" si="46"/>
        <v>0</v>
      </c>
      <c r="I368" s="12" t="e">
        <f t="shared" si="47"/>
        <v>#N/A</v>
      </c>
      <c r="J368" s="34" t="e">
        <f t="shared" si="51"/>
        <v>#N/A</v>
      </c>
      <c r="K368" s="34"/>
      <c r="L368" s="2">
        <f t="shared" si="48"/>
        <v>0</v>
      </c>
      <c r="M368" s="2">
        <f t="shared" si="49"/>
        <v>0</v>
      </c>
      <c r="N368" s="2">
        <f t="shared" si="50"/>
        <v>0</v>
      </c>
      <c r="O368" s="2"/>
      <c r="P368" s="2"/>
      <c r="Q368" s="5"/>
      <c r="R368" s="5"/>
      <c r="S368" s="61"/>
      <c r="T368" s="64"/>
      <c r="U368" s="76"/>
      <c r="V368" s="48"/>
      <c r="W368" s="48"/>
      <c r="X368" s="41"/>
    </row>
    <row r="369" spans="1:24" x14ac:dyDescent="0.4">
      <c r="B369" s="5" t="s">
        <v>697</v>
      </c>
      <c r="C369" s="5" t="s">
        <v>729</v>
      </c>
      <c r="D369" s="25" t="s">
        <v>312</v>
      </c>
      <c r="E369" s="64" t="s">
        <v>51</v>
      </c>
      <c r="F369" s="2">
        <f t="shared" si="44"/>
        <v>0</v>
      </c>
      <c r="G369" s="2">
        <f t="shared" si="45"/>
        <v>0</v>
      </c>
      <c r="H369" s="2">
        <f t="shared" si="46"/>
        <v>0</v>
      </c>
      <c r="I369" s="12" t="e">
        <f t="shared" si="47"/>
        <v>#N/A</v>
      </c>
      <c r="J369" s="34" t="e">
        <f t="shared" si="51"/>
        <v>#N/A</v>
      </c>
      <c r="K369" s="34"/>
      <c r="L369" s="2">
        <f t="shared" si="48"/>
        <v>0</v>
      </c>
      <c r="M369" s="2">
        <f t="shared" si="49"/>
        <v>0</v>
      </c>
      <c r="N369" s="2">
        <f t="shared" si="50"/>
        <v>0</v>
      </c>
      <c r="O369" s="2"/>
      <c r="P369" s="2"/>
      <c r="Q369" s="5"/>
      <c r="R369" s="5"/>
      <c r="S369" s="61"/>
      <c r="T369" s="64"/>
      <c r="U369" s="77"/>
      <c r="V369" s="51"/>
      <c r="W369" s="51"/>
      <c r="X369" s="41"/>
    </row>
    <row r="370" spans="1:24" x14ac:dyDescent="0.4">
      <c r="B370" s="5" t="s">
        <v>698</v>
      </c>
      <c r="C370" s="5" t="s">
        <v>729</v>
      </c>
      <c r="D370" s="25" t="s">
        <v>312</v>
      </c>
      <c r="E370" s="65" t="s">
        <v>327</v>
      </c>
      <c r="F370" s="2">
        <f t="shared" si="44"/>
        <v>0</v>
      </c>
      <c r="G370" s="2">
        <f t="shared" si="45"/>
        <v>0</v>
      </c>
      <c r="H370" s="2">
        <f t="shared" si="46"/>
        <v>0</v>
      </c>
      <c r="I370" s="12" t="e">
        <f t="shared" si="47"/>
        <v>#N/A</v>
      </c>
      <c r="J370" s="34" t="e">
        <f t="shared" si="51"/>
        <v>#N/A</v>
      </c>
      <c r="K370" s="34"/>
      <c r="L370" s="2">
        <f t="shared" si="48"/>
        <v>0</v>
      </c>
      <c r="M370" s="2">
        <f t="shared" si="49"/>
        <v>0</v>
      </c>
      <c r="N370" s="2">
        <f t="shared" si="50"/>
        <v>0</v>
      </c>
      <c r="O370" s="2"/>
      <c r="P370" s="2"/>
      <c r="Q370" s="5"/>
      <c r="R370" s="5"/>
      <c r="S370" s="37"/>
      <c r="T370" s="56"/>
      <c r="U370" s="78"/>
      <c r="V370" s="47"/>
      <c r="W370" s="47"/>
    </row>
    <row r="371" spans="1:24" x14ac:dyDescent="0.4">
      <c r="B371" s="5" t="s">
        <v>733</v>
      </c>
      <c r="C371" s="5" t="s">
        <v>715</v>
      </c>
      <c r="D371" s="25" t="s">
        <v>734</v>
      </c>
      <c r="E371" s="65" t="s">
        <v>735</v>
      </c>
      <c r="F371" s="2">
        <f t="shared" si="44"/>
        <v>0</v>
      </c>
      <c r="G371" s="2">
        <f t="shared" si="45"/>
        <v>0</v>
      </c>
      <c r="H371" s="2">
        <f t="shared" si="46"/>
        <v>0</v>
      </c>
      <c r="I371" s="12" t="e">
        <f t="shared" si="47"/>
        <v>#N/A</v>
      </c>
      <c r="J371" s="34" t="e">
        <f t="shared" si="51"/>
        <v>#N/A</v>
      </c>
      <c r="K371" s="34"/>
      <c r="L371" s="2">
        <f t="shared" si="48"/>
        <v>0</v>
      </c>
      <c r="M371" s="2">
        <f t="shared" si="49"/>
        <v>0</v>
      </c>
      <c r="N371" s="2">
        <f t="shared" si="50"/>
        <v>0</v>
      </c>
      <c r="O371" s="2"/>
      <c r="P371" s="2"/>
      <c r="Q371" s="5"/>
      <c r="R371" s="5"/>
      <c r="S371" s="25"/>
      <c r="T371" s="57"/>
      <c r="U371" s="79"/>
      <c r="V371" s="39"/>
      <c r="W371" s="39"/>
    </row>
    <row r="372" spans="1:24" x14ac:dyDescent="0.4">
      <c r="B372" s="5"/>
      <c r="C372" s="5"/>
      <c r="D372" s="25"/>
      <c r="E372" s="66"/>
      <c r="F372" s="36"/>
      <c r="G372" s="36"/>
      <c r="H372" s="36"/>
      <c r="I372" s="12"/>
      <c r="J372" s="34"/>
      <c r="K372" s="34"/>
      <c r="L372" s="2"/>
      <c r="M372" s="2"/>
      <c r="N372" s="2"/>
      <c r="O372" s="2"/>
      <c r="P372" s="2"/>
      <c r="Q372" s="5"/>
      <c r="R372" s="5"/>
      <c r="S372" s="25"/>
      <c r="T372" s="58"/>
      <c r="U372" s="80"/>
      <c r="V372" s="40"/>
      <c r="W372" s="40"/>
    </row>
    <row r="373" spans="1:24" x14ac:dyDescent="0.4">
      <c r="A373" t="s">
        <v>731</v>
      </c>
      <c r="B373" t="s">
        <v>699</v>
      </c>
      <c r="C373" t="s">
        <v>700</v>
      </c>
      <c r="D373" t="s">
        <v>701</v>
      </c>
      <c r="E373" s="63" t="s">
        <v>702</v>
      </c>
      <c r="F373" s="29" t="s">
        <v>329</v>
      </c>
      <c r="G373" s="29" t="s">
        <v>703</v>
      </c>
      <c r="H373" s="29" t="s">
        <v>704</v>
      </c>
      <c r="I373" s="12"/>
      <c r="J373" s="34"/>
      <c r="K373" s="34"/>
      <c r="L373" s="2"/>
      <c r="M373" s="2"/>
      <c r="N373" s="2"/>
      <c r="O373" s="2"/>
      <c r="P373" s="2"/>
    </row>
    <row r="374" spans="1:24" x14ac:dyDescent="0.4">
      <c r="A374">
        <v>2016</v>
      </c>
      <c r="B374" s="5" t="str">
        <f>+C374&amp;"-"&amp;E374</f>
        <v>VA-Municipio Autónomo Vargas</v>
      </c>
      <c r="C374" s="5" t="str">
        <f>+MID(D374,1,2)</f>
        <v>VA</v>
      </c>
      <c r="D374" s="25" t="s">
        <v>288</v>
      </c>
      <c r="E374" s="64" t="s">
        <v>757</v>
      </c>
      <c r="F374" s="2">
        <v>0</v>
      </c>
      <c r="G374" s="2">
        <v>0</v>
      </c>
      <c r="H374" s="2">
        <v>0</v>
      </c>
      <c r="I374" s="19"/>
      <c r="J374" s="2"/>
      <c r="K374" s="2"/>
      <c r="L374" s="2"/>
      <c r="M374" s="2"/>
      <c r="N374" s="2"/>
      <c r="O374" s="2"/>
      <c r="P374" s="2"/>
    </row>
    <row r="375" spans="1:24" x14ac:dyDescent="0.4">
      <c r="A375">
        <v>2016</v>
      </c>
      <c r="B375" s="5" t="str">
        <f>+C375&amp;"-"&amp;E375</f>
        <v>DI-Municipio Autónomo Libertador</v>
      </c>
      <c r="C375" s="5" t="str">
        <f>+MID(D375,1,2)</f>
        <v>DI</v>
      </c>
      <c r="D375" s="25" t="s">
        <v>106</v>
      </c>
      <c r="E375" s="64" t="s">
        <v>756</v>
      </c>
      <c r="F375" s="2">
        <v>0</v>
      </c>
      <c r="G375" s="2">
        <v>0</v>
      </c>
      <c r="H375" s="2">
        <v>0</v>
      </c>
      <c r="I375" s="19"/>
      <c r="J375" s="2"/>
      <c r="K375" s="2"/>
      <c r="L375" s="2"/>
      <c r="M375" s="2"/>
      <c r="N375" s="2"/>
      <c r="O375" s="2"/>
      <c r="P375" s="2"/>
    </row>
    <row r="376" spans="1:24" x14ac:dyDescent="0.4">
      <c r="A376">
        <v>2016</v>
      </c>
      <c r="B376" s="5" t="s">
        <v>335</v>
      </c>
      <c r="C376" s="5" t="s">
        <v>706</v>
      </c>
      <c r="D376" s="25" t="s">
        <v>106</v>
      </c>
      <c r="E376" s="64" t="s">
        <v>105</v>
      </c>
      <c r="F376" s="12">
        <v>165</v>
      </c>
      <c r="G376" s="12">
        <v>91</v>
      </c>
      <c r="H376" s="12">
        <v>74</v>
      </c>
      <c r="I376" s="19"/>
      <c r="J376" s="2"/>
      <c r="K376" s="2"/>
      <c r="L376" s="2"/>
      <c r="M376" s="2"/>
      <c r="N376" s="2"/>
      <c r="O376" s="2"/>
      <c r="P376" s="2"/>
    </row>
    <row r="377" spans="1:24" x14ac:dyDescent="0.4">
      <c r="A377">
        <v>2016</v>
      </c>
      <c r="B377" s="5" t="s">
        <v>336</v>
      </c>
      <c r="C377" s="5" t="s">
        <v>706</v>
      </c>
      <c r="D377" s="25" t="s">
        <v>106</v>
      </c>
      <c r="E377" s="64" t="s">
        <v>107</v>
      </c>
      <c r="F377" s="12">
        <v>697</v>
      </c>
      <c r="G377" s="12">
        <v>465</v>
      </c>
      <c r="H377" s="12">
        <v>232</v>
      </c>
      <c r="I377" s="19"/>
      <c r="J377" s="2"/>
      <c r="K377" s="2"/>
      <c r="L377" s="2"/>
      <c r="M377" s="2"/>
      <c r="N377" s="2"/>
      <c r="O377" s="2"/>
      <c r="P377" s="2"/>
    </row>
    <row r="378" spans="1:24" x14ac:dyDescent="0.4">
      <c r="A378">
        <v>2016</v>
      </c>
      <c r="B378" s="5" t="s">
        <v>337</v>
      </c>
      <c r="C378" s="5" t="s">
        <v>706</v>
      </c>
      <c r="D378" s="25" t="s">
        <v>106</v>
      </c>
      <c r="E378" s="64" t="s">
        <v>108</v>
      </c>
      <c r="F378" s="12">
        <v>312</v>
      </c>
      <c r="G378" s="12">
        <v>159</v>
      </c>
      <c r="H378" s="12">
        <v>153</v>
      </c>
      <c r="J378" s="2"/>
      <c r="K378" s="2"/>
      <c r="L378" s="2"/>
      <c r="M378" s="2"/>
      <c r="N378" s="2"/>
      <c r="O378" s="2"/>
      <c r="P378" s="2"/>
    </row>
    <row r="379" spans="1:24" x14ac:dyDescent="0.4">
      <c r="A379">
        <v>2016</v>
      </c>
      <c r="B379" s="5" t="s">
        <v>338</v>
      </c>
      <c r="C379" s="5" t="s">
        <v>706</v>
      </c>
      <c r="D379" s="25" t="s">
        <v>106</v>
      </c>
      <c r="E379" s="64" t="s">
        <v>109</v>
      </c>
      <c r="F379" s="12">
        <v>546</v>
      </c>
      <c r="G379" s="12">
        <v>294</v>
      </c>
      <c r="H379" s="12">
        <v>252</v>
      </c>
      <c r="J379" s="2"/>
      <c r="K379" s="2"/>
      <c r="L379" s="2"/>
      <c r="M379" s="2"/>
      <c r="N379" s="2"/>
      <c r="O379" s="2"/>
      <c r="P379" s="2"/>
    </row>
    <row r="380" spans="1:24" x14ac:dyDescent="0.4">
      <c r="A380">
        <v>2016</v>
      </c>
      <c r="B380" s="5" t="s">
        <v>339</v>
      </c>
      <c r="C380" s="5" t="s">
        <v>706</v>
      </c>
      <c r="D380" s="25" t="s">
        <v>106</v>
      </c>
      <c r="E380" s="64" t="s">
        <v>110</v>
      </c>
      <c r="F380" s="12">
        <v>35</v>
      </c>
      <c r="G380" s="12">
        <v>24</v>
      </c>
      <c r="H380" s="12">
        <v>11</v>
      </c>
      <c r="J380" s="2"/>
      <c r="K380" s="2"/>
      <c r="L380" s="2"/>
      <c r="M380" s="2"/>
      <c r="N380" s="2"/>
      <c r="O380" s="2"/>
      <c r="P380" s="2"/>
    </row>
    <row r="381" spans="1:24" x14ac:dyDescent="0.4">
      <c r="A381">
        <v>2016</v>
      </c>
      <c r="B381" s="5" t="s">
        <v>340</v>
      </c>
      <c r="C381" s="5" t="s">
        <v>706</v>
      </c>
      <c r="D381" s="25" t="s">
        <v>106</v>
      </c>
      <c r="E381" s="64" t="s">
        <v>111</v>
      </c>
      <c r="F381" s="12">
        <v>603</v>
      </c>
      <c r="G381" s="12">
        <v>448</v>
      </c>
      <c r="H381" s="12">
        <v>155</v>
      </c>
      <c r="J381" s="2"/>
      <c r="K381" s="2"/>
      <c r="L381" s="2"/>
      <c r="M381" s="2"/>
      <c r="N381" s="2"/>
      <c r="O381" s="2"/>
      <c r="P381" s="2"/>
    </row>
    <row r="382" spans="1:24" x14ac:dyDescent="0.4">
      <c r="A382">
        <v>2016</v>
      </c>
      <c r="B382" s="5" t="s">
        <v>341</v>
      </c>
      <c r="C382" s="5" t="s">
        <v>706</v>
      </c>
      <c r="D382" s="25" t="s">
        <v>106</v>
      </c>
      <c r="E382" s="64" t="s">
        <v>112</v>
      </c>
      <c r="F382" s="12">
        <v>185</v>
      </c>
      <c r="G382" s="12">
        <v>120</v>
      </c>
      <c r="H382" s="12">
        <v>65</v>
      </c>
      <c r="J382" s="2"/>
      <c r="K382" s="2"/>
      <c r="L382" s="2"/>
      <c r="M382" s="2"/>
      <c r="N382" s="2"/>
      <c r="O382" s="2"/>
      <c r="P382" s="2"/>
    </row>
    <row r="383" spans="1:24" x14ac:dyDescent="0.4">
      <c r="A383">
        <v>2016</v>
      </c>
      <c r="B383" s="5" t="s">
        <v>342</v>
      </c>
      <c r="C383" s="5" t="s">
        <v>706</v>
      </c>
      <c r="D383" s="25" t="s">
        <v>106</v>
      </c>
      <c r="E383" s="64" t="s">
        <v>113</v>
      </c>
      <c r="F383" s="12">
        <v>4300</v>
      </c>
      <c r="G383" s="12">
        <v>2.6219999999999999</v>
      </c>
      <c r="H383" s="12">
        <v>1.6779999999999999</v>
      </c>
      <c r="J383" s="2"/>
      <c r="K383" s="2"/>
      <c r="L383" s="2"/>
      <c r="M383" s="2"/>
      <c r="N383" s="2"/>
      <c r="O383" s="2"/>
      <c r="P383" s="2"/>
    </row>
    <row r="384" spans="1:24" x14ac:dyDescent="0.4">
      <c r="A384">
        <v>2016</v>
      </c>
      <c r="B384" s="5" t="s">
        <v>343</v>
      </c>
      <c r="C384" s="5" t="s">
        <v>706</v>
      </c>
      <c r="D384" s="25" t="s">
        <v>106</v>
      </c>
      <c r="E384" s="64" t="s">
        <v>114</v>
      </c>
      <c r="F384" s="12">
        <v>1020</v>
      </c>
      <c r="G384" s="12">
        <v>509</v>
      </c>
      <c r="H384" s="12">
        <v>511</v>
      </c>
      <c r="J384" s="2"/>
      <c r="K384" s="2"/>
      <c r="L384" s="2"/>
      <c r="M384" s="2"/>
      <c r="N384" s="2"/>
      <c r="O384" s="2"/>
      <c r="P384" s="2"/>
    </row>
    <row r="385" spans="1:16" x14ac:dyDescent="0.4">
      <c r="A385">
        <v>2016</v>
      </c>
      <c r="B385" s="5" t="s">
        <v>344</v>
      </c>
      <c r="C385" s="5" t="s">
        <v>706</v>
      </c>
      <c r="D385" s="25" t="s">
        <v>106</v>
      </c>
      <c r="E385" s="64" t="s">
        <v>115</v>
      </c>
      <c r="F385" s="12">
        <v>516</v>
      </c>
      <c r="G385" s="12">
        <v>311</v>
      </c>
      <c r="H385" s="12">
        <v>205</v>
      </c>
      <c r="J385" s="2"/>
      <c r="K385" s="2"/>
      <c r="L385" s="2"/>
      <c r="M385" s="2"/>
      <c r="N385" s="2"/>
      <c r="O385" s="2"/>
      <c r="P385" s="2"/>
    </row>
    <row r="386" spans="1:16" x14ac:dyDescent="0.4">
      <c r="A386">
        <v>2016</v>
      </c>
      <c r="B386" s="5" t="s">
        <v>345</v>
      </c>
      <c r="C386" s="5" t="s">
        <v>706</v>
      </c>
      <c r="D386" s="25" t="s">
        <v>106</v>
      </c>
      <c r="E386" s="64" t="s">
        <v>116</v>
      </c>
      <c r="F386" s="12">
        <v>539</v>
      </c>
      <c r="G386" s="12">
        <v>319</v>
      </c>
      <c r="H386" s="12">
        <v>220</v>
      </c>
      <c r="J386" s="2"/>
      <c r="K386" s="2"/>
      <c r="L386" s="2"/>
      <c r="M386" s="2"/>
      <c r="N386" s="2"/>
      <c r="O386" s="2"/>
      <c r="P386" s="2"/>
    </row>
    <row r="387" spans="1:16" x14ac:dyDescent="0.4">
      <c r="A387">
        <v>2016</v>
      </c>
      <c r="B387" s="5" t="s">
        <v>346</v>
      </c>
      <c r="C387" s="5" t="s">
        <v>706</v>
      </c>
      <c r="D387" s="25" t="s">
        <v>106</v>
      </c>
      <c r="E387" s="64" t="s">
        <v>117</v>
      </c>
      <c r="F387" s="12">
        <v>477</v>
      </c>
      <c r="G387" s="12">
        <v>293</v>
      </c>
      <c r="H387" s="12">
        <v>184</v>
      </c>
      <c r="J387" s="2"/>
      <c r="K387" s="2"/>
      <c r="L387" s="2"/>
      <c r="M387" s="2"/>
      <c r="N387" s="2"/>
      <c r="O387" s="2"/>
      <c r="P387" s="2"/>
    </row>
    <row r="388" spans="1:16" x14ac:dyDescent="0.4">
      <c r="A388">
        <v>2016</v>
      </c>
      <c r="B388" s="5" t="s">
        <v>347</v>
      </c>
      <c r="C388" s="5" t="s">
        <v>706</v>
      </c>
      <c r="D388" s="25" t="s">
        <v>106</v>
      </c>
      <c r="E388" s="64" t="s">
        <v>118</v>
      </c>
      <c r="F388" s="12">
        <v>210</v>
      </c>
      <c r="G388" s="12">
        <v>147</v>
      </c>
      <c r="H388" s="12">
        <v>63</v>
      </c>
      <c r="J388" s="2"/>
      <c r="K388" s="2"/>
      <c r="L388" s="2"/>
      <c r="M388" s="2"/>
      <c r="N388" s="2"/>
      <c r="O388" s="2"/>
      <c r="P388" s="2"/>
    </row>
    <row r="389" spans="1:16" x14ac:dyDescent="0.4">
      <c r="A389">
        <v>2016</v>
      </c>
      <c r="B389" s="5" t="s">
        <v>348</v>
      </c>
      <c r="C389" s="5" t="s">
        <v>706</v>
      </c>
      <c r="D389" s="25" t="s">
        <v>106</v>
      </c>
      <c r="E389" s="64" t="s">
        <v>119</v>
      </c>
      <c r="F389" s="12">
        <v>153</v>
      </c>
      <c r="G389" s="12">
        <v>100</v>
      </c>
      <c r="H389" s="12">
        <v>53</v>
      </c>
      <c r="J389" s="2"/>
      <c r="K389" s="2"/>
      <c r="L389" s="2"/>
      <c r="M389" s="2"/>
      <c r="N389" s="2"/>
      <c r="O389" s="2"/>
      <c r="P389" s="2"/>
    </row>
    <row r="390" spans="1:16" x14ac:dyDescent="0.4">
      <c r="A390">
        <v>2016</v>
      </c>
      <c r="B390" s="5" t="s">
        <v>349</v>
      </c>
      <c r="C390" s="5" t="s">
        <v>706</v>
      </c>
      <c r="D390" s="25" t="s">
        <v>106</v>
      </c>
      <c r="E390" s="64" t="s">
        <v>120</v>
      </c>
      <c r="F390" s="12">
        <v>1344</v>
      </c>
      <c r="G390" s="12">
        <v>718</v>
      </c>
      <c r="H390" s="12">
        <v>626</v>
      </c>
      <c r="J390" s="2"/>
      <c r="K390" s="2"/>
      <c r="L390" s="2"/>
      <c r="M390" s="2"/>
      <c r="N390" s="2"/>
      <c r="O390" s="2"/>
      <c r="P390" s="2"/>
    </row>
    <row r="391" spans="1:16" x14ac:dyDescent="0.4">
      <c r="A391">
        <v>2016</v>
      </c>
      <c r="B391" s="5" t="s">
        <v>350</v>
      </c>
      <c r="C391" s="5" t="s">
        <v>706</v>
      </c>
      <c r="D391" s="25" t="s">
        <v>106</v>
      </c>
      <c r="E391" s="64" t="s">
        <v>121</v>
      </c>
      <c r="F391" s="12">
        <v>1704</v>
      </c>
      <c r="G391" s="12">
        <v>902</v>
      </c>
      <c r="H391" s="12">
        <v>802</v>
      </c>
      <c r="J391" s="2"/>
      <c r="K391" s="2"/>
      <c r="L391" s="2"/>
      <c r="M391" s="2"/>
      <c r="N391" s="2"/>
      <c r="O391" s="2"/>
      <c r="P391" s="2"/>
    </row>
    <row r="392" spans="1:16" x14ac:dyDescent="0.4">
      <c r="A392">
        <v>2016</v>
      </c>
      <c r="B392" s="5" t="s">
        <v>351</v>
      </c>
      <c r="C392" s="5" t="s">
        <v>706</v>
      </c>
      <c r="D392" s="25" t="s">
        <v>106</v>
      </c>
      <c r="E392" s="64" t="s">
        <v>122</v>
      </c>
      <c r="F392" s="12">
        <v>1761</v>
      </c>
      <c r="G392" s="12">
        <v>1.0169999999999999</v>
      </c>
      <c r="H392" s="12">
        <v>744</v>
      </c>
      <c r="J392" s="2"/>
      <c r="K392" s="2"/>
      <c r="L392" s="2"/>
      <c r="M392" s="2"/>
      <c r="N392" s="2"/>
      <c r="O392" s="2"/>
      <c r="P392" s="2"/>
    </row>
    <row r="393" spans="1:16" x14ac:dyDescent="0.4">
      <c r="A393">
        <v>2016</v>
      </c>
      <c r="B393" s="5" t="s">
        <v>352</v>
      </c>
      <c r="C393" s="5" t="s">
        <v>706</v>
      </c>
      <c r="D393" s="25" t="s">
        <v>106</v>
      </c>
      <c r="E393" s="64" t="s">
        <v>123</v>
      </c>
      <c r="F393" s="12">
        <v>2621</v>
      </c>
      <c r="G393" s="12">
        <v>1.4079999999999999</v>
      </c>
      <c r="H393" s="12">
        <v>1.2130000000000001</v>
      </c>
      <c r="J393" s="2"/>
      <c r="K393" s="2"/>
      <c r="L393" s="2"/>
      <c r="M393" s="2"/>
      <c r="N393" s="2"/>
      <c r="O393" s="2"/>
      <c r="P393" s="2"/>
    </row>
    <row r="394" spans="1:16" x14ac:dyDescent="0.4">
      <c r="A394">
        <v>2016</v>
      </c>
      <c r="B394" s="5" t="s">
        <v>353</v>
      </c>
      <c r="C394" s="5" t="s">
        <v>706</v>
      </c>
      <c r="D394" s="25" t="s">
        <v>106</v>
      </c>
      <c r="E394" s="64" t="s">
        <v>124</v>
      </c>
      <c r="F394" s="12">
        <v>892</v>
      </c>
      <c r="G394" s="12">
        <v>462</v>
      </c>
      <c r="H394" s="12">
        <v>430</v>
      </c>
      <c r="J394" s="2"/>
      <c r="K394" s="2"/>
      <c r="L394" s="2"/>
      <c r="M394" s="2"/>
      <c r="N394" s="2"/>
      <c r="O394" s="2"/>
      <c r="P394" s="2"/>
    </row>
    <row r="395" spans="1:16" x14ac:dyDescent="0.4">
      <c r="A395">
        <v>2016</v>
      </c>
      <c r="B395" s="5" t="s">
        <v>354</v>
      </c>
      <c r="C395" s="5" t="s">
        <v>706</v>
      </c>
      <c r="D395" s="25" t="s">
        <v>106</v>
      </c>
      <c r="E395" s="64" t="s">
        <v>125</v>
      </c>
      <c r="F395" s="12">
        <v>74</v>
      </c>
      <c r="G395" s="12">
        <v>45</v>
      </c>
      <c r="H395" s="12">
        <v>29</v>
      </c>
      <c r="J395" s="2"/>
      <c r="K395" s="2"/>
      <c r="L395" s="2"/>
      <c r="M395" s="2"/>
      <c r="N395" s="2"/>
      <c r="O395" s="2"/>
      <c r="P395" s="2"/>
    </row>
    <row r="396" spans="1:16" x14ac:dyDescent="0.4">
      <c r="A396">
        <v>2016</v>
      </c>
      <c r="B396" s="5" t="s">
        <v>355</v>
      </c>
      <c r="C396" s="5" t="s">
        <v>706</v>
      </c>
      <c r="D396" s="25" t="s">
        <v>106</v>
      </c>
      <c r="E396" s="64" t="s">
        <v>126</v>
      </c>
      <c r="F396" s="12">
        <v>1935</v>
      </c>
      <c r="G396" s="12">
        <v>1.2430000000000001</v>
      </c>
      <c r="H396" s="12">
        <v>692</v>
      </c>
      <c r="J396" s="2"/>
      <c r="K396" s="2"/>
      <c r="L396" s="2"/>
      <c r="M396" s="2"/>
      <c r="N396" s="2"/>
      <c r="O396" s="2"/>
      <c r="P396" s="2"/>
    </row>
    <row r="397" spans="1:16" x14ac:dyDescent="0.4">
      <c r="A397">
        <v>2016</v>
      </c>
      <c r="B397" s="5" t="s">
        <v>356</v>
      </c>
      <c r="C397" s="5" t="s">
        <v>706</v>
      </c>
      <c r="D397" s="25" t="s">
        <v>106</v>
      </c>
      <c r="E397" s="64" t="s">
        <v>127</v>
      </c>
      <c r="F397" s="12">
        <v>406</v>
      </c>
      <c r="G397" s="12">
        <v>254</v>
      </c>
      <c r="H397" s="12">
        <v>152</v>
      </c>
      <c r="J397" s="2"/>
      <c r="K397" s="2"/>
      <c r="L397" s="2"/>
      <c r="M397" s="2"/>
      <c r="N397" s="2"/>
      <c r="O397" s="2"/>
      <c r="P397" s="2"/>
    </row>
    <row r="398" spans="1:16" x14ac:dyDescent="0.4">
      <c r="A398">
        <v>2016</v>
      </c>
      <c r="B398" s="5" t="s">
        <v>357</v>
      </c>
      <c r="C398" s="5" t="s">
        <v>707</v>
      </c>
      <c r="D398" s="25" t="s">
        <v>1</v>
      </c>
      <c r="E398" s="64" t="s">
        <v>0</v>
      </c>
      <c r="F398" s="12">
        <v>5</v>
      </c>
      <c r="G398" s="12">
        <v>2</v>
      </c>
      <c r="H398" s="12">
        <v>3</v>
      </c>
      <c r="J398" s="2"/>
      <c r="K398" s="2"/>
      <c r="L398" s="2"/>
      <c r="M398" s="2"/>
      <c r="N398" s="2"/>
      <c r="O398" s="2"/>
      <c r="P398" s="2"/>
    </row>
    <row r="399" spans="1:16" x14ac:dyDescent="0.4">
      <c r="A399">
        <v>2016</v>
      </c>
      <c r="B399" s="5" t="s">
        <v>358</v>
      </c>
      <c r="C399" s="5" t="s">
        <v>707</v>
      </c>
      <c r="D399" s="25" t="s">
        <v>1</v>
      </c>
      <c r="E399" s="64" t="s">
        <v>2</v>
      </c>
      <c r="F399" s="12">
        <v>35</v>
      </c>
      <c r="G399" s="12">
        <v>19</v>
      </c>
      <c r="H399" s="12">
        <v>16</v>
      </c>
      <c r="J399" s="2"/>
      <c r="K399" s="2"/>
      <c r="L399" s="2"/>
      <c r="M399" s="2"/>
      <c r="N399" s="2"/>
      <c r="O399" s="2"/>
      <c r="P399" s="2"/>
    </row>
    <row r="400" spans="1:16" x14ac:dyDescent="0.4">
      <c r="A400">
        <v>2016</v>
      </c>
      <c r="B400" s="5" t="s">
        <v>359</v>
      </c>
      <c r="C400" s="5" t="s">
        <v>707</v>
      </c>
      <c r="D400" s="25" t="s">
        <v>1</v>
      </c>
      <c r="E400" s="64" t="s">
        <v>3</v>
      </c>
      <c r="F400" s="12">
        <v>547</v>
      </c>
      <c r="G400" s="12">
        <v>388</v>
      </c>
      <c r="H400" s="12">
        <v>159</v>
      </c>
      <c r="J400" s="2"/>
      <c r="K400" s="2"/>
      <c r="L400" s="2"/>
      <c r="M400" s="2"/>
      <c r="N400" s="2"/>
      <c r="O400" s="2"/>
      <c r="P400" s="2"/>
    </row>
    <row r="401" spans="1:16" x14ac:dyDescent="0.4">
      <c r="A401">
        <v>2016</v>
      </c>
      <c r="B401" s="5" t="s">
        <v>360</v>
      </c>
      <c r="C401" s="5" t="s">
        <v>707</v>
      </c>
      <c r="D401" s="25" t="s">
        <v>1</v>
      </c>
      <c r="E401" s="64" t="s">
        <v>4</v>
      </c>
      <c r="F401" s="12">
        <v>19</v>
      </c>
      <c r="G401" s="12">
        <v>16</v>
      </c>
      <c r="H401" s="12">
        <v>3</v>
      </c>
      <c r="I401" s="12"/>
      <c r="J401" s="2"/>
      <c r="K401" s="2"/>
      <c r="L401" s="2"/>
      <c r="M401" s="2"/>
      <c r="N401" s="2"/>
      <c r="O401" s="2"/>
      <c r="P401" s="2"/>
    </row>
    <row r="402" spans="1:16" x14ac:dyDescent="0.4">
      <c r="A402">
        <v>2016</v>
      </c>
      <c r="B402" s="5" t="s">
        <v>361</v>
      </c>
      <c r="C402" s="5" t="s">
        <v>707</v>
      </c>
      <c r="D402" s="25" t="s">
        <v>1</v>
      </c>
      <c r="E402" s="64" t="s">
        <v>5</v>
      </c>
      <c r="F402" s="12">
        <v>7</v>
      </c>
      <c r="G402" s="12">
        <v>5</v>
      </c>
      <c r="H402" s="12">
        <v>2</v>
      </c>
      <c r="J402" s="2"/>
      <c r="K402" s="2"/>
      <c r="L402" s="2"/>
      <c r="M402" s="2"/>
      <c r="N402" s="2"/>
      <c r="O402" s="2"/>
      <c r="P402" s="2"/>
    </row>
    <row r="403" spans="1:16" x14ac:dyDescent="0.4">
      <c r="A403">
        <v>2016</v>
      </c>
      <c r="B403" s="5" t="s">
        <v>732</v>
      </c>
      <c r="C403" s="5" t="s">
        <v>707</v>
      </c>
      <c r="D403" s="25" t="s">
        <v>1</v>
      </c>
      <c r="E403" s="64" t="s">
        <v>330</v>
      </c>
      <c r="F403" s="12">
        <v>0</v>
      </c>
      <c r="G403" s="12">
        <v>0</v>
      </c>
      <c r="H403" s="12">
        <v>0</v>
      </c>
      <c r="J403" s="2"/>
      <c r="K403" s="2"/>
      <c r="L403" s="2"/>
      <c r="M403" s="2"/>
      <c r="N403" s="2"/>
      <c r="O403" s="2"/>
      <c r="P403" s="2"/>
    </row>
    <row r="404" spans="1:16" x14ac:dyDescent="0.4">
      <c r="A404">
        <v>2016</v>
      </c>
      <c r="B404" s="5" t="s">
        <v>730</v>
      </c>
      <c r="C404" s="5" t="s">
        <v>707</v>
      </c>
      <c r="D404" s="25" t="s">
        <v>1</v>
      </c>
      <c r="E404" s="64" t="s">
        <v>328</v>
      </c>
      <c r="F404" s="12">
        <v>0</v>
      </c>
      <c r="G404" s="12">
        <v>0</v>
      </c>
      <c r="H404" s="12">
        <v>0</v>
      </c>
      <c r="J404" s="2"/>
      <c r="K404" s="2"/>
      <c r="L404" s="2"/>
      <c r="M404" s="2"/>
      <c r="N404" s="2"/>
      <c r="O404" s="2"/>
      <c r="P404" s="2"/>
    </row>
    <row r="405" spans="1:16" x14ac:dyDescent="0.4">
      <c r="A405">
        <v>2016</v>
      </c>
      <c r="B405" s="5" t="s">
        <v>362</v>
      </c>
      <c r="C405" s="5" t="s">
        <v>708</v>
      </c>
      <c r="D405" s="25" t="s">
        <v>7</v>
      </c>
      <c r="E405" s="64" t="s">
        <v>6</v>
      </c>
      <c r="F405" s="12">
        <v>499</v>
      </c>
      <c r="G405" s="12">
        <v>326</v>
      </c>
      <c r="H405" s="12">
        <v>173</v>
      </c>
      <c r="J405" s="2"/>
      <c r="K405" s="2"/>
      <c r="L405" s="2"/>
      <c r="M405" s="2"/>
      <c r="N405" s="2"/>
      <c r="O405" s="2"/>
      <c r="P405" s="2"/>
    </row>
    <row r="406" spans="1:16" x14ac:dyDescent="0.4">
      <c r="A406">
        <v>2016</v>
      </c>
      <c r="B406" s="5" t="s">
        <v>363</v>
      </c>
      <c r="C406" s="5" t="s">
        <v>708</v>
      </c>
      <c r="D406" s="25" t="s">
        <v>7</v>
      </c>
      <c r="E406" s="64" t="s">
        <v>8</v>
      </c>
      <c r="F406" s="12">
        <v>98</v>
      </c>
      <c r="G406" s="12">
        <v>63</v>
      </c>
      <c r="H406" s="12">
        <v>35</v>
      </c>
      <c r="J406" s="2"/>
      <c r="K406" s="2"/>
      <c r="L406" s="2"/>
      <c r="M406" s="2"/>
      <c r="N406" s="2"/>
      <c r="O406" s="2"/>
      <c r="P406" s="2"/>
    </row>
    <row r="407" spans="1:16" x14ac:dyDescent="0.4">
      <c r="A407">
        <v>2016</v>
      </c>
      <c r="B407" s="5" t="s">
        <v>364</v>
      </c>
      <c r="C407" s="5" t="s">
        <v>708</v>
      </c>
      <c r="D407" s="25" t="s">
        <v>7</v>
      </c>
      <c r="E407" s="64" t="s">
        <v>9</v>
      </c>
      <c r="F407" s="12">
        <v>291</v>
      </c>
      <c r="G407" s="12">
        <v>169</v>
      </c>
      <c r="H407" s="12">
        <v>122</v>
      </c>
      <c r="J407" s="2"/>
      <c r="K407" s="2"/>
      <c r="L407" s="2"/>
      <c r="M407" s="2"/>
      <c r="N407" s="2"/>
      <c r="O407" s="2"/>
      <c r="P407" s="2"/>
    </row>
    <row r="408" spans="1:16" x14ac:dyDescent="0.4">
      <c r="A408">
        <v>2016</v>
      </c>
      <c r="B408" s="5" t="s">
        <v>365</v>
      </c>
      <c r="C408" s="5" t="s">
        <v>708</v>
      </c>
      <c r="D408" s="25" t="s">
        <v>7</v>
      </c>
      <c r="E408" s="64" t="s">
        <v>10</v>
      </c>
      <c r="F408" s="12">
        <v>84</v>
      </c>
      <c r="G408" s="12">
        <v>58</v>
      </c>
      <c r="H408" s="12">
        <v>26</v>
      </c>
      <c r="J408" s="2"/>
      <c r="K408" s="2"/>
      <c r="L408" s="2"/>
      <c r="M408" s="2"/>
      <c r="N408" s="2"/>
      <c r="O408" s="2"/>
      <c r="P408" s="2"/>
    </row>
    <row r="409" spans="1:16" x14ac:dyDescent="0.4">
      <c r="A409">
        <v>2016</v>
      </c>
      <c r="B409" s="5" t="s">
        <v>366</v>
      </c>
      <c r="C409" s="5" t="s">
        <v>708</v>
      </c>
      <c r="D409" s="25" t="s">
        <v>7</v>
      </c>
      <c r="E409" s="64" t="s">
        <v>11</v>
      </c>
      <c r="F409" s="30">
        <v>156</v>
      </c>
      <c r="G409" s="30">
        <v>102</v>
      </c>
      <c r="H409" s="30">
        <v>54</v>
      </c>
      <c r="J409" s="2"/>
      <c r="K409" s="2"/>
      <c r="L409" s="2"/>
      <c r="M409" s="2"/>
      <c r="N409" s="2"/>
      <c r="O409" s="2"/>
      <c r="P409" s="2"/>
    </row>
    <row r="410" spans="1:16" x14ac:dyDescent="0.4">
      <c r="A410">
        <v>2016</v>
      </c>
      <c r="B410" s="5" t="s">
        <v>367</v>
      </c>
      <c r="C410" s="5" t="s">
        <v>708</v>
      </c>
      <c r="D410" s="25" t="s">
        <v>7</v>
      </c>
      <c r="E410" s="64" t="s">
        <v>12</v>
      </c>
      <c r="F410" s="30">
        <v>71</v>
      </c>
      <c r="G410" s="30">
        <v>41</v>
      </c>
      <c r="H410" s="30">
        <v>30</v>
      </c>
      <c r="J410" s="2"/>
      <c r="K410" s="2"/>
      <c r="L410" s="2"/>
      <c r="M410" s="2"/>
      <c r="N410" s="2"/>
      <c r="O410" s="2"/>
      <c r="P410" s="2"/>
    </row>
    <row r="411" spans="1:16" x14ac:dyDescent="0.4">
      <c r="A411">
        <v>2016</v>
      </c>
      <c r="B411" s="5" t="s">
        <v>368</v>
      </c>
      <c r="C411" s="5" t="s">
        <v>708</v>
      </c>
      <c r="D411" s="25" t="s">
        <v>7</v>
      </c>
      <c r="E411" s="64" t="s">
        <v>13</v>
      </c>
      <c r="F411" s="30">
        <v>85</v>
      </c>
      <c r="G411" s="30">
        <v>52</v>
      </c>
      <c r="H411" s="30">
        <v>33</v>
      </c>
      <c r="J411" s="2"/>
      <c r="K411" s="2"/>
      <c r="L411" s="2"/>
      <c r="M411" s="2"/>
      <c r="N411" s="2"/>
      <c r="O411" s="2"/>
      <c r="P411" s="2"/>
    </row>
    <row r="412" spans="1:16" x14ac:dyDescent="0.4">
      <c r="A412">
        <v>2016</v>
      </c>
      <c r="B412" s="5" t="s">
        <v>369</v>
      </c>
      <c r="C412" s="5" t="s">
        <v>708</v>
      </c>
      <c r="D412" s="25" t="s">
        <v>7</v>
      </c>
      <c r="E412" s="64" t="s">
        <v>14</v>
      </c>
      <c r="F412" s="30">
        <v>88</v>
      </c>
      <c r="G412" s="30">
        <v>59</v>
      </c>
      <c r="H412" s="30">
        <v>29</v>
      </c>
      <c r="J412" s="2"/>
      <c r="K412" s="2"/>
      <c r="L412" s="2"/>
      <c r="M412" s="2"/>
      <c r="N412" s="2"/>
      <c r="O412" s="2"/>
      <c r="P412" s="2"/>
    </row>
    <row r="413" spans="1:16" x14ac:dyDescent="0.4">
      <c r="A413">
        <v>2016</v>
      </c>
      <c r="B413" s="5" t="s">
        <v>370</v>
      </c>
      <c r="C413" s="5" t="s">
        <v>708</v>
      </c>
      <c r="D413" s="25" t="s">
        <v>7</v>
      </c>
      <c r="E413" s="64" t="s">
        <v>15</v>
      </c>
      <c r="F413" s="30">
        <v>72</v>
      </c>
      <c r="G413" s="30">
        <v>48</v>
      </c>
      <c r="H413" s="30">
        <v>24</v>
      </c>
      <c r="J413" s="2"/>
      <c r="K413" s="2"/>
      <c r="L413" s="2"/>
      <c r="M413" s="2"/>
      <c r="N413" s="2"/>
      <c r="O413" s="2"/>
      <c r="P413" s="2"/>
    </row>
    <row r="414" spans="1:16" x14ac:dyDescent="0.4">
      <c r="A414">
        <v>2016</v>
      </c>
      <c r="B414" s="5" t="s">
        <v>371</v>
      </c>
      <c r="C414" s="5" t="s">
        <v>708</v>
      </c>
      <c r="D414" s="25" t="s">
        <v>7</v>
      </c>
      <c r="E414" s="64" t="s">
        <v>16</v>
      </c>
      <c r="F414" s="30">
        <v>989</v>
      </c>
      <c r="G414" s="30">
        <v>586</v>
      </c>
      <c r="H414" s="30">
        <v>403</v>
      </c>
      <c r="J414" s="2"/>
      <c r="K414" s="2"/>
      <c r="L414" s="2"/>
      <c r="M414" s="2"/>
      <c r="N414" s="2"/>
      <c r="O414" s="2"/>
      <c r="P414" s="2"/>
    </row>
    <row r="415" spans="1:16" x14ac:dyDescent="0.4">
      <c r="A415">
        <v>2016</v>
      </c>
      <c r="B415" s="5" t="s">
        <v>372</v>
      </c>
      <c r="C415" s="5" t="s">
        <v>708</v>
      </c>
      <c r="D415" s="25" t="s">
        <v>7</v>
      </c>
      <c r="E415" s="64" t="s">
        <v>17</v>
      </c>
      <c r="F415" s="30">
        <v>45</v>
      </c>
      <c r="G415" s="30">
        <v>28</v>
      </c>
      <c r="H415" s="30">
        <v>17</v>
      </c>
      <c r="J415" s="2"/>
      <c r="K415" s="2"/>
      <c r="L415" s="2"/>
      <c r="M415" s="2"/>
      <c r="N415" s="2"/>
      <c r="O415" s="2"/>
      <c r="P415" s="2"/>
    </row>
    <row r="416" spans="1:16" x14ac:dyDescent="0.4">
      <c r="A416">
        <v>2016</v>
      </c>
      <c r="B416" s="5" t="s">
        <v>373</v>
      </c>
      <c r="C416" s="5" t="s">
        <v>708</v>
      </c>
      <c r="D416" s="25" t="s">
        <v>7</v>
      </c>
      <c r="E416" s="64" t="s">
        <v>18</v>
      </c>
      <c r="F416" s="30">
        <v>60</v>
      </c>
      <c r="G416" s="30">
        <v>42</v>
      </c>
      <c r="H416" s="30">
        <v>18</v>
      </c>
      <c r="J416" s="2"/>
      <c r="K416" s="2"/>
      <c r="L416" s="2"/>
      <c r="M416" s="2"/>
      <c r="N416" s="2"/>
      <c r="O416" s="2"/>
      <c r="P416" s="2"/>
    </row>
    <row r="417" spans="1:16" x14ac:dyDescent="0.4">
      <c r="A417">
        <v>2016</v>
      </c>
      <c r="B417" s="5" t="s">
        <v>374</v>
      </c>
      <c r="C417" s="5" t="s">
        <v>708</v>
      </c>
      <c r="D417" s="25" t="s">
        <v>7</v>
      </c>
      <c r="E417" s="64" t="s">
        <v>19</v>
      </c>
      <c r="F417" s="30">
        <v>131</v>
      </c>
      <c r="G417" s="30">
        <v>82</v>
      </c>
      <c r="H417" s="30">
        <v>49</v>
      </c>
      <c r="J417" s="2"/>
      <c r="K417" s="2"/>
      <c r="L417" s="2"/>
      <c r="M417" s="2"/>
      <c r="N417" s="2"/>
      <c r="O417" s="2"/>
      <c r="P417" s="2"/>
    </row>
    <row r="418" spans="1:16" x14ac:dyDescent="0.4">
      <c r="A418">
        <v>2016</v>
      </c>
      <c r="B418" s="5" t="s">
        <v>375</v>
      </c>
      <c r="C418" s="5" t="s">
        <v>708</v>
      </c>
      <c r="D418" s="25" t="s">
        <v>7</v>
      </c>
      <c r="E418" s="64" t="s">
        <v>20</v>
      </c>
      <c r="F418" s="30">
        <v>442</v>
      </c>
      <c r="G418" s="30">
        <v>260</v>
      </c>
      <c r="H418" s="30">
        <v>182</v>
      </c>
      <c r="J418" s="2"/>
      <c r="K418" s="2"/>
      <c r="L418" s="2"/>
      <c r="M418" s="2"/>
      <c r="N418" s="2"/>
      <c r="O418" s="2"/>
      <c r="P418" s="2"/>
    </row>
    <row r="419" spans="1:16" x14ac:dyDescent="0.4">
      <c r="A419">
        <v>2016</v>
      </c>
      <c r="B419" s="5" t="s">
        <v>376</v>
      </c>
      <c r="C419" s="5" t="s">
        <v>708</v>
      </c>
      <c r="D419" s="25" t="s">
        <v>7</v>
      </c>
      <c r="E419" s="64" t="s">
        <v>21</v>
      </c>
      <c r="F419" s="30">
        <v>107</v>
      </c>
      <c r="G419" s="30">
        <v>58</v>
      </c>
      <c r="H419" s="30">
        <v>49</v>
      </c>
      <c r="J419" s="2"/>
      <c r="K419" s="2"/>
      <c r="L419" s="2"/>
      <c r="M419" s="2"/>
      <c r="N419" s="2"/>
      <c r="O419" s="2"/>
      <c r="P419" s="2"/>
    </row>
    <row r="420" spans="1:16" x14ac:dyDescent="0.4">
      <c r="A420">
        <v>2016</v>
      </c>
      <c r="B420" s="5" t="s">
        <v>377</v>
      </c>
      <c r="C420" s="5" t="s">
        <v>708</v>
      </c>
      <c r="D420" s="25" t="s">
        <v>7</v>
      </c>
      <c r="E420" s="64" t="s">
        <v>22</v>
      </c>
      <c r="F420" s="30">
        <v>266</v>
      </c>
      <c r="G420" s="30">
        <v>168</v>
      </c>
      <c r="H420" s="30">
        <v>98</v>
      </c>
      <c r="J420" s="2"/>
      <c r="K420" s="2"/>
      <c r="L420" s="2"/>
      <c r="M420" s="2"/>
      <c r="N420" s="2"/>
      <c r="O420" s="2"/>
      <c r="P420" s="2"/>
    </row>
    <row r="421" spans="1:16" x14ac:dyDescent="0.4">
      <c r="A421">
        <v>2016</v>
      </c>
      <c r="B421" s="5" t="s">
        <v>378</v>
      </c>
      <c r="C421" s="5" t="s">
        <v>708</v>
      </c>
      <c r="D421" s="25" t="s">
        <v>7</v>
      </c>
      <c r="E421" s="64" t="s">
        <v>23</v>
      </c>
      <c r="F421" s="30">
        <v>45</v>
      </c>
      <c r="G421" s="30">
        <v>29</v>
      </c>
      <c r="H421" s="30">
        <v>16</v>
      </c>
      <c r="J421" s="2"/>
      <c r="K421" s="2"/>
      <c r="L421" s="2"/>
      <c r="M421" s="2"/>
      <c r="N421" s="2"/>
      <c r="O421" s="2"/>
      <c r="P421" s="2"/>
    </row>
    <row r="422" spans="1:16" x14ac:dyDescent="0.4">
      <c r="A422">
        <v>2016</v>
      </c>
      <c r="B422" s="5" t="s">
        <v>379</v>
      </c>
      <c r="C422" s="5" t="s">
        <v>708</v>
      </c>
      <c r="D422" s="25" t="s">
        <v>7</v>
      </c>
      <c r="E422" s="64" t="s">
        <v>24</v>
      </c>
      <c r="F422" s="30">
        <v>24</v>
      </c>
      <c r="G422" s="30">
        <v>14</v>
      </c>
      <c r="H422" s="30">
        <v>10</v>
      </c>
      <c r="J422" s="2"/>
      <c r="K422" s="2"/>
      <c r="L422" s="2"/>
      <c r="M422" s="2"/>
      <c r="N422" s="2"/>
      <c r="O422" s="2"/>
      <c r="P422" s="2"/>
    </row>
    <row r="423" spans="1:16" x14ac:dyDescent="0.4">
      <c r="A423">
        <v>2016</v>
      </c>
      <c r="B423" s="5" t="s">
        <v>380</v>
      </c>
      <c r="C423" s="5" t="s">
        <v>708</v>
      </c>
      <c r="D423" s="25" t="s">
        <v>7</v>
      </c>
      <c r="E423" s="64" t="s">
        <v>25</v>
      </c>
      <c r="F423" s="30">
        <v>3248</v>
      </c>
      <c r="G423" s="30">
        <v>1.9</v>
      </c>
      <c r="H423" s="30">
        <v>1.3480000000000001</v>
      </c>
      <c r="J423" s="2"/>
      <c r="K423" s="2"/>
      <c r="L423" s="2"/>
      <c r="M423" s="2"/>
      <c r="N423" s="2"/>
      <c r="O423" s="2"/>
      <c r="P423" s="2"/>
    </row>
    <row r="424" spans="1:16" x14ac:dyDescent="0.4">
      <c r="A424">
        <v>2016</v>
      </c>
      <c r="B424" s="5" t="s">
        <v>381</v>
      </c>
      <c r="C424" s="5" t="s">
        <v>708</v>
      </c>
      <c r="D424" s="25" t="s">
        <v>7</v>
      </c>
      <c r="E424" s="64" t="s">
        <v>26</v>
      </c>
      <c r="F424" s="30">
        <v>1171</v>
      </c>
      <c r="G424" s="30">
        <v>703</v>
      </c>
      <c r="H424" s="30">
        <v>468</v>
      </c>
      <c r="J424" s="2"/>
      <c r="K424" s="2"/>
      <c r="L424" s="2"/>
      <c r="M424" s="2"/>
      <c r="N424" s="2"/>
      <c r="O424" s="2"/>
      <c r="P424" s="2"/>
    </row>
    <row r="425" spans="1:16" x14ac:dyDescent="0.4">
      <c r="A425">
        <v>2016</v>
      </c>
      <c r="B425" s="5" t="s">
        <v>382</v>
      </c>
      <c r="C425" s="5" t="s">
        <v>708</v>
      </c>
      <c r="D425" s="25" t="s">
        <v>7</v>
      </c>
      <c r="E425" s="64" t="s">
        <v>27</v>
      </c>
      <c r="F425" s="30">
        <v>30</v>
      </c>
      <c r="G425" s="30">
        <v>22</v>
      </c>
      <c r="H425" s="30">
        <v>8</v>
      </c>
      <c r="J425" s="2"/>
      <c r="K425" s="2"/>
      <c r="L425" s="2"/>
      <c r="M425" s="2"/>
      <c r="N425" s="2"/>
      <c r="O425" s="2"/>
      <c r="P425" s="2"/>
    </row>
    <row r="426" spans="1:16" x14ac:dyDescent="0.4">
      <c r="A426">
        <v>2016</v>
      </c>
      <c r="B426" s="5" t="s">
        <v>383</v>
      </c>
      <c r="C426" s="5" t="s">
        <v>709</v>
      </c>
      <c r="D426" s="25" t="s">
        <v>29</v>
      </c>
      <c r="E426" s="64" t="s">
        <v>28</v>
      </c>
      <c r="F426" s="30">
        <v>225</v>
      </c>
      <c r="G426" s="30">
        <v>144</v>
      </c>
      <c r="H426" s="30">
        <v>81</v>
      </c>
      <c r="J426" s="2"/>
      <c r="K426" s="2"/>
      <c r="L426" s="2"/>
      <c r="M426" s="2"/>
      <c r="N426" s="2"/>
      <c r="O426" s="2"/>
      <c r="P426" s="2"/>
    </row>
    <row r="427" spans="1:16" x14ac:dyDescent="0.4">
      <c r="A427">
        <v>2016</v>
      </c>
      <c r="B427" s="5" t="s">
        <v>384</v>
      </c>
      <c r="C427" s="5" t="s">
        <v>709</v>
      </c>
      <c r="D427" s="25" t="s">
        <v>29</v>
      </c>
      <c r="E427" s="64" t="s">
        <v>30</v>
      </c>
      <c r="F427" s="30">
        <v>156</v>
      </c>
      <c r="G427" s="30">
        <v>115</v>
      </c>
      <c r="H427" s="30">
        <v>41</v>
      </c>
      <c r="J427" s="2"/>
      <c r="K427" s="2"/>
      <c r="L427" s="2"/>
      <c r="M427" s="2"/>
      <c r="N427" s="2"/>
      <c r="O427" s="2"/>
      <c r="P427" s="2"/>
    </row>
    <row r="428" spans="1:16" x14ac:dyDescent="0.4">
      <c r="A428">
        <v>2016</v>
      </c>
      <c r="B428" s="5" t="s">
        <v>385</v>
      </c>
      <c r="C428" s="5" t="s">
        <v>709</v>
      </c>
      <c r="D428" s="25" t="s">
        <v>29</v>
      </c>
      <c r="E428" s="64" t="s">
        <v>31</v>
      </c>
      <c r="F428" s="30">
        <v>69</v>
      </c>
      <c r="G428" s="30">
        <v>42</v>
      </c>
      <c r="H428" s="30">
        <v>27</v>
      </c>
      <c r="J428" s="2"/>
      <c r="K428" s="2"/>
      <c r="L428" s="2"/>
      <c r="M428" s="2"/>
      <c r="N428" s="2"/>
      <c r="O428" s="2"/>
      <c r="P428" s="2"/>
    </row>
    <row r="429" spans="1:16" x14ac:dyDescent="0.4">
      <c r="A429">
        <v>2016</v>
      </c>
      <c r="B429" s="5" t="s">
        <v>386</v>
      </c>
      <c r="C429" s="5" t="s">
        <v>709</v>
      </c>
      <c r="D429" s="25" t="s">
        <v>29</v>
      </c>
      <c r="E429" s="64" t="s">
        <v>32</v>
      </c>
      <c r="F429" s="30">
        <v>259</v>
      </c>
      <c r="G429" s="30">
        <v>176</v>
      </c>
      <c r="H429" s="30">
        <v>83</v>
      </c>
      <c r="J429" s="2"/>
      <c r="K429" s="2"/>
      <c r="L429" s="2"/>
      <c r="M429" s="2"/>
      <c r="N429" s="2"/>
      <c r="O429" s="2"/>
      <c r="P429" s="2"/>
    </row>
    <row r="430" spans="1:16" x14ac:dyDescent="0.4">
      <c r="A430">
        <v>2016</v>
      </c>
      <c r="B430" s="5" t="s">
        <v>387</v>
      </c>
      <c r="C430" s="5" t="s">
        <v>709</v>
      </c>
      <c r="D430" s="25" t="s">
        <v>29</v>
      </c>
      <c r="E430" s="64" t="s">
        <v>33</v>
      </c>
      <c r="F430" s="30">
        <v>92</v>
      </c>
      <c r="G430" s="30">
        <v>69</v>
      </c>
      <c r="H430" s="30">
        <v>23</v>
      </c>
      <c r="J430" s="2"/>
      <c r="K430" s="2"/>
      <c r="L430" s="2"/>
      <c r="M430" s="2"/>
      <c r="N430" s="2"/>
      <c r="O430" s="2"/>
      <c r="P430" s="2"/>
    </row>
    <row r="431" spans="1:16" x14ac:dyDescent="0.4">
      <c r="A431">
        <v>2016</v>
      </c>
      <c r="B431" s="5" t="s">
        <v>388</v>
      </c>
      <c r="C431" s="5" t="s">
        <v>709</v>
      </c>
      <c r="D431" s="25" t="s">
        <v>29</v>
      </c>
      <c r="E431" s="64" t="s">
        <v>34</v>
      </c>
      <c r="F431" s="30">
        <v>85</v>
      </c>
      <c r="G431" s="30">
        <v>50</v>
      </c>
      <c r="H431" s="30">
        <v>35</v>
      </c>
      <c r="J431" s="2"/>
      <c r="K431" s="2"/>
      <c r="L431" s="2"/>
      <c r="M431" s="2"/>
      <c r="N431" s="2"/>
      <c r="O431" s="2"/>
      <c r="P431" s="2"/>
    </row>
    <row r="432" spans="1:16" x14ac:dyDescent="0.4">
      <c r="A432">
        <v>2016</v>
      </c>
      <c r="B432" s="5" t="s">
        <v>389</v>
      </c>
      <c r="C432" s="5" t="s">
        <v>709</v>
      </c>
      <c r="D432" s="25" t="s">
        <v>29</v>
      </c>
      <c r="E432" s="65" t="s">
        <v>35</v>
      </c>
      <c r="F432" s="31">
        <v>1769</v>
      </c>
      <c r="G432" s="31">
        <v>1.0189999999999999</v>
      </c>
      <c r="H432" s="31">
        <v>750</v>
      </c>
      <c r="J432" s="2"/>
      <c r="K432" s="2"/>
      <c r="L432" s="2"/>
      <c r="M432" s="2"/>
      <c r="N432" s="2"/>
      <c r="O432" s="2"/>
      <c r="P432" s="2"/>
    </row>
    <row r="433" spans="1:16" x14ac:dyDescent="0.4">
      <c r="A433">
        <v>2016</v>
      </c>
      <c r="B433" s="5" t="s">
        <v>390</v>
      </c>
      <c r="C433" s="5" t="s">
        <v>710</v>
      </c>
      <c r="D433" s="25" t="s">
        <v>37</v>
      </c>
      <c r="E433" s="64" t="s">
        <v>36</v>
      </c>
      <c r="F433" s="30">
        <v>281</v>
      </c>
      <c r="G433" s="30">
        <v>204</v>
      </c>
      <c r="H433" s="30">
        <v>77</v>
      </c>
      <c r="J433" s="2"/>
      <c r="K433" s="2"/>
      <c r="L433" s="2"/>
      <c r="M433" s="2"/>
      <c r="N433" s="2"/>
      <c r="O433" s="2"/>
      <c r="P433" s="2"/>
    </row>
    <row r="434" spans="1:16" x14ac:dyDescent="0.4">
      <c r="A434">
        <v>2016</v>
      </c>
      <c r="B434" s="5" t="s">
        <v>391</v>
      </c>
      <c r="C434" s="5" t="s">
        <v>710</v>
      </c>
      <c r="D434" s="25" t="s">
        <v>37</v>
      </c>
      <c r="E434" s="64" t="s">
        <v>38</v>
      </c>
      <c r="F434" s="30">
        <v>137</v>
      </c>
      <c r="G434" s="30">
        <v>102</v>
      </c>
      <c r="H434" s="30">
        <v>35</v>
      </c>
      <c r="J434" s="2"/>
      <c r="K434" s="2"/>
      <c r="L434" s="2"/>
      <c r="M434" s="2"/>
      <c r="N434" s="2"/>
      <c r="O434" s="2"/>
      <c r="P434" s="2"/>
    </row>
    <row r="435" spans="1:16" x14ac:dyDescent="0.4">
      <c r="A435">
        <v>2016</v>
      </c>
      <c r="B435" s="5" t="s">
        <v>392</v>
      </c>
      <c r="C435" s="5" t="s">
        <v>710</v>
      </c>
      <c r="D435" s="25" t="s">
        <v>37</v>
      </c>
      <c r="E435" s="64" t="s">
        <v>39</v>
      </c>
      <c r="F435" s="30">
        <v>425</v>
      </c>
      <c r="G435" s="30">
        <v>299</v>
      </c>
      <c r="H435" s="30">
        <v>126</v>
      </c>
      <c r="J435" s="2"/>
      <c r="K435" s="2"/>
      <c r="L435" s="2"/>
      <c r="M435" s="2"/>
      <c r="N435" s="2"/>
      <c r="O435" s="2"/>
      <c r="P435" s="2"/>
    </row>
    <row r="436" spans="1:16" x14ac:dyDescent="0.4">
      <c r="A436">
        <v>2016</v>
      </c>
      <c r="B436" s="5" t="s">
        <v>393</v>
      </c>
      <c r="C436" s="5" t="s">
        <v>710</v>
      </c>
      <c r="D436" s="25" t="s">
        <v>37</v>
      </c>
      <c r="E436" s="64" t="s">
        <v>40</v>
      </c>
      <c r="F436" s="30">
        <v>6109</v>
      </c>
      <c r="G436" s="30">
        <v>3.5430000000000001</v>
      </c>
      <c r="H436" s="30">
        <v>2.5659999999999998</v>
      </c>
      <c r="J436" s="2"/>
      <c r="K436" s="2"/>
      <c r="L436" s="2"/>
      <c r="M436" s="2"/>
      <c r="N436" s="2"/>
      <c r="O436" s="2"/>
      <c r="P436" s="2"/>
    </row>
    <row r="437" spans="1:16" x14ac:dyDescent="0.4">
      <c r="A437">
        <v>2016</v>
      </c>
      <c r="B437" s="5" t="s">
        <v>394</v>
      </c>
      <c r="C437" s="5" t="s">
        <v>710</v>
      </c>
      <c r="D437" s="25" t="s">
        <v>37</v>
      </c>
      <c r="E437" s="64" t="s">
        <v>41</v>
      </c>
      <c r="F437" s="30">
        <v>152</v>
      </c>
      <c r="G437" s="30">
        <v>111</v>
      </c>
      <c r="H437" s="30">
        <v>41</v>
      </c>
      <c r="J437" s="2"/>
      <c r="K437" s="2"/>
      <c r="L437" s="2"/>
      <c r="M437" s="2"/>
      <c r="N437" s="2"/>
      <c r="O437" s="2"/>
      <c r="P437" s="2"/>
    </row>
    <row r="438" spans="1:16" x14ac:dyDescent="0.4">
      <c r="A438">
        <v>2016</v>
      </c>
      <c r="B438" s="5" t="s">
        <v>395</v>
      </c>
      <c r="C438" s="5" t="s">
        <v>710</v>
      </c>
      <c r="D438" s="25" t="s">
        <v>37</v>
      </c>
      <c r="E438" s="64" t="s">
        <v>42</v>
      </c>
      <c r="F438" s="30">
        <v>1262</v>
      </c>
      <c r="G438" s="30">
        <v>799</v>
      </c>
      <c r="H438" s="30">
        <v>463</v>
      </c>
      <c r="J438" s="2"/>
      <c r="K438" s="2"/>
      <c r="L438" s="2"/>
      <c r="M438" s="2"/>
      <c r="N438" s="2"/>
      <c r="O438" s="2"/>
      <c r="P438" s="2"/>
    </row>
    <row r="439" spans="1:16" x14ac:dyDescent="0.4">
      <c r="A439">
        <v>2016</v>
      </c>
      <c r="B439" s="5" t="s">
        <v>396</v>
      </c>
      <c r="C439" s="5" t="s">
        <v>710</v>
      </c>
      <c r="D439" s="25" t="s">
        <v>37</v>
      </c>
      <c r="E439" s="64" t="s">
        <v>43</v>
      </c>
      <c r="F439" s="30">
        <v>254</v>
      </c>
      <c r="G439" s="30">
        <v>202</v>
      </c>
      <c r="H439" s="30">
        <v>52</v>
      </c>
      <c r="J439" s="2"/>
      <c r="K439" s="2"/>
      <c r="L439" s="2"/>
      <c r="M439" s="2"/>
      <c r="N439" s="2"/>
      <c r="O439" s="2"/>
      <c r="P439" s="2"/>
    </row>
    <row r="440" spans="1:16" x14ac:dyDescent="0.4">
      <c r="A440">
        <v>2016</v>
      </c>
      <c r="B440" s="5" t="s">
        <v>397</v>
      </c>
      <c r="C440" s="5" t="s">
        <v>710</v>
      </c>
      <c r="D440" s="25" t="s">
        <v>37</v>
      </c>
      <c r="E440" s="64" t="s">
        <v>44</v>
      </c>
      <c r="F440" s="30">
        <v>947</v>
      </c>
      <c r="G440" s="30">
        <v>572</v>
      </c>
      <c r="H440" s="30">
        <v>375</v>
      </c>
      <c r="J440" s="2"/>
      <c r="K440" s="2"/>
      <c r="L440" s="2"/>
      <c r="M440" s="2"/>
      <c r="N440" s="2"/>
      <c r="O440" s="2"/>
      <c r="P440" s="2"/>
    </row>
    <row r="441" spans="1:16" x14ac:dyDescent="0.4">
      <c r="A441">
        <v>2016</v>
      </c>
      <c r="B441" s="5" t="s">
        <v>398</v>
      </c>
      <c r="C441" s="5" t="s">
        <v>710</v>
      </c>
      <c r="D441" s="25" t="s">
        <v>37</v>
      </c>
      <c r="E441" s="64" t="s">
        <v>45</v>
      </c>
      <c r="F441" s="30">
        <v>415</v>
      </c>
      <c r="G441" s="30">
        <v>238</v>
      </c>
      <c r="H441" s="30">
        <v>177</v>
      </c>
      <c r="J441" s="2"/>
      <c r="K441" s="2"/>
      <c r="L441" s="2"/>
      <c r="M441" s="2"/>
      <c r="N441" s="2"/>
      <c r="O441" s="2"/>
      <c r="P441" s="2"/>
    </row>
    <row r="442" spans="1:16" x14ac:dyDescent="0.4">
      <c r="A442">
        <v>2016</v>
      </c>
      <c r="B442" s="5" t="s">
        <v>399</v>
      </c>
      <c r="C442" s="5" t="s">
        <v>710</v>
      </c>
      <c r="D442" s="25" t="s">
        <v>37</v>
      </c>
      <c r="E442" s="64" t="s">
        <v>46</v>
      </c>
      <c r="F442" s="30">
        <v>70</v>
      </c>
      <c r="G442" s="30">
        <v>47</v>
      </c>
      <c r="H442" s="30">
        <v>23</v>
      </c>
      <c r="J442" s="2"/>
      <c r="K442" s="2"/>
      <c r="L442" s="2"/>
      <c r="M442" s="2"/>
      <c r="N442" s="2"/>
      <c r="O442" s="2"/>
      <c r="P442" s="2"/>
    </row>
    <row r="443" spans="1:16" x14ac:dyDescent="0.4">
      <c r="A443">
        <v>2016</v>
      </c>
      <c r="B443" s="5" t="s">
        <v>400</v>
      </c>
      <c r="C443" s="5" t="s">
        <v>710</v>
      </c>
      <c r="D443" s="25" t="s">
        <v>37</v>
      </c>
      <c r="E443" s="64" t="s">
        <v>47</v>
      </c>
      <c r="F443" s="30">
        <v>176</v>
      </c>
      <c r="G443" s="30">
        <v>126</v>
      </c>
      <c r="H443" s="30">
        <v>50</v>
      </c>
      <c r="J443" s="2"/>
      <c r="K443" s="2"/>
      <c r="L443" s="2"/>
      <c r="M443" s="2"/>
      <c r="N443" s="2"/>
      <c r="O443" s="2"/>
      <c r="P443" s="2"/>
    </row>
    <row r="444" spans="1:16" x14ac:dyDescent="0.4">
      <c r="A444">
        <v>2016</v>
      </c>
      <c r="B444" s="5" t="s">
        <v>401</v>
      </c>
      <c r="C444" s="5" t="s">
        <v>710</v>
      </c>
      <c r="D444" s="25" t="s">
        <v>37</v>
      </c>
      <c r="E444" s="64" t="s">
        <v>48</v>
      </c>
      <c r="F444" s="30">
        <v>129</v>
      </c>
      <c r="G444" s="30">
        <v>99</v>
      </c>
      <c r="H444" s="30">
        <v>30</v>
      </c>
      <c r="J444" s="2"/>
      <c r="K444" s="2"/>
      <c r="L444" s="2"/>
      <c r="M444" s="2"/>
      <c r="N444" s="2"/>
      <c r="O444" s="2"/>
      <c r="P444" s="2"/>
    </row>
    <row r="445" spans="1:16" x14ac:dyDescent="0.4">
      <c r="A445">
        <v>2016</v>
      </c>
      <c r="B445" s="5" t="s">
        <v>402</v>
      </c>
      <c r="C445" s="5" t="s">
        <v>710</v>
      </c>
      <c r="D445" s="25" t="s">
        <v>37</v>
      </c>
      <c r="E445" s="64" t="s">
        <v>49</v>
      </c>
      <c r="F445" s="30">
        <v>937</v>
      </c>
      <c r="G445" s="30">
        <v>658</v>
      </c>
      <c r="H445" s="30">
        <v>279</v>
      </c>
      <c r="J445" s="2"/>
      <c r="K445" s="2"/>
      <c r="L445" s="2"/>
      <c r="M445" s="2"/>
      <c r="N445" s="2"/>
      <c r="O445" s="2"/>
      <c r="P445" s="2"/>
    </row>
    <row r="446" spans="1:16" x14ac:dyDescent="0.4">
      <c r="A446">
        <v>2016</v>
      </c>
      <c r="B446" s="5" t="s">
        <v>403</v>
      </c>
      <c r="C446" s="5" t="s">
        <v>710</v>
      </c>
      <c r="D446" s="25" t="s">
        <v>37</v>
      </c>
      <c r="E446" s="64" t="s">
        <v>50</v>
      </c>
      <c r="F446" s="30">
        <v>191</v>
      </c>
      <c r="G446" s="30">
        <v>158</v>
      </c>
      <c r="H446" s="30">
        <v>33</v>
      </c>
      <c r="J446" s="2"/>
      <c r="K446" s="2"/>
      <c r="L446" s="2"/>
      <c r="M446" s="2"/>
      <c r="N446" s="2"/>
      <c r="O446" s="2"/>
      <c r="P446" s="2"/>
    </row>
    <row r="447" spans="1:16" x14ac:dyDescent="0.4">
      <c r="A447">
        <v>2016</v>
      </c>
      <c r="B447" s="5" t="s">
        <v>404</v>
      </c>
      <c r="C447" s="5" t="s">
        <v>710</v>
      </c>
      <c r="D447" s="25" t="s">
        <v>37</v>
      </c>
      <c r="E447" s="64" t="s">
        <v>51</v>
      </c>
      <c r="F447" s="30">
        <v>728</v>
      </c>
      <c r="G447" s="30">
        <v>431</v>
      </c>
      <c r="H447" s="30">
        <v>297</v>
      </c>
      <c r="J447" s="2"/>
      <c r="K447" s="2"/>
      <c r="L447" s="2"/>
      <c r="M447" s="2"/>
      <c r="N447" s="2"/>
      <c r="O447" s="2"/>
      <c r="P447" s="2"/>
    </row>
    <row r="448" spans="1:16" x14ac:dyDescent="0.4">
      <c r="A448">
        <v>2016</v>
      </c>
      <c r="B448" s="5" t="s">
        <v>405</v>
      </c>
      <c r="C448" s="5" t="s">
        <v>710</v>
      </c>
      <c r="D448" s="25" t="s">
        <v>37</v>
      </c>
      <c r="E448" s="64" t="s">
        <v>52</v>
      </c>
      <c r="F448" s="30">
        <v>72</v>
      </c>
      <c r="G448" s="30">
        <v>56</v>
      </c>
      <c r="H448" s="30">
        <v>16</v>
      </c>
      <c r="J448" s="2"/>
      <c r="K448" s="2"/>
      <c r="L448" s="2"/>
      <c r="M448" s="2"/>
      <c r="N448" s="2"/>
      <c r="O448" s="2"/>
      <c r="P448" s="2"/>
    </row>
    <row r="449" spans="1:16" x14ac:dyDescent="0.4">
      <c r="A449">
        <v>2016</v>
      </c>
      <c r="B449" s="5" t="s">
        <v>406</v>
      </c>
      <c r="C449" s="5" t="s">
        <v>710</v>
      </c>
      <c r="D449" s="25" t="s">
        <v>37</v>
      </c>
      <c r="E449" s="64" t="s">
        <v>53</v>
      </c>
      <c r="F449" s="30">
        <v>89</v>
      </c>
      <c r="G449" s="30">
        <v>62</v>
      </c>
      <c r="H449" s="30">
        <v>27</v>
      </c>
      <c r="J449" s="2"/>
      <c r="K449" s="2"/>
      <c r="L449" s="2"/>
      <c r="M449" s="2"/>
      <c r="N449" s="2"/>
      <c r="O449" s="2"/>
      <c r="P449" s="2"/>
    </row>
    <row r="450" spans="1:16" x14ac:dyDescent="0.4">
      <c r="A450">
        <v>2016</v>
      </c>
      <c r="B450" s="5" t="s">
        <v>407</v>
      </c>
      <c r="C450" s="5" t="s">
        <v>710</v>
      </c>
      <c r="D450" s="25" t="s">
        <v>37</v>
      </c>
      <c r="E450" s="64" t="s">
        <v>54</v>
      </c>
      <c r="F450" s="30">
        <v>938</v>
      </c>
      <c r="G450" s="30">
        <v>657</v>
      </c>
      <c r="H450" s="30">
        <v>281</v>
      </c>
      <c r="J450" s="2"/>
      <c r="K450" s="2"/>
      <c r="L450" s="2"/>
      <c r="M450" s="2"/>
      <c r="N450" s="2"/>
      <c r="O450" s="2"/>
      <c r="P450" s="2"/>
    </row>
    <row r="451" spans="1:16" x14ac:dyDescent="0.4">
      <c r="A451">
        <v>2016</v>
      </c>
      <c r="B451" s="5" t="s">
        <v>408</v>
      </c>
      <c r="C451" s="5" t="s">
        <v>711</v>
      </c>
      <c r="D451" s="25" t="s">
        <v>56</v>
      </c>
      <c r="E451" s="64" t="s">
        <v>55</v>
      </c>
      <c r="F451" s="30">
        <v>177</v>
      </c>
      <c r="G451" s="30">
        <v>122</v>
      </c>
      <c r="H451" s="30">
        <v>55</v>
      </c>
      <c r="J451" s="2"/>
      <c r="K451" s="2"/>
      <c r="L451" s="2"/>
      <c r="M451" s="2"/>
      <c r="N451" s="2"/>
      <c r="O451" s="2"/>
      <c r="P451" s="2"/>
    </row>
    <row r="452" spans="1:16" x14ac:dyDescent="0.4">
      <c r="A452">
        <v>2016</v>
      </c>
      <c r="B452" s="5" t="s">
        <v>409</v>
      </c>
      <c r="C452" s="5" t="s">
        <v>711</v>
      </c>
      <c r="D452" s="25" t="s">
        <v>56</v>
      </c>
      <c r="E452" s="64" t="s">
        <v>57</v>
      </c>
      <c r="F452" s="30">
        <v>38</v>
      </c>
      <c r="G452" s="30">
        <v>25</v>
      </c>
      <c r="H452" s="30">
        <v>13</v>
      </c>
      <c r="J452" s="2"/>
      <c r="K452" s="2"/>
      <c r="L452" s="2"/>
      <c r="M452" s="2"/>
      <c r="N452" s="2"/>
      <c r="O452" s="2"/>
      <c r="P452" s="2"/>
    </row>
    <row r="453" spans="1:16" x14ac:dyDescent="0.4">
      <c r="A453">
        <v>2016</v>
      </c>
      <c r="B453" s="5" t="s">
        <v>410</v>
      </c>
      <c r="C453" s="5" t="s">
        <v>711</v>
      </c>
      <c r="D453" s="25" t="s">
        <v>56</v>
      </c>
      <c r="E453" s="64" t="s">
        <v>58</v>
      </c>
      <c r="F453" s="30">
        <v>309</v>
      </c>
      <c r="G453" s="30">
        <v>212</v>
      </c>
      <c r="H453" s="30">
        <v>97</v>
      </c>
      <c r="J453" s="2"/>
      <c r="K453" s="2"/>
      <c r="L453" s="2"/>
      <c r="M453" s="2"/>
      <c r="N453" s="2"/>
      <c r="O453" s="2"/>
      <c r="P453" s="2"/>
    </row>
    <row r="454" spans="1:16" x14ac:dyDescent="0.4">
      <c r="A454">
        <v>2016</v>
      </c>
      <c r="B454" s="5" t="s">
        <v>411</v>
      </c>
      <c r="C454" s="5" t="s">
        <v>711</v>
      </c>
      <c r="D454" s="25" t="s">
        <v>56</v>
      </c>
      <c r="E454" s="64" t="s">
        <v>59</v>
      </c>
      <c r="F454" s="30">
        <v>29</v>
      </c>
      <c r="G454" s="30">
        <v>23</v>
      </c>
      <c r="H454" s="30">
        <v>6</v>
      </c>
      <c r="J454" s="2"/>
      <c r="K454" s="2"/>
      <c r="L454" s="2"/>
      <c r="M454" s="2"/>
      <c r="N454" s="2"/>
      <c r="O454" s="2"/>
      <c r="P454" s="2"/>
    </row>
    <row r="455" spans="1:16" x14ac:dyDescent="0.4">
      <c r="A455">
        <v>2016</v>
      </c>
      <c r="B455" s="5" t="s">
        <v>412</v>
      </c>
      <c r="C455" s="5" t="s">
        <v>711</v>
      </c>
      <c r="D455" s="25" t="s">
        <v>56</v>
      </c>
      <c r="E455" s="64" t="s">
        <v>60</v>
      </c>
      <c r="F455" s="30">
        <v>3127</v>
      </c>
      <c r="G455" s="30">
        <v>1.954</v>
      </c>
      <c r="H455" s="30">
        <v>1.173</v>
      </c>
      <c r="J455" s="2"/>
      <c r="K455" s="2"/>
      <c r="L455" s="2"/>
      <c r="M455" s="2"/>
      <c r="N455" s="2"/>
      <c r="O455" s="2"/>
      <c r="P455" s="2"/>
    </row>
    <row r="456" spans="1:16" x14ac:dyDescent="0.4">
      <c r="A456">
        <v>2016</v>
      </c>
      <c r="B456" s="5" t="s">
        <v>413</v>
      </c>
      <c r="C456" s="5" t="s">
        <v>711</v>
      </c>
      <c r="D456" s="25" t="s">
        <v>56</v>
      </c>
      <c r="E456" s="64" t="s">
        <v>36</v>
      </c>
      <c r="F456" s="30">
        <v>203</v>
      </c>
      <c r="G456" s="30">
        <v>123</v>
      </c>
      <c r="H456" s="30">
        <v>80</v>
      </c>
      <c r="J456" s="2"/>
      <c r="K456" s="2"/>
      <c r="L456" s="2"/>
      <c r="M456" s="2"/>
      <c r="N456" s="2"/>
      <c r="O456" s="2"/>
      <c r="P456" s="2"/>
    </row>
    <row r="457" spans="1:16" x14ac:dyDescent="0.4">
      <c r="A457">
        <v>2016</v>
      </c>
      <c r="B457" s="5" t="s">
        <v>414</v>
      </c>
      <c r="C457" s="5" t="s">
        <v>711</v>
      </c>
      <c r="D457" s="25" t="s">
        <v>56</v>
      </c>
      <c r="E457" s="64" t="s">
        <v>61</v>
      </c>
      <c r="F457" s="30">
        <v>89</v>
      </c>
      <c r="G457" s="30">
        <v>57</v>
      </c>
      <c r="H457" s="30">
        <v>32</v>
      </c>
      <c r="J457" s="2"/>
      <c r="K457" s="2"/>
      <c r="L457" s="2"/>
      <c r="M457" s="2"/>
      <c r="N457" s="2"/>
      <c r="O457" s="2"/>
      <c r="P457" s="2"/>
    </row>
    <row r="458" spans="1:16" x14ac:dyDescent="0.4">
      <c r="A458">
        <v>2016</v>
      </c>
      <c r="B458" s="5" t="s">
        <v>415</v>
      </c>
      <c r="C458" s="5" t="s">
        <v>711</v>
      </c>
      <c r="D458" s="25" t="s">
        <v>56</v>
      </c>
      <c r="E458" s="64" t="s">
        <v>62</v>
      </c>
      <c r="F458" s="30">
        <v>212</v>
      </c>
      <c r="G458" s="30">
        <v>130</v>
      </c>
      <c r="H458" s="30">
        <v>82</v>
      </c>
      <c r="J458" s="2"/>
      <c r="K458" s="2"/>
      <c r="L458" s="2"/>
      <c r="M458" s="2"/>
      <c r="N458" s="2"/>
      <c r="O458" s="2"/>
      <c r="P458" s="2"/>
    </row>
    <row r="459" spans="1:16" x14ac:dyDescent="0.4">
      <c r="A459">
        <v>2016</v>
      </c>
      <c r="B459" s="5" t="s">
        <v>416</v>
      </c>
      <c r="C459" s="5" t="s">
        <v>711</v>
      </c>
      <c r="D459" s="25" t="s">
        <v>56</v>
      </c>
      <c r="E459" s="64" t="s">
        <v>63</v>
      </c>
      <c r="F459" s="30">
        <v>117</v>
      </c>
      <c r="G459" s="30">
        <v>84</v>
      </c>
      <c r="H459" s="30">
        <v>33</v>
      </c>
      <c r="J459" s="2"/>
      <c r="K459" s="2"/>
      <c r="L459" s="2"/>
      <c r="M459" s="2"/>
      <c r="N459" s="2"/>
      <c r="O459" s="2"/>
      <c r="P459" s="2"/>
    </row>
    <row r="460" spans="1:16" x14ac:dyDescent="0.4">
      <c r="A460">
        <v>2016</v>
      </c>
      <c r="B460" s="5" t="s">
        <v>417</v>
      </c>
      <c r="C460" s="5" t="s">
        <v>711</v>
      </c>
      <c r="D460" s="25" t="s">
        <v>56</v>
      </c>
      <c r="E460" s="64" t="s">
        <v>64</v>
      </c>
      <c r="F460" s="30">
        <v>219</v>
      </c>
      <c r="G460" s="30">
        <v>137</v>
      </c>
      <c r="H460" s="30">
        <v>82</v>
      </c>
      <c r="J460" s="2"/>
      <c r="K460" s="2"/>
      <c r="L460" s="2"/>
      <c r="M460" s="2"/>
      <c r="N460" s="2"/>
      <c r="O460" s="2"/>
      <c r="P460" s="2"/>
    </row>
    <row r="461" spans="1:16" x14ac:dyDescent="0.4">
      <c r="A461">
        <v>2016</v>
      </c>
      <c r="B461" s="5" t="s">
        <v>418</v>
      </c>
      <c r="C461" s="5" t="s">
        <v>711</v>
      </c>
      <c r="D461" s="25" t="s">
        <v>56</v>
      </c>
      <c r="E461" s="64" t="s">
        <v>65</v>
      </c>
      <c r="F461" s="30">
        <v>106</v>
      </c>
      <c r="G461" s="30">
        <v>79</v>
      </c>
      <c r="H461" s="30">
        <v>27</v>
      </c>
      <c r="J461" s="2"/>
      <c r="K461" s="2"/>
      <c r="L461" s="2"/>
      <c r="M461" s="2"/>
      <c r="N461" s="2"/>
      <c r="O461" s="2"/>
      <c r="P461" s="2"/>
    </row>
    <row r="462" spans="1:16" x14ac:dyDescent="0.4">
      <c r="A462">
        <v>2016</v>
      </c>
      <c r="B462" s="5" t="s">
        <v>419</v>
      </c>
      <c r="C462" s="5" t="s">
        <v>711</v>
      </c>
      <c r="D462" s="25" t="s">
        <v>56</v>
      </c>
      <c r="E462" s="64" t="s">
        <v>66</v>
      </c>
      <c r="F462" s="30">
        <v>43</v>
      </c>
      <c r="G462" s="30">
        <v>26</v>
      </c>
      <c r="H462" s="30">
        <v>17</v>
      </c>
      <c r="J462" s="2"/>
      <c r="K462" s="2"/>
      <c r="L462" s="2"/>
      <c r="M462" s="2"/>
      <c r="N462" s="2"/>
      <c r="O462" s="2"/>
      <c r="P462" s="2"/>
    </row>
    <row r="463" spans="1:16" x14ac:dyDescent="0.4">
      <c r="A463">
        <v>2016</v>
      </c>
      <c r="B463" s="5" t="s">
        <v>420</v>
      </c>
      <c r="C463" s="5" t="s">
        <v>712</v>
      </c>
      <c r="D463" s="25" t="s">
        <v>68</v>
      </c>
      <c r="E463" s="64" t="s">
        <v>67</v>
      </c>
      <c r="F463" s="30">
        <v>5313</v>
      </c>
      <c r="G463" s="30">
        <v>3.3180000000000001</v>
      </c>
      <c r="H463" s="30">
        <v>1.9950000000000001</v>
      </c>
      <c r="J463" s="2"/>
      <c r="K463" s="2"/>
      <c r="L463" s="2"/>
      <c r="M463" s="2"/>
      <c r="N463" s="2"/>
      <c r="O463" s="2"/>
      <c r="P463" s="2"/>
    </row>
    <row r="464" spans="1:16" x14ac:dyDescent="0.4">
      <c r="A464">
        <v>2016</v>
      </c>
      <c r="B464" s="5" t="s">
        <v>421</v>
      </c>
      <c r="C464" s="5" t="s">
        <v>712</v>
      </c>
      <c r="D464" s="25" t="s">
        <v>68</v>
      </c>
      <c r="E464" s="64" t="s">
        <v>69</v>
      </c>
      <c r="F464" s="30">
        <v>190</v>
      </c>
      <c r="G464" s="30">
        <v>109</v>
      </c>
      <c r="H464" s="30">
        <v>81</v>
      </c>
      <c r="J464" s="2"/>
      <c r="K464" s="2"/>
      <c r="L464" s="2"/>
      <c r="M464" s="2"/>
      <c r="N464" s="2"/>
      <c r="O464" s="2"/>
      <c r="P464" s="2"/>
    </row>
    <row r="465" spans="1:16" x14ac:dyDescent="0.4">
      <c r="A465">
        <v>2016</v>
      </c>
      <c r="B465" s="5" t="s">
        <v>422</v>
      </c>
      <c r="C465" s="5" t="s">
        <v>712</v>
      </c>
      <c r="D465" s="25" t="s">
        <v>68</v>
      </c>
      <c r="E465" s="64" t="s">
        <v>70</v>
      </c>
      <c r="F465" s="30">
        <v>161</v>
      </c>
      <c r="G465" s="30">
        <v>126</v>
      </c>
      <c r="H465" s="30">
        <v>35</v>
      </c>
      <c r="J465" s="2"/>
      <c r="K465" s="2"/>
      <c r="L465" s="2"/>
      <c r="M465" s="2"/>
      <c r="N465" s="2"/>
      <c r="O465" s="2"/>
      <c r="P465" s="2"/>
    </row>
    <row r="466" spans="1:16" x14ac:dyDescent="0.4">
      <c r="A466">
        <v>2016</v>
      </c>
      <c r="B466" s="5" t="s">
        <v>423</v>
      </c>
      <c r="C466" s="5" t="s">
        <v>712</v>
      </c>
      <c r="D466" s="25" t="s">
        <v>68</v>
      </c>
      <c r="E466" s="64" t="s">
        <v>71</v>
      </c>
      <c r="F466" s="30">
        <v>109</v>
      </c>
      <c r="G466" s="30">
        <v>72</v>
      </c>
      <c r="H466" s="30">
        <v>37</v>
      </c>
      <c r="J466" s="2"/>
      <c r="K466" s="2"/>
      <c r="L466" s="2"/>
      <c r="M466" s="2"/>
      <c r="N466" s="2"/>
      <c r="O466" s="2"/>
      <c r="P466" s="2"/>
    </row>
    <row r="467" spans="1:16" x14ac:dyDescent="0.4">
      <c r="A467">
        <v>2016</v>
      </c>
      <c r="B467" s="5" t="s">
        <v>424</v>
      </c>
      <c r="C467" s="5" t="s">
        <v>712</v>
      </c>
      <c r="D467" s="25" t="s">
        <v>68</v>
      </c>
      <c r="E467" s="64" t="s">
        <v>72</v>
      </c>
      <c r="F467" s="30">
        <v>2945</v>
      </c>
      <c r="G467" s="30">
        <v>1.7989999999999999</v>
      </c>
      <c r="H467" s="30">
        <v>1.1459999999999999</v>
      </c>
      <c r="J467" s="2"/>
      <c r="K467" s="2"/>
      <c r="L467" s="2"/>
      <c r="M467" s="2"/>
      <c r="N467" s="2"/>
      <c r="O467" s="2"/>
      <c r="P467" s="2"/>
    </row>
    <row r="468" spans="1:16" x14ac:dyDescent="0.4">
      <c r="A468">
        <v>2016</v>
      </c>
      <c r="B468" s="5" t="s">
        <v>425</v>
      </c>
      <c r="C468" s="5" t="s">
        <v>712</v>
      </c>
      <c r="D468" s="25" t="s">
        <v>68</v>
      </c>
      <c r="E468" s="64" t="s">
        <v>73</v>
      </c>
      <c r="F468" s="30">
        <v>37</v>
      </c>
      <c r="G468" s="30">
        <v>18</v>
      </c>
      <c r="H468" s="30">
        <v>19</v>
      </c>
      <c r="J468" s="2"/>
      <c r="K468" s="2"/>
      <c r="L468" s="2"/>
      <c r="M468" s="2"/>
      <c r="N468" s="2"/>
      <c r="O468" s="2"/>
      <c r="P468" s="2"/>
    </row>
    <row r="469" spans="1:16" x14ac:dyDescent="0.4">
      <c r="A469">
        <v>2016</v>
      </c>
      <c r="B469" s="5" t="s">
        <v>426</v>
      </c>
      <c r="C469" s="5" t="s">
        <v>712</v>
      </c>
      <c r="D469" s="25" t="s">
        <v>68</v>
      </c>
      <c r="E469" s="64" t="s">
        <v>74</v>
      </c>
      <c r="F469" s="30">
        <v>606</v>
      </c>
      <c r="G469" s="30">
        <v>369</v>
      </c>
      <c r="H469" s="30">
        <v>237</v>
      </c>
      <c r="J469" s="2"/>
      <c r="K469" s="2"/>
      <c r="L469" s="2"/>
      <c r="M469" s="2"/>
      <c r="N469" s="2"/>
      <c r="O469" s="2"/>
      <c r="P469" s="2"/>
    </row>
    <row r="470" spans="1:16" x14ac:dyDescent="0.4">
      <c r="A470">
        <v>2016</v>
      </c>
      <c r="B470" s="5" t="s">
        <v>427</v>
      </c>
      <c r="C470" s="5" t="s">
        <v>712</v>
      </c>
      <c r="D470" s="25" t="s">
        <v>68</v>
      </c>
      <c r="E470" s="64" t="s">
        <v>75</v>
      </c>
      <c r="F470" s="30">
        <v>83</v>
      </c>
      <c r="G470" s="30">
        <v>59</v>
      </c>
      <c r="H470" s="30">
        <v>24</v>
      </c>
      <c r="J470" s="2"/>
      <c r="K470" s="2"/>
      <c r="L470" s="2"/>
      <c r="M470" s="2"/>
      <c r="N470" s="2"/>
      <c r="O470" s="2"/>
      <c r="P470" s="2"/>
    </row>
    <row r="471" spans="1:16" x14ac:dyDescent="0.4">
      <c r="A471">
        <v>2016</v>
      </c>
      <c r="B471" s="5" t="s">
        <v>428</v>
      </c>
      <c r="C471" s="5" t="s">
        <v>712</v>
      </c>
      <c r="D471" s="25" t="s">
        <v>68</v>
      </c>
      <c r="E471" s="64" t="s">
        <v>76</v>
      </c>
      <c r="F471" s="30">
        <v>196</v>
      </c>
      <c r="G471" s="30">
        <v>141</v>
      </c>
      <c r="H471" s="30">
        <v>55</v>
      </c>
      <c r="J471" s="2"/>
      <c r="K471" s="2"/>
      <c r="L471" s="2"/>
      <c r="M471" s="2"/>
      <c r="N471" s="2"/>
      <c r="O471" s="2"/>
      <c r="P471" s="2"/>
    </row>
    <row r="472" spans="1:16" x14ac:dyDescent="0.4">
      <c r="A472">
        <v>2016</v>
      </c>
      <c r="B472" s="5" t="s">
        <v>429</v>
      </c>
      <c r="C472" s="5" t="s">
        <v>712</v>
      </c>
      <c r="D472" s="25" t="s">
        <v>68</v>
      </c>
      <c r="E472" s="64" t="s">
        <v>77</v>
      </c>
      <c r="F472" s="30">
        <v>327</v>
      </c>
      <c r="G472" s="30">
        <v>257</v>
      </c>
      <c r="H472" s="30">
        <v>70</v>
      </c>
      <c r="J472" s="2"/>
      <c r="K472" s="2"/>
      <c r="L472" s="2"/>
      <c r="M472" s="2"/>
      <c r="N472" s="2"/>
      <c r="O472" s="2"/>
      <c r="P472" s="2"/>
    </row>
    <row r="473" spans="1:16" x14ac:dyDescent="0.4">
      <c r="A473">
        <v>2016</v>
      </c>
      <c r="B473" s="5" t="s">
        <v>430</v>
      </c>
      <c r="C473" s="5" t="s">
        <v>712</v>
      </c>
      <c r="D473" s="25" t="s">
        <v>68</v>
      </c>
      <c r="E473" s="64" t="s">
        <v>51</v>
      </c>
      <c r="F473" s="30">
        <v>20</v>
      </c>
      <c r="G473" s="30">
        <v>14</v>
      </c>
      <c r="H473" s="30">
        <v>6</v>
      </c>
      <c r="J473" s="2"/>
      <c r="K473" s="2"/>
      <c r="L473" s="2"/>
      <c r="M473" s="2"/>
      <c r="N473" s="2"/>
      <c r="O473" s="2"/>
      <c r="P473" s="2"/>
    </row>
    <row r="474" spans="1:16" x14ac:dyDescent="0.4">
      <c r="A474">
        <v>2016</v>
      </c>
      <c r="B474" s="5" t="s">
        <v>431</v>
      </c>
      <c r="C474" s="5" t="s">
        <v>713</v>
      </c>
      <c r="D474" s="25" t="s">
        <v>79</v>
      </c>
      <c r="E474" s="64" t="s">
        <v>78</v>
      </c>
      <c r="F474" s="30">
        <v>435</v>
      </c>
      <c r="G474" s="30">
        <v>264</v>
      </c>
      <c r="H474" s="30">
        <v>171</v>
      </c>
      <c r="J474" s="2"/>
      <c r="K474" s="2"/>
      <c r="L474" s="2"/>
      <c r="M474" s="2"/>
      <c r="N474" s="2"/>
      <c r="O474" s="2"/>
      <c r="P474" s="2"/>
    </row>
    <row r="475" spans="1:16" x14ac:dyDescent="0.4">
      <c r="A475">
        <v>2016</v>
      </c>
      <c r="B475" s="5" t="s">
        <v>432</v>
      </c>
      <c r="C475" s="5" t="s">
        <v>713</v>
      </c>
      <c r="D475" s="25" t="s">
        <v>79</v>
      </c>
      <c r="E475" s="64" t="s">
        <v>80</v>
      </c>
      <c r="F475" s="30">
        <v>755</v>
      </c>
      <c r="G475" s="30">
        <v>551</v>
      </c>
      <c r="H475" s="30">
        <v>204</v>
      </c>
      <c r="J475" s="2"/>
      <c r="K475" s="2"/>
      <c r="L475" s="2"/>
      <c r="M475" s="2"/>
      <c r="N475" s="2"/>
      <c r="O475" s="2"/>
      <c r="P475" s="2"/>
    </row>
    <row r="476" spans="1:16" x14ac:dyDescent="0.4">
      <c r="A476">
        <v>2016</v>
      </c>
      <c r="B476" s="5" t="s">
        <v>433</v>
      </c>
      <c r="C476" s="5" t="s">
        <v>713</v>
      </c>
      <c r="D476" s="25" t="s">
        <v>79</v>
      </c>
      <c r="E476" s="64" t="s">
        <v>81</v>
      </c>
      <c r="F476" s="30">
        <v>681</v>
      </c>
      <c r="G476" s="30">
        <v>459</v>
      </c>
      <c r="H476" s="30">
        <v>222</v>
      </c>
      <c r="J476" s="2"/>
      <c r="K476" s="2"/>
      <c r="L476" s="2"/>
      <c r="M476" s="2"/>
      <c r="N476" s="2"/>
      <c r="O476" s="2"/>
      <c r="P476" s="2"/>
    </row>
    <row r="477" spans="1:16" x14ac:dyDescent="0.4">
      <c r="A477">
        <v>2016</v>
      </c>
      <c r="B477" s="5" t="s">
        <v>434</v>
      </c>
      <c r="C477" s="5" t="s">
        <v>713</v>
      </c>
      <c r="D477" s="25" t="s">
        <v>79</v>
      </c>
      <c r="E477" s="64" t="s">
        <v>82</v>
      </c>
      <c r="F477" s="30">
        <v>1006</v>
      </c>
      <c r="G477" s="30">
        <v>670</v>
      </c>
      <c r="H477" s="30">
        <v>336</v>
      </c>
      <c r="J477" s="2"/>
      <c r="K477" s="2"/>
      <c r="L477" s="2"/>
      <c r="M477" s="2"/>
      <c r="N477" s="2"/>
      <c r="O477" s="2"/>
      <c r="P477" s="2"/>
    </row>
    <row r="478" spans="1:16" x14ac:dyDescent="0.4">
      <c r="A478">
        <v>2016</v>
      </c>
      <c r="B478" s="5" t="s">
        <v>435</v>
      </c>
      <c r="C478" s="5" t="s">
        <v>713</v>
      </c>
      <c r="D478" s="25" t="s">
        <v>79</v>
      </c>
      <c r="E478" s="64" t="s">
        <v>83</v>
      </c>
      <c r="F478" s="30">
        <v>270</v>
      </c>
      <c r="G478" s="30">
        <v>180</v>
      </c>
      <c r="H478" s="30">
        <v>90</v>
      </c>
      <c r="J478" s="2"/>
      <c r="K478" s="2"/>
      <c r="L478" s="2"/>
      <c r="M478" s="2"/>
      <c r="N478" s="2"/>
      <c r="O478" s="2"/>
      <c r="P478" s="2"/>
    </row>
    <row r="479" spans="1:16" x14ac:dyDescent="0.4">
      <c r="A479">
        <v>2016</v>
      </c>
      <c r="B479" s="5" t="s">
        <v>436</v>
      </c>
      <c r="C479" s="5" t="s">
        <v>713</v>
      </c>
      <c r="D479" s="25" t="s">
        <v>79</v>
      </c>
      <c r="E479" s="64" t="s">
        <v>44</v>
      </c>
      <c r="F479" s="30">
        <v>751</v>
      </c>
      <c r="G479" s="30">
        <v>543</v>
      </c>
      <c r="H479" s="30">
        <v>208</v>
      </c>
      <c r="J479" s="2"/>
      <c r="K479" s="2"/>
      <c r="L479" s="2"/>
      <c r="M479" s="2"/>
      <c r="N479" s="2"/>
      <c r="O479" s="2"/>
      <c r="P479" s="2"/>
    </row>
    <row r="480" spans="1:16" x14ac:dyDescent="0.4">
      <c r="A480">
        <v>2016</v>
      </c>
      <c r="B480" s="5" t="s">
        <v>437</v>
      </c>
      <c r="C480" s="5" t="s">
        <v>713</v>
      </c>
      <c r="D480" s="25" t="s">
        <v>79</v>
      </c>
      <c r="E480" s="64" t="s">
        <v>84</v>
      </c>
      <c r="F480" s="30">
        <v>509</v>
      </c>
      <c r="G480" s="30">
        <v>346</v>
      </c>
      <c r="H480" s="30">
        <v>163</v>
      </c>
      <c r="J480" s="2"/>
      <c r="K480" s="2"/>
      <c r="L480" s="2"/>
      <c r="M480" s="2"/>
      <c r="N480" s="2"/>
      <c r="O480" s="2"/>
      <c r="P480" s="2"/>
    </row>
    <row r="481" spans="1:16" x14ac:dyDescent="0.4">
      <c r="A481">
        <v>2016</v>
      </c>
      <c r="B481" s="5" t="s">
        <v>438</v>
      </c>
      <c r="C481" s="5" t="s">
        <v>713</v>
      </c>
      <c r="D481" s="25" t="s">
        <v>79</v>
      </c>
      <c r="E481" s="64" t="s">
        <v>85</v>
      </c>
      <c r="F481" s="30">
        <v>127</v>
      </c>
      <c r="G481" s="30">
        <v>84</v>
      </c>
      <c r="H481" s="30">
        <v>43</v>
      </c>
      <c r="J481" s="2"/>
      <c r="K481" s="2"/>
      <c r="L481" s="2"/>
      <c r="M481" s="2"/>
      <c r="N481" s="2"/>
      <c r="O481" s="2"/>
      <c r="P481" s="2"/>
    </row>
    <row r="482" spans="1:16" x14ac:dyDescent="0.4">
      <c r="A482">
        <v>2016</v>
      </c>
      <c r="B482" s="5" t="s">
        <v>439</v>
      </c>
      <c r="C482" s="5" t="s">
        <v>713</v>
      </c>
      <c r="D482" s="25" t="s">
        <v>79</v>
      </c>
      <c r="E482" s="64" t="s">
        <v>86</v>
      </c>
      <c r="F482" s="30">
        <v>82</v>
      </c>
      <c r="G482" s="30">
        <v>44</v>
      </c>
      <c r="H482" s="30">
        <v>38</v>
      </c>
      <c r="J482" s="2"/>
      <c r="K482" s="2"/>
      <c r="L482" s="2"/>
      <c r="M482" s="2"/>
      <c r="N482" s="2"/>
      <c r="O482" s="2"/>
      <c r="P482" s="2"/>
    </row>
    <row r="483" spans="1:16" x14ac:dyDescent="0.4">
      <c r="A483">
        <v>2016</v>
      </c>
      <c r="B483" s="5" t="s">
        <v>440</v>
      </c>
      <c r="C483" s="5" t="s">
        <v>713</v>
      </c>
      <c r="D483" s="25" t="s">
        <v>79</v>
      </c>
      <c r="E483" s="64" t="s">
        <v>87</v>
      </c>
      <c r="F483" s="30">
        <v>2477</v>
      </c>
      <c r="G483" s="30">
        <v>1.3320000000000001</v>
      </c>
      <c r="H483" s="30">
        <v>1.145</v>
      </c>
      <c r="J483" s="2"/>
      <c r="K483" s="2"/>
      <c r="L483" s="2"/>
      <c r="M483" s="2"/>
      <c r="N483" s="2"/>
      <c r="O483" s="2"/>
      <c r="P483" s="2"/>
    </row>
    <row r="484" spans="1:16" x14ac:dyDescent="0.4">
      <c r="A484">
        <v>2016</v>
      </c>
      <c r="B484" s="5" t="s">
        <v>441</v>
      </c>
      <c r="C484" s="5" t="s">
        <v>713</v>
      </c>
      <c r="D484" s="25" t="s">
        <v>79</v>
      </c>
      <c r="E484" s="64" t="s">
        <v>88</v>
      </c>
      <c r="F484" s="30">
        <v>1744</v>
      </c>
      <c r="G484" s="30">
        <v>1.0609999999999999</v>
      </c>
      <c r="H484" s="30">
        <v>683</v>
      </c>
      <c r="J484" s="2"/>
      <c r="K484" s="2"/>
      <c r="L484" s="2"/>
      <c r="M484" s="2"/>
      <c r="N484" s="2"/>
      <c r="O484" s="2"/>
      <c r="P484" s="2"/>
    </row>
    <row r="485" spans="1:16" x14ac:dyDescent="0.4">
      <c r="A485">
        <v>2016</v>
      </c>
      <c r="B485" s="5" t="s">
        <v>442</v>
      </c>
      <c r="C485" s="5" t="s">
        <v>713</v>
      </c>
      <c r="D485" s="25" t="s">
        <v>79</v>
      </c>
      <c r="E485" s="64" t="s">
        <v>89</v>
      </c>
      <c r="F485" s="30">
        <v>454</v>
      </c>
      <c r="G485" s="30">
        <v>235</v>
      </c>
      <c r="H485" s="30">
        <v>219</v>
      </c>
      <c r="J485" s="2"/>
      <c r="K485" s="2"/>
      <c r="L485" s="2"/>
      <c r="M485" s="2"/>
      <c r="N485" s="2"/>
      <c r="O485" s="2"/>
      <c r="P485" s="2"/>
    </row>
    <row r="486" spans="1:16" x14ac:dyDescent="0.4">
      <c r="A486">
        <v>2016</v>
      </c>
      <c r="B486" s="5" t="s">
        <v>443</v>
      </c>
      <c r="C486" s="5" t="s">
        <v>713</v>
      </c>
      <c r="D486" s="25" t="s">
        <v>79</v>
      </c>
      <c r="E486" s="64" t="s">
        <v>90</v>
      </c>
      <c r="F486" s="30">
        <v>249</v>
      </c>
      <c r="G486" s="30">
        <v>167</v>
      </c>
      <c r="H486" s="30">
        <v>82</v>
      </c>
      <c r="J486" s="2"/>
      <c r="K486" s="2"/>
      <c r="L486" s="2"/>
      <c r="M486" s="2"/>
      <c r="N486" s="2"/>
      <c r="O486" s="2"/>
      <c r="P486" s="2"/>
    </row>
    <row r="487" spans="1:16" x14ac:dyDescent="0.4">
      <c r="A487">
        <v>2016</v>
      </c>
      <c r="B487" s="5" t="s">
        <v>444</v>
      </c>
      <c r="C487" s="5" t="s">
        <v>713</v>
      </c>
      <c r="D487" s="25" t="s">
        <v>79</v>
      </c>
      <c r="E487" s="65" t="s">
        <v>91</v>
      </c>
      <c r="F487" s="31">
        <v>7257</v>
      </c>
      <c r="G487" s="31">
        <v>4.4429999999999996</v>
      </c>
      <c r="H487" s="31">
        <v>2.8140000000000001</v>
      </c>
      <c r="J487" s="2"/>
      <c r="K487" s="2"/>
      <c r="L487" s="2"/>
      <c r="M487" s="2"/>
      <c r="N487" s="2"/>
      <c r="O487" s="2"/>
      <c r="P487" s="2"/>
    </row>
    <row r="488" spans="1:16" x14ac:dyDescent="0.4">
      <c r="A488">
        <v>2016</v>
      </c>
      <c r="B488" s="5" t="s">
        <v>445</v>
      </c>
      <c r="C488" s="5" t="s">
        <v>714</v>
      </c>
      <c r="D488" s="25" t="s">
        <v>93</v>
      </c>
      <c r="E488" s="64" t="s">
        <v>92</v>
      </c>
      <c r="F488" s="30">
        <v>37</v>
      </c>
      <c r="G488" s="30">
        <v>19</v>
      </c>
      <c r="H488" s="30">
        <v>18</v>
      </c>
      <c r="J488" s="2"/>
      <c r="K488" s="2"/>
      <c r="L488" s="2"/>
      <c r="M488" s="2"/>
      <c r="N488" s="2"/>
      <c r="O488" s="2"/>
      <c r="P488" s="2"/>
    </row>
    <row r="489" spans="1:16" x14ac:dyDescent="0.4">
      <c r="A489">
        <v>2016</v>
      </c>
      <c r="B489" s="5" t="s">
        <v>446</v>
      </c>
      <c r="C489" s="5" t="s">
        <v>714</v>
      </c>
      <c r="D489" s="25" t="s">
        <v>93</v>
      </c>
      <c r="E489" s="64" t="s">
        <v>94</v>
      </c>
      <c r="F489" s="30">
        <v>590</v>
      </c>
      <c r="G489" s="30">
        <v>384</v>
      </c>
      <c r="H489" s="30">
        <v>206</v>
      </c>
      <c r="J489" s="2"/>
      <c r="K489" s="2"/>
      <c r="L489" s="2"/>
      <c r="M489" s="2"/>
      <c r="N489" s="2"/>
      <c r="O489" s="2"/>
      <c r="P489" s="2"/>
    </row>
    <row r="490" spans="1:16" x14ac:dyDescent="0.4">
      <c r="A490">
        <v>2016</v>
      </c>
      <c r="B490" s="5" t="s">
        <v>447</v>
      </c>
      <c r="C490" s="5" t="s">
        <v>714</v>
      </c>
      <c r="D490" s="25" t="s">
        <v>93</v>
      </c>
      <c r="E490" s="64" t="s">
        <v>40</v>
      </c>
      <c r="F490" s="30">
        <v>44</v>
      </c>
      <c r="G490" s="30">
        <v>29</v>
      </c>
      <c r="H490" s="30">
        <v>15</v>
      </c>
      <c r="J490" s="2"/>
      <c r="K490" s="2"/>
      <c r="L490" s="2"/>
      <c r="M490" s="2"/>
      <c r="N490" s="2"/>
      <c r="O490" s="2"/>
      <c r="P490" s="2"/>
    </row>
    <row r="491" spans="1:16" x14ac:dyDescent="0.4">
      <c r="A491">
        <v>2016</v>
      </c>
      <c r="B491" s="5" t="s">
        <v>448</v>
      </c>
      <c r="C491" s="5" t="s">
        <v>714</v>
      </c>
      <c r="D491" s="25" t="s">
        <v>93</v>
      </c>
      <c r="E491" s="64" t="s">
        <v>95</v>
      </c>
      <c r="F491" s="30">
        <v>33</v>
      </c>
      <c r="G491" s="30">
        <v>19</v>
      </c>
      <c r="H491" s="30">
        <v>14</v>
      </c>
      <c r="J491" s="2"/>
      <c r="K491" s="2"/>
      <c r="L491" s="2"/>
      <c r="M491" s="2"/>
      <c r="N491" s="2"/>
      <c r="O491" s="2"/>
      <c r="P491" s="2"/>
    </row>
    <row r="492" spans="1:16" x14ac:dyDescent="0.4">
      <c r="A492">
        <v>2016</v>
      </c>
      <c r="B492" s="5" t="s">
        <v>449</v>
      </c>
      <c r="C492" s="5" t="s">
        <v>714</v>
      </c>
      <c r="D492" s="25" t="s">
        <v>93</v>
      </c>
      <c r="E492" s="64" t="s">
        <v>96</v>
      </c>
      <c r="F492" s="30">
        <v>53</v>
      </c>
      <c r="G492" s="30">
        <v>42</v>
      </c>
      <c r="H492" s="30">
        <v>11</v>
      </c>
      <c r="J492" s="2"/>
      <c r="K492" s="2"/>
      <c r="L492" s="2"/>
      <c r="M492" s="2"/>
      <c r="N492" s="2"/>
      <c r="O492" s="2"/>
      <c r="P492" s="2"/>
    </row>
    <row r="493" spans="1:16" x14ac:dyDescent="0.4">
      <c r="A493">
        <v>2016</v>
      </c>
      <c r="B493" s="5" t="s">
        <v>450</v>
      </c>
      <c r="C493" s="5" t="s">
        <v>714</v>
      </c>
      <c r="D493" s="25" t="s">
        <v>93</v>
      </c>
      <c r="E493" s="64" t="s">
        <v>97</v>
      </c>
      <c r="F493" s="30">
        <v>43</v>
      </c>
      <c r="G493" s="30">
        <v>29</v>
      </c>
      <c r="H493" s="30">
        <v>14</v>
      </c>
      <c r="J493" s="2"/>
      <c r="K493" s="2"/>
      <c r="L493" s="2"/>
      <c r="M493" s="2"/>
      <c r="N493" s="2"/>
      <c r="O493" s="2"/>
      <c r="P493" s="2"/>
    </row>
    <row r="494" spans="1:16" x14ac:dyDescent="0.4">
      <c r="A494">
        <v>2016</v>
      </c>
      <c r="B494" s="5" t="s">
        <v>451</v>
      </c>
      <c r="C494" s="5" t="s">
        <v>714</v>
      </c>
      <c r="D494" s="25" t="s">
        <v>93</v>
      </c>
      <c r="E494" s="64" t="s">
        <v>34</v>
      </c>
      <c r="F494" s="30">
        <v>67</v>
      </c>
      <c r="G494" s="30">
        <v>46</v>
      </c>
      <c r="H494" s="30">
        <v>21</v>
      </c>
      <c r="J494" s="2"/>
      <c r="K494" s="2"/>
      <c r="L494" s="2"/>
      <c r="M494" s="2"/>
      <c r="N494" s="2"/>
      <c r="O494" s="2"/>
      <c r="P494" s="2"/>
    </row>
    <row r="495" spans="1:16" x14ac:dyDescent="0.4">
      <c r="A495">
        <v>2016</v>
      </c>
      <c r="B495" s="5" t="s">
        <v>452</v>
      </c>
      <c r="C495" s="5" t="s">
        <v>714</v>
      </c>
      <c r="D495" s="25" t="s">
        <v>93</v>
      </c>
      <c r="E495" s="64" t="s">
        <v>98</v>
      </c>
      <c r="F495" s="30">
        <v>1068</v>
      </c>
      <c r="G495" s="30">
        <v>644</v>
      </c>
      <c r="H495" s="30">
        <v>424</v>
      </c>
      <c r="J495" s="2"/>
      <c r="K495" s="2"/>
      <c r="L495" s="2"/>
      <c r="M495" s="2"/>
      <c r="N495" s="2"/>
      <c r="O495" s="2"/>
      <c r="P495" s="2"/>
    </row>
    <row r="496" spans="1:16" x14ac:dyDescent="0.4">
      <c r="A496">
        <v>2016</v>
      </c>
      <c r="B496" s="5" t="s">
        <v>453</v>
      </c>
      <c r="C496" s="5" t="s">
        <v>714</v>
      </c>
      <c r="D496" s="25" t="s">
        <v>93</v>
      </c>
      <c r="E496" s="64" t="s">
        <v>99</v>
      </c>
      <c r="F496" s="30">
        <v>113</v>
      </c>
      <c r="G496" s="30">
        <v>86</v>
      </c>
      <c r="H496" s="30">
        <v>27</v>
      </c>
      <c r="J496" s="2"/>
      <c r="K496" s="2"/>
      <c r="L496" s="2"/>
      <c r="M496" s="2"/>
      <c r="N496" s="2"/>
      <c r="O496" s="2"/>
      <c r="P496" s="2"/>
    </row>
    <row r="497" spans="1:16" x14ac:dyDescent="0.4">
      <c r="A497">
        <v>2016</v>
      </c>
      <c r="B497" s="5" t="s">
        <v>454</v>
      </c>
      <c r="C497" s="5" t="s">
        <v>715</v>
      </c>
      <c r="D497" s="25" t="s">
        <v>101</v>
      </c>
      <c r="E497" s="64" t="s">
        <v>100</v>
      </c>
      <c r="F497" s="30">
        <v>19</v>
      </c>
      <c r="G497" s="30">
        <v>15</v>
      </c>
      <c r="H497" s="30">
        <v>4</v>
      </c>
      <c r="J497" s="2"/>
      <c r="K497" s="2"/>
      <c r="L497" s="2"/>
      <c r="M497" s="2"/>
      <c r="N497" s="2"/>
      <c r="O497" s="2"/>
      <c r="P497" s="2"/>
    </row>
    <row r="498" spans="1:16" x14ac:dyDescent="0.4">
      <c r="A498">
        <v>2016</v>
      </c>
      <c r="B498" s="5" t="s">
        <v>455</v>
      </c>
      <c r="C498" s="5" t="s">
        <v>715</v>
      </c>
      <c r="D498" s="25" t="s">
        <v>101</v>
      </c>
      <c r="E498" s="64" t="s">
        <v>102</v>
      </c>
      <c r="F498" s="30">
        <v>110</v>
      </c>
      <c r="G498" s="30">
        <v>76</v>
      </c>
      <c r="H498" s="30">
        <v>34</v>
      </c>
      <c r="J498" s="2"/>
      <c r="K498" s="2"/>
      <c r="L498" s="2"/>
      <c r="M498" s="2"/>
      <c r="N498" s="2"/>
      <c r="O498" s="2"/>
      <c r="P498" s="2"/>
    </row>
    <row r="499" spans="1:16" x14ac:dyDescent="0.4">
      <c r="A499">
        <v>2016</v>
      </c>
      <c r="B499" s="5" t="s">
        <v>456</v>
      </c>
      <c r="C499" s="5" t="s">
        <v>715</v>
      </c>
      <c r="D499" s="25" t="s">
        <v>101</v>
      </c>
      <c r="E499" s="64" t="s">
        <v>103</v>
      </c>
      <c r="F499" s="30">
        <v>23</v>
      </c>
      <c r="G499" s="30">
        <v>8</v>
      </c>
      <c r="H499" s="30">
        <v>15</v>
      </c>
      <c r="J499" s="2"/>
      <c r="K499" s="2"/>
      <c r="L499" s="2"/>
      <c r="M499" s="2"/>
      <c r="N499" s="2"/>
      <c r="O499" s="2"/>
      <c r="P499" s="2"/>
    </row>
    <row r="500" spans="1:16" x14ac:dyDescent="0.4">
      <c r="A500">
        <v>2016</v>
      </c>
      <c r="B500" s="5" t="s">
        <v>457</v>
      </c>
      <c r="C500" s="5" t="s">
        <v>715</v>
      </c>
      <c r="D500" s="25" t="s">
        <v>101</v>
      </c>
      <c r="E500" s="64" t="s">
        <v>104</v>
      </c>
      <c r="F500" s="30">
        <v>637</v>
      </c>
      <c r="G500" s="30">
        <v>375</v>
      </c>
      <c r="H500" s="30">
        <v>262</v>
      </c>
      <c r="J500" s="2"/>
      <c r="K500" s="2"/>
      <c r="L500" s="2"/>
      <c r="M500" s="2"/>
      <c r="N500" s="2"/>
      <c r="O500" s="2"/>
      <c r="P500" s="2"/>
    </row>
    <row r="501" spans="1:16" x14ac:dyDescent="0.4">
      <c r="A501">
        <v>2016</v>
      </c>
      <c r="B501" s="5" t="s">
        <v>458</v>
      </c>
      <c r="C501" s="5" t="s">
        <v>716</v>
      </c>
      <c r="D501" s="25" t="s">
        <v>129</v>
      </c>
      <c r="E501" s="64" t="s">
        <v>128</v>
      </c>
      <c r="F501" s="30">
        <v>76</v>
      </c>
      <c r="G501" s="30">
        <v>42</v>
      </c>
      <c r="H501" s="30">
        <v>34</v>
      </c>
      <c r="J501" s="2"/>
      <c r="K501" s="2"/>
      <c r="L501" s="2"/>
      <c r="M501" s="2"/>
      <c r="N501" s="2"/>
      <c r="O501" s="2"/>
      <c r="P501" s="2"/>
    </row>
    <row r="502" spans="1:16" x14ac:dyDescent="0.4">
      <c r="A502">
        <v>2016</v>
      </c>
      <c r="B502" s="5" t="s">
        <v>459</v>
      </c>
      <c r="C502" s="5" t="s">
        <v>716</v>
      </c>
      <c r="D502" s="25" t="s">
        <v>129</v>
      </c>
      <c r="E502" s="64" t="s">
        <v>36</v>
      </c>
      <c r="F502" s="30">
        <v>33</v>
      </c>
      <c r="G502" s="30">
        <v>24</v>
      </c>
      <c r="H502" s="30">
        <v>9</v>
      </c>
      <c r="J502" s="2"/>
      <c r="K502" s="2"/>
      <c r="L502" s="2"/>
      <c r="M502" s="2"/>
      <c r="N502" s="2"/>
      <c r="O502" s="2"/>
      <c r="P502" s="2"/>
    </row>
    <row r="503" spans="1:16" x14ac:dyDescent="0.4">
      <c r="A503">
        <v>2016</v>
      </c>
      <c r="B503" s="5" t="s">
        <v>460</v>
      </c>
      <c r="C503" s="5" t="s">
        <v>716</v>
      </c>
      <c r="D503" s="25" t="s">
        <v>129</v>
      </c>
      <c r="E503" s="64" t="s">
        <v>130</v>
      </c>
      <c r="F503" s="30">
        <v>77</v>
      </c>
      <c r="G503" s="30">
        <v>51</v>
      </c>
      <c r="H503" s="30">
        <v>26</v>
      </c>
      <c r="J503" s="2"/>
      <c r="K503" s="2"/>
      <c r="L503" s="2"/>
      <c r="M503" s="2"/>
      <c r="N503" s="2"/>
      <c r="O503" s="2"/>
      <c r="P503" s="2"/>
    </row>
    <row r="504" spans="1:16" x14ac:dyDescent="0.4">
      <c r="A504">
        <v>2016</v>
      </c>
      <c r="B504" s="5" t="s">
        <v>461</v>
      </c>
      <c r="C504" s="5" t="s">
        <v>716</v>
      </c>
      <c r="D504" s="25" t="s">
        <v>129</v>
      </c>
      <c r="E504" s="64" t="s">
        <v>131</v>
      </c>
      <c r="F504" s="30">
        <v>36</v>
      </c>
      <c r="G504" s="30">
        <v>21</v>
      </c>
      <c r="H504" s="30">
        <v>15</v>
      </c>
      <c r="J504" s="2"/>
      <c r="K504" s="2"/>
      <c r="L504" s="2"/>
      <c r="M504" s="2"/>
      <c r="N504" s="2"/>
      <c r="O504" s="2"/>
      <c r="P504" s="2"/>
    </row>
    <row r="505" spans="1:16" x14ac:dyDescent="0.4">
      <c r="A505">
        <v>2016</v>
      </c>
      <c r="B505" s="5" t="s">
        <v>462</v>
      </c>
      <c r="C505" s="5" t="s">
        <v>716</v>
      </c>
      <c r="D505" s="25" t="s">
        <v>129</v>
      </c>
      <c r="E505" s="64" t="s">
        <v>132</v>
      </c>
      <c r="F505" s="30">
        <v>1837</v>
      </c>
      <c r="G505" s="30">
        <v>1.0880000000000001</v>
      </c>
      <c r="H505" s="30">
        <v>749</v>
      </c>
      <c r="J505" s="2"/>
      <c r="K505" s="2"/>
      <c r="L505" s="2"/>
      <c r="M505" s="2"/>
      <c r="N505" s="2"/>
      <c r="O505" s="2"/>
      <c r="P505" s="2"/>
    </row>
    <row r="506" spans="1:16" x14ac:dyDescent="0.4">
      <c r="A506">
        <v>2016</v>
      </c>
      <c r="B506" s="5" t="s">
        <v>463</v>
      </c>
      <c r="C506" s="5" t="s">
        <v>716</v>
      </c>
      <c r="D506" s="25" t="s">
        <v>129</v>
      </c>
      <c r="E506" s="64" t="s">
        <v>133</v>
      </c>
      <c r="F506" s="30">
        <v>136</v>
      </c>
      <c r="G506" s="30">
        <v>87</v>
      </c>
      <c r="H506" s="30">
        <v>49</v>
      </c>
      <c r="J506" s="2"/>
      <c r="K506" s="2"/>
      <c r="L506" s="2"/>
      <c r="M506" s="2"/>
      <c r="N506" s="2"/>
      <c r="O506" s="2"/>
      <c r="P506" s="2"/>
    </row>
    <row r="507" spans="1:16" x14ac:dyDescent="0.4">
      <c r="A507">
        <v>2016</v>
      </c>
      <c r="B507" s="5" t="s">
        <v>464</v>
      </c>
      <c r="C507" s="5" t="s">
        <v>716</v>
      </c>
      <c r="D507" s="25" t="s">
        <v>129</v>
      </c>
      <c r="E507" s="64" t="s">
        <v>134</v>
      </c>
      <c r="F507" s="30">
        <v>70</v>
      </c>
      <c r="G507" s="30">
        <v>37</v>
      </c>
      <c r="H507" s="30">
        <v>33</v>
      </c>
      <c r="J507" s="2"/>
      <c r="K507" s="2"/>
      <c r="L507" s="2"/>
      <c r="M507" s="2"/>
      <c r="N507" s="2"/>
      <c r="O507" s="2"/>
      <c r="P507" s="2"/>
    </row>
    <row r="508" spans="1:16" x14ac:dyDescent="0.4">
      <c r="A508">
        <v>2016</v>
      </c>
      <c r="B508" s="5" t="s">
        <v>465</v>
      </c>
      <c r="C508" s="5" t="s">
        <v>716</v>
      </c>
      <c r="D508" s="25" t="s">
        <v>129</v>
      </c>
      <c r="E508" s="64" t="s">
        <v>135</v>
      </c>
      <c r="F508" s="30">
        <v>37</v>
      </c>
      <c r="G508" s="30">
        <v>20</v>
      </c>
      <c r="H508" s="30">
        <v>17</v>
      </c>
      <c r="J508" s="2"/>
      <c r="K508" s="2"/>
      <c r="L508" s="2"/>
      <c r="M508" s="2"/>
      <c r="N508" s="2"/>
      <c r="O508" s="2"/>
      <c r="P508" s="2"/>
    </row>
    <row r="509" spans="1:16" x14ac:dyDescent="0.4">
      <c r="A509">
        <v>2016</v>
      </c>
      <c r="B509" s="5" t="s">
        <v>466</v>
      </c>
      <c r="C509" s="5" t="s">
        <v>716</v>
      </c>
      <c r="D509" s="25" t="s">
        <v>129</v>
      </c>
      <c r="E509" s="64" t="s">
        <v>94</v>
      </c>
      <c r="F509" s="30">
        <v>212</v>
      </c>
      <c r="G509" s="30">
        <v>131</v>
      </c>
      <c r="H509" s="30">
        <v>81</v>
      </c>
      <c r="J509" s="2"/>
      <c r="K509" s="2"/>
      <c r="L509" s="2"/>
      <c r="M509" s="2"/>
      <c r="N509" s="2"/>
      <c r="O509" s="2"/>
      <c r="P509" s="2"/>
    </row>
    <row r="510" spans="1:16" x14ac:dyDescent="0.4">
      <c r="A510">
        <v>2016</v>
      </c>
      <c r="B510" s="5" t="s">
        <v>467</v>
      </c>
      <c r="C510" s="5" t="s">
        <v>716</v>
      </c>
      <c r="D510" s="25" t="s">
        <v>129</v>
      </c>
      <c r="E510" s="64" t="s">
        <v>136</v>
      </c>
      <c r="F510" s="30">
        <v>139</v>
      </c>
      <c r="G510" s="30">
        <v>84</v>
      </c>
      <c r="H510" s="30">
        <v>55</v>
      </c>
      <c r="J510" s="2"/>
      <c r="K510" s="2"/>
      <c r="L510" s="2"/>
      <c r="M510" s="2"/>
      <c r="N510" s="2"/>
      <c r="O510" s="2"/>
      <c r="P510" s="2"/>
    </row>
    <row r="511" spans="1:16" x14ac:dyDescent="0.4">
      <c r="A511">
        <v>2016</v>
      </c>
      <c r="B511" s="5" t="s">
        <v>468</v>
      </c>
      <c r="C511" s="5" t="s">
        <v>716</v>
      </c>
      <c r="D511" s="25" t="s">
        <v>129</v>
      </c>
      <c r="E511" s="64" t="s">
        <v>137</v>
      </c>
      <c r="F511" s="30">
        <v>23</v>
      </c>
      <c r="G511" s="30">
        <v>19</v>
      </c>
      <c r="H511" s="30">
        <v>4</v>
      </c>
      <c r="J511" s="2"/>
      <c r="K511" s="2"/>
      <c r="L511" s="2"/>
      <c r="M511" s="2"/>
      <c r="N511" s="2"/>
      <c r="O511" s="2"/>
      <c r="P511" s="2"/>
    </row>
    <row r="512" spans="1:16" x14ac:dyDescent="0.4">
      <c r="A512">
        <v>2016</v>
      </c>
      <c r="B512" s="5" t="s">
        <v>469</v>
      </c>
      <c r="C512" s="5" t="s">
        <v>716</v>
      </c>
      <c r="D512" s="25" t="s">
        <v>129</v>
      </c>
      <c r="E512" s="64" t="s">
        <v>138</v>
      </c>
      <c r="F512" s="30">
        <v>140</v>
      </c>
      <c r="G512" s="30">
        <v>78</v>
      </c>
      <c r="H512" s="30">
        <v>62</v>
      </c>
      <c r="J512" s="2"/>
      <c r="K512" s="2"/>
      <c r="L512" s="2"/>
      <c r="M512" s="2"/>
      <c r="N512" s="2"/>
      <c r="O512" s="2"/>
      <c r="P512" s="2"/>
    </row>
    <row r="513" spans="1:16" x14ac:dyDescent="0.4">
      <c r="A513">
        <v>2016</v>
      </c>
      <c r="B513" s="5" t="s">
        <v>470</v>
      </c>
      <c r="C513" s="5" t="s">
        <v>716</v>
      </c>
      <c r="D513" s="25" t="s">
        <v>129</v>
      </c>
      <c r="E513" s="64" t="s">
        <v>139</v>
      </c>
      <c r="F513" s="30">
        <v>120</v>
      </c>
      <c r="G513" s="30">
        <v>68</v>
      </c>
      <c r="H513" s="30">
        <v>52</v>
      </c>
      <c r="J513" s="2"/>
      <c r="K513" s="2"/>
      <c r="L513" s="2"/>
      <c r="M513" s="2"/>
      <c r="N513" s="2"/>
      <c r="O513" s="2"/>
      <c r="P513" s="2"/>
    </row>
    <row r="514" spans="1:16" x14ac:dyDescent="0.4">
      <c r="A514">
        <v>2016</v>
      </c>
      <c r="B514" s="5" t="s">
        <v>471</v>
      </c>
      <c r="C514" s="5" t="s">
        <v>716</v>
      </c>
      <c r="D514" s="25" t="s">
        <v>129</v>
      </c>
      <c r="E514" s="64" t="s">
        <v>85</v>
      </c>
      <c r="F514" s="30">
        <v>1912</v>
      </c>
      <c r="G514" s="30">
        <v>1.091</v>
      </c>
      <c r="H514" s="30">
        <v>821</v>
      </c>
      <c r="J514" s="2"/>
      <c r="K514" s="2"/>
      <c r="L514" s="2"/>
      <c r="M514" s="2"/>
      <c r="N514" s="2"/>
      <c r="O514" s="2"/>
      <c r="P514" s="2"/>
    </row>
    <row r="515" spans="1:16" x14ac:dyDescent="0.4">
      <c r="A515">
        <v>2016</v>
      </c>
      <c r="B515" s="5" t="s">
        <v>472</v>
      </c>
      <c r="C515" s="5" t="s">
        <v>716</v>
      </c>
      <c r="D515" s="25" t="s">
        <v>129</v>
      </c>
      <c r="E515" s="64" t="s">
        <v>140</v>
      </c>
      <c r="F515" s="30">
        <v>76</v>
      </c>
      <c r="G515" s="30">
        <v>52</v>
      </c>
      <c r="H515" s="30">
        <v>24</v>
      </c>
      <c r="J515" s="2"/>
      <c r="K515" s="2"/>
      <c r="L515" s="2"/>
      <c r="M515" s="2"/>
      <c r="N515" s="2"/>
      <c r="O515" s="2"/>
      <c r="P515" s="2"/>
    </row>
    <row r="516" spans="1:16" x14ac:dyDescent="0.4">
      <c r="A516">
        <v>2016</v>
      </c>
      <c r="B516" s="5" t="s">
        <v>473</v>
      </c>
      <c r="C516" s="5" t="s">
        <v>716</v>
      </c>
      <c r="D516" s="25" t="s">
        <v>129</v>
      </c>
      <c r="E516" s="64" t="s">
        <v>141</v>
      </c>
      <c r="F516" s="30">
        <v>4</v>
      </c>
      <c r="G516" s="30">
        <v>4</v>
      </c>
      <c r="H516" s="32" t="s">
        <v>142</v>
      </c>
      <c r="J516" s="2"/>
      <c r="K516" s="2"/>
      <c r="L516" s="2"/>
      <c r="M516" s="2"/>
      <c r="N516" s="2"/>
      <c r="O516" s="2"/>
      <c r="P516" s="2"/>
    </row>
    <row r="517" spans="1:16" x14ac:dyDescent="0.4">
      <c r="A517">
        <v>2016</v>
      </c>
      <c r="B517" s="5" t="s">
        <v>474</v>
      </c>
      <c r="C517" s="5" t="s">
        <v>716</v>
      </c>
      <c r="D517" s="25" t="s">
        <v>129</v>
      </c>
      <c r="E517" s="64" t="s">
        <v>143</v>
      </c>
      <c r="F517" s="30">
        <v>53</v>
      </c>
      <c r="G517" s="30">
        <v>28</v>
      </c>
      <c r="H517" s="30">
        <v>25</v>
      </c>
      <c r="J517" s="2"/>
      <c r="K517" s="2"/>
      <c r="L517" s="2"/>
      <c r="M517" s="2"/>
      <c r="N517" s="2"/>
      <c r="O517" s="2"/>
      <c r="P517" s="2"/>
    </row>
    <row r="518" spans="1:16" x14ac:dyDescent="0.4">
      <c r="A518">
        <v>2016</v>
      </c>
      <c r="B518" s="5" t="s">
        <v>475</v>
      </c>
      <c r="C518" s="5" t="s">
        <v>716</v>
      </c>
      <c r="D518" s="25" t="s">
        <v>129</v>
      </c>
      <c r="E518" s="64" t="s">
        <v>21</v>
      </c>
      <c r="F518" s="30">
        <v>46</v>
      </c>
      <c r="G518" s="30">
        <v>28</v>
      </c>
      <c r="H518" s="30">
        <v>18</v>
      </c>
      <c r="J518" s="2"/>
      <c r="K518" s="2"/>
      <c r="L518" s="2"/>
      <c r="M518" s="2"/>
      <c r="N518" s="2"/>
      <c r="O518" s="2"/>
      <c r="P518" s="2"/>
    </row>
    <row r="519" spans="1:16" x14ac:dyDescent="0.4">
      <c r="A519">
        <v>2016</v>
      </c>
      <c r="B519" s="5" t="s">
        <v>476</v>
      </c>
      <c r="C519" s="5" t="s">
        <v>716</v>
      </c>
      <c r="D519" s="25" t="s">
        <v>129</v>
      </c>
      <c r="E519" s="64" t="s">
        <v>144</v>
      </c>
      <c r="F519" s="30">
        <v>41</v>
      </c>
      <c r="G519" s="30">
        <v>25</v>
      </c>
      <c r="H519" s="30">
        <v>16</v>
      </c>
      <c r="J519" s="2"/>
      <c r="K519" s="2"/>
      <c r="L519" s="2"/>
      <c r="M519" s="2"/>
      <c r="N519" s="2"/>
      <c r="O519" s="2"/>
      <c r="P519" s="2"/>
    </row>
    <row r="520" spans="1:16" x14ac:dyDescent="0.4">
      <c r="A520">
        <v>2016</v>
      </c>
      <c r="B520" s="5" t="s">
        <v>477</v>
      </c>
      <c r="C520" s="5" t="s">
        <v>716</v>
      </c>
      <c r="D520" s="25" t="s">
        <v>129</v>
      </c>
      <c r="E520" s="64" t="s">
        <v>145</v>
      </c>
      <c r="F520" s="30">
        <v>165</v>
      </c>
      <c r="G520" s="30">
        <v>114</v>
      </c>
      <c r="H520" s="30">
        <v>51</v>
      </c>
      <c r="J520" s="2"/>
      <c r="K520" s="2"/>
      <c r="L520" s="2"/>
      <c r="M520" s="2"/>
      <c r="N520" s="2"/>
      <c r="O520" s="2"/>
      <c r="P520" s="2"/>
    </row>
    <row r="521" spans="1:16" x14ac:dyDescent="0.4">
      <c r="A521">
        <v>2016</v>
      </c>
      <c r="B521" s="5" t="s">
        <v>478</v>
      </c>
      <c r="C521" s="5" t="s">
        <v>716</v>
      </c>
      <c r="D521" s="25" t="s">
        <v>129</v>
      </c>
      <c r="E521" s="64" t="s">
        <v>51</v>
      </c>
      <c r="F521" s="30">
        <v>30</v>
      </c>
      <c r="G521" s="30">
        <v>21</v>
      </c>
      <c r="H521" s="30">
        <v>9</v>
      </c>
      <c r="J521" s="2"/>
      <c r="K521" s="2"/>
      <c r="L521" s="2"/>
      <c r="M521" s="2"/>
      <c r="N521" s="2"/>
      <c r="O521" s="2"/>
      <c r="P521" s="2"/>
    </row>
    <row r="522" spans="1:16" x14ac:dyDescent="0.4">
      <c r="A522">
        <v>2016</v>
      </c>
      <c r="B522" s="5" t="s">
        <v>479</v>
      </c>
      <c r="C522" s="5" t="s">
        <v>716</v>
      </c>
      <c r="D522" s="25" t="s">
        <v>129</v>
      </c>
      <c r="E522" s="64" t="s">
        <v>146</v>
      </c>
      <c r="F522" s="30">
        <v>32</v>
      </c>
      <c r="G522" s="30">
        <v>22</v>
      </c>
      <c r="H522" s="30">
        <v>10</v>
      </c>
      <c r="J522" s="2"/>
      <c r="K522" s="2"/>
      <c r="L522" s="2"/>
      <c r="M522" s="2"/>
      <c r="N522" s="2"/>
      <c r="O522" s="2"/>
      <c r="P522" s="2"/>
    </row>
    <row r="523" spans="1:16" x14ac:dyDescent="0.4">
      <c r="A523">
        <v>2016</v>
      </c>
      <c r="B523" s="5" t="s">
        <v>480</v>
      </c>
      <c r="C523" s="5" t="s">
        <v>716</v>
      </c>
      <c r="D523" s="25" t="s">
        <v>129</v>
      </c>
      <c r="E523" s="64" t="s">
        <v>147</v>
      </c>
      <c r="F523" s="30">
        <v>54</v>
      </c>
      <c r="G523" s="30">
        <v>33</v>
      </c>
      <c r="H523" s="30">
        <v>21</v>
      </c>
      <c r="J523" s="2"/>
      <c r="K523" s="2"/>
      <c r="L523" s="2"/>
      <c r="M523" s="2"/>
      <c r="N523" s="2"/>
      <c r="O523" s="2"/>
      <c r="P523" s="2"/>
    </row>
    <row r="524" spans="1:16" x14ac:dyDescent="0.4">
      <c r="A524">
        <v>2016</v>
      </c>
      <c r="B524" s="5" t="s">
        <v>481</v>
      </c>
      <c r="C524" s="5" t="s">
        <v>716</v>
      </c>
      <c r="D524" s="25" t="s">
        <v>129</v>
      </c>
      <c r="E524" s="64" t="s">
        <v>148</v>
      </c>
      <c r="F524" s="30">
        <v>35</v>
      </c>
      <c r="G524" s="30">
        <v>20</v>
      </c>
      <c r="H524" s="30">
        <v>15</v>
      </c>
      <c r="J524" s="2"/>
      <c r="K524" s="2"/>
      <c r="L524" s="2"/>
      <c r="M524" s="2"/>
      <c r="N524" s="2"/>
      <c r="O524" s="2"/>
      <c r="P524" s="2"/>
    </row>
    <row r="525" spans="1:16" x14ac:dyDescent="0.4">
      <c r="A525">
        <v>2016</v>
      </c>
      <c r="B525" s="5" t="s">
        <v>482</v>
      </c>
      <c r="C525" s="5" t="s">
        <v>716</v>
      </c>
      <c r="D525" s="25" t="s">
        <v>129</v>
      </c>
      <c r="E525" s="64" t="s">
        <v>54</v>
      </c>
      <c r="F525" s="30">
        <v>99</v>
      </c>
      <c r="G525" s="30">
        <v>59</v>
      </c>
      <c r="H525" s="30">
        <v>40</v>
      </c>
      <c r="J525" s="2"/>
      <c r="K525" s="2"/>
      <c r="L525" s="2"/>
      <c r="M525" s="2"/>
      <c r="N525" s="2"/>
      <c r="O525" s="2"/>
      <c r="P525" s="2"/>
    </row>
    <row r="526" spans="1:16" x14ac:dyDescent="0.4">
      <c r="A526">
        <v>2016</v>
      </c>
      <c r="B526" s="5" t="s">
        <v>483</v>
      </c>
      <c r="C526" s="5" t="s">
        <v>717</v>
      </c>
      <c r="D526" s="25" t="s">
        <v>150</v>
      </c>
      <c r="E526" s="64" t="s">
        <v>149</v>
      </c>
      <c r="F526" s="30">
        <v>82</v>
      </c>
      <c r="G526" s="30">
        <v>54</v>
      </c>
      <c r="H526" s="30">
        <v>28</v>
      </c>
      <c r="J526" s="2"/>
      <c r="K526" s="2"/>
      <c r="L526" s="2"/>
      <c r="M526" s="2"/>
      <c r="N526" s="2"/>
      <c r="O526" s="2"/>
      <c r="P526" s="2"/>
    </row>
    <row r="527" spans="1:16" x14ac:dyDescent="0.4">
      <c r="A527">
        <v>2016</v>
      </c>
      <c r="B527" s="5" t="s">
        <v>484</v>
      </c>
      <c r="C527" s="5" t="s">
        <v>717</v>
      </c>
      <c r="D527" s="25" t="s">
        <v>150</v>
      </c>
      <c r="E527" s="64" t="s">
        <v>151</v>
      </c>
      <c r="F527" s="30">
        <v>51</v>
      </c>
      <c r="G527" s="30">
        <v>36</v>
      </c>
      <c r="H527" s="30">
        <v>15</v>
      </c>
      <c r="J527" s="2"/>
      <c r="K527" s="2"/>
      <c r="L527" s="2"/>
      <c r="M527" s="2"/>
      <c r="N527" s="2"/>
      <c r="O527" s="2"/>
      <c r="P527" s="2"/>
    </row>
    <row r="528" spans="1:16" x14ac:dyDescent="0.4">
      <c r="A528">
        <v>2016</v>
      </c>
      <c r="B528" s="5" t="s">
        <v>485</v>
      </c>
      <c r="C528" s="5" t="s">
        <v>717</v>
      </c>
      <c r="D528" s="25" t="s">
        <v>150</v>
      </c>
      <c r="E528" s="64" t="s">
        <v>152</v>
      </c>
      <c r="F528" s="30">
        <v>69</v>
      </c>
      <c r="G528" s="30">
        <v>51</v>
      </c>
      <c r="H528" s="30">
        <v>18</v>
      </c>
      <c r="J528" s="2"/>
      <c r="K528" s="2"/>
      <c r="L528" s="2"/>
      <c r="M528" s="2"/>
      <c r="N528" s="2"/>
      <c r="O528" s="2"/>
      <c r="P528" s="2"/>
    </row>
    <row r="529" spans="1:16" x14ac:dyDescent="0.4">
      <c r="A529">
        <v>2016</v>
      </c>
      <c r="B529" s="5" t="s">
        <v>486</v>
      </c>
      <c r="C529" s="5" t="s">
        <v>717</v>
      </c>
      <c r="D529" s="25" t="s">
        <v>150</v>
      </c>
      <c r="E529" s="64" t="s">
        <v>153</v>
      </c>
      <c r="F529" s="30">
        <v>80</v>
      </c>
      <c r="G529" s="30">
        <v>56</v>
      </c>
      <c r="H529" s="30">
        <v>24</v>
      </c>
      <c r="J529" s="2"/>
      <c r="K529" s="2"/>
      <c r="L529" s="2"/>
      <c r="M529" s="2"/>
      <c r="N529" s="2"/>
      <c r="O529" s="2"/>
      <c r="P529" s="2"/>
    </row>
    <row r="530" spans="1:16" x14ac:dyDescent="0.4">
      <c r="A530">
        <v>2016</v>
      </c>
      <c r="B530" s="5" t="s">
        <v>487</v>
      </c>
      <c r="C530" s="5" t="s">
        <v>717</v>
      </c>
      <c r="D530" s="25" t="s">
        <v>150</v>
      </c>
      <c r="E530" s="64" t="s">
        <v>154</v>
      </c>
      <c r="F530" s="30">
        <v>1037</v>
      </c>
      <c r="G530" s="30">
        <v>651</v>
      </c>
      <c r="H530" s="30">
        <v>386</v>
      </c>
      <c r="J530" s="2"/>
      <c r="K530" s="2"/>
      <c r="L530" s="2"/>
      <c r="M530" s="2"/>
      <c r="N530" s="2"/>
      <c r="O530" s="2"/>
      <c r="P530" s="2"/>
    </row>
    <row r="531" spans="1:16" x14ac:dyDescent="0.4">
      <c r="A531">
        <v>2016</v>
      </c>
      <c r="B531" s="5" t="s">
        <v>488</v>
      </c>
      <c r="C531" s="5" t="s">
        <v>717</v>
      </c>
      <c r="D531" s="25" t="s">
        <v>150</v>
      </c>
      <c r="E531" s="64" t="s">
        <v>155</v>
      </c>
      <c r="F531" s="30">
        <v>127</v>
      </c>
      <c r="G531" s="30">
        <v>85</v>
      </c>
      <c r="H531" s="30">
        <v>42</v>
      </c>
      <c r="J531" s="2"/>
      <c r="K531" s="2"/>
      <c r="L531" s="2"/>
      <c r="M531" s="2"/>
      <c r="N531" s="2"/>
      <c r="O531" s="2"/>
      <c r="P531" s="2"/>
    </row>
    <row r="532" spans="1:16" x14ac:dyDescent="0.4">
      <c r="A532">
        <v>2016</v>
      </c>
      <c r="B532" s="5" t="s">
        <v>489</v>
      </c>
      <c r="C532" s="5" t="s">
        <v>717</v>
      </c>
      <c r="D532" s="25" t="s">
        <v>150</v>
      </c>
      <c r="E532" s="64" t="s">
        <v>156</v>
      </c>
      <c r="F532" s="30">
        <v>161</v>
      </c>
      <c r="G532" s="30">
        <v>117</v>
      </c>
      <c r="H532" s="30">
        <v>44</v>
      </c>
      <c r="J532" s="2"/>
      <c r="K532" s="2"/>
      <c r="L532" s="2"/>
      <c r="M532" s="2"/>
      <c r="N532" s="2"/>
      <c r="O532" s="2"/>
      <c r="P532" s="2"/>
    </row>
    <row r="533" spans="1:16" x14ac:dyDescent="0.4">
      <c r="A533">
        <v>2016</v>
      </c>
      <c r="B533" s="5" t="s">
        <v>490</v>
      </c>
      <c r="C533" s="5" t="s">
        <v>717</v>
      </c>
      <c r="D533" s="25" t="s">
        <v>150</v>
      </c>
      <c r="E533" s="64" t="s">
        <v>85</v>
      </c>
      <c r="F533" s="30">
        <v>608</v>
      </c>
      <c r="G533" s="30">
        <v>403</v>
      </c>
      <c r="H533" s="30">
        <v>205</v>
      </c>
      <c r="J533" s="2"/>
      <c r="K533" s="2"/>
      <c r="L533" s="2"/>
      <c r="M533" s="2"/>
      <c r="N533" s="2"/>
      <c r="O533" s="2"/>
      <c r="P533" s="2"/>
    </row>
    <row r="534" spans="1:16" x14ac:dyDescent="0.4">
      <c r="A534">
        <v>2016</v>
      </c>
      <c r="B534" s="5" t="s">
        <v>491</v>
      </c>
      <c r="C534" s="5" t="s">
        <v>717</v>
      </c>
      <c r="D534" s="25" t="s">
        <v>150</v>
      </c>
      <c r="E534" s="64" t="s">
        <v>157</v>
      </c>
      <c r="F534" s="30">
        <v>540</v>
      </c>
      <c r="G534" s="30">
        <v>353</v>
      </c>
      <c r="H534" s="30">
        <v>187</v>
      </c>
      <c r="J534" s="2"/>
      <c r="K534" s="2"/>
      <c r="L534" s="2"/>
      <c r="M534" s="2"/>
      <c r="N534" s="2"/>
      <c r="O534" s="2"/>
      <c r="P534" s="2"/>
    </row>
    <row r="535" spans="1:16" x14ac:dyDescent="0.4">
      <c r="A535">
        <v>2016</v>
      </c>
      <c r="B535" s="5" t="s">
        <v>492</v>
      </c>
      <c r="C535" s="5" t="s">
        <v>717</v>
      </c>
      <c r="D535" s="25" t="s">
        <v>150</v>
      </c>
      <c r="E535" s="64" t="s">
        <v>158</v>
      </c>
      <c r="F535" s="30">
        <v>76</v>
      </c>
      <c r="G535" s="30">
        <v>53</v>
      </c>
      <c r="H535" s="30">
        <v>23</v>
      </c>
      <c r="J535" s="2"/>
      <c r="K535" s="2"/>
      <c r="L535" s="2"/>
      <c r="M535" s="2"/>
      <c r="N535" s="2"/>
      <c r="O535" s="2"/>
      <c r="P535" s="2"/>
    </row>
    <row r="536" spans="1:16" x14ac:dyDescent="0.4">
      <c r="A536">
        <v>2016</v>
      </c>
      <c r="B536" s="5" t="s">
        <v>493</v>
      </c>
      <c r="C536" s="5" t="s">
        <v>717</v>
      </c>
      <c r="D536" s="25" t="s">
        <v>150</v>
      </c>
      <c r="E536" s="64" t="s">
        <v>159</v>
      </c>
      <c r="F536" s="30">
        <v>147</v>
      </c>
      <c r="G536" s="30">
        <v>104</v>
      </c>
      <c r="H536" s="30">
        <v>43</v>
      </c>
      <c r="J536" s="2"/>
      <c r="K536" s="2"/>
      <c r="L536" s="2"/>
      <c r="M536" s="2"/>
      <c r="N536" s="2"/>
      <c r="O536" s="2"/>
      <c r="P536" s="2"/>
    </row>
    <row r="537" spans="1:16" x14ac:dyDescent="0.4">
      <c r="A537">
        <v>2016</v>
      </c>
      <c r="B537" s="5" t="s">
        <v>494</v>
      </c>
      <c r="C537" s="5" t="s">
        <v>717</v>
      </c>
      <c r="D537" s="25" t="s">
        <v>150</v>
      </c>
      <c r="E537" s="64" t="s">
        <v>76</v>
      </c>
      <c r="F537" s="30">
        <v>1453</v>
      </c>
      <c r="G537" s="30">
        <v>906</v>
      </c>
      <c r="H537" s="30">
        <v>547</v>
      </c>
      <c r="J537" s="2"/>
      <c r="K537" s="2"/>
      <c r="L537" s="2"/>
      <c r="M537" s="2"/>
      <c r="N537" s="2"/>
      <c r="O537" s="2"/>
      <c r="P537" s="2"/>
    </row>
    <row r="538" spans="1:16" x14ac:dyDescent="0.4">
      <c r="A538">
        <v>2016</v>
      </c>
      <c r="B538" s="5" t="s">
        <v>495</v>
      </c>
      <c r="C538" s="5" t="s">
        <v>717</v>
      </c>
      <c r="D538" s="25" t="s">
        <v>150</v>
      </c>
      <c r="E538" s="64" t="s">
        <v>160</v>
      </c>
      <c r="F538" s="30">
        <v>34</v>
      </c>
      <c r="G538" s="30">
        <v>26</v>
      </c>
      <c r="H538" s="30">
        <v>8</v>
      </c>
      <c r="J538" s="2"/>
      <c r="K538" s="2"/>
      <c r="L538" s="2"/>
      <c r="M538" s="2"/>
      <c r="N538" s="2"/>
      <c r="O538" s="2"/>
      <c r="P538" s="2"/>
    </row>
    <row r="539" spans="1:16" x14ac:dyDescent="0.4">
      <c r="A539">
        <v>2016</v>
      </c>
      <c r="B539" s="5" t="s">
        <v>496</v>
      </c>
      <c r="C539" s="5" t="s">
        <v>717</v>
      </c>
      <c r="D539" s="25" t="s">
        <v>150</v>
      </c>
      <c r="E539" s="64" t="s">
        <v>161</v>
      </c>
      <c r="F539" s="30">
        <v>74</v>
      </c>
      <c r="G539" s="30">
        <v>49</v>
      </c>
      <c r="H539" s="30">
        <v>25</v>
      </c>
      <c r="J539" s="2"/>
      <c r="K539" s="2"/>
      <c r="L539" s="2"/>
      <c r="M539" s="2"/>
      <c r="N539" s="2"/>
      <c r="O539" s="2"/>
      <c r="P539" s="2"/>
    </row>
    <row r="540" spans="1:16" x14ac:dyDescent="0.4">
      <c r="A540">
        <v>2016</v>
      </c>
      <c r="B540" s="5" t="s">
        <v>497</v>
      </c>
      <c r="C540" s="5" t="s">
        <v>717</v>
      </c>
      <c r="D540" s="25" t="s">
        <v>150</v>
      </c>
      <c r="E540" s="65" t="s">
        <v>162</v>
      </c>
      <c r="F540" s="31">
        <v>384</v>
      </c>
      <c r="G540" s="31">
        <v>233</v>
      </c>
      <c r="H540" s="31">
        <v>151</v>
      </c>
      <c r="J540" s="2"/>
      <c r="K540" s="2"/>
      <c r="L540" s="2"/>
      <c r="M540" s="2"/>
      <c r="N540" s="2"/>
      <c r="O540" s="2"/>
      <c r="P540" s="2"/>
    </row>
    <row r="541" spans="1:16" x14ac:dyDescent="0.4">
      <c r="A541">
        <v>2016</v>
      </c>
      <c r="B541" s="5" t="s">
        <v>498</v>
      </c>
      <c r="C541" s="5" t="s">
        <v>718</v>
      </c>
      <c r="D541" s="25" t="s">
        <v>164</v>
      </c>
      <c r="E541" s="64" t="s">
        <v>163</v>
      </c>
      <c r="F541" s="30">
        <v>190</v>
      </c>
      <c r="G541" s="30">
        <v>120</v>
      </c>
      <c r="H541" s="30">
        <v>70</v>
      </c>
      <c r="J541" s="2"/>
      <c r="K541" s="2"/>
      <c r="L541" s="2"/>
      <c r="M541" s="2"/>
      <c r="N541" s="2"/>
      <c r="O541" s="2"/>
      <c r="P541" s="2"/>
    </row>
    <row r="542" spans="1:16" x14ac:dyDescent="0.4">
      <c r="A542">
        <v>2016</v>
      </c>
      <c r="B542" s="5" t="s">
        <v>499</v>
      </c>
      <c r="C542" s="5" t="s">
        <v>718</v>
      </c>
      <c r="D542" s="25" t="s">
        <v>164</v>
      </c>
      <c r="E542" s="64" t="s">
        <v>165</v>
      </c>
      <c r="F542" s="30">
        <v>244</v>
      </c>
      <c r="G542" s="30">
        <v>164</v>
      </c>
      <c r="H542" s="30">
        <v>80</v>
      </c>
      <c r="J542" s="2"/>
      <c r="K542" s="2"/>
      <c r="L542" s="2"/>
      <c r="M542" s="2"/>
      <c r="N542" s="2"/>
      <c r="O542" s="2"/>
      <c r="P542" s="2"/>
    </row>
    <row r="543" spans="1:16" x14ac:dyDescent="0.4">
      <c r="A543">
        <v>2016</v>
      </c>
      <c r="B543" s="5" t="s">
        <v>500</v>
      </c>
      <c r="C543" s="5" t="s">
        <v>718</v>
      </c>
      <c r="D543" s="25" t="s">
        <v>164</v>
      </c>
      <c r="E543" s="64" t="s">
        <v>166</v>
      </c>
      <c r="F543" s="30">
        <v>9362</v>
      </c>
      <c r="G543" s="30">
        <v>5.4909999999999997</v>
      </c>
      <c r="H543" s="30">
        <v>3.871</v>
      </c>
      <c r="J543" s="2"/>
      <c r="K543" s="2"/>
      <c r="L543" s="2"/>
      <c r="M543" s="2"/>
      <c r="N543" s="2"/>
      <c r="O543" s="2"/>
      <c r="P543" s="2"/>
    </row>
    <row r="544" spans="1:16" x14ac:dyDescent="0.4">
      <c r="A544">
        <v>2016</v>
      </c>
      <c r="B544" s="5" t="s">
        <v>501</v>
      </c>
      <c r="C544" s="5" t="s">
        <v>718</v>
      </c>
      <c r="D544" s="25" t="s">
        <v>164</v>
      </c>
      <c r="E544" s="64" t="s">
        <v>167</v>
      </c>
      <c r="F544" s="30">
        <v>485</v>
      </c>
      <c r="G544" s="30">
        <v>300</v>
      </c>
      <c r="H544" s="30">
        <v>185</v>
      </c>
      <c r="J544" s="2"/>
      <c r="K544" s="2"/>
      <c r="L544" s="2"/>
      <c r="M544" s="2"/>
      <c r="N544" s="2"/>
      <c r="O544" s="2"/>
      <c r="P544" s="2"/>
    </row>
    <row r="545" spans="1:16" x14ac:dyDescent="0.4">
      <c r="A545">
        <v>2016</v>
      </c>
      <c r="B545" s="5" t="s">
        <v>502</v>
      </c>
      <c r="C545" s="5" t="s">
        <v>718</v>
      </c>
      <c r="D545" s="25" t="s">
        <v>164</v>
      </c>
      <c r="E545" s="64" t="s">
        <v>168</v>
      </c>
      <c r="F545" s="30">
        <v>715</v>
      </c>
      <c r="G545" s="30">
        <v>427</v>
      </c>
      <c r="H545" s="30">
        <v>288</v>
      </c>
      <c r="J545" s="2"/>
      <c r="K545" s="2"/>
      <c r="L545" s="2"/>
      <c r="M545" s="2"/>
      <c r="N545" s="2"/>
      <c r="O545" s="2"/>
      <c r="P545" s="2"/>
    </row>
    <row r="546" spans="1:16" x14ac:dyDescent="0.4">
      <c r="A546">
        <v>2016</v>
      </c>
      <c r="B546" s="5" t="s">
        <v>503</v>
      </c>
      <c r="C546" s="5" t="s">
        <v>718</v>
      </c>
      <c r="D546" s="25" t="s">
        <v>164</v>
      </c>
      <c r="E546" s="64" t="s">
        <v>169</v>
      </c>
      <c r="F546" s="30">
        <v>585</v>
      </c>
      <c r="G546" s="30">
        <v>349</v>
      </c>
      <c r="H546" s="30">
        <v>236</v>
      </c>
      <c r="J546" s="2"/>
      <c r="K546" s="2"/>
      <c r="L546" s="2"/>
      <c r="M546" s="2"/>
      <c r="N546" s="2"/>
      <c r="O546" s="2"/>
      <c r="P546" s="2"/>
    </row>
    <row r="547" spans="1:16" x14ac:dyDescent="0.4">
      <c r="A547">
        <v>2016</v>
      </c>
      <c r="B547" s="5" t="s">
        <v>504</v>
      </c>
      <c r="C547" s="5" t="s">
        <v>718</v>
      </c>
      <c r="D547" s="25" t="s">
        <v>164</v>
      </c>
      <c r="E547" s="64" t="s">
        <v>170</v>
      </c>
      <c r="F547" s="30">
        <v>126</v>
      </c>
      <c r="G547" s="30">
        <v>86</v>
      </c>
      <c r="H547" s="30">
        <v>40</v>
      </c>
      <c r="J547" s="2"/>
      <c r="K547" s="2"/>
      <c r="L547" s="2"/>
      <c r="M547" s="2"/>
      <c r="N547" s="2"/>
      <c r="O547" s="2"/>
      <c r="P547" s="2"/>
    </row>
    <row r="548" spans="1:16" x14ac:dyDescent="0.4">
      <c r="A548">
        <v>2016</v>
      </c>
      <c r="B548" s="5" t="s">
        <v>505</v>
      </c>
      <c r="C548" s="5" t="s">
        <v>718</v>
      </c>
      <c r="D548" s="25" t="s">
        <v>164</v>
      </c>
      <c r="E548" s="64" t="s">
        <v>171</v>
      </c>
      <c r="F548" s="30">
        <v>1175</v>
      </c>
      <c r="G548" s="30">
        <v>686</v>
      </c>
      <c r="H548" s="30">
        <v>489</v>
      </c>
      <c r="J548" s="2"/>
      <c r="K548" s="2"/>
      <c r="L548" s="2"/>
      <c r="M548" s="2"/>
      <c r="N548" s="2"/>
      <c r="O548" s="2"/>
      <c r="P548" s="2"/>
    </row>
    <row r="549" spans="1:16" x14ac:dyDescent="0.4">
      <c r="A549">
        <v>2016</v>
      </c>
      <c r="B549" s="5" t="s">
        <v>506</v>
      </c>
      <c r="C549" s="5" t="s">
        <v>718</v>
      </c>
      <c r="D549" s="25" t="s">
        <v>164</v>
      </c>
      <c r="E549" s="64" t="s">
        <v>53</v>
      </c>
      <c r="F549" s="30">
        <v>259</v>
      </c>
      <c r="G549" s="30">
        <v>171</v>
      </c>
      <c r="H549" s="30">
        <v>88</v>
      </c>
      <c r="J549" s="2"/>
      <c r="K549" s="2"/>
      <c r="L549" s="2"/>
      <c r="M549" s="2"/>
      <c r="N549" s="2"/>
      <c r="O549" s="2"/>
      <c r="P549" s="2"/>
    </row>
    <row r="550" spans="1:16" x14ac:dyDescent="0.4">
      <c r="A550">
        <v>2016</v>
      </c>
      <c r="B550" s="5" t="s">
        <v>507</v>
      </c>
      <c r="C550" s="5" t="s">
        <v>719</v>
      </c>
      <c r="D550" s="25" t="s">
        <v>173</v>
      </c>
      <c r="E550" s="64" t="s">
        <v>172</v>
      </c>
      <c r="F550" s="30">
        <v>698</v>
      </c>
      <c r="G550" s="30">
        <v>447</v>
      </c>
      <c r="H550" s="30">
        <v>251</v>
      </c>
      <c r="J550" s="2"/>
      <c r="K550" s="2"/>
      <c r="L550" s="2"/>
      <c r="M550" s="2"/>
      <c r="N550" s="2"/>
      <c r="O550" s="2"/>
      <c r="P550" s="2"/>
    </row>
    <row r="551" spans="1:16" x14ac:dyDescent="0.4">
      <c r="A551">
        <v>2016</v>
      </c>
      <c r="B551" s="5" t="s">
        <v>508</v>
      </c>
      <c r="C551" s="5" t="s">
        <v>719</v>
      </c>
      <c r="D551" s="25" t="s">
        <v>173</v>
      </c>
      <c r="E551" s="64" t="s">
        <v>174</v>
      </c>
      <c r="F551" s="30">
        <v>62</v>
      </c>
      <c r="G551" s="30">
        <v>37</v>
      </c>
      <c r="H551" s="30">
        <v>25</v>
      </c>
      <c r="J551" s="2"/>
      <c r="K551" s="2"/>
      <c r="L551" s="2"/>
      <c r="M551" s="2"/>
      <c r="N551" s="2"/>
      <c r="O551" s="2"/>
      <c r="P551" s="2"/>
    </row>
    <row r="552" spans="1:16" x14ac:dyDescent="0.4">
      <c r="A552">
        <v>2016</v>
      </c>
      <c r="B552" s="5" t="s">
        <v>509</v>
      </c>
      <c r="C552" s="5" t="s">
        <v>719</v>
      </c>
      <c r="D552" s="25" t="s">
        <v>173</v>
      </c>
      <c r="E552" s="64" t="s">
        <v>175</v>
      </c>
      <c r="F552" s="30">
        <v>98</v>
      </c>
      <c r="G552" s="30">
        <v>65</v>
      </c>
      <c r="H552" s="30">
        <v>33</v>
      </c>
      <c r="J552" s="2"/>
      <c r="K552" s="2"/>
      <c r="L552" s="2"/>
      <c r="M552" s="2"/>
      <c r="N552" s="2"/>
      <c r="O552" s="2"/>
      <c r="P552" s="2"/>
    </row>
    <row r="553" spans="1:16" x14ac:dyDescent="0.4">
      <c r="A553">
        <v>2016</v>
      </c>
      <c r="B553" s="5" t="s">
        <v>510</v>
      </c>
      <c r="C553" s="5" t="s">
        <v>719</v>
      </c>
      <c r="D553" s="25" t="s">
        <v>173</v>
      </c>
      <c r="E553" s="64" t="s">
        <v>176</v>
      </c>
      <c r="F553" s="30">
        <v>13</v>
      </c>
      <c r="G553" s="30">
        <v>9</v>
      </c>
      <c r="H553" s="30">
        <v>4</v>
      </c>
      <c r="J553" s="2"/>
      <c r="K553" s="2"/>
      <c r="L553" s="2"/>
      <c r="M553" s="2"/>
      <c r="N553" s="2"/>
      <c r="O553" s="2"/>
      <c r="P553" s="2"/>
    </row>
    <row r="554" spans="1:16" x14ac:dyDescent="0.4">
      <c r="A554">
        <v>2016</v>
      </c>
      <c r="B554" s="5" t="s">
        <v>511</v>
      </c>
      <c r="C554" s="5" t="s">
        <v>719</v>
      </c>
      <c r="D554" s="25" t="s">
        <v>173</v>
      </c>
      <c r="E554" s="64" t="s">
        <v>177</v>
      </c>
      <c r="F554" s="30">
        <v>66</v>
      </c>
      <c r="G554" s="30">
        <v>43</v>
      </c>
      <c r="H554" s="30">
        <v>23</v>
      </c>
      <c r="J554" s="2"/>
      <c r="K554" s="2"/>
      <c r="L554" s="2"/>
      <c r="M554" s="2"/>
      <c r="N554" s="2"/>
      <c r="O554" s="2"/>
      <c r="P554" s="2"/>
    </row>
    <row r="555" spans="1:16" x14ac:dyDescent="0.4">
      <c r="A555">
        <v>2016</v>
      </c>
      <c r="B555" s="5" t="s">
        <v>512</v>
      </c>
      <c r="C555" s="5" t="s">
        <v>719</v>
      </c>
      <c r="D555" s="25" t="s">
        <v>173</v>
      </c>
      <c r="E555" s="64" t="s">
        <v>178</v>
      </c>
      <c r="F555" s="30">
        <v>375</v>
      </c>
      <c r="G555" s="30">
        <v>224</v>
      </c>
      <c r="H555" s="30">
        <v>151</v>
      </c>
      <c r="J555" s="2"/>
      <c r="K555" s="2"/>
      <c r="L555" s="2"/>
      <c r="M555" s="2"/>
      <c r="N555" s="2"/>
      <c r="O555" s="2"/>
      <c r="P555" s="2"/>
    </row>
    <row r="556" spans="1:16" x14ac:dyDescent="0.4">
      <c r="A556">
        <v>2016</v>
      </c>
      <c r="B556" s="5" t="s">
        <v>513</v>
      </c>
      <c r="C556" s="5" t="s">
        <v>719</v>
      </c>
      <c r="D556" s="25" t="s">
        <v>173</v>
      </c>
      <c r="E556" s="64" t="s">
        <v>179</v>
      </c>
      <c r="F556" s="30">
        <v>60</v>
      </c>
      <c r="G556" s="30">
        <v>35</v>
      </c>
      <c r="H556" s="30">
        <v>25</v>
      </c>
      <c r="J556" s="2"/>
      <c r="K556" s="2"/>
      <c r="L556" s="2"/>
      <c r="M556" s="2"/>
      <c r="N556" s="2"/>
      <c r="O556" s="2"/>
      <c r="P556" s="2"/>
    </row>
    <row r="557" spans="1:16" x14ac:dyDescent="0.4">
      <c r="A557">
        <v>2016</v>
      </c>
      <c r="B557" s="5" t="s">
        <v>514</v>
      </c>
      <c r="C557" s="5" t="s">
        <v>719</v>
      </c>
      <c r="D557" s="25" t="s">
        <v>173</v>
      </c>
      <c r="E557" s="64" t="s">
        <v>180</v>
      </c>
      <c r="F557" s="30">
        <v>151</v>
      </c>
      <c r="G557" s="30">
        <v>91</v>
      </c>
      <c r="H557" s="30">
        <v>60</v>
      </c>
      <c r="J557" s="2"/>
      <c r="K557" s="2"/>
      <c r="L557" s="2"/>
      <c r="M557" s="2"/>
      <c r="N557" s="2"/>
      <c r="O557" s="2"/>
      <c r="P557" s="2"/>
    </row>
    <row r="558" spans="1:16" x14ac:dyDescent="0.4">
      <c r="A558">
        <v>2016</v>
      </c>
      <c r="B558" s="5" t="s">
        <v>515</v>
      </c>
      <c r="C558" s="5" t="s">
        <v>719</v>
      </c>
      <c r="D558" s="25" t="s">
        <v>173</v>
      </c>
      <c r="E558" s="64" t="s">
        <v>181</v>
      </c>
      <c r="F558" s="30">
        <v>39</v>
      </c>
      <c r="G558" s="30">
        <v>25</v>
      </c>
      <c r="H558" s="30">
        <v>14</v>
      </c>
      <c r="J558" s="2"/>
      <c r="K558" s="2"/>
      <c r="L558" s="2"/>
      <c r="M558" s="2"/>
      <c r="N558" s="2"/>
      <c r="O558" s="2"/>
      <c r="P558" s="2"/>
    </row>
    <row r="559" spans="1:16" x14ac:dyDescent="0.4">
      <c r="A559">
        <v>2016</v>
      </c>
      <c r="B559" s="5" t="s">
        <v>516</v>
      </c>
      <c r="C559" s="5" t="s">
        <v>719</v>
      </c>
      <c r="D559" s="25" t="s">
        <v>173</v>
      </c>
      <c r="E559" s="64" t="s">
        <v>182</v>
      </c>
      <c r="F559" s="30">
        <v>69</v>
      </c>
      <c r="G559" s="30">
        <v>39</v>
      </c>
      <c r="H559" s="30">
        <v>30</v>
      </c>
      <c r="J559" s="2"/>
      <c r="K559" s="2"/>
      <c r="L559" s="2"/>
      <c r="M559" s="2"/>
      <c r="N559" s="2"/>
      <c r="O559" s="2"/>
      <c r="P559" s="2"/>
    </row>
    <row r="560" spans="1:16" x14ac:dyDescent="0.4">
      <c r="A560">
        <v>2016</v>
      </c>
      <c r="B560" s="5" t="s">
        <v>517</v>
      </c>
      <c r="C560" s="5" t="s">
        <v>719</v>
      </c>
      <c r="D560" s="25" t="s">
        <v>173</v>
      </c>
      <c r="E560" s="64" t="s">
        <v>183</v>
      </c>
      <c r="F560" s="30">
        <v>18</v>
      </c>
      <c r="G560" s="30">
        <v>12</v>
      </c>
      <c r="H560" s="30">
        <v>6</v>
      </c>
      <c r="J560" s="2"/>
      <c r="K560" s="2"/>
      <c r="L560" s="2"/>
      <c r="M560" s="2"/>
      <c r="N560" s="2"/>
      <c r="O560" s="2"/>
      <c r="P560" s="2"/>
    </row>
    <row r="561" spans="1:16" x14ac:dyDescent="0.4">
      <c r="A561">
        <v>2016</v>
      </c>
      <c r="B561" s="5" t="s">
        <v>518</v>
      </c>
      <c r="C561" s="5" t="s">
        <v>719</v>
      </c>
      <c r="D561" s="25" t="s">
        <v>173</v>
      </c>
      <c r="E561" s="64" t="s">
        <v>44</v>
      </c>
      <c r="F561" s="30">
        <v>3037</v>
      </c>
      <c r="G561" s="30">
        <v>1.6679999999999999</v>
      </c>
      <c r="H561" s="30">
        <v>1.369</v>
      </c>
      <c r="J561" s="2"/>
      <c r="K561" s="2"/>
      <c r="L561" s="2"/>
      <c r="M561" s="2"/>
      <c r="N561" s="2"/>
      <c r="O561" s="2"/>
      <c r="P561" s="2"/>
    </row>
    <row r="562" spans="1:16" x14ac:dyDescent="0.4">
      <c r="A562">
        <v>2016</v>
      </c>
      <c r="B562" s="5" t="s">
        <v>519</v>
      </c>
      <c r="C562" s="5" t="s">
        <v>719</v>
      </c>
      <c r="D562" s="25" t="s">
        <v>173</v>
      </c>
      <c r="E562" s="64" t="s">
        <v>85</v>
      </c>
      <c r="F562" s="30">
        <v>73</v>
      </c>
      <c r="G562" s="30">
        <v>43</v>
      </c>
      <c r="H562" s="30">
        <v>30</v>
      </c>
      <c r="J562" s="2"/>
      <c r="K562" s="2"/>
      <c r="L562" s="2"/>
      <c r="M562" s="2"/>
      <c r="N562" s="2"/>
      <c r="O562" s="2"/>
      <c r="P562" s="2"/>
    </row>
    <row r="563" spans="1:16" x14ac:dyDescent="0.4">
      <c r="A563">
        <v>2016</v>
      </c>
      <c r="B563" s="5" t="s">
        <v>520</v>
      </c>
      <c r="C563" s="5" t="s">
        <v>719</v>
      </c>
      <c r="D563" s="25" t="s">
        <v>173</v>
      </c>
      <c r="E563" s="64" t="s">
        <v>184</v>
      </c>
      <c r="F563" s="30">
        <v>107</v>
      </c>
      <c r="G563" s="30">
        <v>69</v>
      </c>
      <c r="H563" s="30">
        <v>38</v>
      </c>
      <c r="J563" s="2"/>
      <c r="K563" s="2"/>
      <c r="L563" s="2"/>
      <c r="M563" s="2"/>
      <c r="N563" s="2"/>
      <c r="O563" s="2"/>
      <c r="P563" s="2"/>
    </row>
    <row r="564" spans="1:16" x14ac:dyDescent="0.4">
      <c r="A564">
        <v>2016</v>
      </c>
      <c r="B564" s="5" t="s">
        <v>521</v>
      </c>
      <c r="C564" s="5" t="s">
        <v>719</v>
      </c>
      <c r="D564" s="25" t="s">
        <v>173</v>
      </c>
      <c r="E564" s="64" t="s">
        <v>185</v>
      </c>
      <c r="F564" s="30">
        <v>6</v>
      </c>
      <c r="G564" s="30">
        <v>2</v>
      </c>
      <c r="H564" s="30">
        <v>4</v>
      </c>
      <c r="J564" s="2"/>
      <c r="K564" s="2"/>
      <c r="L564" s="2"/>
      <c r="M564" s="2"/>
      <c r="N564" s="2"/>
      <c r="O564" s="2"/>
      <c r="P564" s="2"/>
    </row>
    <row r="565" spans="1:16" x14ac:dyDescent="0.4">
      <c r="A565">
        <v>2016</v>
      </c>
      <c r="B565" s="5" t="s">
        <v>522</v>
      </c>
      <c r="C565" s="5" t="s">
        <v>719</v>
      </c>
      <c r="D565" s="25" t="s">
        <v>173</v>
      </c>
      <c r="E565" s="64" t="s">
        <v>186</v>
      </c>
      <c r="F565" s="30">
        <v>46</v>
      </c>
      <c r="G565" s="30">
        <v>24</v>
      </c>
      <c r="H565" s="30">
        <v>22</v>
      </c>
      <c r="J565" s="2"/>
      <c r="K565" s="2"/>
      <c r="L565" s="2"/>
      <c r="M565" s="2"/>
      <c r="N565" s="2"/>
      <c r="O565" s="2"/>
      <c r="P565" s="2"/>
    </row>
    <row r="566" spans="1:16" x14ac:dyDescent="0.4">
      <c r="A566">
        <v>2016</v>
      </c>
      <c r="B566" s="5" t="s">
        <v>523</v>
      </c>
      <c r="C566" s="5" t="s">
        <v>719</v>
      </c>
      <c r="D566" s="25" t="s">
        <v>173</v>
      </c>
      <c r="E566" s="64" t="s">
        <v>187</v>
      </c>
      <c r="F566" s="30">
        <v>55</v>
      </c>
      <c r="G566" s="30">
        <v>37</v>
      </c>
      <c r="H566" s="30">
        <v>18</v>
      </c>
      <c r="J566" s="2"/>
      <c r="K566" s="2"/>
      <c r="L566" s="2"/>
      <c r="M566" s="2"/>
      <c r="N566" s="2"/>
      <c r="O566" s="2"/>
      <c r="P566" s="2"/>
    </row>
    <row r="567" spans="1:16" x14ac:dyDescent="0.4">
      <c r="A567">
        <v>2016</v>
      </c>
      <c r="B567" s="5" t="s">
        <v>524</v>
      </c>
      <c r="C567" s="5" t="s">
        <v>719</v>
      </c>
      <c r="D567" s="25" t="s">
        <v>173</v>
      </c>
      <c r="E567" s="64" t="s">
        <v>188</v>
      </c>
      <c r="F567" s="30">
        <v>72</v>
      </c>
      <c r="G567" s="30">
        <v>39</v>
      </c>
      <c r="H567" s="30">
        <v>33</v>
      </c>
      <c r="J567" s="2"/>
      <c r="K567" s="2"/>
      <c r="L567" s="2"/>
      <c r="M567" s="2"/>
      <c r="N567" s="2"/>
      <c r="O567" s="2"/>
      <c r="P567" s="2"/>
    </row>
    <row r="568" spans="1:16" x14ac:dyDescent="0.4">
      <c r="A568">
        <v>2016</v>
      </c>
      <c r="B568" s="5" t="s">
        <v>525</v>
      </c>
      <c r="C568" s="5" t="s">
        <v>719</v>
      </c>
      <c r="D568" s="25" t="s">
        <v>173</v>
      </c>
      <c r="E568" s="64" t="s">
        <v>189</v>
      </c>
      <c r="F568" s="30">
        <v>64</v>
      </c>
      <c r="G568" s="30">
        <v>38</v>
      </c>
      <c r="H568" s="30">
        <v>26</v>
      </c>
      <c r="J568" s="2"/>
      <c r="K568" s="2"/>
      <c r="L568" s="2"/>
      <c r="M568" s="2"/>
      <c r="N568" s="2"/>
      <c r="O568" s="2"/>
      <c r="P568" s="2"/>
    </row>
    <row r="569" spans="1:16" x14ac:dyDescent="0.4">
      <c r="A569">
        <v>2016</v>
      </c>
      <c r="B569" s="5" t="s">
        <v>526</v>
      </c>
      <c r="C569" s="5" t="s">
        <v>719</v>
      </c>
      <c r="D569" s="25" t="s">
        <v>173</v>
      </c>
      <c r="E569" s="64" t="s">
        <v>51</v>
      </c>
      <c r="F569" s="30">
        <v>261</v>
      </c>
      <c r="G569" s="30">
        <v>156</v>
      </c>
      <c r="H569" s="30">
        <v>105</v>
      </c>
      <c r="J569" s="2"/>
      <c r="K569" s="2"/>
      <c r="L569" s="2"/>
      <c r="M569" s="2"/>
      <c r="N569" s="2"/>
      <c r="O569" s="2"/>
      <c r="P569" s="2"/>
    </row>
    <row r="570" spans="1:16" x14ac:dyDescent="0.4">
      <c r="A570">
        <v>2016</v>
      </c>
      <c r="B570" s="5" t="s">
        <v>527</v>
      </c>
      <c r="C570" s="5" t="s">
        <v>719</v>
      </c>
      <c r="D570" s="25" t="s">
        <v>173</v>
      </c>
      <c r="E570" s="64" t="s">
        <v>52</v>
      </c>
      <c r="F570" s="30">
        <v>220</v>
      </c>
      <c r="G570" s="30">
        <v>134</v>
      </c>
      <c r="H570" s="30">
        <v>86</v>
      </c>
      <c r="J570" s="2"/>
      <c r="K570" s="2"/>
      <c r="L570" s="2"/>
      <c r="M570" s="2"/>
      <c r="N570" s="2"/>
      <c r="O570" s="2"/>
      <c r="P570" s="2"/>
    </row>
    <row r="571" spans="1:16" x14ac:dyDescent="0.4">
      <c r="A571">
        <v>2016</v>
      </c>
      <c r="B571" s="5" t="s">
        <v>528</v>
      </c>
      <c r="C571" s="5" t="s">
        <v>719</v>
      </c>
      <c r="D571" s="25" t="s">
        <v>173</v>
      </c>
      <c r="E571" s="64" t="s">
        <v>190</v>
      </c>
      <c r="F571" s="30">
        <v>136</v>
      </c>
      <c r="G571" s="30">
        <v>95</v>
      </c>
      <c r="H571" s="30">
        <v>41</v>
      </c>
      <c r="J571" s="2"/>
      <c r="K571" s="2"/>
      <c r="L571" s="2"/>
      <c r="M571" s="2"/>
      <c r="N571" s="2"/>
      <c r="O571" s="2"/>
      <c r="P571" s="2"/>
    </row>
    <row r="572" spans="1:16" x14ac:dyDescent="0.4">
      <c r="A572">
        <v>2016</v>
      </c>
      <c r="B572" s="5" t="s">
        <v>529</v>
      </c>
      <c r="C572" s="5" t="s">
        <v>719</v>
      </c>
      <c r="D572" s="25" t="s">
        <v>173</v>
      </c>
      <c r="E572" s="64" t="s">
        <v>191</v>
      </c>
      <c r="F572" s="30">
        <v>50</v>
      </c>
      <c r="G572" s="30">
        <v>31</v>
      </c>
      <c r="H572" s="30">
        <v>19</v>
      </c>
      <c r="J572" s="2"/>
      <c r="K572" s="2"/>
      <c r="L572" s="2"/>
      <c r="M572" s="2"/>
      <c r="N572" s="2"/>
      <c r="O572" s="2"/>
      <c r="P572" s="2"/>
    </row>
    <row r="573" spans="1:16" x14ac:dyDescent="0.4">
      <c r="A573">
        <v>2016</v>
      </c>
      <c r="B573" s="5" t="s">
        <v>530</v>
      </c>
      <c r="C573" s="5" t="s">
        <v>720</v>
      </c>
      <c r="D573" s="25" t="s">
        <v>193</v>
      </c>
      <c r="E573" s="64" t="s">
        <v>192</v>
      </c>
      <c r="F573" s="30">
        <v>561</v>
      </c>
      <c r="G573" s="30">
        <v>435</v>
      </c>
      <c r="H573" s="30">
        <v>126</v>
      </c>
      <c r="J573" s="2"/>
      <c r="K573" s="2"/>
      <c r="L573" s="2"/>
      <c r="M573" s="2"/>
      <c r="N573" s="2"/>
      <c r="O573" s="2"/>
      <c r="P573" s="2"/>
    </row>
    <row r="574" spans="1:16" x14ac:dyDescent="0.4">
      <c r="A574">
        <v>2016</v>
      </c>
      <c r="B574" s="5" t="s">
        <v>531</v>
      </c>
      <c r="C574" s="5" t="s">
        <v>720</v>
      </c>
      <c r="D574" s="25" t="s">
        <v>193</v>
      </c>
      <c r="E574" s="64" t="s">
        <v>174</v>
      </c>
      <c r="F574" s="30">
        <v>188</v>
      </c>
      <c r="G574" s="30">
        <v>140</v>
      </c>
      <c r="H574" s="30">
        <v>48</v>
      </c>
      <c r="J574" s="2"/>
      <c r="K574" s="2"/>
      <c r="L574" s="2"/>
      <c r="M574" s="2"/>
      <c r="N574" s="2"/>
      <c r="O574" s="2"/>
      <c r="P574" s="2"/>
    </row>
    <row r="575" spans="1:16" x14ac:dyDescent="0.4">
      <c r="A575">
        <v>2016</v>
      </c>
      <c r="B575" s="5" t="s">
        <v>532</v>
      </c>
      <c r="C575" s="5" t="s">
        <v>720</v>
      </c>
      <c r="D575" s="25" t="s">
        <v>193</v>
      </c>
      <c r="E575" s="64" t="s">
        <v>194</v>
      </c>
      <c r="F575" s="30">
        <v>2969</v>
      </c>
      <c r="G575" s="30">
        <v>1.526</v>
      </c>
      <c r="H575" s="30">
        <v>1.4430000000000001</v>
      </c>
      <c r="J575" s="2"/>
      <c r="K575" s="2"/>
      <c r="L575" s="2"/>
      <c r="M575" s="2"/>
      <c r="N575" s="2"/>
      <c r="O575" s="2"/>
      <c r="P575" s="2"/>
    </row>
    <row r="576" spans="1:16" x14ac:dyDescent="0.4">
      <c r="A576">
        <v>2016</v>
      </c>
      <c r="B576" s="5" t="s">
        <v>533</v>
      </c>
      <c r="C576" s="5" t="s">
        <v>720</v>
      </c>
      <c r="D576" s="25" t="s">
        <v>193</v>
      </c>
      <c r="E576" s="64" t="s">
        <v>195</v>
      </c>
      <c r="F576" s="30">
        <v>469</v>
      </c>
      <c r="G576" s="30">
        <v>344</v>
      </c>
      <c r="H576" s="30">
        <v>125</v>
      </c>
      <c r="J576" s="2"/>
      <c r="K576" s="2"/>
      <c r="L576" s="2"/>
      <c r="M576" s="2"/>
      <c r="N576" s="2"/>
      <c r="O576" s="2"/>
      <c r="P576" s="2"/>
    </row>
    <row r="577" spans="1:16" x14ac:dyDescent="0.4">
      <c r="A577">
        <v>2016</v>
      </c>
      <c r="B577" s="5" t="s">
        <v>534</v>
      </c>
      <c r="C577" s="5" t="s">
        <v>720</v>
      </c>
      <c r="D577" s="25" t="s">
        <v>193</v>
      </c>
      <c r="E577" s="64" t="s">
        <v>196</v>
      </c>
      <c r="F577" s="30">
        <v>179</v>
      </c>
      <c r="G577" s="30">
        <v>131</v>
      </c>
      <c r="H577" s="30">
        <v>48</v>
      </c>
      <c r="J577" s="2"/>
      <c r="K577" s="2"/>
      <c r="L577" s="2"/>
      <c r="M577" s="2"/>
      <c r="N577" s="2"/>
      <c r="O577" s="2"/>
      <c r="P577" s="2"/>
    </row>
    <row r="578" spans="1:16" x14ac:dyDescent="0.4">
      <c r="A578">
        <v>2016</v>
      </c>
      <c r="B578" s="5" t="s">
        <v>535</v>
      </c>
      <c r="C578" s="5" t="s">
        <v>720</v>
      </c>
      <c r="D578" s="25" t="s">
        <v>193</v>
      </c>
      <c r="E578" s="64" t="s">
        <v>197</v>
      </c>
      <c r="F578" s="30">
        <v>232</v>
      </c>
      <c r="G578" s="30">
        <v>117</v>
      </c>
      <c r="H578" s="30">
        <v>115</v>
      </c>
      <c r="J578" s="2"/>
      <c r="K578" s="2"/>
      <c r="L578" s="2"/>
      <c r="M578" s="2"/>
      <c r="N578" s="2"/>
      <c r="O578" s="2"/>
      <c r="P578" s="2"/>
    </row>
    <row r="579" spans="1:16" x14ac:dyDescent="0.4">
      <c r="A579">
        <v>2016</v>
      </c>
      <c r="B579" s="5" t="s">
        <v>536</v>
      </c>
      <c r="C579" s="5" t="s">
        <v>720</v>
      </c>
      <c r="D579" s="25" t="s">
        <v>193</v>
      </c>
      <c r="E579" s="64" t="s">
        <v>198</v>
      </c>
      <c r="F579" s="30">
        <v>905</v>
      </c>
      <c r="G579" s="30">
        <v>440</v>
      </c>
      <c r="H579" s="30">
        <v>465</v>
      </c>
      <c r="J579" s="2"/>
      <c r="K579" s="2"/>
      <c r="L579" s="2"/>
      <c r="M579" s="2"/>
      <c r="N579" s="2"/>
      <c r="O579" s="2"/>
      <c r="P579" s="2"/>
    </row>
    <row r="580" spans="1:16" x14ac:dyDescent="0.4">
      <c r="A580">
        <v>2016</v>
      </c>
      <c r="B580" s="5" t="s">
        <v>537</v>
      </c>
      <c r="C580" s="5" t="s">
        <v>720</v>
      </c>
      <c r="D580" s="25" t="s">
        <v>193</v>
      </c>
      <c r="E580" s="64" t="s">
        <v>199</v>
      </c>
      <c r="F580" s="30">
        <v>769</v>
      </c>
      <c r="G580" s="30">
        <v>578</v>
      </c>
      <c r="H580" s="30">
        <v>191</v>
      </c>
      <c r="J580" s="2"/>
      <c r="K580" s="2"/>
      <c r="L580" s="2"/>
      <c r="M580" s="2"/>
      <c r="N580" s="2"/>
      <c r="O580" s="2"/>
      <c r="P580" s="2"/>
    </row>
    <row r="581" spans="1:16" x14ac:dyDescent="0.4">
      <c r="A581">
        <v>2016</v>
      </c>
      <c r="B581" s="5" t="s">
        <v>538</v>
      </c>
      <c r="C581" s="5" t="s">
        <v>720</v>
      </c>
      <c r="D581" s="25" t="s">
        <v>193</v>
      </c>
      <c r="E581" s="64" t="s">
        <v>200</v>
      </c>
      <c r="F581" s="30">
        <v>260</v>
      </c>
      <c r="G581" s="30">
        <v>147</v>
      </c>
      <c r="H581" s="30">
        <v>113</v>
      </c>
      <c r="J581" s="2"/>
      <c r="K581" s="2"/>
      <c r="L581" s="2"/>
      <c r="M581" s="2"/>
      <c r="N581" s="2"/>
      <c r="O581" s="2"/>
      <c r="P581" s="2"/>
    </row>
    <row r="582" spans="1:16" x14ac:dyDescent="0.4">
      <c r="A582">
        <v>2016</v>
      </c>
      <c r="B582" s="5" t="s">
        <v>539</v>
      </c>
      <c r="C582" s="5" t="s">
        <v>720</v>
      </c>
      <c r="D582" s="25" t="s">
        <v>193</v>
      </c>
      <c r="E582" s="64" t="s">
        <v>201</v>
      </c>
      <c r="F582" s="30">
        <v>1918</v>
      </c>
      <c r="G582" s="30">
        <v>1.226</v>
      </c>
      <c r="H582" s="30">
        <v>692</v>
      </c>
      <c r="J582" s="2"/>
      <c r="K582" s="2"/>
      <c r="L582" s="2"/>
      <c r="M582" s="2"/>
      <c r="N582" s="2"/>
      <c r="O582" s="2"/>
      <c r="P582" s="2"/>
    </row>
    <row r="583" spans="1:16" x14ac:dyDescent="0.4">
      <c r="A583">
        <v>2016</v>
      </c>
      <c r="B583" s="5" t="s">
        <v>540</v>
      </c>
      <c r="C583" s="5" t="s">
        <v>720</v>
      </c>
      <c r="D583" s="25" t="s">
        <v>193</v>
      </c>
      <c r="E583" s="64" t="s">
        <v>14</v>
      </c>
      <c r="F583" s="30">
        <v>1080</v>
      </c>
      <c r="G583" s="30">
        <v>778</v>
      </c>
      <c r="H583" s="30">
        <v>302</v>
      </c>
      <c r="J583" s="2"/>
      <c r="K583" s="2"/>
      <c r="L583" s="2"/>
      <c r="M583" s="2"/>
      <c r="N583" s="2"/>
      <c r="O583" s="2"/>
      <c r="P583" s="2"/>
    </row>
    <row r="584" spans="1:16" x14ac:dyDescent="0.4">
      <c r="A584">
        <v>2016</v>
      </c>
      <c r="B584" s="5" t="s">
        <v>541</v>
      </c>
      <c r="C584" s="5" t="s">
        <v>720</v>
      </c>
      <c r="D584" s="25" t="s">
        <v>193</v>
      </c>
      <c r="E584" s="64" t="s">
        <v>202</v>
      </c>
      <c r="F584" s="30">
        <v>1187</v>
      </c>
      <c r="G584" s="30">
        <v>836</v>
      </c>
      <c r="H584" s="30">
        <v>351</v>
      </c>
      <c r="J584" s="2"/>
      <c r="K584" s="2"/>
      <c r="L584" s="2"/>
      <c r="M584" s="2"/>
      <c r="N584" s="2"/>
      <c r="O584" s="2"/>
      <c r="P584" s="2"/>
    </row>
    <row r="585" spans="1:16" x14ac:dyDescent="0.4">
      <c r="A585">
        <v>2016</v>
      </c>
      <c r="B585" s="5" t="s">
        <v>542</v>
      </c>
      <c r="C585" s="5" t="s">
        <v>720</v>
      </c>
      <c r="D585" s="25" t="s">
        <v>193</v>
      </c>
      <c r="E585" s="64" t="s">
        <v>203</v>
      </c>
      <c r="F585" s="30">
        <v>316</v>
      </c>
      <c r="G585" s="30">
        <v>148</v>
      </c>
      <c r="H585" s="30">
        <v>168</v>
      </c>
      <c r="J585" s="2"/>
      <c r="K585" s="2"/>
      <c r="L585" s="2"/>
      <c r="M585" s="2"/>
      <c r="N585" s="2"/>
      <c r="O585" s="2"/>
      <c r="P585" s="2"/>
    </row>
    <row r="586" spans="1:16" x14ac:dyDescent="0.4">
      <c r="A586">
        <v>2016</v>
      </c>
      <c r="B586" s="5" t="s">
        <v>543</v>
      </c>
      <c r="C586" s="5" t="s">
        <v>720</v>
      </c>
      <c r="D586" s="25" t="s">
        <v>193</v>
      </c>
      <c r="E586" s="64" t="s">
        <v>32</v>
      </c>
      <c r="F586" s="30">
        <v>293</v>
      </c>
      <c r="G586" s="30">
        <v>202</v>
      </c>
      <c r="H586" s="30">
        <v>91</v>
      </c>
      <c r="J586" s="2"/>
      <c r="K586" s="2"/>
      <c r="L586" s="2"/>
      <c r="M586" s="2"/>
      <c r="N586" s="2"/>
      <c r="O586" s="2"/>
      <c r="P586" s="2"/>
    </row>
    <row r="587" spans="1:16" x14ac:dyDescent="0.4">
      <c r="A587">
        <v>2016</v>
      </c>
      <c r="B587" s="5" t="s">
        <v>544</v>
      </c>
      <c r="C587" s="5" t="s">
        <v>720</v>
      </c>
      <c r="D587" s="25" t="s">
        <v>193</v>
      </c>
      <c r="E587" s="64" t="s">
        <v>204</v>
      </c>
      <c r="F587" s="30">
        <v>577</v>
      </c>
      <c r="G587" s="30">
        <v>451</v>
      </c>
      <c r="H587" s="30">
        <v>126</v>
      </c>
      <c r="J587" s="2"/>
      <c r="K587" s="2"/>
      <c r="L587" s="2"/>
      <c r="M587" s="2"/>
      <c r="N587" s="2"/>
      <c r="O587" s="2"/>
      <c r="P587" s="2"/>
    </row>
    <row r="588" spans="1:16" x14ac:dyDescent="0.4">
      <c r="A588">
        <v>2016</v>
      </c>
      <c r="B588" s="5" t="s">
        <v>545</v>
      </c>
      <c r="C588" s="5" t="s">
        <v>720</v>
      </c>
      <c r="D588" s="25" t="s">
        <v>193</v>
      </c>
      <c r="E588" s="64" t="s">
        <v>205</v>
      </c>
      <c r="F588" s="30">
        <v>80</v>
      </c>
      <c r="G588" s="30">
        <v>54</v>
      </c>
      <c r="H588" s="30">
        <v>26</v>
      </c>
      <c r="J588" s="2"/>
      <c r="K588" s="2"/>
      <c r="L588" s="2"/>
      <c r="M588" s="2"/>
      <c r="N588" s="2"/>
      <c r="O588" s="2"/>
      <c r="P588" s="2"/>
    </row>
    <row r="589" spans="1:16" x14ac:dyDescent="0.4">
      <c r="A589">
        <v>2016</v>
      </c>
      <c r="B589" s="5" t="s">
        <v>546</v>
      </c>
      <c r="C589" s="5" t="s">
        <v>720</v>
      </c>
      <c r="D589" s="25" t="s">
        <v>193</v>
      </c>
      <c r="E589" s="64" t="s">
        <v>206</v>
      </c>
      <c r="F589" s="30">
        <v>940</v>
      </c>
      <c r="G589" s="30">
        <v>666</v>
      </c>
      <c r="H589" s="30">
        <v>274</v>
      </c>
      <c r="J589" s="2"/>
      <c r="K589" s="2"/>
      <c r="L589" s="2"/>
      <c r="M589" s="2"/>
      <c r="N589" s="2"/>
      <c r="O589" s="2"/>
      <c r="P589" s="2"/>
    </row>
    <row r="590" spans="1:16" x14ac:dyDescent="0.4">
      <c r="A590">
        <v>2016</v>
      </c>
      <c r="B590" s="5" t="s">
        <v>547</v>
      </c>
      <c r="C590" s="5" t="s">
        <v>720</v>
      </c>
      <c r="D590" s="25" t="s">
        <v>193</v>
      </c>
      <c r="E590" s="64" t="s">
        <v>25</v>
      </c>
      <c r="F590" s="30">
        <v>188</v>
      </c>
      <c r="G590" s="30">
        <v>139</v>
      </c>
      <c r="H590" s="30">
        <v>49</v>
      </c>
      <c r="J590" s="2"/>
      <c r="K590" s="2"/>
      <c r="L590" s="2"/>
      <c r="M590" s="2"/>
      <c r="N590" s="2"/>
      <c r="O590" s="2"/>
      <c r="P590" s="2"/>
    </row>
    <row r="591" spans="1:16" x14ac:dyDescent="0.4">
      <c r="A591">
        <v>2016</v>
      </c>
      <c r="B591" s="5" t="s">
        <v>548</v>
      </c>
      <c r="C591" s="5" t="s">
        <v>720</v>
      </c>
      <c r="D591" s="25" t="s">
        <v>193</v>
      </c>
      <c r="E591" s="64" t="s">
        <v>51</v>
      </c>
      <c r="F591" s="30">
        <v>5849</v>
      </c>
      <c r="G591" s="30">
        <v>3.7109999999999999</v>
      </c>
      <c r="H591" s="30">
        <v>2.1379999999999999</v>
      </c>
      <c r="J591" s="2"/>
      <c r="K591" s="2"/>
      <c r="L591" s="2"/>
      <c r="M591" s="2"/>
      <c r="N591" s="2"/>
      <c r="O591" s="2"/>
      <c r="P591" s="2"/>
    </row>
    <row r="592" spans="1:16" x14ac:dyDescent="0.4">
      <c r="A592">
        <v>2016</v>
      </c>
      <c r="B592" s="5" t="s">
        <v>549</v>
      </c>
      <c r="C592" s="5" t="s">
        <v>720</v>
      </c>
      <c r="D592" s="25" t="s">
        <v>193</v>
      </c>
      <c r="E592" s="64" t="s">
        <v>53</v>
      </c>
      <c r="F592" s="30">
        <v>820</v>
      </c>
      <c r="G592" s="30">
        <v>556</v>
      </c>
      <c r="H592" s="30">
        <v>264</v>
      </c>
      <c r="J592" s="2"/>
      <c r="K592" s="2"/>
      <c r="L592" s="2"/>
      <c r="M592" s="2"/>
      <c r="N592" s="2"/>
      <c r="O592" s="2"/>
      <c r="P592" s="2"/>
    </row>
    <row r="593" spans="1:16" x14ac:dyDescent="0.4">
      <c r="A593">
        <v>2016</v>
      </c>
      <c r="B593" s="5" t="s">
        <v>550</v>
      </c>
      <c r="C593" s="5" t="s">
        <v>720</v>
      </c>
      <c r="D593" s="25" t="s">
        <v>193</v>
      </c>
      <c r="E593" s="65" t="s">
        <v>54</v>
      </c>
      <c r="F593" s="31">
        <v>1081</v>
      </c>
      <c r="G593" s="31">
        <v>737</v>
      </c>
      <c r="H593" s="31">
        <v>344</v>
      </c>
      <c r="J593" s="2"/>
      <c r="K593" s="2"/>
      <c r="L593" s="2"/>
      <c r="M593" s="2"/>
      <c r="N593" s="2"/>
      <c r="O593" s="2"/>
      <c r="P593" s="2"/>
    </row>
    <row r="594" spans="1:16" x14ac:dyDescent="0.4">
      <c r="A594">
        <v>2016</v>
      </c>
      <c r="B594" s="5" t="s">
        <v>551</v>
      </c>
      <c r="C594" s="5" t="s">
        <v>721</v>
      </c>
      <c r="D594" s="25" t="s">
        <v>207</v>
      </c>
      <c r="E594" s="64" t="s">
        <v>128</v>
      </c>
      <c r="F594" s="30">
        <v>69</v>
      </c>
      <c r="G594" s="30">
        <v>43</v>
      </c>
      <c r="H594" s="30">
        <v>26</v>
      </c>
      <c r="J594" s="2"/>
      <c r="K594" s="2"/>
      <c r="L594" s="2"/>
      <c r="M594" s="2"/>
      <c r="N594" s="2"/>
      <c r="O594" s="2"/>
      <c r="P594" s="2"/>
    </row>
    <row r="595" spans="1:16" x14ac:dyDescent="0.4">
      <c r="A595">
        <v>2016</v>
      </c>
      <c r="B595" s="5" t="s">
        <v>552</v>
      </c>
      <c r="C595" s="5" t="s">
        <v>721</v>
      </c>
      <c r="D595" s="25" t="s">
        <v>207</v>
      </c>
      <c r="E595" s="64" t="s">
        <v>208</v>
      </c>
      <c r="F595" s="30">
        <v>33</v>
      </c>
      <c r="G595" s="30">
        <v>24</v>
      </c>
      <c r="H595" s="30">
        <v>9</v>
      </c>
      <c r="J595" s="2"/>
      <c r="K595" s="2"/>
      <c r="L595" s="2"/>
      <c r="M595" s="2"/>
      <c r="N595" s="2"/>
      <c r="O595" s="2"/>
      <c r="P595" s="2"/>
    </row>
    <row r="596" spans="1:16" x14ac:dyDescent="0.4">
      <c r="A596">
        <v>2016</v>
      </c>
      <c r="B596" s="5" t="s">
        <v>553</v>
      </c>
      <c r="C596" s="5" t="s">
        <v>721</v>
      </c>
      <c r="D596" s="25" t="s">
        <v>207</v>
      </c>
      <c r="E596" s="64" t="s">
        <v>36</v>
      </c>
      <c r="F596" s="30">
        <v>187</v>
      </c>
      <c r="G596" s="30">
        <v>121</v>
      </c>
      <c r="H596" s="30">
        <v>66</v>
      </c>
      <c r="J596" s="2"/>
      <c r="K596" s="2"/>
      <c r="L596" s="2"/>
      <c r="M596" s="2"/>
      <c r="N596" s="2"/>
      <c r="O596" s="2"/>
      <c r="P596" s="2"/>
    </row>
    <row r="597" spans="1:16" x14ac:dyDescent="0.4">
      <c r="A597">
        <v>2016</v>
      </c>
      <c r="B597" s="5" t="s">
        <v>554</v>
      </c>
      <c r="C597" s="5" t="s">
        <v>721</v>
      </c>
      <c r="D597" s="25" t="s">
        <v>207</v>
      </c>
      <c r="E597" s="64" t="s">
        <v>209</v>
      </c>
      <c r="F597" s="30">
        <v>155</v>
      </c>
      <c r="G597" s="30">
        <v>89</v>
      </c>
      <c r="H597" s="30">
        <v>66</v>
      </c>
      <c r="J597" s="2"/>
      <c r="K597" s="2"/>
      <c r="L597" s="2"/>
      <c r="M597" s="2"/>
      <c r="N597" s="2"/>
      <c r="O597" s="2"/>
      <c r="P597" s="2"/>
    </row>
    <row r="598" spans="1:16" x14ac:dyDescent="0.4">
      <c r="A598">
        <v>2016</v>
      </c>
      <c r="B598" s="5" t="s">
        <v>555</v>
      </c>
      <c r="C598" s="5" t="s">
        <v>721</v>
      </c>
      <c r="D598" s="25" t="s">
        <v>207</v>
      </c>
      <c r="E598" s="64" t="s">
        <v>69</v>
      </c>
      <c r="F598" s="30">
        <v>138</v>
      </c>
      <c r="G598" s="30">
        <v>95</v>
      </c>
      <c r="H598" s="30">
        <v>43</v>
      </c>
      <c r="J598" s="2"/>
      <c r="K598" s="2"/>
      <c r="L598" s="2"/>
      <c r="M598" s="2"/>
      <c r="N598" s="2"/>
      <c r="O598" s="2"/>
      <c r="P598" s="2"/>
    </row>
    <row r="599" spans="1:16" x14ac:dyDescent="0.4">
      <c r="A599">
        <v>2016</v>
      </c>
      <c r="B599" s="5" t="s">
        <v>556</v>
      </c>
      <c r="C599" s="5" t="s">
        <v>721</v>
      </c>
      <c r="D599" s="25" t="s">
        <v>207</v>
      </c>
      <c r="E599" s="64" t="s">
        <v>62</v>
      </c>
      <c r="F599" s="30">
        <v>299</v>
      </c>
      <c r="G599" s="30">
        <v>207</v>
      </c>
      <c r="H599" s="30">
        <v>92</v>
      </c>
      <c r="J599" s="2"/>
      <c r="K599" s="2"/>
      <c r="L599" s="2"/>
      <c r="M599" s="2"/>
      <c r="N599" s="2"/>
      <c r="O599" s="2"/>
      <c r="P599" s="2"/>
    </row>
    <row r="600" spans="1:16" x14ac:dyDescent="0.4">
      <c r="A600">
        <v>2016</v>
      </c>
      <c r="B600" s="5" t="s">
        <v>557</v>
      </c>
      <c r="C600" s="5" t="s">
        <v>721</v>
      </c>
      <c r="D600" s="25" t="s">
        <v>207</v>
      </c>
      <c r="E600" s="64" t="s">
        <v>44</v>
      </c>
      <c r="F600" s="30">
        <v>116</v>
      </c>
      <c r="G600" s="30">
        <v>87</v>
      </c>
      <c r="H600" s="30">
        <v>29</v>
      </c>
      <c r="J600" s="2"/>
      <c r="K600" s="2"/>
      <c r="L600" s="2"/>
      <c r="M600" s="2"/>
      <c r="N600" s="2"/>
      <c r="O600" s="2"/>
      <c r="P600" s="2"/>
    </row>
    <row r="601" spans="1:16" x14ac:dyDescent="0.4">
      <c r="A601">
        <v>2016</v>
      </c>
      <c r="B601" s="5" t="s">
        <v>558</v>
      </c>
      <c r="C601" s="5" t="s">
        <v>721</v>
      </c>
      <c r="D601" s="25" t="s">
        <v>207</v>
      </c>
      <c r="E601" s="64" t="s">
        <v>210</v>
      </c>
      <c r="F601" s="30">
        <v>3917</v>
      </c>
      <c r="G601" s="30">
        <v>2.3719999999999999</v>
      </c>
      <c r="H601" s="30">
        <v>1.5449999999999999</v>
      </c>
      <c r="J601" s="2"/>
      <c r="K601" s="2"/>
      <c r="L601" s="2"/>
      <c r="M601" s="2"/>
      <c r="N601" s="2"/>
      <c r="O601" s="2"/>
      <c r="P601" s="2"/>
    </row>
    <row r="602" spans="1:16" x14ac:dyDescent="0.4">
      <c r="A602">
        <v>2016</v>
      </c>
      <c r="B602" s="5" t="s">
        <v>559</v>
      </c>
      <c r="C602" s="5" t="s">
        <v>721</v>
      </c>
      <c r="D602" s="25" t="s">
        <v>207</v>
      </c>
      <c r="E602" s="64" t="s">
        <v>74</v>
      </c>
      <c r="F602" s="30">
        <v>179</v>
      </c>
      <c r="G602" s="30">
        <v>118</v>
      </c>
      <c r="H602" s="30">
        <v>61</v>
      </c>
      <c r="J602" s="2"/>
      <c r="K602" s="2"/>
      <c r="L602" s="2"/>
      <c r="M602" s="2"/>
      <c r="N602" s="2"/>
      <c r="O602" s="2"/>
      <c r="P602" s="2"/>
    </row>
    <row r="603" spans="1:16" x14ac:dyDescent="0.4">
      <c r="A603">
        <v>2016</v>
      </c>
      <c r="B603" s="5" t="s">
        <v>560</v>
      </c>
      <c r="C603" s="5" t="s">
        <v>721</v>
      </c>
      <c r="D603" s="25" t="s">
        <v>207</v>
      </c>
      <c r="E603" s="64" t="s">
        <v>211</v>
      </c>
      <c r="F603" s="30">
        <v>121</v>
      </c>
      <c r="G603" s="30">
        <v>71</v>
      </c>
      <c r="H603" s="30">
        <v>50</v>
      </c>
      <c r="J603" s="2"/>
      <c r="K603" s="2"/>
      <c r="L603" s="2"/>
      <c r="M603" s="2"/>
      <c r="N603" s="2"/>
      <c r="O603" s="2"/>
      <c r="P603" s="2"/>
    </row>
    <row r="604" spans="1:16" x14ac:dyDescent="0.4">
      <c r="A604">
        <v>2016</v>
      </c>
      <c r="B604" s="5" t="s">
        <v>561</v>
      </c>
      <c r="C604" s="5" t="s">
        <v>721</v>
      </c>
      <c r="D604" s="25" t="s">
        <v>207</v>
      </c>
      <c r="E604" s="64" t="s">
        <v>212</v>
      </c>
      <c r="F604" s="30">
        <v>32</v>
      </c>
      <c r="G604" s="30">
        <v>23</v>
      </c>
      <c r="H604" s="30">
        <v>9</v>
      </c>
      <c r="J604" s="2"/>
      <c r="K604" s="2"/>
      <c r="L604" s="2"/>
      <c r="M604" s="2"/>
      <c r="N604" s="2"/>
      <c r="O604" s="2"/>
      <c r="P604" s="2"/>
    </row>
    <row r="605" spans="1:16" x14ac:dyDescent="0.4">
      <c r="A605">
        <v>2016</v>
      </c>
      <c r="B605" s="5" t="s">
        <v>562</v>
      </c>
      <c r="C605" s="5" t="s">
        <v>721</v>
      </c>
      <c r="D605" s="25" t="s">
        <v>207</v>
      </c>
      <c r="E605" s="64" t="s">
        <v>213</v>
      </c>
      <c r="F605" s="30">
        <v>91</v>
      </c>
      <c r="G605" s="30">
        <v>64</v>
      </c>
      <c r="H605" s="30">
        <v>27</v>
      </c>
      <c r="J605" s="2"/>
      <c r="K605" s="2"/>
      <c r="L605" s="2"/>
      <c r="M605" s="2"/>
      <c r="N605" s="2"/>
      <c r="O605" s="2"/>
      <c r="P605" s="2"/>
    </row>
    <row r="606" spans="1:16" x14ac:dyDescent="0.4">
      <c r="A606">
        <v>2016</v>
      </c>
      <c r="B606" s="5" t="s">
        <v>563</v>
      </c>
      <c r="C606" s="5" t="s">
        <v>721</v>
      </c>
      <c r="D606" s="25" t="s">
        <v>207</v>
      </c>
      <c r="E606" s="64" t="s">
        <v>214</v>
      </c>
      <c r="F606" s="30">
        <v>31</v>
      </c>
      <c r="G606" s="30">
        <v>20</v>
      </c>
      <c r="H606" s="30">
        <v>11</v>
      </c>
      <c r="J606" s="2"/>
      <c r="K606" s="2"/>
      <c r="L606" s="2"/>
      <c r="M606" s="2"/>
      <c r="N606" s="2"/>
      <c r="O606" s="2"/>
      <c r="P606" s="2"/>
    </row>
    <row r="607" spans="1:16" x14ac:dyDescent="0.4">
      <c r="A607">
        <v>2016</v>
      </c>
      <c r="B607" s="5" t="s">
        <v>564</v>
      </c>
      <c r="C607" s="5" t="s">
        <v>722</v>
      </c>
      <c r="D607" s="25" t="s">
        <v>216</v>
      </c>
      <c r="E607" s="64" t="s">
        <v>215</v>
      </c>
      <c r="F607" s="30">
        <v>103</v>
      </c>
      <c r="G607" s="30">
        <v>62</v>
      </c>
      <c r="H607" s="30">
        <v>41</v>
      </c>
      <c r="J607" s="2"/>
      <c r="K607" s="2"/>
      <c r="L607" s="2"/>
      <c r="M607" s="2"/>
      <c r="N607" s="2"/>
      <c r="O607" s="2"/>
      <c r="P607" s="2"/>
    </row>
    <row r="608" spans="1:16" x14ac:dyDescent="0.4">
      <c r="A608">
        <v>2016</v>
      </c>
      <c r="B608" s="5" t="s">
        <v>565</v>
      </c>
      <c r="C608" s="5" t="s">
        <v>722</v>
      </c>
      <c r="D608" s="25" t="s">
        <v>216</v>
      </c>
      <c r="E608" s="64" t="s">
        <v>59</v>
      </c>
      <c r="F608" s="30">
        <v>134</v>
      </c>
      <c r="G608" s="30">
        <v>70</v>
      </c>
      <c r="H608" s="30">
        <v>64</v>
      </c>
      <c r="J608" s="2"/>
      <c r="K608" s="2"/>
      <c r="L608" s="2"/>
      <c r="M608" s="2"/>
      <c r="N608" s="2"/>
      <c r="O608" s="2"/>
      <c r="P608" s="2"/>
    </row>
    <row r="609" spans="1:16" x14ac:dyDescent="0.4">
      <c r="A609">
        <v>2016</v>
      </c>
      <c r="B609" s="5" t="s">
        <v>566</v>
      </c>
      <c r="C609" s="5" t="s">
        <v>722</v>
      </c>
      <c r="D609" s="25" t="s">
        <v>216</v>
      </c>
      <c r="E609" s="64" t="s">
        <v>217</v>
      </c>
      <c r="F609" s="30">
        <v>165</v>
      </c>
      <c r="G609" s="30">
        <v>105</v>
      </c>
      <c r="H609" s="30">
        <v>60</v>
      </c>
      <c r="J609" s="2"/>
      <c r="K609" s="2"/>
      <c r="L609" s="2"/>
      <c r="M609" s="2"/>
      <c r="N609" s="2"/>
      <c r="O609" s="2"/>
      <c r="P609" s="2"/>
    </row>
    <row r="610" spans="1:16" x14ac:dyDescent="0.4">
      <c r="A610">
        <v>2016</v>
      </c>
      <c r="B610" s="5" t="s">
        <v>567</v>
      </c>
      <c r="C610" s="5" t="s">
        <v>722</v>
      </c>
      <c r="D610" s="25" t="s">
        <v>216</v>
      </c>
      <c r="E610" s="64" t="s">
        <v>218</v>
      </c>
      <c r="F610" s="30">
        <v>262</v>
      </c>
      <c r="G610" s="30">
        <v>145</v>
      </c>
      <c r="H610" s="30">
        <v>117</v>
      </c>
      <c r="J610" s="2"/>
      <c r="K610" s="2"/>
      <c r="L610" s="2"/>
      <c r="M610" s="2"/>
      <c r="N610" s="2"/>
      <c r="O610" s="2"/>
      <c r="P610" s="2"/>
    </row>
    <row r="611" spans="1:16" x14ac:dyDescent="0.4">
      <c r="A611">
        <v>2016</v>
      </c>
      <c r="B611" s="5" t="s">
        <v>568</v>
      </c>
      <c r="C611" s="5" t="s">
        <v>722</v>
      </c>
      <c r="D611" s="25" t="s">
        <v>216</v>
      </c>
      <c r="E611" s="64" t="s">
        <v>219</v>
      </c>
      <c r="F611" s="30">
        <v>121</v>
      </c>
      <c r="G611" s="30">
        <v>66</v>
      </c>
      <c r="H611" s="30">
        <v>55</v>
      </c>
      <c r="J611" s="2"/>
      <c r="K611" s="2"/>
      <c r="L611" s="2"/>
      <c r="M611" s="2"/>
      <c r="N611" s="2"/>
      <c r="O611" s="2"/>
      <c r="P611" s="2"/>
    </row>
    <row r="612" spans="1:16" x14ac:dyDescent="0.4">
      <c r="A612">
        <v>2016</v>
      </c>
      <c r="B612" s="5" t="s">
        <v>569</v>
      </c>
      <c r="C612" s="5" t="s">
        <v>722</v>
      </c>
      <c r="D612" s="25" t="s">
        <v>216</v>
      </c>
      <c r="E612" s="64" t="s">
        <v>220</v>
      </c>
      <c r="F612" s="30">
        <v>192</v>
      </c>
      <c r="G612" s="30">
        <v>107</v>
      </c>
      <c r="H612" s="30">
        <v>85</v>
      </c>
      <c r="J612" s="2"/>
      <c r="K612" s="2"/>
      <c r="L612" s="2"/>
      <c r="M612" s="2"/>
      <c r="N612" s="2"/>
      <c r="O612" s="2"/>
      <c r="P612" s="2"/>
    </row>
    <row r="613" spans="1:16" x14ac:dyDescent="0.4">
      <c r="A613">
        <v>2016</v>
      </c>
      <c r="B613" s="5" t="s">
        <v>570</v>
      </c>
      <c r="C613" s="5" t="s">
        <v>722</v>
      </c>
      <c r="D613" s="25" t="s">
        <v>216</v>
      </c>
      <c r="E613" s="64" t="s">
        <v>221</v>
      </c>
      <c r="F613" s="30">
        <v>183</v>
      </c>
      <c r="G613" s="30">
        <v>105</v>
      </c>
      <c r="H613" s="30">
        <v>78</v>
      </c>
      <c r="J613" s="2"/>
      <c r="K613" s="2"/>
      <c r="L613" s="2"/>
      <c r="M613" s="2"/>
      <c r="N613" s="2"/>
      <c r="O613" s="2"/>
      <c r="P613" s="2"/>
    </row>
    <row r="614" spans="1:16" x14ac:dyDescent="0.4">
      <c r="A614">
        <v>2016</v>
      </c>
      <c r="B614" s="5" t="s">
        <v>571</v>
      </c>
      <c r="C614" s="5" t="s">
        <v>722</v>
      </c>
      <c r="D614" s="25" t="s">
        <v>216</v>
      </c>
      <c r="E614" s="64" t="s">
        <v>222</v>
      </c>
      <c r="F614" s="30">
        <v>1050</v>
      </c>
      <c r="G614" s="30">
        <v>624</v>
      </c>
      <c r="H614" s="30">
        <v>426</v>
      </c>
      <c r="J614" s="2"/>
      <c r="K614" s="2"/>
      <c r="L614" s="2"/>
      <c r="M614" s="2"/>
      <c r="N614" s="2"/>
      <c r="O614" s="2"/>
      <c r="P614" s="2"/>
    </row>
    <row r="615" spans="1:16" x14ac:dyDescent="0.4">
      <c r="A615">
        <v>2016</v>
      </c>
      <c r="B615" s="5" t="s">
        <v>572</v>
      </c>
      <c r="C615" s="5" t="s">
        <v>722</v>
      </c>
      <c r="D615" s="25" t="s">
        <v>216</v>
      </c>
      <c r="E615" s="64" t="s">
        <v>223</v>
      </c>
      <c r="F615" s="30">
        <v>70</v>
      </c>
      <c r="G615" s="30">
        <v>36</v>
      </c>
      <c r="H615" s="30">
        <v>34</v>
      </c>
      <c r="J615" s="2"/>
      <c r="K615" s="2"/>
      <c r="L615" s="2"/>
      <c r="M615" s="2"/>
      <c r="N615" s="2"/>
      <c r="O615" s="2"/>
      <c r="P615" s="2"/>
    </row>
    <row r="616" spans="1:16" x14ac:dyDescent="0.4">
      <c r="A616">
        <v>2016</v>
      </c>
      <c r="B616" s="5" t="s">
        <v>573</v>
      </c>
      <c r="C616" s="5" t="s">
        <v>722</v>
      </c>
      <c r="D616" s="25" t="s">
        <v>216</v>
      </c>
      <c r="E616" s="64" t="s">
        <v>224</v>
      </c>
      <c r="F616" s="30">
        <v>133</v>
      </c>
      <c r="G616" s="30">
        <v>85</v>
      </c>
      <c r="H616" s="30">
        <v>48</v>
      </c>
      <c r="J616" s="2"/>
      <c r="K616" s="2"/>
      <c r="L616" s="2"/>
      <c r="M616" s="2"/>
      <c r="N616" s="2"/>
      <c r="O616" s="2"/>
      <c r="P616" s="2"/>
    </row>
    <row r="617" spans="1:16" x14ac:dyDescent="0.4">
      <c r="A617">
        <v>2016</v>
      </c>
      <c r="B617" s="5" t="s">
        <v>574</v>
      </c>
      <c r="C617" s="5" t="s">
        <v>722</v>
      </c>
      <c r="D617" s="25" t="s">
        <v>216</v>
      </c>
      <c r="E617" s="64" t="s">
        <v>225</v>
      </c>
      <c r="F617" s="30">
        <v>35</v>
      </c>
      <c r="G617" s="30">
        <v>20</v>
      </c>
      <c r="H617" s="30">
        <v>15</v>
      </c>
      <c r="J617" s="2"/>
      <c r="K617" s="2"/>
      <c r="L617" s="2"/>
      <c r="M617" s="2"/>
      <c r="N617" s="2"/>
      <c r="O617" s="2"/>
      <c r="P617" s="2"/>
    </row>
    <row r="618" spans="1:16" x14ac:dyDescent="0.4">
      <c r="A618">
        <v>2016</v>
      </c>
      <c r="B618" s="5" t="s">
        <v>575</v>
      </c>
      <c r="C618" s="5" t="s">
        <v>723</v>
      </c>
      <c r="D618" s="25" t="s">
        <v>227</v>
      </c>
      <c r="E618" s="64" t="s">
        <v>226</v>
      </c>
      <c r="F618" s="30">
        <v>101</v>
      </c>
      <c r="G618" s="30">
        <v>68</v>
      </c>
      <c r="H618" s="30">
        <v>33</v>
      </c>
      <c r="J618" s="2"/>
      <c r="K618" s="2"/>
      <c r="L618" s="2"/>
      <c r="M618" s="2"/>
      <c r="N618" s="2"/>
      <c r="O618" s="2"/>
      <c r="P618" s="2"/>
    </row>
    <row r="619" spans="1:16" x14ac:dyDescent="0.4">
      <c r="A619">
        <v>2016</v>
      </c>
      <c r="B619" s="5" t="s">
        <v>576</v>
      </c>
      <c r="C619" s="5" t="s">
        <v>723</v>
      </c>
      <c r="D619" s="25" t="s">
        <v>227</v>
      </c>
      <c r="E619" s="64" t="s">
        <v>228</v>
      </c>
      <c r="F619" s="30">
        <v>1744</v>
      </c>
      <c r="G619" s="30">
        <v>1.052</v>
      </c>
      <c r="H619" s="30">
        <v>692</v>
      </c>
      <c r="J619" s="2"/>
      <c r="K619" s="2"/>
      <c r="L619" s="2"/>
      <c r="M619" s="2"/>
      <c r="N619" s="2"/>
      <c r="O619" s="2"/>
      <c r="P619" s="2"/>
    </row>
    <row r="620" spans="1:16" x14ac:dyDescent="0.4">
      <c r="A620">
        <v>2016</v>
      </c>
      <c r="B620" s="5" t="s">
        <v>577</v>
      </c>
      <c r="C620" s="5" t="s">
        <v>723</v>
      </c>
      <c r="D620" s="25" t="s">
        <v>227</v>
      </c>
      <c r="E620" s="64" t="s">
        <v>229</v>
      </c>
      <c r="F620" s="30">
        <v>204</v>
      </c>
      <c r="G620" s="30">
        <v>121</v>
      </c>
      <c r="H620" s="30">
        <v>83</v>
      </c>
      <c r="J620" s="2"/>
      <c r="K620" s="2"/>
      <c r="L620" s="2"/>
      <c r="M620" s="2"/>
      <c r="N620" s="2"/>
      <c r="O620" s="2"/>
      <c r="P620" s="2"/>
    </row>
    <row r="621" spans="1:16" x14ac:dyDescent="0.4">
      <c r="A621">
        <v>2016</v>
      </c>
      <c r="B621" s="5" t="s">
        <v>578</v>
      </c>
      <c r="C621" s="5" t="s">
        <v>723</v>
      </c>
      <c r="D621" s="25" t="s">
        <v>227</v>
      </c>
      <c r="E621" s="64" t="s">
        <v>230</v>
      </c>
      <c r="F621" s="30">
        <v>1447</v>
      </c>
      <c r="G621" s="30">
        <v>849</v>
      </c>
      <c r="H621" s="30">
        <v>598</v>
      </c>
      <c r="J621" s="2"/>
      <c r="K621" s="2"/>
      <c r="L621" s="2"/>
      <c r="M621" s="2"/>
      <c r="N621" s="2"/>
      <c r="O621" s="2"/>
      <c r="P621" s="2"/>
    </row>
    <row r="622" spans="1:16" x14ac:dyDescent="0.4">
      <c r="A622">
        <v>2016</v>
      </c>
      <c r="B622" s="5" t="s">
        <v>579</v>
      </c>
      <c r="C622" s="5" t="s">
        <v>723</v>
      </c>
      <c r="D622" s="25" t="s">
        <v>227</v>
      </c>
      <c r="E622" s="64" t="s">
        <v>231</v>
      </c>
      <c r="F622" s="30">
        <v>101</v>
      </c>
      <c r="G622" s="30">
        <v>61</v>
      </c>
      <c r="H622" s="30">
        <v>40</v>
      </c>
      <c r="J622" s="2"/>
      <c r="K622" s="2"/>
      <c r="L622" s="2"/>
      <c r="M622" s="2"/>
      <c r="N622" s="2"/>
      <c r="O622" s="2"/>
      <c r="P622" s="2"/>
    </row>
    <row r="623" spans="1:16" ht="23.15" x14ac:dyDescent="0.4">
      <c r="A623">
        <v>2016</v>
      </c>
      <c r="B623" s="5" t="s">
        <v>580</v>
      </c>
      <c r="C623" s="5" t="s">
        <v>723</v>
      </c>
      <c r="D623" s="25" t="s">
        <v>227</v>
      </c>
      <c r="E623" s="64" t="s">
        <v>232</v>
      </c>
      <c r="F623" s="30">
        <v>93</v>
      </c>
      <c r="G623" s="30">
        <v>58</v>
      </c>
      <c r="H623" s="30">
        <v>35</v>
      </c>
      <c r="J623" s="2"/>
      <c r="K623" s="2"/>
      <c r="L623" s="2"/>
      <c r="M623" s="2"/>
      <c r="N623" s="2"/>
      <c r="O623" s="2"/>
      <c r="P623" s="2"/>
    </row>
    <row r="624" spans="1:16" x14ac:dyDescent="0.4">
      <c r="A624">
        <v>2016</v>
      </c>
      <c r="B624" s="5" t="s">
        <v>581</v>
      </c>
      <c r="C624" s="5" t="s">
        <v>723</v>
      </c>
      <c r="D624" s="25" t="s">
        <v>227</v>
      </c>
      <c r="E624" s="64" t="s">
        <v>233</v>
      </c>
      <c r="F624" s="30">
        <v>193</v>
      </c>
      <c r="G624" s="30">
        <v>135</v>
      </c>
      <c r="H624" s="30">
        <v>58</v>
      </c>
      <c r="J624" s="2"/>
      <c r="K624" s="2"/>
      <c r="L624" s="2"/>
      <c r="M624" s="2"/>
      <c r="N624" s="2"/>
      <c r="O624" s="2"/>
      <c r="P624" s="2"/>
    </row>
    <row r="625" spans="1:16" x14ac:dyDescent="0.4">
      <c r="A625">
        <v>2016</v>
      </c>
      <c r="B625" s="5" t="s">
        <v>582</v>
      </c>
      <c r="C625" s="5" t="s">
        <v>723</v>
      </c>
      <c r="D625" s="25" t="s">
        <v>227</v>
      </c>
      <c r="E625" s="64" t="s">
        <v>32</v>
      </c>
      <c r="F625" s="30">
        <v>718</v>
      </c>
      <c r="G625" s="30">
        <v>432</v>
      </c>
      <c r="H625" s="30">
        <v>286</v>
      </c>
      <c r="J625" s="2"/>
      <c r="K625" s="2"/>
      <c r="L625" s="2"/>
      <c r="M625" s="2"/>
      <c r="N625" s="2"/>
      <c r="O625" s="2"/>
      <c r="P625" s="2"/>
    </row>
    <row r="626" spans="1:16" x14ac:dyDescent="0.4">
      <c r="A626">
        <v>2016</v>
      </c>
      <c r="B626" s="5" t="s">
        <v>583</v>
      </c>
      <c r="C626" s="5" t="s">
        <v>723</v>
      </c>
      <c r="D626" s="25" t="s">
        <v>227</v>
      </c>
      <c r="E626" s="64" t="s">
        <v>234</v>
      </c>
      <c r="F626" s="30">
        <v>39</v>
      </c>
      <c r="G626" s="30">
        <v>32</v>
      </c>
      <c r="H626" s="30">
        <v>7</v>
      </c>
      <c r="J626" s="2"/>
      <c r="K626" s="2"/>
      <c r="L626" s="2"/>
      <c r="M626" s="2"/>
      <c r="N626" s="2"/>
      <c r="O626" s="2"/>
      <c r="P626" s="2"/>
    </row>
    <row r="627" spans="1:16" x14ac:dyDescent="0.4">
      <c r="A627">
        <v>2016</v>
      </c>
      <c r="B627" s="5" t="s">
        <v>584</v>
      </c>
      <c r="C627" s="5" t="s">
        <v>723</v>
      </c>
      <c r="D627" s="25" t="s">
        <v>227</v>
      </c>
      <c r="E627" s="64" t="s">
        <v>235</v>
      </c>
      <c r="F627" s="30">
        <v>73</v>
      </c>
      <c r="G627" s="30">
        <v>47</v>
      </c>
      <c r="H627" s="30">
        <v>26</v>
      </c>
      <c r="J627" s="2"/>
      <c r="K627" s="2"/>
      <c r="L627" s="2"/>
      <c r="M627" s="2"/>
      <c r="N627" s="2"/>
      <c r="O627" s="2"/>
      <c r="P627" s="2"/>
    </row>
    <row r="628" spans="1:16" x14ac:dyDescent="0.4">
      <c r="A628">
        <v>2016</v>
      </c>
      <c r="B628" s="5" t="s">
        <v>585</v>
      </c>
      <c r="C628" s="5" t="s">
        <v>723</v>
      </c>
      <c r="D628" s="25" t="s">
        <v>227</v>
      </c>
      <c r="E628" s="64" t="s">
        <v>236</v>
      </c>
      <c r="F628" s="30">
        <v>57</v>
      </c>
      <c r="G628" s="30">
        <v>43</v>
      </c>
      <c r="H628" s="30">
        <v>14</v>
      </c>
      <c r="J628" s="2"/>
      <c r="K628" s="2"/>
      <c r="L628" s="2"/>
      <c r="M628" s="2"/>
      <c r="N628" s="2"/>
      <c r="O628" s="2"/>
      <c r="P628" s="2"/>
    </row>
    <row r="629" spans="1:16" x14ac:dyDescent="0.4">
      <c r="A629">
        <v>2016</v>
      </c>
      <c r="B629" s="5" t="s">
        <v>586</v>
      </c>
      <c r="C629" s="5" t="s">
        <v>723</v>
      </c>
      <c r="D629" s="25" t="s">
        <v>227</v>
      </c>
      <c r="E629" s="64" t="s">
        <v>237</v>
      </c>
      <c r="F629" s="30">
        <v>37</v>
      </c>
      <c r="G629" s="30">
        <v>22</v>
      </c>
      <c r="H629" s="30">
        <v>15</v>
      </c>
      <c r="J629" s="2"/>
      <c r="K629" s="2"/>
      <c r="L629" s="2"/>
      <c r="M629" s="2"/>
      <c r="N629" s="2"/>
      <c r="O629" s="2"/>
      <c r="P629" s="2"/>
    </row>
    <row r="630" spans="1:16" x14ac:dyDescent="0.4">
      <c r="A630">
        <v>2016</v>
      </c>
      <c r="B630" s="5" t="s">
        <v>587</v>
      </c>
      <c r="C630" s="5" t="s">
        <v>723</v>
      </c>
      <c r="D630" s="25" t="s">
        <v>227</v>
      </c>
      <c r="E630" s="64" t="s">
        <v>51</v>
      </c>
      <c r="F630" s="30">
        <v>142</v>
      </c>
      <c r="G630" s="30">
        <v>88</v>
      </c>
      <c r="H630" s="30">
        <v>54</v>
      </c>
      <c r="J630" s="2"/>
      <c r="K630" s="2"/>
      <c r="L630" s="2"/>
      <c r="M630" s="2"/>
      <c r="N630" s="2"/>
      <c r="O630" s="2"/>
      <c r="P630" s="2"/>
    </row>
    <row r="631" spans="1:16" x14ac:dyDescent="0.4">
      <c r="A631">
        <v>2016</v>
      </c>
      <c r="B631" s="5" t="s">
        <v>588</v>
      </c>
      <c r="C631" s="5" t="s">
        <v>723</v>
      </c>
      <c r="D631" s="25" t="s">
        <v>227</v>
      </c>
      <c r="E631" s="64" t="s">
        <v>238</v>
      </c>
      <c r="F631" s="30">
        <v>273</v>
      </c>
      <c r="G631" s="30">
        <v>171</v>
      </c>
      <c r="H631" s="30">
        <v>102</v>
      </c>
      <c r="J631" s="2"/>
      <c r="K631" s="2"/>
      <c r="L631" s="2"/>
      <c r="M631" s="2"/>
      <c r="N631" s="2"/>
      <c r="O631" s="2"/>
      <c r="P631" s="2"/>
    </row>
    <row r="632" spans="1:16" x14ac:dyDescent="0.4">
      <c r="A632">
        <v>2016</v>
      </c>
      <c r="B632" s="5" t="s">
        <v>589</v>
      </c>
      <c r="C632" s="5" t="s">
        <v>724</v>
      </c>
      <c r="D632" s="25" t="s">
        <v>239</v>
      </c>
      <c r="E632" s="64" t="s">
        <v>163</v>
      </c>
      <c r="F632" s="30">
        <v>137</v>
      </c>
      <c r="G632" s="30">
        <v>85</v>
      </c>
      <c r="H632" s="30">
        <v>52</v>
      </c>
      <c r="J632" s="2"/>
      <c r="K632" s="2"/>
      <c r="L632" s="2"/>
      <c r="M632" s="2"/>
      <c r="N632" s="2"/>
      <c r="O632" s="2"/>
      <c r="P632" s="2"/>
    </row>
    <row r="633" spans="1:16" x14ac:dyDescent="0.4">
      <c r="A633">
        <v>2016</v>
      </c>
      <c r="B633" s="5" t="s">
        <v>590</v>
      </c>
      <c r="C633" s="5" t="s">
        <v>724</v>
      </c>
      <c r="D633" s="25" t="s">
        <v>239</v>
      </c>
      <c r="E633" s="64" t="s">
        <v>240</v>
      </c>
      <c r="F633" s="30">
        <v>82</v>
      </c>
      <c r="G633" s="30">
        <v>54</v>
      </c>
      <c r="H633" s="30">
        <v>28</v>
      </c>
      <c r="J633" s="2"/>
      <c r="K633" s="2"/>
      <c r="L633" s="2"/>
      <c r="M633" s="2"/>
      <c r="N633" s="2"/>
      <c r="O633" s="2"/>
      <c r="P633" s="2"/>
    </row>
    <row r="634" spans="1:16" x14ac:dyDescent="0.4">
      <c r="A634">
        <v>2016</v>
      </c>
      <c r="B634" s="5" t="s">
        <v>591</v>
      </c>
      <c r="C634" s="5" t="s">
        <v>724</v>
      </c>
      <c r="D634" s="25" t="s">
        <v>239</v>
      </c>
      <c r="E634" s="64" t="s">
        <v>59</v>
      </c>
      <c r="F634" s="30">
        <v>235</v>
      </c>
      <c r="G634" s="30">
        <v>140</v>
      </c>
      <c r="H634" s="30">
        <v>95</v>
      </c>
      <c r="J634" s="2"/>
      <c r="K634" s="2"/>
      <c r="L634" s="2"/>
      <c r="M634" s="2"/>
      <c r="N634" s="2"/>
      <c r="O634" s="2"/>
      <c r="P634" s="2"/>
    </row>
    <row r="635" spans="1:16" x14ac:dyDescent="0.4">
      <c r="A635">
        <v>2016</v>
      </c>
      <c r="B635" s="5" t="s">
        <v>592</v>
      </c>
      <c r="C635" s="5" t="s">
        <v>724</v>
      </c>
      <c r="D635" s="25" t="s">
        <v>239</v>
      </c>
      <c r="E635" s="64" t="s">
        <v>241</v>
      </c>
      <c r="F635" s="30">
        <v>108</v>
      </c>
      <c r="G635" s="30">
        <v>66</v>
      </c>
      <c r="H635" s="30">
        <v>42</v>
      </c>
      <c r="J635" s="2"/>
      <c r="K635" s="2"/>
      <c r="L635" s="2"/>
      <c r="M635" s="2"/>
      <c r="N635" s="2"/>
      <c r="O635" s="2"/>
      <c r="P635" s="2"/>
    </row>
    <row r="636" spans="1:16" x14ac:dyDescent="0.4">
      <c r="A636">
        <v>2016</v>
      </c>
      <c r="B636" s="5" t="s">
        <v>593</v>
      </c>
      <c r="C636" s="5" t="s">
        <v>724</v>
      </c>
      <c r="D636" s="25" t="s">
        <v>239</v>
      </c>
      <c r="E636" s="64" t="s">
        <v>242</v>
      </c>
      <c r="F636" s="30">
        <v>1575</v>
      </c>
      <c r="G636" s="30">
        <v>932</v>
      </c>
      <c r="H636" s="30">
        <v>643</v>
      </c>
      <c r="J636" s="2"/>
      <c r="K636" s="2"/>
      <c r="L636" s="2"/>
      <c r="M636" s="2"/>
      <c r="N636" s="2"/>
      <c r="O636" s="2"/>
      <c r="P636" s="2"/>
    </row>
    <row r="637" spans="1:16" x14ac:dyDescent="0.4">
      <c r="A637">
        <v>2016</v>
      </c>
      <c r="B637" s="5" t="s">
        <v>594</v>
      </c>
      <c r="C637" s="5" t="s">
        <v>724</v>
      </c>
      <c r="D637" s="25" t="s">
        <v>239</v>
      </c>
      <c r="E637" s="64" t="s">
        <v>36</v>
      </c>
      <c r="F637" s="30">
        <v>80</v>
      </c>
      <c r="G637" s="30">
        <v>46</v>
      </c>
      <c r="H637" s="30">
        <v>34</v>
      </c>
      <c r="J637" s="2"/>
      <c r="K637" s="2"/>
      <c r="L637" s="2"/>
      <c r="M637" s="2"/>
      <c r="N637" s="2"/>
      <c r="O637" s="2"/>
      <c r="P637" s="2"/>
    </row>
    <row r="638" spans="1:16" x14ac:dyDescent="0.4">
      <c r="A638">
        <v>2016</v>
      </c>
      <c r="B638" s="5" t="s">
        <v>595</v>
      </c>
      <c r="C638" s="5" t="s">
        <v>724</v>
      </c>
      <c r="D638" s="25" t="s">
        <v>239</v>
      </c>
      <c r="E638" s="64" t="s">
        <v>243</v>
      </c>
      <c r="F638" s="30">
        <v>93</v>
      </c>
      <c r="G638" s="30">
        <v>56</v>
      </c>
      <c r="H638" s="30">
        <v>37</v>
      </c>
      <c r="J638" s="2"/>
      <c r="K638" s="2"/>
      <c r="L638" s="2"/>
      <c r="M638" s="2"/>
      <c r="N638" s="2"/>
      <c r="O638" s="2"/>
      <c r="P638" s="2"/>
    </row>
    <row r="639" spans="1:16" x14ac:dyDescent="0.4">
      <c r="A639">
        <v>2016</v>
      </c>
      <c r="B639" s="5" t="s">
        <v>596</v>
      </c>
      <c r="C639" s="5" t="s">
        <v>724</v>
      </c>
      <c r="D639" s="25" t="s">
        <v>239</v>
      </c>
      <c r="E639" s="64" t="s">
        <v>244</v>
      </c>
      <c r="F639" s="30">
        <v>114</v>
      </c>
      <c r="G639" s="30">
        <v>70</v>
      </c>
      <c r="H639" s="30">
        <v>44</v>
      </c>
      <c r="J639" s="2"/>
      <c r="K639" s="2"/>
      <c r="L639" s="2"/>
      <c r="M639" s="2"/>
      <c r="N639" s="2"/>
      <c r="O639" s="2"/>
      <c r="P639" s="2"/>
    </row>
    <row r="640" spans="1:16" x14ac:dyDescent="0.4">
      <c r="A640">
        <v>2016</v>
      </c>
      <c r="B640" s="5" t="s">
        <v>597</v>
      </c>
      <c r="C640" s="5" t="s">
        <v>724</v>
      </c>
      <c r="D640" s="25" t="s">
        <v>239</v>
      </c>
      <c r="E640" s="64" t="s">
        <v>44</v>
      </c>
      <c r="F640" s="30">
        <v>39</v>
      </c>
      <c r="G640" s="30">
        <v>25</v>
      </c>
      <c r="H640" s="30">
        <v>14</v>
      </c>
      <c r="J640" s="2"/>
      <c r="K640" s="2"/>
      <c r="L640" s="2"/>
      <c r="M640" s="2"/>
      <c r="N640" s="2"/>
      <c r="O640" s="2"/>
      <c r="P640" s="2"/>
    </row>
    <row r="641" spans="1:16" x14ac:dyDescent="0.4">
      <c r="A641">
        <v>2016</v>
      </c>
      <c r="B641" s="5" t="s">
        <v>598</v>
      </c>
      <c r="C641" s="5" t="s">
        <v>724</v>
      </c>
      <c r="D641" s="25" t="s">
        <v>239</v>
      </c>
      <c r="E641" s="64" t="s">
        <v>222</v>
      </c>
      <c r="F641" s="30">
        <v>106</v>
      </c>
      <c r="G641" s="30">
        <v>61</v>
      </c>
      <c r="H641" s="30">
        <v>45</v>
      </c>
      <c r="J641" s="2"/>
      <c r="K641" s="2"/>
      <c r="L641" s="2"/>
      <c r="M641" s="2"/>
      <c r="N641" s="2"/>
      <c r="O641" s="2"/>
      <c r="P641" s="2"/>
    </row>
    <row r="642" spans="1:16" x14ac:dyDescent="0.4">
      <c r="A642">
        <v>2016</v>
      </c>
      <c r="B642" s="5" t="s">
        <v>599</v>
      </c>
      <c r="C642" s="5" t="s">
        <v>724</v>
      </c>
      <c r="D642" s="25" t="s">
        <v>239</v>
      </c>
      <c r="E642" s="64" t="s">
        <v>245</v>
      </c>
      <c r="F642" s="30">
        <v>40</v>
      </c>
      <c r="G642" s="30">
        <v>26</v>
      </c>
      <c r="H642" s="30">
        <v>14</v>
      </c>
      <c r="J642" s="2"/>
      <c r="K642" s="2"/>
      <c r="L642" s="2"/>
      <c r="M642" s="2"/>
      <c r="N642" s="2"/>
      <c r="O642" s="2"/>
      <c r="P642" s="2"/>
    </row>
    <row r="643" spans="1:16" x14ac:dyDescent="0.4">
      <c r="A643">
        <v>2016</v>
      </c>
      <c r="B643" s="5" t="s">
        <v>600</v>
      </c>
      <c r="C643" s="5" t="s">
        <v>724</v>
      </c>
      <c r="D643" s="25" t="s">
        <v>239</v>
      </c>
      <c r="E643" s="64" t="s">
        <v>246</v>
      </c>
      <c r="F643" s="30">
        <v>246</v>
      </c>
      <c r="G643" s="30">
        <v>153</v>
      </c>
      <c r="H643" s="30">
        <v>93</v>
      </c>
      <c r="J643" s="2"/>
      <c r="K643" s="2"/>
      <c r="L643" s="2"/>
      <c r="M643" s="2"/>
      <c r="N643" s="2"/>
      <c r="O643" s="2"/>
      <c r="P643" s="2"/>
    </row>
    <row r="644" spans="1:16" x14ac:dyDescent="0.4">
      <c r="A644">
        <v>2016</v>
      </c>
      <c r="B644" s="5" t="s">
        <v>601</v>
      </c>
      <c r="C644" s="5" t="s">
        <v>724</v>
      </c>
      <c r="D644" s="25" t="s">
        <v>239</v>
      </c>
      <c r="E644" s="64" t="s">
        <v>247</v>
      </c>
      <c r="F644" s="30">
        <v>267</v>
      </c>
      <c r="G644" s="30">
        <v>181</v>
      </c>
      <c r="H644" s="30">
        <v>86</v>
      </c>
      <c r="J644" s="2"/>
      <c r="K644" s="2"/>
      <c r="L644" s="2"/>
      <c r="M644" s="2"/>
      <c r="N644" s="2"/>
      <c r="O644" s="2"/>
      <c r="P644" s="2"/>
    </row>
    <row r="645" spans="1:16" x14ac:dyDescent="0.4">
      <c r="A645">
        <v>2016</v>
      </c>
      <c r="B645" s="5" t="s">
        <v>602</v>
      </c>
      <c r="C645" s="5" t="s">
        <v>724</v>
      </c>
      <c r="D645" s="25" t="s">
        <v>239</v>
      </c>
      <c r="E645" s="64" t="s">
        <v>51</v>
      </c>
      <c r="F645" s="30">
        <v>3001</v>
      </c>
      <c r="G645" s="30">
        <v>1.7849999999999999</v>
      </c>
      <c r="H645" s="30">
        <v>1.216</v>
      </c>
      <c r="J645" s="2"/>
      <c r="K645" s="2"/>
      <c r="L645" s="2"/>
      <c r="M645" s="2"/>
      <c r="N645" s="2"/>
      <c r="O645" s="2"/>
      <c r="P645" s="2"/>
    </row>
    <row r="646" spans="1:16" x14ac:dyDescent="0.4">
      <c r="A646">
        <v>2016</v>
      </c>
      <c r="B646" s="5" t="s">
        <v>603</v>
      </c>
      <c r="C646" s="5" t="s">
        <v>724</v>
      </c>
      <c r="D646" s="25" t="s">
        <v>239</v>
      </c>
      <c r="E646" s="65" t="s">
        <v>248</v>
      </c>
      <c r="F646" s="31">
        <v>208</v>
      </c>
      <c r="G646" s="31">
        <v>122</v>
      </c>
      <c r="H646" s="31">
        <v>86</v>
      </c>
      <c r="J646" s="2"/>
      <c r="K646" s="2"/>
      <c r="L646" s="2"/>
      <c r="M646" s="2"/>
      <c r="N646" s="2"/>
      <c r="O646" s="2"/>
      <c r="P646" s="2"/>
    </row>
    <row r="647" spans="1:16" x14ac:dyDescent="0.4">
      <c r="A647">
        <v>2016</v>
      </c>
      <c r="B647" s="5" t="s">
        <v>604</v>
      </c>
      <c r="C647" s="5" t="s">
        <v>725</v>
      </c>
      <c r="D647" s="25" t="s">
        <v>249</v>
      </c>
      <c r="E647" s="64" t="s">
        <v>174</v>
      </c>
      <c r="F647" s="30">
        <v>88</v>
      </c>
      <c r="G647" s="30">
        <v>52</v>
      </c>
      <c r="H647" s="30">
        <v>36</v>
      </c>
      <c r="J647" s="2"/>
      <c r="K647" s="2"/>
      <c r="L647" s="2"/>
      <c r="M647" s="2"/>
      <c r="N647" s="2"/>
      <c r="O647" s="2"/>
      <c r="P647" s="2"/>
    </row>
    <row r="648" spans="1:16" x14ac:dyDescent="0.4">
      <c r="A648">
        <v>2016</v>
      </c>
      <c r="B648" s="5" t="s">
        <v>605</v>
      </c>
      <c r="C648" s="5" t="s">
        <v>725</v>
      </c>
      <c r="D648" s="25" t="s">
        <v>249</v>
      </c>
      <c r="E648" s="64" t="s">
        <v>250</v>
      </c>
      <c r="F648" s="30">
        <v>47</v>
      </c>
      <c r="G648" s="30">
        <v>30</v>
      </c>
      <c r="H648" s="30">
        <v>17</v>
      </c>
      <c r="J648" s="2"/>
      <c r="K648" s="2"/>
      <c r="L648" s="2"/>
      <c r="M648" s="2"/>
      <c r="N648" s="2"/>
      <c r="O648" s="2"/>
      <c r="P648" s="2"/>
    </row>
    <row r="649" spans="1:16" x14ac:dyDescent="0.4">
      <c r="A649">
        <v>2016</v>
      </c>
      <c r="B649" s="5" t="s">
        <v>606</v>
      </c>
      <c r="C649" s="5" t="s">
        <v>725</v>
      </c>
      <c r="D649" s="25" t="s">
        <v>249</v>
      </c>
      <c r="E649" s="64" t="s">
        <v>251</v>
      </c>
      <c r="F649" s="30">
        <v>348</v>
      </c>
      <c r="G649" s="30">
        <v>228</v>
      </c>
      <c r="H649" s="30">
        <v>120</v>
      </c>
      <c r="J649" s="2"/>
      <c r="K649" s="2"/>
      <c r="L649" s="2"/>
      <c r="M649" s="2"/>
      <c r="N649" s="2"/>
      <c r="O649" s="2"/>
      <c r="P649" s="2"/>
    </row>
    <row r="650" spans="1:16" x14ac:dyDescent="0.4">
      <c r="A650">
        <v>2016</v>
      </c>
      <c r="B650" s="5" t="s">
        <v>607</v>
      </c>
      <c r="C650" s="5" t="s">
        <v>725</v>
      </c>
      <c r="D650" s="25" t="s">
        <v>249</v>
      </c>
      <c r="E650" s="64" t="s">
        <v>36</v>
      </c>
      <c r="F650" s="30">
        <v>194</v>
      </c>
      <c r="G650" s="30">
        <v>106</v>
      </c>
      <c r="H650" s="30">
        <v>88</v>
      </c>
      <c r="J650" s="2"/>
      <c r="K650" s="2"/>
      <c r="L650" s="2"/>
      <c r="M650" s="2"/>
      <c r="N650" s="2"/>
      <c r="O650" s="2"/>
      <c r="P650" s="2"/>
    </row>
    <row r="651" spans="1:16" x14ac:dyDescent="0.4">
      <c r="A651">
        <v>2016</v>
      </c>
      <c r="B651" s="5" t="s">
        <v>608</v>
      </c>
      <c r="C651" s="5" t="s">
        <v>725</v>
      </c>
      <c r="D651" s="25" t="s">
        <v>249</v>
      </c>
      <c r="E651" s="64" t="s">
        <v>252</v>
      </c>
      <c r="F651" s="30">
        <v>295</v>
      </c>
      <c r="G651" s="30">
        <v>166</v>
      </c>
      <c r="H651" s="30">
        <v>129</v>
      </c>
      <c r="J651" s="2"/>
      <c r="K651" s="2"/>
      <c r="L651" s="2"/>
      <c r="M651" s="2"/>
      <c r="N651" s="2"/>
      <c r="O651" s="2"/>
      <c r="P651" s="2"/>
    </row>
    <row r="652" spans="1:16" x14ac:dyDescent="0.4">
      <c r="A652">
        <v>2016</v>
      </c>
      <c r="B652" s="5" t="s">
        <v>609</v>
      </c>
      <c r="C652" s="5" t="s">
        <v>725</v>
      </c>
      <c r="D652" s="25" t="s">
        <v>249</v>
      </c>
      <c r="E652" s="64" t="s">
        <v>253</v>
      </c>
      <c r="F652" s="30">
        <v>112</v>
      </c>
      <c r="G652" s="30">
        <v>69</v>
      </c>
      <c r="H652" s="30">
        <v>43</v>
      </c>
      <c r="J652" s="2"/>
      <c r="K652" s="2"/>
      <c r="L652" s="2"/>
      <c r="M652" s="2"/>
      <c r="N652" s="2"/>
      <c r="O652" s="2"/>
      <c r="P652" s="2"/>
    </row>
    <row r="653" spans="1:16" x14ac:dyDescent="0.4">
      <c r="A653">
        <v>2016</v>
      </c>
      <c r="B653" s="5" t="s">
        <v>610</v>
      </c>
      <c r="C653" s="5" t="s">
        <v>725</v>
      </c>
      <c r="D653" s="25" t="s">
        <v>249</v>
      </c>
      <c r="E653" s="64" t="s">
        <v>254</v>
      </c>
      <c r="F653" s="30">
        <v>194</v>
      </c>
      <c r="G653" s="30">
        <v>138</v>
      </c>
      <c r="H653" s="30">
        <v>56</v>
      </c>
      <c r="J653" s="2"/>
      <c r="K653" s="2"/>
      <c r="L653" s="2"/>
      <c r="M653" s="2"/>
      <c r="N653" s="2"/>
      <c r="O653" s="2"/>
      <c r="P653" s="2"/>
    </row>
    <row r="654" spans="1:16" x14ac:dyDescent="0.4">
      <c r="A654">
        <v>2016</v>
      </c>
      <c r="B654" s="5" t="s">
        <v>611</v>
      </c>
      <c r="C654" s="5" t="s">
        <v>725</v>
      </c>
      <c r="D654" s="25" t="s">
        <v>249</v>
      </c>
      <c r="E654" s="64" t="s">
        <v>11</v>
      </c>
      <c r="F654" s="30">
        <v>36</v>
      </c>
      <c r="G654" s="30">
        <v>17</v>
      </c>
      <c r="H654" s="30">
        <v>19</v>
      </c>
      <c r="J654" s="2"/>
      <c r="K654" s="2"/>
      <c r="L654" s="2"/>
      <c r="M654" s="2"/>
      <c r="N654" s="2"/>
      <c r="O654" s="2"/>
      <c r="P654" s="2"/>
    </row>
    <row r="655" spans="1:16" x14ac:dyDescent="0.4">
      <c r="A655">
        <v>2016</v>
      </c>
      <c r="B655" s="5" t="s">
        <v>612</v>
      </c>
      <c r="C655" s="5" t="s">
        <v>725</v>
      </c>
      <c r="D655" s="25" t="s">
        <v>249</v>
      </c>
      <c r="E655" s="64" t="s">
        <v>255</v>
      </c>
      <c r="F655" s="30">
        <v>236</v>
      </c>
      <c r="G655" s="30">
        <v>149</v>
      </c>
      <c r="H655" s="30">
        <v>87</v>
      </c>
      <c r="J655" s="2"/>
      <c r="K655" s="2"/>
      <c r="L655" s="2"/>
      <c r="M655" s="2"/>
      <c r="N655" s="2"/>
      <c r="O655" s="2"/>
      <c r="P655" s="2"/>
    </row>
    <row r="656" spans="1:16" x14ac:dyDescent="0.4">
      <c r="A656">
        <v>2016</v>
      </c>
      <c r="B656" s="5" t="s">
        <v>613</v>
      </c>
      <c r="C656" s="5" t="s">
        <v>725</v>
      </c>
      <c r="D656" s="25" t="s">
        <v>249</v>
      </c>
      <c r="E656" s="64" t="s">
        <v>256</v>
      </c>
      <c r="F656" s="30">
        <v>111</v>
      </c>
      <c r="G656" s="30">
        <v>67</v>
      </c>
      <c r="H656" s="30">
        <v>44</v>
      </c>
      <c r="J656" s="2"/>
      <c r="K656" s="2"/>
      <c r="L656" s="2"/>
      <c r="M656" s="2"/>
      <c r="N656" s="2"/>
      <c r="O656" s="2"/>
      <c r="P656" s="2"/>
    </row>
    <row r="657" spans="1:16" x14ac:dyDescent="0.4">
      <c r="A657">
        <v>2016</v>
      </c>
      <c r="B657" s="5" t="s">
        <v>614</v>
      </c>
      <c r="C657" s="5" t="s">
        <v>725</v>
      </c>
      <c r="D657" s="25" t="s">
        <v>249</v>
      </c>
      <c r="E657" s="64" t="s">
        <v>14</v>
      </c>
      <c r="F657" s="30">
        <v>145</v>
      </c>
      <c r="G657" s="30">
        <v>91</v>
      </c>
      <c r="H657" s="30">
        <v>54</v>
      </c>
      <c r="J657" s="2"/>
      <c r="K657" s="2"/>
      <c r="L657" s="2"/>
      <c r="M657" s="2"/>
      <c r="N657" s="2"/>
      <c r="O657" s="2"/>
      <c r="P657" s="2"/>
    </row>
    <row r="658" spans="1:16" x14ac:dyDescent="0.4">
      <c r="A658">
        <v>2016</v>
      </c>
      <c r="B658" s="5" t="s">
        <v>615</v>
      </c>
      <c r="C658" s="5" t="s">
        <v>725</v>
      </c>
      <c r="D658" s="25" t="s">
        <v>249</v>
      </c>
      <c r="E658" s="64" t="s">
        <v>257</v>
      </c>
      <c r="F658" s="30">
        <v>224</v>
      </c>
      <c r="G658" s="30">
        <v>136</v>
      </c>
      <c r="H658" s="30">
        <v>88</v>
      </c>
      <c r="J658" s="2"/>
      <c r="K658" s="2"/>
      <c r="L658" s="2"/>
      <c r="M658" s="2"/>
      <c r="N658" s="2"/>
      <c r="O658" s="2"/>
      <c r="P658" s="2"/>
    </row>
    <row r="659" spans="1:16" x14ac:dyDescent="0.4">
      <c r="A659">
        <v>2016</v>
      </c>
      <c r="B659" s="5" t="s">
        <v>616</v>
      </c>
      <c r="C659" s="5" t="s">
        <v>725</v>
      </c>
      <c r="D659" s="25" t="s">
        <v>249</v>
      </c>
      <c r="E659" s="64" t="s">
        <v>258</v>
      </c>
      <c r="F659" s="30">
        <v>42</v>
      </c>
      <c r="G659" s="30">
        <v>30</v>
      </c>
      <c r="H659" s="30">
        <v>12</v>
      </c>
      <c r="J659" s="2"/>
      <c r="K659" s="2"/>
      <c r="L659" s="2"/>
      <c r="M659" s="2"/>
      <c r="N659" s="2"/>
      <c r="O659" s="2"/>
      <c r="P659" s="2"/>
    </row>
    <row r="660" spans="1:16" x14ac:dyDescent="0.4">
      <c r="A660">
        <v>2016</v>
      </c>
      <c r="B660" s="5" t="s">
        <v>617</v>
      </c>
      <c r="C660" s="5" t="s">
        <v>725</v>
      </c>
      <c r="D660" s="25" t="s">
        <v>249</v>
      </c>
      <c r="E660" s="64" t="s">
        <v>259</v>
      </c>
      <c r="F660" s="30">
        <v>414</v>
      </c>
      <c r="G660" s="30">
        <v>232</v>
      </c>
      <c r="H660" s="30">
        <v>182</v>
      </c>
      <c r="J660" s="2"/>
      <c r="K660" s="2"/>
      <c r="L660" s="2"/>
      <c r="M660" s="2"/>
      <c r="N660" s="2"/>
      <c r="O660" s="2"/>
      <c r="P660" s="2"/>
    </row>
    <row r="661" spans="1:16" x14ac:dyDescent="0.4">
      <c r="A661">
        <v>2016</v>
      </c>
      <c r="B661" s="5" t="s">
        <v>618</v>
      </c>
      <c r="C661" s="5" t="s">
        <v>725</v>
      </c>
      <c r="D661" s="25" t="s">
        <v>249</v>
      </c>
      <c r="E661" s="64" t="s">
        <v>18</v>
      </c>
      <c r="F661" s="30">
        <v>67</v>
      </c>
      <c r="G661" s="30">
        <v>46</v>
      </c>
      <c r="H661" s="30">
        <v>21</v>
      </c>
      <c r="J661" s="2"/>
      <c r="K661" s="2"/>
      <c r="L661" s="2"/>
      <c r="M661" s="2"/>
      <c r="N661" s="2"/>
      <c r="O661" s="2"/>
      <c r="P661" s="2"/>
    </row>
    <row r="662" spans="1:16" x14ac:dyDescent="0.4">
      <c r="A662">
        <v>2016</v>
      </c>
      <c r="B662" s="5" t="s">
        <v>619</v>
      </c>
      <c r="C662" s="5" t="s">
        <v>725</v>
      </c>
      <c r="D662" s="25" t="s">
        <v>249</v>
      </c>
      <c r="E662" s="64" t="s">
        <v>44</v>
      </c>
      <c r="F662" s="30">
        <v>106</v>
      </c>
      <c r="G662" s="30">
        <v>80</v>
      </c>
      <c r="H662" s="30">
        <v>26</v>
      </c>
      <c r="J662" s="2"/>
      <c r="K662" s="2"/>
      <c r="L662" s="2"/>
      <c r="M662" s="2"/>
      <c r="N662" s="2"/>
      <c r="O662" s="2"/>
      <c r="P662" s="2"/>
    </row>
    <row r="663" spans="1:16" x14ac:dyDescent="0.4">
      <c r="A663">
        <v>2016</v>
      </c>
      <c r="B663" s="5" t="s">
        <v>620</v>
      </c>
      <c r="C663" s="5" t="s">
        <v>725</v>
      </c>
      <c r="D663" s="25" t="s">
        <v>249</v>
      </c>
      <c r="E663" s="64" t="s">
        <v>260</v>
      </c>
      <c r="F663" s="30">
        <v>59</v>
      </c>
      <c r="G663" s="30">
        <v>31</v>
      </c>
      <c r="H663" s="30">
        <v>28</v>
      </c>
      <c r="J663" s="2"/>
      <c r="K663" s="2"/>
      <c r="L663" s="2"/>
      <c r="M663" s="2"/>
      <c r="N663" s="2"/>
      <c r="O663" s="2"/>
      <c r="P663" s="2"/>
    </row>
    <row r="664" spans="1:16" x14ac:dyDescent="0.4">
      <c r="A664">
        <v>2016</v>
      </c>
      <c r="B664" s="5" t="s">
        <v>621</v>
      </c>
      <c r="C664" s="5" t="s">
        <v>725</v>
      </c>
      <c r="D664" s="25" t="s">
        <v>249</v>
      </c>
      <c r="E664" s="64" t="s">
        <v>261</v>
      </c>
      <c r="F664" s="30">
        <v>93</v>
      </c>
      <c r="G664" s="30">
        <v>61</v>
      </c>
      <c r="H664" s="30">
        <v>32</v>
      </c>
      <c r="J664" s="2"/>
      <c r="K664" s="2"/>
      <c r="L664" s="2"/>
      <c r="M664" s="2"/>
      <c r="N664" s="2"/>
      <c r="O664" s="2"/>
      <c r="P664" s="2"/>
    </row>
    <row r="665" spans="1:16" x14ac:dyDescent="0.4">
      <c r="A665">
        <v>2016</v>
      </c>
      <c r="B665" s="5" t="s">
        <v>622</v>
      </c>
      <c r="C665" s="5" t="s">
        <v>725</v>
      </c>
      <c r="D665" s="25" t="s">
        <v>249</v>
      </c>
      <c r="E665" s="64" t="s">
        <v>262</v>
      </c>
      <c r="F665" s="30">
        <v>138</v>
      </c>
      <c r="G665" s="30">
        <v>87</v>
      </c>
      <c r="H665" s="30">
        <v>51</v>
      </c>
      <c r="J665" s="2"/>
      <c r="K665" s="2"/>
      <c r="L665" s="2"/>
      <c r="M665" s="2"/>
      <c r="N665" s="2"/>
      <c r="O665" s="2"/>
      <c r="P665" s="2"/>
    </row>
    <row r="666" spans="1:16" x14ac:dyDescent="0.4">
      <c r="A666">
        <v>2016</v>
      </c>
      <c r="B666" s="5" t="s">
        <v>623</v>
      </c>
      <c r="C666" s="5" t="s">
        <v>725</v>
      </c>
      <c r="D666" s="25" t="s">
        <v>249</v>
      </c>
      <c r="E666" s="64" t="s">
        <v>263</v>
      </c>
      <c r="F666" s="30">
        <v>153</v>
      </c>
      <c r="G666" s="30">
        <v>115</v>
      </c>
      <c r="H666" s="30">
        <v>38</v>
      </c>
      <c r="J666" s="2"/>
      <c r="K666" s="2"/>
      <c r="L666" s="2"/>
      <c r="M666" s="2"/>
      <c r="N666" s="2"/>
      <c r="O666" s="2"/>
      <c r="P666" s="2"/>
    </row>
    <row r="667" spans="1:16" x14ac:dyDescent="0.4">
      <c r="A667">
        <v>2016</v>
      </c>
      <c r="B667" s="5" t="s">
        <v>624</v>
      </c>
      <c r="C667" s="5" t="s">
        <v>725</v>
      </c>
      <c r="D667" s="25" t="s">
        <v>249</v>
      </c>
      <c r="E667" s="64" t="s">
        <v>264</v>
      </c>
      <c r="F667" s="30">
        <v>14</v>
      </c>
      <c r="G667" s="30">
        <v>12</v>
      </c>
      <c r="H667" s="30">
        <v>2</v>
      </c>
      <c r="J667" s="2"/>
      <c r="K667" s="2"/>
      <c r="L667" s="2"/>
      <c r="M667" s="2"/>
      <c r="N667" s="2"/>
      <c r="O667" s="2"/>
      <c r="P667" s="2"/>
    </row>
    <row r="668" spans="1:16" x14ac:dyDescent="0.4">
      <c r="A668">
        <v>2016</v>
      </c>
      <c r="B668" s="5" t="s">
        <v>625</v>
      </c>
      <c r="C668" s="5" t="s">
        <v>725</v>
      </c>
      <c r="D668" s="25" t="s">
        <v>249</v>
      </c>
      <c r="E668" s="64" t="s">
        <v>265</v>
      </c>
      <c r="F668" s="30">
        <v>81</v>
      </c>
      <c r="G668" s="30">
        <v>54</v>
      </c>
      <c r="H668" s="30">
        <v>27</v>
      </c>
      <c r="J668" s="2"/>
      <c r="K668" s="2"/>
      <c r="L668" s="2"/>
      <c r="M668" s="2"/>
      <c r="N668" s="2"/>
      <c r="O668" s="2"/>
      <c r="P668" s="2"/>
    </row>
    <row r="669" spans="1:16" x14ac:dyDescent="0.4">
      <c r="A669">
        <v>2016</v>
      </c>
      <c r="B669" s="5" t="s">
        <v>626</v>
      </c>
      <c r="C669" s="5" t="s">
        <v>725</v>
      </c>
      <c r="D669" s="25" t="s">
        <v>249</v>
      </c>
      <c r="E669" s="64" t="s">
        <v>266</v>
      </c>
      <c r="F669" s="30">
        <v>4341</v>
      </c>
      <c r="G669" s="30">
        <v>2.3929999999999998</v>
      </c>
      <c r="H669" s="30">
        <v>1.948</v>
      </c>
      <c r="J669" s="2"/>
      <c r="K669" s="2"/>
      <c r="L669" s="2"/>
      <c r="M669" s="2"/>
      <c r="N669" s="2"/>
      <c r="O669" s="2"/>
      <c r="P669" s="2"/>
    </row>
    <row r="670" spans="1:16" x14ac:dyDescent="0.4">
      <c r="A670">
        <v>2016</v>
      </c>
      <c r="B670" s="5" t="s">
        <v>627</v>
      </c>
      <c r="C670" s="5" t="s">
        <v>725</v>
      </c>
      <c r="D670" s="25" t="s">
        <v>249</v>
      </c>
      <c r="E670" s="64" t="s">
        <v>267</v>
      </c>
      <c r="F670" s="30">
        <v>21</v>
      </c>
      <c r="G670" s="30">
        <v>11</v>
      </c>
      <c r="H670" s="30">
        <v>10</v>
      </c>
      <c r="J670" s="2"/>
      <c r="K670" s="2"/>
      <c r="L670" s="2"/>
      <c r="M670" s="2"/>
      <c r="N670" s="2"/>
      <c r="O670" s="2"/>
      <c r="P670" s="2"/>
    </row>
    <row r="671" spans="1:16" x14ac:dyDescent="0.4">
      <c r="A671">
        <v>2016</v>
      </c>
      <c r="B671" s="5" t="s">
        <v>628</v>
      </c>
      <c r="C671" s="5" t="s">
        <v>725</v>
      </c>
      <c r="D671" s="25" t="s">
        <v>249</v>
      </c>
      <c r="E671" s="64" t="s">
        <v>268</v>
      </c>
      <c r="F671" s="30">
        <v>33</v>
      </c>
      <c r="G671" s="30">
        <v>18</v>
      </c>
      <c r="H671" s="30">
        <v>15</v>
      </c>
      <c r="J671" s="2"/>
      <c r="K671" s="2"/>
      <c r="L671" s="2"/>
      <c r="M671" s="2"/>
      <c r="N671" s="2"/>
      <c r="O671" s="2"/>
      <c r="P671" s="2"/>
    </row>
    <row r="672" spans="1:16" x14ac:dyDescent="0.4">
      <c r="A672">
        <v>2016</v>
      </c>
      <c r="B672" s="5" t="s">
        <v>629</v>
      </c>
      <c r="C672" s="5" t="s">
        <v>725</v>
      </c>
      <c r="D672" s="25" t="s">
        <v>249</v>
      </c>
      <c r="E672" s="64" t="s">
        <v>26</v>
      </c>
      <c r="F672" s="30">
        <v>1</v>
      </c>
      <c r="G672" s="30">
        <v>1</v>
      </c>
      <c r="H672" s="32" t="s">
        <v>142</v>
      </c>
      <c r="J672" s="2"/>
      <c r="K672" s="2"/>
      <c r="L672" s="2"/>
      <c r="M672" s="2"/>
      <c r="N672" s="2"/>
      <c r="O672" s="2"/>
      <c r="P672" s="2"/>
    </row>
    <row r="673" spans="1:16" x14ac:dyDescent="0.4">
      <c r="A673">
        <v>2016</v>
      </c>
      <c r="B673" s="5" t="s">
        <v>630</v>
      </c>
      <c r="C673" s="5" t="s">
        <v>725</v>
      </c>
      <c r="D673" s="25" t="s">
        <v>249</v>
      </c>
      <c r="E673" s="64" t="s">
        <v>51</v>
      </c>
      <c r="F673" s="30">
        <v>26</v>
      </c>
      <c r="G673" s="30">
        <v>20</v>
      </c>
      <c r="H673" s="30">
        <v>6</v>
      </c>
      <c r="J673" s="2"/>
      <c r="K673" s="2"/>
      <c r="L673" s="2"/>
      <c r="M673" s="2"/>
      <c r="N673" s="2"/>
      <c r="O673" s="2"/>
      <c r="P673" s="2"/>
    </row>
    <row r="674" spans="1:16" x14ac:dyDescent="0.4">
      <c r="A674">
        <v>2016</v>
      </c>
      <c r="B674" s="5" t="s">
        <v>631</v>
      </c>
      <c r="C674" s="5" t="s">
        <v>725</v>
      </c>
      <c r="D674" s="25" t="s">
        <v>249</v>
      </c>
      <c r="E674" s="64" t="s">
        <v>269</v>
      </c>
      <c r="F674" s="30">
        <v>105</v>
      </c>
      <c r="G674" s="30">
        <v>68</v>
      </c>
      <c r="H674" s="30">
        <v>37</v>
      </c>
      <c r="J674" s="2"/>
      <c r="K674" s="2"/>
      <c r="L674" s="2"/>
      <c r="M674" s="2"/>
      <c r="N674" s="2"/>
      <c r="O674" s="2"/>
      <c r="P674" s="2"/>
    </row>
    <row r="675" spans="1:16" x14ac:dyDescent="0.4">
      <c r="A675">
        <v>2016</v>
      </c>
      <c r="B675" s="5" t="s">
        <v>632</v>
      </c>
      <c r="C675" s="5" t="s">
        <v>725</v>
      </c>
      <c r="D675" s="25" t="s">
        <v>249</v>
      </c>
      <c r="E675" s="64" t="s">
        <v>270</v>
      </c>
      <c r="F675" s="30">
        <v>79</v>
      </c>
      <c r="G675" s="30">
        <v>45</v>
      </c>
      <c r="H675" s="30">
        <v>34</v>
      </c>
      <c r="J675" s="2"/>
      <c r="K675" s="2"/>
      <c r="L675" s="2"/>
      <c r="M675" s="2"/>
      <c r="N675" s="2"/>
      <c r="O675" s="2"/>
      <c r="P675" s="2"/>
    </row>
    <row r="676" spans="1:16" x14ac:dyDescent="0.4">
      <c r="A676">
        <v>2016</v>
      </c>
      <c r="B676" s="5" t="s">
        <v>633</v>
      </c>
      <c r="C676" s="5" t="s">
        <v>726</v>
      </c>
      <c r="D676" s="25" t="s">
        <v>271</v>
      </c>
      <c r="E676" s="64" t="s">
        <v>174</v>
      </c>
      <c r="F676" s="30">
        <v>120</v>
      </c>
      <c r="G676" s="30">
        <v>97</v>
      </c>
      <c r="H676" s="30">
        <v>23</v>
      </c>
      <c r="J676" s="2"/>
      <c r="K676" s="2"/>
      <c r="L676" s="2"/>
      <c r="M676" s="2"/>
      <c r="N676" s="2"/>
      <c r="O676" s="2"/>
      <c r="P676" s="2"/>
    </row>
    <row r="677" spans="1:16" x14ac:dyDescent="0.4">
      <c r="A677">
        <v>2016</v>
      </c>
      <c r="B677" s="5" t="s">
        <v>634</v>
      </c>
      <c r="C677" s="5" t="s">
        <v>726</v>
      </c>
      <c r="D677" s="25" t="s">
        <v>271</v>
      </c>
      <c r="E677" s="64" t="s">
        <v>272</v>
      </c>
      <c r="F677" s="30">
        <v>591</v>
      </c>
      <c r="G677" s="30">
        <v>348</v>
      </c>
      <c r="H677" s="30">
        <v>243</v>
      </c>
      <c r="J677" s="2"/>
      <c r="K677" s="2"/>
      <c r="L677" s="2"/>
      <c r="M677" s="2"/>
      <c r="N677" s="2"/>
      <c r="O677" s="2"/>
      <c r="P677" s="2"/>
    </row>
    <row r="678" spans="1:16" x14ac:dyDescent="0.4">
      <c r="A678">
        <v>2016</v>
      </c>
      <c r="B678" s="5" t="s">
        <v>635</v>
      </c>
      <c r="C678" s="5" t="s">
        <v>726</v>
      </c>
      <c r="D678" s="25" t="s">
        <v>271</v>
      </c>
      <c r="E678" s="64" t="s">
        <v>36</v>
      </c>
      <c r="F678" s="30">
        <v>40</v>
      </c>
      <c r="G678" s="30">
        <v>25</v>
      </c>
      <c r="H678" s="30">
        <v>15</v>
      </c>
      <c r="J678" s="2"/>
      <c r="K678" s="2"/>
      <c r="L678" s="2"/>
      <c r="M678" s="2"/>
      <c r="N678" s="2"/>
      <c r="O678" s="2"/>
      <c r="P678" s="2"/>
    </row>
    <row r="679" spans="1:16" x14ac:dyDescent="0.4">
      <c r="A679">
        <v>2016</v>
      </c>
      <c r="B679" s="5" t="s">
        <v>636</v>
      </c>
      <c r="C679" s="5" t="s">
        <v>726</v>
      </c>
      <c r="D679" s="25" t="s">
        <v>271</v>
      </c>
      <c r="E679" s="64" t="s">
        <v>273</v>
      </c>
      <c r="F679" s="30">
        <v>129</v>
      </c>
      <c r="G679" s="30">
        <v>97</v>
      </c>
      <c r="H679" s="30">
        <v>32</v>
      </c>
      <c r="J679" s="2"/>
      <c r="K679" s="2"/>
      <c r="L679" s="2"/>
      <c r="M679" s="2"/>
      <c r="N679" s="2"/>
      <c r="O679" s="2"/>
      <c r="P679" s="2"/>
    </row>
    <row r="680" spans="1:16" x14ac:dyDescent="0.4">
      <c r="A680">
        <v>2016</v>
      </c>
      <c r="B680" s="5" t="s">
        <v>637</v>
      </c>
      <c r="C680" s="5" t="s">
        <v>726</v>
      </c>
      <c r="D680" s="25" t="s">
        <v>271</v>
      </c>
      <c r="E680" s="64" t="s">
        <v>274</v>
      </c>
      <c r="F680" s="30">
        <v>174</v>
      </c>
      <c r="G680" s="30">
        <v>116</v>
      </c>
      <c r="H680" s="30">
        <v>58</v>
      </c>
      <c r="J680" s="2"/>
      <c r="K680" s="2"/>
      <c r="L680" s="2"/>
      <c r="M680" s="2"/>
      <c r="N680" s="2"/>
      <c r="O680" s="2"/>
      <c r="P680" s="2"/>
    </row>
    <row r="681" spans="1:16" x14ac:dyDescent="0.4">
      <c r="A681">
        <v>2016</v>
      </c>
      <c r="B681" s="5" t="s">
        <v>638</v>
      </c>
      <c r="C681" s="5" t="s">
        <v>726</v>
      </c>
      <c r="D681" s="25" t="s">
        <v>271</v>
      </c>
      <c r="E681" s="64" t="s">
        <v>275</v>
      </c>
      <c r="F681" s="30">
        <v>80</v>
      </c>
      <c r="G681" s="30">
        <v>60</v>
      </c>
      <c r="H681" s="30">
        <v>20</v>
      </c>
      <c r="J681" s="2"/>
      <c r="K681" s="2"/>
      <c r="L681" s="2"/>
      <c r="M681" s="2"/>
      <c r="N681" s="2"/>
      <c r="O681" s="2"/>
      <c r="P681" s="2"/>
    </row>
    <row r="682" spans="1:16" x14ac:dyDescent="0.4">
      <c r="A682">
        <v>2016</v>
      </c>
      <c r="B682" s="5" t="s">
        <v>639</v>
      </c>
      <c r="C682" s="5" t="s">
        <v>726</v>
      </c>
      <c r="D682" s="25" t="s">
        <v>271</v>
      </c>
      <c r="E682" s="64" t="s">
        <v>276</v>
      </c>
      <c r="F682" s="30">
        <v>9</v>
      </c>
      <c r="G682" s="30">
        <v>6</v>
      </c>
      <c r="H682" s="30">
        <v>3</v>
      </c>
      <c r="J682" s="2"/>
      <c r="K682" s="2"/>
      <c r="L682" s="2"/>
      <c r="M682" s="2"/>
      <c r="N682" s="2"/>
      <c r="O682" s="2"/>
      <c r="P682" s="2"/>
    </row>
    <row r="683" spans="1:16" x14ac:dyDescent="0.4">
      <c r="A683">
        <v>2016</v>
      </c>
      <c r="B683" s="5" t="s">
        <v>640</v>
      </c>
      <c r="C683" s="5" t="s">
        <v>726</v>
      </c>
      <c r="D683" s="25" t="s">
        <v>271</v>
      </c>
      <c r="E683" s="64" t="s">
        <v>277</v>
      </c>
      <c r="F683" s="30">
        <v>20</v>
      </c>
      <c r="G683" s="30">
        <v>14</v>
      </c>
      <c r="H683" s="30">
        <v>6</v>
      </c>
      <c r="J683" s="2"/>
      <c r="K683" s="2"/>
      <c r="L683" s="2"/>
      <c r="M683" s="2"/>
      <c r="N683" s="2"/>
      <c r="O683" s="2"/>
      <c r="P683" s="2"/>
    </row>
    <row r="684" spans="1:16" x14ac:dyDescent="0.4">
      <c r="A684">
        <v>2016</v>
      </c>
      <c r="B684" s="5" t="s">
        <v>641</v>
      </c>
      <c r="C684" s="5" t="s">
        <v>726</v>
      </c>
      <c r="D684" s="25" t="s">
        <v>271</v>
      </c>
      <c r="E684" s="64" t="s">
        <v>278</v>
      </c>
      <c r="F684" s="30">
        <v>57</v>
      </c>
      <c r="G684" s="30">
        <v>48</v>
      </c>
      <c r="H684" s="30">
        <v>9</v>
      </c>
      <c r="J684" s="2"/>
      <c r="K684" s="2"/>
      <c r="L684" s="2"/>
      <c r="M684" s="2"/>
      <c r="N684" s="2"/>
      <c r="O684" s="2"/>
      <c r="P684" s="2"/>
    </row>
    <row r="685" spans="1:16" x14ac:dyDescent="0.4">
      <c r="A685">
        <v>2016</v>
      </c>
      <c r="B685" s="5" t="s">
        <v>642</v>
      </c>
      <c r="C685" s="5" t="s">
        <v>726</v>
      </c>
      <c r="D685" s="25" t="s">
        <v>271</v>
      </c>
      <c r="E685" s="64" t="s">
        <v>85</v>
      </c>
      <c r="F685" s="30">
        <v>59</v>
      </c>
      <c r="G685" s="30">
        <v>43</v>
      </c>
      <c r="H685" s="30">
        <v>16</v>
      </c>
      <c r="J685" s="2"/>
      <c r="K685" s="2"/>
      <c r="L685" s="2"/>
      <c r="M685" s="2"/>
      <c r="N685" s="2"/>
      <c r="O685" s="2"/>
      <c r="P685" s="2"/>
    </row>
    <row r="686" spans="1:16" x14ac:dyDescent="0.4">
      <c r="A686">
        <v>2016</v>
      </c>
      <c r="B686" s="5" t="s">
        <v>643</v>
      </c>
      <c r="C686" s="5" t="s">
        <v>726</v>
      </c>
      <c r="D686" s="25" t="s">
        <v>271</v>
      </c>
      <c r="E686" s="64" t="s">
        <v>279</v>
      </c>
      <c r="F686" s="30">
        <v>40</v>
      </c>
      <c r="G686" s="30">
        <v>28</v>
      </c>
      <c r="H686" s="30">
        <v>12</v>
      </c>
      <c r="J686" s="2"/>
      <c r="K686" s="2"/>
      <c r="L686" s="2"/>
      <c r="M686" s="2"/>
      <c r="N686" s="2"/>
      <c r="O686" s="2"/>
      <c r="P686" s="2"/>
    </row>
    <row r="687" spans="1:16" x14ac:dyDescent="0.4">
      <c r="A687">
        <v>2016</v>
      </c>
      <c r="B687" s="5" t="s">
        <v>644</v>
      </c>
      <c r="C687" s="5" t="s">
        <v>726</v>
      </c>
      <c r="D687" s="25" t="s">
        <v>271</v>
      </c>
      <c r="E687" s="64" t="s">
        <v>280</v>
      </c>
      <c r="F687" s="30">
        <v>73</v>
      </c>
      <c r="G687" s="30">
        <v>50</v>
      </c>
      <c r="H687" s="30">
        <v>23</v>
      </c>
      <c r="J687" s="2"/>
      <c r="K687" s="2"/>
      <c r="L687" s="2"/>
      <c r="M687" s="2"/>
      <c r="N687" s="2"/>
      <c r="O687" s="2"/>
      <c r="P687" s="2"/>
    </row>
    <row r="688" spans="1:16" x14ac:dyDescent="0.4">
      <c r="A688">
        <v>2016</v>
      </c>
      <c r="B688" s="5" t="s">
        <v>645</v>
      </c>
      <c r="C688" s="5" t="s">
        <v>726</v>
      </c>
      <c r="D688" s="25" t="s">
        <v>271</v>
      </c>
      <c r="E688" s="64" t="s">
        <v>281</v>
      </c>
      <c r="F688" s="30">
        <v>182</v>
      </c>
      <c r="G688" s="30">
        <v>111</v>
      </c>
      <c r="H688" s="30">
        <v>71</v>
      </c>
      <c r="J688" s="2"/>
      <c r="K688" s="2"/>
      <c r="L688" s="2"/>
      <c r="M688" s="2"/>
      <c r="N688" s="2"/>
      <c r="O688" s="2"/>
      <c r="P688" s="2"/>
    </row>
    <row r="689" spans="1:16" x14ac:dyDescent="0.4">
      <c r="A689">
        <v>2016</v>
      </c>
      <c r="B689" s="5" t="s">
        <v>646</v>
      </c>
      <c r="C689" s="5" t="s">
        <v>726</v>
      </c>
      <c r="D689" s="25" t="s">
        <v>271</v>
      </c>
      <c r="E689" s="64" t="s">
        <v>282</v>
      </c>
      <c r="F689" s="30">
        <v>65</v>
      </c>
      <c r="G689" s="30">
        <v>44</v>
      </c>
      <c r="H689" s="30">
        <v>21</v>
      </c>
      <c r="J689" s="2"/>
      <c r="K689" s="2"/>
      <c r="L689" s="2"/>
      <c r="M689" s="2"/>
      <c r="N689" s="2"/>
      <c r="O689" s="2"/>
      <c r="P689" s="2"/>
    </row>
    <row r="690" spans="1:16" x14ac:dyDescent="0.4">
      <c r="A690">
        <v>2016</v>
      </c>
      <c r="B690" s="5" t="s">
        <v>647</v>
      </c>
      <c r="C690" s="5" t="s">
        <v>726</v>
      </c>
      <c r="D690" s="25" t="s">
        <v>271</v>
      </c>
      <c r="E690" s="64" t="s">
        <v>283</v>
      </c>
      <c r="F690" s="30">
        <v>55</v>
      </c>
      <c r="G690" s="30">
        <v>34</v>
      </c>
      <c r="H690" s="30">
        <v>21</v>
      </c>
      <c r="J690" s="2"/>
      <c r="K690" s="2"/>
      <c r="L690" s="2"/>
      <c r="M690" s="2"/>
      <c r="N690" s="2"/>
      <c r="O690" s="2"/>
      <c r="P690" s="2"/>
    </row>
    <row r="691" spans="1:16" x14ac:dyDescent="0.4">
      <c r="A691">
        <v>2016</v>
      </c>
      <c r="B691" s="5" t="s">
        <v>648</v>
      </c>
      <c r="C691" s="5" t="s">
        <v>726</v>
      </c>
      <c r="D691" s="25" t="s">
        <v>271</v>
      </c>
      <c r="E691" s="64" t="s">
        <v>284</v>
      </c>
      <c r="F691" s="30">
        <v>136</v>
      </c>
      <c r="G691" s="30">
        <v>90</v>
      </c>
      <c r="H691" s="30">
        <v>46</v>
      </c>
      <c r="J691" s="2"/>
      <c r="K691" s="2"/>
      <c r="L691" s="2"/>
      <c r="M691" s="2"/>
      <c r="N691" s="2"/>
      <c r="O691" s="2"/>
      <c r="P691" s="2"/>
    </row>
    <row r="692" spans="1:16" x14ac:dyDescent="0.4">
      <c r="A692">
        <v>2016</v>
      </c>
      <c r="B692" s="5" t="s">
        <v>649</v>
      </c>
      <c r="C692" s="5" t="s">
        <v>726</v>
      </c>
      <c r="D692" s="25" t="s">
        <v>271</v>
      </c>
      <c r="E692" s="64" t="s">
        <v>51</v>
      </c>
      <c r="F692" s="30">
        <v>99</v>
      </c>
      <c r="G692" s="30">
        <v>68</v>
      </c>
      <c r="H692" s="30">
        <v>31</v>
      </c>
      <c r="J692" s="2"/>
      <c r="K692" s="2"/>
      <c r="L692" s="2"/>
      <c r="M692" s="2"/>
      <c r="N692" s="2"/>
      <c r="O692" s="2"/>
      <c r="P692" s="2"/>
    </row>
    <row r="693" spans="1:16" x14ac:dyDescent="0.4">
      <c r="A693">
        <v>2016</v>
      </c>
      <c r="B693" s="5" t="s">
        <v>650</v>
      </c>
      <c r="C693" s="5" t="s">
        <v>726</v>
      </c>
      <c r="D693" s="25" t="s">
        <v>271</v>
      </c>
      <c r="E693" s="64" t="s">
        <v>285</v>
      </c>
      <c r="F693" s="30">
        <v>580</v>
      </c>
      <c r="G693" s="30">
        <v>351</v>
      </c>
      <c r="H693" s="30">
        <v>229</v>
      </c>
      <c r="J693" s="2"/>
      <c r="K693" s="2"/>
      <c r="L693" s="2"/>
      <c r="M693" s="2"/>
      <c r="N693" s="2"/>
      <c r="O693" s="2"/>
      <c r="P693" s="2"/>
    </row>
    <row r="694" spans="1:16" x14ac:dyDescent="0.4">
      <c r="A694">
        <v>2016</v>
      </c>
      <c r="B694" s="5" t="s">
        <v>651</v>
      </c>
      <c r="C694" s="5" t="s">
        <v>726</v>
      </c>
      <c r="D694" s="25" t="s">
        <v>271</v>
      </c>
      <c r="E694" s="64" t="s">
        <v>53</v>
      </c>
      <c r="F694" s="30">
        <v>153</v>
      </c>
      <c r="G694" s="30">
        <v>84</v>
      </c>
      <c r="H694" s="30">
        <v>69</v>
      </c>
      <c r="J694" s="2"/>
      <c r="K694" s="2"/>
      <c r="L694" s="2"/>
      <c r="M694" s="2"/>
      <c r="N694" s="2"/>
      <c r="O694" s="2"/>
      <c r="P694" s="2"/>
    </row>
    <row r="695" spans="1:16" x14ac:dyDescent="0.4">
      <c r="A695">
        <v>2016</v>
      </c>
      <c r="B695" s="5" t="s">
        <v>652</v>
      </c>
      <c r="C695" s="5" t="s">
        <v>726</v>
      </c>
      <c r="D695" s="25" t="s">
        <v>271</v>
      </c>
      <c r="E695" s="65" t="s">
        <v>286</v>
      </c>
      <c r="F695" s="31">
        <v>1459</v>
      </c>
      <c r="G695" s="31">
        <v>859</v>
      </c>
      <c r="H695" s="31">
        <v>600</v>
      </c>
      <c r="J695" s="2"/>
      <c r="K695" s="2"/>
      <c r="L695" s="2"/>
      <c r="M695" s="2"/>
      <c r="N695" s="2"/>
      <c r="O695" s="2"/>
      <c r="P695" s="2"/>
    </row>
    <row r="696" spans="1:16" x14ac:dyDescent="0.4">
      <c r="A696">
        <v>2016</v>
      </c>
      <c r="B696" s="5" t="s">
        <v>653</v>
      </c>
      <c r="C696" s="5" t="s">
        <v>727</v>
      </c>
      <c r="D696" s="25" t="s">
        <v>288</v>
      </c>
      <c r="E696" s="64" t="s">
        <v>287</v>
      </c>
      <c r="F696" s="30">
        <v>179</v>
      </c>
      <c r="G696" s="30">
        <v>109</v>
      </c>
      <c r="H696" s="30">
        <v>70</v>
      </c>
      <c r="J696" s="2"/>
      <c r="K696" s="2"/>
      <c r="L696" s="2"/>
      <c r="M696" s="2"/>
      <c r="N696" s="2"/>
      <c r="O696" s="2"/>
      <c r="P696" s="2"/>
    </row>
    <row r="697" spans="1:16" x14ac:dyDescent="0.4">
      <c r="A697">
        <v>2016</v>
      </c>
      <c r="B697" s="5" t="s">
        <v>654</v>
      </c>
      <c r="C697" s="5" t="s">
        <v>727</v>
      </c>
      <c r="D697" s="25" t="s">
        <v>288</v>
      </c>
      <c r="E697" s="64" t="s">
        <v>289</v>
      </c>
      <c r="F697" s="30">
        <v>209</v>
      </c>
      <c r="G697" s="30">
        <v>139</v>
      </c>
      <c r="H697" s="30">
        <v>70</v>
      </c>
      <c r="J697" s="2"/>
      <c r="K697" s="2"/>
      <c r="L697" s="2"/>
      <c r="M697" s="2"/>
      <c r="N697" s="2"/>
      <c r="O697" s="2"/>
      <c r="P697" s="2"/>
    </row>
    <row r="698" spans="1:16" x14ac:dyDescent="0.4">
      <c r="A698">
        <v>2016</v>
      </c>
      <c r="B698" s="5" t="s">
        <v>655</v>
      </c>
      <c r="C698" s="5" t="s">
        <v>727</v>
      </c>
      <c r="D698" s="25" t="s">
        <v>288</v>
      </c>
      <c r="E698" s="64" t="s">
        <v>290</v>
      </c>
      <c r="F698" s="30">
        <v>164</v>
      </c>
      <c r="G698" s="30">
        <v>91</v>
      </c>
      <c r="H698" s="30">
        <v>73</v>
      </c>
      <c r="J698" s="2"/>
      <c r="K698" s="2"/>
      <c r="L698" s="2"/>
      <c r="M698" s="2"/>
      <c r="N698" s="2"/>
      <c r="O698" s="2"/>
      <c r="P698" s="2"/>
    </row>
    <row r="699" spans="1:16" x14ac:dyDescent="0.4">
      <c r="A699">
        <v>2016</v>
      </c>
      <c r="B699" s="5" t="s">
        <v>656</v>
      </c>
      <c r="C699" s="5" t="s">
        <v>727</v>
      </c>
      <c r="D699" s="25" t="s">
        <v>288</v>
      </c>
      <c r="E699" s="64" t="s">
        <v>291</v>
      </c>
      <c r="F699" s="30">
        <v>43</v>
      </c>
      <c r="G699" s="30">
        <v>30</v>
      </c>
      <c r="H699" s="30">
        <v>13</v>
      </c>
      <c r="J699" s="2"/>
      <c r="K699" s="2"/>
      <c r="L699" s="2"/>
      <c r="M699" s="2"/>
      <c r="N699" s="2"/>
      <c r="O699" s="2"/>
      <c r="P699" s="2"/>
    </row>
    <row r="700" spans="1:16" x14ac:dyDescent="0.4">
      <c r="A700">
        <v>2016</v>
      </c>
      <c r="B700" s="5" t="s">
        <v>657</v>
      </c>
      <c r="C700" s="5" t="s">
        <v>727</v>
      </c>
      <c r="D700" s="25" t="s">
        <v>288</v>
      </c>
      <c r="E700" s="64" t="s">
        <v>292</v>
      </c>
      <c r="F700" s="30">
        <v>371</v>
      </c>
      <c r="G700" s="30">
        <v>244</v>
      </c>
      <c r="H700" s="30">
        <v>127</v>
      </c>
      <c r="J700" s="2"/>
      <c r="K700" s="2"/>
      <c r="L700" s="2"/>
      <c r="M700" s="2"/>
      <c r="N700" s="2"/>
      <c r="O700" s="2"/>
      <c r="P700" s="2"/>
    </row>
    <row r="701" spans="1:16" x14ac:dyDescent="0.4">
      <c r="A701">
        <v>2016</v>
      </c>
      <c r="B701" s="5" t="s">
        <v>658</v>
      </c>
      <c r="C701" s="5" t="s">
        <v>727</v>
      </c>
      <c r="D701" s="25" t="s">
        <v>288</v>
      </c>
      <c r="E701" s="64" t="s">
        <v>293</v>
      </c>
      <c r="F701" s="30">
        <v>48</v>
      </c>
      <c r="G701" s="30">
        <v>27</v>
      </c>
      <c r="H701" s="30">
        <v>21</v>
      </c>
      <c r="J701" s="2"/>
      <c r="K701" s="2"/>
      <c r="L701" s="2"/>
      <c r="M701" s="2"/>
      <c r="N701" s="2"/>
      <c r="O701" s="2"/>
      <c r="P701" s="2"/>
    </row>
    <row r="702" spans="1:16" x14ac:dyDescent="0.4">
      <c r="A702">
        <v>2016</v>
      </c>
      <c r="B702" s="5" t="s">
        <v>659</v>
      </c>
      <c r="C702" s="5" t="s">
        <v>727</v>
      </c>
      <c r="D702" s="25" t="s">
        <v>288</v>
      </c>
      <c r="E702" s="64" t="s">
        <v>294</v>
      </c>
      <c r="F702" s="30">
        <v>653</v>
      </c>
      <c r="G702" s="30">
        <v>373</v>
      </c>
      <c r="H702" s="30">
        <v>280</v>
      </c>
      <c r="J702" s="2"/>
      <c r="K702" s="2"/>
      <c r="L702" s="2"/>
      <c r="M702" s="2"/>
      <c r="N702" s="2"/>
      <c r="O702" s="2"/>
      <c r="P702" s="2"/>
    </row>
    <row r="703" spans="1:16" x14ac:dyDescent="0.4">
      <c r="A703">
        <v>2016</v>
      </c>
      <c r="B703" s="5" t="s">
        <v>660</v>
      </c>
      <c r="C703" s="5" t="s">
        <v>727</v>
      </c>
      <c r="D703" s="25" t="s">
        <v>288</v>
      </c>
      <c r="E703" s="64" t="s">
        <v>295</v>
      </c>
      <c r="F703" s="30">
        <v>141</v>
      </c>
      <c r="G703" s="30">
        <v>72</v>
      </c>
      <c r="H703" s="30">
        <v>69</v>
      </c>
      <c r="J703" s="2"/>
      <c r="K703" s="2"/>
      <c r="L703" s="2"/>
      <c r="M703" s="2"/>
      <c r="N703" s="2"/>
      <c r="O703" s="2"/>
      <c r="P703" s="2"/>
    </row>
    <row r="704" spans="1:16" x14ac:dyDescent="0.4">
      <c r="A704">
        <v>2016</v>
      </c>
      <c r="B704" s="5" t="s">
        <v>661</v>
      </c>
      <c r="C704" s="5" t="s">
        <v>727</v>
      </c>
      <c r="D704" s="25" t="s">
        <v>288</v>
      </c>
      <c r="E704" s="64" t="s">
        <v>296</v>
      </c>
      <c r="F704" s="30">
        <v>620</v>
      </c>
      <c r="G704" s="30">
        <v>365</v>
      </c>
      <c r="H704" s="30">
        <v>255</v>
      </c>
      <c r="J704" s="2"/>
      <c r="K704" s="2"/>
      <c r="L704" s="2"/>
      <c r="M704" s="2"/>
      <c r="N704" s="2"/>
      <c r="O704" s="2"/>
      <c r="P704" s="2"/>
    </row>
    <row r="705" spans="1:16" x14ac:dyDescent="0.4">
      <c r="A705">
        <v>2016</v>
      </c>
      <c r="B705" s="5" t="s">
        <v>662</v>
      </c>
      <c r="C705" s="5" t="s">
        <v>727</v>
      </c>
      <c r="D705" s="25" t="s">
        <v>288</v>
      </c>
      <c r="E705" s="64" t="s">
        <v>297</v>
      </c>
      <c r="F705" s="30">
        <v>82</v>
      </c>
      <c r="G705" s="30">
        <v>49</v>
      </c>
      <c r="H705" s="30">
        <v>33</v>
      </c>
      <c r="J705" s="2"/>
      <c r="K705" s="2"/>
      <c r="L705" s="2"/>
      <c r="M705" s="2"/>
      <c r="N705" s="2"/>
      <c r="O705" s="2"/>
      <c r="P705" s="2"/>
    </row>
    <row r="706" spans="1:16" x14ac:dyDescent="0.4">
      <c r="A706">
        <v>2016</v>
      </c>
      <c r="B706" s="5" t="s">
        <v>663</v>
      </c>
      <c r="C706" s="5" t="s">
        <v>727</v>
      </c>
      <c r="D706" s="25" t="s">
        <v>288</v>
      </c>
      <c r="E706" s="64" t="s">
        <v>298</v>
      </c>
      <c r="F706" s="30">
        <v>163</v>
      </c>
      <c r="G706" s="30">
        <v>100</v>
      </c>
      <c r="H706" s="30">
        <v>63</v>
      </c>
      <c r="J706" s="2"/>
      <c r="K706" s="2"/>
      <c r="L706" s="2"/>
      <c r="M706" s="2"/>
      <c r="N706" s="2"/>
      <c r="O706" s="2"/>
      <c r="P706" s="2"/>
    </row>
    <row r="707" spans="1:16" x14ac:dyDescent="0.4">
      <c r="A707">
        <v>2016</v>
      </c>
      <c r="B707" s="5" t="s">
        <v>664</v>
      </c>
      <c r="C707" s="5" t="s">
        <v>728</v>
      </c>
      <c r="D707" s="25" t="s">
        <v>300</v>
      </c>
      <c r="E707" s="64" t="s">
        <v>299</v>
      </c>
      <c r="F707" s="30">
        <v>61</v>
      </c>
      <c r="G707" s="30">
        <v>36</v>
      </c>
      <c r="H707" s="30">
        <v>25</v>
      </c>
      <c r="J707" s="2"/>
      <c r="K707" s="2"/>
      <c r="L707" s="2"/>
      <c r="M707" s="2"/>
      <c r="N707" s="2"/>
      <c r="O707" s="2"/>
      <c r="P707" s="2"/>
    </row>
    <row r="708" spans="1:16" x14ac:dyDescent="0.4">
      <c r="A708">
        <v>2016</v>
      </c>
      <c r="B708" s="5" t="s">
        <v>665</v>
      </c>
      <c r="C708" s="5" t="s">
        <v>728</v>
      </c>
      <c r="D708" s="25" t="s">
        <v>300</v>
      </c>
      <c r="E708" s="64" t="s">
        <v>36</v>
      </c>
      <c r="F708" s="30">
        <v>118</v>
      </c>
      <c r="G708" s="30">
        <v>76</v>
      </c>
      <c r="H708" s="30">
        <v>42</v>
      </c>
      <c r="J708" s="2"/>
      <c r="K708" s="2"/>
      <c r="L708" s="2"/>
      <c r="M708" s="2"/>
      <c r="N708" s="2"/>
      <c r="O708" s="2"/>
      <c r="P708" s="2"/>
    </row>
    <row r="709" spans="1:16" x14ac:dyDescent="0.4">
      <c r="A709">
        <v>2016</v>
      </c>
      <c r="B709" s="5" t="s">
        <v>666</v>
      </c>
      <c r="C709" s="5" t="s">
        <v>728</v>
      </c>
      <c r="D709" s="25" t="s">
        <v>300</v>
      </c>
      <c r="E709" s="64" t="s">
        <v>301</v>
      </c>
      <c r="F709" s="30">
        <v>274</v>
      </c>
      <c r="G709" s="30">
        <v>184</v>
      </c>
      <c r="H709" s="30">
        <v>90</v>
      </c>
      <c r="J709" s="2"/>
      <c r="K709" s="2"/>
      <c r="L709" s="2"/>
      <c r="M709" s="2"/>
      <c r="N709" s="2"/>
      <c r="O709" s="2"/>
      <c r="P709" s="2"/>
    </row>
    <row r="710" spans="1:16" x14ac:dyDescent="0.4">
      <c r="A710">
        <v>2016</v>
      </c>
      <c r="B710" s="5" t="s">
        <v>667</v>
      </c>
      <c r="C710" s="5" t="s">
        <v>728</v>
      </c>
      <c r="D710" s="25" t="s">
        <v>300</v>
      </c>
      <c r="E710" s="64" t="s">
        <v>302</v>
      </c>
      <c r="F710" s="30">
        <v>103</v>
      </c>
      <c r="G710" s="30">
        <v>75</v>
      </c>
      <c r="H710" s="30">
        <v>28</v>
      </c>
      <c r="J710" s="2"/>
      <c r="K710" s="2"/>
      <c r="L710" s="2"/>
      <c r="M710" s="2"/>
      <c r="N710" s="2"/>
      <c r="O710" s="2"/>
      <c r="P710" s="2"/>
    </row>
    <row r="711" spans="1:16" x14ac:dyDescent="0.4">
      <c r="A711">
        <v>2016</v>
      </c>
      <c r="B711" s="5" t="s">
        <v>668</v>
      </c>
      <c r="C711" s="5" t="s">
        <v>728</v>
      </c>
      <c r="D711" s="25" t="s">
        <v>300</v>
      </c>
      <c r="E711" s="64" t="s">
        <v>14</v>
      </c>
      <c r="F711" s="30">
        <v>171</v>
      </c>
      <c r="G711" s="30">
        <v>103</v>
      </c>
      <c r="H711" s="30">
        <v>68</v>
      </c>
      <c r="J711" s="2"/>
      <c r="K711" s="2"/>
      <c r="L711" s="2"/>
      <c r="M711" s="2"/>
      <c r="N711" s="2"/>
      <c r="O711" s="2"/>
      <c r="P711" s="2"/>
    </row>
    <row r="712" spans="1:16" x14ac:dyDescent="0.4">
      <c r="A712">
        <v>2016</v>
      </c>
      <c r="B712" s="5" t="s">
        <v>669</v>
      </c>
      <c r="C712" s="5" t="s">
        <v>728</v>
      </c>
      <c r="D712" s="25" t="s">
        <v>300</v>
      </c>
      <c r="E712" s="64" t="s">
        <v>303</v>
      </c>
      <c r="F712" s="30">
        <v>82</v>
      </c>
      <c r="G712" s="30">
        <v>55</v>
      </c>
      <c r="H712" s="30">
        <v>27</v>
      </c>
      <c r="J712" s="2"/>
      <c r="K712" s="2"/>
      <c r="L712" s="2"/>
      <c r="M712" s="2"/>
      <c r="N712" s="2"/>
      <c r="O712" s="2"/>
      <c r="P712" s="2"/>
    </row>
    <row r="713" spans="1:16" x14ac:dyDescent="0.4">
      <c r="A713">
        <v>2016</v>
      </c>
      <c r="B713" s="5" t="s">
        <v>670</v>
      </c>
      <c r="C713" s="5" t="s">
        <v>728</v>
      </c>
      <c r="D713" s="25" t="s">
        <v>300</v>
      </c>
      <c r="E713" s="64" t="s">
        <v>304</v>
      </c>
      <c r="F713" s="30">
        <v>39</v>
      </c>
      <c r="G713" s="30">
        <v>29</v>
      </c>
      <c r="H713" s="30">
        <v>10</v>
      </c>
      <c r="J713" s="2"/>
      <c r="K713" s="2"/>
      <c r="L713" s="2"/>
      <c r="M713" s="2"/>
      <c r="N713" s="2"/>
      <c r="O713" s="2"/>
      <c r="P713" s="2"/>
    </row>
    <row r="714" spans="1:16" x14ac:dyDescent="0.4">
      <c r="A714">
        <v>2016</v>
      </c>
      <c r="B714" s="5" t="s">
        <v>671</v>
      </c>
      <c r="C714" s="5" t="s">
        <v>728</v>
      </c>
      <c r="D714" s="25" t="s">
        <v>300</v>
      </c>
      <c r="E714" s="64" t="s">
        <v>305</v>
      </c>
      <c r="F714" s="30">
        <v>43</v>
      </c>
      <c r="G714" s="30">
        <v>27</v>
      </c>
      <c r="H714" s="30">
        <v>16</v>
      </c>
      <c r="J714" s="2"/>
      <c r="K714" s="2"/>
      <c r="L714" s="2"/>
      <c r="M714" s="2"/>
      <c r="N714" s="2"/>
      <c r="O714" s="2"/>
      <c r="P714" s="2"/>
    </row>
    <row r="715" spans="1:16" x14ac:dyDescent="0.4">
      <c r="A715">
        <v>2016</v>
      </c>
      <c r="B715" s="5" t="s">
        <v>672</v>
      </c>
      <c r="C715" s="5" t="s">
        <v>728</v>
      </c>
      <c r="D715" s="25" t="s">
        <v>300</v>
      </c>
      <c r="E715" s="64" t="s">
        <v>306</v>
      </c>
      <c r="F715" s="30">
        <v>400</v>
      </c>
      <c r="G715" s="30">
        <v>263</v>
      </c>
      <c r="H715" s="30">
        <v>137</v>
      </c>
      <c r="J715" s="2"/>
      <c r="K715" s="2"/>
      <c r="L715" s="2"/>
      <c r="M715" s="2"/>
      <c r="N715" s="2"/>
      <c r="O715" s="2"/>
      <c r="P715" s="2"/>
    </row>
    <row r="716" spans="1:16" x14ac:dyDescent="0.4">
      <c r="A716">
        <v>2016</v>
      </c>
      <c r="B716" s="5" t="s">
        <v>673</v>
      </c>
      <c r="C716" s="5" t="s">
        <v>728</v>
      </c>
      <c r="D716" s="25" t="s">
        <v>300</v>
      </c>
      <c r="E716" s="64" t="s">
        <v>307</v>
      </c>
      <c r="F716" s="30">
        <v>396</v>
      </c>
      <c r="G716" s="30">
        <v>263</v>
      </c>
      <c r="H716" s="30">
        <v>133</v>
      </c>
      <c r="J716" s="2"/>
      <c r="K716" s="2"/>
      <c r="L716" s="2"/>
      <c r="M716" s="2"/>
      <c r="N716" s="2"/>
      <c r="O716" s="2"/>
      <c r="P716" s="2"/>
    </row>
    <row r="717" spans="1:16" x14ac:dyDescent="0.4">
      <c r="A717">
        <v>2016</v>
      </c>
      <c r="B717" s="5" t="s">
        <v>674</v>
      </c>
      <c r="C717" s="5" t="s">
        <v>728</v>
      </c>
      <c r="D717" s="25" t="s">
        <v>300</v>
      </c>
      <c r="E717" s="64" t="s">
        <v>308</v>
      </c>
      <c r="F717" s="30">
        <v>1913</v>
      </c>
      <c r="G717" s="30">
        <v>1.1100000000000001</v>
      </c>
      <c r="H717" s="30">
        <v>803</v>
      </c>
      <c r="J717" s="2"/>
      <c r="K717" s="2"/>
      <c r="L717" s="2"/>
      <c r="M717" s="2"/>
      <c r="N717" s="2"/>
      <c r="O717" s="2"/>
      <c r="P717" s="2"/>
    </row>
    <row r="718" spans="1:16" x14ac:dyDescent="0.4">
      <c r="A718">
        <v>2016</v>
      </c>
      <c r="B718" s="5" t="s">
        <v>675</v>
      </c>
      <c r="C718" s="5" t="s">
        <v>728</v>
      </c>
      <c r="D718" s="25" t="s">
        <v>300</v>
      </c>
      <c r="E718" s="64" t="s">
        <v>51</v>
      </c>
      <c r="F718" s="30">
        <v>65</v>
      </c>
      <c r="G718" s="30">
        <v>39</v>
      </c>
      <c r="H718" s="30">
        <v>26</v>
      </c>
      <c r="J718" s="2"/>
      <c r="K718" s="2"/>
      <c r="L718" s="2"/>
      <c r="M718" s="2"/>
      <c r="N718" s="2"/>
      <c r="O718" s="2"/>
      <c r="P718" s="2"/>
    </row>
    <row r="719" spans="1:16" x14ac:dyDescent="0.4">
      <c r="A719">
        <v>2016</v>
      </c>
      <c r="B719" s="5" t="s">
        <v>676</v>
      </c>
      <c r="C719" s="5" t="s">
        <v>728</v>
      </c>
      <c r="D719" s="25" t="s">
        <v>300</v>
      </c>
      <c r="E719" s="64" t="s">
        <v>309</v>
      </c>
      <c r="F719" s="30">
        <v>63</v>
      </c>
      <c r="G719" s="30">
        <v>40</v>
      </c>
      <c r="H719" s="30">
        <v>23</v>
      </c>
      <c r="J719" s="2"/>
      <c r="K719" s="2"/>
      <c r="L719" s="2"/>
      <c r="M719" s="2"/>
      <c r="N719" s="2"/>
      <c r="O719" s="2"/>
      <c r="P719" s="2"/>
    </row>
    <row r="720" spans="1:16" x14ac:dyDescent="0.4">
      <c r="A720">
        <v>2016</v>
      </c>
      <c r="B720" s="5" t="s">
        <v>677</v>
      </c>
      <c r="C720" s="5" t="s">
        <v>728</v>
      </c>
      <c r="D720" s="25" t="s">
        <v>300</v>
      </c>
      <c r="E720" s="64" t="s">
        <v>310</v>
      </c>
      <c r="F720" s="30">
        <v>83</v>
      </c>
      <c r="G720" s="30">
        <v>62</v>
      </c>
      <c r="H720" s="30">
        <v>21</v>
      </c>
      <c r="J720" s="2"/>
      <c r="K720" s="2"/>
      <c r="L720" s="2"/>
      <c r="M720" s="2"/>
      <c r="N720" s="2"/>
      <c r="O720" s="2"/>
      <c r="P720" s="2"/>
    </row>
    <row r="721" spans="1:16" x14ac:dyDescent="0.4">
      <c r="A721">
        <v>2016</v>
      </c>
      <c r="B721" s="5" t="s">
        <v>678</v>
      </c>
      <c r="C721" s="5" t="s">
        <v>729</v>
      </c>
      <c r="D721" s="25" t="s">
        <v>312</v>
      </c>
      <c r="E721" s="64" t="s">
        <v>311</v>
      </c>
      <c r="F721" s="30">
        <v>68</v>
      </c>
      <c r="G721" s="30">
        <v>42</v>
      </c>
      <c r="H721" s="30">
        <v>26</v>
      </c>
      <c r="J721" s="2"/>
      <c r="K721" s="2"/>
      <c r="L721" s="2"/>
      <c r="M721" s="2"/>
      <c r="N721" s="2"/>
      <c r="O721" s="2"/>
      <c r="P721" s="2"/>
    </row>
    <row r="722" spans="1:16" x14ac:dyDescent="0.4">
      <c r="A722">
        <v>2016</v>
      </c>
      <c r="B722" s="5" t="s">
        <v>679</v>
      </c>
      <c r="C722" s="5" t="s">
        <v>729</v>
      </c>
      <c r="D722" s="25" t="s">
        <v>312</v>
      </c>
      <c r="E722" s="64" t="s">
        <v>313</v>
      </c>
      <c r="F722" s="30">
        <v>265</v>
      </c>
      <c r="G722" s="30">
        <v>190</v>
      </c>
      <c r="H722" s="30">
        <v>75</v>
      </c>
      <c r="J722" s="2"/>
      <c r="K722" s="2"/>
      <c r="L722" s="2"/>
      <c r="M722" s="2"/>
      <c r="N722" s="2"/>
      <c r="O722" s="2"/>
      <c r="P722" s="2"/>
    </row>
    <row r="723" spans="1:16" x14ac:dyDescent="0.4">
      <c r="A723">
        <v>2016</v>
      </c>
      <c r="B723" s="5" t="s">
        <v>680</v>
      </c>
      <c r="C723" s="5" t="s">
        <v>729</v>
      </c>
      <c r="D723" s="25" t="s">
        <v>312</v>
      </c>
      <c r="E723" s="64" t="s">
        <v>314</v>
      </c>
      <c r="F723" s="30">
        <v>1598</v>
      </c>
      <c r="G723" s="30">
        <v>949</v>
      </c>
      <c r="H723" s="30">
        <v>649</v>
      </c>
      <c r="J723" s="2"/>
      <c r="K723" s="2"/>
      <c r="L723" s="2"/>
      <c r="M723" s="2"/>
      <c r="N723" s="2"/>
      <c r="O723" s="2"/>
      <c r="P723" s="2"/>
    </row>
    <row r="724" spans="1:16" x14ac:dyDescent="0.4">
      <c r="A724">
        <v>2016</v>
      </c>
      <c r="B724" s="5" t="s">
        <v>681</v>
      </c>
      <c r="C724" s="5" t="s">
        <v>729</v>
      </c>
      <c r="D724" s="25" t="s">
        <v>312</v>
      </c>
      <c r="E724" s="64" t="s">
        <v>315</v>
      </c>
      <c r="F724" s="30">
        <v>82</v>
      </c>
      <c r="G724" s="30">
        <v>63</v>
      </c>
      <c r="H724" s="30">
        <v>19</v>
      </c>
      <c r="J724" s="2"/>
      <c r="K724" s="2"/>
      <c r="L724" s="2"/>
      <c r="M724" s="2"/>
      <c r="N724" s="2"/>
      <c r="O724" s="2"/>
      <c r="P724" s="2"/>
    </row>
    <row r="725" spans="1:16" x14ac:dyDescent="0.4">
      <c r="A725">
        <v>2016</v>
      </c>
      <c r="B725" s="5" t="s">
        <v>682</v>
      </c>
      <c r="C725" s="5" t="s">
        <v>729</v>
      </c>
      <c r="D725" s="25" t="s">
        <v>312</v>
      </c>
      <c r="E725" s="64" t="s">
        <v>316</v>
      </c>
      <c r="F725" s="30">
        <v>524</v>
      </c>
      <c r="G725" s="30">
        <v>334</v>
      </c>
      <c r="H725" s="30">
        <v>190</v>
      </c>
      <c r="J725" s="2"/>
      <c r="K725" s="2"/>
      <c r="L725" s="2"/>
      <c r="M725" s="2"/>
      <c r="N725" s="2"/>
      <c r="O725" s="2"/>
      <c r="P725" s="2"/>
    </row>
    <row r="726" spans="1:16" x14ac:dyDescent="0.4">
      <c r="A726">
        <v>2016</v>
      </c>
      <c r="B726" s="5" t="s">
        <v>683</v>
      </c>
      <c r="C726" s="5" t="s">
        <v>729</v>
      </c>
      <c r="D726" s="25" t="s">
        <v>312</v>
      </c>
      <c r="E726" s="64" t="s">
        <v>317</v>
      </c>
      <c r="F726" s="30">
        <v>102</v>
      </c>
      <c r="G726" s="30">
        <v>71</v>
      </c>
      <c r="H726" s="30">
        <v>31</v>
      </c>
      <c r="J726" s="2"/>
      <c r="K726" s="2"/>
      <c r="L726" s="2"/>
      <c r="M726" s="2"/>
      <c r="N726" s="2"/>
      <c r="O726" s="2"/>
      <c r="P726" s="2"/>
    </row>
    <row r="727" spans="1:16" x14ac:dyDescent="0.4">
      <c r="A727">
        <v>2016</v>
      </c>
      <c r="B727" s="5" t="s">
        <v>684</v>
      </c>
      <c r="C727" s="5" t="s">
        <v>729</v>
      </c>
      <c r="D727" s="25" t="s">
        <v>312</v>
      </c>
      <c r="E727" s="64" t="s">
        <v>318</v>
      </c>
      <c r="F727" s="30">
        <v>530</v>
      </c>
      <c r="G727" s="30">
        <v>348</v>
      </c>
      <c r="H727" s="30">
        <v>182</v>
      </c>
      <c r="J727" s="2"/>
      <c r="K727" s="2"/>
      <c r="L727" s="2"/>
      <c r="M727" s="2"/>
      <c r="N727" s="2"/>
      <c r="O727" s="2"/>
      <c r="P727" s="2"/>
    </row>
    <row r="728" spans="1:16" x14ac:dyDescent="0.4">
      <c r="A728">
        <v>2016</v>
      </c>
      <c r="B728" s="5" t="s">
        <v>685</v>
      </c>
      <c r="C728" s="5" t="s">
        <v>729</v>
      </c>
      <c r="D728" s="25" t="s">
        <v>312</v>
      </c>
      <c r="E728" s="64" t="s">
        <v>319</v>
      </c>
      <c r="F728" s="30">
        <v>102</v>
      </c>
      <c r="G728" s="30">
        <v>69</v>
      </c>
      <c r="H728" s="30">
        <v>33</v>
      </c>
      <c r="J728" s="2"/>
      <c r="K728" s="2"/>
      <c r="L728" s="2"/>
      <c r="M728" s="2"/>
      <c r="N728" s="2"/>
      <c r="O728" s="2"/>
      <c r="P728" s="2"/>
    </row>
    <row r="729" spans="1:16" x14ac:dyDescent="0.4">
      <c r="A729">
        <v>2016</v>
      </c>
      <c r="B729" s="5" t="s">
        <v>686</v>
      </c>
      <c r="C729" s="5" t="s">
        <v>729</v>
      </c>
      <c r="D729" s="25" t="s">
        <v>312</v>
      </c>
      <c r="E729" s="64" t="s">
        <v>320</v>
      </c>
      <c r="F729" s="30">
        <v>366</v>
      </c>
      <c r="G729" s="30">
        <v>252</v>
      </c>
      <c r="H729" s="30">
        <v>114</v>
      </c>
      <c r="J729" s="2"/>
      <c r="K729" s="2"/>
      <c r="L729" s="2"/>
      <c r="M729" s="2"/>
      <c r="N729" s="2"/>
      <c r="O729" s="2"/>
      <c r="P729" s="2"/>
    </row>
    <row r="730" spans="1:16" x14ac:dyDescent="0.4">
      <c r="A730">
        <v>2016</v>
      </c>
      <c r="B730" s="5" t="s">
        <v>687</v>
      </c>
      <c r="C730" s="5" t="s">
        <v>729</v>
      </c>
      <c r="D730" s="25" t="s">
        <v>312</v>
      </c>
      <c r="E730" s="64" t="s">
        <v>321</v>
      </c>
      <c r="F730" s="30">
        <v>1090</v>
      </c>
      <c r="G730" s="30">
        <v>681</v>
      </c>
      <c r="H730" s="30">
        <v>409</v>
      </c>
      <c r="J730" s="2"/>
      <c r="K730" s="2"/>
      <c r="L730" s="2"/>
      <c r="M730" s="2"/>
      <c r="N730" s="2"/>
      <c r="O730" s="2"/>
      <c r="P730" s="2"/>
    </row>
    <row r="731" spans="1:16" x14ac:dyDescent="0.4">
      <c r="A731">
        <v>2016</v>
      </c>
      <c r="B731" s="5" t="s">
        <v>688</v>
      </c>
      <c r="C731" s="5" t="s">
        <v>729</v>
      </c>
      <c r="D731" s="25" t="s">
        <v>312</v>
      </c>
      <c r="E731" s="64" t="s">
        <v>322</v>
      </c>
      <c r="F731" s="30">
        <v>449</v>
      </c>
      <c r="G731" s="30">
        <v>273</v>
      </c>
      <c r="H731" s="30">
        <v>176</v>
      </c>
      <c r="J731" s="2"/>
      <c r="K731" s="2"/>
      <c r="L731" s="2"/>
      <c r="M731" s="2"/>
      <c r="N731" s="2"/>
      <c r="O731" s="2"/>
      <c r="P731" s="2"/>
    </row>
    <row r="732" spans="1:16" x14ac:dyDescent="0.4">
      <c r="A732">
        <v>2016</v>
      </c>
      <c r="B732" s="5" t="s">
        <v>689</v>
      </c>
      <c r="C732" s="5" t="s">
        <v>729</v>
      </c>
      <c r="D732" s="25" t="s">
        <v>312</v>
      </c>
      <c r="E732" s="64" t="s">
        <v>323</v>
      </c>
      <c r="F732" s="30">
        <v>1044</v>
      </c>
      <c r="G732" s="30">
        <v>672</v>
      </c>
      <c r="H732" s="30">
        <v>372</v>
      </c>
      <c r="J732" s="2"/>
      <c r="K732" s="2"/>
      <c r="L732" s="2"/>
      <c r="M732" s="2"/>
      <c r="N732" s="2"/>
      <c r="O732" s="2"/>
      <c r="P732" s="2"/>
    </row>
    <row r="733" spans="1:16" x14ac:dyDescent="0.4">
      <c r="A733">
        <v>2016</v>
      </c>
      <c r="B733" s="5" t="s">
        <v>690</v>
      </c>
      <c r="C733" s="5" t="s">
        <v>729</v>
      </c>
      <c r="D733" s="25" t="s">
        <v>312</v>
      </c>
      <c r="E733" s="64" t="s">
        <v>324</v>
      </c>
      <c r="F733" s="30">
        <v>13789</v>
      </c>
      <c r="G733" s="30">
        <v>7.7519999999999998</v>
      </c>
      <c r="H733" s="30">
        <v>6.0369999999999999</v>
      </c>
      <c r="J733" s="2"/>
      <c r="K733" s="2"/>
      <c r="L733" s="2"/>
      <c r="M733" s="2"/>
      <c r="N733" s="2"/>
      <c r="O733" s="2"/>
      <c r="P733" s="2"/>
    </row>
    <row r="734" spans="1:16" x14ac:dyDescent="0.4">
      <c r="A734">
        <v>2016</v>
      </c>
      <c r="B734" s="5" t="s">
        <v>691</v>
      </c>
      <c r="C734" s="5" t="s">
        <v>729</v>
      </c>
      <c r="D734" s="25" t="s">
        <v>312</v>
      </c>
      <c r="E734" s="64" t="s">
        <v>85</v>
      </c>
      <c r="F734" s="30">
        <v>383</v>
      </c>
      <c r="G734" s="30">
        <v>263</v>
      </c>
      <c r="H734" s="30">
        <v>120</v>
      </c>
      <c r="J734" s="2"/>
      <c r="K734" s="2"/>
      <c r="L734" s="2"/>
      <c r="M734" s="2"/>
      <c r="N734" s="2"/>
      <c r="O734" s="2"/>
      <c r="P734" s="2"/>
    </row>
    <row r="735" spans="1:16" x14ac:dyDescent="0.4">
      <c r="A735">
        <v>2016</v>
      </c>
      <c r="B735" s="5" t="s">
        <v>692</v>
      </c>
      <c r="C735" s="5" t="s">
        <v>729</v>
      </c>
      <c r="D735" s="25" t="s">
        <v>312</v>
      </c>
      <c r="E735" s="64" t="s">
        <v>32</v>
      </c>
      <c r="F735" s="30">
        <v>139</v>
      </c>
      <c r="G735" s="30">
        <v>78</v>
      </c>
      <c r="H735" s="30">
        <v>61</v>
      </c>
      <c r="J735" s="2"/>
      <c r="K735" s="2"/>
      <c r="L735" s="2"/>
      <c r="M735" s="2"/>
      <c r="N735" s="2"/>
      <c r="O735" s="2"/>
      <c r="P735" s="2"/>
    </row>
    <row r="736" spans="1:16" x14ac:dyDescent="0.4">
      <c r="A736">
        <v>2016</v>
      </c>
      <c r="B736" s="5" t="s">
        <v>693</v>
      </c>
      <c r="C736" s="5" t="s">
        <v>729</v>
      </c>
      <c r="D736" s="25" t="s">
        <v>312</v>
      </c>
      <c r="E736" s="64" t="s">
        <v>325</v>
      </c>
      <c r="F736" s="30">
        <v>403</v>
      </c>
      <c r="G736" s="30">
        <v>246</v>
      </c>
      <c r="H736" s="30">
        <v>157</v>
      </c>
      <c r="J736" s="2"/>
      <c r="K736" s="2"/>
      <c r="L736" s="2"/>
      <c r="M736" s="2"/>
      <c r="N736" s="2"/>
      <c r="O736" s="2"/>
      <c r="P736" s="2"/>
    </row>
    <row r="737" spans="1:16" x14ac:dyDescent="0.4">
      <c r="A737">
        <v>2016</v>
      </c>
      <c r="B737" s="5" t="s">
        <v>694</v>
      </c>
      <c r="C737" s="5" t="s">
        <v>729</v>
      </c>
      <c r="D737" s="25" t="s">
        <v>312</v>
      </c>
      <c r="E737" s="64" t="s">
        <v>144</v>
      </c>
      <c r="F737" s="30">
        <v>1536</v>
      </c>
      <c r="G737" s="30">
        <v>949</v>
      </c>
      <c r="H737" s="30">
        <v>587</v>
      </c>
      <c r="J737" s="2"/>
      <c r="K737" s="2"/>
      <c r="L737" s="2"/>
      <c r="M737" s="2"/>
      <c r="N737" s="2"/>
      <c r="O737" s="2"/>
      <c r="P737" s="2"/>
    </row>
    <row r="738" spans="1:16" x14ac:dyDescent="0.4">
      <c r="A738">
        <v>2016</v>
      </c>
      <c r="B738" s="5" t="s">
        <v>695</v>
      </c>
      <c r="C738" s="5" t="s">
        <v>729</v>
      </c>
      <c r="D738" s="25" t="s">
        <v>312</v>
      </c>
      <c r="E738" s="64" t="s">
        <v>326</v>
      </c>
      <c r="F738" s="30">
        <v>198</v>
      </c>
      <c r="G738" s="30">
        <v>141</v>
      </c>
      <c r="H738" s="30">
        <v>57</v>
      </c>
      <c r="J738" s="2"/>
      <c r="K738" s="2"/>
      <c r="L738" s="2"/>
      <c r="M738" s="2"/>
      <c r="N738" s="2"/>
      <c r="O738" s="2"/>
      <c r="P738" s="2"/>
    </row>
    <row r="739" spans="1:16" x14ac:dyDescent="0.4">
      <c r="A739">
        <v>2016</v>
      </c>
      <c r="B739" s="5" t="s">
        <v>696</v>
      </c>
      <c r="C739" s="5" t="s">
        <v>729</v>
      </c>
      <c r="D739" s="25" t="s">
        <v>312</v>
      </c>
      <c r="E739" s="64" t="s">
        <v>25</v>
      </c>
      <c r="F739" s="30">
        <v>119</v>
      </c>
      <c r="G739" s="30">
        <v>90</v>
      </c>
      <c r="H739" s="30">
        <v>29</v>
      </c>
      <c r="J739" s="2"/>
      <c r="K739" s="2"/>
      <c r="L739" s="2"/>
      <c r="M739" s="2"/>
      <c r="N739" s="2"/>
      <c r="O739" s="2"/>
      <c r="P739" s="2"/>
    </row>
    <row r="740" spans="1:16" x14ac:dyDescent="0.4">
      <c r="A740">
        <v>2016</v>
      </c>
      <c r="B740" s="5" t="s">
        <v>697</v>
      </c>
      <c r="C740" s="5" t="s">
        <v>729</v>
      </c>
      <c r="D740" s="25" t="s">
        <v>312</v>
      </c>
      <c r="E740" s="64" t="s">
        <v>51</v>
      </c>
      <c r="F740" s="30">
        <v>252</v>
      </c>
      <c r="G740" s="30">
        <v>165</v>
      </c>
      <c r="H740" s="30">
        <v>87</v>
      </c>
      <c r="J740" s="2"/>
      <c r="K740" s="2"/>
      <c r="L740" s="2"/>
      <c r="M740" s="2"/>
      <c r="N740" s="2"/>
      <c r="O740" s="2"/>
      <c r="P740" s="2"/>
    </row>
    <row r="741" spans="1:16" x14ac:dyDescent="0.4">
      <c r="A741">
        <v>2016</v>
      </c>
      <c r="B741" s="5" t="s">
        <v>698</v>
      </c>
      <c r="C741" s="5" t="s">
        <v>729</v>
      </c>
      <c r="D741" s="25" t="s">
        <v>312</v>
      </c>
      <c r="E741" s="65" t="s">
        <v>327</v>
      </c>
      <c r="F741" s="31">
        <v>107</v>
      </c>
      <c r="G741" s="31">
        <v>87</v>
      </c>
      <c r="H741" s="31">
        <v>20</v>
      </c>
      <c r="J741" s="2"/>
      <c r="K741" s="2"/>
      <c r="L741" s="2"/>
      <c r="M741" s="2"/>
      <c r="N741" s="2"/>
      <c r="O741" s="2"/>
      <c r="P741" s="2"/>
    </row>
    <row r="742" spans="1:16" x14ac:dyDescent="0.4">
      <c r="A742">
        <v>2016</v>
      </c>
      <c r="B742" s="2" t="s">
        <v>733</v>
      </c>
      <c r="C742" s="2" t="s">
        <v>715</v>
      </c>
      <c r="D742" s="2" t="s">
        <v>734</v>
      </c>
      <c r="E742" s="67" t="s">
        <v>735</v>
      </c>
      <c r="F742" s="28">
        <v>0</v>
      </c>
      <c r="G742" s="28">
        <v>0</v>
      </c>
      <c r="H742" s="12">
        <v>0</v>
      </c>
      <c r="J742" s="2"/>
      <c r="K742" s="2"/>
      <c r="L742" s="2"/>
      <c r="M742" s="2"/>
      <c r="N742" s="2"/>
      <c r="O742" s="2"/>
      <c r="P742" s="2"/>
    </row>
    <row r="743" spans="1:16" x14ac:dyDescent="0.4">
      <c r="A743">
        <v>2014</v>
      </c>
      <c r="B743" s="5" t="str">
        <f>+C743&amp;"-"&amp;E743</f>
        <v>VA-Municipio Autónomo Vargas</v>
      </c>
      <c r="C743" s="5" t="str">
        <f>+MID(D743,1,2)</f>
        <v>VA</v>
      </c>
      <c r="D743" s="25" t="s">
        <v>288</v>
      </c>
      <c r="E743" s="64" t="s">
        <v>757</v>
      </c>
      <c r="F743" s="2">
        <v>0</v>
      </c>
      <c r="G743" s="2">
        <v>0</v>
      </c>
      <c r="H743" s="2">
        <v>0</v>
      </c>
      <c r="J743" s="2"/>
      <c r="K743" s="2"/>
      <c r="L743" s="2"/>
      <c r="M743" s="2"/>
      <c r="N743" s="2"/>
      <c r="O743" s="2"/>
      <c r="P743" s="2"/>
    </row>
    <row r="744" spans="1:16" x14ac:dyDescent="0.4">
      <c r="A744">
        <v>2014</v>
      </c>
      <c r="B744" s="5" t="str">
        <f>+C744&amp;"-"&amp;E744</f>
        <v>DI-Municipio Autónomo Libertador</v>
      </c>
      <c r="C744" s="5" t="str">
        <f>+MID(D744,1,2)</f>
        <v>DI</v>
      </c>
      <c r="D744" s="25" t="s">
        <v>106</v>
      </c>
      <c r="E744" s="64" t="s">
        <v>756</v>
      </c>
      <c r="F744" s="2">
        <v>0</v>
      </c>
      <c r="G744" s="2">
        <v>0</v>
      </c>
      <c r="H744" s="2">
        <v>0</v>
      </c>
      <c r="J744" s="2"/>
      <c r="K744" s="2"/>
      <c r="L744" s="2"/>
      <c r="M744" s="2"/>
      <c r="N744" s="2"/>
      <c r="O744" s="2"/>
      <c r="P744" s="2"/>
    </row>
    <row r="745" spans="1:16" x14ac:dyDescent="0.4">
      <c r="A745">
        <v>2014</v>
      </c>
      <c r="B745" s="5" t="s">
        <v>335</v>
      </c>
      <c r="C745" s="5" t="s">
        <v>706</v>
      </c>
      <c r="D745" s="25" t="s">
        <v>106</v>
      </c>
      <c r="E745" s="64" t="s">
        <v>105</v>
      </c>
      <c r="F745" s="28">
        <v>170</v>
      </c>
      <c r="G745" s="28">
        <v>123</v>
      </c>
      <c r="H745" s="12">
        <v>47</v>
      </c>
      <c r="J745" s="2"/>
      <c r="K745" s="2"/>
      <c r="L745" s="2"/>
      <c r="M745" s="2"/>
      <c r="N745" s="2"/>
      <c r="O745" s="2"/>
      <c r="P745" s="2"/>
    </row>
    <row r="746" spans="1:16" x14ac:dyDescent="0.4">
      <c r="A746">
        <v>2014</v>
      </c>
      <c r="B746" s="5" t="s">
        <v>336</v>
      </c>
      <c r="C746" s="5" t="s">
        <v>706</v>
      </c>
      <c r="D746" s="25" t="s">
        <v>106</v>
      </c>
      <c r="E746" s="64" t="s">
        <v>107</v>
      </c>
      <c r="F746" s="28">
        <v>553</v>
      </c>
      <c r="G746" s="28">
        <v>356</v>
      </c>
      <c r="H746" s="12">
        <v>197</v>
      </c>
      <c r="J746" s="2"/>
      <c r="K746" s="2"/>
      <c r="L746" s="2"/>
      <c r="M746" s="2"/>
      <c r="N746" s="2"/>
      <c r="O746" s="2"/>
      <c r="P746" s="2"/>
    </row>
    <row r="747" spans="1:16" x14ac:dyDescent="0.4">
      <c r="A747">
        <v>2014</v>
      </c>
      <c r="B747" s="5" t="s">
        <v>337</v>
      </c>
      <c r="C747" s="5" t="s">
        <v>706</v>
      </c>
      <c r="D747" s="25" t="s">
        <v>106</v>
      </c>
      <c r="E747" s="64" t="s">
        <v>108</v>
      </c>
      <c r="F747" s="28">
        <v>191</v>
      </c>
      <c r="G747" s="28">
        <v>94</v>
      </c>
      <c r="H747" s="12">
        <v>97</v>
      </c>
      <c r="J747" s="2"/>
      <c r="K747" s="2"/>
      <c r="L747" s="2"/>
      <c r="M747" s="2"/>
      <c r="N747" s="2"/>
      <c r="O747" s="2"/>
      <c r="P747" s="2"/>
    </row>
    <row r="748" spans="1:16" x14ac:dyDescent="0.4">
      <c r="A748">
        <v>2014</v>
      </c>
      <c r="B748" s="5" t="s">
        <v>338</v>
      </c>
      <c r="C748" s="5" t="s">
        <v>706</v>
      </c>
      <c r="D748" s="25" t="s">
        <v>106</v>
      </c>
      <c r="E748" s="64" t="s">
        <v>109</v>
      </c>
      <c r="F748" s="28">
        <v>429</v>
      </c>
      <c r="G748" s="28">
        <v>247</v>
      </c>
      <c r="H748" s="12">
        <v>182</v>
      </c>
      <c r="J748" s="2"/>
      <c r="K748" s="2"/>
      <c r="L748" s="2"/>
      <c r="M748" s="2"/>
      <c r="N748" s="2"/>
      <c r="O748" s="2"/>
      <c r="P748" s="2"/>
    </row>
    <row r="749" spans="1:16" x14ac:dyDescent="0.4">
      <c r="A749">
        <v>2014</v>
      </c>
      <c r="B749" s="5" t="s">
        <v>339</v>
      </c>
      <c r="C749" s="5" t="s">
        <v>706</v>
      </c>
      <c r="D749" s="25" t="s">
        <v>106</v>
      </c>
      <c r="E749" s="64" t="s">
        <v>110</v>
      </c>
      <c r="F749" s="28">
        <v>57</v>
      </c>
      <c r="G749" s="28">
        <v>38</v>
      </c>
      <c r="H749" s="12">
        <v>19</v>
      </c>
      <c r="J749" s="2"/>
      <c r="K749" s="2"/>
      <c r="L749" s="2"/>
      <c r="M749" s="2"/>
      <c r="N749" s="2"/>
      <c r="O749" s="2"/>
      <c r="P749" s="2"/>
    </row>
    <row r="750" spans="1:16" x14ac:dyDescent="0.4">
      <c r="A750">
        <v>2014</v>
      </c>
      <c r="B750" s="5" t="s">
        <v>340</v>
      </c>
      <c r="C750" s="5" t="s">
        <v>706</v>
      </c>
      <c r="D750" s="25" t="s">
        <v>106</v>
      </c>
      <c r="E750" s="64" t="s">
        <v>111</v>
      </c>
      <c r="F750" s="28">
        <v>441</v>
      </c>
      <c r="G750" s="28">
        <v>327</v>
      </c>
      <c r="H750" s="12">
        <v>114</v>
      </c>
      <c r="J750" s="2"/>
      <c r="K750" s="2"/>
      <c r="L750" s="2"/>
      <c r="M750" s="2"/>
      <c r="N750" s="2"/>
      <c r="O750" s="2"/>
      <c r="P750" s="2"/>
    </row>
    <row r="751" spans="1:16" x14ac:dyDescent="0.4">
      <c r="A751">
        <v>2014</v>
      </c>
      <c r="B751" s="5" t="s">
        <v>341</v>
      </c>
      <c r="C751" s="5" t="s">
        <v>706</v>
      </c>
      <c r="D751" s="25" t="s">
        <v>106</v>
      </c>
      <c r="E751" s="64" t="s">
        <v>112</v>
      </c>
      <c r="F751" s="28">
        <v>142</v>
      </c>
      <c r="G751" s="28">
        <v>100</v>
      </c>
      <c r="H751" s="12">
        <v>42</v>
      </c>
      <c r="J751" s="2"/>
      <c r="K751" s="2"/>
      <c r="L751" s="2"/>
      <c r="M751" s="2"/>
      <c r="N751" s="2"/>
      <c r="O751" s="2"/>
      <c r="P751" s="2"/>
    </row>
    <row r="752" spans="1:16" x14ac:dyDescent="0.4">
      <c r="A752">
        <v>2014</v>
      </c>
      <c r="B752" s="5" t="s">
        <v>342</v>
      </c>
      <c r="C752" s="5" t="s">
        <v>706</v>
      </c>
      <c r="D752" s="25" t="s">
        <v>106</v>
      </c>
      <c r="E752" s="64" t="s">
        <v>113</v>
      </c>
      <c r="F752" s="28">
        <v>3076</v>
      </c>
      <c r="G752" s="28">
        <v>1896</v>
      </c>
      <c r="H752" s="12">
        <v>1180</v>
      </c>
      <c r="J752" s="2"/>
      <c r="K752" s="2"/>
      <c r="L752" s="2"/>
      <c r="M752" s="2"/>
      <c r="N752" s="2"/>
      <c r="O752" s="2"/>
      <c r="P752" s="2"/>
    </row>
    <row r="753" spans="1:16" x14ac:dyDescent="0.4">
      <c r="A753">
        <v>2014</v>
      </c>
      <c r="B753" s="5" t="s">
        <v>343</v>
      </c>
      <c r="C753" s="5" t="s">
        <v>706</v>
      </c>
      <c r="D753" s="25" t="s">
        <v>106</v>
      </c>
      <c r="E753" s="64" t="s">
        <v>114</v>
      </c>
      <c r="F753" s="10">
        <v>777</v>
      </c>
      <c r="G753" s="10">
        <v>403</v>
      </c>
      <c r="H753" s="12">
        <v>374</v>
      </c>
      <c r="J753" s="2"/>
      <c r="K753" s="2"/>
      <c r="L753" s="2"/>
      <c r="M753" s="2"/>
      <c r="N753" s="2"/>
      <c r="O753" s="2"/>
      <c r="P753" s="2"/>
    </row>
    <row r="754" spans="1:16" x14ac:dyDescent="0.4">
      <c r="A754">
        <v>2014</v>
      </c>
      <c r="B754" s="5" t="s">
        <v>344</v>
      </c>
      <c r="C754" s="5" t="s">
        <v>706</v>
      </c>
      <c r="D754" s="25" t="s">
        <v>106</v>
      </c>
      <c r="E754" s="64" t="s">
        <v>115</v>
      </c>
      <c r="F754" s="28">
        <v>465</v>
      </c>
      <c r="G754" s="28">
        <v>272</v>
      </c>
      <c r="H754" s="12">
        <v>193</v>
      </c>
      <c r="J754" s="2"/>
      <c r="K754" s="2"/>
      <c r="L754" s="2"/>
      <c r="M754" s="2"/>
      <c r="N754" s="2"/>
      <c r="O754" s="2"/>
      <c r="P754" s="2"/>
    </row>
    <row r="755" spans="1:16" x14ac:dyDescent="0.4">
      <c r="A755">
        <v>2014</v>
      </c>
      <c r="B755" s="5" t="s">
        <v>345</v>
      </c>
      <c r="C755" s="5" t="s">
        <v>706</v>
      </c>
      <c r="D755" s="25" t="s">
        <v>106</v>
      </c>
      <c r="E755" s="64" t="s">
        <v>116</v>
      </c>
      <c r="F755" s="28">
        <v>392</v>
      </c>
      <c r="G755" s="28">
        <v>222</v>
      </c>
      <c r="H755" s="12">
        <v>170</v>
      </c>
      <c r="J755" s="2"/>
      <c r="K755" s="2"/>
      <c r="L755" s="2"/>
      <c r="M755" s="2"/>
      <c r="N755" s="2"/>
      <c r="O755" s="2"/>
      <c r="P755" s="2"/>
    </row>
    <row r="756" spans="1:16" x14ac:dyDescent="0.4">
      <c r="A756">
        <v>2014</v>
      </c>
      <c r="B756" s="5" t="s">
        <v>346</v>
      </c>
      <c r="C756" s="5" t="s">
        <v>706</v>
      </c>
      <c r="D756" s="25" t="s">
        <v>106</v>
      </c>
      <c r="E756" s="64" t="s">
        <v>117</v>
      </c>
      <c r="F756" s="28">
        <v>518</v>
      </c>
      <c r="G756" s="28">
        <v>316</v>
      </c>
      <c r="H756" s="12">
        <v>202</v>
      </c>
      <c r="J756" s="2"/>
      <c r="K756" s="2"/>
      <c r="L756" s="2"/>
      <c r="M756" s="2"/>
      <c r="N756" s="2"/>
      <c r="O756" s="2"/>
      <c r="P756" s="2"/>
    </row>
    <row r="757" spans="1:16" x14ac:dyDescent="0.4">
      <c r="A757">
        <v>2014</v>
      </c>
      <c r="B757" s="5" t="s">
        <v>347</v>
      </c>
      <c r="C757" s="5" t="s">
        <v>706</v>
      </c>
      <c r="D757" s="25" t="s">
        <v>106</v>
      </c>
      <c r="E757" s="64" t="s">
        <v>118</v>
      </c>
      <c r="F757" s="28">
        <v>153</v>
      </c>
      <c r="G757" s="28">
        <v>96</v>
      </c>
      <c r="H757" s="12">
        <v>57</v>
      </c>
      <c r="J757" s="2"/>
      <c r="K757" s="2"/>
      <c r="L757" s="2"/>
      <c r="M757" s="2"/>
      <c r="N757" s="2"/>
      <c r="O757" s="2"/>
      <c r="P757" s="2"/>
    </row>
    <row r="758" spans="1:16" x14ac:dyDescent="0.4">
      <c r="A758">
        <v>2014</v>
      </c>
      <c r="B758" s="5" t="s">
        <v>348</v>
      </c>
      <c r="C758" s="5" t="s">
        <v>706</v>
      </c>
      <c r="D758" s="25" t="s">
        <v>106</v>
      </c>
      <c r="E758" s="64" t="s">
        <v>119</v>
      </c>
      <c r="F758" s="11">
        <v>146</v>
      </c>
      <c r="G758" s="11">
        <v>98</v>
      </c>
      <c r="H758" s="12">
        <v>48</v>
      </c>
      <c r="J758" s="2"/>
      <c r="K758" s="2"/>
      <c r="L758" s="2"/>
      <c r="M758" s="2"/>
      <c r="N758" s="2"/>
      <c r="O758" s="2"/>
      <c r="P758" s="2"/>
    </row>
    <row r="759" spans="1:16" x14ac:dyDescent="0.4">
      <c r="A759">
        <v>2014</v>
      </c>
      <c r="B759" s="5" t="s">
        <v>349</v>
      </c>
      <c r="C759" s="5" t="s">
        <v>706</v>
      </c>
      <c r="D759" s="25" t="s">
        <v>106</v>
      </c>
      <c r="E759" s="64" t="s">
        <v>120</v>
      </c>
      <c r="F759" s="28">
        <v>1372</v>
      </c>
      <c r="G759" s="28">
        <v>712</v>
      </c>
      <c r="H759" s="12">
        <v>660</v>
      </c>
      <c r="J759" s="2"/>
      <c r="K759" s="2"/>
      <c r="L759" s="2"/>
      <c r="M759" s="2"/>
      <c r="N759" s="2"/>
      <c r="O759" s="2"/>
      <c r="P759" s="2"/>
    </row>
    <row r="760" spans="1:16" x14ac:dyDescent="0.4">
      <c r="A760">
        <v>2014</v>
      </c>
      <c r="B760" s="5" t="s">
        <v>350</v>
      </c>
      <c r="C760" s="5" t="s">
        <v>706</v>
      </c>
      <c r="D760" s="25" t="s">
        <v>106</v>
      </c>
      <c r="E760" s="64" t="s">
        <v>121</v>
      </c>
      <c r="F760" s="28">
        <v>1521</v>
      </c>
      <c r="G760" s="28">
        <v>787</v>
      </c>
      <c r="H760" s="12">
        <v>734</v>
      </c>
      <c r="J760" s="2"/>
      <c r="K760" s="2"/>
      <c r="L760" s="2"/>
      <c r="M760" s="2"/>
      <c r="N760" s="2"/>
      <c r="O760" s="2"/>
      <c r="P760" s="2"/>
    </row>
    <row r="761" spans="1:16" x14ac:dyDescent="0.4">
      <c r="A761">
        <v>2014</v>
      </c>
      <c r="B761" s="5" t="s">
        <v>351</v>
      </c>
      <c r="C761" s="5" t="s">
        <v>706</v>
      </c>
      <c r="D761" s="25" t="s">
        <v>106</v>
      </c>
      <c r="E761" s="64" t="s">
        <v>122</v>
      </c>
      <c r="F761" s="28">
        <v>2097</v>
      </c>
      <c r="G761" s="28">
        <v>1186</v>
      </c>
      <c r="H761" s="12">
        <v>911</v>
      </c>
      <c r="J761" s="2"/>
      <c r="K761" s="2"/>
      <c r="L761" s="2"/>
      <c r="M761" s="2"/>
      <c r="N761" s="2"/>
      <c r="O761" s="2"/>
      <c r="P761" s="2"/>
    </row>
    <row r="762" spans="1:16" x14ac:dyDescent="0.4">
      <c r="A762">
        <v>2014</v>
      </c>
      <c r="B762" s="5" t="s">
        <v>352</v>
      </c>
      <c r="C762" s="5" t="s">
        <v>706</v>
      </c>
      <c r="D762" s="25" t="s">
        <v>106</v>
      </c>
      <c r="E762" s="64" t="s">
        <v>123</v>
      </c>
      <c r="F762" s="28">
        <v>2085</v>
      </c>
      <c r="G762" s="28">
        <v>1086</v>
      </c>
      <c r="H762" s="12">
        <v>999</v>
      </c>
      <c r="J762" s="2"/>
      <c r="K762" s="2"/>
      <c r="L762" s="2"/>
      <c r="M762" s="2"/>
      <c r="N762" s="2"/>
      <c r="O762" s="2"/>
      <c r="P762" s="2"/>
    </row>
    <row r="763" spans="1:16" x14ac:dyDescent="0.4">
      <c r="A763">
        <v>2014</v>
      </c>
      <c r="B763" s="5" t="s">
        <v>353</v>
      </c>
      <c r="C763" s="5" t="s">
        <v>706</v>
      </c>
      <c r="D763" s="25" t="s">
        <v>106</v>
      </c>
      <c r="E763" s="64" t="s">
        <v>124</v>
      </c>
      <c r="F763" s="28">
        <v>757</v>
      </c>
      <c r="G763" s="28">
        <v>401</v>
      </c>
      <c r="H763" s="12">
        <v>356</v>
      </c>
      <c r="J763" s="2"/>
      <c r="K763" s="2"/>
      <c r="L763" s="2"/>
      <c r="M763" s="2"/>
      <c r="N763" s="2"/>
      <c r="O763" s="2"/>
      <c r="P763" s="2"/>
    </row>
    <row r="764" spans="1:16" x14ac:dyDescent="0.4">
      <c r="A764">
        <v>2014</v>
      </c>
      <c r="B764" s="5" t="s">
        <v>354</v>
      </c>
      <c r="C764" s="5" t="s">
        <v>706</v>
      </c>
      <c r="D764" s="25" t="s">
        <v>106</v>
      </c>
      <c r="E764" s="64" t="s">
        <v>125</v>
      </c>
      <c r="F764" s="28">
        <v>69</v>
      </c>
      <c r="G764" s="28">
        <v>43</v>
      </c>
      <c r="H764" s="12">
        <v>26</v>
      </c>
      <c r="J764" s="2"/>
      <c r="K764" s="2"/>
      <c r="L764" s="2"/>
      <c r="M764" s="2"/>
      <c r="N764" s="2"/>
      <c r="O764" s="2"/>
      <c r="P764" s="2"/>
    </row>
    <row r="765" spans="1:16" x14ac:dyDescent="0.4">
      <c r="A765">
        <v>2014</v>
      </c>
      <c r="B765" s="5" t="s">
        <v>355</v>
      </c>
      <c r="C765" s="5" t="s">
        <v>706</v>
      </c>
      <c r="D765" s="25" t="s">
        <v>106</v>
      </c>
      <c r="E765" s="64" t="s">
        <v>126</v>
      </c>
      <c r="F765" s="28">
        <v>1593</v>
      </c>
      <c r="G765" s="28">
        <v>982</v>
      </c>
      <c r="H765" s="12">
        <v>611</v>
      </c>
      <c r="J765" s="2"/>
      <c r="K765" s="2"/>
      <c r="L765" s="2"/>
      <c r="M765" s="2"/>
      <c r="N765" s="2"/>
      <c r="O765" s="2"/>
      <c r="P765" s="2"/>
    </row>
    <row r="766" spans="1:16" x14ac:dyDescent="0.4">
      <c r="A766">
        <v>2014</v>
      </c>
      <c r="B766" s="5" t="s">
        <v>356</v>
      </c>
      <c r="C766" s="5" t="s">
        <v>706</v>
      </c>
      <c r="D766" s="25" t="s">
        <v>106</v>
      </c>
      <c r="E766" s="64" t="s">
        <v>127</v>
      </c>
      <c r="F766" s="28">
        <v>348</v>
      </c>
      <c r="G766" s="28">
        <v>222</v>
      </c>
      <c r="H766" s="12">
        <v>126</v>
      </c>
      <c r="J766" s="2"/>
      <c r="K766" s="2"/>
      <c r="L766" s="2"/>
      <c r="M766" s="2"/>
      <c r="N766" s="2"/>
      <c r="O766" s="2"/>
      <c r="P766" s="2"/>
    </row>
    <row r="767" spans="1:16" x14ac:dyDescent="0.4">
      <c r="A767">
        <v>2014</v>
      </c>
      <c r="B767" s="5" t="s">
        <v>357</v>
      </c>
      <c r="C767" s="5" t="s">
        <v>707</v>
      </c>
      <c r="D767" s="25" t="s">
        <v>1</v>
      </c>
      <c r="E767" s="64" t="s">
        <v>0</v>
      </c>
      <c r="F767" s="28">
        <v>0</v>
      </c>
      <c r="G767" s="28">
        <v>0</v>
      </c>
      <c r="H767" s="12">
        <v>0</v>
      </c>
      <c r="J767" s="2"/>
      <c r="K767" s="2"/>
      <c r="L767" s="2"/>
      <c r="M767" s="2"/>
      <c r="N767" s="2"/>
      <c r="O767" s="2"/>
      <c r="P767" s="2"/>
    </row>
    <row r="768" spans="1:16" x14ac:dyDescent="0.4">
      <c r="A768">
        <v>2014</v>
      </c>
      <c r="B768" s="5" t="s">
        <v>358</v>
      </c>
      <c r="C768" s="5" t="s">
        <v>707</v>
      </c>
      <c r="D768" s="25" t="s">
        <v>1</v>
      </c>
      <c r="E768" s="64" t="s">
        <v>2</v>
      </c>
      <c r="F768" s="28">
        <v>12</v>
      </c>
      <c r="G768" s="28">
        <v>6</v>
      </c>
      <c r="H768" s="12">
        <v>6</v>
      </c>
      <c r="J768" s="2"/>
      <c r="K768" s="2"/>
      <c r="L768" s="2"/>
      <c r="M768" s="2"/>
      <c r="N768" s="2"/>
      <c r="O768" s="2"/>
      <c r="P768" s="2"/>
    </row>
    <row r="769" spans="1:16" x14ac:dyDescent="0.4">
      <c r="A769">
        <v>2014</v>
      </c>
      <c r="B769" s="5" t="s">
        <v>359</v>
      </c>
      <c r="C769" s="5" t="s">
        <v>707</v>
      </c>
      <c r="D769" s="25" t="s">
        <v>1</v>
      </c>
      <c r="E769" s="64" t="s">
        <v>3</v>
      </c>
      <c r="F769" s="28">
        <v>555</v>
      </c>
      <c r="G769" s="28">
        <v>357</v>
      </c>
      <c r="H769" s="12">
        <v>198</v>
      </c>
      <c r="J769" s="2"/>
      <c r="K769" s="2"/>
      <c r="L769" s="2"/>
      <c r="M769" s="2"/>
      <c r="N769" s="2"/>
      <c r="O769" s="2"/>
      <c r="P769" s="2"/>
    </row>
    <row r="770" spans="1:16" x14ac:dyDescent="0.4">
      <c r="A770">
        <v>2014</v>
      </c>
      <c r="B770" s="5" t="s">
        <v>360</v>
      </c>
      <c r="C770" s="5" t="s">
        <v>707</v>
      </c>
      <c r="D770" s="25" t="s">
        <v>1</v>
      </c>
      <c r="E770" s="64" t="s">
        <v>4</v>
      </c>
      <c r="F770" s="28">
        <v>4</v>
      </c>
      <c r="G770" s="28">
        <v>3</v>
      </c>
      <c r="H770" s="12">
        <v>1</v>
      </c>
      <c r="J770" s="2"/>
      <c r="K770" s="2"/>
      <c r="L770" s="2"/>
      <c r="M770" s="2"/>
      <c r="N770" s="2"/>
      <c r="O770" s="2"/>
      <c r="P770" s="2"/>
    </row>
    <row r="771" spans="1:16" x14ac:dyDescent="0.4">
      <c r="A771">
        <v>2014</v>
      </c>
      <c r="B771" s="5" t="s">
        <v>361</v>
      </c>
      <c r="C771" s="5" t="s">
        <v>707</v>
      </c>
      <c r="D771" s="25" t="s">
        <v>1</v>
      </c>
      <c r="E771" s="64" t="s">
        <v>5</v>
      </c>
      <c r="F771" s="28">
        <v>1</v>
      </c>
      <c r="G771" s="28">
        <v>1</v>
      </c>
      <c r="H771" s="12" t="s">
        <v>142</v>
      </c>
      <c r="J771" s="2"/>
      <c r="K771" s="2"/>
      <c r="L771" s="2"/>
      <c r="M771" s="2"/>
      <c r="N771" s="2"/>
      <c r="O771" s="2"/>
      <c r="P771" s="2"/>
    </row>
    <row r="772" spans="1:16" x14ac:dyDescent="0.4">
      <c r="A772">
        <v>2014</v>
      </c>
      <c r="B772" s="5" t="s">
        <v>732</v>
      </c>
      <c r="C772" s="5" t="s">
        <v>707</v>
      </c>
      <c r="D772" s="25" t="s">
        <v>1</v>
      </c>
      <c r="E772" s="64" t="s">
        <v>330</v>
      </c>
      <c r="F772" s="12">
        <v>0</v>
      </c>
      <c r="G772" s="12">
        <v>0</v>
      </c>
      <c r="H772" s="12">
        <v>0</v>
      </c>
      <c r="J772" s="2"/>
      <c r="K772" s="2"/>
      <c r="L772" s="2"/>
      <c r="M772" s="2"/>
      <c r="N772" s="2"/>
      <c r="O772" s="2"/>
      <c r="P772" s="2"/>
    </row>
    <row r="773" spans="1:16" x14ac:dyDescent="0.4">
      <c r="A773">
        <v>2014</v>
      </c>
      <c r="B773" s="5" t="s">
        <v>730</v>
      </c>
      <c r="C773" s="5" t="s">
        <v>707</v>
      </c>
      <c r="D773" s="25" t="s">
        <v>1</v>
      </c>
      <c r="E773" s="64" t="s">
        <v>328</v>
      </c>
      <c r="F773" s="28">
        <v>2</v>
      </c>
      <c r="G773" s="28">
        <v>2</v>
      </c>
      <c r="H773" s="12" t="s">
        <v>142</v>
      </c>
      <c r="J773" s="2"/>
      <c r="K773" s="2"/>
      <c r="L773" s="2"/>
      <c r="M773" s="2"/>
      <c r="N773" s="2"/>
      <c r="O773" s="2"/>
      <c r="P773" s="2"/>
    </row>
    <row r="774" spans="1:16" x14ac:dyDescent="0.4">
      <c r="A774">
        <v>2014</v>
      </c>
      <c r="B774" s="5" t="s">
        <v>362</v>
      </c>
      <c r="C774" s="5" t="s">
        <v>708</v>
      </c>
      <c r="D774" s="25" t="s">
        <v>7</v>
      </c>
      <c r="E774" s="64" t="s">
        <v>6</v>
      </c>
      <c r="F774" s="28">
        <v>464</v>
      </c>
      <c r="G774" s="28">
        <v>281</v>
      </c>
      <c r="H774" s="12">
        <v>183</v>
      </c>
      <c r="J774" s="2"/>
      <c r="K774" s="2"/>
      <c r="L774" s="2"/>
      <c r="M774" s="2"/>
      <c r="N774" s="2"/>
      <c r="O774" s="2"/>
      <c r="P774" s="2"/>
    </row>
    <row r="775" spans="1:16" x14ac:dyDescent="0.4">
      <c r="A775">
        <v>2014</v>
      </c>
      <c r="B775" s="5" t="s">
        <v>363</v>
      </c>
      <c r="C775" s="5" t="s">
        <v>708</v>
      </c>
      <c r="D775" s="25" t="s">
        <v>7</v>
      </c>
      <c r="E775" s="64" t="s">
        <v>8</v>
      </c>
      <c r="F775" s="28">
        <v>95</v>
      </c>
      <c r="G775" s="28">
        <v>57</v>
      </c>
      <c r="H775" s="12">
        <v>38</v>
      </c>
      <c r="J775" s="2"/>
      <c r="K775" s="2"/>
      <c r="L775" s="2"/>
      <c r="M775" s="2"/>
      <c r="N775" s="2"/>
      <c r="O775" s="2"/>
      <c r="P775" s="2"/>
    </row>
    <row r="776" spans="1:16" x14ac:dyDescent="0.4">
      <c r="A776">
        <v>2014</v>
      </c>
      <c r="B776" s="5" t="s">
        <v>364</v>
      </c>
      <c r="C776" s="5" t="s">
        <v>708</v>
      </c>
      <c r="D776" s="25" t="s">
        <v>7</v>
      </c>
      <c r="E776" s="64" t="s">
        <v>9</v>
      </c>
      <c r="F776" s="28">
        <v>226</v>
      </c>
      <c r="G776" s="28">
        <v>114</v>
      </c>
      <c r="H776" s="12">
        <v>112</v>
      </c>
      <c r="J776" s="2"/>
      <c r="K776" s="2"/>
      <c r="L776" s="2"/>
      <c r="M776" s="2"/>
      <c r="N776" s="2"/>
      <c r="O776" s="2"/>
      <c r="P776" s="2"/>
    </row>
    <row r="777" spans="1:16" x14ac:dyDescent="0.4">
      <c r="A777">
        <v>2014</v>
      </c>
      <c r="B777" s="5" t="s">
        <v>365</v>
      </c>
      <c r="C777" s="5" t="s">
        <v>708</v>
      </c>
      <c r="D777" s="25" t="s">
        <v>7</v>
      </c>
      <c r="E777" s="64" t="s">
        <v>10</v>
      </c>
      <c r="F777" s="28">
        <v>68</v>
      </c>
      <c r="G777" s="28">
        <v>46</v>
      </c>
      <c r="H777" s="12">
        <v>22</v>
      </c>
      <c r="J777" s="2"/>
      <c r="K777" s="2"/>
      <c r="L777" s="2"/>
      <c r="M777" s="2"/>
      <c r="N777" s="2"/>
      <c r="O777" s="2"/>
      <c r="P777" s="2"/>
    </row>
    <row r="778" spans="1:16" x14ac:dyDescent="0.4">
      <c r="A778">
        <v>2014</v>
      </c>
      <c r="B778" s="5" t="s">
        <v>366</v>
      </c>
      <c r="C778" s="5" t="s">
        <v>708</v>
      </c>
      <c r="D778" s="25" t="s">
        <v>7</v>
      </c>
      <c r="E778" s="64" t="s">
        <v>11</v>
      </c>
      <c r="F778" s="28">
        <v>133</v>
      </c>
      <c r="G778" s="28">
        <v>80</v>
      </c>
      <c r="H778" s="12">
        <v>53</v>
      </c>
      <c r="J778" s="2"/>
      <c r="K778" s="2"/>
      <c r="L778" s="2"/>
      <c r="M778" s="2"/>
      <c r="N778" s="2"/>
      <c r="O778" s="2"/>
      <c r="P778" s="2"/>
    </row>
    <row r="779" spans="1:16" x14ac:dyDescent="0.4">
      <c r="A779">
        <v>2014</v>
      </c>
      <c r="B779" s="5" t="s">
        <v>367</v>
      </c>
      <c r="C779" s="5" t="s">
        <v>708</v>
      </c>
      <c r="D779" s="25" t="s">
        <v>7</v>
      </c>
      <c r="E779" s="64" t="s">
        <v>12</v>
      </c>
      <c r="F779" s="28">
        <v>45</v>
      </c>
      <c r="G779" s="28">
        <v>29</v>
      </c>
      <c r="H779" s="12">
        <v>16</v>
      </c>
      <c r="J779" s="2"/>
      <c r="K779" s="2"/>
      <c r="L779" s="2"/>
      <c r="M779" s="2"/>
      <c r="N779" s="2"/>
      <c r="O779" s="2"/>
      <c r="P779" s="2"/>
    </row>
    <row r="780" spans="1:16" x14ac:dyDescent="0.4">
      <c r="A780">
        <v>2014</v>
      </c>
      <c r="B780" s="5" t="s">
        <v>368</v>
      </c>
      <c r="C780" s="5" t="s">
        <v>708</v>
      </c>
      <c r="D780" s="25" t="s">
        <v>7</v>
      </c>
      <c r="E780" s="64" t="s">
        <v>13</v>
      </c>
      <c r="F780" s="28">
        <v>59</v>
      </c>
      <c r="G780" s="28">
        <v>43</v>
      </c>
      <c r="H780" s="12">
        <v>16</v>
      </c>
      <c r="J780" s="2"/>
      <c r="K780" s="2"/>
      <c r="L780" s="2"/>
      <c r="M780" s="2"/>
      <c r="N780" s="2"/>
      <c r="O780" s="2"/>
      <c r="P780" s="2"/>
    </row>
    <row r="781" spans="1:16" x14ac:dyDescent="0.4">
      <c r="A781">
        <v>2014</v>
      </c>
      <c r="B781" s="5" t="s">
        <v>369</v>
      </c>
      <c r="C781" s="5" t="s">
        <v>708</v>
      </c>
      <c r="D781" s="25" t="s">
        <v>7</v>
      </c>
      <c r="E781" s="64" t="s">
        <v>14</v>
      </c>
      <c r="F781" s="28">
        <v>78</v>
      </c>
      <c r="G781" s="28">
        <v>54</v>
      </c>
      <c r="H781" s="12">
        <v>24</v>
      </c>
      <c r="J781" s="2"/>
      <c r="K781" s="2"/>
      <c r="L781" s="2"/>
      <c r="M781" s="2"/>
      <c r="N781" s="2"/>
      <c r="O781" s="2"/>
      <c r="P781" s="2"/>
    </row>
    <row r="782" spans="1:16" x14ac:dyDescent="0.4">
      <c r="A782">
        <v>2014</v>
      </c>
      <c r="B782" s="5" t="s">
        <v>370</v>
      </c>
      <c r="C782" s="5" t="s">
        <v>708</v>
      </c>
      <c r="D782" s="25" t="s">
        <v>7</v>
      </c>
      <c r="E782" s="64" t="s">
        <v>15</v>
      </c>
      <c r="F782" s="28">
        <v>47</v>
      </c>
      <c r="G782" s="28">
        <v>33</v>
      </c>
      <c r="H782" s="12">
        <v>14</v>
      </c>
      <c r="J782" s="2"/>
      <c r="K782" s="2"/>
      <c r="L782" s="2"/>
      <c r="M782" s="2"/>
      <c r="N782" s="2"/>
      <c r="O782" s="2"/>
      <c r="P782" s="2"/>
    </row>
    <row r="783" spans="1:16" x14ac:dyDescent="0.4">
      <c r="A783">
        <v>2014</v>
      </c>
      <c r="B783" s="5" t="s">
        <v>371</v>
      </c>
      <c r="C783" s="5" t="s">
        <v>708</v>
      </c>
      <c r="D783" s="25" t="s">
        <v>7</v>
      </c>
      <c r="E783" s="64" t="s">
        <v>16</v>
      </c>
      <c r="F783" s="28">
        <v>811</v>
      </c>
      <c r="G783" s="28">
        <v>484</v>
      </c>
      <c r="H783" s="12">
        <v>327</v>
      </c>
      <c r="J783" s="2"/>
      <c r="K783" s="2"/>
      <c r="L783" s="2"/>
      <c r="M783" s="2"/>
      <c r="N783" s="2"/>
      <c r="O783" s="2"/>
      <c r="P783" s="2"/>
    </row>
    <row r="784" spans="1:16" x14ac:dyDescent="0.4">
      <c r="A784">
        <v>2014</v>
      </c>
      <c r="B784" s="5" t="s">
        <v>372</v>
      </c>
      <c r="C784" s="5" t="s">
        <v>708</v>
      </c>
      <c r="D784" s="25" t="s">
        <v>7</v>
      </c>
      <c r="E784" s="64" t="s">
        <v>17</v>
      </c>
      <c r="F784" s="28">
        <v>34</v>
      </c>
      <c r="G784" s="28">
        <v>14</v>
      </c>
      <c r="H784" s="12">
        <v>20</v>
      </c>
      <c r="J784" s="2"/>
      <c r="K784" s="2"/>
      <c r="L784" s="2"/>
      <c r="M784" s="2"/>
      <c r="N784" s="2"/>
      <c r="O784" s="2"/>
      <c r="P784" s="2"/>
    </row>
    <row r="785" spans="1:16" x14ac:dyDescent="0.4">
      <c r="A785">
        <v>2014</v>
      </c>
      <c r="B785" s="5" t="s">
        <v>373</v>
      </c>
      <c r="C785" s="5" t="s">
        <v>708</v>
      </c>
      <c r="D785" s="25" t="s">
        <v>7</v>
      </c>
      <c r="E785" s="64" t="s">
        <v>18</v>
      </c>
      <c r="F785" s="28">
        <v>1</v>
      </c>
      <c r="G785" s="28" t="s">
        <v>142</v>
      </c>
      <c r="H785" s="12">
        <v>1</v>
      </c>
      <c r="J785" s="2"/>
      <c r="K785" s="2"/>
      <c r="L785" s="2"/>
      <c r="M785" s="2"/>
      <c r="N785" s="2"/>
      <c r="O785" s="2"/>
      <c r="P785" s="2"/>
    </row>
    <row r="786" spans="1:16" x14ac:dyDescent="0.4">
      <c r="A786">
        <v>2014</v>
      </c>
      <c r="B786" s="5" t="s">
        <v>374</v>
      </c>
      <c r="C786" s="5" t="s">
        <v>708</v>
      </c>
      <c r="D786" s="25" t="s">
        <v>7</v>
      </c>
      <c r="E786" s="64" t="s">
        <v>19</v>
      </c>
      <c r="F786" s="28">
        <v>105</v>
      </c>
      <c r="G786" s="28">
        <v>72</v>
      </c>
      <c r="H786" s="12">
        <v>33</v>
      </c>
      <c r="J786" s="2"/>
      <c r="K786" s="2"/>
      <c r="L786" s="2"/>
      <c r="M786" s="2"/>
      <c r="N786" s="2"/>
      <c r="O786" s="2"/>
      <c r="P786" s="2"/>
    </row>
    <row r="787" spans="1:16" x14ac:dyDescent="0.4">
      <c r="A787">
        <v>2014</v>
      </c>
      <c r="B787" s="5" t="s">
        <v>375</v>
      </c>
      <c r="C787" s="5" t="s">
        <v>708</v>
      </c>
      <c r="D787" s="25" t="s">
        <v>7</v>
      </c>
      <c r="E787" s="64" t="s">
        <v>20</v>
      </c>
      <c r="F787" s="28">
        <v>435</v>
      </c>
      <c r="G787" s="28">
        <v>269</v>
      </c>
      <c r="H787" s="12">
        <v>166</v>
      </c>
      <c r="J787" s="2"/>
      <c r="K787" s="2"/>
      <c r="L787" s="2"/>
      <c r="M787" s="2"/>
      <c r="N787" s="2"/>
      <c r="O787" s="2"/>
      <c r="P787" s="2"/>
    </row>
    <row r="788" spans="1:16" x14ac:dyDescent="0.4">
      <c r="A788">
        <v>2014</v>
      </c>
      <c r="B788" s="5" t="s">
        <v>376</v>
      </c>
      <c r="C788" s="5" t="s">
        <v>708</v>
      </c>
      <c r="D788" s="25" t="s">
        <v>7</v>
      </c>
      <c r="E788" s="64" t="s">
        <v>21</v>
      </c>
      <c r="F788" s="28">
        <v>89</v>
      </c>
      <c r="G788" s="28">
        <v>50</v>
      </c>
      <c r="H788" s="12">
        <v>39</v>
      </c>
      <c r="J788" s="2"/>
      <c r="K788" s="2"/>
      <c r="L788" s="2"/>
      <c r="M788" s="2"/>
      <c r="N788" s="2"/>
      <c r="O788" s="2"/>
      <c r="P788" s="2"/>
    </row>
    <row r="789" spans="1:16" x14ac:dyDescent="0.4">
      <c r="A789">
        <v>2014</v>
      </c>
      <c r="B789" s="5" t="s">
        <v>377</v>
      </c>
      <c r="C789" s="5" t="s">
        <v>708</v>
      </c>
      <c r="D789" s="25" t="s">
        <v>7</v>
      </c>
      <c r="E789" s="64" t="s">
        <v>22</v>
      </c>
      <c r="F789" s="28">
        <v>203</v>
      </c>
      <c r="G789" s="28">
        <v>131</v>
      </c>
      <c r="H789" s="12">
        <v>72</v>
      </c>
      <c r="J789" s="2"/>
      <c r="K789" s="2"/>
      <c r="L789" s="2"/>
      <c r="M789" s="2"/>
      <c r="N789" s="2"/>
      <c r="O789" s="2"/>
      <c r="P789" s="2"/>
    </row>
    <row r="790" spans="1:16" x14ac:dyDescent="0.4">
      <c r="A790">
        <v>2014</v>
      </c>
      <c r="B790" s="5" t="s">
        <v>378</v>
      </c>
      <c r="C790" s="5" t="s">
        <v>708</v>
      </c>
      <c r="D790" s="25" t="s">
        <v>7</v>
      </c>
      <c r="E790" s="64" t="s">
        <v>23</v>
      </c>
      <c r="F790" s="28">
        <v>27</v>
      </c>
      <c r="G790" s="28">
        <v>17</v>
      </c>
      <c r="H790" s="12">
        <v>10</v>
      </c>
      <c r="J790" s="2"/>
      <c r="K790" s="2"/>
      <c r="L790" s="2"/>
      <c r="M790" s="2"/>
      <c r="N790" s="2"/>
      <c r="O790" s="2"/>
      <c r="P790" s="2"/>
    </row>
    <row r="791" spans="1:16" x14ac:dyDescent="0.4">
      <c r="A791">
        <v>2014</v>
      </c>
      <c r="B791" s="5" t="s">
        <v>379</v>
      </c>
      <c r="C791" s="5" t="s">
        <v>708</v>
      </c>
      <c r="D791" s="25" t="s">
        <v>7</v>
      </c>
      <c r="E791" s="64" t="s">
        <v>24</v>
      </c>
      <c r="F791" s="28">
        <v>26</v>
      </c>
      <c r="G791" s="28">
        <v>18</v>
      </c>
      <c r="H791" s="12">
        <v>8</v>
      </c>
      <c r="J791" s="2"/>
      <c r="K791" s="2"/>
      <c r="L791" s="2"/>
      <c r="M791" s="2"/>
      <c r="N791" s="2"/>
      <c r="O791" s="2"/>
      <c r="P791" s="2"/>
    </row>
    <row r="792" spans="1:16" x14ac:dyDescent="0.4">
      <c r="A792">
        <v>2014</v>
      </c>
      <c r="B792" s="5" t="s">
        <v>380</v>
      </c>
      <c r="C792" s="5" t="s">
        <v>708</v>
      </c>
      <c r="D792" s="25" t="s">
        <v>7</v>
      </c>
      <c r="E792" s="64" t="s">
        <v>25</v>
      </c>
      <c r="F792" s="28">
        <v>2619</v>
      </c>
      <c r="G792" s="28">
        <v>1581</v>
      </c>
      <c r="H792" s="12">
        <v>1038</v>
      </c>
      <c r="J792" s="2"/>
      <c r="K792" s="2"/>
      <c r="L792" s="2"/>
      <c r="M792" s="2"/>
      <c r="N792" s="2"/>
      <c r="O792" s="2"/>
      <c r="P792" s="2"/>
    </row>
    <row r="793" spans="1:16" x14ac:dyDescent="0.4">
      <c r="A793">
        <v>2014</v>
      </c>
      <c r="B793" s="5" t="s">
        <v>381</v>
      </c>
      <c r="C793" s="5" t="s">
        <v>708</v>
      </c>
      <c r="D793" s="25" t="s">
        <v>7</v>
      </c>
      <c r="E793" s="64" t="s">
        <v>26</v>
      </c>
      <c r="F793" s="28">
        <v>934</v>
      </c>
      <c r="G793" s="28">
        <v>580</v>
      </c>
      <c r="H793" s="12">
        <v>354</v>
      </c>
      <c r="J793" s="2"/>
      <c r="K793" s="2"/>
      <c r="L793" s="2"/>
      <c r="M793" s="2"/>
      <c r="N793" s="2"/>
      <c r="O793" s="2"/>
      <c r="P793" s="2"/>
    </row>
    <row r="794" spans="1:16" x14ac:dyDescent="0.4">
      <c r="A794">
        <v>2014</v>
      </c>
      <c r="B794" s="5" t="s">
        <v>382</v>
      </c>
      <c r="C794" s="5" t="s">
        <v>708</v>
      </c>
      <c r="D794" s="25" t="s">
        <v>7</v>
      </c>
      <c r="E794" s="64" t="s">
        <v>27</v>
      </c>
      <c r="F794" s="28">
        <v>28</v>
      </c>
      <c r="G794" s="28">
        <v>16</v>
      </c>
      <c r="H794" s="12">
        <v>12</v>
      </c>
      <c r="J794" s="2"/>
      <c r="K794" s="2"/>
      <c r="L794" s="2"/>
      <c r="M794" s="2"/>
      <c r="N794" s="2"/>
      <c r="O794" s="2"/>
      <c r="P794" s="2"/>
    </row>
    <row r="795" spans="1:16" x14ac:dyDescent="0.4">
      <c r="A795">
        <v>2014</v>
      </c>
      <c r="B795" s="5" t="s">
        <v>383</v>
      </c>
      <c r="C795" s="5" t="s">
        <v>709</v>
      </c>
      <c r="D795" s="25" t="s">
        <v>29</v>
      </c>
      <c r="E795" s="64" t="s">
        <v>28</v>
      </c>
      <c r="F795" s="28">
        <v>207</v>
      </c>
      <c r="G795" s="28">
        <v>123</v>
      </c>
      <c r="H795" s="12">
        <v>84</v>
      </c>
      <c r="J795" s="2"/>
      <c r="K795" s="2"/>
      <c r="L795" s="2"/>
      <c r="M795" s="2"/>
      <c r="N795" s="2"/>
      <c r="O795" s="2"/>
      <c r="P795" s="2"/>
    </row>
    <row r="796" spans="1:16" x14ac:dyDescent="0.4">
      <c r="A796">
        <v>2014</v>
      </c>
      <c r="B796" s="5" t="s">
        <v>384</v>
      </c>
      <c r="C796" s="5" t="s">
        <v>709</v>
      </c>
      <c r="D796" s="25" t="s">
        <v>29</v>
      </c>
      <c r="E796" s="64" t="s">
        <v>30</v>
      </c>
      <c r="F796" s="28">
        <v>131</v>
      </c>
      <c r="G796" s="28">
        <v>96</v>
      </c>
      <c r="H796" s="12">
        <v>35</v>
      </c>
      <c r="J796" s="2"/>
      <c r="K796" s="2"/>
      <c r="L796" s="2"/>
      <c r="M796" s="2"/>
      <c r="N796" s="2"/>
      <c r="O796" s="2"/>
      <c r="P796" s="2"/>
    </row>
    <row r="797" spans="1:16" x14ac:dyDescent="0.4">
      <c r="A797">
        <v>2014</v>
      </c>
      <c r="B797" s="5" t="s">
        <v>385</v>
      </c>
      <c r="C797" s="5" t="s">
        <v>709</v>
      </c>
      <c r="D797" s="25" t="s">
        <v>29</v>
      </c>
      <c r="E797" s="64" t="s">
        <v>31</v>
      </c>
      <c r="F797" s="28">
        <v>51</v>
      </c>
      <c r="G797" s="28">
        <v>37</v>
      </c>
      <c r="H797" s="12">
        <v>14</v>
      </c>
      <c r="J797" s="2"/>
      <c r="K797" s="2"/>
      <c r="L797" s="2"/>
      <c r="M797" s="2"/>
      <c r="N797" s="2"/>
      <c r="O797" s="2"/>
      <c r="P797" s="2"/>
    </row>
    <row r="798" spans="1:16" x14ac:dyDescent="0.4">
      <c r="A798">
        <v>2014</v>
      </c>
      <c r="B798" s="5" t="s">
        <v>386</v>
      </c>
      <c r="C798" s="5" t="s">
        <v>709</v>
      </c>
      <c r="D798" s="25" t="s">
        <v>29</v>
      </c>
      <c r="E798" s="64" t="s">
        <v>32</v>
      </c>
      <c r="F798" s="28">
        <v>274</v>
      </c>
      <c r="G798" s="28">
        <v>177</v>
      </c>
      <c r="H798" s="12">
        <v>97</v>
      </c>
      <c r="J798" s="2"/>
      <c r="K798" s="2"/>
      <c r="L798" s="2"/>
      <c r="M798" s="2"/>
      <c r="N798" s="2"/>
      <c r="O798" s="2"/>
      <c r="P798" s="2"/>
    </row>
    <row r="799" spans="1:16" x14ac:dyDescent="0.4">
      <c r="A799">
        <v>2014</v>
      </c>
      <c r="B799" s="5" t="s">
        <v>387</v>
      </c>
      <c r="C799" s="5" t="s">
        <v>709</v>
      </c>
      <c r="D799" s="25" t="s">
        <v>29</v>
      </c>
      <c r="E799" s="64" t="s">
        <v>33</v>
      </c>
      <c r="F799" s="28">
        <v>39</v>
      </c>
      <c r="G799" s="28">
        <v>30</v>
      </c>
      <c r="H799" s="12">
        <v>9</v>
      </c>
      <c r="J799" s="2"/>
      <c r="K799" s="2"/>
      <c r="L799" s="2"/>
      <c r="M799" s="2"/>
      <c r="N799" s="2"/>
      <c r="O799" s="2"/>
      <c r="P799" s="2"/>
    </row>
    <row r="800" spans="1:16" x14ac:dyDescent="0.4">
      <c r="A800">
        <v>2014</v>
      </c>
      <c r="B800" s="5" t="s">
        <v>388</v>
      </c>
      <c r="C800" s="5" t="s">
        <v>709</v>
      </c>
      <c r="D800" s="25" t="s">
        <v>29</v>
      </c>
      <c r="E800" s="65" t="s">
        <v>34</v>
      </c>
      <c r="F800" s="28">
        <v>50</v>
      </c>
      <c r="G800" s="28">
        <v>30</v>
      </c>
      <c r="H800" s="12">
        <v>20</v>
      </c>
      <c r="J800" s="2"/>
      <c r="K800" s="2"/>
      <c r="L800" s="2"/>
      <c r="M800" s="2"/>
      <c r="N800" s="2"/>
      <c r="O800" s="2"/>
      <c r="P800" s="2"/>
    </row>
    <row r="801" spans="1:16" x14ac:dyDescent="0.4">
      <c r="A801">
        <v>2014</v>
      </c>
      <c r="B801" s="5" t="s">
        <v>389</v>
      </c>
      <c r="C801" s="5" t="s">
        <v>709</v>
      </c>
      <c r="D801" s="25" t="s">
        <v>29</v>
      </c>
      <c r="E801" s="64" t="s">
        <v>35</v>
      </c>
      <c r="F801" s="28">
        <v>1266</v>
      </c>
      <c r="G801" s="28">
        <v>747</v>
      </c>
      <c r="H801" s="12">
        <v>519</v>
      </c>
      <c r="J801" s="2"/>
      <c r="K801" s="2"/>
      <c r="L801" s="2"/>
      <c r="M801" s="2"/>
      <c r="N801" s="2"/>
      <c r="O801" s="2"/>
      <c r="P801" s="2"/>
    </row>
    <row r="802" spans="1:16" x14ac:dyDescent="0.4">
      <c r="A802">
        <v>2014</v>
      </c>
      <c r="B802" s="5" t="s">
        <v>390</v>
      </c>
      <c r="C802" s="5" t="s">
        <v>710</v>
      </c>
      <c r="D802" s="25" t="s">
        <v>37</v>
      </c>
      <c r="E802" s="64" t="s">
        <v>36</v>
      </c>
      <c r="F802" s="28">
        <v>197</v>
      </c>
      <c r="G802" s="28">
        <v>133</v>
      </c>
      <c r="H802" s="12">
        <v>64</v>
      </c>
      <c r="J802" s="2"/>
      <c r="K802" s="2"/>
      <c r="L802" s="2"/>
      <c r="M802" s="2"/>
      <c r="N802" s="2"/>
      <c r="O802" s="2"/>
      <c r="P802" s="2"/>
    </row>
    <row r="803" spans="1:16" x14ac:dyDescent="0.4">
      <c r="A803">
        <v>2014</v>
      </c>
      <c r="B803" s="5" t="s">
        <v>391</v>
      </c>
      <c r="C803" s="5" t="s">
        <v>710</v>
      </c>
      <c r="D803" s="25" t="s">
        <v>37</v>
      </c>
      <c r="E803" s="64" t="s">
        <v>38</v>
      </c>
      <c r="F803" s="28">
        <v>95</v>
      </c>
      <c r="G803" s="28">
        <v>70</v>
      </c>
      <c r="H803" s="12">
        <v>25</v>
      </c>
      <c r="J803" s="2"/>
      <c r="K803" s="2"/>
      <c r="L803" s="2"/>
      <c r="M803" s="2"/>
      <c r="N803" s="2"/>
      <c r="O803" s="2"/>
      <c r="P803" s="2"/>
    </row>
    <row r="804" spans="1:16" x14ac:dyDescent="0.4">
      <c r="A804">
        <v>2014</v>
      </c>
      <c r="B804" s="5" t="s">
        <v>392</v>
      </c>
      <c r="C804" s="5" t="s">
        <v>710</v>
      </c>
      <c r="D804" s="25" t="s">
        <v>37</v>
      </c>
      <c r="E804" s="64" t="s">
        <v>39</v>
      </c>
      <c r="F804" s="28">
        <v>373</v>
      </c>
      <c r="G804" s="28">
        <v>245</v>
      </c>
      <c r="H804" s="12">
        <v>128</v>
      </c>
      <c r="J804" s="2"/>
      <c r="K804" s="2"/>
      <c r="L804" s="2"/>
      <c r="M804" s="2"/>
      <c r="N804" s="2"/>
      <c r="O804" s="2"/>
      <c r="P804" s="2"/>
    </row>
    <row r="805" spans="1:16" x14ac:dyDescent="0.4">
      <c r="A805">
        <v>2014</v>
      </c>
      <c r="B805" s="5" t="s">
        <v>393</v>
      </c>
      <c r="C805" s="5" t="s">
        <v>710</v>
      </c>
      <c r="D805" s="25" t="s">
        <v>37</v>
      </c>
      <c r="E805" s="64" t="s">
        <v>40</v>
      </c>
      <c r="F805" s="28">
        <v>5350</v>
      </c>
      <c r="G805" s="28">
        <v>3165</v>
      </c>
      <c r="H805" s="12">
        <v>2185</v>
      </c>
      <c r="J805" s="2"/>
      <c r="K805" s="2"/>
      <c r="L805" s="2"/>
      <c r="M805" s="2"/>
      <c r="N805" s="2"/>
      <c r="O805" s="2"/>
      <c r="P805" s="2"/>
    </row>
    <row r="806" spans="1:16" x14ac:dyDescent="0.4">
      <c r="A806">
        <v>2014</v>
      </c>
      <c r="B806" s="5" t="s">
        <v>394</v>
      </c>
      <c r="C806" s="5" t="s">
        <v>710</v>
      </c>
      <c r="D806" s="25" t="s">
        <v>37</v>
      </c>
      <c r="E806" s="64" t="s">
        <v>41</v>
      </c>
      <c r="F806" s="28">
        <v>123</v>
      </c>
      <c r="G806" s="28">
        <v>81</v>
      </c>
      <c r="H806" s="12">
        <v>42</v>
      </c>
      <c r="J806" s="2"/>
      <c r="K806" s="2"/>
      <c r="L806" s="2"/>
      <c r="M806" s="2"/>
      <c r="N806" s="2"/>
      <c r="O806" s="2"/>
      <c r="P806" s="2"/>
    </row>
    <row r="807" spans="1:16" x14ac:dyDescent="0.4">
      <c r="A807">
        <v>2014</v>
      </c>
      <c r="B807" s="5" t="s">
        <v>395</v>
      </c>
      <c r="C807" s="5" t="s">
        <v>710</v>
      </c>
      <c r="D807" s="25" t="s">
        <v>37</v>
      </c>
      <c r="E807" s="64" t="s">
        <v>42</v>
      </c>
      <c r="F807" s="28">
        <v>959</v>
      </c>
      <c r="G807" s="28">
        <v>563</v>
      </c>
      <c r="H807" s="12">
        <v>396</v>
      </c>
      <c r="J807" s="2"/>
      <c r="K807" s="2"/>
      <c r="L807" s="2"/>
      <c r="M807" s="2"/>
      <c r="N807" s="2"/>
      <c r="O807" s="2"/>
      <c r="P807" s="2"/>
    </row>
    <row r="808" spans="1:16" x14ac:dyDescent="0.4">
      <c r="A808">
        <v>2014</v>
      </c>
      <c r="B808" s="5" t="s">
        <v>396</v>
      </c>
      <c r="C808" s="5" t="s">
        <v>710</v>
      </c>
      <c r="D808" s="25" t="s">
        <v>37</v>
      </c>
      <c r="E808" s="64" t="s">
        <v>43</v>
      </c>
      <c r="F808" s="28">
        <v>150</v>
      </c>
      <c r="G808" s="28">
        <v>101</v>
      </c>
      <c r="H808" s="12">
        <v>49</v>
      </c>
      <c r="J808" s="2"/>
      <c r="K808" s="2"/>
      <c r="L808" s="2"/>
      <c r="M808" s="2"/>
      <c r="N808" s="2"/>
      <c r="O808" s="2"/>
      <c r="P808" s="2"/>
    </row>
    <row r="809" spans="1:16" x14ac:dyDescent="0.4">
      <c r="A809">
        <v>2014</v>
      </c>
      <c r="B809" s="5" t="s">
        <v>397</v>
      </c>
      <c r="C809" s="5" t="s">
        <v>710</v>
      </c>
      <c r="D809" s="25" t="s">
        <v>37</v>
      </c>
      <c r="E809" s="64" t="s">
        <v>44</v>
      </c>
      <c r="F809" s="28">
        <v>660</v>
      </c>
      <c r="G809" s="28">
        <v>403</v>
      </c>
      <c r="H809" s="12">
        <v>257</v>
      </c>
      <c r="J809" s="2"/>
      <c r="K809" s="2"/>
      <c r="L809" s="2"/>
      <c r="M809" s="2"/>
      <c r="N809" s="2"/>
      <c r="O809" s="2"/>
      <c r="P809" s="2"/>
    </row>
    <row r="810" spans="1:16" x14ac:dyDescent="0.4">
      <c r="A810">
        <v>2014</v>
      </c>
      <c r="B810" s="5" t="s">
        <v>398</v>
      </c>
      <c r="C810" s="5" t="s">
        <v>710</v>
      </c>
      <c r="D810" s="25" t="s">
        <v>37</v>
      </c>
      <c r="E810" s="64" t="s">
        <v>45</v>
      </c>
      <c r="F810" s="28">
        <v>355</v>
      </c>
      <c r="G810" s="28">
        <v>199</v>
      </c>
      <c r="H810" s="12">
        <v>156</v>
      </c>
      <c r="J810" s="2"/>
      <c r="K810" s="2"/>
      <c r="L810" s="2"/>
      <c r="M810" s="2"/>
      <c r="N810" s="2"/>
      <c r="O810" s="2"/>
      <c r="P810" s="2"/>
    </row>
    <row r="811" spans="1:16" x14ac:dyDescent="0.4">
      <c r="A811">
        <v>2014</v>
      </c>
      <c r="B811" s="5" t="s">
        <v>399</v>
      </c>
      <c r="C811" s="5" t="s">
        <v>710</v>
      </c>
      <c r="D811" s="25" t="s">
        <v>37</v>
      </c>
      <c r="E811" s="64" t="s">
        <v>46</v>
      </c>
      <c r="F811" s="28">
        <v>66</v>
      </c>
      <c r="G811" s="28">
        <v>44</v>
      </c>
      <c r="H811" s="12">
        <v>22</v>
      </c>
      <c r="J811" s="2"/>
      <c r="K811" s="2"/>
      <c r="L811" s="2"/>
      <c r="M811" s="2"/>
      <c r="N811" s="2"/>
      <c r="O811" s="2"/>
      <c r="P811" s="2"/>
    </row>
    <row r="812" spans="1:16" x14ac:dyDescent="0.4">
      <c r="A812">
        <v>2014</v>
      </c>
      <c r="B812" s="5" t="s">
        <v>400</v>
      </c>
      <c r="C812" s="5" t="s">
        <v>710</v>
      </c>
      <c r="D812" s="25" t="s">
        <v>37</v>
      </c>
      <c r="E812" s="64" t="s">
        <v>47</v>
      </c>
      <c r="F812" s="28">
        <v>115</v>
      </c>
      <c r="G812" s="28">
        <v>77</v>
      </c>
      <c r="H812" s="12">
        <v>38</v>
      </c>
      <c r="J812" s="2"/>
      <c r="K812" s="2"/>
      <c r="L812" s="2"/>
      <c r="M812" s="2"/>
      <c r="N812" s="2"/>
      <c r="O812" s="2"/>
      <c r="P812" s="2"/>
    </row>
    <row r="813" spans="1:16" x14ac:dyDescent="0.4">
      <c r="A813">
        <v>2014</v>
      </c>
      <c r="B813" s="5" t="s">
        <v>401</v>
      </c>
      <c r="C813" s="5" t="s">
        <v>710</v>
      </c>
      <c r="D813" s="25" t="s">
        <v>37</v>
      </c>
      <c r="E813" s="64" t="s">
        <v>48</v>
      </c>
      <c r="F813" s="28">
        <v>100</v>
      </c>
      <c r="G813" s="28">
        <v>73</v>
      </c>
      <c r="H813" s="12">
        <v>27</v>
      </c>
      <c r="J813" s="2"/>
      <c r="K813" s="2"/>
      <c r="L813" s="2"/>
      <c r="M813" s="2"/>
      <c r="N813" s="2"/>
      <c r="O813" s="2"/>
      <c r="P813" s="2"/>
    </row>
    <row r="814" spans="1:16" x14ac:dyDescent="0.4">
      <c r="A814">
        <v>2014</v>
      </c>
      <c r="B814" s="5" t="s">
        <v>402</v>
      </c>
      <c r="C814" s="5" t="s">
        <v>710</v>
      </c>
      <c r="D814" s="25" t="s">
        <v>37</v>
      </c>
      <c r="E814" s="64" t="s">
        <v>49</v>
      </c>
      <c r="F814" s="28">
        <v>713</v>
      </c>
      <c r="G814" s="28">
        <v>451</v>
      </c>
      <c r="H814" s="12">
        <v>262</v>
      </c>
      <c r="J814" s="2"/>
      <c r="K814" s="2"/>
      <c r="L814" s="2"/>
      <c r="M814" s="2"/>
      <c r="N814" s="2"/>
      <c r="O814" s="2"/>
      <c r="P814" s="2"/>
    </row>
    <row r="815" spans="1:16" x14ac:dyDescent="0.4">
      <c r="A815">
        <v>2014</v>
      </c>
      <c r="B815" s="5" t="s">
        <v>403</v>
      </c>
      <c r="C815" s="5" t="s">
        <v>710</v>
      </c>
      <c r="D815" s="25" t="s">
        <v>37</v>
      </c>
      <c r="E815" s="64" t="s">
        <v>50</v>
      </c>
      <c r="F815" s="28">
        <v>124</v>
      </c>
      <c r="G815" s="28">
        <v>91</v>
      </c>
      <c r="H815" s="12">
        <v>33</v>
      </c>
      <c r="J815" s="2"/>
      <c r="K815" s="2"/>
      <c r="L815" s="2"/>
      <c r="M815" s="2"/>
      <c r="N815" s="2"/>
      <c r="O815" s="2"/>
      <c r="P815" s="2"/>
    </row>
    <row r="816" spans="1:16" x14ac:dyDescent="0.4">
      <c r="A816">
        <v>2014</v>
      </c>
      <c r="B816" s="5" t="s">
        <v>404</v>
      </c>
      <c r="C816" s="5" t="s">
        <v>710</v>
      </c>
      <c r="D816" s="25" t="s">
        <v>37</v>
      </c>
      <c r="E816" s="64" t="s">
        <v>51</v>
      </c>
      <c r="F816" s="28">
        <v>641</v>
      </c>
      <c r="G816" s="28">
        <v>400</v>
      </c>
      <c r="H816" s="12">
        <v>241</v>
      </c>
      <c r="J816" s="2"/>
      <c r="K816" s="2"/>
      <c r="L816" s="2"/>
      <c r="M816" s="2"/>
      <c r="N816" s="2"/>
      <c r="O816" s="2"/>
      <c r="P816" s="2"/>
    </row>
    <row r="817" spans="1:16" x14ac:dyDescent="0.4">
      <c r="A817">
        <v>2014</v>
      </c>
      <c r="B817" s="5" t="s">
        <v>405</v>
      </c>
      <c r="C817" s="5" t="s">
        <v>710</v>
      </c>
      <c r="D817" s="25" t="s">
        <v>37</v>
      </c>
      <c r="E817" s="64" t="s">
        <v>52</v>
      </c>
      <c r="F817" s="28">
        <v>49</v>
      </c>
      <c r="G817" s="28">
        <v>29</v>
      </c>
      <c r="H817" s="12">
        <v>20</v>
      </c>
      <c r="J817" s="2"/>
      <c r="K817" s="2"/>
      <c r="L817" s="2"/>
      <c r="M817" s="2"/>
      <c r="N817" s="2"/>
      <c r="O817" s="2"/>
      <c r="P817" s="2"/>
    </row>
    <row r="818" spans="1:16" x14ac:dyDescent="0.4">
      <c r="A818">
        <v>2014</v>
      </c>
      <c r="B818" s="5" t="s">
        <v>406</v>
      </c>
      <c r="C818" s="5" t="s">
        <v>710</v>
      </c>
      <c r="D818" s="25" t="s">
        <v>37</v>
      </c>
      <c r="E818" s="64" t="s">
        <v>53</v>
      </c>
      <c r="F818" s="28">
        <v>68</v>
      </c>
      <c r="G818" s="28">
        <v>43</v>
      </c>
      <c r="H818" s="12">
        <v>25</v>
      </c>
      <c r="J818" s="2"/>
      <c r="K818" s="2"/>
      <c r="L818" s="2"/>
      <c r="M818" s="2"/>
      <c r="N818" s="2"/>
      <c r="O818" s="2"/>
      <c r="P818" s="2"/>
    </row>
    <row r="819" spans="1:16" x14ac:dyDescent="0.4">
      <c r="A819">
        <v>2014</v>
      </c>
      <c r="B819" s="5" t="s">
        <v>407</v>
      </c>
      <c r="C819" s="5" t="s">
        <v>710</v>
      </c>
      <c r="D819" s="25" t="s">
        <v>37</v>
      </c>
      <c r="E819" s="64" t="s">
        <v>54</v>
      </c>
      <c r="F819" s="28">
        <v>677</v>
      </c>
      <c r="G819" s="28">
        <v>450</v>
      </c>
      <c r="H819" s="12">
        <v>227</v>
      </c>
      <c r="J819" s="2"/>
      <c r="K819" s="2"/>
      <c r="L819" s="2"/>
      <c r="M819" s="2"/>
      <c r="N819" s="2"/>
      <c r="O819" s="2"/>
      <c r="P819" s="2"/>
    </row>
    <row r="820" spans="1:16" x14ac:dyDescent="0.4">
      <c r="A820">
        <v>2014</v>
      </c>
      <c r="B820" s="5" t="s">
        <v>408</v>
      </c>
      <c r="C820" s="5" t="s">
        <v>711</v>
      </c>
      <c r="D820" s="25" t="s">
        <v>56</v>
      </c>
      <c r="E820" s="64" t="s">
        <v>55</v>
      </c>
      <c r="F820" s="28">
        <v>134</v>
      </c>
      <c r="G820" s="28">
        <v>98</v>
      </c>
      <c r="H820" s="12">
        <v>36</v>
      </c>
      <c r="J820" s="2"/>
      <c r="K820" s="2"/>
      <c r="L820" s="2"/>
      <c r="M820" s="2"/>
      <c r="N820" s="2"/>
      <c r="O820" s="2"/>
      <c r="P820" s="2"/>
    </row>
    <row r="821" spans="1:16" x14ac:dyDescent="0.4">
      <c r="A821">
        <v>2014</v>
      </c>
      <c r="B821" s="5" t="s">
        <v>409</v>
      </c>
      <c r="C821" s="5" t="s">
        <v>711</v>
      </c>
      <c r="D821" s="25" t="s">
        <v>56</v>
      </c>
      <c r="E821" s="64" t="s">
        <v>57</v>
      </c>
      <c r="F821" s="28">
        <v>37</v>
      </c>
      <c r="G821" s="28">
        <v>24</v>
      </c>
      <c r="H821" s="12">
        <v>13</v>
      </c>
      <c r="J821" s="2"/>
      <c r="K821" s="2"/>
      <c r="L821" s="2"/>
      <c r="M821" s="2"/>
      <c r="N821" s="2"/>
      <c r="O821" s="2"/>
      <c r="P821" s="2"/>
    </row>
    <row r="822" spans="1:16" x14ac:dyDescent="0.4">
      <c r="A822">
        <v>2014</v>
      </c>
      <c r="B822" s="5" t="s">
        <v>410</v>
      </c>
      <c r="C822" s="5" t="s">
        <v>711</v>
      </c>
      <c r="D822" s="25" t="s">
        <v>56</v>
      </c>
      <c r="E822" s="64" t="s">
        <v>58</v>
      </c>
      <c r="F822" s="28">
        <v>268</v>
      </c>
      <c r="G822" s="28">
        <v>188</v>
      </c>
      <c r="H822" s="12">
        <v>80</v>
      </c>
      <c r="J822" s="2"/>
      <c r="K822" s="2"/>
      <c r="L822" s="2"/>
      <c r="M822" s="2"/>
      <c r="N822" s="2"/>
      <c r="O822" s="2"/>
      <c r="P822" s="2"/>
    </row>
    <row r="823" spans="1:16" x14ac:dyDescent="0.4">
      <c r="A823">
        <v>2014</v>
      </c>
      <c r="B823" s="5" t="s">
        <v>411</v>
      </c>
      <c r="C823" s="5" t="s">
        <v>711</v>
      </c>
      <c r="D823" s="25" t="s">
        <v>56</v>
      </c>
      <c r="E823" s="64" t="s">
        <v>59</v>
      </c>
      <c r="F823" s="28">
        <v>47</v>
      </c>
      <c r="G823" s="28">
        <v>28</v>
      </c>
      <c r="H823" s="12">
        <v>19</v>
      </c>
      <c r="J823" s="2"/>
      <c r="K823" s="2"/>
      <c r="L823" s="2"/>
      <c r="M823" s="2"/>
      <c r="N823" s="2"/>
      <c r="O823" s="2"/>
      <c r="P823" s="2"/>
    </row>
    <row r="824" spans="1:16" x14ac:dyDescent="0.4">
      <c r="A824">
        <v>2014</v>
      </c>
      <c r="B824" s="5" t="s">
        <v>412</v>
      </c>
      <c r="C824" s="5" t="s">
        <v>711</v>
      </c>
      <c r="D824" s="25" t="s">
        <v>56</v>
      </c>
      <c r="E824" s="64" t="s">
        <v>60</v>
      </c>
      <c r="F824" s="28">
        <v>2756</v>
      </c>
      <c r="G824" s="28">
        <v>1702</v>
      </c>
      <c r="H824" s="12">
        <v>1054</v>
      </c>
      <c r="J824" s="2"/>
      <c r="K824" s="2"/>
      <c r="L824" s="2"/>
      <c r="M824" s="2"/>
      <c r="N824" s="2"/>
      <c r="O824" s="2"/>
      <c r="P824" s="2"/>
    </row>
    <row r="825" spans="1:16" x14ac:dyDescent="0.4">
      <c r="A825">
        <v>2014</v>
      </c>
      <c r="B825" s="5" t="s">
        <v>413</v>
      </c>
      <c r="C825" s="5" t="s">
        <v>711</v>
      </c>
      <c r="D825" s="25" t="s">
        <v>56</v>
      </c>
      <c r="E825" s="64" t="s">
        <v>36</v>
      </c>
      <c r="F825" s="28">
        <v>170</v>
      </c>
      <c r="G825" s="28">
        <v>105</v>
      </c>
      <c r="H825" s="12">
        <v>65</v>
      </c>
      <c r="J825" s="2"/>
      <c r="K825" s="2"/>
      <c r="L825" s="2"/>
      <c r="M825" s="2"/>
      <c r="N825" s="2"/>
      <c r="O825" s="2"/>
      <c r="P825" s="2"/>
    </row>
    <row r="826" spans="1:16" x14ac:dyDescent="0.4">
      <c r="A826">
        <v>2014</v>
      </c>
      <c r="B826" s="5" t="s">
        <v>414</v>
      </c>
      <c r="C826" s="5" t="s">
        <v>711</v>
      </c>
      <c r="D826" s="25" t="s">
        <v>56</v>
      </c>
      <c r="E826" s="64" t="s">
        <v>61</v>
      </c>
      <c r="F826" s="28">
        <v>74</v>
      </c>
      <c r="G826" s="28">
        <v>48</v>
      </c>
      <c r="H826" s="12">
        <v>26</v>
      </c>
      <c r="J826" s="2"/>
      <c r="K826" s="2"/>
      <c r="L826" s="2"/>
      <c r="M826" s="2"/>
      <c r="N826" s="2"/>
      <c r="O826" s="2"/>
      <c r="P826" s="2"/>
    </row>
    <row r="827" spans="1:16" x14ac:dyDescent="0.4">
      <c r="A827">
        <v>2014</v>
      </c>
      <c r="B827" s="5" t="s">
        <v>415</v>
      </c>
      <c r="C827" s="5" t="s">
        <v>711</v>
      </c>
      <c r="D827" s="25" t="s">
        <v>56</v>
      </c>
      <c r="E827" s="64" t="s">
        <v>62</v>
      </c>
      <c r="F827" s="28">
        <v>188</v>
      </c>
      <c r="G827" s="28">
        <v>129</v>
      </c>
      <c r="H827" s="12">
        <v>59</v>
      </c>
      <c r="J827" s="2"/>
      <c r="K827" s="2"/>
      <c r="L827" s="2"/>
      <c r="M827" s="2"/>
      <c r="N827" s="2"/>
      <c r="O827" s="2"/>
      <c r="P827" s="2"/>
    </row>
    <row r="828" spans="1:16" x14ac:dyDescent="0.4">
      <c r="A828">
        <v>2014</v>
      </c>
      <c r="B828" s="5" t="s">
        <v>416</v>
      </c>
      <c r="C828" s="5" t="s">
        <v>711</v>
      </c>
      <c r="D828" s="25" t="s">
        <v>56</v>
      </c>
      <c r="E828" s="64" t="s">
        <v>63</v>
      </c>
      <c r="F828" s="28">
        <v>104</v>
      </c>
      <c r="G828" s="28">
        <v>74</v>
      </c>
      <c r="H828" s="12">
        <v>30</v>
      </c>
      <c r="J828" s="2"/>
      <c r="K828" s="2"/>
      <c r="L828" s="2"/>
      <c r="M828" s="2"/>
      <c r="N828" s="2"/>
      <c r="O828" s="2"/>
      <c r="P828" s="2"/>
    </row>
    <row r="829" spans="1:16" x14ac:dyDescent="0.4">
      <c r="A829">
        <v>2014</v>
      </c>
      <c r="B829" s="5" t="s">
        <v>417</v>
      </c>
      <c r="C829" s="5" t="s">
        <v>711</v>
      </c>
      <c r="D829" s="25" t="s">
        <v>56</v>
      </c>
      <c r="E829" s="64" t="s">
        <v>64</v>
      </c>
      <c r="F829" s="28">
        <v>204</v>
      </c>
      <c r="G829" s="28">
        <v>138</v>
      </c>
      <c r="H829" s="12">
        <v>66</v>
      </c>
      <c r="J829" s="2"/>
      <c r="K829" s="2"/>
      <c r="L829" s="2"/>
      <c r="M829" s="2"/>
      <c r="N829" s="2"/>
      <c r="O829" s="2"/>
      <c r="P829" s="2"/>
    </row>
    <row r="830" spans="1:16" x14ac:dyDescent="0.4">
      <c r="A830">
        <v>2014</v>
      </c>
      <c r="B830" s="5" t="s">
        <v>418</v>
      </c>
      <c r="C830" s="5" t="s">
        <v>711</v>
      </c>
      <c r="D830" s="25" t="s">
        <v>56</v>
      </c>
      <c r="E830" s="64" t="s">
        <v>65</v>
      </c>
      <c r="F830" s="28">
        <v>100</v>
      </c>
      <c r="G830" s="28">
        <v>66</v>
      </c>
      <c r="H830" s="12">
        <v>34</v>
      </c>
      <c r="J830" s="2"/>
      <c r="K830" s="2"/>
      <c r="L830" s="2"/>
      <c r="M830" s="2"/>
      <c r="N830" s="2"/>
      <c r="O830" s="2"/>
      <c r="P830" s="2"/>
    </row>
    <row r="831" spans="1:16" x14ac:dyDescent="0.4">
      <c r="A831">
        <v>2014</v>
      </c>
      <c r="B831" s="5" t="s">
        <v>419</v>
      </c>
      <c r="C831" s="5" t="s">
        <v>711</v>
      </c>
      <c r="D831" s="25" t="s">
        <v>56</v>
      </c>
      <c r="E831" s="64" t="s">
        <v>66</v>
      </c>
      <c r="F831" s="28">
        <v>46</v>
      </c>
      <c r="G831" s="28">
        <v>25</v>
      </c>
      <c r="H831" s="12">
        <v>21</v>
      </c>
      <c r="J831" s="2"/>
      <c r="K831" s="2"/>
      <c r="L831" s="2"/>
      <c r="M831" s="2"/>
      <c r="N831" s="2"/>
      <c r="O831" s="2"/>
      <c r="P831" s="2"/>
    </row>
    <row r="832" spans="1:16" x14ac:dyDescent="0.4">
      <c r="A832">
        <v>2014</v>
      </c>
      <c r="B832" s="5" t="s">
        <v>420</v>
      </c>
      <c r="C832" s="5" t="s">
        <v>712</v>
      </c>
      <c r="D832" s="25" t="s">
        <v>68</v>
      </c>
      <c r="E832" s="64" t="s">
        <v>67</v>
      </c>
      <c r="F832" s="28">
        <v>4191</v>
      </c>
      <c r="G832" s="28">
        <v>2577</v>
      </c>
      <c r="H832" s="12">
        <v>1614</v>
      </c>
      <c r="J832" s="2"/>
      <c r="K832" s="2"/>
      <c r="L832" s="2"/>
      <c r="M832" s="2"/>
      <c r="N832" s="2"/>
      <c r="O832" s="2"/>
      <c r="P832" s="2"/>
    </row>
    <row r="833" spans="1:16" x14ac:dyDescent="0.4">
      <c r="A833">
        <v>2014</v>
      </c>
      <c r="B833" s="5" t="s">
        <v>421</v>
      </c>
      <c r="C833" s="5" t="s">
        <v>712</v>
      </c>
      <c r="D833" s="25" t="s">
        <v>68</v>
      </c>
      <c r="E833" s="64" t="s">
        <v>69</v>
      </c>
      <c r="F833" s="28">
        <v>223</v>
      </c>
      <c r="G833" s="28">
        <v>130</v>
      </c>
      <c r="H833" s="12">
        <v>93</v>
      </c>
      <c r="J833" s="2"/>
      <c r="K833" s="2"/>
      <c r="L833" s="2"/>
      <c r="M833" s="2"/>
      <c r="N833" s="2"/>
      <c r="O833" s="2"/>
      <c r="P833" s="2"/>
    </row>
    <row r="834" spans="1:16" x14ac:dyDescent="0.4">
      <c r="A834">
        <v>2014</v>
      </c>
      <c r="B834" s="5" t="s">
        <v>422</v>
      </c>
      <c r="C834" s="5" t="s">
        <v>712</v>
      </c>
      <c r="D834" s="25" t="s">
        <v>68</v>
      </c>
      <c r="E834" s="64" t="s">
        <v>70</v>
      </c>
      <c r="F834" s="28">
        <v>127</v>
      </c>
      <c r="G834" s="28">
        <v>100</v>
      </c>
      <c r="H834" s="12">
        <v>27</v>
      </c>
      <c r="J834" s="2"/>
      <c r="K834" s="2"/>
      <c r="L834" s="2"/>
      <c r="M834" s="2"/>
      <c r="N834" s="2"/>
      <c r="O834" s="2"/>
      <c r="P834" s="2"/>
    </row>
    <row r="835" spans="1:16" x14ac:dyDescent="0.4">
      <c r="A835">
        <v>2014</v>
      </c>
      <c r="B835" s="5" t="s">
        <v>423</v>
      </c>
      <c r="C835" s="5" t="s">
        <v>712</v>
      </c>
      <c r="D835" s="25" t="s">
        <v>68</v>
      </c>
      <c r="E835" s="64" t="s">
        <v>71</v>
      </c>
      <c r="F835" s="28">
        <v>81</v>
      </c>
      <c r="G835" s="28">
        <v>55</v>
      </c>
      <c r="H835" s="12">
        <v>26</v>
      </c>
      <c r="J835" s="2"/>
      <c r="K835" s="2"/>
      <c r="L835" s="2"/>
      <c r="M835" s="2"/>
      <c r="N835" s="2"/>
      <c r="O835" s="2"/>
      <c r="P835" s="2"/>
    </row>
    <row r="836" spans="1:16" x14ac:dyDescent="0.4">
      <c r="A836">
        <v>2014</v>
      </c>
      <c r="B836" s="5" t="s">
        <v>424</v>
      </c>
      <c r="C836" s="5" t="s">
        <v>712</v>
      </c>
      <c r="D836" s="25" t="s">
        <v>68</v>
      </c>
      <c r="E836" s="64" t="s">
        <v>72</v>
      </c>
      <c r="F836" s="28">
        <v>2264</v>
      </c>
      <c r="G836" s="28">
        <v>1341</v>
      </c>
      <c r="H836" s="12">
        <v>923</v>
      </c>
      <c r="J836" s="2"/>
      <c r="K836" s="2"/>
      <c r="L836" s="2"/>
      <c r="M836" s="2"/>
      <c r="N836" s="2"/>
      <c r="O836" s="2"/>
      <c r="P836" s="2"/>
    </row>
    <row r="837" spans="1:16" x14ac:dyDescent="0.4">
      <c r="A837">
        <v>2014</v>
      </c>
      <c r="B837" s="5" t="s">
        <v>425</v>
      </c>
      <c r="C837" s="5" t="s">
        <v>712</v>
      </c>
      <c r="D837" s="25" t="s">
        <v>68</v>
      </c>
      <c r="E837" s="64" t="s">
        <v>73</v>
      </c>
      <c r="F837" s="28">
        <v>30</v>
      </c>
      <c r="G837" s="28">
        <v>12</v>
      </c>
      <c r="H837" s="12">
        <v>18</v>
      </c>
      <c r="J837" s="2"/>
      <c r="K837" s="2"/>
      <c r="L837" s="2"/>
      <c r="M837" s="2"/>
      <c r="N837" s="2"/>
      <c r="O837" s="2"/>
      <c r="P837" s="2"/>
    </row>
    <row r="838" spans="1:16" x14ac:dyDescent="0.4">
      <c r="A838">
        <v>2014</v>
      </c>
      <c r="B838" s="5" t="s">
        <v>426</v>
      </c>
      <c r="C838" s="5" t="s">
        <v>712</v>
      </c>
      <c r="D838" s="25" t="s">
        <v>68</v>
      </c>
      <c r="E838" s="64" t="s">
        <v>74</v>
      </c>
      <c r="F838" s="28">
        <v>508</v>
      </c>
      <c r="G838" s="28">
        <v>338</v>
      </c>
      <c r="H838" s="12">
        <v>170</v>
      </c>
      <c r="J838" s="2"/>
      <c r="K838" s="2"/>
      <c r="L838" s="2"/>
      <c r="M838" s="2"/>
      <c r="N838" s="2"/>
      <c r="O838" s="2"/>
      <c r="P838" s="2"/>
    </row>
    <row r="839" spans="1:16" x14ac:dyDescent="0.4">
      <c r="A839">
        <v>2014</v>
      </c>
      <c r="B839" s="5" t="s">
        <v>427</v>
      </c>
      <c r="C839" s="5" t="s">
        <v>712</v>
      </c>
      <c r="D839" s="25" t="s">
        <v>68</v>
      </c>
      <c r="E839" s="64" t="s">
        <v>75</v>
      </c>
      <c r="F839" s="28">
        <v>45</v>
      </c>
      <c r="G839" s="28">
        <v>29</v>
      </c>
      <c r="H839" s="12">
        <v>16</v>
      </c>
      <c r="J839" s="2"/>
      <c r="K839" s="2"/>
      <c r="L839" s="2"/>
      <c r="M839" s="2"/>
      <c r="N839" s="2"/>
      <c r="O839" s="2"/>
      <c r="P839" s="2"/>
    </row>
    <row r="840" spans="1:16" x14ac:dyDescent="0.4">
      <c r="A840">
        <v>2014</v>
      </c>
      <c r="B840" s="5" t="s">
        <v>428</v>
      </c>
      <c r="C840" s="5" t="s">
        <v>712</v>
      </c>
      <c r="D840" s="25" t="s">
        <v>68</v>
      </c>
      <c r="E840" s="64" t="s">
        <v>76</v>
      </c>
      <c r="F840" s="28">
        <v>91</v>
      </c>
      <c r="G840" s="28">
        <v>69</v>
      </c>
      <c r="H840" s="12">
        <v>22</v>
      </c>
      <c r="J840" s="2"/>
      <c r="K840" s="2"/>
      <c r="L840" s="2"/>
      <c r="M840" s="2"/>
      <c r="N840" s="2"/>
      <c r="O840" s="2"/>
      <c r="P840" s="2"/>
    </row>
    <row r="841" spans="1:16" x14ac:dyDescent="0.4">
      <c r="A841">
        <v>2014</v>
      </c>
      <c r="B841" s="5" t="s">
        <v>429</v>
      </c>
      <c r="C841" s="5" t="s">
        <v>712</v>
      </c>
      <c r="D841" s="25" t="s">
        <v>68</v>
      </c>
      <c r="E841" s="64" t="s">
        <v>77</v>
      </c>
      <c r="F841" s="28">
        <v>214</v>
      </c>
      <c r="G841" s="28">
        <v>171</v>
      </c>
      <c r="H841" s="12">
        <v>43</v>
      </c>
      <c r="J841" s="2"/>
      <c r="K841" s="2"/>
      <c r="L841" s="2"/>
      <c r="M841" s="2"/>
      <c r="N841" s="2"/>
      <c r="O841" s="2"/>
      <c r="P841" s="2"/>
    </row>
    <row r="842" spans="1:16" x14ac:dyDescent="0.4">
      <c r="A842">
        <v>2014</v>
      </c>
      <c r="B842" s="5" t="s">
        <v>430</v>
      </c>
      <c r="C842" s="5" t="s">
        <v>712</v>
      </c>
      <c r="D842" s="25" t="s">
        <v>68</v>
      </c>
      <c r="E842" s="64" t="s">
        <v>51</v>
      </c>
      <c r="F842" s="28">
        <v>8</v>
      </c>
      <c r="G842" s="28">
        <v>5</v>
      </c>
      <c r="H842" s="12">
        <v>3</v>
      </c>
      <c r="J842" s="2"/>
      <c r="K842" s="2"/>
      <c r="L842" s="2"/>
      <c r="M842" s="2"/>
      <c r="N842" s="2"/>
      <c r="O842" s="2"/>
      <c r="P842" s="2"/>
    </row>
    <row r="843" spans="1:16" x14ac:dyDescent="0.4">
      <c r="A843">
        <v>2014</v>
      </c>
      <c r="B843" s="5" t="s">
        <v>431</v>
      </c>
      <c r="C843" s="5" t="s">
        <v>713</v>
      </c>
      <c r="D843" s="25" t="s">
        <v>79</v>
      </c>
      <c r="E843" s="64" t="s">
        <v>78</v>
      </c>
      <c r="F843" s="28">
        <v>340</v>
      </c>
      <c r="G843" s="28">
        <v>195</v>
      </c>
      <c r="H843" s="12">
        <v>145</v>
      </c>
      <c r="J843" s="2"/>
      <c r="K843" s="2"/>
      <c r="L843" s="2"/>
      <c r="M843" s="2"/>
      <c r="N843" s="2"/>
      <c r="O843" s="2"/>
      <c r="P843" s="2"/>
    </row>
    <row r="844" spans="1:16" x14ac:dyDescent="0.4">
      <c r="A844">
        <v>2014</v>
      </c>
      <c r="B844" s="5" t="s">
        <v>432</v>
      </c>
      <c r="C844" s="5" t="s">
        <v>713</v>
      </c>
      <c r="D844" s="25" t="s">
        <v>79</v>
      </c>
      <c r="E844" s="64" t="s">
        <v>80</v>
      </c>
      <c r="F844" s="28">
        <v>590</v>
      </c>
      <c r="G844" s="28">
        <v>398</v>
      </c>
      <c r="H844" s="12">
        <v>192</v>
      </c>
      <c r="J844" s="2"/>
      <c r="K844" s="2"/>
      <c r="L844" s="2"/>
      <c r="M844" s="2"/>
      <c r="N844" s="2"/>
      <c r="O844" s="2"/>
      <c r="P844" s="2"/>
    </row>
    <row r="845" spans="1:16" x14ac:dyDescent="0.4">
      <c r="A845">
        <v>2014</v>
      </c>
      <c r="B845" s="5" t="s">
        <v>433</v>
      </c>
      <c r="C845" s="5" t="s">
        <v>713</v>
      </c>
      <c r="D845" s="25" t="s">
        <v>79</v>
      </c>
      <c r="E845" s="64" t="s">
        <v>81</v>
      </c>
      <c r="F845" s="28">
        <v>594</v>
      </c>
      <c r="G845" s="28">
        <v>410</v>
      </c>
      <c r="H845" s="12">
        <v>184</v>
      </c>
      <c r="J845" s="2"/>
      <c r="K845" s="2"/>
      <c r="L845" s="2"/>
      <c r="M845" s="2"/>
      <c r="N845" s="2"/>
      <c r="O845" s="2"/>
      <c r="P845" s="2"/>
    </row>
    <row r="846" spans="1:16" x14ac:dyDescent="0.4">
      <c r="A846">
        <v>2014</v>
      </c>
      <c r="B846" s="5" t="s">
        <v>434</v>
      </c>
      <c r="C846" s="5" t="s">
        <v>713</v>
      </c>
      <c r="D846" s="25" t="s">
        <v>79</v>
      </c>
      <c r="E846" s="64" t="s">
        <v>82</v>
      </c>
      <c r="F846" s="28">
        <v>764</v>
      </c>
      <c r="G846" s="28">
        <v>465</v>
      </c>
      <c r="H846" s="12">
        <v>299</v>
      </c>
      <c r="J846" s="2"/>
      <c r="K846" s="2"/>
      <c r="L846" s="2"/>
      <c r="M846" s="2"/>
      <c r="N846" s="2"/>
      <c r="O846" s="2"/>
      <c r="P846" s="2"/>
    </row>
    <row r="847" spans="1:16" x14ac:dyDescent="0.4">
      <c r="A847">
        <v>2014</v>
      </c>
      <c r="B847" s="5" t="s">
        <v>435</v>
      </c>
      <c r="C847" s="5" t="s">
        <v>713</v>
      </c>
      <c r="D847" s="25" t="s">
        <v>79</v>
      </c>
      <c r="E847" s="64" t="s">
        <v>83</v>
      </c>
      <c r="F847" s="28">
        <v>275</v>
      </c>
      <c r="G847" s="28">
        <v>185</v>
      </c>
      <c r="H847" s="12">
        <v>90</v>
      </c>
      <c r="J847" s="2"/>
      <c r="K847" s="2"/>
      <c r="L847" s="2"/>
      <c r="M847" s="2"/>
      <c r="N847" s="2"/>
      <c r="O847" s="2"/>
      <c r="P847" s="2"/>
    </row>
    <row r="848" spans="1:16" x14ac:dyDescent="0.4">
      <c r="A848">
        <v>2014</v>
      </c>
      <c r="B848" s="5" t="s">
        <v>436</v>
      </c>
      <c r="C848" s="5" t="s">
        <v>713</v>
      </c>
      <c r="D848" s="25" t="s">
        <v>79</v>
      </c>
      <c r="E848" s="64" t="s">
        <v>44</v>
      </c>
      <c r="F848" s="28">
        <v>617</v>
      </c>
      <c r="G848" s="28">
        <v>434</v>
      </c>
      <c r="H848" s="12">
        <v>183</v>
      </c>
      <c r="J848" s="2"/>
      <c r="K848" s="2"/>
      <c r="L848" s="2"/>
      <c r="M848" s="2"/>
      <c r="N848" s="2"/>
      <c r="O848" s="2"/>
      <c r="P848" s="2"/>
    </row>
    <row r="849" spans="1:16" x14ac:dyDescent="0.4">
      <c r="A849">
        <v>2014</v>
      </c>
      <c r="B849" s="5" t="s">
        <v>437</v>
      </c>
      <c r="C849" s="5" t="s">
        <v>713</v>
      </c>
      <c r="D849" s="25" t="s">
        <v>79</v>
      </c>
      <c r="E849" s="64" t="s">
        <v>84</v>
      </c>
      <c r="F849" s="28">
        <v>405</v>
      </c>
      <c r="G849" s="28">
        <v>267</v>
      </c>
      <c r="H849" s="12">
        <v>138</v>
      </c>
      <c r="J849" s="2"/>
      <c r="K849" s="2"/>
      <c r="L849" s="2"/>
      <c r="M849" s="2"/>
      <c r="N849" s="2"/>
      <c r="O849" s="2"/>
      <c r="P849" s="2"/>
    </row>
    <row r="850" spans="1:16" x14ac:dyDescent="0.4">
      <c r="A850">
        <v>2014</v>
      </c>
      <c r="B850" s="5" t="s">
        <v>438</v>
      </c>
      <c r="C850" s="5" t="s">
        <v>713</v>
      </c>
      <c r="D850" s="25" t="s">
        <v>79</v>
      </c>
      <c r="E850" s="64" t="s">
        <v>85</v>
      </c>
      <c r="F850" s="28">
        <v>102</v>
      </c>
      <c r="G850" s="28">
        <v>60</v>
      </c>
      <c r="H850" s="12">
        <v>42</v>
      </c>
      <c r="J850" s="2"/>
      <c r="K850" s="2"/>
      <c r="L850" s="2"/>
      <c r="M850" s="2"/>
      <c r="N850" s="2"/>
      <c r="O850" s="2"/>
      <c r="P850" s="2"/>
    </row>
    <row r="851" spans="1:16" x14ac:dyDescent="0.4">
      <c r="A851">
        <v>2014</v>
      </c>
      <c r="B851" s="5" t="s">
        <v>439</v>
      </c>
      <c r="C851" s="5" t="s">
        <v>713</v>
      </c>
      <c r="D851" s="25" t="s">
        <v>79</v>
      </c>
      <c r="E851" s="64" t="s">
        <v>86</v>
      </c>
      <c r="F851" s="28">
        <v>100</v>
      </c>
      <c r="G851" s="28">
        <v>69</v>
      </c>
      <c r="H851" s="12">
        <v>31</v>
      </c>
      <c r="J851" s="2"/>
      <c r="K851" s="2"/>
      <c r="L851" s="2"/>
      <c r="M851" s="2"/>
      <c r="N851" s="2"/>
      <c r="O851" s="2"/>
      <c r="P851" s="2"/>
    </row>
    <row r="852" spans="1:16" x14ac:dyDescent="0.4">
      <c r="A852">
        <v>2014</v>
      </c>
      <c r="B852" s="5" t="s">
        <v>440</v>
      </c>
      <c r="C852" s="5" t="s">
        <v>713</v>
      </c>
      <c r="D852" s="25" t="s">
        <v>79</v>
      </c>
      <c r="E852" s="64" t="s">
        <v>87</v>
      </c>
      <c r="F852" s="28">
        <v>1858</v>
      </c>
      <c r="G852" s="28">
        <v>1008</v>
      </c>
      <c r="H852" s="12">
        <v>850</v>
      </c>
      <c r="J852" s="2"/>
      <c r="K852" s="2"/>
      <c r="L852" s="2"/>
      <c r="M852" s="2"/>
      <c r="N852" s="2"/>
      <c r="O852" s="2"/>
      <c r="P852" s="2"/>
    </row>
    <row r="853" spans="1:16" x14ac:dyDescent="0.4">
      <c r="A853">
        <v>2014</v>
      </c>
      <c r="B853" s="5" t="s">
        <v>441</v>
      </c>
      <c r="C853" s="5" t="s">
        <v>713</v>
      </c>
      <c r="D853" s="25" t="s">
        <v>79</v>
      </c>
      <c r="E853" s="64" t="s">
        <v>88</v>
      </c>
      <c r="F853" s="28">
        <v>1429</v>
      </c>
      <c r="G853" s="28">
        <v>836</v>
      </c>
      <c r="H853" s="12">
        <v>593</v>
      </c>
      <c r="J853" s="2"/>
      <c r="K853" s="2"/>
      <c r="L853" s="2"/>
      <c r="M853" s="2"/>
      <c r="N853" s="2"/>
      <c r="O853" s="2"/>
      <c r="P853" s="2"/>
    </row>
    <row r="854" spans="1:16" x14ac:dyDescent="0.4">
      <c r="A854">
        <v>2014</v>
      </c>
      <c r="B854" s="5" t="s">
        <v>442</v>
      </c>
      <c r="C854" s="5" t="s">
        <v>713</v>
      </c>
      <c r="D854" s="25" t="s">
        <v>79</v>
      </c>
      <c r="E854" s="64" t="s">
        <v>89</v>
      </c>
      <c r="F854" s="28">
        <v>426</v>
      </c>
      <c r="G854" s="28">
        <v>241</v>
      </c>
      <c r="H854" s="12">
        <v>185</v>
      </c>
      <c r="J854" s="2"/>
      <c r="K854" s="2"/>
      <c r="L854" s="2"/>
      <c r="M854" s="2"/>
      <c r="N854" s="2"/>
      <c r="O854" s="2"/>
      <c r="P854" s="2"/>
    </row>
    <row r="855" spans="1:16" x14ac:dyDescent="0.4">
      <c r="A855">
        <v>2014</v>
      </c>
      <c r="B855" s="5" t="s">
        <v>443</v>
      </c>
      <c r="C855" s="5" t="s">
        <v>713</v>
      </c>
      <c r="D855" s="25" t="s">
        <v>79</v>
      </c>
      <c r="E855" s="65" t="s">
        <v>90</v>
      </c>
      <c r="F855" s="28">
        <v>193</v>
      </c>
      <c r="G855" s="28">
        <v>119</v>
      </c>
      <c r="H855" s="12">
        <v>74</v>
      </c>
      <c r="J855" s="2"/>
      <c r="K855" s="2"/>
      <c r="L855" s="2"/>
      <c r="M855" s="2"/>
      <c r="N855" s="2"/>
      <c r="O855" s="2"/>
      <c r="P855" s="2"/>
    </row>
    <row r="856" spans="1:16" x14ac:dyDescent="0.4">
      <c r="A856">
        <v>2014</v>
      </c>
      <c r="B856" s="5" t="s">
        <v>444</v>
      </c>
      <c r="C856" s="5" t="s">
        <v>713</v>
      </c>
      <c r="D856" s="25" t="s">
        <v>79</v>
      </c>
      <c r="E856" s="64" t="s">
        <v>91</v>
      </c>
      <c r="F856" s="28">
        <v>6405</v>
      </c>
      <c r="G856" s="28">
        <v>3863</v>
      </c>
      <c r="H856" s="12">
        <v>2542</v>
      </c>
      <c r="J856" s="2"/>
      <c r="K856" s="2"/>
      <c r="L856" s="2"/>
      <c r="M856" s="2"/>
      <c r="N856" s="2"/>
      <c r="O856" s="2"/>
      <c r="P856" s="2"/>
    </row>
    <row r="857" spans="1:16" x14ac:dyDescent="0.4">
      <c r="A857">
        <v>2014</v>
      </c>
      <c r="B857" s="5" t="s">
        <v>445</v>
      </c>
      <c r="C857" s="5" t="s">
        <v>714</v>
      </c>
      <c r="D857" s="25" t="s">
        <v>93</v>
      </c>
      <c r="E857" s="64" t="s">
        <v>92</v>
      </c>
      <c r="F857" s="11">
        <v>42</v>
      </c>
      <c r="G857" s="11">
        <v>33</v>
      </c>
      <c r="H857" s="12">
        <v>9</v>
      </c>
      <c r="J857" s="2"/>
      <c r="K857" s="2"/>
      <c r="L857" s="2"/>
      <c r="M857" s="2"/>
      <c r="N857" s="2"/>
      <c r="O857" s="2"/>
      <c r="P857" s="2"/>
    </row>
    <row r="858" spans="1:16" x14ac:dyDescent="0.4">
      <c r="A858">
        <v>2014</v>
      </c>
      <c r="B858" s="5" t="s">
        <v>446</v>
      </c>
      <c r="C858" s="5" t="s">
        <v>714</v>
      </c>
      <c r="D858" s="25" t="s">
        <v>93</v>
      </c>
      <c r="E858" s="64" t="s">
        <v>94</v>
      </c>
      <c r="F858" s="28">
        <v>470</v>
      </c>
      <c r="G858" s="28">
        <v>301</v>
      </c>
      <c r="H858" s="12">
        <v>169</v>
      </c>
      <c r="J858" s="2"/>
      <c r="K858" s="2"/>
      <c r="L858" s="2"/>
      <c r="M858" s="2"/>
      <c r="N858" s="2"/>
      <c r="O858" s="2"/>
      <c r="P858" s="2"/>
    </row>
    <row r="859" spans="1:16" x14ac:dyDescent="0.4">
      <c r="A859">
        <v>2014</v>
      </c>
      <c r="B859" s="5" t="s">
        <v>447</v>
      </c>
      <c r="C859" s="5" t="s">
        <v>714</v>
      </c>
      <c r="D859" s="25" t="s">
        <v>93</v>
      </c>
      <c r="E859" s="64" t="s">
        <v>40</v>
      </c>
      <c r="F859" s="28">
        <v>45</v>
      </c>
      <c r="G859" s="28">
        <v>24</v>
      </c>
      <c r="H859" s="12">
        <v>21</v>
      </c>
      <c r="J859" s="2"/>
      <c r="K859" s="2"/>
      <c r="L859" s="2"/>
      <c r="M859" s="2"/>
      <c r="N859" s="2"/>
      <c r="O859" s="2"/>
      <c r="P859" s="2"/>
    </row>
    <row r="860" spans="1:16" x14ac:dyDescent="0.4">
      <c r="A860">
        <v>2014</v>
      </c>
      <c r="B860" s="5" t="s">
        <v>448</v>
      </c>
      <c r="C860" s="5" t="s">
        <v>714</v>
      </c>
      <c r="D860" s="25" t="s">
        <v>93</v>
      </c>
      <c r="E860" s="64" t="s">
        <v>95</v>
      </c>
      <c r="F860" s="28">
        <v>34</v>
      </c>
      <c r="G860" s="28">
        <v>21</v>
      </c>
      <c r="H860" s="12">
        <v>13</v>
      </c>
      <c r="J860" s="2"/>
      <c r="K860" s="2"/>
      <c r="L860" s="2"/>
      <c r="M860" s="2"/>
      <c r="N860" s="2"/>
      <c r="O860" s="2"/>
      <c r="P860" s="2"/>
    </row>
    <row r="861" spans="1:16" x14ac:dyDescent="0.4">
      <c r="A861">
        <v>2014</v>
      </c>
      <c r="B861" s="5" t="s">
        <v>449</v>
      </c>
      <c r="C861" s="5" t="s">
        <v>714</v>
      </c>
      <c r="D861" s="25" t="s">
        <v>93</v>
      </c>
      <c r="E861" s="64" t="s">
        <v>96</v>
      </c>
      <c r="F861" s="28">
        <v>36</v>
      </c>
      <c r="G861" s="28">
        <v>23</v>
      </c>
      <c r="H861" s="12">
        <v>13</v>
      </c>
      <c r="J861" s="2"/>
      <c r="K861" s="2"/>
      <c r="L861" s="2"/>
      <c r="M861" s="2"/>
      <c r="N861" s="2"/>
      <c r="O861" s="2"/>
      <c r="P861" s="2"/>
    </row>
    <row r="862" spans="1:16" x14ac:dyDescent="0.4">
      <c r="A862">
        <v>2014</v>
      </c>
      <c r="B862" s="5" t="s">
        <v>450</v>
      </c>
      <c r="C862" s="5" t="s">
        <v>714</v>
      </c>
      <c r="D862" s="25" t="s">
        <v>93</v>
      </c>
      <c r="E862" s="64" t="s">
        <v>97</v>
      </c>
      <c r="F862" s="28">
        <v>40</v>
      </c>
      <c r="G862" s="28">
        <v>25</v>
      </c>
      <c r="H862" s="12">
        <v>15</v>
      </c>
      <c r="J862" s="2"/>
      <c r="K862" s="2"/>
      <c r="L862" s="2"/>
      <c r="M862" s="2"/>
      <c r="N862" s="2"/>
      <c r="O862" s="2"/>
      <c r="P862" s="2"/>
    </row>
    <row r="863" spans="1:16" x14ac:dyDescent="0.4">
      <c r="A863">
        <v>2014</v>
      </c>
      <c r="B863" s="5" t="s">
        <v>451</v>
      </c>
      <c r="C863" s="5" t="s">
        <v>714</v>
      </c>
      <c r="D863" s="25" t="s">
        <v>93</v>
      </c>
      <c r="E863" s="64" t="s">
        <v>34</v>
      </c>
      <c r="F863" s="28">
        <v>56</v>
      </c>
      <c r="G863" s="28">
        <v>36</v>
      </c>
      <c r="H863" s="12">
        <v>20</v>
      </c>
      <c r="J863" s="2"/>
      <c r="K863" s="2"/>
      <c r="L863" s="2"/>
      <c r="M863" s="2"/>
      <c r="N863" s="2"/>
      <c r="O863" s="2"/>
      <c r="P863" s="2"/>
    </row>
    <row r="864" spans="1:16" x14ac:dyDescent="0.4">
      <c r="A864">
        <v>2014</v>
      </c>
      <c r="B864" s="5" t="s">
        <v>452</v>
      </c>
      <c r="C864" s="5" t="s">
        <v>714</v>
      </c>
      <c r="D864" s="25" t="s">
        <v>93</v>
      </c>
      <c r="E864" s="64" t="s">
        <v>98</v>
      </c>
      <c r="F864" s="28">
        <v>854</v>
      </c>
      <c r="G864" s="28">
        <v>525</v>
      </c>
      <c r="H864" s="12">
        <v>329</v>
      </c>
      <c r="J864" s="2"/>
      <c r="K864" s="2"/>
      <c r="L864" s="2"/>
      <c r="M864" s="2"/>
      <c r="N864" s="2"/>
      <c r="O864" s="2"/>
      <c r="P864" s="2"/>
    </row>
    <row r="865" spans="1:16" x14ac:dyDescent="0.4">
      <c r="A865">
        <v>2014</v>
      </c>
      <c r="B865" s="5" t="s">
        <v>453</v>
      </c>
      <c r="C865" s="5" t="s">
        <v>714</v>
      </c>
      <c r="D865" s="25" t="s">
        <v>93</v>
      </c>
      <c r="E865" s="64" t="s">
        <v>99</v>
      </c>
      <c r="F865" s="28">
        <v>96</v>
      </c>
      <c r="G865" s="28">
        <v>73</v>
      </c>
      <c r="H865" s="12">
        <v>23</v>
      </c>
      <c r="J865" s="2"/>
      <c r="K865" s="2"/>
      <c r="L865" s="2"/>
      <c r="M865" s="2"/>
      <c r="N865" s="2"/>
      <c r="O865" s="2"/>
      <c r="P865" s="2"/>
    </row>
    <row r="866" spans="1:16" x14ac:dyDescent="0.4">
      <c r="A866">
        <v>2014</v>
      </c>
      <c r="B866" s="5" t="s">
        <v>454</v>
      </c>
      <c r="C866" s="5" t="s">
        <v>715</v>
      </c>
      <c r="D866" s="25" t="s">
        <v>101</v>
      </c>
      <c r="E866" s="64" t="s">
        <v>100</v>
      </c>
      <c r="F866" s="28">
        <v>37</v>
      </c>
      <c r="G866" s="28">
        <v>24</v>
      </c>
      <c r="H866" s="12">
        <v>13</v>
      </c>
      <c r="J866" s="2"/>
      <c r="K866" s="2"/>
      <c r="L866" s="2"/>
      <c r="M866" s="2"/>
      <c r="N866" s="2"/>
      <c r="O866" s="2"/>
      <c r="P866" s="2"/>
    </row>
    <row r="867" spans="1:16" x14ac:dyDescent="0.4">
      <c r="A867">
        <v>2014</v>
      </c>
      <c r="B867" s="5" t="s">
        <v>455</v>
      </c>
      <c r="C867" s="5" t="s">
        <v>715</v>
      </c>
      <c r="D867" s="25" t="s">
        <v>101</v>
      </c>
      <c r="E867" s="64" t="s">
        <v>102</v>
      </c>
      <c r="F867" s="28">
        <v>57</v>
      </c>
      <c r="G867" s="28">
        <v>40</v>
      </c>
      <c r="H867" s="12">
        <v>17</v>
      </c>
      <c r="J867" s="2"/>
      <c r="K867" s="2"/>
      <c r="L867" s="2"/>
      <c r="M867" s="2"/>
      <c r="N867" s="2"/>
      <c r="O867" s="2"/>
      <c r="P867" s="2"/>
    </row>
    <row r="868" spans="1:16" x14ac:dyDescent="0.4">
      <c r="A868">
        <v>2014</v>
      </c>
      <c r="B868" s="5" t="s">
        <v>456</v>
      </c>
      <c r="C868" s="5" t="s">
        <v>715</v>
      </c>
      <c r="D868" s="25" t="s">
        <v>101</v>
      </c>
      <c r="E868" s="64" t="s">
        <v>103</v>
      </c>
      <c r="F868" s="28">
        <v>28</v>
      </c>
      <c r="G868" s="28">
        <v>14</v>
      </c>
      <c r="H868" s="12">
        <v>14</v>
      </c>
      <c r="J868" s="2"/>
      <c r="K868" s="2"/>
      <c r="L868" s="2"/>
      <c r="M868" s="2"/>
      <c r="N868" s="2"/>
      <c r="O868" s="2"/>
      <c r="P868" s="2"/>
    </row>
    <row r="869" spans="1:16" x14ac:dyDescent="0.4">
      <c r="A869">
        <v>2014</v>
      </c>
      <c r="B869" s="5" t="s">
        <v>457</v>
      </c>
      <c r="C869" s="5" t="s">
        <v>715</v>
      </c>
      <c r="D869" s="25" t="s">
        <v>101</v>
      </c>
      <c r="E869" s="64" t="s">
        <v>104</v>
      </c>
      <c r="F869" s="28">
        <v>572</v>
      </c>
      <c r="G869" s="28">
        <v>361</v>
      </c>
      <c r="H869" s="12">
        <v>211</v>
      </c>
      <c r="J869" s="2"/>
      <c r="K869" s="2"/>
      <c r="L869" s="2"/>
      <c r="M869" s="2"/>
      <c r="N869" s="2"/>
      <c r="O869" s="2"/>
      <c r="P869" s="2"/>
    </row>
    <row r="870" spans="1:16" x14ac:dyDescent="0.4">
      <c r="A870">
        <v>2014</v>
      </c>
      <c r="B870" s="5" t="s">
        <v>458</v>
      </c>
      <c r="C870" s="5" t="s">
        <v>716</v>
      </c>
      <c r="D870" s="25" t="s">
        <v>129</v>
      </c>
      <c r="E870" s="64" t="s">
        <v>128</v>
      </c>
      <c r="F870" s="28">
        <v>55</v>
      </c>
      <c r="G870" s="28">
        <v>28</v>
      </c>
      <c r="H870" s="12">
        <v>27</v>
      </c>
      <c r="J870" s="2"/>
      <c r="K870" s="2"/>
      <c r="L870" s="2"/>
      <c r="M870" s="2"/>
      <c r="N870" s="2"/>
      <c r="O870" s="2"/>
      <c r="P870" s="2"/>
    </row>
    <row r="871" spans="1:16" x14ac:dyDescent="0.4">
      <c r="A871">
        <v>2014</v>
      </c>
      <c r="B871" s="5" t="s">
        <v>459</v>
      </c>
      <c r="C871" s="5" t="s">
        <v>716</v>
      </c>
      <c r="D871" s="25" t="s">
        <v>129</v>
      </c>
      <c r="E871" s="64" t="s">
        <v>36</v>
      </c>
      <c r="F871" s="28">
        <v>28</v>
      </c>
      <c r="G871" s="28">
        <v>16</v>
      </c>
      <c r="H871" s="12">
        <v>12</v>
      </c>
      <c r="J871" s="2"/>
      <c r="K871" s="2"/>
      <c r="L871" s="2"/>
      <c r="M871" s="2"/>
      <c r="N871" s="2"/>
      <c r="O871" s="2"/>
      <c r="P871" s="2"/>
    </row>
    <row r="872" spans="1:16" x14ac:dyDescent="0.4">
      <c r="A872">
        <v>2014</v>
      </c>
      <c r="B872" s="5" t="s">
        <v>460</v>
      </c>
      <c r="C872" s="5" t="s">
        <v>716</v>
      </c>
      <c r="D872" s="25" t="s">
        <v>129</v>
      </c>
      <c r="E872" s="64" t="s">
        <v>130</v>
      </c>
      <c r="F872" s="28">
        <v>70</v>
      </c>
      <c r="G872" s="28">
        <v>45</v>
      </c>
      <c r="H872" s="12">
        <v>25</v>
      </c>
      <c r="J872" s="2"/>
      <c r="K872" s="2"/>
      <c r="L872" s="2"/>
      <c r="M872" s="2"/>
      <c r="N872" s="2"/>
      <c r="O872" s="2"/>
      <c r="P872" s="2"/>
    </row>
    <row r="873" spans="1:16" x14ac:dyDescent="0.4">
      <c r="A873">
        <v>2014</v>
      </c>
      <c r="B873" s="5" t="s">
        <v>461</v>
      </c>
      <c r="C873" s="5" t="s">
        <v>716</v>
      </c>
      <c r="D873" s="25" t="s">
        <v>129</v>
      </c>
      <c r="E873" s="64" t="s">
        <v>131</v>
      </c>
      <c r="F873" s="28">
        <v>29</v>
      </c>
      <c r="G873" s="28">
        <v>21</v>
      </c>
      <c r="H873" s="12">
        <v>8</v>
      </c>
      <c r="J873" s="2"/>
      <c r="K873" s="2"/>
      <c r="L873" s="2"/>
      <c r="M873" s="2"/>
      <c r="N873" s="2"/>
      <c r="O873" s="2"/>
      <c r="P873" s="2"/>
    </row>
    <row r="874" spans="1:16" x14ac:dyDescent="0.4">
      <c r="A874">
        <v>2014</v>
      </c>
      <c r="B874" s="5" t="s">
        <v>462</v>
      </c>
      <c r="C874" s="5" t="s">
        <v>716</v>
      </c>
      <c r="D874" s="25" t="s">
        <v>129</v>
      </c>
      <c r="E874" s="64" t="s">
        <v>132</v>
      </c>
      <c r="F874" s="28">
        <v>1115</v>
      </c>
      <c r="G874" s="28">
        <v>658</v>
      </c>
      <c r="H874" s="12">
        <v>457</v>
      </c>
      <c r="J874" s="2"/>
      <c r="K874" s="2"/>
      <c r="L874" s="2"/>
      <c r="M874" s="2"/>
      <c r="N874" s="2"/>
      <c r="O874" s="2"/>
      <c r="P874" s="2"/>
    </row>
    <row r="875" spans="1:16" x14ac:dyDescent="0.4">
      <c r="A875">
        <v>2014</v>
      </c>
      <c r="B875" s="5" t="s">
        <v>463</v>
      </c>
      <c r="C875" s="5" t="s">
        <v>716</v>
      </c>
      <c r="D875" s="25" t="s">
        <v>129</v>
      </c>
      <c r="E875" s="64" t="s">
        <v>133</v>
      </c>
      <c r="F875" s="28">
        <v>84</v>
      </c>
      <c r="G875" s="28">
        <v>51</v>
      </c>
      <c r="H875" s="12">
        <v>33</v>
      </c>
      <c r="J875" s="2"/>
      <c r="K875" s="2"/>
      <c r="L875" s="2"/>
      <c r="M875" s="2"/>
      <c r="N875" s="2"/>
      <c r="O875" s="2"/>
      <c r="P875" s="2"/>
    </row>
    <row r="876" spans="1:16" x14ac:dyDescent="0.4">
      <c r="A876">
        <v>2014</v>
      </c>
      <c r="B876" s="5" t="s">
        <v>464</v>
      </c>
      <c r="C876" s="5" t="s">
        <v>716</v>
      </c>
      <c r="D876" s="25" t="s">
        <v>129</v>
      </c>
      <c r="E876" s="64" t="s">
        <v>134</v>
      </c>
      <c r="F876" s="28">
        <v>78</v>
      </c>
      <c r="G876" s="28">
        <v>40</v>
      </c>
      <c r="H876" s="12">
        <v>38</v>
      </c>
      <c r="J876" s="2"/>
      <c r="K876" s="2"/>
      <c r="L876" s="2"/>
      <c r="M876" s="2"/>
      <c r="N876" s="2"/>
      <c r="O876" s="2"/>
      <c r="P876" s="2"/>
    </row>
    <row r="877" spans="1:16" x14ac:dyDescent="0.4">
      <c r="A877">
        <v>2014</v>
      </c>
      <c r="B877" s="5" t="s">
        <v>465</v>
      </c>
      <c r="C877" s="5" t="s">
        <v>716</v>
      </c>
      <c r="D877" s="25" t="s">
        <v>129</v>
      </c>
      <c r="E877" s="64" t="s">
        <v>135</v>
      </c>
      <c r="F877" s="28">
        <v>25</v>
      </c>
      <c r="G877" s="28">
        <v>17</v>
      </c>
      <c r="H877" s="12">
        <v>8</v>
      </c>
      <c r="J877" s="2"/>
      <c r="K877" s="2"/>
      <c r="L877" s="2"/>
      <c r="M877" s="2"/>
      <c r="N877" s="2"/>
      <c r="O877" s="2"/>
      <c r="P877" s="2"/>
    </row>
    <row r="878" spans="1:16" x14ac:dyDescent="0.4">
      <c r="A878">
        <v>2014</v>
      </c>
      <c r="B878" s="5" t="s">
        <v>466</v>
      </c>
      <c r="C878" s="5" t="s">
        <v>716</v>
      </c>
      <c r="D878" s="25" t="s">
        <v>129</v>
      </c>
      <c r="E878" s="64" t="s">
        <v>94</v>
      </c>
      <c r="F878" s="28">
        <v>136</v>
      </c>
      <c r="G878" s="28">
        <v>84</v>
      </c>
      <c r="H878" s="12">
        <v>52</v>
      </c>
      <c r="J878" s="2"/>
      <c r="K878" s="2"/>
      <c r="L878" s="2"/>
      <c r="M878" s="2"/>
      <c r="N878" s="2"/>
      <c r="O878" s="2"/>
      <c r="P878" s="2"/>
    </row>
    <row r="879" spans="1:16" x14ac:dyDescent="0.4">
      <c r="A879">
        <v>2014</v>
      </c>
      <c r="B879" s="5" t="s">
        <v>467</v>
      </c>
      <c r="C879" s="5" t="s">
        <v>716</v>
      </c>
      <c r="D879" s="25" t="s">
        <v>129</v>
      </c>
      <c r="E879" s="64" t="s">
        <v>136</v>
      </c>
      <c r="F879" s="28">
        <v>98</v>
      </c>
      <c r="G879" s="28">
        <v>53</v>
      </c>
      <c r="H879" s="12">
        <v>45</v>
      </c>
      <c r="J879" s="2"/>
      <c r="K879" s="2"/>
      <c r="L879" s="2"/>
      <c r="M879" s="2"/>
      <c r="N879" s="2"/>
      <c r="O879" s="2"/>
      <c r="P879" s="2"/>
    </row>
    <row r="880" spans="1:16" x14ac:dyDescent="0.4">
      <c r="A880">
        <v>2014</v>
      </c>
      <c r="B880" s="5" t="s">
        <v>468</v>
      </c>
      <c r="C880" s="5" t="s">
        <v>716</v>
      </c>
      <c r="D880" s="25" t="s">
        <v>129</v>
      </c>
      <c r="E880" s="64" t="s">
        <v>137</v>
      </c>
      <c r="F880" s="28">
        <v>19</v>
      </c>
      <c r="G880" s="28">
        <v>9</v>
      </c>
      <c r="H880" s="12">
        <v>10</v>
      </c>
      <c r="J880" s="2"/>
      <c r="K880" s="2"/>
      <c r="L880" s="2"/>
      <c r="M880" s="2"/>
      <c r="N880" s="2"/>
      <c r="O880" s="2"/>
      <c r="P880" s="2"/>
    </row>
    <row r="881" spans="1:16" x14ac:dyDescent="0.4">
      <c r="A881">
        <v>2014</v>
      </c>
      <c r="B881" s="5" t="s">
        <v>469</v>
      </c>
      <c r="C881" s="5" t="s">
        <v>716</v>
      </c>
      <c r="D881" s="25" t="s">
        <v>129</v>
      </c>
      <c r="E881" s="64" t="s">
        <v>138</v>
      </c>
      <c r="F881" s="28">
        <v>69</v>
      </c>
      <c r="G881" s="28">
        <v>47</v>
      </c>
      <c r="H881" s="12">
        <v>22</v>
      </c>
      <c r="J881" s="2"/>
      <c r="K881" s="2"/>
      <c r="L881" s="2"/>
      <c r="M881" s="2"/>
      <c r="N881" s="2"/>
      <c r="O881" s="2"/>
      <c r="P881" s="2"/>
    </row>
    <row r="882" spans="1:16" x14ac:dyDescent="0.4">
      <c r="A882">
        <v>2014</v>
      </c>
      <c r="B882" s="5" t="s">
        <v>470</v>
      </c>
      <c r="C882" s="5" t="s">
        <v>716</v>
      </c>
      <c r="D882" s="25" t="s">
        <v>129</v>
      </c>
      <c r="E882" s="64" t="s">
        <v>139</v>
      </c>
      <c r="F882" s="28">
        <v>59</v>
      </c>
      <c r="G882" s="28">
        <v>42</v>
      </c>
      <c r="H882" s="12">
        <v>17</v>
      </c>
      <c r="J882" s="2"/>
      <c r="K882" s="2"/>
      <c r="L882" s="2"/>
      <c r="M882" s="2"/>
      <c r="N882" s="2"/>
      <c r="O882" s="2"/>
      <c r="P882" s="2"/>
    </row>
    <row r="883" spans="1:16" x14ac:dyDescent="0.4">
      <c r="A883">
        <v>2014</v>
      </c>
      <c r="B883" s="5" t="s">
        <v>471</v>
      </c>
      <c r="C883" s="5" t="s">
        <v>716</v>
      </c>
      <c r="D883" s="25" t="s">
        <v>129</v>
      </c>
      <c r="E883" s="64" t="s">
        <v>85</v>
      </c>
      <c r="F883" s="28">
        <v>1710</v>
      </c>
      <c r="G883" s="28">
        <v>968</v>
      </c>
      <c r="H883" s="12">
        <v>742</v>
      </c>
      <c r="J883" s="2"/>
      <c r="K883" s="2"/>
      <c r="L883" s="2"/>
      <c r="M883" s="2"/>
      <c r="N883" s="2"/>
      <c r="O883" s="2"/>
      <c r="P883" s="2"/>
    </row>
    <row r="884" spans="1:16" x14ac:dyDescent="0.4">
      <c r="A884">
        <v>2014</v>
      </c>
      <c r="B884" s="5" t="s">
        <v>472</v>
      </c>
      <c r="C884" s="5" t="s">
        <v>716</v>
      </c>
      <c r="D884" s="25" t="s">
        <v>129</v>
      </c>
      <c r="E884" s="64" t="s">
        <v>140</v>
      </c>
      <c r="F884" s="28">
        <v>90</v>
      </c>
      <c r="G884" s="28">
        <v>58</v>
      </c>
      <c r="H884" s="12">
        <v>32</v>
      </c>
      <c r="J884" s="2"/>
      <c r="K884" s="2"/>
      <c r="L884" s="2"/>
      <c r="M884" s="2"/>
      <c r="N884" s="2"/>
      <c r="O884" s="2"/>
      <c r="P884" s="2"/>
    </row>
    <row r="885" spans="1:16" x14ac:dyDescent="0.4">
      <c r="A885">
        <v>2014</v>
      </c>
      <c r="B885" s="5" t="s">
        <v>473</v>
      </c>
      <c r="C885" s="5" t="s">
        <v>716</v>
      </c>
      <c r="D885" s="25" t="s">
        <v>129</v>
      </c>
      <c r="E885" s="64" t="s">
        <v>141</v>
      </c>
      <c r="F885" s="28">
        <v>9</v>
      </c>
      <c r="G885" s="28">
        <v>7</v>
      </c>
      <c r="H885" s="12">
        <v>2</v>
      </c>
      <c r="J885" s="2"/>
      <c r="K885" s="2"/>
      <c r="L885" s="2"/>
      <c r="M885" s="2"/>
      <c r="N885" s="2"/>
      <c r="O885" s="2"/>
      <c r="P885" s="2"/>
    </row>
    <row r="886" spans="1:16" x14ac:dyDescent="0.4">
      <c r="A886">
        <v>2014</v>
      </c>
      <c r="B886" s="5" t="s">
        <v>474</v>
      </c>
      <c r="C886" s="5" t="s">
        <v>716</v>
      </c>
      <c r="D886" s="25" t="s">
        <v>129</v>
      </c>
      <c r="E886" s="64" t="s">
        <v>143</v>
      </c>
      <c r="F886" s="28">
        <v>45</v>
      </c>
      <c r="G886" s="28">
        <v>31</v>
      </c>
      <c r="H886" s="12">
        <v>14</v>
      </c>
      <c r="J886" s="2"/>
      <c r="K886" s="2"/>
      <c r="L886" s="2"/>
      <c r="M886" s="2"/>
      <c r="N886" s="2"/>
      <c r="O886" s="2"/>
      <c r="P886" s="2"/>
    </row>
    <row r="887" spans="1:16" x14ac:dyDescent="0.4">
      <c r="A887">
        <v>2014</v>
      </c>
      <c r="B887" s="5" t="s">
        <v>475</v>
      </c>
      <c r="C887" s="5" t="s">
        <v>716</v>
      </c>
      <c r="D887" s="25" t="s">
        <v>129</v>
      </c>
      <c r="E887" s="64" t="s">
        <v>21</v>
      </c>
      <c r="F887" s="28">
        <v>42</v>
      </c>
      <c r="G887" s="28">
        <v>20</v>
      </c>
      <c r="H887" s="12">
        <v>22</v>
      </c>
      <c r="J887" s="2"/>
      <c r="K887" s="2"/>
      <c r="L887" s="2"/>
      <c r="M887" s="2"/>
      <c r="N887" s="2"/>
      <c r="O887" s="2"/>
      <c r="P887" s="2"/>
    </row>
    <row r="888" spans="1:16" x14ac:dyDescent="0.4">
      <c r="A888">
        <v>2014</v>
      </c>
      <c r="B888" s="5" t="s">
        <v>476</v>
      </c>
      <c r="C888" s="5" t="s">
        <v>716</v>
      </c>
      <c r="D888" s="25" t="s">
        <v>129</v>
      </c>
      <c r="E888" s="64" t="s">
        <v>144</v>
      </c>
      <c r="F888" s="28">
        <v>52</v>
      </c>
      <c r="G888" s="28">
        <v>31</v>
      </c>
      <c r="H888" s="12">
        <v>21</v>
      </c>
      <c r="J888" s="2"/>
      <c r="K888" s="2"/>
      <c r="L888" s="2"/>
      <c r="M888" s="2"/>
      <c r="N888" s="2"/>
      <c r="O888" s="2"/>
      <c r="P888" s="2"/>
    </row>
    <row r="889" spans="1:16" x14ac:dyDescent="0.4">
      <c r="A889">
        <v>2014</v>
      </c>
      <c r="B889" s="5" t="s">
        <v>477</v>
      </c>
      <c r="C889" s="5" t="s">
        <v>716</v>
      </c>
      <c r="D889" s="25" t="s">
        <v>129</v>
      </c>
      <c r="E889" s="64" t="s">
        <v>145</v>
      </c>
      <c r="F889" s="28">
        <v>150</v>
      </c>
      <c r="G889" s="28">
        <v>97</v>
      </c>
      <c r="H889" s="12">
        <v>53</v>
      </c>
      <c r="J889" s="2"/>
      <c r="K889" s="2"/>
      <c r="L889" s="2"/>
      <c r="M889" s="2"/>
      <c r="N889" s="2"/>
      <c r="O889" s="2"/>
      <c r="P889" s="2"/>
    </row>
    <row r="890" spans="1:16" x14ac:dyDescent="0.4">
      <c r="A890">
        <v>2014</v>
      </c>
      <c r="B890" s="5" t="s">
        <v>478</v>
      </c>
      <c r="C890" s="5" t="s">
        <v>716</v>
      </c>
      <c r="D890" s="25" t="s">
        <v>129</v>
      </c>
      <c r="E890" s="64" t="s">
        <v>51</v>
      </c>
      <c r="F890" s="28">
        <v>23</v>
      </c>
      <c r="G890" s="28">
        <v>18</v>
      </c>
      <c r="H890" s="12">
        <v>5</v>
      </c>
      <c r="J890" s="2"/>
      <c r="K890" s="2"/>
      <c r="L890" s="2"/>
      <c r="M890" s="2"/>
      <c r="N890" s="2"/>
      <c r="O890" s="2"/>
      <c r="P890" s="2"/>
    </row>
    <row r="891" spans="1:16" x14ac:dyDescent="0.4">
      <c r="A891">
        <v>2014</v>
      </c>
      <c r="B891" s="5" t="s">
        <v>479</v>
      </c>
      <c r="C891" s="5" t="s">
        <v>716</v>
      </c>
      <c r="D891" s="25" t="s">
        <v>129</v>
      </c>
      <c r="E891" s="64" t="s">
        <v>146</v>
      </c>
      <c r="F891" s="28">
        <v>22</v>
      </c>
      <c r="G891" s="28">
        <v>12</v>
      </c>
      <c r="H891" s="12">
        <v>10</v>
      </c>
      <c r="J891" s="2"/>
      <c r="K891" s="2"/>
      <c r="L891" s="2"/>
      <c r="M891" s="2"/>
      <c r="N891" s="2"/>
      <c r="O891" s="2"/>
      <c r="P891" s="2"/>
    </row>
    <row r="892" spans="1:16" x14ac:dyDescent="0.4">
      <c r="A892">
        <v>2014</v>
      </c>
      <c r="B892" s="5" t="s">
        <v>480</v>
      </c>
      <c r="C892" s="5" t="s">
        <v>716</v>
      </c>
      <c r="D892" s="25" t="s">
        <v>129</v>
      </c>
      <c r="E892" s="64" t="s">
        <v>147</v>
      </c>
      <c r="F892" s="28">
        <v>46</v>
      </c>
      <c r="G892" s="28">
        <v>27</v>
      </c>
      <c r="H892" s="12">
        <v>19</v>
      </c>
      <c r="J892" s="2"/>
      <c r="K892" s="2"/>
      <c r="L892" s="2"/>
      <c r="M892" s="2"/>
      <c r="N892" s="2"/>
      <c r="O892" s="2"/>
      <c r="P892" s="2"/>
    </row>
    <row r="893" spans="1:16" x14ac:dyDescent="0.4">
      <c r="A893">
        <v>2014</v>
      </c>
      <c r="B893" s="5" t="s">
        <v>481</v>
      </c>
      <c r="C893" s="5" t="s">
        <v>716</v>
      </c>
      <c r="D893" s="25" t="s">
        <v>129</v>
      </c>
      <c r="E893" s="64" t="s">
        <v>148</v>
      </c>
      <c r="F893" s="28">
        <v>11</v>
      </c>
      <c r="G893" s="28">
        <v>5</v>
      </c>
      <c r="H893" s="12">
        <v>6</v>
      </c>
      <c r="J893" s="2"/>
      <c r="K893" s="2"/>
      <c r="L893" s="2"/>
      <c r="M893" s="2"/>
      <c r="N893" s="2"/>
      <c r="O893" s="2"/>
      <c r="P893" s="2"/>
    </row>
    <row r="894" spans="1:16" x14ac:dyDescent="0.4">
      <c r="A894">
        <v>2014</v>
      </c>
      <c r="B894" s="5" t="s">
        <v>482</v>
      </c>
      <c r="C894" s="5" t="s">
        <v>716</v>
      </c>
      <c r="D894" s="25" t="s">
        <v>129</v>
      </c>
      <c r="E894" s="64" t="s">
        <v>54</v>
      </c>
      <c r="F894" s="28">
        <v>22</v>
      </c>
      <c r="G894" s="28">
        <v>13</v>
      </c>
      <c r="H894" s="12">
        <v>9</v>
      </c>
      <c r="J894" s="2"/>
      <c r="K894" s="2"/>
      <c r="L894" s="2"/>
      <c r="M894" s="2"/>
      <c r="N894" s="2"/>
      <c r="O894" s="2"/>
      <c r="P894" s="2"/>
    </row>
    <row r="895" spans="1:16" x14ac:dyDescent="0.4">
      <c r="A895">
        <v>2014</v>
      </c>
      <c r="B895" s="5" t="s">
        <v>483</v>
      </c>
      <c r="C895" s="5" t="s">
        <v>717</v>
      </c>
      <c r="D895" s="25" t="s">
        <v>150</v>
      </c>
      <c r="E895" s="64" t="s">
        <v>149</v>
      </c>
      <c r="F895" s="28">
        <v>78</v>
      </c>
      <c r="G895" s="28">
        <v>50</v>
      </c>
      <c r="H895" s="12">
        <v>28</v>
      </c>
      <c r="J895" s="2"/>
      <c r="K895" s="2"/>
      <c r="L895" s="2"/>
      <c r="M895" s="2"/>
      <c r="N895" s="2"/>
      <c r="O895" s="2"/>
      <c r="P895" s="2"/>
    </row>
    <row r="896" spans="1:16" x14ac:dyDescent="0.4">
      <c r="A896">
        <v>2014</v>
      </c>
      <c r="B896" s="5" t="s">
        <v>484</v>
      </c>
      <c r="C896" s="5" t="s">
        <v>717</v>
      </c>
      <c r="D896" s="25" t="s">
        <v>150</v>
      </c>
      <c r="E896" s="64" t="s">
        <v>151</v>
      </c>
      <c r="F896" s="28">
        <v>48</v>
      </c>
      <c r="G896" s="28">
        <v>33</v>
      </c>
      <c r="H896" s="12">
        <v>15</v>
      </c>
      <c r="J896" s="2"/>
      <c r="K896" s="2"/>
      <c r="L896" s="2"/>
      <c r="M896" s="2"/>
      <c r="N896" s="2"/>
      <c r="O896" s="2"/>
      <c r="P896" s="2"/>
    </row>
    <row r="897" spans="1:16" x14ac:dyDescent="0.4">
      <c r="A897">
        <v>2014</v>
      </c>
      <c r="B897" s="5" t="s">
        <v>485</v>
      </c>
      <c r="C897" s="5" t="s">
        <v>717</v>
      </c>
      <c r="D897" s="25" t="s">
        <v>150</v>
      </c>
      <c r="E897" s="64" t="s">
        <v>152</v>
      </c>
      <c r="F897" s="28">
        <v>57</v>
      </c>
      <c r="G897" s="28">
        <v>34</v>
      </c>
      <c r="H897" s="12">
        <v>23</v>
      </c>
      <c r="J897" s="2"/>
      <c r="K897" s="2"/>
      <c r="L897" s="2"/>
      <c r="M897" s="2"/>
      <c r="N897" s="2"/>
      <c r="O897" s="2"/>
      <c r="P897" s="2"/>
    </row>
    <row r="898" spans="1:16" x14ac:dyDescent="0.4">
      <c r="A898">
        <v>2014</v>
      </c>
      <c r="B898" s="5" t="s">
        <v>486</v>
      </c>
      <c r="C898" s="5" t="s">
        <v>717</v>
      </c>
      <c r="D898" s="25" t="s">
        <v>150</v>
      </c>
      <c r="E898" s="64" t="s">
        <v>153</v>
      </c>
      <c r="F898" s="28">
        <v>50</v>
      </c>
      <c r="G898" s="28">
        <v>28</v>
      </c>
      <c r="H898" s="12">
        <v>22</v>
      </c>
      <c r="J898" s="2"/>
      <c r="K898" s="2"/>
      <c r="L898" s="2"/>
      <c r="M898" s="2"/>
      <c r="N898" s="2"/>
      <c r="O898" s="2"/>
      <c r="P898" s="2"/>
    </row>
    <row r="899" spans="1:16" x14ac:dyDescent="0.4">
      <c r="A899">
        <v>2014</v>
      </c>
      <c r="B899" s="5" t="s">
        <v>487</v>
      </c>
      <c r="C899" s="5" t="s">
        <v>717</v>
      </c>
      <c r="D899" s="25" t="s">
        <v>150</v>
      </c>
      <c r="E899" s="64" t="s">
        <v>154</v>
      </c>
      <c r="F899" s="28">
        <v>1009</v>
      </c>
      <c r="G899" s="28">
        <v>604</v>
      </c>
      <c r="H899" s="12">
        <v>405</v>
      </c>
      <c r="J899" s="2"/>
      <c r="K899" s="2"/>
      <c r="L899" s="2"/>
      <c r="M899" s="2"/>
      <c r="N899" s="2"/>
      <c r="O899" s="2"/>
      <c r="P899" s="2"/>
    </row>
    <row r="900" spans="1:16" x14ac:dyDescent="0.4">
      <c r="A900">
        <v>2014</v>
      </c>
      <c r="B900" s="5" t="s">
        <v>488</v>
      </c>
      <c r="C900" s="5" t="s">
        <v>717</v>
      </c>
      <c r="D900" s="25" t="s">
        <v>150</v>
      </c>
      <c r="E900" s="64" t="s">
        <v>155</v>
      </c>
      <c r="F900" s="28">
        <v>120</v>
      </c>
      <c r="G900" s="28">
        <v>70</v>
      </c>
      <c r="H900" s="12">
        <v>50</v>
      </c>
      <c r="J900" s="2"/>
      <c r="K900" s="2"/>
      <c r="L900" s="2"/>
      <c r="M900" s="2"/>
      <c r="N900" s="2"/>
      <c r="O900" s="2"/>
      <c r="P900" s="2"/>
    </row>
    <row r="901" spans="1:16" x14ac:dyDescent="0.4">
      <c r="A901">
        <v>2014</v>
      </c>
      <c r="B901" s="5" t="s">
        <v>489</v>
      </c>
      <c r="C901" s="5" t="s">
        <v>717</v>
      </c>
      <c r="D901" s="25" t="s">
        <v>150</v>
      </c>
      <c r="E901" s="64" t="s">
        <v>156</v>
      </c>
      <c r="F901" s="28">
        <v>123</v>
      </c>
      <c r="G901" s="28">
        <v>86</v>
      </c>
      <c r="H901" s="12">
        <v>37</v>
      </c>
      <c r="J901" s="2"/>
      <c r="K901" s="2"/>
      <c r="L901" s="2"/>
      <c r="M901" s="2"/>
      <c r="N901" s="2"/>
      <c r="O901" s="2"/>
      <c r="P901" s="2"/>
    </row>
    <row r="902" spans="1:16" x14ac:dyDescent="0.4">
      <c r="A902">
        <v>2014</v>
      </c>
      <c r="B902" s="5" t="s">
        <v>490</v>
      </c>
      <c r="C902" s="5" t="s">
        <v>717</v>
      </c>
      <c r="D902" s="25" t="s">
        <v>150</v>
      </c>
      <c r="E902" s="64" t="s">
        <v>85</v>
      </c>
      <c r="F902" s="28">
        <v>644</v>
      </c>
      <c r="G902" s="28">
        <v>419</v>
      </c>
      <c r="H902" s="12">
        <v>225</v>
      </c>
      <c r="J902" s="2"/>
      <c r="K902" s="2"/>
      <c r="L902" s="2"/>
      <c r="M902" s="2"/>
      <c r="N902" s="2"/>
      <c r="O902" s="2"/>
      <c r="P902" s="2"/>
    </row>
    <row r="903" spans="1:16" x14ac:dyDescent="0.4">
      <c r="A903">
        <v>2014</v>
      </c>
      <c r="B903" s="5" t="s">
        <v>491</v>
      </c>
      <c r="C903" s="5" t="s">
        <v>717</v>
      </c>
      <c r="D903" s="25" t="s">
        <v>150</v>
      </c>
      <c r="E903" s="64" t="s">
        <v>157</v>
      </c>
      <c r="F903" s="28">
        <v>444</v>
      </c>
      <c r="G903" s="28">
        <v>283</v>
      </c>
      <c r="H903" s="12">
        <v>161</v>
      </c>
      <c r="J903" s="2"/>
      <c r="K903" s="2"/>
      <c r="L903" s="2"/>
      <c r="M903" s="2"/>
      <c r="N903" s="2"/>
      <c r="O903" s="2"/>
      <c r="P903" s="2"/>
    </row>
    <row r="904" spans="1:16" x14ac:dyDescent="0.4">
      <c r="A904">
        <v>2014</v>
      </c>
      <c r="B904" s="5" t="s">
        <v>492</v>
      </c>
      <c r="C904" s="5" t="s">
        <v>717</v>
      </c>
      <c r="D904" s="25" t="s">
        <v>150</v>
      </c>
      <c r="E904" s="64" t="s">
        <v>158</v>
      </c>
      <c r="F904" s="28">
        <v>64</v>
      </c>
      <c r="G904" s="28">
        <v>45</v>
      </c>
      <c r="H904" s="12">
        <v>19</v>
      </c>
      <c r="J904" s="2"/>
      <c r="K904" s="2"/>
      <c r="L904" s="2"/>
      <c r="M904" s="2"/>
      <c r="N904" s="2"/>
      <c r="O904" s="2"/>
      <c r="P904" s="2"/>
    </row>
    <row r="905" spans="1:16" x14ac:dyDescent="0.4">
      <c r="A905">
        <v>2014</v>
      </c>
      <c r="B905" s="5" t="s">
        <v>493</v>
      </c>
      <c r="C905" s="5" t="s">
        <v>717</v>
      </c>
      <c r="D905" s="25" t="s">
        <v>150</v>
      </c>
      <c r="E905" s="64" t="s">
        <v>159</v>
      </c>
      <c r="F905" s="28">
        <v>120</v>
      </c>
      <c r="G905" s="28">
        <v>80</v>
      </c>
      <c r="H905" s="12">
        <v>40</v>
      </c>
      <c r="J905" s="2"/>
      <c r="K905" s="2"/>
      <c r="L905" s="2"/>
      <c r="M905" s="2"/>
      <c r="N905" s="2"/>
      <c r="O905" s="2"/>
      <c r="P905" s="2"/>
    </row>
    <row r="906" spans="1:16" x14ac:dyDescent="0.4">
      <c r="A906">
        <v>2014</v>
      </c>
      <c r="B906" s="5" t="s">
        <v>494</v>
      </c>
      <c r="C906" s="5" t="s">
        <v>717</v>
      </c>
      <c r="D906" s="25" t="s">
        <v>150</v>
      </c>
      <c r="E906" s="64" t="s">
        <v>76</v>
      </c>
      <c r="F906" s="28">
        <v>1320</v>
      </c>
      <c r="G906" s="28">
        <v>819</v>
      </c>
      <c r="H906" s="12">
        <v>501</v>
      </c>
      <c r="J906" s="2"/>
      <c r="K906" s="2"/>
      <c r="L906" s="2"/>
      <c r="M906" s="2"/>
      <c r="N906" s="2"/>
      <c r="O906" s="2"/>
      <c r="P906" s="2"/>
    </row>
    <row r="907" spans="1:16" x14ac:dyDescent="0.4">
      <c r="A907">
        <v>2014</v>
      </c>
      <c r="B907" s="5" t="s">
        <v>495</v>
      </c>
      <c r="C907" s="5" t="s">
        <v>717</v>
      </c>
      <c r="D907" s="25" t="s">
        <v>150</v>
      </c>
      <c r="E907" s="64" t="s">
        <v>160</v>
      </c>
      <c r="F907" s="28">
        <v>16</v>
      </c>
      <c r="G907" s="28">
        <v>12</v>
      </c>
      <c r="H907" s="12">
        <v>4</v>
      </c>
      <c r="J907" s="2"/>
      <c r="K907" s="2"/>
      <c r="L907" s="2"/>
      <c r="M907" s="2"/>
      <c r="N907" s="2"/>
      <c r="O907" s="2"/>
      <c r="P907" s="2"/>
    </row>
    <row r="908" spans="1:16" x14ac:dyDescent="0.4">
      <c r="A908">
        <v>2014</v>
      </c>
      <c r="B908" s="5" t="s">
        <v>496</v>
      </c>
      <c r="C908" s="5" t="s">
        <v>717</v>
      </c>
      <c r="D908" s="25" t="s">
        <v>150</v>
      </c>
      <c r="E908" s="65" t="s">
        <v>161</v>
      </c>
      <c r="F908" s="28">
        <v>49</v>
      </c>
      <c r="G908" s="28">
        <v>30</v>
      </c>
      <c r="H908" s="12">
        <v>19</v>
      </c>
      <c r="J908" s="2"/>
      <c r="K908" s="2"/>
      <c r="L908" s="2"/>
      <c r="M908" s="2"/>
      <c r="N908" s="2"/>
      <c r="O908" s="2"/>
      <c r="P908" s="2"/>
    </row>
    <row r="909" spans="1:16" x14ac:dyDescent="0.4">
      <c r="A909">
        <v>2014</v>
      </c>
      <c r="B909" s="5" t="s">
        <v>497</v>
      </c>
      <c r="C909" s="5" t="s">
        <v>717</v>
      </c>
      <c r="D909" s="25" t="s">
        <v>150</v>
      </c>
      <c r="E909" s="64" t="s">
        <v>162</v>
      </c>
      <c r="F909" s="28">
        <v>323</v>
      </c>
      <c r="G909" s="28">
        <v>190</v>
      </c>
      <c r="H909" s="12">
        <v>133</v>
      </c>
      <c r="J909" s="2"/>
      <c r="K909" s="2"/>
      <c r="L909" s="2"/>
      <c r="M909" s="2"/>
      <c r="N909" s="2"/>
      <c r="O909" s="2"/>
      <c r="P909" s="2"/>
    </row>
    <row r="910" spans="1:16" x14ac:dyDescent="0.4">
      <c r="A910">
        <v>2014</v>
      </c>
      <c r="B910" s="5" t="s">
        <v>498</v>
      </c>
      <c r="C910" s="5" t="s">
        <v>718</v>
      </c>
      <c r="D910" s="25" t="s">
        <v>164</v>
      </c>
      <c r="E910" s="64" t="s">
        <v>163</v>
      </c>
      <c r="F910" s="28">
        <v>124</v>
      </c>
      <c r="G910" s="28">
        <v>86</v>
      </c>
      <c r="H910" s="12">
        <v>38</v>
      </c>
      <c r="J910" s="2"/>
      <c r="K910" s="2"/>
      <c r="L910" s="2"/>
      <c r="M910" s="2"/>
      <c r="N910" s="2"/>
      <c r="O910" s="2"/>
      <c r="P910" s="2"/>
    </row>
    <row r="911" spans="1:16" x14ac:dyDescent="0.4">
      <c r="A911">
        <v>2014</v>
      </c>
      <c r="B911" s="5" t="s">
        <v>499</v>
      </c>
      <c r="C911" s="5" t="s">
        <v>718</v>
      </c>
      <c r="D911" s="25" t="s">
        <v>164</v>
      </c>
      <c r="E911" s="64" t="s">
        <v>165</v>
      </c>
      <c r="F911" s="28">
        <v>162</v>
      </c>
      <c r="G911" s="28">
        <v>93</v>
      </c>
      <c r="H911" s="12">
        <v>69</v>
      </c>
      <c r="J911" s="2"/>
      <c r="K911" s="2"/>
      <c r="L911" s="2"/>
      <c r="M911" s="2"/>
      <c r="N911" s="2"/>
      <c r="O911" s="2"/>
      <c r="P911" s="2"/>
    </row>
    <row r="912" spans="1:16" x14ac:dyDescent="0.4">
      <c r="A912">
        <v>2014</v>
      </c>
      <c r="B912" s="5" t="s">
        <v>500</v>
      </c>
      <c r="C912" s="5" t="s">
        <v>718</v>
      </c>
      <c r="D912" s="25" t="s">
        <v>164</v>
      </c>
      <c r="E912" s="64" t="s">
        <v>166</v>
      </c>
      <c r="F912" s="28">
        <v>7917</v>
      </c>
      <c r="G912" s="28">
        <v>4577</v>
      </c>
      <c r="H912" s="12">
        <v>3340</v>
      </c>
      <c r="J912" s="2"/>
      <c r="K912" s="2"/>
      <c r="L912" s="2"/>
      <c r="M912" s="2"/>
      <c r="N912" s="2"/>
      <c r="O912" s="2"/>
      <c r="P912" s="2"/>
    </row>
    <row r="913" spans="1:16" x14ac:dyDescent="0.4">
      <c r="A913">
        <v>2014</v>
      </c>
      <c r="B913" s="5" t="s">
        <v>501</v>
      </c>
      <c r="C913" s="5" t="s">
        <v>718</v>
      </c>
      <c r="D913" s="25" t="s">
        <v>164</v>
      </c>
      <c r="E913" s="64" t="s">
        <v>167</v>
      </c>
      <c r="F913" s="28">
        <v>316</v>
      </c>
      <c r="G913" s="28">
        <v>206</v>
      </c>
      <c r="H913" s="12">
        <v>110</v>
      </c>
      <c r="J913" s="2"/>
      <c r="K913" s="2"/>
      <c r="L913" s="2"/>
      <c r="M913" s="2"/>
      <c r="N913" s="2"/>
      <c r="O913" s="2"/>
      <c r="P913" s="2"/>
    </row>
    <row r="914" spans="1:16" x14ac:dyDescent="0.4">
      <c r="A914">
        <v>2014</v>
      </c>
      <c r="B914" s="5" t="s">
        <v>502</v>
      </c>
      <c r="C914" s="5" t="s">
        <v>718</v>
      </c>
      <c r="D914" s="25" t="s">
        <v>164</v>
      </c>
      <c r="E914" s="64" t="s">
        <v>168</v>
      </c>
      <c r="F914" s="28">
        <v>470</v>
      </c>
      <c r="G914" s="28">
        <v>284</v>
      </c>
      <c r="H914" s="12">
        <v>186</v>
      </c>
      <c r="J914" s="2"/>
      <c r="K914" s="2"/>
      <c r="L914" s="2"/>
      <c r="M914" s="2"/>
      <c r="N914" s="2"/>
      <c r="O914" s="2"/>
      <c r="P914" s="2"/>
    </row>
    <row r="915" spans="1:16" x14ac:dyDescent="0.4">
      <c r="A915">
        <v>2014</v>
      </c>
      <c r="B915" s="5" t="s">
        <v>503</v>
      </c>
      <c r="C915" s="5" t="s">
        <v>718</v>
      </c>
      <c r="D915" s="25" t="s">
        <v>164</v>
      </c>
      <c r="E915" s="64" t="s">
        <v>169</v>
      </c>
      <c r="F915" s="28">
        <v>494</v>
      </c>
      <c r="G915" s="28">
        <v>308</v>
      </c>
      <c r="H915" s="12">
        <v>186</v>
      </c>
      <c r="J915" s="2"/>
      <c r="K915" s="2"/>
      <c r="L915" s="2"/>
      <c r="M915" s="2"/>
      <c r="N915" s="2"/>
      <c r="O915" s="2"/>
      <c r="P915" s="2"/>
    </row>
    <row r="916" spans="1:16" x14ac:dyDescent="0.4">
      <c r="A916">
        <v>2014</v>
      </c>
      <c r="B916" s="5" t="s">
        <v>504</v>
      </c>
      <c r="C916" s="5" t="s">
        <v>718</v>
      </c>
      <c r="D916" s="25" t="s">
        <v>164</v>
      </c>
      <c r="E916" s="64" t="s">
        <v>170</v>
      </c>
      <c r="F916" s="28">
        <v>111</v>
      </c>
      <c r="G916" s="28">
        <v>79</v>
      </c>
      <c r="H916" s="12">
        <v>32</v>
      </c>
      <c r="J916" s="2"/>
      <c r="K916" s="2"/>
      <c r="L916" s="2"/>
      <c r="M916" s="2"/>
      <c r="N916" s="2"/>
      <c r="O916" s="2"/>
      <c r="P916" s="2"/>
    </row>
    <row r="917" spans="1:16" x14ac:dyDescent="0.4">
      <c r="A917">
        <v>2014</v>
      </c>
      <c r="B917" s="5" t="s">
        <v>505</v>
      </c>
      <c r="C917" s="5" t="s">
        <v>718</v>
      </c>
      <c r="D917" s="25" t="s">
        <v>164</v>
      </c>
      <c r="E917" s="64" t="s">
        <v>171</v>
      </c>
      <c r="F917" s="28">
        <v>876</v>
      </c>
      <c r="G917" s="28">
        <v>499</v>
      </c>
      <c r="H917" s="12">
        <v>377</v>
      </c>
      <c r="J917" s="2"/>
      <c r="K917" s="2"/>
      <c r="L917" s="2"/>
      <c r="M917" s="2"/>
      <c r="N917" s="2"/>
      <c r="O917" s="2"/>
      <c r="P917" s="2"/>
    </row>
    <row r="918" spans="1:16" x14ac:dyDescent="0.4">
      <c r="A918">
        <v>2014</v>
      </c>
      <c r="B918" s="5" t="s">
        <v>506</v>
      </c>
      <c r="C918" s="5" t="s">
        <v>718</v>
      </c>
      <c r="D918" s="25" t="s">
        <v>164</v>
      </c>
      <c r="E918" s="64" t="s">
        <v>53</v>
      </c>
      <c r="F918" s="28">
        <v>195</v>
      </c>
      <c r="G918" s="28">
        <v>111</v>
      </c>
      <c r="H918" s="12">
        <v>84</v>
      </c>
      <c r="J918" s="2"/>
      <c r="K918" s="2"/>
      <c r="L918" s="2"/>
      <c r="M918" s="2"/>
      <c r="N918" s="2"/>
      <c r="O918" s="2"/>
      <c r="P918" s="2"/>
    </row>
    <row r="919" spans="1:16" x14ac:dyDescent="0.4">
      <c r="A919">
        <v>2014</v>
      </c>
      <c r="B919" s="5" t="s">
        <v>507</v>
      </c>
      <c r="C919" s="5" t="s">
        <v>719</v>
      </c>
      <c r="D919" s="25" t="s">
        <v>173</v>
      </c>
      <c r="E919" s="64" t="s">
        <v>172</v>
      </c>
      <c r="F919" s="28">
        <v>690</v>
      </c>
      <c r="G919" s="28">
        <v>432</v>
      </c>
      <c r="H919" s="12">
        <v>258</v>
      </c>
      <c r="J919" s="2"/>
      <c r="K919" s="2"/>
      <c r="L919" s="2"/>
      <c r="M919" s="2"/>
      <c r="N919" s="2"/>
      <c r="O919" s="2"/>
      <c r="P919" s="2"/>
    </row>
    <row r="920" spans="1:16" x14ac:dyDescent="0.4">
      <c r="A920">
        <v>2014</v>
      </c>
      <c r="B920" s="5" t="s">
        <v>508</v>
      </c>
      <c r="C920" s="5" t="s">
        <v>719</v>
      </c>
      <c r="D920" s="25" t="s">
        <v>173</v>
      </c>
      <c r="E920" s="64" t="s">
        <v>174</v>
      </c>
      <c r="F920" s="28">
        <v>46</v>
      </c>
      <c r="G920" s="28">
        <v>29</v>
      </c>
      <c r="H920" s="12">
        <v>17</v>
      </c>
      <c r="J920" s="2"/>
      <c r="K920" s="2"/>
      <c r="L920" s="2"/>
      <c r="M920" s="2"/>
      <c r="N920" s="2"/>
      <c r="O920" s="2"/>
      <c r="P920" s="2"/>
    </row>
    <row r="921" spans="1:16" x14ac:dyDescent="0.4">
      <c r="A921">
        <v>2014</v>
      </c>
      <c r="B921" s="5" t="s">
        <v>509</v>
      </c>
      <c r="C921" s="5" t="s">
        <v>719</v>
      </c>
      <c r="D921" s="25" t="s">
        <v>173</v>
      </c>
      <c r="E921" s="64" t="s">
        <v>175</v>
      </c>
      <c r="F921" s="28">
        <v>87</v>
      </c>
      <c r="G921" s="28">
        <v>48</v>
      </c>
      <c r="H921" s="12">
        <v>39</v>
      </c>
      <c r="J921" s="2"/>
      <c r="K921" s="2"/>
      <c r="L921" s="2"/>
      <c r="M921" s="2"/>
      <c r="N921" s="2"/>
      <c r="O921" s="2"/>
      <c r="P921" s="2"/>
    </row>
    <row r="922" spans="1:16" x14ac:dyDescent="0.4">
      <c r="A922">
        <v>2014</v>
      </c>
      <c r="B922" s="5" t="s">
        <v>510</v>
      </c>
      <c r="C922" s="5" t="s">
        <v>719</v>
      </c>
      <c r="D922" s="25" t="s">
        <v>173</v>
      </c>
      <c r="E922" s="64" t="s">
        <v>176</v>
      </c>
      <c r="F922" s="28">
        <v>10</v>
      </c>
      <c r="G922" s="28">
        <v>6</v>
      </c>
      <c r="H922" s="12">
        <v>4</v>
      </c>
      <c r="J922" s="2"/>
      <c r="K922" s="2"/>
      <c r="L922" s="2"/>
      <c r="M922" s="2"/>
      <c r="N922" s="2"/>
      <c r="O922" s="2"/>
      <c r="P922" s="2"/>
    </row>
    <row r="923" spans="1:16" x14ac:dyDescent="0.4">
      <c r="A923">
        <v>2014</v>
      </c>
      <c r="B923" s="5" t="s">
        <v>511</v>
      </c>
      <c r="C923" s="5" t="s">
        <v>719</v>
      </c>
      <c r="D923" s="25" t="s">
        <v>173</v>
      </c>
      <c r="E923" s="64" t="s">
        <v>177</v>
      </c>
      <c r="F923" s="28">
        <v>51</v>
      </c>
      <c r="G923" s="28">
        <v>32</v>
      </c>
      <c r="H923" s="12">
        <v>19</v>
      </c>
      <c r="J923" s="2"/>
      <c r="K923" s="2"/>
      <c r="L923" s="2"/>
      <c r="M923" s="2"/>
      <c r="N923" s="2"/>
      <c r="O923" s="2"/>
      <c r="P923" s="2"/>
    </row>
    <row r="924" spans="1:16" x14ac:dyDescent="0.4">
      <c r="A924">
        <v>2014</v>
      </c>
      <c r="B924" s="5" t="s">
        <v>512</v>
      </c>
      <c r="C924" s="5" t="s">
        <v>719</v>
      </c>
      <c r="D924" s="25" t="s">
        <v>173</v>
      </c>
      <c r="E924" s="64" t="s">
        <v>178</v>
      </c>
      <c r="F924" s="28">
        <v>288</v>
      </c>
      <c r="G924" s="28">
        <v>185</v>
      </c>
      <c r="H924" s="12">
        <v>103</v>
      </c>
      <c r="J924" s="2"/>
      <c r="K924" s="2"/>
      <c r="L924" s="2"/>
      <c r="M924" s="2"/>
      <c r="N924" s="2"/>
      <c r="O924" s="2"/>
      <c r="P924" s="2"/>
    </row>
    <row r="925" spans="1:16" x14ac:dyDescent="0.4">
      <c r="A925">
        <v>2014</v>
      </c>
      <c r="B925" s="5" t="s">
        <v>513</v>
      </c>
      <c r="C925" s="5" t="s">
        <v>719</v>
      </c>
      <c r="D925" s="25" t="s">
        <v>173</v>
      </c>
      <c r="E925" s="64" t="s">
        <v>179</v>
      </c>
      <c r="F925" s="28">
        <v>41</v>
      </c>
      <c r="G925" s="28">
        <v>27</v>
      </c>
      <c r="H925" s="12">
        <v>14</v>
      </c>
      <c r="J925" s="2"/>
      <c r="K925" s="2"/>
      <c r="L925" s="2"/>
      <c r="M925" s="2"/>
      <c r="N925" s="2"/>
      <c r="O925" s="2"/>
      <c r="P925" s="2"/>
    </row>
    <row r="926" spans="1:16" x14ac:dyDescent="0.4">
      <c r="A926">
        <v>2014</v>
      </c>
      <c r="B926" s="5" t="s">
        <v>514</v>
      </c>
      <c r="C926" s="5" t="s">
        <v>719</v>
      </c>
      <c r="D926" s="25" t="s">
        <v>173</v>
      </c>
      <c r="E926" s="64" t="s">
        <v>180</v>
      </c>
      <c r="F926" s="28">
        <v>103</v>
      </c>
      <c r="G926" s="28">
        <v>65</v>
      </c>
      <c r="H926" s="12">
        <v>38</v>
      </c>
      <c r="J926" s="2"/>
      <c r="K926" s="2"/>
      <c r="L926" s="2"/>
      <c r="M926" s="2"/>
      <c r="N926" s="2"/>
      <c r="O926" s="2"/>
      <c r="P926" s="2"/>
    </row>
    <row r="927" spans="1:16" x14ac:dyDescent="0.4">
      <c r="A927">
        <v>2014</v>
      </c>
      <c r="B927" s="5" t="s">
        <v>515</v>
      </c>
      <c r="C927" s="5" t="s">
        <v>719</v>
      </c>
      <c r="D927" s="25" t="s">
        <v>173</v>
      </c>
      <c r="E927" s="64" t="s">
        <v>181</v>
      </c>
      <c r="F927" s="28">
        <v>41</v>
      </c>
      <c r="G927" s="28">
        <v>24</v>
      </c>
      <c r="H927" s="12">
        <v>17</v>
      </c>
      <c r="J927" s="2"/>
      <c r="K927" s="2"/>
      <c r="L927" s="2"/>
      <c r="M927" s="2"/>
      <c r="N927" s="2"/>
      <c r="O927" s="2"/>
      <c r="P927" s="2"/>
    </row>
    <row r="928" spans="1:16" x14ac:dyDescent="0.4">
      <c r="A928">
        <v>2014</v>
      </c>
      <c r="B928" s="5" t="s">
        <v>516</v>
      </c>
      <c r="C928" s="5" t="s">
        <v>719</v>
      </c>
      <c r="D928" s="25" t="s">
        <v>173</v>
      </c>
      <c r="E928" s="64" t="s">
        <v>182</v>
      </c>
      <c r="F928" s="28">
        <v>64</v>
      </c>
      <c r="G928" s="28">
        <v>38</v>
      </c>
      <c r="H928" s="12">
        <v>26</v>
      </c>
      <c r="J928" s="2"/>
      <c r="K928" s="2"/>
      <c r="L928" s="2"/>
      <c r="M928" s="2"/>
      <c r="N928" s="2"/>
      <c r="O928" s="2"/>
      <c r="P928" s="2"/>
    </row>
    <row r="929" spans="1:16" x14ac:dyDescent="0.4">
      <c r="A929">
        <v>2014</v>
      </c>
      <c r="B929" s="5" t="s">
        <v>517</v>
      </c>
      <c r="C929" s="5" t="s">
        <v>719</v>
      </c>
      <c r="D929" s="25" t="s">
        <v>173</v>
      </c>
      <c r="E929" s="64" t="s">
        <v>183</v>
      </c>
      <c r="F929" s="28">
        <v>23</v>
      </c>
      <c r="G929" s="28">
        <v>9</v>
      </c>
      <c r="H929" s="12">
        <v>14</v>
      </c>
      <c r="J929" s="2"/>
      <c r="K929" s="2"/>
      <c r="L929" s="2"/>
      <c r="M929" s="2"/>
      <c r="N929" s="2"/>
      <c r="O929" s="2"/>
      <c r="P929" s="2"/>
    </row>
    <row r="930" spans="1:16" x14ac:dyDescent="0.4">
      <c r="A930">
        <v>2014</v>
      </c>
      <c r="B930" s="5" t="s">
        <v>518</v>
      </c>
      <c r="C930" s="5" t="s">
        <v>719</v>
      </c>
      <c r="D930" s="25" t="s">
        <v>173</v>
      </c>
      <c r="E930" s="64" t="s">
        <v>44</v>
      </c>
      <c r="F930" s="28">
        <v>2691</v>
      </c>
      <c r="G930" s="28">
        <v>1504</v>
      </c>
      <c r="H930" s="12">
        <v>1187</v>
      </c>
      <c r="J930" s="2"/>
      <c r="K930" s="2"/>
      <c r="L930" s="2"/>
      <c r="M930" s="2"/>
      <c r="N930" s="2"/>
      <c r="O930" s="2"/>
      <c r="P930" s="2"/>
    </row>
    <row r="931" spans="1:16" x14ac:dyDescent="0.4">
      <c r="A931">
        <v>2014</v>
      </c>
      <c r="B931" s="5" t="s">
        <v>519</v>
      </c>
      <c r="C931" s="5" t="s">
        <v>719</v>
      </c>
      <c r="D931" s="25" t="s">
        <v>173</v>
      </c>
      <c r="E931" s="64" t="s">
        <v>85</v>
      </c>
      <c r="F931" s="28">
        <v>81</v>
      </c>
      <c r="G931" s="28">
        <v>51</v>
      </c>
      <c r="H931" s="12">
        <v>30</v>
      </c>
      <c r="J931" s="2"/>
      <c r="K931" s="2"/>
      <c r="L931" s="2"/>
      <c r="M931" s="2"/>
      <c r="N931" s="2"/>
      <c r="O931" s="2"/>
      <c r="P931" s="2"/>
    </row>
    <row r="932" spans="1:16" x14ac:dyDescent="0.4">
      <c r="A932">
        <v>2014</v>
      </c>
      <c r="B932" s="5" t="s">
        <v>520</v>
      </c>
      <c r="C932" s="5" t="s">
        <v>719</v>
      </c>
      <c r="D932" s="25" t="s">
        <v>173</v>
      </c>
      <c r="E932" s="64" t="s">
        <v>184</v>
      </c>
      <c r="F932" s="28">
        <v>115</v>
      </c>
      <c r="G932" s="28">
        <v>76</v>
      </c>
      <c r="H932" s="12">
        <v>39</v>
      </c>
      <c r="J932" s="2"/>
      <c r="K932" s="2"/>
      <c r="L932" s="2"/>
      <c r="M932" s="2"/>
      <c r="N932" s="2"/>
      <c r="O932" s="2"/>
      <c r="P932" s="2"/>
    </row>
    <row r="933" spans="1:16" x14ac:dyDescent="0.4">
      <c r="A933">
        <v>2014</v>
      </c>
      <c r="B933" s="5" t="s">
        <v>521</v>
      </c>
      <c r="C933" s="5" t="s">
        <v>719</v>
      </c>
      <c r="D933" s="25" t="s">
        <v>173</v>
      </c>
      <c r="E933" s="64" t="s">
        <v>185</v>
      </c>
      <c r="F933" s="28">
        <v>5</v>
      </c>
      <c r="G933" s="28">
        <v>4</v>
      </c>
      <c r="H933" s="12">
        <v>1</v>
      </c>
      <c r="J933" s="2"/>
      <c r="K933" s="2"/>
      <c r="L933" s="2"/>
      <c r="M933" s="2"/>
      <c r="N933" s="2"/>
      <c r="O933" s="2"/>
      <c r="P933" s="2"/>
    </row>
    <row r="934" spans="1:16" x14ac:dyDescent="0.4">
      <c r="A934">
        <v>2014</v>
      </c>
      <c r="B934" s="5" t="s">
        <v>522</v>
      </c>
      <c r="C934" s="5" t="s">
        <v>719</v>
      </c>
      <c r="D934" s="25" t="s">
        <v>173</v>
      </c>
      <c r="E934" s="64" t="s">
        <v>186</v>
      </c>
      <c r="F934" s="28">
        <v>48</v>
      </c>
      <c r="G934" s="28">
        <v>32</v>
      </c>
      <c r="H934" s="12">
        <v>16</v>
      </c>
      <c r="J934" s="2"/>
      <c r="K934" s="2"/>
      <c r="L934" s="2"/>
      <c r="M934" s="2"/>
      <c r="N934" s="2"/>
      <c r="O934" s="2"/>
      <c r="P934" s="2"/>
    </row>
    <row r="935" spans="1:16" x14ac:dyDescent="0.4">
      <c r="A935">
        <v>2014</v>
      </c>
      <c r="B935" s="5" t="s">
        <v>523</v>
      </c>
      <c r="C935" s="5" t="s">
        <v>719</v>
      </c>
      <c r="D935" s="25" t="s">
        <v>173</v>
      </c>
      <c r="E935" s="64" t="s">
        <v>187</v>
      </c>
      <c r="F935" s="28">
        <v>78</v>
      </c>
      <c r="G935" s="28">
        <v>45</v>
      </c>
      <c r="H935" s="12">
        <v>33</v>
      </c>
      <c r="J935" s="2"/>
      <c r="K935" s="2"/>
      <c r="L935" s="2"/>
      <c r="M935" s="2"/>
      <c r="N935" s="2"/>
      <c r="O935" s="2"/>
      <c r="P935" s="2"/>
    </row>
    <row r="936" spans="1:16" x14ac:dyDescent="0.4">
      <c r="A936">
        <v>2014</v>
      </c>
      <c r="B936" s="5" t="s">
        <v>524</v>
      </c>
      <c r="C936" s="5" t="s">
        <v>719</v>
      </c>
      <c r="D936" s="25" t="s">
        <v>173</v>
      </c>
      <c r="E936" s="64" t="s">
        <v>188</v>
      </c>
      <c r="F936" s="28">
        <v>90</v>
      </c>
      <c r="G936" s="28">
        <v>51</v>
      </c>
      <c r="H936" s="12">
        <v>39</v>
      </c>
      <c r="J936" s="2"/>
      <c r="K936" s="2"/>
      <c r="L936" s="2"/>
      <c r="M936" s="2"/>
      <c r="N936" s="2"/>
      <c r="O936" s="2"/>
      <c r="P936" s="2"/>
    </row>
    <row r="937" spans="1:16" x14ac:dyDescent="0.4">
      <c r="A937">
        <v>2014</v>
      </c>
      <c r="B937" s="5" t="s">
        <v>525</v>
      </c>
      <c r="C937" s="5" t="s">
        <v>719</v>
      </c>
      <c r="D937" s="25" t="s">
        <v>173</v>
      </c>
      <c r="E937" s="64" t="s">
        <v>189</v>
      </c>
      <c r="F937" s="28">
        <v>60</v>
      </c>
      <c r="G937" s="28">
        <v>29</v>
      </c>
      <c r="H937" s="12">
        <v>31</v>
      </c>
      <c r="J937" s="2"/>
      <c r="K937" s="2"/>
      <c r="L937" s="2"/>
      <c r="M937" s="2"/>
      <c r="N937" s="2"/>
      <c r="O937" s="2"/>
      <c r="P937" s="2"/>
    </row>
    <row r="938" spans="1:16" x14ac:dyDescent="0.4">
      <c r="A938">
        <v>2014</v>
      </c>
      <c r="B938" s="5" t="s">
        <v>526</v>
      </c>
      <c r="C938" s="5" t="s">
        <v>719</v>
      </c>
      <c r="D938" s="25" t="s">
        <v>173</v>
      </c>
      <c r="E938" s="64" t="s">
        <v>51</v>
      </c>
      <c r="F938" s="28">
        <v>207</v>
      </c>
      <c r="G938" s="28">
        <v>132</v>
      </c>
      <c r="H938" s="12">
        <v>75</v>
      </c>
      <c r="J938" s="2"/>
      <c r="K938" s="2"/>
      <c r="L938" s="2"/>
      <c r="M938" s="2"/>
      <c r="N938" s="2"/>
      <c r="O938" s="2"/>
      <c r="P938" s="2"/>
    </row>
    <row r="939" spans="1:16" x14ac:dyDescent="0.4">
      <c r="A939">
        <v>2014</v>
      </c>
      <c r="B939" s="5" t="s">
        <v>527</v>
      </c>
      <c r="C939" s="5" t="s">
        <v>719</v>
      </c>
      <c r="D939" s="25" t="s">
        <v>173</v>
      </c>
      <c r="E939" s="64" t="s">
        <v>52</v>
      </c>
      <c r="F939" s="28">
        <v>222</v>
      </c>
      <c r="G939" s="28">
        <v>123</v>
      </c>
      <c r="H939" s="12">
        <v>99</v>
      </c>
      <c r="J939" s="2"/>
      <c r="K939" s="2"/>
      <c r="L939" s="2"/>
      <c r="M939" s="2"/>
      <c r="N939" s="2"/>
      <c r="O939" s="2"/>
      <c r="P939" s="2"/>
    </row>
    <row r="940" spans="1:16" x14ac:dyDescent="0.4">
      <c r="A940">
        <v>2014</v>
      </c>
      <c r="B940" s="5" t="s">
        <v>528</v>
      </c>
      <c r="C940" s="5" t="s">
        <v>719</v>
      </c>
      <c r="D940" s="25" t="s">
        <v>173</v>
      </c>
      <c r="E940" s="64" t="s">
        <v>190</v>
      </c>
      <c r="F940" s="28">
        <v>111</v>
      </c>
      <c r="G940" s="28">
        <v>76</v>
      </c>
      <c r="H940" s="12">
        <v>35</v>
      </c>
      <c r="J940" s="2"/>
      <c r="K940" s="2"/>
      <c r="L940" s="2"/>
      <c r="M940" s="2"/>
      <c r="N940" s="2"/>
      <c r="O940" s="2"/>
      <c r="P940" s="2"/>
    </row>
    <row r="941" spans="1:16" x14ac:dyDescent="0.4">
      <c r="A941">
        <v>2014</v>
      </c>
      <c r="B941" s="5" t="s">
        <v>529</v>
      </c>
      <c r="C941" s="5" t="s">
        <v>719</v>
      </c>
      <c r="D941" s="25" t="s">
        <v>173</v>
      </c>
      <c r="E941" s="64" t="s">
        <v>191</v>
      </c>
      <c r="F941" s="28">
        <v>47</v>
      </c>
      <c r="G941" s="28">
        <v>26</v>
      </c>
      <c r="H941" s="12">
        <v>21</v>
      </c>
      <c r="J941" s="2"/>
      <c r="K941" s="2"/>
      <c r="L941" s="2"/>
      <c r="M941" s="2"/>
      <c r="N941" s="2"/>
      <c r="O941" s="2"/>
      <c r="P941" s="2"/>
    </row>
    <row r="942" spans="1:16" x14ac:dyDescent="0.4">
      <c r="A942">
        <v>2014</v>
      </c>
      <c r="B942" s="5" t="s">
        <v>530</v>
      </c>
      <c r="C942" s="5" t="s">
        <v>720</v>
      </c>
      <c r="D942" s="25" t="s">
        <v>193</v>
      </c>
      <c r="E942" s="64" t="s">
        <v>192</v>
      </c>
      <c r="F942" s="28">
        <v>493</v>
      </c>
      <c r="G942" s="28">
        <v>358</v>
      </c>
      <c r="H942" s="12">
        <v>135</v>
      </c>
      <c r="J942" s="2"/>
      <c r="K942" s="2"/>
      <c r="L942" s="2"/>
      <c r="M942" s="2"/>
      <c r="N942" s="2"/>
      <c r="O942" s="2"/>
      <c r="P942" s="2"/>
    </row>
    <row r="943" spans="1:16" x14ac:dyDescent="0.4">
      <c r="A943">
        <v>2014</v>
      </c>
      <c r="B943" s="5" t="s">
        <v>531</v>
      </c>
      <c r="C943" s="5" t="s">
        <v>720</v>
      </c>
      <c r="D943" s="25" t="s">
        <v>193</v>
      </c>
      <c r="E943" s="64" t="s">
        <v>174</v>
      </c>
      <c r="F943" s="28">
        <v>117</v>
      </c>
      <c r="G943" s="28">
        <v>80</v>
      </c>
      <c r="H943" s="12">
        <v>37</v>
      </c>
      <c r="J943" s="2"/>
      <c r="K943" s="2"/>
      <c r="L943" s="2"/>
      <c r="M943" s="2"/>
      <c r="N943" s="2"/>
      <c r="O943" s="2"/>
      <c r="P943" s="2"/>
    </row>
    <row r="944" spans="1:16" x14ac:dyDescent="0.4">
      <c r="A944">
        <v>2014</v>
      </c>
      <c r="B944" s="5" t="s">
        <v>532</v>
      </c>
      <c r="C944" s="5" t="s">
        <v>720</v>
      </c>
      <c r="D944" s="25" t="s">
        <v>193</v>
      </c>
      <c r="E944" s="64" t="s">
        <v>194</v>
      </c>
      <c r="F944" s="28">
        <v>2591</v>
      </c>
      <c r="G944" s="28">
        <v>1262</v>
      </c>
      <c r="H944" s="12">
        <v>1329</v>
      </c>
      <c r="J944" s="2"/>
      <c r="K944" s="2"/>
      <c r="L944" s="2"/>
      <c r="M944" s="2"/>
      <c r="N944" s="2"/>
      <c r="O944" s="2"/>
      <c r="P944" s="2"/>
    </row>
    <row r="945" spans="1:16" x14ac:dyDescent="0.4">
      <c r="A945">
        <v>2014</v>
      </c>
      <c r="B945" s="5" t="s">
        <v>533</v>
      </c>
      <c r="C945" s="5" t="s">
        <v>720</v>
      </c>
      <c r="D945" s="25" t="s">
        <v>193</v>
      </c>
      <c r="E945" s="64" t="s">
        <v>195</v>
      </c>
      <c r="F945" s="28">
        <v>379</v>
      </c>
      <c r="G945" s="28">
        <v>235</v>
      </c>
      <c r="H945" s="12">
        <v>144</v>
      </c>
      <c r="J945" s="2"/>
      <c r="K945" s="2"/>
      <c r="L945" s="2"/>
      <c r="M945" s="2"/>
      <c r="N945" s="2"/>
      <c r="O945" s="2"/>
      <c r="P945" s="2"/>
    </row>
    <row r="946" spans="1:16" x14ac:dyDescent="0.4">
      <c r="A946">
        <v>2014</v>
      </c>
      <c r="B946" s="5" t="s">
        <v>534</v>
      </c>
      <c r="C946" s="5" t="s">
        <v>720</v>
      </c>
      <c r="D946" s="25" t="s">
        <v>193</v>
      </c>
      <c r="E946" s="64" t="s">
        <v>196</v>
      </c>
      <c r="F946" s="28">
        <v>125</v>
      </c>
      <c r="G946" s="28">
        <v>99</v>
      </c>
      <c r="H946" s="12">
        <v>26</v>
      </c>
      <c r="J946" s="2"/>
      <c r="K946" s="2"/>
      <c r="L946" s="2"/>
      <c r="M946" s="2"/>
      <c r="N946" s="2"/>
      <c r="O946" s="2"/>
      <c r="P946" s="2"/>
    </row>
    <row r="947" spans="1:16" x14ac:dyDescent="0.4">
      <c r="A947">
        <v>2014</v>
      </c>
      <c r="B947" s="5" t="s">
        <v>535</v>
      </c>
      <c r="C947" s="5" t="s">
        <v>720</v>
      </c>
      <c r="D947" s="25" t="s">
        <v>193</v>
      </c>
      <c r="E947" s="64" t="s">
        <v>197</v>
      </c>
      <c r="F947" s="28">
        <v>220</v>
      </c>
      <c r="G947" s="28">
        <v>123</v>
      </c>
      <c r="H947" s="12">
        <v>97</v>
      </c>
      <c r="J947" s="2"/>
      <c r="K947" s="2"/>
      <c r="L947" s="2"/>
      <c r="M947" s="2"/>
      <c r="N947" s="2"/>
      <c r="O947" s="2"/>
      <c r="P947" s="2"/>
    </row>
    <row r="948" spans="1:16" x14ac:dyDescent="0.4">
      <c r="A948">
        <v>2014</v>
      </c>
      <c r="B948" s="5" t="s">
        <v>536</v>
      </c>
      <c r="C948" s="5" t="s">
        <v>720</v>
      </c>
      <c r="D948" s="25" t="s">
        <v>193</v>
      </c>
      <c r="E948" s="64" t="s">
        <v>198</v>
      </c>
      <c r="F948" s="28">
        <v>928</v>
      </c>
      <c r="G948" s="28">
        <v>473</v>
      </c>
      <c r="H948" s="12">
        <v>455</v>
      </c>
      <c r="J948" s="2"/>
      <c r="K948" s="2"/>
      <c r="L948" s="2"/>
      <c r="M948" s="2"/>
      <c r="N948" s="2"/>
      <c r="O948" s="2"/>
      <c r="P948" s="2"/>
    </row>
    <row r="949" spans="1:16" x14ac:dyDescent="0.4">
      <c r="A949">
        <v>2014</v>
      </c>
      <c r="B949" s="5" t="s">
        <v>537</v>
      </c>
      <c r="C949" s="5" t="s">
        <v>720</v>
      </c>
      <c r="D949" s="25" t="s">
        <v>193</v>
      </c>
      <c r="E949" s="64" t="s">
        <v>199</v>
      </c>
      <c r="F949" s="28">
        <v>628</v>
      </c>
      <c r="G949" s="28">
        <v>428</v>
      </c>
      <c r="H949" s="12">
        <v>200</v>
      </c>
      <c r="J949" s="2"/>
      <c r="K949" s="2"/>
      <c r="L949" s="2"/>
      <c r="M949" s="2"/>
      <c r="N949" s="2"/>
      <c r="O949" s="2"/>
      <c r="P949" s="2"/>
    </row>
    <row r="950" spans="1:16" x14ac:dyDescent="0.4">
      <c r="A950">
        <v>2014</v>
      </c>
      <c r="B950" s="5" t="s">
        <v>538</v>
      </c>
      <c r="C950" s="5" t="s">
        <v>720</v>
      </c>
      <c r="D950" s="25" t="s">
        <v>193</v>
      </c>
      <c r="E950" s="64" t="s">
        <v>200</v>
      </c>
      <c r="F950" s="28">
        <v>198</v>
      </c>
      <c r="G950" s="28">
        <v>104</v>
      </c>
      <c r="H950" s="12">
        <v>94</v>
      </c>
      <c r="J950" s="2"/>
      <c r="K950" s="2"/>
      <c r="L950" s="2"/>
      <c r="M950" s="2"/>
      <c r="N950" s="2"/>
      <c r="O950" s="2"/>
      <c r="P950" s="2"/>
    </row>
    <row r="951" spans="1:16" x14ac:dyDescent="0.4">
      <c r="A951">
        <v>2014</v>
      </c>
      <c r="B951" s="5" t="s">
        <v>539</v>
      </c>
      <c r="C951" s="5" t="s">
        <v>720</v>
      </c>
      <c r="D951" s="25" t="s">
        <v>193</v>
      </c>
      <c r="E951" s="64" t="s">
        <v>201</v>
      </c>
      <c r="F951" s="28">
        <v>1657</v>
      </c>
      <c r="G951" s="28">
        <v>1044</v>
      </c>
      <c r="H951" s="12">
        <v>613</v>
      </c>
      <c r="J951" s="2"/>
      <c r="K951" s="2"/>
      <c r="L951" s="2"/>
      <c r="M951" s="2"/>
      <c r="N951" s="2"/>
      <c r="O951" s="2"/>
      <c r="P951" s="2"/>
    </row>
    <row r="952" spans="1:16" x14ac:dyDescent="0.4">
      <c r="A952">
        <v>2014</v>
      </c>
      <c r="B952" s="5" t="s">
        <v>540</v>
      </c>
      <c r="C952" s="5" t="s">
        <v>720</v>
      </c>
      <c r="D952" s="25" t="s">
        <v>193</v>
      </c>
      <c r="E952" s="64" t="s">
        <v>14</v>
      </c>
      <c r="F952" s="28">
        <v>698</v>
      </c>
      <c r="G952" s="28">
        <v>458</v>
      </c>
      <c r="H952" s="12">
        <v>240</v>
      </c>
      <c r="J952" s="2"/>
      <c r="K952" s="2"/>
      <c r="L952" s="2"/>
      <c r="M952" s="2"/>
      <c r="N952" s="2"/>
      <c r="O952" s="2"/>
      <c r="P952" s="2"/>
    </row>
    <row r="953" spans="1:16" x14ac:dyDescent="0.4">
      <c r="A953">
        <v>2014</v>
      </c>
      <c r="B953" s="5" t="s">
        <v>541</v>
      </c>
      <c r="C953" s="5" t="s">
        <v>720</v>
      </c>
      <c r="D953" s="25" t="s">
        <v>193</v>
      </c>
      <c r="E953" s="64" t="s">
        <v>202</v>
      </c>
      <c r="F953" s="28">
        <v>865</v>
      </c>
      <c r="G953" s="28">
        <v>615</v>
      </c>
      <c r="H953" s="12">
        <v>250</v>
      </c>
      <c r="J953" s="2"/>
      <c r="K953" s="2"/>
      <c r="L953" s="2"/>
      <c r="M953" s="2"/>
      <c r="N953" s="2"/>
      <c r="O953" s="2"/>
      <c r="P953" s="2"/>
    </row>
    <row r="954" spans="1:16" x14ac:dyDescent="0.4">
      <c r="A954">
        <v>2014</v>
      </c>
      <c r="B954" s="5" t="s">
        <v>542</v>
      </c>
      <c r="C954" s="5" t="s">
        <v>720</v>
      </c>
      <c r="D954" s="25" t="s">
        <v>193</v>
      </c>
      <c r="E954" s="64" t="s">
        <v>203</v>
      </c>
      <c r="F954" s="28">
        <v>224</v>
      </c>
      <c r="G954" s="28">
        <v>126</v>
      </c>
      <c r="H954" s="12">
        <v>98</v>
      </c>
      <c r="J954" s="2"/>
      <c r="K954" s="2"/>
      <c r="L954" s="2"/>
      <c r="M954" s="2"/>
      <c r="N954" s="2"/>
      <c r="O954" s="2"/>
      <c r="P954" s="2"/>
    </row>
    <row r="955" spans="1:16" x14ac:dyDescent="0.4">
      <c r="A955">
        <v>2014</v>
      </c>
      <c r="B955" s="5" t="s">
        <v>543</v>
      </c>
      <c r="C955" s="5" t="s">
        <v>720</v>
      </c>
      <c r="D955" s="25" t="s">
        <v>193</v>
      </c>
      <c r="E955" s="64" t="s">
        <v>32</v>
      </c>
      <c r="F955" s="28">
        <v>205</v>
      </c>
      <c r="G955" s="28">
        <v>132</v>
      </c>
      <c r="H955" s="12">
        <v>73</v>
      </c>
      <c r="J955" s="2"/>
      <c r="K955" s="2"/>
      <c r="L955" s="2"/>
      <c r="M955" s="2"/>
      <c r="N955" s="2"/>
      <c r="O955" s="2"/>
      <c r="P955" s="2"/>
    </row>
    <row r="956" spans="1:16" x14ac:dyDescent="0.4">
      <c r="A956">
        <v>2014</v>
      </c>
      <c r="B956" s="5" t="s">
        <v>544</v>
      </c>
      <c r="C956" s="5" t="s">
        <v>720</v>
      </c>
      <c r="D956" s="25" t="s">
        <v>193</v>
      </c>
      <c r="E956" s="64" t="s">
        <v>204</v>
      </c>
      <c r="F956" s="28">
        <v>438</v>
      </c>
      <c r="G956" s="28">
        <v>298</v>
      </c>
      <c r="H956" s="12">
        <v>140</v>
      </c>
      <c r="J956" s="2"/>
      <c r="K956" s="2"/>
      <c r="L956" s="2"/>
      <c r="M956" s="2"/>
      <c r="N956" s="2"/>
      <c r="O956" s="2"/>
      <c r="P956" s="2"/>
    </row>
    <row r="957" spans="1:16" x14ac:dyDescent="0.4">
      <c r="A957">
        <v>2014</v>
      </c>
      <c r="B957" s="5" t="s">
        <v>545</v>
      </c>
      <c r="C957" s="5" t="s">
        <v>720</v>
      </c>
      <c r="D957" s="25" t="s">
        <v>193</v>
      </c>
      <c r="E957" s="64" t="s">
        <v>205</v>
      </c>
      <c r="F957" s="28">
        <v>65</v>
      </c>
      <c r="G957" s="28">
        <v>48</v>
      </c>
      <c r="H957" s="12">
        <v>17</v>
      </c>
      <c r="J957" s="2"/>
      <c r="K957" s="2"/>
      <c r="L957" s="2"/>
      <c r="M957" s="2"/>
      <c r="N957" s="2"/>
      <c r="O957" s="2"/>
      <c r="P957" s="2"/>
    </row>
    <row r="958" spans="1:16" x14ac:dyDescent="0.4">
      <c r="A958">
        <v>2014</v>
      </c>
      <c r="B958" s="5" t="s">
        <v>546</v>
      </c>
      <c r="C958" s="5" t="s">
        <v>720</v>
      </c>
      <c r="D958" s="25" t="s">
        <v>193</v>
      </c>
      <c r="E958" s="64" t="s">
        <v>206</v>
      </c>
      <c r="F958" s="28">
        <v>792</v>
      </c>
      <c r="G958" s="28">
        <v>542</v>
      </c>
      <c r="H958" s="12">
        <v>250</v>
      </c>
      <c r="J958" s="2"/>
      <c r="K958" s="2"/>
      <c r="L958" s="2"/>
      <c r="M958" s="2"/>
      <c r="N958" s="2"/>
      <c r="O958" s="2"/>
      <c r="P958" s="2"/>
    </row>
    <row r="959" spans="1:16" x14ac:dyDescent="0.4">
      <c r="A959">
        <v>2014</v>
      </c>
      <c r="B959" s="5" t="s">
        <v>547</v>
      </c>
      <c r="C959" s="5" t="s">
        <v>720</v>
      </c>
      <c r="D959" s="25" t="s">
        <v>193</v>
      </c>
      <c r="E959" s="64" t="s">
        <v>25</v>
      </c>
      <c r="F959" s="28">
        <v>159</v>
      </c>
      <c r="G959" s="28">
        <v>116</v>
      </c>
      <c r="H959" s="12">
        <v>43</v>
      </c>
      <c r="J959" s="2"/>
      <c r="K959" s="2"/>
      <c r="L959" s="2"/>
      <c r="M959" s="2"/>
      <c r="N959" s="2"/>
      <c r="O959" s="2"/>
      <c r="P959" s="2"/>
    </row>
    <row r="960" spans="1:16" x14ac:dyDescent="0.4">
      <c r="A960">
        <v>2014</v>
      </c>
      <c r="B960" s="5" t="s">
        <v>548</v>
      </c>
      <c r="C960" s="5" t="s">
        <v>720</v>
      </c>
      <c r="D960" s="25" t="s">
        <v>193</v>
      </c>
      <c r="E960" s="64" t="s">
        <v>51</v>
      </c>
      <c r="F960" s="28">
        <v>4660</v>
      </c>
      <c r="G960" s="28">
        <v>2884</v>
      </c>
      <c r="H960" s="12">
        <v>1776</v>
      </c>
      <c r="J960" s="2"/>
      <c r="K960" s="2"/>
      <c r="L960" s="2"/>
      <c r="M960" s="2"/>
      <c r="N960" s="2"/>
      <c r="O960" s="2"/>
      <c r="P960" s="2"/>
    </row>
    <row r="961" spans="1:16" x14ac:dyDescent="0.4">
      <c r="A961">
        <v>2014</v>
      </c>
      <c r="B961" s="5" t="s">
        <v>549</v>
      </c>
      <c r="C961" s="5" t="s">
        <v>720</v>
      </c>
      <c r="D961" s="25" t="s">
        <v>193</v>
      </c>
      <c r="E961" s="65" t="s">
        <v>53</v>
      </c>
      <c r="F961" s="28">
        <v>615</v>
      </c>
      <c r="G961" s="28">
        <v>396</v>
      </c>
      <c r="H961" s="12">
        <v>219</v>
      </c>
      <c r="J961" s="2"/>
      <c r="K961" s="2"/>
      <c r="L961" s="2"/>
      <c r="M961" s="2"/>
      <c r="N961" s="2"/>
      <c r="O961" s="2"/>
      <c r="P961" s="2"/>
    </row>
    <row r="962" spans="1:16" x14ac:dyDescent="0.4">
      <c r="A962">
        <v>2014</v>
      </c>
      <c r="B962" s="5" t="s">
        <v>550</v>
      </c>
      <c r="C962" s="5" t="s">
        <v>720</v>
      </c>
      <c r="D962" s="25" t="s">
        <v>193</v>
      </c>
      <c r="E962" s="64" t="s">
        <v>54</v>
      </c>
      <c r="F962" s="28">
        <v>863</v>
      </c>
      <c r="G962" s="28">
        <v>529</v>
      </c>
      <c r="H962" s="12">
        <v>334</v>
      </c>
      <c r="J962" s="2"/>
      <c r="K962" s="2"/>
      <c r="L962" s="2"/>
      <c r="M962" s="2"/>
      <c r="N962" s="2"/>
      <c r="O962" s="2"/>
      <c r="P962" s="2"/>
    </row>
    <row r="963" spans="1:16" x14ac:dyDescent="0.4">
      <c r="A963">
        <v>2014</v>
      </c>
      <c r="B963" s="5" t="s">
        <v>551</v>
      </c>
      <c r="C963" s="5" t="s">
        <v>721</v>
      </c>
      <c r="D963" s="25" t="s">
        <v>207</v>
      </c>
      <c r="E963" s="64" t="s">
        <v>128</v>
      </c>
      <c r="F963" s="28">
        <v>62</v>
      </c>
      <c r="G963" s="28">
        <v>35</v>
      </c>
      <c r="H963" s="12">
        <v>27</v>
      </c>
      <c r="J963" s="2"/>
      <c r="K963" s="2"/>
      <c r="L963" s="2"/>
      <c r="M963" s="2"/>
      <c r="N963" s="2"/>
      <c r="O963" s="2"/>
      <c r="P963" s="2"/>
    </row>
    <row r="964" spans="1:16" x14ac:dyDescent="0.4">
      <c r="A964">
        <v>2014</v>
      </c>
      <c r="B964" s="5" t="s">
        <v>552</v>
      </c>
      <c r="C964" s="5" t="s">
        <v>721</v>
      </c>
      <c r="D964" s="25" t="s">
        <v>207</v>
      </c>
      <c r="E964" s="64" t="s">
        <v>208</v>
      </c>
      <c r="F964" s="28">
        <v>36</v>
      </c>
      <c r="G964" s="28">
        <v>27</v>
      </c>
      <c r="H964" s="12">
        <v>9</v>
      </c>
      <c r="J964" s="2"/>
      <c r="K964" s="2"/>
      <c r="L964" s="2"/>
      <c r="M964" s="2"/>
      <c r="N964" s="2"/>
      <c r="O964" s="2"/>
      <c r="P964" s="2"/>
    </row>
    <row r="965" spans="1:16" x14ac:dyDescent="0.4">
      <c r="A965">
        <v>2014</v>
      </c>
      <c r="B965" s="5" t="s">
        <v>553</v>
      </c>
      <c r="C965" s="5" t="s">
        <v>721</v>
      </c>
      <c r="D965" s="25" t="s">
        <v>207</v>
      </c>
      <c r="E965" s="64" t="s">
        <v>36</v>
      </c>
      <c r="F965" s="28">
        <v>168</v>
      </c>
      <c r="G965" s="28">
        <v>97</v>
      </c>
      <c r="H965" s="12">
        <v>71</v>
      </c>
      <c r="J965" s="2"/>
      <c r="K965" s="2"/>
      <c r="L965" s="2"/>
      <c r="M965" s="2"/>
      <c r="N965" s="2"/>
      <c r="O965" s="2"/>
      <c r="P965" s="2"/>
    </row>
    <row r="966" spans="1:16" x14ac:dyDescent="0.4">
      <c r="A966">
        <v>2014</v>
      </c>
      <c r="B966" s="5" t="s">
        <v>554</v>
      </c>
      <c r="C966" s="5" t="s">
        <v>721</v>
      </c>
      <c r="D966" s="25" t="s">
        <v>207</v>
      </c>
      <c r="E966" s="64" t="s">
        <v>209</v>
      </c>
      <c r="F966" s="28">
        <v>104</v>
      </c>
      <c r="G966" s="28">
        <v>60</v>
      </c>
      <c r="H966" s="12">
        <v>44</v>
      </c>
      <c r="J966" s="2"/>
      <c r="K966" s="2"/>
      <c r="L966" s="2"/>
      <c r="M966" s="2"/>
      <c r="N966" s="2"/>
      <c r="O966" s="2"/>
      <c r="P966" s="2"/>
    </row>
    <row r="967" spans="1:16" x14ac:dyDescent="0.4">
      <c r="A967">
        <v>2014</v>
      </c>
      <c r="B967" s="5" t="s">
        <v>555</v>
      </c>
      <c r="C967" s="5" t="s">
        <v>721</v>
      </c>
      <c r="D967" s="25" t="s">
        <v>207</v>
      </c>
      <c r="E967" s="64" t="s">
        <v>69</v>
      </c>
      <c r="F967" s="28">
        <v>98</v>
      </c>
      <c r="G967" s="28">
        <v>74</v>
      </c>
      <c r="H967" s="12">
        <v>24</v>
      </c>
      <c r="J967" s="2"/>
      <c r="K967" s="2"/>
      <c r="L967" s="2"/>
      <c r="M967" s="2"/>
      <c r="N967" s="2"/>
      <c r="O967" s="2"/>
      <c r="P967" s="2"/>
    </row>
    <row r="968" spans="1:16" x14ac:dyDescent="0.4">
      <c r="A968">
        <v>2014</v>
      </c>
      <c r="B968" s="5" t="s">
        <v>556</v>
      </c>
      <c r="C968" s="5" t="s">
        <v>721</v>
      </c>
      <c r="D968" s="25" t="s">
        <v>207</v>
      </c>
      <c r="E968" s="64" t="s">
        <v>62</v>
      </c>
      <c r="F968" s="28">
        <v>231</v>
      </c>
      <c r="G968" s="28">
        <v>158</v>
      </c>
      <c r="H968" s="12">
        <v>73</v>
      </c>
      <c r="J968" s="2"/>
      <c r="K968" s="2"/>
      <c r="L968" s="2"/>
      <c r="M968" s="2"/>
      <c r="N968" s="2"/>
      <c r="O968" s="2"/>
      <c r="P968" s="2"/>
    </row>
    <row r="969" spans="1:16" x14ac:dyDescent="0.4">
      <c r="A969">
        <v>2014</v>
      </c>
      <c r="B969" s="5" t="s">
        <v>557</v>
      </c>
      <c r="C969" s="5" t="s">
        <v>721</v>
      </c>
      <c r="D969" s="25" t="s">
        <v>207</v>
      </c>
      <c r="E969" s="64" t="s">
        <v>44</v>
      </c>
      <c r="F969" s="28">
        <v>57</v>
      </c>
      <c r="G969" s="28">
        <v>44</v>
      </c>
      <c r="H969" s="12">
        <v>13</v>
      </c>
      <c r="J969" s="2"/>
      <c r="K969" s="2"/>
      <c r="L969" s="2"/>
      <c r="M969" s="2"/>
      <c r="N969" s="2"/>
      <c r="O969" s="2"/>
      <c r="P969" s="2"/>
    </row>
    <row r="970" spans="1:16" x14ac:dyDescent="0.4">
      <c r="A970">
        <v>2014</v>
      </c>
      <c r="B970" s="5" t="s">
        <v>558</v>
      </c>
      <c r="C970" s="5" t="s">
        <v>721</v>
      </c>
      <c r="D970" s="25" t="s">
        <v>207</v>
      </c>
      <c r="E970" s="64" t="s">
        <v>210</v>
      </c>
      <c r="F970" s="28">
        <v>3796</v>
      </c>
      <c r="G970" s="28">
        <v>2342</v>
      </c>
      <c r="H970" s="12">
        <v>1454</v>
      </c>
      <c r="J970" s="2"/>
      <c r="K970" s="2"/>
      <c r="L970" s="2"/>
      <c r="M970" s="2"/>
      <c r="N970" s="2"/>
      <c r="O970" s="2"/>
      <c r="P970" s="2"/>
    </row>
    <row r="971" spans="1:16" x14ac:dyDescent="0.4">
      <c r="A971">
        <v>2014</v>
      </c>
      <c r="B971" s="5" t="s">
        <v>559</v>
      </c>
      <c r="C971" s="5" t="s">
        <v>721</v>
      </c>
      <c r="D971" s="25" t="s">
        <v>207</v>
      </c>
      <c r="E971" s="64" t="s">
        <v>74</v>
      </c>
      <c r="F971" s="28">
        <v>149</v>
      </c>
      <c r="G971" s="28">
        <v>99</v>
      </c>
      <c r="H971" s="12">
        <v>50</v>
      </c>
      <c r="J971" s="2"/>
      <c r="K971" s="2"/>
      <c r="L971" s="2"/>
      <c r="M971" s="2"/>
      <c r="N971" s="2"/>
      <c r="O971" s="2"/>
      <c r="P971" s="2"/>
    </row>
    <row r="972" spans="1:16" x14ac:dyDescent="0.4">
      <c r="A972">
        <v>2014</v>
      </c>
      <c r="B972" s="5" t="s">
        <v>560</v>
      </c>
      <c r="C972" s="5" t="s">
        <v>721</v>
      </c>
      <c r="D972" s="25" t="s">
        <v>207</v>
      </c>
      <c r="E972" s="64" t="s">
        <v>211</v>
      </c>
      <c r="F972" s="28">
        <v>82</v>
      </c>
      <c r="G972" s="28">
        <v>48</v>
      </c>
      <c r="H972" s="12">
        <v>34</v>
      </c>
      <c r="J972" s="2"/>
      <c r="K972" s="2"/>
      <c r="L972" s="2"/>
      <c r="M972" s="2"/>
      <c r="N972" s="2"/>
      <c r="O972" s="2"/>
      <c r="P972" s="2"/>
    </row>
    <row r="973" spans="1:16" x14ac:dyDescent="0.4">
      <c r="A973">
        <v>2014</v>
      </c>
      <c r="B973" s="5" t="s">
        <v>561</v>
      </c>
      <c r="C973" s="5" t="s">
        <v>721</v>
      </c>
      <c r="D973" s="25" t="s">
        <v>207</v>
      </c>
      <c r="E973" s="64" t="s">
        <v>212</v>
      </c>
      <c r="F973" s="28">
        <v>22</v>
      </c>
      <c r="G973" s="28">
        <v>15</v>
      </c>
      <c r="H973" s="12">
        <v>7</v>
      </c>
      <c r="J973" s="2"/>
      <c r="K973" s="2"/>
      <c r="L973" s="2"/>
      <c r="M973" s="2"/>
      <c r="N973" s="2"/>
      <c r="O973" s="2"/>
      <c r="P973" s="2"/>
    </row>
    <row r="974" spans="1:16" x14ac:dyDescent="0.4">
      <c r="A974">
        <v>2014</v>
      </c>
      <c r="B974" s="5" t="s">
        <v>562</v>
      </c>
      <c r="C974" s="5" t="s">
        <v>721</v>
      </c>
      <c r="D974" s="25" t="s">
        <v>207</v>
      </c>
      <c r="E974" s="64" t="s">
        <v>213</v>
      </c>
      <c r="F974" s="28">
        <v>65</v>
      </c>
      <c r="G974" s="28">
        <v>46</v>
      </c>
      <c r="H974" s="12">
        <v>19</v>
      </c>
      <c r="J974" s="2"/>
      <c r="K974" s="2"/>
      <c r="L974" s="2"/>
      <c r="M974" s="2"/>
      <c r="N974" s="2"/>
      <c r="O974" s="2"/>
      <c r="P974" s="2"/>
    </row>
    <row r="975" spans="1:16" x14ac:dyDescent="0.4">
      <c r="A975">
        <v>2014</v>
      </c>
      <c r="B975" s="5" t="s">
        <v>563</v>
      </c>
      <c r="C975" s="5" t="s">
        <v>721</v>
      </c>
      <c r="D975" s="25" t="s">
        <v>207</v>
      </c>
      <c r="E975" s="64" t="s">
        <v>214</v>
      </c>
      <c r="F975" s="28">
        <v>23</v>
      </c>
      <c r="G975" s="28">
        <v>14</v>
      </c>
      <c r="H975" s="12">
        <v>9</v>
      </c>
      <c r="J975" s="2"/>
      <c r="K975" s="2"/>
      <c r="L975" s="2"/>
      <c r="M975" s="2"/>
      <c r="N975" s="2"/>
      <c r="O975" s="2"/>
      <c r="P975" s="2"/>
    </row>
    <row r="976" spans="1:16" x14ac:dyDescent="0.4">
      <c r="A976">
        <v>2014</v>
      </c>
      <c r="B976" s="5" t="s">
        <v>564</v>
      </c>
      <c r="C976" s="5" t="s">
        <v>722</v>
      </c>
      <c r="D976" s="25" t="s">
        <v>216</v>
      </c>
      <c r="E976" s="64" t="s">
        <v>215</v>
      </c>
      <c r="F976" s="28">
        <v>100</v>
      </c>
      <c r="G976" s="28">
        <v>59</v>
      </c>
      <c r="H976" s="12">
        <v>41</v>
      </c>
      <c r="J976" s="2"/>
      <c r="K976" s="2"/>
      <c r="L976" s="2"/>
      <c r="M976" s="2"/>
      <c r="N976" s="2"/>
      <c r="O976" s="2"/>
      <c r="P976" s="2"/>
    </row>
    <row r="977" spans="1:16" x14ac:dyDescent="0.4">
      <c r="A977">
        <v>2014</v>
      </c>
      <c r="B977" s="5" t="s">
        <v>565</v>
      </c>
      <c r="C977" s="5" t="s">
        <v>722</v>
      </c>
      <c r="D977" s="25" t="s">
        <v>216</v>
      </c>
      <c r="E977" s="64" t="s">
        <v>59</v>
      </c>
      <c r="F977" s="28">
        <v>129</v>
      </c>
      <c r="G977" s="28">
        <v>82</v>
      </c>
      <c r="H977" s="12">
        <v>47</v>
      </c>
      <c r="J977" s="2"/>
      <c r="K977" s="2"/>
      <c r="L977" s="2"/>
      <c r="M977" s="2"/>
      <c r="N977" s="2"/>
      <c r="O977" s="2"/>
      <c r="P977" s="2"/>
    </row>
    <row r="978" spans="1:16" x14ac:dyDescent="0.4">
      <c r="A978">
        <v>2014</v>
      </c>
      <c r="B978" s="5" t="s">
        <v>566</v>
      </c>
      <c r="C978" s="5" t="s">
        <v>722</v>
      </c>
      <c r="D978" s="25" t="s">
        <v>216</v>
      </c>
      <c r="E978" s="64" t="s">
        <v>217</v>
      </c>
      <c r="F978" s="28">
        <v>135</v>
      </c>
      <c r="G978" s="28">
        <v>85</v>
      </c>
      <c r="H978" s="12">
        <v>50</v>
      </c>
      <c r="J978" s="2"/>
      <c r="K978" s="2"/>
      <c r="L978" s="2"/>
      <c r="M978" s="2"/>
      <c r="N978" s="2"/>
      <c r="O978" s="2"/>
      <c r="P978" s="2"/>
    </row>
    <row r="979" spans="1:16" x14ac:dyDescent="0.4">
      <c r="A979">
        <v>2014</v>
      </c>
      <c r="B979" s="5" t="s">
        <v>567</v>
      </c>
      <c r="C979" s="5" t="s">
        <v>722</v>
      </c>
      <c r="D979" s="25" t="s">
        <v>216</v>
      </c>
      <c r="E979" s="64" t="s">
        <v>218</v>
      </c>
      <c r="F979" s="28">
        <v>275</v>
      </c>
      <c r="G979" s="28">
        <v>175</v>
      </c>
      <c r="H979" s="12">
        <v>100</v>
      </c>
      <c r="J979" s="2"/>
      <c r="K979" s="2"/>
      <c r="L979" s="2"/>
      <c r="M979" s="2"/>
      <c r="N979" s="2"/>
      <c r="O979" s="2"/>
      <c r="P979" s="2"/>
    </row>
    <row r="980" spans="1:16" x14ac:dyDescent="0.4">
      <c r="A980">
        <v>2014</v>
      </c>
      <c r="B980" s="5" t="s">
        <v>568</v>
      </c>
      <c r="C980" s="5" t="s">
        <v>722</v>
      </c>
      <c r="D980" s="25" t="s">
        <v>216</v>
      </c>
      <c r="E980" s="64" t="s">
        <v>219</v>
      </c>
      <c r="F980" s="28">
        <v>108</v>
      </c>
      <c r="G980" s="28">
        <v>62</v>
      </c>
      <c r="H980" s="12">
        <v>46</v>
      </c>
      <c r="J980" s="2"/>
      <c r="K980" s="2"/>
      <c r="L980" s="2"/>
      <c r="M980" s="2"/>
      <c r="N980" s="2"/>
      <c r="O980" s="2"/>
      <c r="P980" s="2"/>
    </row>
    <row r="981" spans="1:16" x14ac:dyDescent="0.4">
      <c r="A981">
        <v>2014</v>
      </c>
      <c r="B981" s="5" t="s">
        <v>569</v>
      </c>
      <c r="C981" s="5" t="s">
        <v>722</v>
      </c>
      <c r="D981" s="25" t="s">
        <v>216</v>
      </c>
      <c r="E981" s="64" t="s">
        <v>220</v>
      </c>
      <c r="F981" s="28">
        <v>201</v>
      </c>
      <c r="G981" s="28">
        <v>116</v>
      </c>
      <c r="H981" s="12">
        <v>85</v>
      </c>
      <c r="J981" s="2"/>
      <c r="K981" s="2"/>
      <c r="L981" s="2"/>
      <c r="M981" s="2"/>
      <c r="N981" s="2"/>
      <c r="O981" s="2"/>
      <c r="P981" s="2"/>
    </row>
    <row r="982" spans="1:16" x14ac:dyDescent="0.4">
      <c r="A982">
        <v>2014</v>
      </c>
      <c r="B982" s="5" t="s">
        <v>570</v>
      </c>
      <c r="C982" s="5" t="s">
        <v>722</v>
      </c>
      <c r="D982" s="25" t="s">
        <v>216</v>
      </c>
      <c r="E982" s="64" t="s">
        <v>221</v>
      </c>
      <c r="F982" s="28">
        <v>223</v>
      </c>
      <c r="G982" s="28">
        <v>133</v>
      </c>
      <c r="H982" s="12">
        <v>90</v>
      </c>
      <c r="J982" s="2"/>
      <c r="K982" s="2"/>
      <c r="L982" s="2"/>
      <c r="M982" s="2"/>
      <c r="N982" s="2"/>
      <c r="O982" s="2"/>
      <c r="P982" s="2"/>
    </row>
    <row r="983" spans="1:16" x14ac:dyDescent="0.4">
      <c r="A983">
        <v>2014</v>
      </c>
      <c r="B983" s="5" t="s">
        <v>571</v>
      </c>
      <c r="C983" s="5" t="s">
        <v>722</v>
      </c>
      <c r="D983" s="25" t="s">
        <v>216</v>
      </c>
      <c r="E983" s="64" t="s">
        <v>222</v>
      </c>
      <c r="F983" s="28">
        <v>1205</v>
      </c>
      <c r="G983" s="28">
        <v>748</v>
      </c>
      <c r="H983" s="12">
        <v>457</v>
      </c>
      <c r="J983" s="2"/>
      <c r="K983" s="2"/>
      <c r="L983" s="2"/>
      <c r="M983" s="2"/>
      <c r="N983" s="2"/>
      <c r="O983" s="2"/>
      <c r="P983" s="2"/>
    </row>
    <row r="984" spans="1:16" x14ac:dyDescent="0.4">
      <c r="A984">
        <v>2014</v>
      </c>
      <c r="B984" s="5" t="s">
        <v>572</v>
      </c>
      <c r="C984" s="5" t="s">
        <v>722</v>
      </c>
      <c r="D984" s="25" t="s">
        <v>216</v>
      </c>
      <c r="E984" s="64" t="s">
        <v>223</v>
      </c>
      <c r="F984" s="28">
        <v>87</v>
      </c>
      <c r="G984" s="28">
        <v>56</v>
      </c>
      <c r="H984" s="12">
        <v>31</v>
      </c>
      <c r="J984" s="2"/>
      <c r="K984" s="2"/>
      <c r="L984" s="2"/>
      <c r="M984" s="2"/>
      <c r="N984" s="2"/>
      <c r="O984" s="2"/>
      <c r="P984" s="2"/>
    </row>
    <row r="985" spans="1:16" x14ac:dyDescent="0.4">
      <c r="A985">
        <v>2014</v>
      </c>
      <c r="B985" s="5" t="s">
        <v>573</v>
      </c>
      <c r="C985" s="5" t="s">
        <v>722</v>
      </c>
      <c r="D985" s="25" t="s">
        <v>216</v>
      </c>
      <c r="E985" s="64" t="s">
        <v>224</v>
      </c>
      <c r="F985" s="28">
        <v>117</v>
      </c>
      <c r="G985" s="28">
        <v>76</v>
      </c>
      <c r="H985" s="12">
        <v>41</v>
      </c>
      <c r="J985" s="2"/>
      <c r="K985" s="2"/>
      <c r="L985" s="2"/>
      <c r="M985" s="2"/>
      <c r="N985" s="2"/>
      <c r="O985" s="2"/>
      <c r="P985" s="2"/>
    </row>
    <row r="986" spans="1:16" x14ac:dyDescent="0.4">
      <c r="A986">
        <v>2014</v>
      </c>
      <c r="B986" s="5" t="s">
        <v>574</v>
      </c>
      <c r="C986" s="5" t="s">
        <v>722</v>
      </c>
      <c r="D986" s="25" t="s">
        <v>216</v>
      </c>
      <c r="E986" s="64" t="s">
        <v>225</v>
      </c>
      <c r="F986" s="28">
        <v>39</v>
      </c>
      <c r="G986" s="28">
        <v>25</v>
      </c>
      <c r="H986" s="12">
        <v>14</v>
      </c>
      <c r="J986" s="2"/>
      <c r="K986" s="2"/>
      <c r="L986" s="2"/>
      <c r="M986" s="2"/>
      <c r="N986" s="2"/>
      <c r="O986" s="2"/>
      <c r="P986" s="2"/>
    </row>
    <row r="987" spans="1:16" x14ac:dyDescent="0.4">
      <c r="A987">
        <v>2014</v>
      </c>
      <c r="B987" s="5" t="s">
        <v>575</v>
      </c>
      <c r="C987" s="5" t="s">
        <v>723</v>
      </c>
      <c r="D987" s="25" t="s">
        <v>227</v>
      </c>
      <c r="E987" s="64" t="s">
        <v>226</v>
      </c>
      <c r="F987" s="28">
        <v>86</v>
      </c>
      <c r="G987" s="28">
        <v>54</v>
      </c>
      <c r="H987" s="12">
        <v>32</v>
      </c>
      <c r="J987" s="2"/>
      <c r="K987" s="2"/>
      <c r="L987" s="2"/>
      <c r="M987" s="2"/>
      <c r="N987" s="2"/>
      <c r="O987" s="2"/>
      <c r="P987" s="2"/>
    </row>
    <row r="988" spans="1:16" x14ac:dyDescent="0.4">
      <c r="A988">
        <v>2014</v>
      </c>
      <c r="B988" s="5" t="s">
        <v>576</v>
      </c>
      <c r="C988" s="5" t="s">
        <v>723</v>
      </c>
      <c r="D988" s="25" t="s">
        <v>227</v>
      </c>
      <c r="E988" s="64" t="s">
        <v>228</v>
      </c>
      <c r="F988" s="28">
        <v>1513</v>
      </c>
      <c r="G988" s="28">
        <v>926</v>
      </c>
      <c r="H988" s="12">
        <v>587</v>
      </c>
      <c r="J988" s="2"/>
      <c r="K988" s="2"/>
      <c r="L988" s="2"/>
      <c r="M988" s="2"/>
      <c r="N988" s="2"/>
      <c r="O988" s="2"/>
      <c r="P988" s="2"/>
    </row>
    <row r="989" spans="1:16" x14ac:dyDescent="0.4">
      <c r="A989">
        <v>2014</v>
      </c>
      <c r="B989" s="5" t="s">
        <v>577</v>
      </c>
      <c r="C989" s="5" t="s">
        <v>723</v>
      </c>
      <c r="D989" s="25" t="s">
        <v>227</v>
      </c>
      <c r="E989" s="64" t="s">
        <v>229</v>
      </c>
      <c r="F989" s="28">
        <v>171</v>
      </c>
      <c r="G989" s="28">
        <v>110</v>
      </c>
      <c r="H989" s="12">
        <v>61</v>
      </c>
      <c r="J989" s="2"/>
      <c r="K989" s="2"/>
      <c r="L989" s="2"/>
      <c r="M989" s="2"/>
      <c r="N989" s="2"/>
      <c r="O989" s="2"/>
      <c r="P989" s="2"/>
    </row>
    <row r="990" spans="1:16" x14ac:dyDescent="0.4">
      <c r="A990">
        <v>2014</v>
      </c>
      <c r="B990" s="5" t="s">
        <v>578</v>
      </c>
      <c r="C990" s="5" t="s">
        <v>723</v>
      </c>
      <c r="D990" s="25" t="s">
        <v>227</v>
      </c>
      <c r="E990" s="64" t="s">
        <v>230</v>
      </c>
      <c r="F990" s="28">
        <v>1139</v>
      </c>
      <c r="G990" s="28">
        <v>690</v>
      </c>
      <c r="H990" s="12">
        <v>449</v>
      </c>
      <c r="J990" s="2"/>
      <c r="K990" s="2"/>
      <c r="L990" s="2"/>
      <c r="M990" s="2"/>
      <c r="N990" s="2"/>
      <c r="O990" s="2"/>
      <c r="P990" s="2"/>
    </row>
    <row r="991" spans="1:16" x14ac:dyDescent="0.4">
      <c r="A991">
        <v>2014</v>
      </c>
      <c r="B991" s="5" t="s">
        <v>579</v>
      </c>
      <c r="C991" s="5" t="s">
        <v>723</v>
      </c>
      <c r="D991" s="25" t="s">
        <v>227</v>
      </c>
      <c r="E991" s="64" t="s">
        <v>231</v>
      </c>
      <c r="F991" s="28">
        <v>103</v>
      </c>
      <c r="G991" s="28">
        <v>78</v>
      </c>
      <c r="H991" s="12">
        <v>25</v>
      </c>
      <c r="J991" s="2"/>
      <c r="K991" s="2"/>
      <c r="L991" s="2"/>
      <c r="M991" s="2"/>
      <c r="N991" s="2"/>
      <c r="O991" s="2"/>
      <c r="P991" s="2"/>
    </row>
    <row r="992" spans="1:16" ht="23.15" x14ac:dyDescent="0.4">
      <c r="A992">
        <v>2014</v>
      </c>
      <c r="B992" s="5" t="s">
        <v>580</v>
      </c>
      <c r="C992" s="5" t="s">
        <v>723</v>
      </c>
      <c r="D992" s="25" t="s">
        <v>227</v>
      </c>
      <c r="E992" s="64" t="s">
        <v>232</v>
      </c>
      <c r="F992" s="28">
        <v>76</v>
      </c>
      <c r="G992" s="28">
        <v>55</v>
      </c>
      <c r="H992" s="12">
        <v>21</v>
      </c>
      <c r="J992" s="2"/>
      <c r="K992" s="2"/>
      <c r="L992" s="2"/>
      <c r="M992" s="2"/>
      <c r="N992" s="2"/>
      <c r="O992" s="2"/>
      <c r="P992" s="2"/>
    </row>
    <row r="993" spans="1:16" x14ac:dyDescent="0.4">
      <c r="A993">
        <v>2014</v>
      </c>
      <c r="B993" s="5" t="s">
        <v>581</v>
      </c>
      <c r="C993" s="5" t="s">
        <v>723</v>
      </c>
      <c r="D993" s="25" t="s">
        <v>227</v>
      </c>
      <c r="E993" s="64" t="s">
        <v>233</v>
      </c>
      <c r="F993" s="28">
        <v>160</v>
      </c>
      <c r="G993" s="28">
        <v>107</v>
      </c>
      <c r="H993" s="12">
        <v>53</v>
      </c>
      <c r="J993" s="2"/>
      <c r="K993" s="2"/>
      <c r="L993" s="2"/>
      <c r="M993" s="2"/>
      <c r="N993" s="2"/>
      <c r="O993" s="2"/>
      <c r="P993" s="2"/>
    </row>
    <row r="994" spans="1:16" x14ac:dyDescent="0.4">
      <c r="A994">
        <v>2014</v>
      </c>
      <c r="B994" s="5" t="s">
        <v>582</v>
      </c>
      <c r="C994" s="5" t="s">
        <v>723</v>
      </c>
      <c r="D994" s="25" t="s">
        <v>227</v>
      </c>
      <c r="E994" s="64" t="s">
        <v>32</v>
      </c>
      <c r="F994" s="28">
        <v>604</v>
      </c>
      <c r="G994" s="28">
        <v>379</v>
      </c>
      <c r="H994" s="12">
        <v>225</v>
      </c>
      <c r="J994" s="2"/>
      <c r="K994" s="2"/>
      <c r="L994" s="2"/>
      <c r="M994" s="2"/>
      <c r="N994" s="2"/>
      <c r="O994" s="2"/>
      <c r="P994" s="2"/>
    </row>
    <row r="995" spans="1:16" x14ac:dyDescent="0.4">
      <c r="A995">
        <v>2014</v>
      </c>
      <c r="B995" s="5" t="s">
        <v>583</v>
      </c>
      <c r="C995" s="5" t="s">
        <v>723</v>
      </c>
      <c r="D995" s="25" t="s">
        <v>227</v>
      </c>
      <c r="E995" s="64" t="s">
        <v>234</v>
      </c>
      <c r="F995" s="28">
        <v>18</v>
      </c>
      <c r="G995" s="28">
        <v>12</v>
      </c>
      <c r="H995" s="12">
        <v>6</v>
      </c>
      <c r="J995" s="2"/>
      <c r="K995" s="2"/>
      <c r="L995" s="2"/>
      <c r="M995" s="2"/>
      <c r="N995" s="2"/>
      <c r="O995" s="2"/>
      <c r="P995" s="2"/>
    </row>
    <row r="996" spans="1:16" x14ac:dyDescent="0.4">
      <c r="A996">
        <v>2014</v>
      </c>
      <c r="B996" s="5" t="s">
        <v>584</v>
      </c>
      <c r="C996" s="5" t="s">
        <v>723</v>
      </c>
      <c r="D996" s="25" t="s">
        <v>227</v>
      </c>
      <c r="E996" s="64" t="s">
        <v>235</v>
      </c>
      <c r="F996" s="28">
        <v>86</v>
      </c>
      <c r="G996" s="28">
        <v>62</v>
      </c>
      <c r="H996" s="12">
        <v>24</v>
      </c>
      <c r="J996" s="2"/>
      <c r="K996" s="2"/>
      <c r="L996" s="2"/>
      <c r="M996" s="2"/>
      <c r="N996" s="2"/>
      <c r="O996" s="2"/>
      <c r="P996" s="2"/>
    </row>
    <row r="997" spans="1:16" x14ac:dyDescent="0.4">
      <c r="A997">
        <v>2014</v>
      </c>
      <c r="B997" s="5" t="s">
        <v>585</v>
      </c>
      <c r="C997" s="5" t="s">
        <v>723</v>
      </c>
      <c r="D997" s="25" t="s">
        <v>227</v>
      </c>
      <c r="E997" s="64" t="s">
        <v>236</v>
      </c>
      <c r="F997" s="28">
        <v>43</v>
      </c>
      <c r="G997" s="28">
        <v>31</v>
      </c>
      <c r="H997" s="12">
        <v>12</v>
      </c>
      <c r="J997" s="2"/>
      <c r="K997" s="2"/>
      <c r="L997" s="2"/>
      <c r="M997" s="2"/>
      <c r="N997" s="2"/>
      <c r="O997" s="2"/>
      <c r="P997" s="2"/>
    </row>
    <row r="998" spans="1:16" x14ac:dyDescent="0.4">
      <c r="A998">
        <v>2014</v>
      </c>
      <c r="B998" s="5" t="s">
        <v>586</v>
      </c>
      <c r="C998" s="5" t="s">
        <v>723</v>
      </c>
      <c r="D998" s="25" t="s">
        <v>227</v>
      </c>
      <c r="E998" s="64" t="s">
        <v>237</v>
      </c>
      <c r="F998" s="28">
        <v>59</v>
      </c>
      <c r="G998" s="28">
        <v>39</v>
      </c>
      <c r="H998" s="12">
        <v>20</v>
      </c>
      <c r="J998" s="2"/>
      <c r="K998" s="2"/>
      <c r="L998" s="2"/>
      <c r="M998" s="2"/>
      <c r="N998" s="2"/>
      <c r="O998" s="2"/>
      <c r="P998" s="2"/>
    </row>
    <row r="999" spans="1:16" x14ac:dyDescent="0.4">
      <c r="A999">
        <v>2014</v>
      </c>
      <c r="B999" s="5" t="s">
        <v>587</v>
      </c>
      <c r="C999" s="5" t="s">
        <v>723</v>
      </c>
      <c r="D999" s="25" t="s">
        <v>227</v>
      </c>
      <c r="E999" s="64" t="s">
        <v>51</v>
      </c>
      <c r="F999" s="28">
        <v>131</v>
      </c>
      <c r="G999" s="28">
        <v>71</v>
      </c>
      <c r="H999" s="12">
        <v>60</v>
      </c>
      <c r="J999" s="2"/>
      <c r="K999" s="2"/>
      <c r="L999" s="2"/>
      <c r="M999" s="2"/>
      <c r="N999" s="2"/>
      <c r="O999" s="2"/>
      <c r="P999" s="2"/>
    </row>
    <row r="1000" spans="1:16" x14ac:dyDescent="0.4">
      <c r="A1000">
        <v>2014</v>
      </c>
      <c r="B1000" s="5" t="s">
        <v>588</v>
      </c>
      <c r="C1000" s="5" t="s">
        <v>723</v>
      </c>
      <c r="D1000" s="25" t="s">
        <v>227</v>
      </c>
      <c r="E1000" s="64" t="s">
        <v>238</v>
      </c>
      <c r="F1000" s="28">
        <v>258</v>
      </c>
      <c r="G1000" s="28">
        <v>159</v>
      </c>
      <c r="H1000" s="12">
        <v>99</v>
      </c>
      <c r="J1000" s="2"/>
      <c r="K1000" s="2"/>
      <c r="L1000" s="2"/>
      <c r="M1000" s="2"/>
      <c r="N1000" s="2"/>
      <c r="O1000" s="2"/>
      <c r="P1000" s="2"/>
    </row>
    <row r="1001" spans="1:16" x14ac:dyDescent="0.4">
      <c r="A1001">
        <v>2014</v>
      </c>
      <c r="B1001" s="5" t="s">
        <v>589</v>
      </c>
      <c r="C1001" s="5" t="s">
        <v>724</v>
      </c>
      <c r="D1001" s="25" t="s">
        <v>239</v>
      </c>
      <c r="E1001" s="64" t="s">
        <v>163</v>
      </c>
      <c r="F1001" s="28">
        <v>105</v>
      </c>
      <c r="G1001" s="28">
        <v>56</v>
      </c>
      <c r="H1001" s="12">
        <v>49</v>
      </c>
      <c r="J1001" s="2"/>
      <c r="K1001" s="2"/>
      <c r="L1001" s="2"/>
      <c r="M1001" s="2"/>
      <c r="N1001" s="2"/>
      <c r="O1001" s="2"/>
      <c r="P1001" s="2"/>
    </row>
    <row r="1002" spans="1:16" x14ac:dyDescent="0.4">
      <c r="A1002">
        <v>2014</v>
      </c>
      <c r="B1002" s="5" t="s">
        <v>590</v>
      </c>
      <c r="C1002" s="5" t="s">
        <v>724</v>
      </c>
      <c r="D1002" s="25" t="s">
        <v>239</v>
      </c>
      <c r="E1002" s="64" t="s">
        <v>240</v>
      </c>
      <c r="F1002" s="28">
        <v>75</v>
      </c>
      <c r="G1002" s="28">
        <v>44</v>
      </c>
      <c r="H1002" s="12">
        <v>31</v>
      </c>
      <c r="J1002" s="2"/>
      <c r="K1002" s="2"/>
      <c r="L1002" s="2"/>
      <c r="M1002" s="2"/>
      <c r="N1002" s="2"/>
      <c r="O1002" s="2"/>
      <c r="P1002" s="2"/>
    </row>
    <row r="1003" spans="1:16" x14ac:dyDescent="0.4">
      <c r="A1003">
        <v>2014</v>
      </c>
      <c r="B1003" s="5" t="s">
        <v>591</v>
      </c>
      <c r="C1003" s="5" t="s">
        <v>724</v>
      </c>
      <c r="D1003" s="25" t="s">
        <v>239</v>
      </c>
      <c r="E1003" s="64" t="s">
        <v>59</v>
      </c>
      <c r="F1003" s="28">
        <v>173</v>
      </c>
      <c r="G1003" s="28">
        <v>107</v>
      </c>
      <c r="H1003" s="12">
        <v>66</v>
      </c>
      <c r="J1003" s="2"/>
      <c r="K1003" s="2"/>
      <c r="L1003" s="2"/>
      <c r="M1003" s="2"/>
      <c r="N1003" s="2"/>
      <c r="O1003" s="2"/>
      <c r="P1003" s="2"/>
    </row>
    <row r="1004" spans="1:16" x14ac:dyDescent="0.4">
      <c r="A1004">
        <v>2014</v>
      </c>
      <c r="B1004" s="5" t="s">
        <v>592</v>
      </c>
      <c r="C1004" s="5" t="s">
        <v>724</v>
      </c>
      <c r="D1004" s="25" t="s">
        <v>239</v>
      </c>
      <c r="E1004" s="64" t="s">
        <v>241</v>
      </c>
      <c r="F1004" s="28">
        <v>68</v>
      </c>
      <c r="G1004" s="28">
        <v>38</v>
      </c>
      <c r="H1004" s="12">
        <v>30</v>
      </c>
      <c r="J1004" s="2"/>
      <c r="K1004" s="2"/>
      <c r="L1004" s="2"/>
      <c r="M1004" s="2"/>
      <c r="N1004" s="2"/>
      <c r="O1004" s="2"/>
      <c r="P1004" s="2"/>
    </row>
    <row r="1005" spans="1:16" x14ac:dyDescent="0.4">
      <c r="A1005">
        <v>2014</v>
      </c>
      <c r="B1005" s="5" t="s">
        <v>593</v>
      </c>
      <c r="C1005" s="5" t="s">
        <v>724</v>
      </c>
      <c r="D1005" s="25" t="s">
        <v>239</v>
      </c>
      <c r="E1005" s="64" t="s">
        <v>242</v>
      </c>
      <c r="F1005" s="28">
        <v>1250</v>
      </c>
      <c r="G1005" s="28">
        <v>764</v>
      </c>
      <c r="H1005" s="12">
        <v>486</v>
      </c>
      <c r="J1005" s="2"/>
      <c r="K1005" s="2"/>
      <c r="L1005" s="2"/>
      <c r="M1005" s="2"/>
      <c r="N1005" s="2"/>
      <c r="O1005" s="2"/>
      <c r="P1005" s="2"/>
    </row>
    <row r="1006" spans="1:16" x14ac:dyDescent="0.4">
      <c r="A1006">
        <v>2014</v>
      </c>
      <c r="B1006" s="5" t="s">
        <v>594</v>
      </c>
      <c r="C1006" s="5" t="s">
        <v>724</v>
      </c>
      <c r="D1006" s="25" t="s">
        <v>239</v>
      </c>
      <c r="E1006" s="64" t="s">
        <v>36</v>
      </c>
      <c r="F1006" s="28">
        <v>67</v>
      </c>
      <c r="G1006" s="28">
        <v>44</v>
      </c>
      <c r="H1006" s="12">
        <v>23</v>
      </c>
      <c r="J1006" s="2"/>
      <c r="K1006" s="2"/>
      <c r="L1006" s="2"/>
      <c r="M1006" s="2"/>
      <c r="N1006" s="2"/>
      <c r="O1006" s="2"/>
      <c r="P1006" s="2"/>
    </row>
    <row r="1007" spans="1:16" x14ac:dyDescent="0.4">
      <c r="A1007">
        <v>2014</v>
      </c>
      <c r="B1007" s="5" t="s">
        <v>595</v>
      </c>
      <c r="C1007" s="5" t="s">
        <v>724</v>
      </c>
      <c r="D1007" s="25" t="s">
        <v>239</v>
      </c>
      <c r="E1007" s="64" t="s">
        <v>243</v>
      </c>
      <c r="F1007" s="28">
        <v>86</v>
      </c>
      <c r="G1007" s="28">
        <v>48</v>
      </c>
      <c r="H1007" s="12">
        <v>38</v>
      </c>
      <c r="J1007" s="2"/>
      <c r="K1007" s="2"/>
      <c r="L1007" s="2"/>
      <c r="M1007" s="2"/>
      <c r="N1007" s="2"/>
      <c r="O1007" s="2"/>
      <c r="P1007" s="2"/>
    </row>
    <row r="1008" spans="1:16" x14ac:dyDescent="0.4">
      <c r="A1008">
        <v>2014</v>
      </c>
      <c r="B1008" s="5" t="s">
        <v>596</v>
      </c>
      <c r="C1008" s="5" t="s">
        <v>724</v>
      </c>
      <c r="D1008" s="25" t="s">
        <v>239</v>
      </c>
      <c r="E1008" s="64" t="s">
        <v>244</v>
      </c>
      <c r="F1008" s="28">
        <v>99</v>
      </c>
      <c r="G1008" s="28">
        <v>65</v>
      </c>
      <c r="H1008" s="12">
        <v>34</v>
      </c>
      <c r="J1008" s="2"/>
      <c r="K1008" s="2"/>
      <c r="L1008" s="2"/>
      <c r="M1008" s="2"/>
      <c r="N1008" s="2"/>
      <c r="O1008" s="2"/>
      <c r="P1008" s="2"/>
    </row>
    <row r="1009" spans="1:16" x14ac:dyDescent="0.4">
      <c r="A1009">
        <v>2014</v>
      </c>
      <c r="B1009" s="5" t="s">
        <v>597</v>
      </c>
      <c r="C1009" s="5" t="s">
        <v>724</v>
      </c>
      <c r="D1009" s="25" t="s">
        <v>239</v>
      </c>
      <c r="E1009" s="64" t="s">
        <v>44</v>
      </c>
      <c r="F1009" s="28">
        <v>44</v>
      </c>
      <c r="G1009" s="28">
        <v>21</v>
      </c>
      <c r="H1009" s="12">
        <v>23</v>
      </c>
      <c r="J1009" s="2"/>
      <c r="K1009" s="2"/>
      <c r="L1009" s="2"/>
      <c r="M1009" s="2"/>
      <c r="N1009" s="2"/>
      <c r="O1009" s="2"/>
      <c r="P1009" s="2"/>
    </row>
    <row r="1010" spans="1:16" x14ac:dyDescent="0.4">
      <c r="A1010">
        <v>2014</v>
      </c>
      <c r="B1010" s="5" t="s">
        <v>598</v>
      </c>
      <c r="C1010" s="5" t="s">
        <v>724</v>
      </c>
      <c r="D1010" s="25" t="s">
        <v>239</v>
      </c>
      <c r="E1010" s="64" t="s">
        <v>222</v>
      </c>
      <c r="F1010" s="28">
        <v>117</v>
      </c>
      <c r="G1010" s="28">
        <v>82</v>
      </c>
      <c r="H1010" s="12">
        <v>35</v>
      </c>
      <c r="J1010" s="2"/>
      <c r="K1010" s="2"/>
      <c r="L1010" s="2"/>
      <c r="M1010" s="2"/>
      <c r="N1010" s="2"/>
      <c r="O1010" s="2"/>
      <c r="P1010" s="2"/>
    </row>
    <row r="1011" spans="1:16" x14ac:dyDescent="0.4">
      <c r="A1011">
        <v>2014</v>
      </c>
      <c r="B1011" s="5" t="s">
        <v>599</v>
      </c>
      <c r="C1011" s="5" t="s">
        <v>724</v>
      </c>
      <c r="D1011" s="25" t="s">
        <v>239</v>
      </c>
      <c r="E1011" s="64" t="s">
        <v>245</v>
      </c>
      <c r="F1011" s="28">
        <v>48</v>
      </c>
      <c r="G1011" s="28">
        <v>26</v>
      </c>
      <c r="H1011" s="12">
        <v>22</v>
      </c>
      <c r="J1011" s="2"/>
      <c r="K1011" s="2"/>
      <c r="L1011" s="2"/>
      <c r="M1011" s="2"/>
      <c r="N1011" s="2"/>
      <c r="O1011" s="2"/>
      <c r="P1011" s="2"/>
    </row>
    <row r="1012" spans="1:16" x14ac:dyDescent="0.4">
      <c r="A1012">
        <v>2014</v>
      </c>
      <c r="B1012" s="5" t="s">
        <v>600</v>
      </c>
      <c r="C1012" s="5" t="s">
        <v>724</v>
      </c>
      <c r="D1012" s="25" t="s">
        <v>239</v>
      </c>
      <c r="E1012" s="64" t="s">
        <v>246</v>
      </c>
      <c r="F1012" s="28">
        <v>193</v>
      </c>
      <c r="G1012" s="28">
        <v>115</v>
      </c>
      <c r="H1012" s="12">
        <v>78</v>
      </c>
      <c r="J1012" s="2"/>
      <c r="K1012" s="2"/>
      <c r="L1012" s="2"/>
      <c r="M1012" s="2"/>
      <c r="N1012" s="2"/>
      <c r="O1012" s="2"/>
      <c r="P1012" s="2"/>
    </row>
    <row r="1013" spans="1:16" x14ac:dyDescent="0.4">
      <c r="A1013">
        <v>2014</v>
      </c>
      <c r="B1013" s="5" t="s">
        <v>601</v>
      </c>
      <c r="C1013" s="5" t="s">
        <v>724</v>
      </c>
      <c r="D1013" s="25" t="s">
        <v>239</v>
      </c>
      <c r="E1013" s="64" t="s">
        <v>247</v>
      </c>
      <c r="F1013" s="28">
        <v>224</v>
      </c>
      <c r="G1013" s="28">
        <v>154</v>
      </c>
      <c r="H1013" s="12">
        <v>70</v>
      </c>
      <c r="J1013" s="2"/>
      <c r="K1013" s="2"/>
      <c r="L1013" s="2"/>
      <c r="M1013" s="2"/>
      <c r="N1013" s="2"/>
      <c r="O1013" s="2"/>
      <c r="P1013" s="2"/>
    </row>
    <row r="1014" spans="1:16" x14ac:dyDescent="0.4">
      <c r="A1014">
        <v>2014</v>
      </c>
      <c r="B1014" s="5" t="s">
        <v>602</v>
      </c>
      <c r="C1014" s="5" t="s">
        <v>724</v>
      </c>
      <c r="D1014" s="25" t="s">
        <v>239</v>
      </c>
      <c r="E1014" s="65" t="s">
        <v>51</v>
      </c>
      <c r="F1014" s="28">
        <v>2474</v>
      </c>
      <c r="G1014" s="28">
        <v>1485</v>
      </c>
      <c r="H1014" s="12">
        <v>989</v>
      </c>
      <c r="J1014" s="2"/>
      <c r="K1014" s="2"/>
      <c r="L1014" s="2"/>
      <c r="M1014" s="2"/>
      <c r="N1014" s="2"/>
      <c r="O1014" s="2"/>
      <c r="P1014" s="2"/>
    </row>
    <row r="1015" spans="1:16" x14ac:dyDescent="0.4">
      <c r="A1015">
        <v>2014</v>
      </c>
      <c r="B1015" s="5" t="s">
        <v>603</v>
      </c>
      <c r="C1015" s="5" t="s">
        <v>724</v>
      </c>
      <c r="D1015" s="25" t="s">
        <v>239</v>
      </c>
      <c r="E1015" s="64" t="s">
        <v>248</v>
      </c>
      <c r="F1015" s="28">
        <v>207</v>
      </c>
      <c r="G1015" s="28">
        <v>130</v>
      </c>
      <c r="H1015" s="12">
        <v>77</v>
      </c>
      <c r="J1015" s="2"/>
      <c r="K1015" s="2"/>
      <c r="L1015" s="2"/>
      <c r="M1015" s="2"/>
      <c r="N1015" s="2"/>
      <c r="O1015" s="2"/>
      <c r="P1015" s="2"/>
    </row>
    <row r="1016" spans="1:16" x14ac:dyDescent="0.4">
      <c r="A1016">
        <v>2014</v>
      </c>
      <c r="B1016" s="5" t="s">
        <v>604</v>
      </c>
      <c r="C1016" s="5" t="s">
        <v>725</v>
      </c>
      <c r="D1016" s="25" t="s">
        <v>249</v>
      </c>
      <c r="E1016" s="64" t="s">
        <v>174</v>
      </c>
      <c r="F1016" s="28">
        <v>104</v>
      </c>
      <c r="G1016" s="28">
        <v>66</v>
      </c>
      <c r="H1016" s="12">
        <v>38</v>
      </c>
      <c r="J1016" s="2"/>
      <c r="K1016" s="2"/>
      <c r="L1016" s="2"/>
      <c r="M1016" s="2"/>
      <c r="N1016" s="2"/>
      <c r="O1016" s="2"/>
      <c r="P1016" s="2"/>
    </row>
    <row r="1017" spans="1:16" x14ac:dyDescent="0.4">
      <c r="A1017">
        <v>2014</v>
      </c>
      <c r="B1017" s="5" t="s">
        <v>605</v>
      </c>
      <c r="C1017" s="5" t="s">
        <v>725</v>
      </c>
      <c r="D1017" s="25" t="s">
        <v>249</v>
      </c>
      <c r="E1017" s="64" t="s">
        <v>250</v>
      </c>
      <c r="F1017" s="28">
        <v>35</v>
      </c>
      <c r="G1017" s="28">
        <v>23</v>
      </c>
      <c r="H1017" s="12">
        <v>12</v>
      </c>
      <c r="J1017" s="2"/>
      <c r="K1017" s="2"/>
      <c r="L1017" s="2"/>
      <c r="M1017" s="2"/>
      <c r="N1017" s="2"/>
      <c r="O1017" s="2"/>
      <c r="P1017" s="2"/>
    </row>
    <row r="1018" spans="1:16" x14ac:dyDescent="0.4">
      <c r="A1018">
        <v>2014</v>
      </c>
      <c r="B1018" s="5" t="s">
        <v>606</v>
      </c>
      <c r="C1018" s="5" t="s">
        <v>725</v>
      </c>
      <c r="D1018" s="25" t="s">
        <v>249</v>
      </c>
      <c r="E1018" s="64" t="s">
        <v>251</v>
      </c>
      <c r="F1018" s="28">
        <v>315</v>
      </c>
      <c r="G1018" s="28">
        <v>191</v>
      </c>
      <c r="H1018" s="12">
        <v>124</v>
      </c>
      <c r="J1018" s="2"/>
      <c r="K1018" s="2"/>
      <c r="L1018" s="2"/>
      <c r="M1018" s="2"/>
      <c r="N1018" s="2"/>
      <c r="O1018" s="2"/>
      <c r="P1018" s="2"/>
    </row>
    <row r="1019" spans="1:16" x14ac:dyDescent="0.4">
      <c r="A1019">
        <v>2014</v>
      </c>
      <c r="B1019" s="5" t="s">
        <v>607</v>
      </c>
      <c r="C1019" s="5" t="s">
        <v>725</v>
      </c>
      <c r="D1019" s="25" t="s">
        <v>249</v>
      </c>
      <c r="E1019" s="64" t="s">
        <v>36</v>
      </c>
      <c r="F1019" s="28">
        <v>207</v>
      </c>
      <c r="G1019" s="28">
        <v>119</v>
      </c>
      <c r="H1019" s="12">
        <v>88</v>
      </c>
      <c r="J1019" s="2"/>
      <c r="K1019" s="2"/>
      <c r="L1019" s="2"/>
      <c r="M1019" s="2"/>
      <c r="N1019" s="2"/>
      <c r="O1019" s="2"/>
      <c r="P1019" s="2"/>
    </row>
    <row r="1020" spans="1:16" x14ac:dyDescent="0.4">
      <c r="A1020">
        <v>2014</v>
      </c>
      <c r="B1020" s="5" t="s">
        <v>608</v>
      </c>
      <c r="C1020" s="5" t="s">
        <v>725</v>
      </c>
      <c r="D1020" s="25" t="s">
        <v>249</v>
      </c>
      <c r="E1020" s="64" t="s">
        <v>252</v>
      </c>
      <c r="F1020" s="28">
        <v>257</v>
      </c>
      <c r="G1020" s="28">
        <v>144</v>
      </c>
      <c r="H1020" s="12">
        <v>113</v>
      </c>
      <c r="J1020" s="2"/>
      <c r="K1020" s="2"/>
      <c r="L1020" s="2"/>
      <c r="M1020" s="2"/>
      <c r="N1020" s="2"/>
      <c r="O1020" s="2"/>
      <c r="P1020" s="2"/>
    </row>
    <row r="1021" spans="1:16" x14ac:dyDescent="0.4">
      <c r="A1021">
        <v>2014</v>
      </c>
      <c r="B1021" s="5" t="s">
        <v>609</v>
      </c>
      <c r="C1021" s="5" t="s">
        <v>725</v>
      </c>
      <c r="D1021" s="25" t="s">
        <v>249</v>
      </c>
      <c r="E1021" s="64" t="s">
        <v>253</v>
      </c>
      <c r="F1021" s="28">
        <v>120</v>
      </c>
      <c r="G1021" s="28">
        <v>73</v>
      </c>
      <c r="H1021" s="12">
        <v>47</v>
      </c>
      <c r="J1021" s="2"/>
      <c r="K1021" s="2"/>
      <c r="L1021" s="2"/>
      <c r="M1021" s="2"/>
      <c r="N1021" s="2"/>
      <c r="O1021" s="2"/>
      <c r="P1021" s="2"/>
    </row>
    <row r="1022" spans="1:16" x14ac:dyDescent="0.4">
      <c r="A1022">
        <v>2014</v>
      </c>
      <c r="B1022" s="5" t="s">
        <v>610</v>
      </c>
      <c r="C1022" s="5" t="s">
        <v>725</v>
      </c>
      <c r="D1022" s="25" t="s">
        <v>249</v>
      </c>
      <c r="E1022" s="64" t="s">
        <v>254</v>
      </c>
      <c r="F1022" s="28">
        <v>163</v>
      </c>
      <c r="G1022" s="28">
        <v>112</v>
      </c>
      <c r="H1022" s="12">
        <v>51</v>
      </c>
      <c r="J1022" s="2"/>
      <c r="K1022" s="2"/>
      <c r="L1022" s="2"/>
      <c r="M1022" s="2"/>
      <c r="N1022" s="2"/>
      <c r="O1022" s="2"/>
      <c r="P1022" s="2"/>
    </row>
    <row r="1023" spans="1:16" x14ac:dyDescent="0.4">
      <c r="A1023">
        <v>2014</v>
      </c>
      <c r="B1023" s="5" t="s">
        <v>611</v>
      </c>
      <c r="C1023" s="5" t="s">
        <v>725</v>
      </c>
      <c r="D1023" s="25" t="s">
        <v>249</v>
      </c>
      <c r="E1023" s="64" t="s">
        <v>11</v>
      </c>
      <c r="F1023" s="28">
        <v>20</v>
      </c>
      <c r="G1023" s="28">
        <v>13</v>
      </c>
      <c r="H1023" s="12">
        <v>7</v>
      </c>
      <c r="J1023" s="2"/>
      <c r="K1023" s="2"/>
      <c r="L1023" s="2"/>
      <c r="M1023" s="2"/>
      <c r="N1023" s="2"/>
      <c r="O1023" s="2"/>
      <c r="P1023" s="2"/>
    </row>
    <row r="1024" spans="1:16" x14ac:dyDescent="0.4">
      <c r="A1024">
        <v>2014</v>
      </c>
      <c r="B1024" s="5" t="s">
        <v>612</v>
      </c>
      <c r="C1024" s="5" t="s">
        <v>725</v>
      </c>
      <c r="D1024" s="25" t="s">
        <v>249</v>
      </c>
      <c r="E1024" s="64" t="s">
        <v>255</v>
      </c>
      <c r="F1024" s="28">
        <v>220</v>
      </c>
      <c r="G1024" s="28">
        <v>150</v>
      </c>
      <c r="H1024" s="12">
        <v>70</v>
      </c>
      <c r="J1024" s="2"/>
      <c r="K1024" s="2"/>
      <c r="L1024" s="2"/>
      <c r="M1024" s="2"/>
      <c r="N1024" s="2"/>
      <c r="O1024" s="2"/>
      <c r="P1024" s="2"/>
    </row>
    <row r="1025" spans="1:16" x14ac:dyDescent="0.4">
      <c r="A1025">
        <v>2014</v>
      </c>
      <c r="B1025" s="5" t="s">
        <v>613</v>
      </c>
      <c r="C1025" s="5" t="s">
        <v>725</v>
      </c>
      <c r="D1025" s="25" t="s">
        <v>249</v>
      </c>
      <c r="E1025" s="64" t="s">
        <v>256</v>
      </c>
      <c r="F1025" s="28">
        <v>130</v>
      </c>
      <c r="G1025" s="28">
        <v>82</v>
      </c>
      <c r="H1025" s="12">
        <v>48</v>
      </c>
      <c r="J1025" s="2"/>
      <c r="K1025" s="2"/>
      <c r="L1025" s="2"/>
      <c r="M1025" s="2"/>
      <c r="N1025" s="2"/>
      <c r="O1025" s="2"/>
      <c r="P1025" s="2"/>
    </row>
    <row r="1026" spans="1:16" x14ac:dyDescent="0.4">
      <c r="A1026">
        <v>2014</v>
      </c>
      <c r="B1026" s="5" t="s">
        <v>614</v>
      </c>
      <c r="C1026" s="5" t="s">
        <v>725</v>
      </c>
      <c r="D1026" s="25" t="s">
        <v>249</v>
      </c>
      <c r="E1026" s="64" t="s">
        <v>14</v>
      </c>
      <c r="F1026" s="28">
        <v>119</v>
      </c>
      <c r="G1026" s="28">
        <v>77</v>
      </c>
      <c r="H1026" s="12">
        <v>42</v>
      </c>
      <c r="J1026" s="2"/>
      <c r="K1026" s="2"/>
      <c r="L1026" s="2"/>
      <c r="M1026" s="2"/>
      <c r="N1026" s="2"/>
      <c r="O1026" s="2"/>
      <c r="P1026" s="2"/>
    </row>
    <row r="1027" spans="1:16" x14ac:dyDescent="0.4">
      <c r="A1027">
        <v>2014</v>
      </c>
      <c r="B1027" s="5" t="s">
        <v>615</v>
      </c>
      <c r="C1027" s="5" t="s">
        <v>725</v>
      </c>
      <c r="D1027" s="25" t="s">
        <v>249</v>
      </c>
      <c r="E1027" s="64" t="s">
        <v>257</v>
      </c>
      <c r="F1027" s="28">
        <v>235</v>
      </c>
      <c r="G1027" s="28">
        <v>129</v>
      </c>
      <c r="H1027" s="12">
        <v>106</v>
      </c>
      <c r="J1027" s="2"/>
      <c r="K1027" s="2"/>
      <c r="L1027" s="2"/>
      <c r="M1027" s="2"/>
      <c r="N1027" s="2"/>
      <c r="O1027" s="2"/>
      <c r="P1027" s="2"/>
    </row>
    <row r="1028" spans="1:16" x14ac:dyDescent="0.4">
      <c r="A1028">
        <v>2014</v>
      </c>
      <c r="B1028" s="5" t="s">
        <v>616</v>
      </c>
      <c r="C1028" s="5" t="s">
        <v>725</v>
      </c>
      <c r="D1028" s="25" t="s">
        <v>249</v>
      </c>
      <c r="E1028" s="64" t="s">
        <v>258</v>
      </c>
      <c r="F1028" s="28">
        <v>33</v>
      </c>
      <c r="G1028" s="28">
        <v>26</v>
      </c>
      <c r="H1028" s="12">
        <v>7</v>
      </c>
      <c r="J1028" s="2"/>
      <c r="K1028" s="2"/>
      <c r="L1028" s="2"/>
      <c r="M1028" s="2"/>
      <c r="N1028" s="2"/>
      <c r="O1028" s="2"/>
      <c r="P1028" s="2"/>
    </row>
    <row r="1029" spans="1:16" x14ac:dyDescent="0.4">
      <c r="A1029">
        <v>2014</v>
      </c>
      <c r="B1029" s="5" t="s">
        <v>617</v>
      </c>
      <c r="C1029" s="5" t="s">
        <v>725</v>
      </c>
      <c r="D1029" s="25" t="s">
        <v>249</v>
      </c>
      <c r="E1029" s="64" t="s">
        <v>259</v>
      </c>
      <c r="F1029" s="28">
        <v>322</v>
      </c>
      <c r="G1029" s="28">
        <v>191</v>
      </c>
      <c r="H1029" s="12">
        <v>131</v>
      </c>
      <c r="J1029" s="2"/>
      <c r="K1029" s="2"/>
      <c r="L1029" s="2"/>
      <c r="M1029" s="2"/>
      <c r="N1029" s="2"/>
      <c r="O1029" s="2"/>
      <c r="P1029" s="2"/>
    </row>
    <row r="1030" spans="1:16" x14ac:dyDescent="0.4">
      <c r="A1030">
        <v>2014</v>
      </c>
      <c r="B1030" s="5" t="s">
        <v>618</v>
      </c>
      <c r="C1030" s="5" t="s">
        <v>725</v>
      </c>
      <c r="D1030" s="25" t="s">
        <v>249</v>
      </c>
      <c r="E1030" s="64" t="s">
        <v>18</v>
      </c>
      <c r="F1030" s="28">
        <v>47</v>
      </c>
      <c r="G1030" s="28">
        <v>26</v>
      </c>
      <c r="H1030" s="12">
        <v>21</v>
      </c>
      <c r="J1030" s="2"/>
      <c r="K1030" s="2"/>
      <c r="L1030" s="2"/>
      <c r="M1030" s="2"/>
      <c r="N1030" s="2"/>
      <c r="O1030" s="2"/>
      <c r="P1030" s="2"/>
    </row>
    <row r="1031" spans="1:16" x14ac:dyDescent="0.4">
      <c r="A1031">
        <v>2014</v>
      </c>
      <c r="B1031" s="5" t="s">
        <v>619</v>
      </c>
      <c r="C1031" s="5" t="s">
        <v>725</v>
      </c>
      <c r="D1031" s="25" t="s">
        <v>249</v>
      </c>
      <c r="E1031" s="64" t="s">
        <v>44</v>
      </c>
      <c r="F1031" s="28">
        <v>109</v>
      </c>
      <c r="G1031" s="28">
        <v>71</v>
      </c>
      <c r="H1031" s="12">
        <v>38</v>
      </c>
      <c r="J1031" s="2"/>
      <c r="K1031" s="2"/>
      <c r="L1031" s="2"/>
      <c r="M1031" s="2"/>
      <c r="N1031" s="2"/>
      <c r="O1031" s="2"/>
      <c r="P1031" s="2"/>
    </row>
    <row r="1032" spans="1:16" x14ac:dyDescent="0.4">
      <c r="A1032">
        <v>2014</v>
      </c>
      <c r="B1032" s="5" t="s">
        <v>620</v>
      </c>
      <c r="C1032" s="5" t="s">
        <v>725</v>
      </c>
      <c r="D1032" s="25" t="s">
        <v>249</v>
      </c>
      <c r="E1032" s="64" t="s">
        <v>260</v>
      </c>
      <c r="F1032" s="28">
        <v>39</v>
      </c>
      <c r="G1032" s="28">
        <v>29</v>
      </c>
      <c r="H1032" s="12">
        <v>10</v>
      </c>
      <c r="J1032" s="2"/>
      <c r="K1032" s="2"/>
      <c r="L1032" s="2"/>
      <c r="M1032" s="2"/>
      <c r="N1032" s="2"/>
      <c r="O1032" s="2"/>
      <c r="P1032" s="2"/>
    </row>
    <row r="1033" spans="1:16" x14ac:dyDescent="0.4">
      <c r="A1033">
        <v>2014</v>
      </c>
      <c r="B1033" s="5" t="s">
        <v>621</v>
      </c>
      <c r="C1033" s="5" t="s">
        <v>725</v>
      </c>
      <c r="D1033" s="25" t="s">
        <v>249</v>
      </c>
      <c r="E1033" s="64" t="s">
        <v>261</v>
      </c>
      <c r="F1033" s="28">
        <v>89</v>
      </c>
      <c r="G1033" s="28">
        <v>52</v>
      </c>
      <c r="H1033" s="12">
        <v>37</v>
      </c>
      <c r="J1033" s="2"/>
      <c r="K1033" s="2"/>
      <c r="L1033" s="2"/>
      <c r="M1033" s="2"/>
      <c r="N1033" s="2"/>
      <c r="O1033" s="2"/>
      <c r="P1033" s="2"/>
    </row>
    <row r="1034" spans="1:16" x14ac:dyDescent="0.4">
      <c r="A1034">
        <v>2014</v>
      </c>
      <c r="B1034" s="5" t="s">
        <v>622</v>
      </c>
      <c r="C1034" s="5" t="s">
        <v>725</v>
      </c>
      <c r="D1034" s="25" t="s">
        <v>249</v>
      </c>
      <c r="E1034" s="64" t="s">
        <v>262</v>
      </c>
      <c r="F1034" s="28">
        <v>135</v>
      </c>
      <c r="G1034" s="28">
        <v>85</v>
      </c>
      <c r="H1034" s="12">
        <v>50</v>
      </c>
      <c r="J1034" s="2"/>
      <c r="K1034" s="2"/>
      <c r="L1034" s="2"/>
      <c r="M1034" s="2"/>
      <c r="N1034" s="2"/>
      <c r="O1034" s="2"/>
      <c r="P1034" s="2"/>
    </row>
    <row r="1035" spans="1:16" x14ac:dyDescent="0.4">
      <c r="A1035">
        <v>2014</v>
      </c>
      <c r="B1035" s="5" t="s">
        <v>623</v>
      </c>
      <c r="C1035" s="5" t="s">
        <v>725</v>
      </c>
      <c r="D1035" s="25" t="s">
        <v>249</v>
      </c>
      <c r="E1035" s="64" t="s">
        <v>263</v>
      </c>
      <c r="F1035" s="28">
        <v>113</v>
      </c>
      <c r="G1035" s="28">
        <v>76</v>
      </c>
      <c r="H1035" s="12">
        <v>37</v>
      </c>
      <c r="J1035" s="2"/>
      <c r="K1035" s="2"/>
      <c r="L1035" s="2"/>
      <c r="M1035" s="2"/>
      <c r="N1035" s="2"/>
      <c r="O1035" s="2"/>
      <c r="P1035" s="2"/>
    </row>
    <row r="1036" spans="1:16" x14ac:dyDescent="0.4">
      <c r="A1036">
        <v>2014</v>
      </c>
      <c r="B1036" s="5" t="s">
        <v>624</v>
      </c>
      <c r="C1036" s="5" t="s">
        <v>725</v>
      </c>
      <c r="D1036" s="25" t="s">
        <v>249</v>
      </c>
      <c r="E1036" s="64" t="s">
        <v>264</v>
      </c>
      <c r="F1036" s="28">
        <v>16</v>
      </c>
      <c r="G1036" s="28">
        <v>10</v>
      </c>
      <c r="H1036" s="12">
        <v>6</v>
      </c>
      <c r="J1036" s="2"/>
      <c r="K1036" s="2"/>
      <c r="L1036" s="2"/>
      <c r="M1036" s="2"/>
      <c r="N1036" s="2"/>
      <c r="O1036" s="2"/>
      <c r="P1036" s="2"/>
    </row>
    <row r="1037" spans="1:16" x14ac:dyDescent="0.4">
      <c r="A1037">
        <v>2014</v>
      </c>
      <c r="B1037" s="5" t="s">
        <v>625</v>
      </c>
      <c r="C1037" s="5" t="s">
        <v>725</v>
      </c>
      <c r="D1037" s="25" t="s">
        <v>249</v>
      </c>
      <c r="E1037" s="64" t="s">
        <v>265</v>
      </c>
      <c r="F1037" s="28">
        <v>63</v>
      </c>
      <c r="G1037" s="28">
        <v>39</v>
      </c>
      <c r="H1037" s="12">
        <v>24</v>
      </c>
      <c r="J1037" s="2"/>
      <c r="K1037" s="2"/>
      <c r="L1037" s="2"/>
      <c r="M1037" s="2"/>
      <c r="N1037" s="2"/>
      <c r="O1037" s="2"/>
      <c r="P1037" s="2"/>
    </row>
    <row r="1038" spans="1:16" x14ac:dyDescent="0.4">
      <c r="A1038">
        <v>2014</v>
      </c>
      <c r="B1038" s="5" t="s">
        <v>626</v>
      </c>
      <c r="C1038" s="5" t="s">
        <v>725</v>
      </c>
      <c r="D1038" s="25" t="s">
        <v>249</v>
      </c>
      <c r="E1038" s="64" t="s">
        <v>266</v>
      </c>
      <c r="F1038" s="28">
        <v>3821</v>
      </c>
      <c r="G1038" s="28">
        <v>2220</v>
      </c>
      <c r="H1038" s="12">
        <v>1601</v>
      </c>
      <c r="J1038" s="2"/>
      <c r="K1038" s="2"/>
      <c r="L1038" s="2"/>
      <c r="M1038" s="2"/>
      <c r="N1038" s="2"/>
      <c r="O1038" s="2"/>
      <c r="P1038" s="2"/>
    </row>
    <row r="1039" spans="1:16" x14ac:dyDescent="0.4">
      <c r="A1039">
        <v>2014</v>
      </c>
      <c r="B1039" s="5" t="s">
        <v>627</v>
      </c>
      <c r="C1039" s="5" t="s">
        <v>725</v>
      </c>
      <c r="D1039" s="25" t="s">
        <v>249</v>
      </c>
      <c r="E1039" s="64" t="s">
        <v>267</v>
      </c>
      <c r="F1039" s="28">
        <v>23</v>
      </c>
      <c r="G1039" s="28">
        <v>13</v>
      </c>
      <c r="H1039" s="12">
        <v>10</v>
      </c>
      <c r="J1039" s="2"/>
      <c r="K1039" s="2"/>
      <c r="L1039" s="2"/>
      <c r="M1039" s="2"/>
      <c r="N1039" s="2"/>
      <c r="O1039" s="2"/>
      <c r="P1039" s="2"/>
    </row>
    <row r="1040" spans="1:16" x14ac:dyDescent="0.4">
      <c r="A1040">
        <v>2014</v>
      </c>
      <c r="B1040" s="5" t="s">
        <v>628</v>
      </c>
      <c r="C1040" s="5" t="s">
        <v>725</v>
      </c>
      <c r="D1040" s="25" t="s">
        <v>249</v>
      </c>
      <c r="E1040" s="64" t="s">
        <v>268</v>
      </c>
      <c r="F1040" s="28">
        <v>32</v>
      </c>
      <c r="G1040" s="28">
        <v>22</v>
      </c>
      <c r="H1040" s="12">
        <v>10</v>
      </c>
      <c r="J1040" s="2"/>
      <c r="K1040" s="2"/>
      <c r="L1040" s="2"/>
      <c r="M1040" s="2"/>
      <c r="N1040" s="2"/>
      <c r="O1040" s="2"/>
      <c r="P1040" s="2"/>
    </row>
    <row r="1041" spans="1:16" x14ac:dyDescent="0.4">
      <c r="A1041">
        <v>2014</v>
      </c>
      <c r="B1041" s="5" t="s">
        <v>629</v>
      </c>
      <c r="C1041" s="5" t="s">
        <v>725</v>
      </c>
      <c r="D1041" s="25" t="s">
        <v>249</v>
      </c>
      <c r="E1041" s="64" t="s">
        <v>26</v>
      </c>
      <c r="F1041" s="28">
        <v>11</v>
      </c>
      <c r="G1041" s="28">
        <v>10</v>
      </c>
      <c r="H1041" s="12">
        <v>1</v>
      </c>
      <c r="J1041" s="2"/>
      <c r="K1041" s="2"/>
      <c r="L1041" s="2"/>
      <c r="M1041" s="2"/>
      <c r="N1041" s="2"/>
      <c r="O1041" s="2"/>
      <c r="P1041" s="2"/>
    </row>
    <row r="1042" spans="1:16" x14ac:dyDescent="0.4">
      <c r="A1042">
        <v>2014</v>
      </c>
      <c r="B1042" s="5" t="s">
        <v>630</v>
      </c>
      <c r="C1042" s="5" t="s">
        <v>725</v>
      </c>
      <c r="D1042" s="25" t="s">
        <v>249</v>
      </c>
      <c r="E1042" s="64" t="s">
        <v>51</v>
      </c>
      <c r="F1042" s="28">
        <v>30</v>
      </c>
      <c r="G1042" s="28">
        <v>16</v>
      </c>
      <c r="H1042" s="12">
        <v>14</v>
      </c>
      <c r="J1042" s="2"/>
      <c r="K1042" s="2"/>
      <c r="L1042" s="2"/>
      <c r="M1042" s="2"/>
      <c r="N1042" s="2"/>
      <c r="O1042" s="2"/>
      <c r="P1042" s="2"/>
    </row>
    <row r="1043" spans="1:16" x14ac:dyDescent="0.4">
      <c r="A1043">
        <v>2014</v>
      </c>
      <c r="B1043" s="5" t="s">
        <v>631</v>
      </c>
      <c r="C1043" s="5" t="s">
        <v>725</v>
      </c>
      <c r="D1043" s="25" t="s">
        <v>249</v>
      </c>
      <c r="E1043" s="64" t="s">
        <v>269</v>
      </c>
      <c r="F1043" s="28">
        <v>112</v>
      </c>
      <c r="G1043" s="28">
        <v>78</v>
      </c>
      <c r="H1043" s="12">
        <v>34</v>
      </c>
      <c r="J1043" s="2"/>
      <c r="K1043" s="2"/>
      <c r="L1043" s="2"/>
      <c r="M1043" s="2"/>
      <c r="N1043" s="2"/>
      <c r="O1043" s="2"/>
      <c r="P1043" s="2"/>
    </row>
    <row r="1044" spans="1:16" x14ac:dyDescent="0.4">
      <c r="A1044">
        <v>2014</v>
      </c>
      <c r="B1044" s="5" t="s">
        <v>632</v>
      </c>
      <c r="C1044" s="5" t="s">
        <v>725</v>
      </c>
      <c r="D1044" s="25" t="s">
        <v>249</v>
      </c>
      <c r="E1044" s="64" t="s">
        <v>270</v>
      </c>
      <c r="F1044" s="28">
        <v>86</v>
      </c>
      <c r="G1044" s="28">
        <v>47</v>
      </c>
      <c r="H1044" s="12">
        <v>39</v>
      </c>
      <c r="J1044" s="2"/>
      <c r="K1044" s="2"/>
      <c r="L1044" s="2"/>
      <c r="M1044" s="2"/>
      <c r="N1044" s="2"/>
      <c r="O1044" s="2"/>
      <c r="P1044" s="2"/>
    </row>
    <row r="1045" spans="1:16" x14ac:dyDescent="0.4">
      <c r="A1045">
        <v>2014</v>
      </c>
      <c r="B1045" s="5" t="s">
        <v>633</v>
      </c>
      <c r="C1045" s="5" t="s">
        <v>726</v>
      </c>
      <c r="D1045" s="25" t="s">
        <v>271</v>
      </c>
      <c r="E1045" s="64" t="s">
        <v>174</v>
      </c>
      <c r="F1045" s="28">
        <v>66</v>
      </c>
      <c r="G1045" s="28">
        <v>49</v>
      </c>
      <c r="H1045" s="12">
        <v>17</v>
      </c>
      <c r="J1045" s="2"/>
      <c r="K1045" s="2"/>
      <c r="L1045" s="2"/>
      <c r="M1045" s="2"/>
      <c r="N1045" s="2"/>
      <c r="O1045" s="2"/>
      <c r="P1045" s="2"/>
    </row>
    <row r="1046" spans="1:16" x14ac:dyDescent="0.4">
      <c r="A1046">
        <v>2014</v>
      </c>
      <c r="B1046" s="5" t="s">
        <v>634</v>
      </c>
      <c r="C1046" s="5" t="s">
        <v>726</v>
      </c>
      <c r="D1046" s="25" t="s">
        <v>271</v>
      </c>
      <c r="E1046" s="64" t="s">
        <v>272</v>
      </c>
      <c r="F1046" s="28">
        <v>499</v>
      </c>
      <c r="G1046" s="28">
        <v>290</v>
      </c>
      <c r="H1046" s="12">
        <v>209</v>
      </c>
      <c r="J1046" s="2"/>
      <c r="K1046" s="2"/>
      <c r="L1046" s="2"/>
      <c r="M1046" s="2"/>
      <c r="N1046" s="2"/>
      <c r="O1046" s="2"/>
      <c r="P1046" s="2"/>
    </row>
    <row r="1047" spans="1:16" x14ac:dyDescent="0.4">
      <c r="A1047">
        <v>2014</v>
      </c>
      <c r="B1047" s="5" t="s">
        <v>635</v>
      </c>
      <c r="C1047" s="5" t="s">
        <v>726</v>
      </c>
      <c r="D1047" s="25" t="s">
        <v>271</v>
      </c>
      <c r="E1047" s="64" t="s">
        <v>36</v>
      </c>
      <c r="F1047" s="28">
        <v>40</v>
      </c>
      <c r="G1047" s="28">
        <v>28</v>
      </c>
      <c r="H1047" s="12">
        <v>12</v>
      </c>
      <c r="J1047" s="2"/>
      <c r="K1047" s="2"/>
      <c r="L1047" s="2"/>
      <c r="M1047" s="2"/>
      <c r="N1047" s="2"/>
      <c r="O1047" s="2"/>
      <c r="P1047" s="2"/>
    </row>
    <row r="1048" spans="1:16" x14ac:dyDescent="0.4">
      <c r="A1048">
        <v>2014</v>
      </c>
      <c r="B1048" s="5" t="s">
        <v>636</v>
      </c>
      <c r="C1048" s="5" t="s">
        <v>726</v>
      </c>
      <c r="D1048" s="25" t="s">
        <v>271</v>
      </c>
      <c r="E1048" s="64" t="s">
        <v>273</v>
      </c>
      <c r="F1048" s="28">
        <v>67</v>
      </c>
      <c r="G1048" s="28">
        <v>47</v>
      </c>
      <c r="H1048" s="12">
        <v>20</v>
      </c>
      <c r="J1048" s="2"/>
      <c r="K1048" s="2"/>
      <c r="L1048" s="2"/>
      <c r="M1048" s="2"/>
      <c r="N1048" s="2"/>
      <c r="O1048" s="2"/>
      <c r="P1048" s="2"/>
    </row>
    <row r="1049" spans="1:16" x14ac:dyDescent="0.4">
      <c r="A1049">
        <v>2014</v>
      </c>
      <c r="B1049" s="5" t="s">
        <v>637</v>
      </c>
      <c r="C1049" s="5" t="s">
        <v>726</v>
      </c>
      <c r="D1049" s="25" t="s">
        <v>271</v>
      </c>
      <c r="E1049" s="64" t="s">
        <v>274</v>
      </c>
      <c r="F1049" s="28">
        <v>168</v>
      </c>
      <c r="G1049" s="28">
        <v>96</v>
      </c>
      <c r="H1049" s="12">
        <v>72</v>
      </c>
      <c r="J1049" s="2"/>
      <c r="K1049" s="2"/>
      <c r="L1049" s="2"/>
      <c r="M1049" s="2"/>
      <c r="N1049" s="2"/>
      <c r="O1049" s="2"/>
      <c r="P1049" s="2"/>
    </row>
    <row r="1050" spans="1:16" x14ac:dyDescent="0.4">
      <c r="A1050">
        <v>2014</v>
      </c>
      <c r="B1050" s="5" t="s">
        <v>638</v>
      </c>
      <c r="C1050" s="5" t="s">
        <v>726</v>
      </c>
      <c r="D1050" s="25" t="s">
        <v>271</v>
      </c>
      <c r="E1050" s="64" t="s">
        <v>275</v>
      </c>
      <c r="F1050" s="28">
        <v>73</v>
      </c>
      <c r="G1050" s="28">
        <v>45</v>
      </c>
      <c r="H1050" s="12">
        <v>28</v>
      </c>
      <c r="J1050" s="2"/>
      <c r="K1050" s="2"/>
      <c r="L1050" s="2"/>
      <c r="M1050" s="2"/>
      <c r="N1050" s="2"/>
      <c r="O1050" s="2"/>
      <c r="P1050" s="2"/>
    </row>
    <row r="1051" spans="1:16" x14ac:dyDescent="0.4">
      <c r="A1051">
        <v>2014</v>
      </c>
      <c r="B1051" s="5" t="s">
        <v>639</v>
      </c>
      <c r="C1051" s="5" t="s">
        <v>726</v>
      </c>
      <c r="D1051" s="25" t="s">
        <v>271</v>
      </c>
      <c r="E1051" s="64" t="s">
        <v>276</v>
      </c>
      <c r="F1051" s="28">
        <v>11</v>
      </c>
      <c r="G1051" s="28">
        <v>6</v>
      </c>
      <c r="H1051" s="12">
        <v>5</v>
      </c>
      <c r="J1051" s="2"/>
      <c r="K1051" s="2"/>
      <c r="L1051" s="2"/>
      <c r="M1051" s="2"/>
      <c r="N1051" s="2"/>
      <c r="O1051" s="2"/>
      <c r="P1051" s="2"/>
    </row>
    <row r="1052" spans="1:16" x14ac:dyDescent="0.4">
      <c r="A1052">
        <v>2014</v>
      </c>
      <c r="B1052" s="5" t="s">
        <v>640</v>
      </c>
      <c r="C1052" s="5" t="s">
        <v>726</v>
      </c>
      <c r="D1052" s="25" t="s">
        <v>271</v>
      </c>
      <c r="E1052" s="64" t="s">
        <v>277</v>
      </c>
      <c r="F1052" s="28">
        <v>31</v>
      </c>
      <c r="G1052" s="28">
        <v>15</v>
      </c>
      <c r="H1052" s="12">
        <v>16</v>
      </c>
      <c r="J1052" s="2"/>
      <c r="K1052" s="2"/>
      <c r="L1052" s="2"/>
      <c r="M1052" s="2"/>
      <c r="N1052" s="2"/>
      <c r="O1052" s="2"/>
      <c r="P1052" s="2"/>
    </row>
    <row r="1053" spans="1:16" x14ac:dyDescent="0.4">
      <c r="A1053">
        <v>2014</v>
      </c>
      <c r="B1053" s="5" t="s">
        <v>641</v>
      </c>
      <c r="C1053" s="5" t="s">
        <v>726</v>
      </c>
      <c r="D1053" s="25" t="s">
        <v>271</v>
      </c>
      <c r="E1053" s="64" t="s">
        <v>278</v>
      </c>
      <c r="F1053" s="28">
        <v>56</v>
      </c>
      <c r="G1053" s="28">
        <v>42</v>
      </c>
      <c r="H1053" s="12">
        <v>14</v>
      </c>
      <c r="J1053" s="2"/>
      <c r="K1053" s="2"/>
      <c r="L1053" s="2"/>
      <c r="M1053" s="2"/>
      <c r="N1053" s="2"/>
      <c r="O1053" s="2"/>
      <c r="P1053" s="2"/>
    </row>
    <row r="1054" spans="1:16" x14ac:dyDescent="0.4">
      <c r="A1054">
        <v>2014</v>
      </c>
      <c r="B1054" s="5" t="s">
        <v>642</v>
      </c>
      <c r="C1054" s="5" t="s">
        <v>726</v>
      </c>
      <c r="D1054" s="25" t="s">
        <v>271</v>
      </c>
      <c r="E1054" s="64" t="s">
        <v>85</v>
      </c>
      <c r="F1054" s="28">
        <v>60</v>
      </c>
      <c r="G1054" s="28">
        <v>44</v>
      </c>
      <c r="H1054" s="12">
        <v>16</v>
      </c>
      <c r="J1054" s="2"/>
      <c r="K1054" s="2"/>
      <c r="L1054" s="2"/>
      <c r="M1054" s="2"/>
      <c r="N1054" s="2"/>
      <c r="O1054" s="2"/>
      <c r="P1054" s="2"/>
    </row>
    <row r="1055" spans="1:16" x14ac:dyDescent="0.4">
      <c r="A1055">
        <v>2014</v>
      </c>
      <c r="B1055" s="5" t="s">
        <v>643</v>
      </c>
      <c r="C1055" s="5" t="s">
        <v>726</v>
      </c>
      <c r="D1055" s="25" t="s">
        <v>271</v>
      </c>
      <c r="E1055" s="64" t="s">
        <v>279</v>
      </c>
      <c r="F1055" s="28">
        <v>51</v>
      </c>
      <c r="G1055" s="28">
        <v>35</v>
      </c>
      <c r="H1055" s="12">
        <v>16</v>
      </c>
      <c r="J1055" s="2"/>
      <c r="K1055" s="2"/>
      <c r="L1055" s="2"/>
      <c r="M1055" s="2"/>
      <c r="N1055" s="2"/>
      <c r="O1055" s="2"/>
      <c r="P1055" s="2"/>
    </row>
    <row r="1056" spans="1:16" x14ac:dyDescent="0.4">
      <c r="A1056">
        <v>2014</v>
      </c>
      <c r="B1056" s="5" t="s">
        <v>644</v>
      </c>
      <c r="C1056" s="5" t="s">
        <v>726</v>
      </c>
      <c r="D1056" s="25" t="s">
        <v>271</v>
      </c>
      <c r="E1056" s="64" t="s">
        <v>280</v>
      </c>
      <c r="F1056" s="28">
        <v>49</v>
      </c>
      <c r="G1056" s="28">
        <v>33</v>
      </c>
      <c r="H1056" s="12">
        <v>16</v>
      </c>
      <c r="J1056" s="2"/>
      <c r="K1056" s="2"/>
      <c r="L1056" s="2"/>
      <c r="M1056" s="2"/>
      <c r="N1056" s="2"/>
      <c r="O1056" s="2"/>
      <c r="P1056" s="2"/>
    </row>
    <row r="1057" spans="1:16" x14ac:dyDescent="0.4">
      <c r="A1057">
        <v>2014</v>
      </c>
      <c r="B1057" s="5" t="s">
        <v>645</v>
      </c>
      <c r="C1057" s="5" t="s">
        <v>726</v>
      </c>
      <c r="D1057" s="25" t="s">
        <v>271</v>
      </c>
      <c r="E1057" s="64" t="s">
        <v>281</v>
      </c>
      <c r="F1057" s="28">
        <v>157</v>
      </c>
      <c r="G1057" s="28">
        <v>94</v>
      </c>
      <c r="H1057" s="12">
        <v>63</v>
      </c>
      <c r="J1057" s="2"/>
      <c r="K1057" s="2"/>
      <c r="L1057" s="2"/>
      <c r="M1057" s="2"/>
      <c r="N1057" s="2"/>
      <c r="O1057" s="2"/>
      <c r="P1057" s="2"/>
    </row>
    <row r="1058" spans="1:16" x14ac:dyDescent="0.4">
      <c r="A1058">
        <v>2014</v>
      </c>
      <c r="B1058" s="5" t="s">
        <v>646</v>
      </c>
      <c r="C1058" s="5" t="s">
        <v>726</v>
      </c>
      <c r="D1058" s="25" t="s">
        <v>271</v>
      </c>
      <c r="E1058" s="64" t="s">
        <v>282</v>
      </c>
      <c r="F1058" s="28">
        <v>59</v>
      </c>
      <c r="G1058" s="28">
        <v>35</v>
      </c>
      <c r="H1058" s="12">
        <v>24</v>
      </c>
      <c r="J1058" s="2"/>
      <c r="K1058" s="2"/>
      <c r="L1058" s="2"/>
      <c r="M1058" s="2"/>
      <c r="N1058" s="2"/>
      <c r="O1058" s="2"/>
      <c r="P1058" s="2"/>
    </row>
    <row r="1059" spans="1:16" x14ac:dyDescent="0.4">
      <c r="A1059">
        <v>2014</v>
      </c>
      <c r="B1059" s="5" t="s">
        <v>647</v>
      </c>
      <c r="C1059" s="5" t="s">
        <v>726</v>
      </c>
      <c r="D1059" s="25" t="s">
        <v>271</v>
      </c>
      <c r="E1059" s="64" t="s">
        <v>283</v>
      </c>
      <c r="F1059" s="28">
        <v>52</v>
      </c>
      <c r="G1059" s="28">
        <v>32</v>
      </c>
      <c r="H1059" s="12">
        <v>20</v>
      </c>
      <c r="J1059" s="2"/>
      <c r="K1059" s="2"/>
      <c r="L1059" s="2"/>
      <c r="M1059" s="2"/>
      <c r="N1059" s="2"/>
      <c r="O1059" s="2"/>
      <c r="P1059" s="2"/>
    </row>
    <row r="1060" spans="1:16" x14ac:dyDescent="0.4">
      <c r="A1060">
        <v>2014</v>
      </c>
      <c r="B1060" s="5" t="s">
        <v>648</v>
      </c>
      <c r="C1060" s="5" t="s">
        <v>726</v>
      </c>
      <c r="D1060" s="25" t="s">
        <v>271</v>
      </c>
      <c r="E1060" s="64" t="s">
        <v>284</v>
      </c>
      <c r="F1060" s="28">
        <v>51</v>
      </c>
      <c r="G1060" s="28">
        <v>32</v>
      </c>
      <c r="H1060" s="12">
        <v>19</v>
      </c>
      <c r="J1060" s="2"/>
      <c r="K1060" s="2"/>
      <c r="L1060" s="2"/>
      <c r="M1060" s="2"/>
      <c r="N1060" s="2"/>
      <c r="O1060" s="2"/>
      <c r="P1060" s="2"/>
    </row>
    <row r="1061" spans="1:16" x14ac:dyDescent="0.4">
      <c r="A1061">
        <v>2014</v>
      </c>
      <c r="B1061" s="5" t="s">
        <v>649</v>
      </c>
      <c r="C1061" s="5" t="s">
        <v>726</v>
      </c>
      <c r="D1061" s="25" t="s">
        <v>271</v>
      </c>
      <c r="E1061" s="64" t="s">
        <v>51</v>
      </c>
      <c r="F1061" s="28">
        <v>109</v>
      </c>
      <c r="G1061" s="28">
        <v>71</v>
      </c>
      <c r="H1061" s="12">
        <v>38</v>
      </c>
      <c r="J1061" s="2"/>
      <c r="K1061" s="2"/>
      <c r="L1061" s="2"/>
      <c r="M1061" s="2"/>
      <c r="N1061" s="2"/>
      <c r="O1061" s="2"/>
      <c r="P1061" s="2"/>
    </row>
    <row r="1062" spans="1:16" x14ac:dyDescent="0.4">
      <c r="A1062">
        <v>2014</v>
      </c>
      <c r="B1062" s="5" t="s">
        <v>650</v>
      </c>
      <c r="C1062" s="5" t="s">
        <v>726</v>
      </c>
      <c r="D1062" s="25" t="s">
        <v>271</v>
      </c>
      <c r="E1062" s="64" t="s">
        <v>285</v>
      </c>
      <c r="F1062" s="28">
        <v>541</v>
      </c>
      <c r="G1062" s="28">
        <v>310</v>
      </c>
      <c r="H1062" s="12">
        <v>231</v>
      </c>
      <c r="J1062" s="2"/>
      <c r="K1062" s="2"/>
      <c r="L1062" s="2"/>
      <c r="M1062" s="2"/>
      <c r="N1062" s="2"/>
      <c r="O1062" s="2"/>
      <c r="P1062" s="2"/>
    </row>
    <row r="1063" spans="1:16" x14ac:dyDescent="0.4">
      <c r="A1063">
        <v>2014</v>
      </c>
      <c r="B1063" s="5" t="s">
        <v>651</v>
      </c>
      <c r="C1063" s="5" t="s">
        <v>726</v>
      </c>
      <c r="D1063" s="25" t="s">
        <v>271</v>
      </c>
      <c r="E1063" s="65" t="s">
        <v>53</v>
      </c>
      <c r="F1063" s="28">
        <v>122</v>
      </c>
      <c r="G1063" s="28">
        <v>81</v>
      </c>
      <c r="H1063" s="12">
        <v>41</v>
      </c>
      <c r="J1063" s="2"/>
      <c r="K1063" s="2"/>
      <c r="L1063" s="2"/>
      <c r="M1063" s="2"/>
      <c r="N1063" s="2"/>
      <c r="O1063" s="2"/>
      <c r="P1063" s="2"/>
    </row>
    <row r="1064" spans="1:16" x14ac:dyDescent="0.4">
      <c r="A1064">
        <v>2014</v>
      </c>
      <c r="B1064" s="5" t="s">
        <v>652</v>
      </c>
      <c r="C1064" s="5" t="s">
        <v>726</v>
      </c>
      <c r="D1064" s="25" t="s">
        <v>271</v>
      </c>
      <c r="E1064" s="64" t="s">
        <v>286</v>
      </c>
      <c r="F1064" s="28">
        <v>1617</v>
      </c>
      <c r="G1064" s="28">
        <v>985</v>
      </c>
      <c r="H1064" s="12">
        <v>632</v>
      </c>
      <c r="J1064" s="2"/>
      <c r="K1064" s="2"/>
      <c r="L1064" s="2"/>
      <c r="M1064" s="2"/>
      <c r="N1064" s="2"/>
      <c r="O1064" s="2"/>
      <c r="P1064" s="2"/>
    </row>
    <row r="1065" spans="1:16" x14ac:dyDescent="0.4">
      <c r="A1065">
        <v>2014</v>
      </c>
      <c r="B1065" s="5" t="s">
        <v>653</v>
      </c>
      <c r="C1065" s="5" t="s">
        <v>727</v>
      </c>
      <c r="D1065" s="25" t="s">
        <v>288</v>
      </c>
      <c r="E1065" s="64" t="s">
        <v>287</v>
      </c>
      <c r="F1065" s="28">
        <v>159</v>
      </c>
      <c r="G1065" s="28">
        <v>111</v>
      </c>
      <c r="H1065" s="12">
        <v>48</v>
      </c>
      <c r="J1065" s="2"/>
      <c r="K1065" s="2"/>
      <c r="L1065" s="2"/>
      <c r="M1065" s="2"/>
      <c r="N1065" s="2"/>
      <c r="O1065" s="2"/>
      <c r="P1065" s="2"/>
    </row>
    <row r="1066" spans="1:16" x14ac:dyDescent="0.4">
      <c r="A1066">
        <v>2014</v>
      </c>
      <c r="B1066" s="5" t="s">
        <v>654</v>
      </c>
      <c r="C1066" s="5" t="s">
        <v>727</v>
      </c>
      <c r="D1066" s="25" t="s">
        <v>288</v>
      </c>
      <c r="E1066" s="64" t="s">
        <v>289</v>
      </c>
      <c r="F1066" s="28">
        <v>176</v>
      </c>
      <c r="G1066" s="28">
        <v>125</v>
      </c>
      <c r="H1066" s="12">
        <v>51</v>
      </c>
      <c r="J1066" s="2"/>
      <c r="K1066" s="2"/>
      <c r="L1066" s="2"/>
      <c r="M1066" s="2"/>
      <c r="N1066" s="2"/>
      <c r="O1066" s="2"/>
      <c r="P1066" s="2"/>
    </row>
    <row r="1067" spans="1:16" x14ac:dyDescent="0.4">
      <c r="A1067">
        <v>2014</v>
      </c>
      <c r="B1067" s="5" t="s">
        <v>655</v>
      </c>
      <c r="C1067" s="5" t="s">
        <v>727</v>
      </c>
      <c r="D1067" s="25" t="s">
        <v>288</v>
      </c>
      <c r="E1067" s="64" t="s">
        <v>290</v>
      </c>
      <c r="F1067" s="28">
        <v>526</v>
      </c>
      <c r="G1067" s="28">
        <v>326</v>
      </c>
      <c r="H1067" s="12">
        <v>200</v>
      </c>
      <c r="J1067" s="2"/>
      <c r="K1067" s="2"/>
      <c r="L1067" s="2"/>
      <c r="M1067" s="2"/>
      <c r="N1067" s="2"/>
      <c r="O1067" s="2"/>
      <c r="P1067" s="2"/>
    </row>
    <row r="1068" spans="1:16" x14ac:dyDescent="0.4">
      <c r="A1068">
        <v>2014</v>
      </c>
      <c r="B1068" s="5" t="s">
        <v>656</v>
      </c>
      <c r="C1068" s="5" t="s">
        <v>727</v>
      </c>
      <c r="D1068" s="25" t="s">
        <v>288</v>
      </c>
      <c r="E1068" s="64" t="s">
        <v>291</v>
      </c>
      <c r="F1068" s="28">
        <v>27</v>
      </c>
      <c r="G1068" s="28">
        <v>16</v>
      </c>
      <c r="H1068" s="12">
        <v>11</v>
      </c>
      <c r="J1068" s="2"/>
      <c r="K1068" s="2"/>
      <c r="L1068" s="2"/>
      <c r="M1068" s="2"/>
      <c r="N1068" s="2"/>
      <c r="O1068" s="2"/>
      <c r="P1068" s="2"/>
    </row>
    <row r="1069" spans="1:16" x14ac:dyDescent="0.4">
      <c r="A1069">
        <v>2014</v>
      </c>
      <c r="B1069" s="5" t="s">
        <v>657</v>
      </c>
      <c r="C1069" s="5" t="s">
        <v>727</v>
      </c>
      <c r="D1069" s="25" t="s">
        <v>288</v>
      </c>
      <c r="E1069" s="64" t="s">
        <v>292</v>
      </c>
      <c r="F1069" s="28">
        <v>310</v>
      </c>
      <c r="G1069" s="28">
        <v>199</v>
      </c>
      <c r="H1069" s="12">
        <v>111</v>
      </c>
      <c r="J1069" s="2"/>
      <c r="K1069" s="2"/>
      <c r="L1069" s="2"/>
      <c r="M1069" s="2"/>
      <c r="N1069" s="2"/>
      <c r="O1069" s="2"/>
      <c r="P1069" s="2"/>
    </row>
    <row r="1070" spans="1:16" x14ac:dyDescent="0.4">
      <c r="A1070">
        <v>2014</v>
      </c>
      <c r="B1070" s="5" t="s">
        <v>658</v>
      </c>
      <c r="C1070" s="5" t="s">
        <v>727</v>
      </c>
      <c r="D1070" s="25" t="s">
        <v>288</v>
      </c>
      <c r="E1070" s="64" t="s">
        <v>293</v>
      </c>
      <c r="F1070" s="28">
        <v>16</v>
      </c>
      <c r="G1070" s="28">
        <v>10</v>
      </c>
      <c r="H1070" s="12">
        <v>6</v>
      </c>
      <c r="J1070" s="2"/>
      <c r="K1070" s="2"/>
      <c r="L1070" s="2"/>
      <c r="M1070" s="2"/>
      <c r="N1070" s="2"/>
      <c r="O1070" s="2"/>
      <c r="P1070" s="2"/>
    </row>
    <row r="1071" spans="1:16" x14ac:dyDescent="0.4">
      <c r="A1071">
        <v>2014</v>
      </c>
      <c r="B1071" s="5" t="s">
        <v>659</v>
      </c>
      <c r="C1071" s="5" t="s">
        <v>727</v>
      </c>
      <c r="D1071" s="25" t="s">
        <v>288</v>
      </c>
      <c r="E1071" s="64" t="s">
        <v>294</v>
      </c>
      <c r="F1071" s="28">
        <v>675</v>
      </c>
      <c r="G1071" s="28">
        <v>378</v>
      </c>
      <c r="H1071" s="12">
        <v>297</v>
      </c>
      <c r="J1071" s="2"/>
      <c r="K1071" s="2"/>
      <c r="L1071" s="2"/>
      <c r="M1071" s="2"/>
      <c r="N1071" s="2"/>
      <c r="O1071" s="2"/>
      <c r="P1071" s="2"/>
    </row>
    <row r="1072" spans="1:16" x14ac:dyDescent="0.4">
      <c r="A1072">
        <v>2014</v>
      </c>
      <c r="B1072" s="5" t="s">
        <v>660</v>
      </c>
      <c r="C1072" s="5" t="s">
        <v>727</v>
      </c>
      <c r="D1072" s="25" t="s">
        <v>288</v>
      </c>
      <c r="E1072" s="64" t="s">
        <v>295</v>
      </c>
      <c r="F1072" s="28">
        <v>132</v>
      </c>
      <c r="G1072" s="28">
        <v>69</v>
      </c>
      <c r="H1072" s="12">
        <v>63</v>
      </c>
      <c r="J1072" s="2"/>
      <c r="K1072" s="2"/>
      <c r="L1072" s="2"/>
      <c r="M1072" s="2"/>
      <c r="N1072" s="2"/>
      <c r="O1072" s="2"/>
      <c r="P1072" s="2"/>
    </row>
    <row r="1073" spans="1:16" x14ac:dyDescent="0.4">
      <c r="A1073">
        <v>2014</v>
      </c>
      <c r="B1073" s="5" t="s">
        <v>661</v>
      </c>
      <c r="C1073" s="5" t="s">
        <v>727</v>
      </c>
      <c r="D1073" s="25" t="s">
        <v>288</v>
      </c>
      <c r="E1073" s="64" t="s">
        <v>296</v>
      </c>
      <c r="F1073" s="28">
        <v>157</v>
      </c>
      <c r="G1073" s="28">
        <v>111</v>
      </c>
      <c r="H1073" s="12">
        <v>46</v>
      </c>
      <c r="J1073" s="2"/>
      <c r="K1073" s="2"/>
      <c r="L1073" s="2"/>
      <c r="M1073" s="2"/>
      <c r="N1073" s="2"/>
      <c r="O1073" s="2"/>
      <c r="P1073" s="2"/>
    </row>
    <row r="1074" spans="1:16" x14ac:dyDescent="0.4">
      <c r="A1074">
        <v>2014</v>
      </c>
      <c r="B1074" s="5" t="s">
        <v>662</v>
      </c>
      <c r="C1074" s="5" t="s">
        <v>727</v>
      </c>
      <c r="D1074" s="25" t="s">
        <v>288</v>
      </c>
      <c r="E1074" s="64" t="s">
        <v>297</v>
      </c>
      <c r="F1074" s="28">
        <v>82</v>
      </c>
      <c r="G1074" s="28">
        <v>59</v>
      </c>
      <c r="H1074" s="12">
        <v>23</v>
      </c>
      <c r="J1074" s="2"/>
      <c r="K1074" s="2"/>
      <c r="L1074" s="2"/>
      <c r="M1074" s="2"/>
      <c r="N1074" s="2"/>
      <c r="O1074" s="2"/>
      <c r="P1074" s="2"/>
    </row>
    <row r="1075" spans="1:16" x14ac:dyDescent="0.4">
      <c r="A1075">
        <v>2014</v>
      </c>
      <c r="B1075" s="5" t="s">
        <v>663</v>
      </c>
      <c r="C1075" s="5" t="s">
        <v>727</v>
      </c>
      <c r="D1075" s="25" t="s">
        <v>288</v>
      </c>
      <c r="E1075" s="64" t="s">
        <v>298</v>
      </c>
      <c r="F1075" s="11">
        <v>194</v>
      </c>
      <c r="G1075" s="11">
        <v>115</v>
      </c>
      <c r="H1075" s="12">
        <v>79</v>
      </c>
      <c r="J1075" s="2"/>
      <c r="K1075" s="2"/>
      <c r="L1075" s="2"/>
      <c r="M1075" s="2"/>
      <c r="N1075" s="2"/>
      <c r="O1075" s="2"/>
      <c r="P1075" s="2"/>
    </row>
    <row r="1076" spans="1:16" x14ac:dyDescent="0.4">
      <c r="A1076">
        <v>2014</v>
      </c>
      <c r="B1076" s="5" t="s">
        <v>664</v>
      </c>
      <c r="C1076" s="5" t="s">
        <v>728</v>
      </c>
      <c r="D1076" s="25" t="s">
        <v>300</v>
      </c>
      <c r="E1076" s="64" t="s">
        <v>299</v>
      </c>
      <c r="F1076" s="28">
        <v>59</v>
      </c>
      <c r="G1076" s="28">
        <v>34</v>
      </c>
      <c r="H1076" s="12">
        <v>25</v>
      </c>
      <c r="J1076" s="2"/>
      <c r="K1076" s="2"/>
      <c r="L1076" s="2"/>
      <c r="M1076" s="2"/>
      <c r="N1076" s="2"/>
      <c r="O1076" s="2"/>
      <c r="P1076" s="2"/>
    </row>
    <row r="1077" spans="1:16" x14ac:dyDescent="0.4">
      <c r="A1077">
        <v>2014</v>
      </c>
      <c r="B1077" s="5" t="s">
        <v>665</v>
      </c>
      <c r="C1077" s="5" t="s">
        <v>728</v>
      </c>
      <c r="D1077" s="25" t="s">
        <v>300</v>
      </c>
      <c r="E1077" s="64" t="s">
        <v>36</v>
      </c>
      <c r="F1077" s="28">
        <v>94</v>
      </c>
      <c r="G1077" s="28">
        <v>60</v>
      </c>
      <c r="H1077" s="12">
        <v>34</v>
      </c>
      <c r="J1077" s="2"/>
      <c r="K1077" s="2"/>
      <c r="L1077" s="2"/>
      <c r="M1077" s="2"/>
      <c r="N1077" s="2"/>
      <c r="O1077" s="2"/>
      <c r="P1077" s="2"/>
    </row>
    <row r="1078" spans="1:16" x14ac:dyDescent="0.4">
      <c r="A1078">
        <v>2014</v>
      </c>
      <c r="B1078" s="5" t="s">
        <v>666</v>
      </c>
      <c r="C1078" s="5" t="s">
        <v>728</v>
      </c>
      <c r="D1078" s="25" t="s">
        <v>300</v>
      </c>
      <c r="E1078" s="64" t="s">
        <v>301</v>
      </c>
      <c r="F1078" s="28">
        <v>213</v>
      </c>
      <c r="G1078" s="28">
        <v>136</v>
      </c>
      <c r="H1078" s="12">
        <v>77</v>
      </c>
      <c r="J1078" s="2"/>
      <c r="K1078" s="2"/>
      <c r="L1078" s="2"/>
      <c r="M1078" s="2"/>
      <c r="N1078" s="2"/>
      <c r="O1078" s="2"/>
      <c r="P1078" s="2"/>
    </row>
    <row r="1079" spans="1:16" x14ac:dyDescent="0.4">
      <c r="A1079">
        <v>2014</v>
      </c>
      <c r="B1079" s="5" t="s">
        <v>667</v>
      </c>
      <c r="C1079" s="5" t="s">
        <v>728</v>
      </c>
      <c r="D1079" s="25" t="s">
        <v>300</v>
      </c>
      <c r="E1079" s="64" t="s">
        <v>302</v>
      </c>
      <c r="F1079" s="28">
        <v>100</v>
      </c>
      <c r="G1079" s="28">
        <v>72</v>
      </c>
      <c r="H1079" s="12">
        <v>28</v>
      </c>
      <c r="J1079" s="2"/>
      <c r="K1079" s="2"/>
      <c r="L1079" s="2"/>
      <c r="M1079" s="2"/>
      <c r="N1079" s="2"/>
      <c r="O1079" s="2"/>
      <c r="P1079" s="2"/>
    </row>
    <row r="1080" spans="1:16" x14ac:dyDescent="0.4">
      <c r="A1080">
        <v>2014</v>
      </c>
      <c r="B1080" s="5" t="s">
        <v>668</v>
      </c>
      <c r="C1080" s="5" t="s">
        <v>728</v>
      </c>
      <c r="D1080" s="25" t="s">
        <v>300</v>
      </c>
      <c r="E1080" s="64" t="s">
        <v>14</v>
      </c>
      <c r="F1080" s="28">
        <v>151</v>
      </c>
      <c r="G1080" s="28">
        <v>84</v>
      </c>
      <c r="H1080" s="12">
        <v>67</v>
      </c>
      <c r="J1080" s="2"/>
      <c r="K1080" s="2"/>
      <c r="L1080" s="2"/>
      <c r="M1080" s="2"/>
      <c r="N1080" s="2"/>
      <c r="O1080" s="2"/>
      <c r="P1080" s="2"/>
    </row>
    <row r="1081" spans="1:16" x14ac:dyDescent="0.4">
      <c r="A1081">
        <v>2014</v>
      </c>
      <c r="B1081" s="5" t="s">
        <v>669</v>
      </c>
      <c r="C1081" s="5" t="s">
        <v>728</v>
      </c>
      <c r="D1081" s="25" t="s">
        <v>300</v>
      </c>
      <c r="E1081" s="64" t="s">
        <v>303</v>
      </c>
      <c r="F1081" s="28">
        <v>52</v>
      </c>
      <c r="G1081" s="28">
        <v>33</v>
      </c>
      <c r="H1081" s="12">
        <v>19</v>
      </c>
      <c r="J1081" s="2"/>
      <c r="K1081" s="2"/>
      <c r="L1081" s="2"/>
      <c r="M1081" s="2"/>
      <c r="N1081" s="2"/>
      <c r="O1081" s="2"/>
      <c r="P1081" s="2"/>
    </row>
    <row r="1082" spans="1:16" x14ac:dyDescent="0.4">
      <c r="A1082">
        <v>2014</v>
      </c>
      <c r="B1082" s="5" t="s">
        <v>670</v>
      </c>
      <c r="C1082" s="5" t="s">
        <v>728</v>
      </c>
      <c r="D1082" s="25" t="s">
        <v>300</v>
      </c>
      <c r="E1082" s="64" t="s">
        <v>304</v>
      </c>
      <c r="F1082" s="28">
        <v>38</v>
      </c>
      <c r="G1082" s="28">
        <v>23</v>
      </c>
      <c r="H1082" s="12">
        <v>15</v>
      </c>
      <c r="J1082" s="2"/>
      <c r="K1082" s="2"/>
      <c r="L1082" s="2"/>
      <c r="M1082" s="2"/>
      <c r="N1082" s="2"/>
      <c r="O1082" s="2"/>
      <c r="P1082" s="2"/>
    </row>
    <row r="1083" spans="1:16" x14ac:dyDescent="0.4">
      <c r="A1083">
        <v>2014</v>
      </c>
      <c r="B1083" s="5" t="s">
        <v>671</v>
      </c>
      <c r="C1083" s="5" t="s">
        <v>728</v>
      </c>
      <c r="D1083" s="25" t="s">
        <v>300</v>
      </c>
      <c r="E1083" s="64" t="s">
        <v>305</v>
      </c>
      <c r="F1083" s="28">
        <v>35</v>
      </c>
      <c r="G1083" s="28">
        <v>24</v>
      </c>
      <c r="H1083" s="12">
        <v>11</v>
      </c>
      <c r="J1083" s="2"/>
      <c r="K1083" s="2"/>
      <c r="L1083" s="2"/>
      <c r="M1083" s="2"/>
      <c r="N1083" s="2"/>
      <c r="O1083" s="2"/>
      <c r="P1083" s="2"/>
    </row>
    <row r="1084" spans="1:16" x14ac:dyDescent="0.4">
      <c r="A1084">
        <v>2014</v>
      </c>
      <c r="B1084" s="5" t="s">
        <v>672</v>
      </c>
      <c r="C1084" s="5" t="s">
        <v>728</v>
      </c>
      <c r="D1084" s="25" t="s">
        <v>300</v>
      </c>
      <c r="E1084" s="64" t="s">
        <v>306</v>
      </c>
      <c r="F1084" s="28">
        <v>249</v>
      </c>
      <c r="G1084" s="28">
        <v>159</v>
      </c>
      <c r="H1084" s="12">
        <v>90</v>
      </c>
      <c r="J1084" s="2"/>
      <c r="K1084" s="2"/>
      <c r="L1084" s="2"/>
      <c r="M1084" s="2"/>
      <c r="N1084" s="2"/>
      <c r="O1084" s="2"/>
      <c r="P1084" s="2"/>
    </row>
    <row r="1085" spans="1:16" x14ac:dyDescent="0.4">
      <c r="A1085">
        <v>2014</v>
      </c>
      <c r="B1085" s="5" t="s">
        <v>673</v>
      </c>
      <c r="C1085" s="5" t="s">
        <v>728</v>
      </c>
      <c r="D1085" s="25" t="s">
        <v>300</v>
      </c>
      <c r="E1085" s="64" t="s">
        <v>307</v>
      </c>
      <c r="F1085" s="28">
        <v>298</v>
      </c>
      <c r="G1085" s="28">
        <v>197</v>
      </c>
      <c r="H1085" s="12">
        <v>101</v>
      </c>
      <c r="J1085" s="2"/>
      <c r="K1085" s="2"/>
      <c r="L1085" s="2"/>
      <c r="M1085" s="2"/>
      <c r="N1085" s="2"/>
      <c r="O1085" s="2"/>
      <c r="P1085" s="2"/>
    </row>
    <row r="1086" spans="1:16" x14ac:dyDescent="0.4">
      <c r="A1086">
        <v>2014</v>
      </c>
      <c r="B1086" s="5" t="s">
        <v>674</v>
      </c>
      <c r="C1086" s="5" t="s">
        <v>728</v>
      </c>
      <c r="D1086" s="25" t="s">
        <v>300</v>
      </c>
      <c r="E1086" s="64" t="s">
        <v>308</v>
      </c>
      <c r="F1086" s="28">
        <v>1763</v>
      </c>
      <c r="G1086" s="28">
        <v>1</v>
      </c>
      <c r="H1086" s="12">
        <v>763</v>
      </c>
      <c r="J1086" s="2"/>
      <c r="K1086" s="2"/>
      <c r="L1086" s="2"/>
      <c r="M1086" s="2"/>
      <c r="N1086" s="2"/>
      <c r="O1086" s="2"/>
      <c r="P1086" s="2"/>
    </row>
    <row r="1087" spans="1:16" x14ac:dyDescent="0.4">
      <c r="A1087">
        <v>2014</v>
      </c>
      <c r="B1087" s="5" t="s">
        <v>675</v>
      </c>
      <c r="C1087" s="5" t="s">
        <v>728</v>
      </c>
      <c r="D1087" s="25" t="s">
        <v>300</v>
      </c>
      <c r="E1087" s="64" t="s">
        <v>51</v>
      </c>
      <c r="F1087" s="28">
        <v>54</v>
      </c>
      <c r="G1087" s="28">
        <v>37</v>
      </c>
      <c r="H1087" s="12">
        <v>17</v>
      </c>
      <c r="J1087" s="2"/>
      <c r="K1087" s="2"/>
      <c r="L1087" s="2"/>
      <c r="M1087" s="2"/>
      <c r="N1087" s="2"/>
      <c r="O1087" s="2"/>
      <c r="P1087" s="2"/>
    </row>
    <row r="1088" spans="1:16" x14ac:dyDescent="0.4">
      <c r="A1088">
        <v>2014</v>
      </c>
      <c r="B1088" s="5" t="s">
        <v>676</v>
      </c>
      <c r="C1088" s="5" t="s">
        <v>728</v>
      </c>
      <c r="D1088" s="25" t="s">
        <v>300</v>
      </c>
      <c r="E1088" s="64" t="s">
        <v>309</v>
      </c>
      <c r="F1088" s="28">
        <v>58</v>
      </c>
      <c r="G1088" s="28">
        <v>40</v>
      </c>
      <c r="H1088" s="12">
        <v>18</v>
      </c>
      <c r="J1088" s="2"/>
      <c r="K1088" s="2"/>
      <c r="L1088" s="2"/>
      <c r="M1088" s="2"/>
      <c r="N1088" s="2"/>
      <c r="O1088" s="2"/>
      <c r="P1088" s="2"/>
    </row>
    <row r="1089" spans="1:16" x14ac:dyDescent="0.4">
      <c r="A1089">
        <v>2014</v>
      </c>
      <c r="B1089" s="5" t="s">
        <v>677</v>
      </c>
      <c r="C1089" s="5" t="s">
        <v>728</v>
      </c>
      <c r="D1089" s="25" t="s">
        <v>300</v>
      </c>
      <c r="E1089" s="64" t="s">
        <v>310</v>
      </c>
      <c r="F1089" s="28">
        <v>97</v>
      </c>
      <c r="G1089" s="28">
        <v>73</v>
      </c>
      <c r="H1089" s="12">
        <v>24</v>
      </c>
      <c r="J1089" s="2"/>
      <c r="K1089" s="2"/>
      <c r="L1089" s="2"/>
      <c r="M1089" s="2"/>
      <c r="N1089" s="2"/>
      <c r="O1089" s="2"/>
      <c r="P1089" s="2"/>
    </row>
    <row r="1090" spans="1:16" x14ac:dyDescent="0.4">
      <c r="A1090">
        <v>2014</v>
      </c>
      <c r="B1090" s="5" t="s">
        <v>678</v>
      </c>
      <c r="C1090" s="5" t="s">
        <v>729</v>
      </c>
      <c r="D1090" s="25" t="s">
        <v>312</v>
      </c>
      <c r="E1090" s="64" t="s">
        <v>311</v>
      </c>
      <c r="F1090" s="28">
        <v>48</v>
      </c>
      <c r="G1090" s="28">
        <v>30</v>
      </c>
      <c r="H1090" s="12">
        <v>18</v>
      </c>
      <c r="J1090" s="2"/>
      <c r="K1090" s="2"/>
      <c r="L1090" s="2"/>
      <c r="M1090" s="2"/>
      <c r="N1090" s="2"/>
      <c r="O1090" s="2"/>
      <c r="P1090" s="2"/>
    </row>
    <row r="1091" spans="1:16" x14ac:dyDescent="0.4">
      <c r="A1091">
        <v>2014</v>
      </c>
      <c r="B1091" s="5" t="s">
        <v>679</v>
      </c>
      <c r="C1091" s="5" t="s">
        <v>729</v>
      </c>
      <c r="D1091" s="25" t="s">
        <v>312</v>
      </c>
      <c r="E1091" s="64" t="s">
        <v>313</v>
      </c>
      <c r="F1091" s="28">
        <v>270</v>
      </c>
      <c r="G1091" s="28">
        <v>179</v>
      </c>
      <c r="H1091" s="12">
        <v>91</v>
      </c>
      <c r="J1091" s="2"/>
      <c r="K1091" s="2"/>
      <c r="L1091" s="2"/>
      <c r="M1091" s="2"/>
      <c r="N1091" s="2"/>
      <c r="O1091" s="2"/>
      <c r="P1091" s="2"/>
    </row>
    <row r="1092" spans="1:16" x14ac:dyDescent="0.4">
      <c r="A1092">
        <v>2014</v>
      </c>
      <c r="B1092" s="5" t="s">
        <v>680</v>
      </c>
      <c r="C1092" s="5" t="s">
        <v>729</v>
      </c>
      <c r="D1092" s="25" t="s">
        <v>312</v>
      </c>
      <c r="E1092" s="64" t="s">
        <v>314</v>
      </c>
      <c r="F1092" s="28">
        <v>1673</v>
      </c>
      <c r="G1092" s="28">
        <v>933</v>
      </c>
      <c r="H1092" s="12">
        <v>740</v>
      </c>
      <c r="J1092" s="2"/>
      <c r="K1092" s="2"/>
      <c r="L1092" s="2"/>
      <c r="M1092" s="2"/>
      <c r="N1092" s="2"/>
      <c r="O1092" s="2"/>
      <c r="P1092" s="2"/>
    </row>
    <row r="1093" spans="1:16" x14ac:dyDescent="0.4">
      <c r="A1093">
        <v>2014</v>
      </c>
      <c r="B1093" s="5" t="s">
        <v>681</v>
      </c>
      <c r="C1093" s="5" t="s">
        <v>729</v>
      </c>
      <c r="D1093" s="25" t="s">
        <v>312</v>
      </c>
      <c r="E1093" s="64" t="s">
        <v>315</v>
      </c>
      <c r="F1093" s="28">
        <v>109</v>
      </c>
      <c r="G1093" s="28">
        <v>74</v>
      </c>
      <c r="H1093" s="12">
        <v>35</v>
      </c>
      <c r="J1093" s="2"/>
      <c r="K1093" s="2"/>
      <c r="L1093" s="2"/>
      <c r="M1093" s="2"/>
      <c r="N1093" s="2"/>
      <c r="O1093" s="2"/>
      <c r="P1093" s="2"/>
    </row>
    <row r="1094" spans="1:16" x14ac:dyDescent="0.4">
      <c r="A1094">
        <v>2014</v>
      </c>
      <c r="B1094" s="5" t="s">
        <v>682</v>
      </c>
      <c r="C1094" s="5" t="s">
        <v>729</v>
      </c>
      <c r="D1094" s="25" t="s">
        <v>312</v>
      </c>
      <c r="E1094" s="64" t="s">
        <v>316</v>
      </c>
      <c r="F1094" s="28">
        <v>600</v>
      </c>
      <c r="G1094" s="28">
        <v>399</v>
      </c>
      <c r="H1094" s="12">
        <v>201</v>
      </c>
      <c r="J1094" s="2"/>
      <c r="K1094" s="2"/>
      <c r="L1094" s="2"/>
      <c r="M1094" s="2"/>
      <c r="N1094" s="2"/>
      <c r="O1094" s="2"/>
      <c r="P1094" s="2"/>
    </row>
    <row r="1095" spans="1:16" x14ac:dyDescent="0.4">
      <c r="A1095">
        <v>2014</v>
      </c>
      <c r="B1095" s="5" t="s">
        <v>683</v>
      </c>
      <c r="C1095" s="5" t="s">
        <v>729</v>
      </c>
      <c r="D1095" s="25" t="s">
        <v>312</v>
      </c>
      <c r="E1095" s="64" t="s">
        <v>317</v>
      </c>
      <c r="F1095" s="28">
        <v>78</v>
      </c>
      <c r="G1095" s="28">
        <v>61</v>
      </c>
      <c r="H1095" s="12">
        <v>17</v>
      </c>
      <c r="J1095" s="2"/>
      <c r="K1095" s="2"/>
      <c r="L1095" s="2"/>
      <c r="M1095" s="2"/>
      <c r="N1095" s="2"/>
      <c r="O1095" s="2"/>
      <c r="P1095" s="2"/>
    </row>
    <row r="1096" spans="1:16" x14ac:dyDescent="0.4">
      <c r="A1096">
        <v>2014</v>
      </c>
      <c r="B1096" s="5" t="s">
        <v>684</v>
      </c>
      <c r="C1096" s="5" t="s">
        <v>729</v>
      </c>
      <c r="D1096" s="25" t="s">
        <v>312</v>
      </c>
      <c r="E1096" s="64" t="s">
        <v>318</v>
      </c>
      <c r="F1096" s="28">
        <v>418</v>
      </c>
      <c r="G1096" s="28">
        <v>277</v>
      </c>
      <c r="H1096" s="12">
        <v>141</v>
      </c>
      <c r="J1096" s="2"/>
      <c r="K1096" s="2"/>
      <c r="L1096" s="2"/>
      <c r="M1096" s="2"/>
      <c r="N1096" s="2"/>
      <c r="O1096" s="2"/>
      <c r="P1096" s="2"/>
    </row>
    <row r="1097" spans="1:16" x14ac:dyDescent="0.4">
      <c r="A1097">
        <v>2014</v>
      </c>
      <c r="B1097" s="5" t="s">
        <v>685</v>
      </c>
      <c r="C1097" s="5" t="s">
        <v>729</v>
      </c>
      <c r="D1097" s="25" t="s">
        <v>312</v>
      </c>
      <c r="E1097" s="64" t="s">
        <v>319</v>
      </c>
      <c r="F1097" s="28">
        <v>123</v>
      </c>
      <c r="G1097" s="28">
        <v>84</v>
      </c>
      <c r="H1097" s="12">
        <v>39</v>
      </c>
      <c r="J1097" s="2"/>
      <c r="K1097" s="2"/>
      <c r="L1097" s="2"/>
      <c r="M1097" s="2"/>
      <c r="N1097" s="2"/>
      <c r="O1097" s="2"/>
      <c r="P1097" s="2"/>
    </row>
    <row r="1098" spans="1:16" x14ac:dyDescent="0.4">
      <c r="A1098">
        <v>2014</v>
      </c>
      <c r="B1098" s="5" t="s">
        <v>686</v>
      </c>
      <c r="C1098" s="5" t="s">
        <v>729</v>
      </c>
      <c r="D1098" s="25" t="s">
        <v>312</v>
      </c>
      <c r="E1098" s="64" t="s">
        <v>320</v>
      </c>
      <c r="F1098" s="28">
        <v>326</v>
      </c>
      <c r="G1098" s="28">
        <v>217</v>
      </c>
      <c r="H1098" s="12">
        <v>109</v>
      </c>
      <c r="J1098" s="2"/>
      <c r="K1098" s="2"/>
      <c r="L1098" s="2"/>
      <c r="M1098" s="2"/>
      <c r="N1098" s="2"/>
      <c r="O1098" s="2"/>
      <c r="P1098" s="2"/>
    </row>
    <row r="1099" spans="1:16" x14ac:dyDescent="0.4">
      <c r="A1099">
        <v>2014</v>
      </c>
      <c r="B1099" s="5" t="s">
        <v>687</v>
      </c>
      <c r="C1099" s="5" t="s">
        <v>729</v>
      </c>
      <c r="D1099" s="25" t="s">
        <v>312</v>
      </c>
      <c r="E1099" s="64" t="s">
        <v>321</v>
      </c>
      <c r="F1099" s="28">
        <v>1219</v>
      </c>
      <c r="G1099" s="28">
        <v>705</v>
      </c>
      <c r="H1099" s="12">
        <v>514</v>
      </c>
      <c r="J1099" s="2"/>
      <c r="K1099" s="2"/>
      <c r="L1099" s="2"/>
      <c r="M1099" s="2"/>
      <c r="N1099" s="2"/>
      <c r="O1099" s="2"/>
      <c r="P1099" s="2"/>
    </row>
    <row r="1100" spans="1:16" x14ac:dyDescent="0.4">
      <c r="A1100">
        <v>2014</v>
      </c>
      <c r="B1100" s="5" t="s">
        <v>688</v>
      </c>
      <c r="C1100" s="5" t="s">
        <v>729</v>
      </c>
      <c r="D1100" s="25" t="s">
        <v>312</v>
      </c>
      <c r="E1100" s="64" t="s">
        <v>322</v>
      </c>
      <c r="F1100" s="28">
        <v>493</v>
      </c>
      <c r="G1100" s="28">
        <v>315</v>
      </c>
      <c r="H1100" s="12">
        <v>178</v>
      </c>
      <c r="J1100" s="2"/>
      <c r="K1100" s="2"/>
      <c r="L1100" s="2"/>
      <c r="M1100" s="2"/>
      <c r="N1100" s="2"/>
      <c r="O1100" s="2"/>
      <c r="P1100" s="2"/>
    </row>
    <row r="1101" spans="1:16" x14ac:dyDescent="0.4">
      <c r="A1101">
        <v>2014</v>
      </c>
      <c r="B1101" s="5" t="s">
        <v>689</v>
      </c>
      <c r="C1101" s="5" t="s">
        <v>729</v>
      </c>
      <c r="D1101" s="25" t="s">
        <v>312</v>
      </c>
      <c r="E1101" s="64" t="s">
        <v>323</v>
      </c>
      <c r="F1101" s="28">
        <v>868</v>
      </c>
      <c r="G1101" s="28">
        <v>546</v>
      </c>
      <c r="H1101" s="12">
        <v>322</v>
      </c>
      <c r="J1101" s="2"/>
      <c r="K1101" s="2"/>
      <c r="L1101" s="2"/>
      <c r="M1101" s="2"/>
      <c r="N1101" s="2"/>
      <c r="O1101" s="2"/>
      <c r="P1101" s="2"/>
    </row>
    <row r="1102" spans="1:16" x14ac:dyDescent="0.4">
      <c r="A1102">
        <v>2014</v>
      </c>
      <c r="B1102" s="5" t="s">
        <v>690</v>
      </c>
      <c r="C1102" s="5" t="s">
        <v>729</v>
      </c>
      <c r="D1102" s="25" t="s">
        <v>312</v>
      </c>
      <c r="E1102" s="64" t="s">
        <v>324</v>
      </c>
      <c r="F1102" s="28">
        <v>12006</v>
      </c>
      <c r="G1102" s="28">
        <v>6736</v>
      </c>
      <c r="H1102" s="12">
        <v>5270</v>
      </c>
      <c r="J1102" s="2"/>
      <c r="K1102" s="2"/>
      <c r="L1102" s="2"/>
      <c r="M1102" s="2"/>
      <c r="N1102" s="2"/>
      <c r="O1102" s="2"/>
      <c r="P1102" s="2"/>
    </row>
    <row r="1103" spans="1:16" x14ac:dyDescent="0.4">
      <c r="A1103">
        <v>2014</v>
      </c>
      <c r="B1103" s="5" t="s">
        <v>691</v>
      </c>
      <c r="C1103" s="5" t="s">
        <v>729</v>
      </c>
      <c r="D1103" s="25" t="s">
        <v>312</v>
      </c>
      <c r="E1103" s="64" t="s">
        <v>85</v>
      </c>
      <c r="F1103" s="28">
        <v>384</v>
      </c>
      <c r="G1103" s="28">
        <v>262</v>
      </c>
      <c r="H1103" s="12">
        <v>122</v>
      </c>
      <c r="J1103" s="2"/>
      <c r="K1103" s="2"/>
      <c r="L1103" s="2"/>
      <c r="M1103" s="2"/>
      <c r="N1103" s="2"/>
      <c r="O1103" s="2"/>
      <c r="P1103" s="2"/>
    </row>
    <row r="1104" spans="1:16" x14ac:dyDescent="0.4">
      <c r="A1104">
        <v>2014</v>
      </c>
      <c r="B1104" s="5" t="s">
        <v>692</v>
      </c>
      <c r="C1104" s="5" t="s">
        <v>729</v>
      </c>
      <c r="D1104" s="25" t="s">
        <v>312</v>
      </c>
      <c r="E1104" s="64" t="s">
        <v>32</v>
      </c>
      <c r="F1104" s="28">
        <v>133</v>
      </c>
      <c r="G1104" s="28">
        <v>91</v>
      </c>
      <c r="H1104" s="12">
        <v>42</v>
      </c>
      <c r="J1104" s="2"/>
      <c r="K1104" s="2"/>
      <c r="L1104" s="2"/>
      <c r="M1104" s="2"/>
      <c r="N1104" s="2"/>
      <c r="O1104" s="2"/>
      <c r="P1104" s="2"/>
    </row>
    <row r="1105" spans="1:16" x14ac:dyDescent="0.4">
      <c r="A1105">
        <v>2014</v>
      </c>
      <c r="B1105" s="5" t="s">
        <v>693</v>
      </c>
      <c r="C1105" s="5" t="s">
        <v>729</v>
      </c>
      <c r="D1105" s="25" t="s">
        <v>312</v>
      </c>
      <c r="E1105" s="64" t="s">
        <v>325</v>
      </c>
      <c r="F1105" s="28">
        <v>354</v>
      </c>
      <c r="G1105" s="28">
        <v>213</v>
      </c>
      <c r="H1105" s="12">
        <v>141</v>
      </c>
      <c r="J1105" s="2"/>
      <c r="K1105" s="2"/>
      <c r="L1105" s="2"/>
      <c r="M1105" s="2"/>
      <c r="N1105" s="2"/>
      <c r="O1105" s="2"/>
      <c r="P1105" s="2"/>
    </row>
    <row r="1106" spans="1:16" x14ac:dyDescent="0.4">
      <c r="A1106">
        <v>2014</v>
      </c>
      <c r="B1106" s="5" t="s">
        <v>694</v>
      </c>
      <c r="C1106" s="5" t="s">
        <v>729</v>
      </c>
      <c r="D1106" s="25" t="s">
        <v>312</v>
      </c>
      <c r="E1106" s="64" t="s">
        <v>144</v>
      </c>
      <c r="F1106" s="28">
        <v>1593</v>
      </c>
      <c r="G1106" s="28">
        <v>938</v>
      </c>
      <c r="H1106" s="12">
        <v>655</v>
      </c>
      <c r="J1106" s="2"/>
      <c r="K1106" s="2"/>
      <c r="L1106" s="2"/>
      <c r="M1106" s="2"/>
      <c r="N1106" s="2"/>
      <c r="O1106" s="2"/>
      <c r="P1106" s="2"/>
    </row>
    <row r="1107" spans="1:16" x14ac:dyDescent="0.4">
      <c r="A1107">
        <v>2014</v>
      </c>
      <c r="B1107" s="5" t="s">
        <v>695</v>
      </c>
      <c r="C1107" s="5" t="s">
        <v>729</v>
      </c>
      <c r="D1107" s="25" t="s">
        <v>312</v>
      </c>
      <c r="E1107" s="64" t="s">
        <v>326</v>
      </c>
      <c r="F1107" s="28">
        <v>206</v>
      </c>
      <c r="G1107" s="28">
        <v>135</v>
      </c>
      <c r="H1107" s="12">
        <v>71</v>
      </c>
      <c r="J1107" s="2"/>
      <c r="K1107" s="2"/>
      <c r="L1107" s="2"/>
      <c r="M1107" s="2"/>
      <c r="N1107" s="2"/>
      <c r="O1107" s="2"/>
      <c r="P1107" s="2"/>
    </row>
    <row r="1108" spans="1:16" x14ac:dyDescent="0.4">
      <c r="A1108">
        <v>2014</v>
      </c>
      <c r="B1108" s="5" t="s">
        <v>696</v>
      </c>
      <c r="C1108" s="5" t="s">
        <v>729</v>
      </c>
      <c r="D1108" s="25" t="s">
        <v>312</v>
      </c>
      <c r="E1108" s="64" t="s">
        <v>25</v>
      </c>
      <c r="F1108" s="28">
        <v>91</v>
      </c>
      <c r="G1108" s="28">
        <v>62</v>
      </c>
      <c r="H1108" s="12">
        <v>29</v>
      </c>
      <c r="J1108" s="2"/>
      <c r="K1108" s="2"/>
      <c r="L1108" s="2"/>
      <c r="M1108" s="2"/>
      <c r="N1108" s="2"/>
      <c r="O1108" s="2"/>
      <c r="P1108" s="2"/>
    </row>
    <row r="1109" spans="1:16" x14ac:dyDescent="0.4">
      <c r="A1109">
        <v>2014</v>
      </c>
      <c r="B1109" s="5" t="s">
        <v>697</v>
      </c>
      <c r="C1109" s="5" t="s">
        <v>729</v>
      </c>
      <c r="D1109" s="25" t="s">
        <v>312</v>
      </c>
      <c r="E1109" s="65" t="s">
        <v>51</v>
      </c>
      <c r="F1109" s="28">
        <v>224</v>
      </c>
      <c r="G1109" s="28">
        <v>159</v>
      </c>
      <c r="H1109" s="12">
        <v>65</v>
      </c>
      <c r="J1109" s="2"/>
      <c r="K1109" s="2"/>
      <c r="L1109" s="2"/>
      <c r="M1109" s="2"/>
      <c r="N1109" s="2"/>
      <c r="O1109" s="2"/>
      <c r="P1109" s="2"/>
    </row>
    <row r="1110" spans="1:16" x14ac:dyDescent="0.4">
      <c r="A1110">
        <v>2014</v>
      </c>
      <c r="B1110" s="2" t="s">
        <v>698</v>
      </c>
      <c r="C1110" s="2" t="s">
        <v>729</v>
      </c>
      <c r="D1110" s="2" t="s">
        <v>312</v>
      </c>
      <c r="E1110" s="64" t="s">
        <v>327</v>
      </c>
      <c r="F1110" s="28">
        <v>123</v>
      </c>
      <c r="G1110" s="28">
        <v>83</v>
      </c>
      <c r="H1110" s="12">
        <v>40</v>
      </c>
      <c r="J1110" s="2"/>
      <c r="K1110" s="2"/>
      <c r="L1110" s="2"/>
      <c r="M1110" s="2"/>
      <c r="N1110" s="2"/>
      <c r="O1110" s="2"/>
      <c r="P1110" s="2"/>
    </row>
    <row r="1111" spans="1:16" x14ac:dyDescent="0.4">
      <c r="A1111">
        <v>2014</v>
      </c>
      <c r="B1111" s="2" t="s">
        <v>733</v>
      </c>
      <c r="C1111" s="2" t="s">
        <v>715</v>
      </c>
      <c r="D1111" s="2" t="s">
        <v>734</v>
      </c>
      <c r="E1111" s="67" t="s">
        <v>735</v>
      </c>
      <c r="F1111" s="28">
        <v>0</v>
      </c>
      <c r="G1111" s="28">
        <v>0</v>
      </c>
      <c r="H1111" s="12">
        <v>0</v>
      </c>
      <c r="J1111" s="2"/>
      <c r="K1111" s="2"/>
      <c r="L1111" s="2"/>
      <c r="M1111" s="2"/>
      <c r="N1111" s="2"/>
      <c r="O1111" s="2"/>
      <c r="P1111" s="2"/>
    </row>
    <row r="1112" spans="1:16" x14ac:dyDescent="0.4">
      <c r="A1112">
        <v>2013</v>
      </c>
      <c r="B1112" s="5" t="str">
        <f>+C1112&amp;"-"&amp;E1112</f>
        <v>VA-Municipio Autónomo Vargas</v>
      </c>
      <c r="C1112" s="5" t="str">
        <f>+MID(D1112,1,2)</f>
        <v>VA</v>
      </c>
      <c r="D1112" s="25" t="s">
        <v>288</v>
      </c>
      <c r="E1112" s="64" t="s">
        <v>757</v>
      </c>
      <c r="F1112" s="2">
        <v>0</v>
      </c>
      <c r="G1112" s="2">
        <v>0</v>
      </c>
      <c r="H1112" s="2">
        <v>0</v>
      </c>
      <c r="J1112" s="2"/>
      <c r="K1112" s="2"/>
      <c r="L1112" s="2"/>
      <c r="M1112" s="2"/>
      <c r="N1112" s="2"/>
      <c r="O1112" s="2"/>
      <c r="P1112" s="2"/>
    </row>
    <row r="1113" spans="1:16" x14ac:dyDescent="0.4">
      <c r="A1113">
        <v>2013</v>
      </c>
      <c r="B1113" s="5" t="str">
        <f>+C1113&amp;"-"&amp;E1113</f>
        <v>DI-Municipio Autónomo Libertador</v>
      </c>
      <c r="C1113" s="5" t="str">
        <f>+MID(D1113,1,2)</f>
        <v>DI</v>
      </c>
      <c r="D1113" s="25" t="s">
        <v>106</v>
      </c>
      <c r="E1113" s="64" t="s">
        <v>756</v>
      </c>
      <c r="F1113" s="2">
        <v>0</v>
      </c>
      <c r="G1113" s="2">
        <v>0</v>
      </c>
      <c r="H1113" s="2">
        <v>0</v>
      </c>
      <c r="J1113" s="2"/>
      <c r="K1113" s="2"/>
      <c r="L1113" s="2"/>
      <c r="M1113" s="2"/>
      <c r="N1113" s="2"/>
      <c r="O1113" s="2"/>
      <c r="P1113" s="2"/>
    </row>
    <row r="1114" spans="1:16" x14ac:dyDescent="0.4">
      <c r="A1114">
        <v>2013</v>
      </c>
      <c r="B1114" s="2" t="s">
        <v>335</v>
      </c>
      <c r="C1114" s="2" t="s">
        <v>706</v>
      </c>
      <c r="D1114" s="2" t="s">
        <v>106</v>
      </c>
      <c r="E1114" s="68" t="s">
        <v>105</v>
      </c>
      <c r="F1114" s="28">
        <v>126</v>
      </c>
      <c r="G1114" s="28">
        <v>73</v>
      </c>
      <c r="H1114" s="12">
        <v>53</v>
      </c>
      <c r="J1114" s="2"/>
      <c r="K1114" s="2"/>
      <c r="L1114" s="2"/>
      <c r="M1114" s="2"/>
      <c r="N1114" s="2"/>
      <c r="O1114" s="2"/>
      <c r="P1114" s="2"/>
    </row>
    <row r="1115" spans="1:16" x14ac:dyDescent="0.4">
      <c r="A1115">
        <v>2013</v>
      </c>
      <c r="B1115" s="2" t="s">
        <v>336</v>
      </c>
      <c r="C1115" s="2" t="s">
        <v>706</v>
      </c>
      <c r="D1115" s="2" t="s">
        <v>106</v>
      </c>
      <c r="E1115" s="68" t="s">
        <v>107</v>
      </c>
      <c r="F1115" s="28">
        <v>475</v>
      </c>
      <c r="G1115" s="28">
        <v>301</v>
      </c>
      <c r="H1115" s="12">
        <v>174</v>
      </c>
      <c r="J1115" s="2"/>
      <c r="K1115" s="2"/>
      <c r="L1115" s="2"/>
      <c r="M1115" s="2"/>
      <c r="N1115" s="2"/>
      <c r="O1115" s="2"/>
      <c r="P1115" s="2"/>
    </row>
    <row r="1116" spans="1:16" x14ac:dyDescent="0.4">
      <c r="A1116">
        <v>2013</v>
      </c>
      <c r="B1116" s="2" t="s">
        <v>337</v>
      </c>
      <c r="C1116" s="2" t="s">
        <v>706</v>
      </c>
      <c r="D1116" s="2" t="s">
        <v>106</v>
      </c>
      <c r="E1116" s="68" t="s">
        <v>108</v>
      </c>
      <c r="F1116" s="28">
        <v>204</v>
      </c>
      <c r="G1116" s="28">
        <v>106</v>
      </c>
      <c r="H1116" s="12">
        <v>98</v>
      </c>
      <c r="J1116" s="2"/>
      <c r="K1116" s="2"/>
      <c r="L1116" s="2"/>
      <c r="M1116" s="2"/>
      <c r="N1116" s="2"/>
      <c r="O1116" s="2"/>
      <c r="P1116" s="2"/>
    </row>
    <row r="1117" spans="1:16" x14ac:dyDescent="0.4">
      <c r="A1117">
        <v>2013</v>
      </c>
      <c r="B1117" s="2" t="s">
        <v>338</v>
      </c>
      <c r="C1117" s="2" t="s">
        <v>706</v>
      </c>
      <c r="D1117" s="2" t="s">
        <v>106</v>
      </c>
      <c r="E1117" s="68" t="s">
        <v>109</v>
      </c>
      <c r="F1117" s="28">
        <v>453</v>
      </c>
      <c r="G1117" s="28">
        <v>269</v>
      </c>
      <c r="H1117" s="12">
        <v>184</v>
      </c>
      <c r="J1117" s="2"/>
      <c r="K1117" s="2"/>
      <c r="L1117" s="2"/>
      <c r="M1117" s="2"/>
      <c r="N1117" s="2"/>
      <c r="O1117" s="2"/>
      <c r="P1117" s="2"/>
    </row>
    <row r="1118" spans="1:16" x14ac:dyDescent="0.4">
      <c r="A1118">
        <v>2013</v>
      </c>
      <c r="B1118" s="2" t="s">
        <v>339</v>
      </c>
      <c r="C1118" s="2" t="s">
        <v>706</v>
      </c>
      <c r="D1118" s="2" t="s">
        <v>106</v>
      </c>
      <c r="E1118" s="68" t="s">
        <v>110</v>
      </c>
      <c r="F1118" s="28">
        <v>73</v>
      </c>
      <c r="G1118" s="28">
        <v>45</v>
      </c>
      <c r="H1118" s="12">
        <v>28</v>
      </c>
      <c r="J1118" s="2"/>
      <c r="K1118" s="2"/>
      <c r="L1118" s="2"/>
      <c r="M1118" s="2"/>
      <c r="N1118" s="2"/>
      <c r="O1118" s="2"/>
      <c r="P1118" s="2"/>
    </row>
    <row r="1119" spans="1:16" x14ac:dyDescent="0.4">
      <c r="A1119">
        <v>2013</v>
      </c>
      <c r="B1119" s="2" t="s">
        <v>340</v>
      </c>
      <c r="C1119" s="2" t="s">
        <v>706</v>
      </c>
      <c r="D1119" s="2" t="s">
        <v>106</v>
      </c>
      <c r="E1119" s="68" t="s">
        <v>111</v>
      </c>
      <c r="F1119" s="28">
        <v>440</v>
      </c>
      <c r="G1119" s="28">
        <v>321</v>
      </c>
      <c r="H1119" s="12">
        <v>119</v>
      </c>
      <c r="J1119" s="2"/>
      <c r="K1119" s="2"/>
      <c r="L1119" s="2"/>
      <c r="M1119" s="2"/>
      <c r="N1119" s="2"/>
      <c r="O1119" s="2"/>
      <c r="P1119" s="2"/>
    </row>
    <row r="1120" spans="1:16" x14ac:dyDescent="0.4">
      <c r="A1120">
        <v>2013</v>
      </c>
      <c r="B1120" s="2" t="s">
        <v>341</v>
      </c>
      <c r="C1120" s="2" t="s">
        <v>706</v>
      </c>
      <c r="D1120" s="2" t="s">
        <v>106</v>
      </c>
      <c r="E1120" s="68" t="s">
        <v>112</v>
      </c>
      <c r="F1120" s="28">
        <v>188</v>
      </c>
      <c r="G1120" s="28">
        <v>131</v>
      </c>
      <c r="H1120" s="12">
        <v>57</v>
      </c>
      <c r="J1120" s="2"/>
      <c r="K1120" s="2"/>
      <c r="L1120" s="2"/>
      <c r="M1120" s="2"/>
      <c r="N1120" s="2"/>
      <c r="O1120" s="2"/>
      <c r="P1120" s="2"/>
    </row>
    <row r="1121" spans="1:16" x14ac:dyDescent="0.4">
      <c r="A1121">
        <v>2013</v>
      </c>
      <c r="B1121" s="2" t="s">
        <v>342</v>
      </c>
      <c r="C1121" s="2" t="s">
        <v>706</v>
      </c>
      <c r="D1121" s="2" t="s">
        <v>106</v>
      </c>
      <c r="E1121" s="68" t="s">
        <v>113</v>
      </c>
      <c r="F1121" s="28">
        <v>2732</v>
      </c>
      <c r="G1121" s="28">
        <v>1716</v>
      </c>
      <c r="H1121" s="12">
        <v>1016</v>
      </c>
      <c r="J1121" s="2"/>
      <c r="K1121" s="2"/>
      <c r="L1121" s="2"/>
      <c r="M1121" s="2"/>
      <c r="N1121" s="2"/>
      <c r="O1121" s="2"/>
      <c r="P1121" s="2"/>
    </row>
    <row r="1122" spans="1:16" x14ac:dyDescent="0.4">
      <c r="A1122">
        <v>2013</v>
      </c>
      <c r="B1122" s="2" t="s">
        <v>343</v>
      </c>
      <c r="C1122" s="2" t="s">
        <v>706</v>
      </c>
      <c r="D1122" s="2" t="s">
        <v>106</v>
      </c>
      <c r="E1122" s="68" t="s">
        <v>114</v>
      </c>
      <c r="F1122" s="28">
        <v>704</v>
      </c>
      <c r="G1122" s="28">
        <v>386</v>
      </c>
      <c r="H1122" s="12">
        <v>318</v>
      </c>
      <c r="J1122" s="2"/>
      <c r="K1122" s="2"/>
      <c r="L1122" s="2"/>
      <c r="M1122" s="2"/>
      <c r="N1122" s="2"/>
      <c r="O1122" s="2"/>
      <c r="P1122" s="2"/>
    </row>
    <row r="1123" spans="1:16" x14ac:dyDescent="0.4">
      <c r="A1123">
        <v>2013</v>
      </c>
      <c r="B1123" s="2" t="s">
        <v>344</v>
      </c>
      <c r="C1123" s="2" t="s">
        <v>706</v>
      </c>
      <c r="D1123" s="2" t="s">
        <v>106</v>
      </c>
      <c r="E1123" s="68" t="s">
        <v>115</v>
      </c>
      <c r="F1123" s="28">
        <v>437</v>
      </c>
      <c r="G1123" s="28">
        <v>277</v>
      </c>
      <c r="H1123" s="12">
        <v>160</v>
      </c>
      <c r="J1123" s="2"/>
      <c r="K1123" s="2"/>
      <c r="L1123" s="2"/>
      <c r="M1123" s="2"/>
      <c r="N1123" s="2"/>
      <c r="O1123" s="2"/>
      <c r="P1123" s="2"/>
    </row>
    <row r="1124" spans="1:16" x14ac:dyDescent="0.4">
      <c r="A1124">
        <v>2013</v>
      </c>
      <c r="B1124" s="2" t="s">
        <v>345</v>
      </c>
      <c r="C1124" s="2" t="s">
        <v>706</v>
      </c>
      <c r="D1124" s="2" t="s">
        <v>106</v>
      </c>
      <c r="E1124" s="68" t="s">
        <v>116</v>
      </c>
      <c r="F1124" s="28">
        <v>375</v>
      </c>
      <c r="G1124" s="28">
        <v>221</v>
      </c>
      <c r="H1124" s="12">
        <v>154</v>
      </c>
      <c r="J1124" s="2"/>
      <c r="K1124" s="2"/>
      <c r="L1124" s="2"/>
      <c r="M1124" s="2"/>
      <c r="N1124" s="2"/>
      <c r="O1124" s="2"/>
      <c r="P1124" s="2"/>
    </row>
    <row r="1125" spans="1:16" x14ac:dyDescent="0.4">
      <c r="A1125">
        <v>2013</v>
      </c>
      <c r="B1125" s="2" t="s">
        <v>346</v>
      </c>
      <c r="C1125" s="2" t="s">
        <v>706</v>
      </c>
      <c r="D1125" s="2" t="s">
        <v>106</v>
      </c>
      <c r="E1125" s="67" t="s">
        <v>117</v>
      </c>
      <c r="F1125" s="12">
        <v>1070</v>
      </c>
      <c r="G1125" s="12">
        <v>629</v>
      </c>
      <c r="H1125" s="12">
        <v>441</v>
      </c>
      <c r="J1125" s="2"/>
      <c r="K1125" s="2"/>
      <c r="L1125" s="2"/>
      <c r="M1125" s="2"/>
      <c r="N1125" s="2"/>
      <c r="O1125" s="2"/>
      <c r="P1125" s="2"/>
    </row>
    <row r="1126" spans="1:16" x14ac:dyDescent="0.4">
      <c r="A1126">
        <v>2013</v>
      </c>
      <c r="B1126" s="2" t="s">
        <v>347</v>
      </c>
      <c r="C1126" s="2" t="s">
        <v>706</v>
      </c>
      <c r="D1126" s="2" t="s">
        <v>106</v>
      </c>
      <c r="E1126" s="67" t="s">
        <v>118</v>
      </c>
      <c r="F1126" s="12">
        <v>137</v>
      </c>
      <c r="G1126" s="12">
        <v>95</v>
      </c>
      <c r="H1126" s="12">
        <v>42</v>
      </c>
      <c r="J1126" s="2"/>
      <c r="K1126" s="2"/>
      <c r="L1126" s="2"/>
      <c r="M1126" s="2"/>
      <c r="N1126" s="2"/>
      <c r="O1126" s="2"/>
      <c r="P1126" s="2"/>
    </row>
    <row r="1127" spans="1:16" x14ac:dyDescent="0.4">
      <c r="A1127">
        <v>2013</v>
      </c>
      <c r="B1127" s="2" t="s">
        <v>348</v>
      </c>
      <c r="C1127" s="2" t="s">
        <v>706</v>
      </c>
      <c r="D1127" s="2" t="s">
        <v>106</v>
      </c>
      <c r="E1127" s="67" t="s">
        <v>119</v>
      </c>
      <c r="F1127" s="12">
        <v>127</v>
      </c>
      <c r="G1127" s="12">
        <v>86</v>
      </c>
      <c r="H1127" s="12">
        <v>41</v>
      </c>
      <c r="J1127" s="2"/>
      <c r="K1127" s="2"/>
      <c r="L1127" s="2"/>
      <c r="M1127" s="2"/>
      <c r="N1127" s="2"/>
      <c r="O1127" s="2"/>
      <c r="P1127" s="2"/>
    </row>
    <row r="1128" spans="1:16" x14ac:dyDescent="0.4">
      <c r="A1128">
        <v>2013</v>
      </c>
      <c r="B1128" s="2" t="s">
        <v>349</v>
      </c>
      <c r="C1128" s="2" t="s">
        <v>706</v>
      </c>
      <c r="D1128" s="2" t="s">
        <v>106</v>
      </c>
      <c r="E1128" s="67" t="s">
        <v>120</v>
      </c>
      <c r="F1128" s="12">
        <v>1091</v>
      </c>
      <c r="G1128" s="12">
        <v>578</v>
      </c>
      <c r="H1128" s="12">
        <v>513</v>
      </c>
      <c r="J1128" s="2"/>
      <c r="K1128" s="2"/>
      <c r="L1128" s="2"/>
      <c r="M1128" s="2"/>
      <c r="N1128" s="2"/>
      <c r="O1128" s="2"/>
      <c r="P1128" s="2"/>
    </row>
    <row r="1129" spans="1:16" x14ac:dyDescent="0.4">
      <c r="A1129">
        <v>2013</v>
      </c>
      <c r="B1129" s="2" t="s">
        <v>350</v>
      </c>
      <c r="C1129" s="2" t="s">
        <v>706</v>
      </c>
      <c r="D1129" s="2" t="s">
        <v>106</v>
      </c>
      <c r="E1129" s="67" t="s">
        <v>121</v>
      </c>
      <c r="F1129" s="12">
        <v>656</v>
      </c>
      <c r="G1129" s="12">
        <v>316</v>
      </c>
      <c r="H1129" s="12">
        <v>340</v>
      </c>
      <c r="J1129" s="2"/>
      <c r="K1129" s="2"/>
      <c r="L1129" s="2"/>
      <c r="M1129" s="2"/>
      <c r="N1129" s="2"/>
      <c r="O1129" s="2"/>
      <c r="P1129" s="2"/>
    </row>
    <row r="1130" spans="1:16" x14ac:dyDescent="0.4">
      <c r="A1130">
        <v>2013</v>
      </c>
      <c r="B1130" s="7" t="s">
        <v>351</v>
      </c>
      <c r="C1130" s="7" t="s">
        <v>706</v>
      </c>
      <c r="D1130" s="7" t="s">
        <v>106</v>
      </c>
      <c r="E1130" s="69" t="s">
        <v>122</v>
      </c>
      <c r="F1130" s="11">
        <v>2344</v>
      </c>
      <c r="G1130" s="11">
        <v>1341</v>
      </c>
      <c r="H1130" s="12">
        <v>1003</v>
      </c>
      <c r="J1130" s="2"/>
      <c r="K1130" s="2"/>
      <c r="L1130" s="2"/>
      <c r="M1130" s="2"/>
      <c r="N1130" s="2"/>
      <c r="O1130" s="2"/>
      <c r="P1130" s="2"/>
    </row>
    <row r="1131" spans="1:16" x14ac:dyDescent="0.4">
      <c r="A1131">
        <v>2013</v>
      </c>
      <c r="B1131" s="2" t="s">
        <v>352</v>
      </c>
      <c r="C1131" s="2" t="s">
        <v>706</v>
      </c>
      <c r="D1131" s="2" t="s">
        <v>106</v>
      </c>
      <c r="E1131" s="67" t="s">
        <v>123</v>
      </c>
      <c r="F1131" s="12">
        <v>2167</v>
      </c>
      <c r="G1131" s="12">
        <v>1199</v>
      </c>
      <c r="H1131" s="12">
        <v>968</v>
      </c>
      <c r="J1131" s="2"/>
      <c r="K1131" s="2"/>
      <c r="L1131" s="2"/>
      <c r="M1131" s="2"/>
      <c r="N1131" s="2"/>
      <c r="O1131" s="2"/>
      <c r="P1131" s="2"/>
    </row>
    <row r="1132" spans="1:16" x14ac:dyDescent="0.4">
      <c r="A1132">
        <v>2013</v>
      </c>
      <c r="B1132" s="2" t="s">
        <v>353</v>
      </c>
      <c r="C1132" s="2" t="s">
        <v>706</v>
      </c>
      <c r="D1132" s="2" t="s">
        <v>106</v>
      </c>
      <c r="E1132" s="67" t="s">
        <v>124</v>
      </c>
      <c r="F1132" s="12">
        <v>694</v>
      </c>
      <c r="G1132" s="12">
        <v>378</v>
      </c>
      <c r="H1132" s="12">
        <v>316</v>
      </c>
      <c r="J1132" s="2"/>
      <c r="K1132" s="2"/>
      <c r="L1132" s="2"/>
      <c r="M1132" s="2"/>
      <c r="N1132" s="2"/>
      <c r="O1132" s="2"/>
      <c r="P1132" s="2"/>
    </row>
    <row r="1133" spans="1:16" x14ac:dyDescent="0.4">
      <c r="A1133">
        <v>2013</v>
      </c>
      <c r="B1133" s="2" t="s">
        <v>354</v>
      </c>
      <c r="C1133" s="2" t="s">
        <v>706</v>
      </c>
      <c r="D1133" s="2" t="s">
        <v>106</v>
      </c>
      <c r="E1133" s="67" t="s">
        <v>125</v>
      </c>
      <c r="F1133" s="12">
        <v>59</v>
      </c>
      <c r="G1133" s="12">
        <v>45</v>
      </c>
      <c r="H1133" s="12">
        <v>14</v>
      </c>
      <c r="J1133" s="2"/>
      <c r="K1133" s="2"/>
      <c r="L1133" s="2"/>
      <c r="M1133" s="2"/>
      <c r="N1133" s="2"/>
      <c r="O1133" s="2"/>
      <c r="P1133" s="2"/>
    </row>
    <row r="1134" spans="1:16" x14ac:dyDescent="0.4">
      <c r="A1134">
        <v>2013</v>
      </c>
      <c r="B1134" s="2" t="s">
        <v>355</v>
      </c>
      <c r="C1134" s="2" t="s">
        <v>706</v>
      </c>
      <c r="D1134" s="2" t="s">
        <v>106</v>
      </c>
      <c r="E1134" s="67" t="s">
        <v>126</v>
      </c>
      <c r="F1134" s="12">
        <v>1493</v>
      </c>
      <c r="G1134" s="12">
        <v>977</v>
      </c>
      <c r="H1134" s="12">
        <v>516</v>
      </c>
      <c r="J1134" s="2"/>
      <c r="K1134" s="2"/>
      <c r="L1134" s="2"/>
      <c r="M1134" s="2"/>
      <c r="N1134" s="2"/>
      <c r="O1134" s="2"/>
      <c r="P1134" s="2"/>
    </row>
    <row r="1135" spans="1:16" x14ac:dyDescent="0.4">
      <c r="A1135">
        <v>2013</v>
      </c>
      <c r="B1135" s="2" t="s">
        <v>356</v>
      </c>
      <c r="C1135" s="2" t="s">
        <v>706</v>
      </c>
      <c r="D1135" s="2" t="s">
        <v>106</v>
      </c>
      <c r="E1135" s="67" t="s">
        <v>127</v>
      </c>
      <c r="F1135" s="12">
        <v>459</v>
      </c>
      <c r="G1135" s="12">
        <v>274</v>
      </c>
      <c r="H1135" s="12">
        <v>185</v>
      </c>
      <c r="J1135" s="2"/>
      <c r="K1135" s="2"/>
      <c r="L1135" s="2"/>
      <c r="M1135" s="2"/>
      <c r="N1135" s="2"/>
      <c r="O1135" s="2"/>
      <c r="P1135" s="2"/>
    </row>
    <row r="1136" spans="1:16" x14ac:dyDescent="0.4">
      <c r="A1136">
        <v>2013</v>
      </c>
      <c r="B1136" s="2" t="s">
        <v>357</v>
      </c>
      <c r="C1136" s="2" t="s">
        <v>707</v>
      </c>
      <c r="D1136" s="2" t="s">
        <v>1</v>
      </c>
      <c r="E1136" s="67" t="s">
        <v>0</v>
      </c>
      <c r="F1136" s="12">
        <v>4</v>
      </c>
      <c r="G1136" s="12">
        <v>1</v>
      </c>
      <c r="H1136" s="12">
        <v>3</v>
      </c>
      <c r="J1136" s="2"/>
      <c r="K1136" s="2"/>
      <c r="L1136" s="2"/>
      <c r="M1136" s="2"/>
      <c r="N1136" s="2"/>
      <c r="O1136" s="2"/>
      <c r="P1136" s="2"/>
    </row>
    <row r="1137" spans="1:16" x14ac:dyDescent="0.4">
      <c r="A1137">
        <v>2013</v>
      </c>
      <c r="B1137" s="2" t="s">
        <v>358</v>
      </c>
      <c r="C1137" s="2" t="s">
        <v>707</v>
      </c>
      <c r="D1137" s="2" t="s">
        <v>1</v>
      </c>
      <c r="E1137" s="67" t="s">
        <v>2</v>
      </c>
      <c r="F1137" s="12">
        <v>11</v>
      </c>
      <c r="G1137" s="12">
        <v>6</v>
      </c>
      <c r="H1137" s="12">
        <v>5</v>
      </c>
      <c r="J1137" s="2"/>
      <c r="K1137" s="2"/>
      <c r="L1137" s="2"/>
      <c r="M1137" s="2"/>
      <c r="N1137" s="2"/>
      <c r="O1137" s="2"/>
      <c r="P1137" s="2"/>
    </row>
    <row r="1138" spans="1:16" x14ac:dyDescent="0.4">
      <c r="A1138">
        <v>2013</v>
      </c>
      <c r="B1138" s="2" t="s">
        <v>359</v>
      </c>
      <c r="C1138" s="2" t="s">
        <v>707</v>
      </c>
      <c r="D1138" s="2" t="s">
        <v>1</v>
      </c>
      <c r="E1138" s="67" t="s">
        <v>3</v>
      </c>
      <c r="F1138" s="12">
        <v>584</v>
      </c>
      <c r="G1138" s="12">
        <v>356</v>
      </c>
      <c r="H1138" s="12">
        <v>228</v>
      </c>
      <c r="J1138" s="2"/>
      <c r="K1138" s="2"/>
      <c r="L1138" s="2"/>
      <c r="M1138" s="2"/>
      <c r="N1138" s="2"/>
      <c r="O1138" s="2"/>
      <c r="P1138" s="2"/>
    </row>
    <row r="1139" spans="1:16" x14ac:dyDescent="0.4">
      <c r="A1139">
        <v>2013</v>
      </c>
      <c r="B1139" s="2" t="s">
        <v>360</v>
      </c>
      <c r="C1139" s="2" t="s">
        <v>707</v>
      </c>
      <c r="D1139" s="2" t="s">
        <v>1</v>
      </c>
      <c r="E1139" s="67" t="s">
        <v>4</v>
      </c>
      <c r="F1139" s="12">
        <v>7</v>
      </c>
      <c r="G1139" s="12">
        <v>4</v>
      </c>
      <c r="H1139" s="12">
        <v>3</v>
      </c>
      <c r="J1139" s="2"/>
      <c r="K1139" s="2"/>
      <c r="L1139" s="2"/>
      <c r="M1139" s="2"/>
      <c r="N1139" s="2"/>
      <c r="O1139" s="2"/>
      <c r="P1139" s="2"/>
    </row>
    <row r="1140" spans="1:16" x14ac:dyDescent="0.4">
      <c r="A1140">
        <v>2013</v>
      </c>
      <c r="B1140" s="2" t="s">
        <v>361</v>
      </c>
      <c r="C1140" s="2" t="s">
        <v>707</v>
      </c>
      <c r="D1140" s="2" t="s">
        <v>1</v>
      </c>
      <c r="E1140" s="67" t="s">
        <v>5</v>
      </c>
      <c r="F1140" s="12">
        <v>7</v>
      </c>
      <c r="G1140" s="12">
        <v>5</v>
      </c>
      <c r="H1140" s="12">
        <v>2</v>
      </c>
      <c r="J1140" s="2"/>
      <c r="K1140" s="2"/>
      <c r="L1140" s="2"/>
      <c r="M1140" s="2"/>
      <c r="N1140" s="2"/>
      <c r="O1140" s="2"/>
      <c r="P1140" s="2"/>
    </row>
    <row r="1141" spans="1:16" x14ac:dyDescent="0.4">
      <c r="A1141">
        <v>2013</v>
      </c>
      <c r="B1141" s="2" t="s">
        <v>732</v>
      </c>
      <c r="C1141" s="2" t="s">
        <v>707</v>
      </c>
      <c r="D1141" s="2" t="s">
        <v>1</v>
      </c>
      <c r="E1141" s="67" t="s">
        <v>330</v>
      </c>
      <c r="F1141" s="12">
        <v>3</v>
      </c>
      <c r="G1141" s="12" t="s">
        <v>142</v>
      </c>
      <c r="H1141" s="12">
        <v>3</v>
      </c>
      <c r="J1141" s="2"/>
      <c r="K1141" s="2"/>
      <c r="L1141" s="2"/>
      <c r="M1141" s="2"/>
      <c r="N1141" s="2"/>
      <c r="O1141" s="2"/>
      <c r="P1141" s="2"/>
    </row>
    <row r="1142" spans="1:16" x14ac:dyDescent="0.4">
      <c r="A1142">
        <v>2013</v>
      </c>
      <c r="B1142" s="2" t="s">
        <v>730</v>
      </c>
      <c r="C1142" s="2" t="s">
        <v>707</v>
      </c>
      <c r="D1142" s="2" t="s">
        <v>1</v>
      </c>
      <c r="E1142" s="67" t="s">
        <v>328</v>
      </c>
      <c r="F1142" s="12">
        <v>0</v>
      </c>
      <c r="G1142" s="12">
        <v>0</v>
      </c>
      <c r="H1142" s="12">
        <v>0</v>
      </c>
      <c r="J1142" s="2"/>
      <c r="K1142" s="2"/>
      <c r="L1142" s="2"/>
      <c r="M1142" s="2"/>
      <c r="N1142" s="2"/>
      <c r="O1142" s="2"/>
      <c r="P1142" s="2"/>
    </row>
    <row r="1143" spans="1:16" x14ac:dyDescent="0.4">
      <c r="A1143">
        <v>2013</v>
      </c>
      <c r="B1143" s="2" t="s">
        <v>362</v>
      </c>
      <c r="C1143" s="2" t="s">
        <v>708</v>
      </c>
      <c r="D1143" s="2" t="s">
        <v>7</v>
      </c>
      <c r="E1143" s="67" t="s">
        <v>6</v>
      </c>
      <c r="F1143" s="12">
        <v>364</v>
      </c>
      <c r="G1143" s="12">
        <v>212</v>
      </c>
      <c r="H1143" s="12">
        <v>152</v>
      </c>
      <c r="J1143" s="2"/>
      <c r="K1143" s="2"/>
      <c r="L1143" s="2"/>
      <c r="M1143" s="2"/>
      <c r="N1143" s="2"/>
      <c r="O1143" s="2"/>
      <c r="P1143" s="2"/>
    </row>
    <row r="1144" spans="1:16" x14ac:dyDescent="0.4">
      <c r="A1144">
        <v>2013</v>
      </c>
      <c r="B1144" s="2" t="s">
        <v>363</v>
      </c>
      <c r="C1144" s="2" t="s">
        <v>708</v>
      </c>
      <c r="D1144" s="2" t="s">
        <v>7</v>
      </c>
      <c r="E1144" s="67" t="s">
        <v>8</v>
      </c>
      <c r="F1144" s="12">
        <v>64</v>
      </c>
      <c r="G1144" s="12">
        <v>38</v>
      </c>
      <c r="H1144" s="12">
        <v>26</v>
      </c>
      <c r="J1144" s="2"/>
      <c r="K1144" s="2"/>
      <c r="L1144" s="2"/>
      <c r="M1144" s="2"/>
      <c r="N1144" s="2"/>
      <c r="O1144" s="2"/>
      <c r="P1144" s="2"/>
    </row>
    <row r="1145" spans="1:16" x14ac:dyDescent="0.4">
      <c r="A1145">
        <v>2013</v>
      </c>
      <c r="B1145" s="2" t="s">
        <v>364</v>
      </c>
      <c r="C1145" s="2" t="s">
        <v>708</v>
      </c>
      <c r="D1145" s="2" t="s">
        <v>7</v>
      </c>
      <c r="E1145" s="67" t="s">
        <v>9</v>
      </c>
      <c r="F1145" s="12">
        <v>197</v>
      </c>
      <c r="G1145" s="12">
        <v>109</v>
      </c>
      <c r="H1145" s="12">
        <v>88</v>
      </c>
      <c r="J1145" s="2"/>
      <c r="K1145" s="2"/>
      <c r="L1145" s="2"/>
      <c r="M1145" s="2"/>
      <c r="N1145" s="2"/>
      <c r="O1145" s="2"/>
      <c r="P1145" s="2"/>
    </row>
    <row r="1146" spans="1:16" x14ac:dyDescent="0.4">
      <c r="A1146">
        <v>2013</v>
      </c>
      <c r="B1146" s="2" t="s">
        <v>365</v>
      </c>
      <c r="C1146" s="2" t="s">
        <v>708</v>
      </c>
      <c r="D1146" s="2" t="s">
        <v>7</v>
      </c>
      <c r="E1146" s="67" t="s">
        <v>10</v>
      </c>
      <c r="F1146" s="12">
        <v>72</v>
      </c>
      <c r="G1146" s="12">
        <v>47</v>
      </c>
      <c r="H1146" s="12">
        <v>25</v>
      </c>
      <c r="J1146" s="2"/>
      <c r="K1146" s="2"/>
      <c r="L1146" s="2"/>
      <c r="M1146" s="2"/>
      <c r="N1146" s="2"/>
      <c r="O1146" s="2"/>
      <c r="P1146" s="2"/>
    </row>
    <row r="1147" spans="1:16" x14ac:dyDescent="0.4">
      <c r="A1147">
        <v>2013</v>
      </c>
      <c r="B1147" s="2" t="s">
        <v>366</v>
      </c>
      <c r="C1147" s="2" t="s">
        <v>708</v>
      </c>
      <c r="D1147" s="2" t="s">
        <v>7</v>
      </c>
      <c r="E1147" s="67" t="s">
        <v>11</v>
      </c>
      <c r="F1147" s="12">
        <v>142</v>
      </c>
      <c r="G1147" s="12">
        <v>91</v>
      </c>
      <c r="H1147" s="12">
        <v>51</v>
      </c>
      <c r="J1147" s="2"/>
      <c r="K1147" s="2"/>
      <c r="L1147" s="2"/>
      <c r="M1147" s="2"/>
      <c r="N1147" s="2"/>
      <c r="O1147" s="2"/>
      <c r="P1147" s="2"/>
    </row>
    <row r="1148" spans="1:16" x14ac:dyDescent="0.4">
      <c r="A1148">
        <v>2013</v>
      </c>
      <c r="B1148" s="2" t="s">
        <v>367</v>
      </c>
      <c r="C1148" s="2" t="s">
        <v>708</v>
      </c>
      <c r="D1148" s="2" t="s">
        <v>7</v>
      </c>
      <c r="E1148" s="67" t="s">
        <v>12</v>
      </c>
      <c r="F1148" s="12">
        <v>37</v>
      </c>
      <c r="G1148" s="12">
        <v>21</v>
      </c>
      <c r="H1148" s="12">
        <v>16</v>
      </c>
      <c r="J1148" s="2"/>
      <c r="K1148" s="2"/>
      <c r="L1148" s="2"/>
      <c r="M1148" s="2"/>
      <c r="N1148" s="2"/>
      <c r="O1148" s="2"/>
      <c r="P1148" s="2"/>
    </row>
    <row r="1149" spans="1:16" x14ac:dyDescent="0.4">
      <c r="A1149">
        <v>2013</v>
      </c>
      <c r="B1149" s="2" t="s">
        <v>368</v>
      </c>
      <c r="C1149" s="2" t="s">
        <v>708</v>
      </c>
      <c r="D1149" s="2" t="s">
        <v>7</v>
      </c>
      <c r="E1149" s="67" t="s">
        <v>13</v>
      </c>
      <c r="F1149" s="12">
        <v>58</v>
      </c>
      <c r="G1149" s="12">
        <v>37</v>
      </c>
      <c r="H1149" s="12">
        <v>21</v>
      </c>
      <c r="J1149" s="2"/>
      <c r="K1149" s="2"/>
      <c r="L1149" s="2"/>
      <c r="M1149" s="2"/>
      <c r="N1149" s="2"/>
      <c r="O1149" s="2"/>
      <c r="P1149" s="2"/>
    </row>
    <row r="1150" spans="1:16" x14ac:dyDescent="0.4">
      <c r="A1150">
        <v>2013</v>
      </c>
      <c r="B1150" s="2" t="s">
        <v>369</v>
      </c>
      <c r="C1150" s="2" t="s">
        <v>708</v>
      </c>
      <c r="D1150" s="2" t="s">
        <v>7</v>
      </c>
      <c r="E1150" s="67" t="s">
        <v>14</v>
      </c>
      <c r="F1150" s="12">
        <v>72</v>
      </c>
      <c r="G1150" s="12">
        <v>54</v>
      </c>
      <c r="H1150" s="12">
        <v>18</v>
      </c>
      <c r="J1150" s="2"/>
      <c r="K1150" s="2"/>
      <c r="L1150" s="2"/>
      <c r="M1150" s="2"/>
      <c r="N1150" s="2"/>
      <c r="O1150" s="2"/>
      <c r="P1150" s="2"/>
    </row>
    <row r="1151" spans="1:16" x14ac:dyDescent="0.4">
      <c r="A1151">
        <v>2013</v>
      </c>
      <c r="B1151" s="2" t="s">
        <v>370</v>
      </c>
      <c r="C1151" s="2" t="s">
        <v>708</v>
      </c>
      <c r="D1151" s="2" t="s">
        <v>7</v>
      </c>
      <c r="E1151" s="67" t="s">
        <v>15</v>
      </c>
      <c r="F1151" s="12">
        <v>53</v>
      </c>
      <c r="G1151" s="12">
        <v>33</v>
      </c>
      <c r="H1151" s="12">
        <v>20</v>
      </c>
      <c r="J1151" s="2"/>
      <c r="K1151" s="2"/>
      <c r="L1151" s="2"/>
      <c r="M1151" s="2"/>
      <c r="N1151" s="2"/>
      <c r="O1151" s="2"/>
      <c r="P1151" s="2"/>
    </row>
    <row r="1152" spans="1:16" x14ac:dyDescent="0.4">
      <c r="A1152">
        <v>2013</v>
      </c>
      <c r="B1152" s="2" t="s">
        <v>371</v>
      </c>
      <c r="C1152" s="2" t="s">
        <v>708</v>
      </c>
      <c r="D1152" s="2" t="s">
        <v>7</v>
      </c>
      <c r="E1152" s="67" t="s">
        <v>16</v>
      </c>
      <c r="F1152" s="12">
        <v>691</v>
      </c>
      <c r="G1152" s="12">
        <v>422</v>
      </c>
      <c r="H1152" s="12">
        <v>269</v>
      </c>
      <c r="J1152" s="2"/>
      <c r="K1152" s="2"/>
      <c r="L1152" s="2"/>
      <c r="M1152" s="2"/>
      <c r="N1152" s="2"/>
      <c r="O1152" s="2"/>
      <c r="P1152" s="2"/>
    </row>
    <row r="1153" spans="1:16" x14ac:dyDescent="0.4">
      <c r="A1153">
        <v>2013</v>
      </c>
      <c r="B1153" s="2" t="s">
        <v>372</v>
      </c>
      <c r="C1153" s="2" t="s">
        <v>708</v>
      </c>
      <c r="D1153" s="2" t="s">
        <v>7</v>
      </c>
      <c r="E1153" s="67" t="s">
        <v>17</v>
      </c>
      <c r="F1153" s="12">
        <v>30</v>
      </c>
      <c r="G1153" s="12">
        <v>23</v>
      </c>
      <c r="H1153" s="12">
        <v>7</v>
      </c>
      <c r="J1153" s="2"/>
      <c r="K1153" s="2"/>
      <c r="L1153" s="2"/>
      <c r="M1153" s="2"/>
      <c r="N1153" s="2"/>
      <c r="O1153" s="2"/>
      <c r="P1153" s="2"/>
    </row>
    <row r="1154" spans="1:16" x14ac:dyDescent="0.4">
      <c r="A1154">
        <v>2013</v>
      </c>
      <c r="B1154" s="2" t="s">
        <v>373</v>
      </c>
      <c r="C1154" s="2" t="s">
        <v>708</v>
      </c>
      <c r="D1154" s="2" t="s">
        <v>7</v>
      </c>
      <c r="E1154" s="67" t="s">
        <v>18</v>
      </c>
      <c r="F1154" s="12">
        <v>26</v>
      </c>
      <c r="G1154" s="12">
        <v>13</v>
      </c>
      <c r="H1154" s="12">
        <v>13</v>
      </c>
      <c r="J1154" s="2"/>
      <c r="K1154" s="2"/>
      <c r="L1154" s="2"/>
      <c r="M1154" s="2"/>
      <c r="N1154" s="2"/>
      <c r="O1154" s="2"/>
      <c r="P1154" s="2"/>
    </row>
    <row r="1155" spans="1:16" x14ac:dyDescent="0.4">
      <c r="A1155">
        <v>2013</v>
      </c>
      <c r="B1155" s="2" t="s">
        <v>374</v>
      </c>
      <c r="C1155" s="2" t="s">
        <v>708</v>
      </c>
      <c r="D1155" s="2" t="s">
        <v>7</v>
      </c>
      <c r="E1155" s="67" t="s">
        <v>19</v>
      </c>
      <c r="F1155" s="12">
        <v>97</v>
      </c>
      <c r="G1155" s="12">
        <v>61</v>
      </c>
      <c r="H1155" s="12">
        <v>36</v>
      </c>
      <c r="J1155" s="2"/>
      <c r="K1155" s="2"/>
      <c r="L1155" s="2"/>
      <c r="M1155" s="2"/>
      <c r="N1155" s="2"/>
      <c r="O1155" s="2"/>
      <c r="P1155" s="2"/>
    </row>
    <row r="1156" spans="1:16" x14ac:dyDescent="0.4">
      <c r="A1156">
        <v>2013</v>
      </c>
      <c r="B1156" s="2" t="s">
        <v>375</v>
      </c>
      <c r="C1156" s="2" t="s">
        <v>708</v>
      </c>
      <c r="D1156" s="2" t="s">
        <v>7</v>
      </c>
      <c r="E1156" s="67" t="s">
        <v>20</v>
      </c>
      <c r="F1156" s="12">
        <v>321</v>
      </c>
      <c r="G1156" s="12">
        <v>199</v>
      </c>
      <c r="H1156" s="12">
        <v>122</v>
      </c>
      <c r="J1156" s="2"/>
      <c r="K1156" s="2"/>
      <c r="L1156" s="2"/>
      <c r="M1156" s="2"/>
      <c r="N1156" s="2"/>
      <c r="O1156" s="2"/>
      <c r="P1156" s="2"/>
    </row>
    <row r="1157" spans="1:16" x14ac:dyDescent="0.4">
      <c r="A1157">
        <v>2013</v>
      </c>
      <c r="B1157" s="2" t="s">
        <v>376</v>
      </c>
      <c r="C1157" s="2" t="s">
        <v>708</v>
      </c>
      <c r="D1157" s="2" t="s">
        <v>7</v>
      </c>
      <c r="E1157" s="67" t="s">
        <v>21</v>
      </c>
      <c r="F1157" s="12">
        <v>80</v>
      </c>
      <c r="G1157" s="12">
        <v>48</v>
      </c>
      <c r="H1157" s="12">
        <v>32</v>
      </c>
      <c r="J1157" s="2"/>
      <c r="K1157" s="2"/>
      <c r="L1157" s="2"/>
      <c r="M1157" s="2"/>
      <c r="N1157" s="2"/>
      <c r="O1157" s="2"/>
      <c r="P1157" s="2"/>
    </row>
    <row r="1158" spans="1:16" x14ac:dyDescent="0.4">
      <c r="A1158">
        <v>2013</v>
      </c>
      <c r="B1158" s="2" t="s">
        <v>377</v>
      </c>
      <c r="C1158" s="2" t="s">
        <v>708</v>
      </c>
      <c r="D1158" s="2" t="s">
        <v>7</v>
      </c>
      <c r="E1158" s="67" t="s">
        <v>22</v>
      </c>
      <c r="F1158" s="12">
        <v>204</v>
      </c>
      <c r="G1158" s="12">
        <v>125</v>
      </c>
      <c r="H1158" s="12">
        <v>79</v>
      </c>
      <c r="J1158" s="2"/>
      <c r="K1158" s="2"/>
      <c r="L1158" s="2"/>
      <c r="M1158" s="2"/>
      <c r="N1158" s="2"/>
      <c r="O1158" s="2"/>
      <c r="P1158" s="2"/>
    </row>
    <row r="1159" spans="1:16" x14ac:dyDescent="0.4">
      <c r="A1159">
        <v>2013</v>
      </c>
      <c r="B1159" s="2" t="s">
        <v>378</v>
      </c>
      <c r="C1159" s="2" t="s">
        <v>708</v>
      </c>
      <c r="D1159" s="2" t="s">
        <v>7</v>
      </c>
      <c r="E1159" s="67" t="s">
        <v>23</v>
      </c>
      <c r="F1159" s="12">
        <v>29</v>
      </c>
      <c r="G1159" s="12">
        <v>21</v>
      </c>
      <c r="H1159" s="12">
        <v>8</v>
      </c>
      <c r="J1159" s="2"/>
      <c r="K1159" s="2"/>
      <c r="L1159" s="2"/>
      <c r="M1159" s="2"/>
      <c r="N1159" s="2"/>
      <c r="O1159" s="2"/>
      <c r="P1159" s="2"/>
    </row>
    <row r="1160" spans="1:16" x14ac:dyDescent="0.4">
      <c r="A1160">
        <v>2013</v>
      </c>
      <c r="B1160" s="2" t="s">
        <v>379</v>
      </c>
      <c r="C1160" s="2" t="s">
        <v>708</v>
      </c>
      <c r="D1160" s="2" t="s">
        <v>7</v>
      </c>
      <c r="E1160" s="67" t="s">
        <v>24</v>
      </c>
      <c r="F1160" s="12">
        <v>20</v>
      </c>
      <c r="G1160" s="12">
        <v>17</v>
      </c>
      <c r="H1160" s="12">
        <v>3</v>
      </c>
      <c r="J1160" s="2"/>
      <c r="K1160" s="2"/>
      <c r="L1160" s="2"/>
      <c r="M1160" s="2"/>
      <c r="N1160" s="2"/>
      <c r="O1160" s="2"/>
      <c r="P1160" s="2"/>
    </row>
    <row r="1161" spans="1:16" x14ac:dyDescent="0.4">
      <c r="A1161">
        <v>2013</v>
      </c>
      <c r="B1161" s="2" t="s">
        <v>380</v>
      </c>
      <c r="C1161" s="2" t="s">
        <v>708</v>
      </c>
      <c r="D1161" s="2" t="s">
        <v>7</v>
      </c>
      <c r="E1161" s="67" t="s">
        <v>25</v>
      </c>
      <c r="F1161" s="12">
        <v>2503</v>
      </c>
      <c r="G1161" s="12">
        <v>1509</v>
      </c>
      <c r="H1161" s="12">
        <v>994</v>
      </c>
      <c r="J1161" s="2"/>
      <c r="K1161" s="2"/>
      <c r="L1161" s="2"/>
      <c r="M1161" s="2"/>
      <c r="N1161" s="2"/>
      <c r="O1161" s="2"/>
      <c r="P1161" s="2"/>
    </row>
    <row r="1162" spans="1:16" x14ac:dyDescent="0.4">
      <c r="A1162">
        <v>2013</v>
      </c>
      <c r="B1162" s="2" t="s">
        <v>381</v>
      </c>
      <c r="C1162" s="2" t="s">
        <v>708</v>
      </c>
      <c r="D1162" s="2" t="s">
        <v>7</v>
      </c>
      <c r="E1162" s="67" t="s">
        <v>26</v>
      </c>
      <c r="F1162" s="12">
        <v>946</v>
      </c>
      <c r="G1162" s="12">
        <v>559</v>
      </c>
      <c r="H1162" s="12">
        <v>387</v>
      </c>
      <c r="J1162" s="2"/>
      <c r="K1162" s="2"/>
      <c r="L1162" s="2"/>
      <c r="M1162" s="2"/>
      <c r="N1162" s="2"/>
      <c r="O1162" s="2"/>
      <c r="P1162" s="2"/>
    </row>
    <row r="1163" spans="1:16" x14ac:dyDescent="0.4">
      <c r="A1163">
        <v>2013</v>
      </c>
      <c r="B1163" s="2" t="s">
        <v>382</v>
      </c>
      <c r="C1163" s="2" t="s">
        <v>708</v>
      </c>
      <c r="D1163" s="2" t="s">
        <v>7</v>
      </c>
      <c r="E1163" s="67" t="s">
        <v>27</v>
      </c>
      <c r="F1163" s="12">
        <v>26</v>
      </c>
      <c r="G1163" s="12">
        <v>17</v>
      </c>
      <c r="H1163" s="12">
        <v>9</v>
      </c>
      <c r="J1163" s="2"/>
      <c r="K1163" s="2"/>
      <c r="L1163" s="2"/>
      <c r="M1163" s="2"/>
      <c r="N1163" s="2"/>
      <c r="O1163" s="2"/>
      <c r="P1163" s="2"/>
    </row>
    <row r="1164" spans="1:16" x14ac:dyDescent="0.4">
      <c r="A1164">
        <v>2013</v>
      </c>
      <c r="B1164" s="2" t="s">
        <v>383</v>
      </c>
      <c r="C1164" s="2" t="s">
        <v>709</v>
      </c>
      <c r="D1164" s="2" t="s">
        <v>29</v>
      </c>
      <c r="E1164" s="67" t="s">
        <v>28</v>
      </c>
      <c r="F1164" s="12">
        <v>180</v>
      </c>
      <c r="G1164" s="12">
        <v>109</v>
      </c>
      <c r="H1164" s="12">
        <v>71</v>
      </c>
      <c r="J1164" s="2"/>
      <c r="K1164" s="2"/>
      <c r="L1164" s="2"/>
      <c r="M1164" s="2"/>
      <c r="N1164" s="2"/>
      <c r="O1164" s="2"/>
      <c r="P1164" s="2"/>
    </row>
    <row r="1165" spans="1:16" x14ac:dyDescent="0.4">
      <c r="A1165">
        <v>2013</v>
      </c>
      <c r="B1165" s="2" t="s">
        <v>384</v>
      </c>
      <c r="C1165" s="2" t="s">
        <v>709</v>
      </c>
      <c r="D1165" s="2" t="s">
        <v>29</v>
      </c>
      <c r="E1165" s="67" t="s">
        <v>30</v>
      </c>
      <c r="F1165" s="12">
        <v>81</v>
      </c>
      <c r="G1165" s="12">
        <v>58</v>
      </c>
      <c r="H1165" s="12">
        <v>23</v>
      </c>
      <c r="J1165" s="2"/>
      <c r="K1165" s="2"/>
      <c r="L1165" s="2"/>
      <c r="M1165" s="2"/>
      <c r="N1165" s="2"/>
      <c r="O1165" s="2"/>
      <c r="P1165" s="2"/>
    </row>
    <row r="1166" spans="1:16" x14ac:dyDescent="0.4">
      <c r="A1166">
        <v>2013</v>
      </c>
      <c r="B1166" s="2" t="s">
        <v>385</v>
      </c>
      <c r="C1166" s="2" t="s">
        <v>709</v>
      </c>
      <c r="D1166" s="2" t="s">
        <v>29</v>
      </c>
      <c r="E1166" s="67" t="s">
        <v>31</v>
      </c>
      <c r="F1166" s="12">
        <v>27</v>
      </c>
      <c r="G1166" s="12">
        <v>15</v>
      </c>
      <c r="H1166" s="12">
        <v>12</v>
      </c>
      <c r="J1166" s="2"/>
      <c r="K1166" s="2"/>
      <c r="L1166" s="2"/>
      <c r="M1166" s="2"/>
      <c r="N1166" s="2"/>
      <c r="O1166" s="2"/>
      <c r="P1166" s="2"/>
    </row>
    <row r="1167" spans="1:16" x14ac:dyDescent="0.4">
      <c r="A1167">
        <v>2013</v>
      </c>
      <c r="B1167" s="2" t="s">
        <v>386</v>
      </c>
      <c r="C1167" s="2" t="s">
        <v>709</v>
      </c>
      <c r="D1167" s="2" t="s">
        <v>29</v>
      </c>
      <c r="E1167" s="67" t="s">
        <v>32</v>
      </c>
      <c r="F1167" s="12">
        <v>289</v>
      </c>
      <c r="G1167" s="12">
        <v>182</v>
      </c>
      <c r="H1167" s="12">
        <v>107</v>
      </c>
      <c r="J1167" s="2"/>
      <c r="K1167" s="2"/>
      <c r="L1167" s="2"/>
      <c r="M1167" s="2"/>
      <c r="N1167" s="2"/>
      <c r="O1167" s="2"/>
      <c r="P1167" s="2"/>
    </row>
    <row r="1168" spans="1:16" x14ac:dyDescent="0.4">
      <c r="A1168">
        <v>2013</v>
      </c>
      <c r="B1168" s="2" t="s">
        <v>387</v>
      </c>
      <c r="C1168" s="2" t="s">
        <v>709</v>
      </c>
      <c r="D1168" s="2" t="s">
        <v>29</v>
      </c>
      <c r="E1168" s="67" t="s">
        <v>33</v>
      </c>
      <c r="F1168" s="12">
        <v>43</v>
      </c>
      <c r="G1168" s="12">
        <v>26</v>
      </c>
      <c r="H1168" s="12">
        <v>17</v>
      </c>
      <c r="J1168" s="2"/>
      <c r="K1168" s="2"/>
      <c r="L1168" s="2"/>
      <c r="M1168" s="2"/>
      <c r="N1168" s="2"/>
      <c r="O1168" s="2"/>
      <c r="P1168" s="2"/>
    </row>
    <row r="1169" spans="1:16" x14ac:dyDescent="0.4">
      <c r="A1169">
        <v>2013</v>
      </c>
      <c r="B1169" s="2" t="s">
        <v>388</v>
      </c>
      <c r="C1169" s="2" t="s">
        <v>709</v>
      </c>
      <c r="D1169" s="2" t="s">
        <v>29</v>
      </c>
      <c r="E1169" s="67" t="s">
        <v>34</v>
      </c>
      <c r="F1169" s="12">
        <v>76</v>
      </c>
      <c r="G1169" s="12">
        <v>52</v>
      </c>
      <c r="H1169" s="12">
        <v>24</v>
      </c>
      <c r="J1169" s="2"/>
      <c r="K1169" s="2"/>
      <c r="L1169" s="2"/>
      <c r="M1169" s="2"/>
      <c r="N1169" s="2"/>
      <c r="O1169" s="2"/>
      <c r="P1169" s="2"/>
    </row>
    <row r="1170" spans="1:16" x14ac:dyDescent="0.4">
      <c r="A1170">
        <v>2013</v>
      </c>
      <c r="B1170" s="2" t="s">
        <v>389</v>
      </c>
      <c r="C1170" s="2" t="s">
        <v>709</v>
      </c>
      <c r="D1170" s="2" t="s">
        <v>29</v>
      </c>
      <c r="E1170" s="67" t="s">
        <v>35</v>
      </c>
      <c r="F1170" s="12">
        <v>1201</v>
      </c>
      <c r="G1170" s="12">
        <v>709</v>
      </c>
      <c r="H1170" s="12">
        <v>492</v>
      </c>
      <c r="J1170" s="2"/>
      <c r="K1170" s="2"/>
      <c r="L1170" s="2"/>
      <c r="M1170" s="2"/>
      <c r="N1170" s="2"/>
      <c r="O1170" s="2"/>
      <c r="P1170" s="2"/>
    </row>
    <row r="1171" spans="1:16" x14ac:dyDescent="0.4">
      <c r="A1171">
        <v>2013</v>
      </c>
      <c r="B1171" s="2" t="s">
        <v>390</v>
      </c>
      <c r="C1171" s="2" t="s">
        <v>710</v>
      </c>
      <c r="D1171" s="2" t="s">
        <v>37</v>
      </c>
      <c r="E1171" s="67" t="s">
        <v>36</v>
      </c>
      <c r="F1171" s="12">
        <v>161</v>
      </c>
      <c r="G1171" s="12">
        <v>108</v>
      </c>
      <c r="H1171" s="12">
        <v>53</v>
      </c>
      <c r="J1171" s="2"/>
      <c r="K1171" s="2"/>
      <c r="L1171" s="2"/>
      <c r="M1171" s="2"/>
      <c r="N1171" s="2"/>
      <c r="O1171" s="2"/>
      <c r="P1171" s="2"/>
    </row>
    <row r="1172" spans="1:16" x14ac:dyDescent="0.4">
      <c r="A1172">
        <v>2013</v>
      </c>
      <c r="B1172" s="2" t="s">
        <v>391</v>
      </c>
      <c r="C1172" s="2" t="s">
        <v>710</v>
      </c>
      <c r="D1172" s="2" t="s">
        <v>37</v>
      </c>
      <c r="E1172" s="67" t="s">
        <v>38</v>
      </c>
      <c r="F1172" s="12">
        <v>77</v>
      </c>
      <c r="G1172" s="12">
        <v>56</v>
      </c>
      <c r="H1172" s="12">
        <v>21</v>
      </c>
      <c r="J1172" s="2"/>
      <c r="K1172" s="2"/>
      <c r="L1172" s="2"/>
      <c r="M1172" s="2"/>
      <c r="N1172" s="2"/>
      <c r="O1172" s="2"/>
      <c r="P1172" s="2"/>
    </row>
    <row r="1173" spans="1:16" x14ac:dyDescent="0.4">
      <c r="A1173">
        <v>2013</v>
      </c>
      <c r="B1173" s="2" t="s">
        <v>392</v>
      </c>
      <c r="C1173" s="2" t="s">
        <v>710</v>
      </c>
      <c r="D1173" s="2" t="s">
        <v>37</v>
      </c>
      <c r="E1173" s="67" t="s">
        <v>39</v>
      </c>
      <c r="F1173" s="12">
        <v>308</v>
      </c>
      <c r="G1173" s="12">
        <v>223</v>
      </c>
      <c r="H1173" s="12">
        <v>85</v>
      </c>
      <c r="J1173" s="2"/>
      <c r="K1173" s="2"/>
      <c r="L1173" s="2"/>
      <c r="M1173" s="2"/>
      <c r="N1173" s="2"/>
      <c r="O1173" s="2"/>
      <c r="P1173" s="2"/>
    </row>
    <row r="1174" spans="1:16" x14ac:dyDescent="0.4">
      <c r="A1174">
        <v>2013</v>
      </c>
      <c r="B1174" s="2" t="s">
        <v>393</v>
      </c>
      <c r="C1174" s="2" t="s">
        <v>710</v>
      </c>
      <c r="D1174" s="2" t="s">
        <v>37</v>
      </c>
      <c r="E1174" s="67" t="s">
        <v>40</v>
      </c>
      <c r="F1174" s="12">
        <v>4823</v>
      </c>
      <c r="G1174" s="12">
        <v>2759</v>
      </c>
      <c r="H1174" s="12">
        <v>2064</v>
      </c>
      <c r="J1174" s="2"/>
      <c r="K1174" s="2"/>
      <c r="L1174" s="2"/>
      <c r="M1174" s="2"/>
      <c r="N1174" s="2"/>
      <c r="O1174" s="2"/>
      <c r="P1174" s="2"/>
    </row>
    <row r="1175" spans="1:16" x14ac:dyDescent="0.4">
      <c r="A1175">
        <v>2013</v>
      </c>
      <c r="B1175" s="2" t="s">
        <v>394</v>
      </c>
      <c r="C1175" s="2" t="s">
        <v>710</v>
      </c>
      <c r="D1175" s="2" t="s">
        <v>37</v>
      </c>
      <c r="E1175" s="67" t="s">
        <v>41</v>
      </c>
      <c r="F1175" s="12">
        <v>111</v>
      </c>
      <c r="G1175" s="12">
        <v>74</v>
      </c>
      <c r="H1175" s="12">
        <v>37</v>
      </c>
      <c r="J1175" s="2"/>
      <c r="K1175" s="2"/>
      <c r="L1175" s="2"/>
      <c r="M1175" s="2"/>
      <c r="N1175" s="2"/>
      <c r="O1175" s="2"/>
      <c r="P1175" s="2"/>
    </row>
    <row r="1176" spans="1:16" x14ac:dyDescent="0.4">
      <c r="A1176">
        <v>2013</v>
      </c>
      <c r="B1176" s="2" t="s">
        <v>395</v>
      </c>
      <c r="C1176" s="2" t="s">
        <v>710</v>
      </c>
      <c r="D1176" s="2" t="s">
        <v>37</v>
      </c>
      <c r="E1176" s="67" t="s">
        <v>42</v>
      </c>
      <c r="F1176" s="12">
        <v>913</v>
      </c>
      <c r="G1176" s="12">
        <v>567</v>
      </c>
      <c r="H1176" s="12">
        <v>346</v>
      </c>
      <c r="J1176" s="2"/>
      <c r="K1176" s="2"/>
      <c r="L1176" s="2"/>
      <c r="M1176" s="2"/>
      <c r="N1176" s="2"/>
      <c r="O1176" s="2"/>
      <c r="P1176" s="2"/>
    </row>
    <row r="1177" spans="1:16" x14ac:dyDescent="0.4">
      <c r="A1177">
        <v>2013</v>
      </c>
      <c r="B1177" s="2" t="s">
        <v>396</v>
      </c>
      <c r="C1177" s="2" t="s">
        <v>710</v>
      </c>
      <c r="D1177" s="2" t="s">
        <v>37</v>
      </c>
      <c r="E1177" s="67" t="s">
        <v>43</v>
      </c>
      <c r="F1177" s="12">
        <v>150</v>
      </c>
      <c r="G1177" s="12">
        <v>99</v>
      </c>
      <c r="H1177" s="12">
        <v>51</v>
      </c>
      <c r="J1177" s="2"/>
      <c r="K1177" s="2"/>
      <c r="L1177" s="2"/>
      <c r="M1177" s="2"/>
      <c r="N1177" s="2"/>
      <c r="O1177" s="2"/>
      <c r="P1177" s="2"/>
    </row>
    <row r="1178" spans="1:16" x14ac:dyDescent="0.4">
      <c r="A1178">
        <v>2013</v>
      </c>
      <c r="B1178" s="2" t="s">
        <v>397</v>
      </c>
      <c r="C1178" s="2" t="s">
        <v>710</v>
      </c>
      <c r="D1178" s="2" t="s">
        <v>37</v>
      </c>
      <c r="E1178" s="67" t="s">
        <v>44</v>
      </c>
      <c r="F1178" s="12">
        <v>448</v>
      </c>
      <c r="G1178" s="12">
        <v>279</v>
      </c>
      <c r="H1178" s="12">
        <v>169</v>
      </c>
      <c r="J1178" s="2"/>
      <c r="K1178" s="2"/>
      <c r="L1178" s="2"/>
      <c r="M1178" s="2"/>
      <c r="N1178" s="2"/>
      <c r="O1178" s="2"/>
      <c r="P1178" s="2"/>
    </row>
    <row r="1179" spans="1:16" x14ac:dyDescent="0.4">
      <c r="A1179">
        <v>2013</v>
      </c>
      <c r="B1179" s="2" t="s">
        <v>398</v>
      </c>
      <c r="C1179" s="2" t="s">
        <v>710</v>
      </c>
      <c r="D1179" s="2" t="s">
        <v>37</v>
      </c>
      <c r="E1179" s="67" t="s">
        <v>45</v>
      </c>
      <c r="F1179" s="12">
        <v>311</v>
      </c>
      <c r="G1179" s="12">
        <v>188</v>
      </c>
      <c r="H1179" s="12">
        <v>123</v>
      </c>
      <c r="J1179" s="2"/>
      <c r="K1179" s="2"/>
      <c r="L1179" s="2"/>
      <c r="M1179" s="2"/>
      <c r="N1179" s="2"/>
      <c r="O1179" s="2"/>
      <c r="P1179" s="2"/>
    </row>
    <row r="1180" spans="1:16" x14ac:dyDescent="0.4">
      <c r="A1180">
        <v>2013</v>
      </c>
      <c r="B1180" s="2" t="s">
        <v>399</v>
      </c>
      <c r="C1180" s="2" t="s">
        <v>710</v>
      </c>
      <c r="D1180" s="2" t="s">
        <v>37</v>
      </c>
      <c r="E1180" s="67" t="s">
        <v>46</v>
      </c>
      <c r="F1180" s="12">
        <v>49</v>
      </c>
      <c r="G1180" s="12">
        <v>39</v>
      </c>
      <c r="H1180" s="12">
        <v>10</v>
      </c>
      <c r="J1180" s="2"/>
      <c r="K1180" s="2"/>
      <c r="L1180" s="2"/>
      <c r="M1180" s="2"/>
      <c r="N1180" s="2"/>
      <c r="O1180" s="2"/>
      <c r="P1180" s="2"/>
    </row>
    <row r="1181" spans="1:16" x14ac:dyDescent="0.4">
      <c r="A1181">
        <v>2013</v>
      </c>
      <c r="B1181" s="2" t="s">
        <v>400</v>
      </c>
      <c r="C1181" s="2" t="s">
        <v>710</v>
      </c>
      <c r="D1181" s="2" t="s">
        <v>37</v>
      </c>
      <c r="E1181" s="67" t="s">
        <v>47</v>
      </c>
      <c r="F1181" s="12">
        <v>118</v>
      </c>
      <c r="G1181" s="12">
        <v>84</v>
      </c>
      <c r="H1181" s="12">
        <v>34</v>
      </c>
      <c r="J1181" s="2"/>
      <c r="K1181" s="2"/>
      <c r="L1181" s="2"/>
      <c r="M1181" s="2"/>
      <c r="N1181" s="2"/>
      <c r="O1181" s="2"/>
      <c r="P1181" s="2"/>
    </row>
    <row r="1182" spans="1:16" x14ac:dyDescent="0.4">
      <c r="A1182">
        <v>2013</v>
      </c>
      <c r="B1182" s="2" t="s">
        <v>401</v>
      </c>
      <c r="C1182" s="2" t="s">
        <v>710</v>
      </c>
      <c r="D1182" s="2" t="s">
        <v>37</v>
      </c>
      <c r="E1182" s="67" t="s">
        <v>48</v>
      </c>
      <c r="F1182" s="12">
        <v>62</v>
      </c>
      <c r="G1182" s="12">
        <v>46</v>
      </c>
      <c r="H1182" s="12">
        <v>16</v>
      </c>
      <c r="J1182" s="2"/>
      <c r="K1182" s="2"/>
      <c r="L1182" s="2"/>
      <c r="M1182" s="2"/>
      <c r="N1182" s="2"/>
      <c r="O1182" s="2"/>
      <c r="P1182" s="2"/>
    </row>
    <row r="1183" spans="1:16" x14ac:dyDescent="0.4">
      <c r="A1183">
        <v>2013</v>
      </c>
      <c r="B1183" s="2" t="s">
        <v>402</v>
      </c>
      <c r="C1183" s="2" t="s">
        <v>710</v>
      </c>
      <c r="D1183" s="2" t="s">
        <v>37</v>
      </c>
      <c r="E1183" s="67" t="s">
        <v>49</v>
      </c>
      <c r="F1183" s="12">
        <v>598</v>
      </c>
      <c r="G1183" s="12">
        <v>374</v>
      </c>
      <c r="H1183" s="12">
        <v>224</v>
      </c>
      <c r="J1183" s="2"/>
      <c r="K1183" s="2"/>
      <c r="L1183" s="2"/>
      <c r="M1183" s="2"/>
      <c r="N1183" s="2"/>
      <c r="O1183" s="2"/>
      <c r="P1183" s="2"/>
    </row>
    <row r="1184" spans="1:16" x14ac:dyDescent="0.4">
      <c r="A1184">
        <v>2013</v>
      </c>
      <c r="B1184" s="2" t="s">
        <v>403</v>
      </c>
      <c r="C1184" s="2" t="s">
        <v>710</v>
      </c>
      <c r="D1184" s="2" t="s">
        <v>37</v>
      </c>
      <c r="E1184" s="67" t="s">
        <v>50</v>
      </c>
      <c r="F1184" s="12">
        <v>147</v>
      </c>
      <c r="G1184" s="12">
        <v>111</v>
      </c>
      <c r="H1184" s="12">
        <v>36</v>
      </c>
      <c r="J1184" s="2"/>
      <c r="K1184" s="2"/>
      <c r="L1184" s="2"/>
      <c r="M1184" s="2"/>
      <c r="N1184" s="2"/>
      <c r="O1184" s="2"/>
      <c r="P1184" s="2"/>
    </row>
    <row r="1185" spans="1:16" x14ac:dyDescent="0.4">
      <c r="A1185">
        <v>2013</v>
      </c>
      <c r="B1185" s="2" t="s">
        <v>404</v>
      </c>
      <c r="C1185" s="2" t="s">
        <v>710</v>
      </c>
      <c r="D1185" s="2" t="s">
        <v>37</v>
      </c>
      <c r="E1185" s="67" t="s">
        <v>51</v>
      </c>
      <c r="F1185" s="12">
        <v>545</v>
      </c>
      <c r="G1185" s="12">
        <v>351</v>
      </c>
      <c r="H1185" s="12">
        <v>194</v>
      </c>
      <c r="J1185" s="2"/>
      <c r="K1185" s="2"/>
      <c r="L1185" s="2"/>
      <c r="M1185" s="2"/>
      <c r="N1185" s="2"/>
      <c r="O1185" s="2"/>
      <c r="P1185" s="2"/>
    </row>
    <row r="1186" spans="1:16" x14ac:dyDescent="0.4">
      <c r="A1186">
        <v>2013</v>
      </c>
      <c r="B1186" s="2" t="s">
        <v>405</v>
      </c>
      <c r="C1186" s="2" t="s">
        <v>710</v>
      </c>
      <c r="D1186" s="2" t="s">
        <v>37</v>
      </c>
      <c r="E1186" s="67" t="s">
        <v>52</v>
      </c>
      <c r="F1186" s="12">
        <v>37</v>
      </c>
      <c r="G1186" s="12">
        <v>27</v>
      </c>
      <c r="H1186" s="12">
        <v>10</v>
      </c>
      <c r="J1186" s="2"/>
      <c r="K1186" s="2"/>
      <c r="L1186" s="2"/>
      <c r="M1186" s="2"/>
      <c r="N1186" s="2"/>
      <c r="O1186" s="2"/>
      <c r="P1186" s="2"/>
    </row>
    <row r="1187" spans="1:16" x14ac:dyDescent="0.4">
      <c r="A1187">
        <v>2013</v>
      </c>
      <c r="B1187" s="2" t="s">
        <v>406</v>
      </c>
      <c r="C1187" s="2" t="s">
        <v>710</v>
      </c>
      <c r="D1187" s="2" t="s">
        <v>37</v>
      </c>
      <c r="E1187" s="67" t="s">
        <v>53</v>
      </c>
      <c r="F1187" s="12">
        <v>65</v>
      </c>
      <c r="G1187" s="12">
        <v>43</v>
      </c>
      <c r="H1187" s="12">
        <v>22</v>
      </c>
      <c r="J1187" s="2"/>
      <c r="K1187" s="2"/>
      <c r="L1187" s="2"/>
      <c r="M1187" s="2"/>
      <c r="N1187" s="2"/>
      <c r="O1187" s="2"/>
      <c r="P1187" s="2"/>
    </row>
    <row r="1188" spans="1:16" x14ac:dyDescent="0.4">
      <c r="A1188">
        <v>2013</v>
      </c>
      <c r="B1188" s="2" t="s">
        <v>407</v>
      </c>
      <c r="C1188" s="2" t="s">
        <v>710</v>
      </c>
      <c r="D1188" s="2" t="s">
        <v>37</v>
      </c>
      <c r="E1188" s="67" t="s">
        <v>54</v>
      </c>
      <c r="F1188" s="12">
        <v>600</v>
      </c>
      <c r="G1188" s="12">
        <v>406</v>
      </c>
      <c r="H1188" s="12">
        <v>194</v>
      </c>
      <c r="J1188" s="2"/>
      <c r="K1188" s="2"/>
      <c r="L1188" s="2"/>
      <c r="M1188" s="2"/>
      <c r="N1188" s="2"/>
      <c r="O1188" s="2"/>
      <c r="P1188" s="2"/>
    </row>
    <row r="1189" spans="1:16" x14ac:dyDescent="0.4">
      <c r="A1189">
        <v>2013</v>
      </c>
      <c r="B1189" s="2" t="s">
        <v>408</v>
      </c>
      <c r="C1189" s="2" t="s">
        <v>711</v>
      </c>
      <c r="D1189" s="2" t="s">
        <v>56</v>
      </c>
      <c r="E1189" s="67" t="s">
        <v>55</v>
      </c>
      <c r="F1189" s="12">
        <v>124</v>
      </c>
      <c r="G1189" s="12">
        <v>84</v>
      </c>
      <c r="H1189" s="12">
        <v>40</v>
      </c>
      <c r="J1189" s="2"/>
      <c r="K1189" s="2"/>
      <c r="L1189" s="2"/>
      <c r="M1189" s="2"/>
      <c r="N1189" s="2"/>
      <c r="O1189" s="2"/>
      <c r="P1189" s="2"/>
    </row>
    <row r="1190" spans="1:16" x14ac:dyDescent="0.4">
      <c r="A1190">
        <v>2013</v>
      </c>
      <c r="B1190" s="2" t="s">
        <v>409</v>
      </c>
      <c r="C1190" s="2" t="s">
        <v>711</v>
      </c>
      <c r="D1190" s="2" t="s">
        <v>56</v>
      </c>
      <c r="E1190" s="67" t="s">
        <v>57</v>
      </c>
      <c r="F1190" s="12">
        <v>48</v>
      </c>
      <c r="G1190" s="12">
        <v>31</v>
      </c>
      <c r="H1190" s="12">
        <v>17</v>
      </c>
      <c r="J1190" s="2"/>
      <c r="K1190" s="2"/>
      <c r="L1190" s="2"/>
      <c r="M1190" s="2"/>
      <c r="N1190" s="2"/>
      <c r="O1190" s="2"/>
      <c r="P1190" s="2"/>
    </row>
    <row r="1191" spans="1:16" x14ac:dyDescent="0.4">
      <c r="A1191">
        <v>2013</v>
      </c>
      <c r="B1191" s="2" t="s">
        <v>410</v>
      </c>
      <c r="C1191" s="2" t="s">
        <v>711</v>
      </c>
      <c r="D1191" s="2" t="s">
        <v>56</v>
      </c>
      <c r="E1191" s="67" t="s">
        <v>58</v>
      </c>
      <c r="F1191" s="12">
        <v>285</v>
      </c>
      <c r="G1191" s="12">
        <v>194</v>
      </c>
      <c r="H1191" s="12">
        <v>91</v>
      </c>
      <c r="J1191" s="2"/>
      <c r="K1191" s="2"/>
      <c r="L1191" s="2"/>
      <c r="M1191" s="2"/>
      <c r="N1191" s="2"/>
      <c r="O1191" s="2"/>
      <c r="P1191" s="2"/>
    </row>
    <row r="1192" spans="1:16" x14ac:dyDescent="0.4">
      <c r="A1192">
        <v>2013</v>
      </c>
      <c r="B1192" s="2" t="s">
        <v>411</v>
      </c>
      <c r="C1192" s="2" t="s">
        <v>711</v>
      </c>
      <c r="D1192" s="2" t="s">
        <v>56</v>
      </c>
      <c r="E1192" s="67" t="s">
        <v>59</v>
      </c>
      <c r="F1192" s="12">
        <v>48</v>
      </c>
      <c r="G1192" s="12">
        <v>30</v>
      </c>
      <c r="H1192" s="12">
        <v>18</v>
      </c>
      <c r="J1192" s="2"/>
      <c r="K1192" s="2"/>
      <c r="L1192" s="2"/>
      <c r="M1192" s="2"/>
      <c r="N1192" s="2"/>
      <c r="O1192" s="2"/>
      <c r="P1192" s="2"/>
    </row>
    <row r="1193" spans="1:16" x14ac:dyDescent="0.4">
      <c r="A1193">
        <v>2013</v>
      </c>
      <c r="B1193" s="2" t="s">
        <v>412</v>
      </c>
      <c r="C1193" s="2" t="s">
        <v>711</v>
      </c>
      <c r="D1193" s="2" t="s">
        <v>56</v>
      </c>
      <c r="E1193" s="67" t="s">
        <v>60</v>
      </c>
      <c r="F1193" s="12">
        <v>2535</v>
      </c>
      <c r="G1193" s="12">
        <v>1613</v>
      </c>
      <c r="H1193" s="12">
        <v>922</v>
      </c>
      <c r="J1193" s="2"/>
      <c r="K1193" s="2"/>
      <c r="L1193" s="2"/>
      <c r="M1193" s="2"/>
      <c r="N1193" s="2"/>
      <c r="O1193" s="2"/>
      <c r="P1193" s="2"/>
    </row>
    <row r="1194" spans="1:16" x14ac:dyDescent="0.4">
      <c r="A1194">
        <v>2013</v>
      </c>
      <c r="B1194" s="2" t="s">
        <v>413</v>
      </c>
      <c r="C1194" s="2" t="s">
        <v>711</v>
      </c>
      <c r="D1194" s="2" t="s">
        <v>56</v>
      </c>
      <c r="E1194" s="67" t="s">
        <v>36</v>
      </c>
      <c r="F1194" s="12">
        <v>163</v>
      </c>
      <c r="G1194" s="12">
        <v>105</v>
      </c>
      <c r="H1194" s="12">
        <v>58</v>
      </c>
      <c r="J1194" s="2"/>
      <c r="K1194" s="2"/>
      <c r="L1194" s="2"/>
      <c r="M1194" s="2"/>
      <c r="N1194" s="2"/>
      <c r="O1194" s="2"/>
      <c r="P1194" s="2"/>
    </row>
    <row r="1195" spans="1:16" x14ac:dyDescent="0.4">
      <c r="A1195">
        <v>2013</v>
      </c>
      <c r="B1195" s="2" t="s">
        <v>414</v>
      </c>
      <c r="C1195" s="2" t="s">
        <v>711</v>
      </c>
      <c r="D1195" s="2" t="s">
        <v>56</v>
      </c>
      <c r="E1195" s="67" t="s">
        <v>61</v>
      </c>
      <c r="F1195" s="12">
        <v>83</v>
      </c>
      <c r="G1195" s="12">
        <v>59</v>
      </c>
      <c r="H1195" s="12">
        <v>24</v>
      </c>
      <c r="J1195" s="2"/>
      <c r="K1195" s="2"/>
      <c r="L1195" s="2"/>
      <c r="M1195" s="2"/>
      <c r="N1195" s="2"/>
      <c r="O1195" s="2"/>
      <c r="P1195" s="2"/>
    </row>
    <row r="1196" spans="1:16" x14ac:dyDescent="0.4">
      <c r="A1196">
        <v>2013</v>
      </c>
      <c r="B1196" s="2" t="s">
        <v>415</v>
      </c>
      <c r="C1196" s="2" t="s">
        <v>711</v>
      </c>
      <c r="D1196" s="2" t="s">
        <v>56</v>
      </c>
      <c r="E1196" s="67" t="s">
        <v>62</v>
      </c>
      <c r="F1196" s="12">
        <v>224</v>
      </c>
      <c r="G1196" s="12">
        <v>152</v>
      </c>
      <c r="H1196" s="12">
        <v>72</v>
      </c>
      <c r="J1196" s="2"/>
      <c r="K1196" s="2"/>
      <c r="L1196" s="2"/>
      <c r="M1196" s="2"/>
      <c r="N1196" s="2"/>
      <c r="O1196" s="2"/>
      <c r="P1196" s="2"/>
    </row>
    <row r="1197" spans="1:16" x14ac:dyDescent="0.4">
      <c r="A1197">
        <v>2013</v>
      </c>
      <c r="B1197" s="2" t="s">
        <v>416</v>
      </c>
      <c r="C1197" s="2" t="s">
        <v>711</v>
      </c>
      <c r="D1197" s="2" t="s">
        <v>56</v>
      </c>
      <c r="E1197" s="67" t="s">
        <v>63</v>
      </c>
      <c r="F1197" s="12">
        <v>99</v>
      </c>
      <c r="G1197" s="12">
        <v>78</v>
      </c>
      <c r="H1197" s="12">
        <v>21</v>
      </c>
      <c r="J1197" s="2"/>
      <c r="K1197" s="2"/>
      <c r="L1197" s="2"/>
      <c r="M1197" s="2"/>
      <c r="N1197" s="2"/>
      <c r="O1197" s="2"/>
      <c r="P1197" s="2"/>
    </row>
    <row r="1198" spans="1:16" x14ac:dyDescent="0.4">
      <c r="A1198">
        <v>2013</v>
      </c>
      <c r="B1198" s="2" t="s">
        <v>417</v>
      </c>
      <c r="C1198" s="2" t="s">
        <v>711</v>
      </c>
      <c r="D1198" s="2" t="s">
        <v>56</v>
      </c>
      <c r="E1198" s="67" t="s">
        <v>64</v>
      </c>
      <c r="F1198" s="12">
        <v>160</v>
      </c>
      <c r="G1198" s="12">
        <v>102</v>
      </c>
      <c r="H1198" s="12">
        <v>58</v>
      </c>
      <c r="J1198" s="2"/>
      <c r="K1198" s="2"/>
      <c r="L1198" s="2"/>
      <c r="M1198" s="2"/>
      <c r="N1198" s="2"/>
      <c r="O1198" s="2"/>
      <c r="P1198" s="2"/>
    </row>
    <row r="1199" spans="1:16" x14ac:dyDescent="0.4">
      <c r="A1199">
        <v>2013</v>
      </c>
      <c r="B1199" s="2" t="s">
        <v>418</v>
      </c>
      <c r="C1199" s="2" t="s">
        <v>711</v>
      </c>
      <c r="D1199" s="2" t="s">
        <v>56</v>
      </c>
      <c r="E1199" s="67" t="s">
        <v>65</v>
      </c>
      <c r="F1199" s="12">
        <v>113</v>
      </c>
      <c r="G1199" s="12">
        <v>71</v>
      </c>
      <c r="H1199" s="12">
        <v>42</v>
      </c>
      <c r="J1199" s="2"/>
      <c r="K1199" s="2"/>
      <c r="L1199" s="2"/>
      <c r="M1199" s="2"/>
      <c r="N1199" s="2"/>
      <c r="O1199" s="2"/>
      <c r="P1199" s="2"/>
    </row>
    <row r="1200" spans="1:16" x14ac:dyDescent="0.4">
      <c r="A1200">
        <v>2013</v>
      </c>
      <c r="B1200" s="2" t="s">
        <v>419</v>
      </c>
      <c r="C1200" s="2" t="s">
        <v>711</v>
      </c>
      <c r="D1200" s="2" t="s">
        <v>56</v>
      </c>
      <c r="E1200" s="67" t="s">
        <v>66</v>
      </c>
      <c r="F1200" s="12">
        <v>48</v>
      </c>
      <c r="G1200" s="12">
        <v>27</v>
      </c>
      <c r="H1200" s="12">
        <v>21</v>
      </c>
      <c r="J1200" s="2"/>
      <c r="K1200" s="2"/>
      <c r="L1200" s="2"/>
      <c r="M1200" s="2"/>
      <c r="N1200" s="2"/>
      <c r="O1200" s="2"/>
      <c r="P1200" s="2"/>
    </row>
    <row r="1201" spans="1:16" x14ac:dyDescent="0.4">
      <c r="A1201">
        <v>2013</v>
      </c>
      <c r="B1201" s="2" t="s">
        <v>420</v>
      </c>
      <c r="C1201" s="2" t="s">
        <v>712</v>
      </c>
      <c r="D1201" s="2" t="s">
        <v>68</v>
      </c>
      <c r="E1201" s="67" t="s">
        <v>67</v>
      </c>
      <c r="F1201" s="12">
        <v>4070</v>
      </c>
      <c r="G1201" s="12">
        <v>2637</v>
      </c>
      <c r="H1201" s="12">
        <v>1433</v>
      </c>
      <c r="J1201" s="2"/>
      <c r="K1201" s="2"/>
      <c r="L1201" s="2"/>
      <c r="M1201" s="2"/>
      <c r="N1201" s="2"/>
      <c r="O1201" s="2"/>
      <c r="P1201" s="2"/>
    </row>
    <row r="1202" spans="1:16" x14ac:dyDescent="0.4">
      <c r="A1202">
        <v>2013</v>
      </c>
      <c r="B1202" s="2" t="s">
        <v>421</v>
      </c>
      <c r="C1202" s="2" t="s">
        <v>712</v>
      </c>
      <c r="D1202" s="2" t="s">
        <v>68</v>
      </c>
      <c r="E1202" s="67" t="s">
        <v>69</v>
      </c>
      <c r="F1202" s="12">
        <v>213</v>
      </c>
      <c r="G1202" s="12">
        <v>144</v>
      </c>
      <c r="H1202" s="12">
        <v>69</v>
      </c>
      <c r="J1202" s="2"/>
      <c r="K1202" s="2"/>
      <c r="L1202" s="2"/>
      <c r="M1202" s="2"/>
      <c r="N1202" s="2"/>
      <c r="O1202" s="2"/>
      <c r="P1202" s="2"/>
    </row>
    <row r="1203" spans="1:16" x14ac:dyDescent="0.4">
      <c r="A1203">
        <v>2013</v>
      </c>
      <c r="B1203" s="2" t="s">
        <v>422</v>
      </c>
      <c r="C1203" s="2" t="s">
        <v>712</v>
      </c>
      <c r="D1203" s="2" t="s">
        <v>68</v>
      </c>
      <c r="E1203" s="67" t="s">
        <v>70</v>
      </c>
      <c r="F1203" s="12">
        <v>134</v>
      </c>
      <c r="G1203" s="12">
        <v>93</v>
      </c>
      <c r="H1203" s="12">
        <v>41</v>
      </c>
      <c r="J1203" s="2"/>
      <c r="K1203" s="2"/>
      <c r="L1203" s="2"/>
      <c r="M1203" s="2"/>
      <c r="N1203" s="2"/>
      <c r="O1203" s="2"/>
      <c r="P1203" s="2"/>
    </row>
    <row r="1204" spans="1:16" x14ac:dyDescent="0.4">
      <c r="A1204">
        <v>2013</v>
      </c>
      <c r="B1204" s="2" t="s">
        <v>423</v>
      </c>
      <c r="C1204" s="2" t="s">
        <v>712</v>
      </c>
      <c r="D1204" s="2" t="s">
        <v>68</v>
      </c>
      <c r="E1204" s="67" t="s">
        <v>71</v>
      </c>
      <c r="F1204" s="12">
        <v>62</v>
      </c>
      <c r="G1204" s="12">
        <v>41</v>
      </c>
      <c r="H1204" s="12">
        <v>21</v>
      </c>
      <c r="J1204" s="2"/>
      <c r="K1204" s="2"/>
      <c r="L1204" s="2"/>
      <c r="M1204" s="2"/>
      <c r="N1204" s="2"/>
      <c r="O1204" s="2"/>
      <c r="P1204" s="2"/>
    </row>
    <row r="1205" spans="1:16" x14ac:dyDescent="0.4">
      <c r="A1205">
        <v>2013</v>
      </c>
      <c r="B1205" s="2" t="s">
        <v>424</v>
      </c>
      <c r="C1205" s="2" t="s">
        <v>712</v>
      </c>
      <c r="D1205" s="2" t="s">
        <v>68</v>
      </c>
      <c r="E1205" s="67" t="s">
        <v>72</v>
      </c>
      <c r="F1205" s="12">
        <v>2303</v>
      </c>
      <c r="G1205" s="12">
        <v>1364</v>
      </c>
      <c r="H1205" s="12">
        <v>939</v>
      </c>
      <c r="J1205" s="2"/>
      <c r="K1205" s="2"/>
      <c r="L1205" s="2"/>
      <c r="M1205" s="2"/>
      <c r="N1205" s="2"/>
      <c r="O1205" s="2"/>
      <c r="P1205" s="2"/>
    </row>
    <row r="1206" spans="1:16" x14ac:dyDescent="0.4">
      <c r="A1206">
        <v>2013</v>
      </c>
      <c r="B1206" s="2" t="s">
        <v>425</v>
      </c>
      <c r="C1206" s="2" t="s">
        <v>712</v>
      </c>
      <c r="D1206" s="2" t="s">
        <v>68</v>
      </c>
      <c r="E1206" s="67" t="s">
        <v>73</v>
      </c>
      <c r="F1206" s="12">
        <v>36</v>
      </c>
      <c r="G1206" s="12">
        <v>24</v>
      </c>
      <c r="H1206" s="12">
        <v>12</v>
      </c>
      <c r="J1206" s="2"/>
      <c r="K1206" s="2"/>
      <c r="L1206" s="2"/>
      <c r="M1206" s="2"/>
      <c r="N1206" s="2"/>
      <c r="O1206" s="2"/>
      <c r="P1206" s="2"/>
    </row>
    <row r="1207" spans="1:16" x14ac:dyDescent="0.4">
      <c r="A1207">
        <v>2013</v>
      </c>
      <c r="B1207" s="2" t="s">
        <v>426</v>
      </c>
      <c r="C1207" s="2" t="s">
        <v>712</v>
      </c>
      <c r="D1207" s="2" t="s">
        <v>68</v>
      </c>
      <c r="E1207" s="67" t="s">
        <v>74</v>
      </c>
      <c r="F1207" s="12">
        <v>496</v>
      </c>
      <c r="G1207" s="12">
        <v>309</v>
      </c>
      <c r="H1207" s="12">
        <v>187</v>
      </c>
      <c r="J1207" s="2"/>
      <c r="K1207" s="2"/>
      <c r="L1207" s="2"/>
      <c r="M1207" s="2"/>
      <c r="N1207" s="2"/>
      <c r="O1207" s="2"/>
      <c r="P1207" s="2"/>
    </row>
    <row r="1208" spans="1:16" x14ac:dyDescent="0.4">
      <c r="A1208">
        <v>2013</v>
      </c>
      <c r="B1208" s="2" t="s">
        <v>427</v>
      </c>
      <c r="C1208" s="2" t="s">
        <v>712</v>
      </c>
      <c r="D1208" s="2" t="s">
        <v>68</v>
      </c>
      <c r="E1208" s="67" t="s">
        <v>75</v>
      </c>
      <c r="F1208" s="12">
        <v>51</v>
      </c>
      <c r="G1208" s="12">
        <v>37</v>
      </c>
      <c r="H1208" s="12">
        <v>14</v>
      </c>
      <c r="J1208" s="2"/>
      <c r="K1208" s="2"/>
      <c r="L1208" s="2"/>
      <c r="M1208" s="2"/>
      <c r="N1208" s="2"/>
      <c r="O1208" s="2"/>
      <c r="P1208" s="2"/>
    </row>
    <row r="1209" spans="1:16" x14ac:dyDescent="0.4">
      <c r="A1209">
        <v>2013</v>
      </c>
      <c r="B1209" s="2" t="s">
        <v>428</v>
      </c>
      <c r="C1209" s="2" t="s">
        <v>712</v>
      </c>
      <c r="D1209" s="2" t="s">
        <v>68</v>
      </c>
      <c r="E1209" s="67" t="s">
        <v>76</v>
      </c>
      <c r="F1209" s="12">
        <v>101</v>
      </c>
      <c r="G1209" s="12">
        <v>69</v>
      </c>
      <c r="H1209" s="12">
        <v>32</v>
      </c>
      <c r="J1209" s="2"/>
      <c r="K1209" s="2"/>
      <c r="L1209" s="2"/>
      <c r="M1209" s="2"/>
      <c r="N1209" s="2"/>
      <c r="O1209" s="2"/>
      <c r="P1209" s="2"/>
    </row>
    <row r="1210" spans="1:16" x14ac:dyDescent="0.4">
      <c r="A1210">
        <v>2013</v>
      </c>
      <c r="B1210" s="2" t="s">
        <v>429</v>
      </c>
      <c r="C1210" s="2" t="s">
        <v>712</v>
      </c>
      <c r="D1210" s="2" t="s">
        <v>68</v>
      </c>
      <c r="E1210" s="67" t="s">
        <v>77</v>
      </c>
      <c r="F1210" s="12">
        <v>181</v>
      </c>
      <c r="G1210" s="12">
        <v>126</v>
      </c>
      <c r="H1210" s="12">
        <v>55</v>
      </c>
      <c r="J1210" s="2"/>
      <c r="K1210" s="2"/>
      <c r="L1210" s="2"/>
      <c r="M1210" s="2"/>
      <c r="N1210" s="2"/>
      <c r="O1210" s="2"/>
      <c r="P1210" s="2"/>
    </row>
    <row r="1211" spans="1:16" x14ac:dyDescent="0.4">
      <c r="A1211">
        <v>2013</v>
      </c>
      <c r="B1211" s="2" t="s">
        <v>430</v>
      </c>
      <c r="C1211" s="2" t="s">
        <v>712</v>
      </c>
      <c r="D1211" s="2" t="s">
        <v>68</v>
      </c>
      <c r="E1211" s="67" t="s">
        <v>51</v>
      </c>
      <c r="F1211" s="12">
        <v>15</v>
      </c>
      <c r="G1211" s="12">
        <v>9</v>
      </c>
      <c r="H1211" s="12">
        <v>6</v>
      </c>
      <c r="J1211" s="2"/>
      <c r="K1211" s="2"/>
      <c r="L1211" s="2"/>
      <c r="M1211" s="2"/>
      <c r="N1211" s="2"/>
      <c r="O1211" s="2"/>
      <c r="P1211" s="2"/>
    </row>
    <row r="1212" spans="1:16" x14ac:dyDescent="0.4">
      <c r="A1212">
        <v>2013</v>
      </c>
      <c r="B1212" s="2" t="s">
        <v>431</v>
      </c>
      <c r="C1212" s="2" t="s">
        <v>713</v>
      </c>
      <c r="D1212" s="2" t="s">
        <v>79</v>
      </c>
      <c r="E1212" s="67" t="s">
        <v>78</v>
      </c>
      <c r="F1212" s="12">
        <v>342</v>
      </c>
      <c r="G1212" s="12">
        <v>203</v>
      </c>
      <c r="H1212" s="12">
        <v>139</v>
      </c>
      <c r="J1212" s="2"/>
      <c r="K1212" s="2"/>
      <c r="L1212" s="2"/>
      <c r="M1212" s="2"/>
      <c r="N1212" s="2"/>
      <c r="O1212" s="2"/>
      <c r="P1212" s="2"/>
    </row>
    <row r="1213" spans="1:16" x14ac:dyDescent="0.4">
      <c r="A1213">
        <v>2013</v>
      </c>
      <c r="B1213" s="2" t="s">
        <v>432</v>
      </c>
      <c r="C1213" s="2" t="s">
        <v>713</v>
      </c>
      <c r="D1213" s="2" t="s">
        <v>79</v>
      </c>
      <c r="E1213" s="67" t="s">
        <v>80</v>
      </c>
      <c r="F1213" s="12">
        <v>562</v>
      </c>
      <c r="G1213" s="12">
        <v>385</v>
      </c>
      <c r="H1213" s="12">
        <v>177</v>
      </c>
      <c r="J1213" s="2"/>
      <c r="K1213" s="2"/>
      <c r="L1213" s="2"/>
      <c r="M1213" s="2"/>
      <c r="N1213" s="2"/>
      <c r="O1213" s="2"/>
      <c r="P1213" s="2"/>
    </row>
    <row r="1214" spans="1:16" x14ac:dyDescent="0.4">
      <c r="A1214">
        <v>2013</v>
      </c>
      <c r="B1214" s="2" t="s">
        <v>433</v>
      </c>
      <c r="C1214" s="2" t="s">
        <v>713</v>
      </c>
      <c r="D1214" s="2" t="s">
        <v>79</v>
      </c>
      <c r="E1214" s="67" t="s">
        <v>81</v>
      </c>
      <c r="F1214" s="12">
        <v>534</v>
      </c>
      <c r="G1214" s="12">
        <v>366</v>
      </c>
      <c r="H1214" s="12">
        <v>168</v>
      </c>
      <c r="J1214" s="2"/>
      <c r="K1214" s="2"/>
      <c r="L1214" s="2"/>
      <c r="M1214" s="2"/>
      <c r="N1214" s="2"/>
      <c r="O1214" s="2"/>
      <c r="P1214" s="2"/>
    </row>
    <row r="1215" spans="1:16" x14ac:dyDescent="0.4">
      <c r="A1215">
        <v>2013</v>
      </c>
      <c r="B1215" s="2" t="s">
        <v>434</v>
      </c>
      <c r="C1215" s="2" t="s">
        <v>713</v>
      </c>
      <c r="D1215" s="2" t="s">
        <v>79</v>
      </c>
      <c r="E1215" s="67" t="s">
        <v>82</v>
      </c>
      <c r="F1215" s="12">
        <v>657</v>
      </c>
      <c r="G1215" s="12">
        <v>417</v>
      </c>
      <c r="H1215" s="12">
        <v>240</v>
      </c>
      <c r="J1215" s="2"/>
      <c r="K1215" s="2"/>
      <c r="L1215" s="2"/>
      <c r="M1215" s="2"/>
      <c r="N1215" s="2"/>
      <c r="O1215" s="2"/>
      <c r="P1215" s="2"/>
    </row>
    <row r="1216" spans="1:16" x14ac:dyDescent="0.4">
      <c r="A1216">
        <v>2013</v>
      </c>
      <c r="B1216" s="2" t="s">
        <v>435</v>
      </c>
      <c r="C1216" s="2" t="s">
        <v>713</v>
      </c>
      <c r="D1216" s="2" t="s">
        <v>79</v>
      </c>
      <c r="E1216" s="67" t="s">
        <v>83</v>
      </c>
      <c r="F1216" s="12">
        <v>251</v>
      </c>
      <c r="G1216" s="12">
        <v>174</v>
      </c>
      <c r="H1216" s="12">
        <v>77</v>
      </c>
      <c r="J1216" s="2"/>
      <c r="K1216" s="2"/>
      <c r="L1216" s="2"/>
      <c r="M1216" s="2"/>
      <c r="N1216" s="2"/>
      <c r="O1216" s="2"/>
      <c r="P1216" s="2"/>
    </row>
    <row r="1217" spans="1:16" x14ac:dyDescent="0.4">
      <c r="A1217">
        <v>2013</v>
      </c>
      <c r="B1217" s="2" t="s">
        <v>436</v>
      </c>
      <c r="C1217" s="2" t="s">
        <v>713</v>
      </c>
      <c r="D1217" s="2" t="s">
        <v>79</v>
      </c>
      <c r="E1217" s="67" t="s">
        <v>44</v>
      </c>
      <c r="F1217" s="12">
        <v>620</v>
      </c>
      <c r="G1217" s="12">
        <v>420</v>
      </c>
      <c r="H1217" s="12">
        <v>200</v>
      </c>
      <c r="J1217" s="2"/>
      <c r="K1217" s="2"/>
      <c r="L1217" s="2"/>
      <c r="M1217" s="2"/>
      <c r="N1217" s="2"/>
      <c r="O1217" s="2"/>
      <c r="P1217" s="2"/>
    </row>
    <row r="1218" spans="1:16" x14ac:dyDescent="0.4">
      <c r="A1218">
        <v>2013</v>
      </c>
      <c r="B1218" s="2" t="s">
        <v>437</v>
      </c>
      <c r="C1218" s="2" t="s">
        <v>713</v>
      </c>
      <c r="D1218" s="2" t="s">
        <v>79</v>
      </c>
      <c r="E1218" s="67" t="s">
        <v>84</v>
      </c>
      <c r="F1218" s="12">
        <v>357</v>
      </c>
      <c r="G1218" s="12">
        <v>233</v>
      </c>
      <c r="H1218" s="12">
        <v>124</v>
      </c>
      <c r="J1218" s="2"/>
      <c r="K1218" s="2"/>
      <c r="L1218" s="2"/>
      <c r="M1218" s="2"/>
      <c r="N1218" s="2"/>
      <c r="O1218" s="2"/>
      <c r="P1218" s="2"/>
    </row>
    <row r="1219" spans="1:16" x14ac:dyDescent="0.4">
      <c r="A1219">
        <v>2013</v>
      </c>
      <c r="B1219" s="2" t="s">
        <v>438</v>
      </c>
      <c r="C1219" s="2" t="s">
        <v>713</v>
      </c>
      <c r="D1219" s="2" t="s">
        <v>79</v>
      </c>
      <c r="E1219" s="67" t="s">
        <v>85</v>
      </c>
      <c r="F1219" s="12">
        <v>80</v>
      </c>
      <c r="G1219" s="12">
        <v>62</v>
      </c>
      <c r="H1219" s="12">
        <v>18</v>
      </c>
      <c r="J1219" s="2"/>
      <c r="K1219" s="2"/>
      <c r="L1219" s="2"/>
      <c r="M1219" s="2"/>
      <c r="N1219" s="2"/>
      <c r="O1219" s="2"/>
      <c r="P1219" s="2"/>
    </row>
    <row r="1220" spans="1:16" x14ac:dyDescent="0.4">
      <c r="A1220">
        <v>2013</v>
      </c>
      <c r="B1220" s="2" t="s">
        <v>439</v>
      </c>
      <c r="C1220" s="2" t="s">
        <v>713</v>
      </c>
      <c r="D1220" s="2" t="s">
        <v>79</v>
      </c>
      <c r="E1220" s="67" t="s">
        <v>86</v>
      </c>
      <c r="F1220" s="12">
        <v>84</v>
      </c>
      <c r="G1220" s="12">
        <v>47</v>
      </c>
      <c r="H1220" s="12">
        <v>37</v>
      </c>
      <c r="J1220" s="2"/>
      <c r="K1220" s="2"/>
      <c r="L1220" s="2"/>
      <c r="M1220" s="2"/>
      <c r="N1220" s="2"/>
      <c r="O1220" s="2"/>
      <c r="P1220" s="2"/>
    </row>
    <row r="1221" spans="1:16" x14ac:dyDescent="0.4">
      <c r="A1221">
        <v>2013</v>
      </c>
      <c r="B1221" s="2" t="s">
        <v>440</v>
      </c>
      <c r="C1221" s="2" t="s">
        <v>713</v>
      </c>
      <c r="D1221" s="2" t="s">
        <v>79</v>
      </c>
      <c r="E1221" s="67" t="s">
        <v>87</v>
      </c>
      <c r="F1221" s="12">
        <v>1923</v>
      </c>
      <c r="G1221" s="12">
        <v>1073</v>
      </c>
      <c r="H1221" s="12">
        <v>850</v>
      </c>
      <c r="J1221" s="2"/>
      <c r="K1221" s="2"/>
      <c r="L1221" s="2"/>
      <c r="M1221" s="2"/>
      <c r="N1221" s="2"/>
      <c r="O1221" s="2"/>
      <c r="P1221" s="2"/>
    </row>
    <row r="1222" spans="1:16" x14ac:dyDescent="0.4">
      <c r="A1222">
        <v>2013</v>
      </c>
      <c r="B1222" s="2" t="s">
        <v>441</v>
      </c>
      <c r="C1222" s="2" t="s">
        <v>713</v>
      </c>
      <c r="D1222" s="2" t="s">
        <v>79</v>
      </c>
      <c r="E1222" s="67" t="s">
        <v>88</v>
      </c>
      <c r="F1222" s="12">
        <v>1282</v>
      </c>
      <c r="G1222" s="12">
        <v>786</v>
      </c>
      <c r="H1222" s="12">
        <v>496</v>
      </c>
      <c r="J1222" s="2"/>
      <c r="K1222" s="2"/>
      <c r="L1222" s="2"/>
      <c r="M1222" s="2"/>
      <c r="N1222" s="2"/>
      <c r="O1222" s="2"/>
      <c r="P1222" s="2"/>
    </row>
    <row r="1223" spans="1:16" x14ac:dyDescent="0.4">
      <c r="A1223">
        <v>2013</v>
      </c>
      <c r="B1223" s="2" t="s">
        <v>442</v>
      </c>
      <c r="C1223" s="2" t="s">
        <v>713</v>
      </c>
      <c r="D1223" s="2" t="s">
        <v>79</v>
      </c>
      <c r="E1223" s="67" t="s">
        <v>89</v>
      </c>
      <c r="F1223" s="12">
        <v>382</v>
      </c>
      <c r="G1223" s="12">
        <v>216</v>
      </c>
      <c r="H1223" s="12">
        <v>166</v>
      </c>
      <c r="J1223" s="2"/>
      <c r="K1223" s="2"/>
      <c r="L1223" s="2"/>
      <c r="M1223" s="2"/>
      <c r="N1223" s="2"/>
      <c r="O1223" s="2"/>
      <c r="P1223" s="2"/>
    </row>
    <row r="1224" spans="1:16" x14ac:dyDescent="0.4">
      <c r="A1224">
        <v>2013</v>
      </c>
      <c r="B1224" s="2" t="s">
        <v>443</v>
      </c>
      <c r="C1224" s="2" t="s">
        <v>713</v>
      </c>
      <c r="D1224" s="2" t="s">
        <v>79</v>
      </c>
      <c r="E1224" s="67" t="s">
        <v>90</v>
      </c>
      <c r="F1224" s="12">
        <v>171</v>
      </c>
      <c r="G1224" s="12">
        <v>107</v>
      </c>
      <c r="H1224" s="12">
        <v>64</v>
      </c>
      <c r="J1224" s="2"/>
      <c r="K1224" s="2"/>
      <c r="L1224" s="2"/>
      <c r="M1224" s="2"/>
      <c r="N1224" s="2"/>
      <c r="O1224" s="2"/>
      <c r="P1224" s="2"/>
    </row>
    <row r="1225" spans="1:16" x14ac:dyDescent="0.4">
      <c r="A1225">
        <v>2013</v>
      </c>
      <c r="B1225" s="2" t="s">
        <v>444</v>
      </c>
      <c r="C1225" s="2" t="s">
        <v>713</v>
      </c>
      <c r="D1225" s="2" t="s">
        <v>79</v>
      </c>
      <c r="E1225" s="67" t="s">
        <v>91</v>
      </c>
      <c r="F1225" s="12">
        <v>5637</v>
      </c>
      <c r="G1225" s="12">
        <v>3479</v>
      </c>
      <c r="H1225" s="12">
        <v>2158</v>
      </c>
      <c r="J1225" s="2"/>
      <c r="K1225" s="2"/>
      <c r="L1225" s="2"/>
      <c r="M1225" s="2"/>
      <c r="N1225" s="2"/>
      <c r="O1225" s="2"/>
      <c r="P1225" s="2"/>
    </row>
    <row r="1226" spans="1:16" x14ac:dyDescent="0.4">
      <c r="A1226">
        <v>2013</v>
      </c>
      <c r="B1226" s="2" t="s">
        <v>445</v>
      </c>
      <c r="C1226" s="2" t="s">
        <v>714</v>
      </c>
      <c r="D1226" s="2" t="s">
        <v>93</v>
      </c>
      <c r="E1226" s="67" t="s">
        <v>92</v>
      </c>
      <c r="F1226" s="12">
        <v>27</v>
      </c>
      <c r="G1226" s="12">
        <v>21</v>
      </c>
      <c r="H1226" s="12">
        <v>6</v>
      </c>
      <c r="J1226" s="2"/>
      <c r="K1226" s="2"/>
      <c r="L1226" s="2"/>
      <c r="M1226" s="2"/>
      <c r="N1226" s="2"/>
      <c r="O1226" s="2"/>
      <c r="P1226" s="2"/>
    </row>
    <row r="1227" spans="1:16" x14ac:dyDescent="0.4">
      <c r="A1227">
        <v>2013</v>
      </c>
      <c r="B1227" s="2" t="s">
        <v>446</v>
      </c>
      <c r="C1227" s="2" t="s">
        <v>714</v>
      </c>
      <c r="D1227" s="2" t="s">
        <v>93</v>
      </c>
      <c r="E1227" s="67" t="s">
        <v>94</v>
      </c>
      <c r="F1227" s="12">
        <v>442</v>
      </c>
      <c r="G1227" s="12">
        <v>283</v>
      </c>
      <c r="H1227" s="12">
        <v>159</v>
      </c>
      <c r="J1227" s="2"/>
      <c r="K1227" s="2"/>
      <c r="L1227" s="2"/>
      <c r="M1227" s="2"/>
      <c r="N1227" s="2"/>
      <c r="O1227" s="2"/>
      <c r="P1227" s="2"/>
    </row>
    <row r="1228" spans="1:16" x14ac:dyDescent="0.4">
      <c r="A1228">
        <v>2013</v>
      </c>
      <c r="B1228" s="2" t="s">
        <v>447</v>
      </c>
      <c r="C1228" s="2" t="s">
        <v>714</v>
      </c>
      <c r="D1228" s="14" t="s">
        <v>93</v>
      </c>
      <c r="E1228" s="69" t="s">
        <v>40</v>
      </c>
      <c r="F1228" s="11">
        <v>35</v>
      </c>
      <c r="G1228" s="11">
        <v>24</v>
      </c>
      <c r="H1228" s="12">
        <v>11</v>
      </c>
      <c r="J1228" s="2"/>
      <c r="K1228" s="2"/>
      <c r="L1228" s="2"/>
      <c r="M1228" s="2"/>
      <c r="N1228" s="2"/>
      <c r="O1228" s="2"/>
      <c r="P1228" s="2"/>
    </row>
    <row r="1229" spans="1:16" x14ac:dyDescent="0.4">
      <c r="A1229">
        <v>2013</v>
      </c>
      <c r="B1229" s="2" t="s">
        <v>448</v>
      </c>
      <c r="C1229" s="2" t="s">
        <v>714</v>
      </c>
      <c r="D1229" s="2" t="s">
        <v>93</v>
      </c>
      <c r="E1229" s="67" t="s">
        <v>95</v>
      </c>
      <c r="F1229" s="12">
        <v>29</v>
      </c>
      <c r="G1229" s="12">
        <v>11</v>
      </c>
      <c r="H1229" s="12">
        <v>18</v>
      </c>
      <c r="J1229" s="2"/>
      <c r="K1229" s="2"/>
      <c r="L1229" s="2"/>
      <c r="M1229" s="2"/>
      <c r="N1229" s="2"/>
      <c r="O1229" s="2"/>
      <c r="P1229" s="2"/>
    </row>
    <row r="1230" spans="1:16" x14ac:dyDescent="0.4">
      <c r="A1230">
        <v>2013</v>
      </c>
      <c r="B1230" s="2" t="s">
        <v>449</v>
      </c>
      <c r="C1230" s="2" t="s">
        <v>714</v>
      </c>
      <c r="D1230" s="2" t="s">
        <v>93</v>
      </c>
      <c r="E1230" s="67" t="s">
        <v>96</v>
      </c>
      <c r="F1230" s="12">
        <v>43</v>
      </c>
      <c r="G1230" s="12">
        <v>32</v>
      </c>
      <c r="H1230" s="12">
        <v>11</v>
      </c>
      <c r="J1230" s="2"/>
      <c r="K1230" s="2"/>
      <c r="L1230" s="2"/>
      <c r="M1230" s="2"/>
      <c r="N1230" s="2"/>
      <c r="O1230" s="2"/>
      <c r="P1230" s="2"/>
    </row>
    <row r="1231" spans="1:16" x14ac:dyDescent="0.4">
      <c r="A1231">
        <v>2013</v>
      </c>
      <c r="B1231" s="2" t="s">
        <v>450</v>
      </c>
      <c r="C1231" s="2" t="s">
        <v>714</v>
      </c>
      <c r="D1231" s="2" t="s">
        <v>93</v>
      </c>
      <c r="E1231" s="67" t="s">
        <v>97</v>
      </c>
      <c r="F1231" s="12">
        <v>43</v>
      </c>
      <c r="G1231" s="12">
        <v>32</v>
      </c>
      <c r="H1231" s="12">
        <v>11</v>
      </c>
      <c r="J1231" s="2"/>
      <c r="K1231" s="2"/>
      <c r="L1231" s="2"/>
      <c r="M1231" s="2"/>
      <c r="N1231" s="2"/>
      <c r="O1231" s="2"/>
      <c r="P1231" s="2"/>
    </row>
    <row r="1232" spans="1:16" x14ac:dyDescent="0.4">
      <c r="A1232">
        <v>2013</v>
      </c>
      <c r="B1232" s="2" t="s">
        <v>451</v>
      </c>
      <c r="C1232" s="2" t="s">
        <v>714</v>
      </c>
      <c r="D1232" s="2" t="s">
        <v>93</v>
      </c>
      <c r="E1232" s="67" t="s">
        <v>34</v>
      </c>
      <c r="F1232" s="12">
        <v>34</v>
      </c>
      <c r="G1232" s="12">
        <v>25</v>
      </c>
      <c r="H1232" s="12">
        <v>9</v>
      </c>
      <c r="J1232" s="2"/>
      <c r="K1232" s="2"/>
      <c r="L1232" s="2"/>
      <c r="M1232" s="2"/>
      <c r="N1232" s="2"/>
      <c r="O1232" s="2"/>
      <c r="P1232" s="2"/>
    </row>
    <row r="1233" spans="1:16" x14ac:dyDescent="0.4">
      <c r="A1233">
        <v>2013</v>
      </c>
      <c r="B1233" s="2" t="s">
        <v>452</v>
      </c>
      <c r="C1233" s="2" t="s">
        <v>714</v>
      </c>
      <c r="D1233" s="2" t="s">
        <v>93</v>
      </c>
      <c r="E1233" s="67" t="s">
        <v>98</v>
      </c>
      <c r="F1233" s="12">
        <v>847</v>
      </c>
      <c r="G1233" s="12">
        <v>530</v>
      </c>
      <c r="H1233" s="12">
        <v>317</v>
      </c>
      <c r="J1233" s="2"/>
      <c r="K1233" s="2"/>
      <c r="L1233" s="2"/>
      <c r="M1233" s="2"/>
      <c r="N1233" s="2"/>
      <c r="O1233" s="2"/>
      <c r="P1233" s="2"/>
    </row>
    <row r="1234" spans="1:16" x14ac:dyDescent="0.4">
      <c r="A1234">
        <v>2013</v>
      </c>
      <c r="B1234" s="2" t="s">
        <v>453</v>
      </c>
      <c r="C1234" s="2" t="s">
        <v>714</v>
      </c>
      <c r="D1234" s="2" t="s">
        <v>93</v>
      </c>
      <c r="E1234" s="67" t="s">
        <v>99</v>
      </c>
      <c r="F1234" s="12">
        <v>120</v>
      </c>
      <c r="G1234" s="12">
        <v>81</v>
      </c>
      <c r="H1234" s="12">
        <v>39</v>
      </c>
      <c r="J1234" s="2"/>
      <c r="K1234" s="2"/>
      <c r="L1234" s="2"/>
      <c r="M1234" s="2"/>
      <c r="N1234" s="2"/>
      <c r="O1234" s="2"/>
      <c r="P1234" s="2"/>
    </row>
    <row r="1235" spans="1:16" x14ac:dyDescent="0.4">
      <c r="A1235">
        <v>2013</v>
      </c>
      <c r="B1235" s="2" t="s">
        <v>454</v>
      </c>
      <c r="C1235" s="2" t="s">
        <v>715</v>
      </c>
      <c r="D1235" s="2" t="s">
        <v>101</v>
      </c>
      <c r="E1235" s="67" t="s">
        <v>100</v>
      </c>
      <c r="F1235" s="12">
        <v>54</v>
      </c>
      <c r="G1235" s="12">
        <v>33</v>
      </c>
      <c r="H1235" s="12">
        <v>21</v>
      </c>
      <c r="J1235" s="2"/>
      <c r="K1235" s="2"/>
      <c r="L1235" s="2"/>
      <c r="M1235" s="2"/>
      <c r="N1235" s="2"/>
      <c r="O1235" s="2"/>
      <c r="P1235" s="2"/>
    </row>
    <row r="1236" spans="1:16" x14ac:dyDescent="0.4">
      <c r="A1236">
        <v>2013</v>
      </c>
      <c r="B1236" s="2" t="s">
        <v>455</v>
      </c>
      <c r="C1236" s="2" t="s">
        <v>715</v>
      </c>
      <c r="D1236" s="2" t="s">
        <v>101</v>
      </c>
      <c r="E1236" s="67" t="s">
        <v>102</v>
      </c>
      <c r="F1236" s="12">
        <v>66</v>
      </c>
      <c r="G1236" s="12">
        <v>50</v>
      </c>
      <c r="H1236" s="12">
        <v>16</v>
      </c>
      <c r="J1236" s="2"/>
      <c r="K1236" s="2"/>
      <c r="L1236" s="2"/>
      <c r="M1236" s="2"/>
      <c r="N1236" s="2"/>
      <c r="O1236" s="2"/>
      <c r="P1236" s="2"/>
    </row>
    <row r="1237" spans="1:16" x14ac:dyDescent="0.4">
      <c r="A1237">
        <v>2013</v>
      </c>
      <c r="B1237" s="2" t="s">
        <v>456</v>
      </c>
      <c r="C1237" s="2" t="s">
        <v>715</v>
      </c>
      <c r="D1237" s="2" t="s">
        <v>101</v>
      </c>
      <c r="E1237" s="67" t="s">
        <v>103</v>
      </c>
      <c r="F1237" s="12">
        <v>32</v>
      </c>
      <c r="G1237" s="12">
        <v>15</v>
      </c>
      <c r="H1237" s="12">
        <v>17</v>
      </c>
      <c r="J1237" s="2"/>
      <c r="K1237" s="2"/>
      <c r="L1237" s="2"/>
      <c r="M1237" s="2"/>
      <c r="N1237" s="2"/>
      <c r="O1237" s="2"/>
      <c r="P1237" s="2"/>
    </row>
    <row r="1238" spans="1:16" x14ac:dyDescent="0.4">
      <c r="A1238">
        <v>2013</v>
      </c>
      <c r="B1238" s="2" t="s">
        <v>457</v>
      </c>
      <c r="C1238" s="2" t="s">
        <v>715</v>
      </c>
      <c r="D1238" s="2" t="s">
        <v>101</v>
      </c>
      <c r="E1238" s="67" t="s">
        <v>104</v>
      </c>
      <c r="F1238" s="12">
        <v>550</v>
      </c>
      <c r="G1238" s="12">
        <v>336</v>
      </c>
      <c r="H1238" s="12">
        <v>214</v>
      </c>
      <c r="J1238" s="2"/>
      <c r="K1238" s="2"/>
      <c r="L1238" s="2"/>
      <c r="M1238" s="2"/>
      <c r="N1238" s="2"/>
      <c r="O1238" s="2"/>
      <c r="P1238" s="2"/>
    </row>
    <row r="1239" spans="1:16" x14ac:dyDescent="0.4">
      <c r="A1239">
        <v>2013</v>
      </c>
      <c r="B1239" s="2" t="s">
        <v>458</v>
      </c>
      <c r="C1239" s="2" t="s">
        <v>716</v>
      </c>
      <c r="D1239" s="2" t="s">
        <v>129</v>
      </c>
      <c r="E1239" s="67" t="s">
        <v>128</v>
      </c>
      <c r="F1239" s="12">
        <v>16</v>
      </c>
      <c r="G1239" s="12">
        <v>9</v>
      </c>
      <c r="H1239" s="12">
        <v>7</v>
      </c>
      <c r="J1239" s="2"/>
      <c r="K1239" s="2"/>
      <c r="L1239" s="2"/>
      <c r="M1239" s="2"/>
      <c r="N1239" s="2"/>
      <c r="O1239" s="2"/>
      <c r="P1239" s="2"/>
    </row>
    <row r="1240" spans="1:16" x14ac:dyDescent="0.4">
      <c r="A1240">
        <v>2013</v>
      </c>
      <c r="B1240" s="2" t="s">
        <v>459</v>
      </c>
      <c r="C1240" s="2" t="s">
        <v>716</v>
      </c>
      <c r="D1240" s="2" t="s">
        <v>129</v>
      </c>
      <c r="E1240" s="67" t="s">
        <v>36</v>
      </c>
      <c r="F1240" s="12">
        <v>22</v>
      </c>
      <c r="G1240" s="12">
        <v>14</v>
      </c>
      <c r="H1240" s="12">
        <v>8</v>
      </c>
      <c r="J1240" s="2"/>
      <c r="K1240" s="2"/>
      <c r="L1240" s="2"/>
      <c r="M1240" s="2"/>
      <c r="N1240" s="2"/>
      <c r="O1240" s="2"/>
      <c r="P1240" s="2"/>
    </row>
    <row r="1241" spans="1:16" x14ac:dyDescent="0.4">
      <c r="A1241">
        <v>2013</v>
      </c>
      <c r="B1241" s="2" t="s">
        <v>460</v>
      </c>
      <c r="C1241" s="2" t="s">
        <v>716</v>
      </c>
      <c r="D1241" s="2" t="s">
        <v>129</v>
      </c>
      <c r="E1241" s="67" t="s">
        <v>130</v>
      </c>
      <c r="F1241" s="12">
        <v>52</v>
      </c>
      <c r="G1241" s="12">
        <v>30</v>
      </c>
      <c r="H1241" s="12">
        <v>22</v>
      </c>
      <c r="J1241" s="2"/>
      <c r="K1241" s="2"/>
      <c r="L1241" s="2"/>
      <c r="M1241" s="2"/>
      <c r="N1241" s="2"/>
      <c r="O1241" s="2"/>
      <c r="P1241" s="2"/>
    </row>
    <row r="1242" spans="1:16" x14ac:dyDescent="0.4">
      <c r="A1242">
        <v>2013</v>
      </c>
      <c r="B1242" s="2" t="s">
        <v>461</v>
      </c>
      <c r="C1242" s="2" t="s">
        <v>716</v>
      </c>
      <c r="D1242" s="2" t="s">
        <v>129</v>
      </c>
      <c r="E1242" s="67" t="s">
        <v>131</v>
      </c>
      <c r="F1242" s="12">
        <v>34</v>
      </c>
      <c r="G1242" s="12">
        <v>24</v>
      </c>
      <c r="H1242" s="12">
        <v>10</v>
      </c>
      <c r="J1242" s="2"/>
      <c r="K1242" s="2"/>
      <c r="L1242" s="2"/>
      <c r="M1242" s="2"/>
      <c r="N1242" s="2"/>
      <c r="O1242" s="2"/>
      <c r="P1242" s="2"/>
    </row>
    <row r="1243" spans="1:16" x14ac:dyDescent="0.4">
      <c r="A1243">
        <v>2013</v>
      </c>
      <c r="B1243" s="2" t="s">
        <v>462</v>
      </c>
      <c r="C1243" s="2" t="s">
        <v>716</v>
      </c>
      <c r="D1243" s="2" t="s">
        <v>129</v>
      </c>
      <c r="E1243" s="67" t="s">
        <v>132</v>
      </c>
      <c r="F1243" s="12">
        <v>1083</v>
      </c>
      <c r="G1243" s="12">
        <v>614</v>
      </c>
      <c r="H1243" s="12">
        <v>469</v>
      </c>
      <c r="J1243" s="2"/>
      <c r="K1243" s="2"/>
      <c r="L1243" s="2"/>
      <c r="M1243" s="2"/>
      <c r="N1243" s="2"/>
      <c r="O1243" s="2"/>
      <c r="P1243" s="2"/>
    </row>
    <row r="1244" spans="1:16" x14ac:dyDescent="0.4">
      <c r="A1244">
        <v>2013</v>
      </c>
      <c r="B1244" s="2" t="s">
        <v>463</v>
      </c>
      <c r="C1244" s="2" t="s">
        <v>716</v>
      </c>
      <c r="D1244" s="2" t="s">
        <v>129</v>
      </c>
      <c r="E1244" s="67" t="s">
        <v>133</v>
      </c>
      <c r="F1244" s="12">
        <v>15</v>
      </c>
      <c r="G1244" s="12">
        <v>8</v>
      </c>
      <c r="H1244" s="12">
        <v>7</v>
      </c>
      <c r="J1244" s="2"/>
      <c r="K1244" s="2"/>
      <c r="L1244" s="2"/>
      <c r="M1244" s="2"/>
      <c r="N1244" s="2"/>
      <c r="O1244" s="2"/>
      <c r="P1244" s="2"/>
    </row>
    <row r="1245" spans="1:16" x14ac:dyDescent="0.4">
      <c r="A1245">
        <v>2013</v>
      </c>
      <c r="B1245" s="2" t="s">
        <v>464</v>
      </c>
      <c r="C1245" s="2" t="s">
        <v>716</v>
      </c>
      <c r="D1245" s="2" t="s">
        <v>129</v>
      </c>
      <c r="E1245" s="67" t="s">
        <v>134</v>
      </c>
      <c r="F1245" s="12">
        <v>68</v>
      </c>
      <c r="G1245" s="12">
        <v>40</v>
      </c>
      <c r="H1245" s="12">
        <v>28</v>
      </c>
      <c r="J1245" s="2"/>
      <c r="K1245" s="2"/>
      <c r="L1245" s="2"/>
      <c r="M1245" s="2"/>
      <c r="N1245" s="2"/>
      <c r="O1245" s="2"/>
      <c r="P1245" s="2"/>
    </row>
    <row r="1246" spans="1:16" x14ac:dyDescent="0.4">
      <c r="A1246">
        <v>2013</v>
      </c>
      <c r="B1246" s="2" t="s">
        <v>465</v>
      </c>
      <c r="C1246" s="2" t="s">
        <v>716</v>
      </c>
      <c r="D1246" s="2" t="s">
        <v>129</v>
      </c>
      <c r="E1246" s="67" t="s">
        <v>135</v>
      </c>
      <c r="F1246" s="12">
        <v>27</v>
      </c>
      <c r="G1246" s="12">
        <v>13</v>
      </c>
      <c r="H1246" s="12">
        <v>14</v>
      </c>
      <c r="J1246" s="2"/>
      <c r="K1246" s="2"/>
      <c r="L1246" s="2"/>
      <c r="M1246" s="2"/>
      <c r="N1246" s="2"/>
      <c r="O1246" s="2"/>
      <c r="P1246" s="2"/>
    </row>
    <row r="1247" spans="1:16" x14ac:dyDescent="0.4">
      <c r="A1247">
        <v>2013</v>
      </c>
      <c r="B1247" s="2" t="s">
        <v>466</v>
      </c>
      <c r="C1247" s="2" t="s">
        <v>716</v>
      </c>
      <c r="D1247" s="2" t="s">
        <v>129</v>
      </c>
      <c r="E1247" s="67" t="s">
        <v>94</v>
      </c>
      <c r="F1247" s="12">
        <v>124</v>
      </c>
      <c r="G1247" s="12">
        <v>83</v>
      </c>
      <c r="H1247" s="12">
        <v>41</v>
      </c>
      <c r="J1247" s="2"/>
      <c r="K1247" s="2"/>
      <c r="L1247" s="2"/>
      <c r="M1247" s="2"/>
      <c r="N1247" s="2"/>
      <c r="O1247" s="2"/>
      <c r="P1247" s="2"/>
    </row>
    <row r="1248" spans="1:16" x14ac:dyDescent="0.4">
      <c r="A1248">
        <v>2013</v>
      </c>
      <c r="B1248" s="2" t="s">
        <v>467</v>
      </c>
      <c r="C1248" s="2" t="s">
        <v>716</v>
      </c>
      <c r="D1248" s="2" t="s">
        <v>129</v>
      </c>
      <c r="E1248" s="67" t="s">
        <v>136</v>
      </c>
      <c r="F1248" s="12">
        <v>98</v>
      </c>
      <c r="G1248" s="12">
        <v>51</v>
      </c>
      <c r="H1248" s="12">
        <v>47</v>
      </c>
      <c r="J1248" s="2"/>
      <c r="K1248" s="2"/>
      <c r="L1248" s="2"/>
      <c r="M1248" s="2"/>
      <c r="N1248" s="2"/>
      <c r="O1248" s="2"/>
      <c r="P1248" s="2"/>
    </row>
    <row r="1249" spans="1:16" x14ac:dyDescent="0.4">
      <c r="A1249">
        <v>2013</v>
      </c>
      <c r="B1249" s="2" t="s">
        <v>468</v>
      </c>
      <c r="C1249" s="2" t="s">
        <v>716</v>
      </c>
      <c r="D1249" s="2" t="s">
        <v>129</v>
      </c>
      <c r="E1249" s="67" t="s">
        <v>137</v>
      </c>
      <c r="F1249" s="12">
        <v>10</v>
      </c>
      <c r="G1249" s="12">
        <v>6</v>
      </c>
      <c r="H1249" s="12">
        <v>4</v>
      </c>
      <c r="J1249" s="2"/>
      <c r="K1249" s="2"/>
      <c r="L1249" s="2"/>
      <c r="M1249" s="2"/>
      <c r="N1249" s="2"/>
      <c r="O1249" s="2"/>
      <c r="P1249" s="2"/>
    </row>
    <row r="1250" spans="1:16" x14ac:dyDescent="0.4">
      <c r="A1250">
        <v>2013</v>
      </c>
      <c r="B1250" s="2" t="s">
        <v>469</v>
      </c>
      <c r="C1250" s="2" t="s">
        <v>716</v>
      </c>
      <c r="D1250" s="2" t="s">
        <v>129</v>
      </c>
      <c r="E1250" s="67" t="s">
        <v>138</v>
      </c>
      <c r="F1250" s="12">
        <v>48</v>
      </c>
      <c r="G1250" s="12">
        <v>30</v>
      </c>
      <c r="H1250" s="12">
        <v>18</v>
      </c>
      <c r="J1250" s="2"/>
      <c r="K1250" s="2"/>
      <c r="L1250" s="2"/>
      <c r="M1250" s="2"/>
      <c r="N1250" s="2"/>
      <c r="O1250" s="2"/>
      <c r="P1250" s="2"/>
    </row>
    <row r="1251" spans="1:16" x14ac:dyDescent="0.4">
      <c r="A1251">
        <v>2013</v>
      </c>
      <c r="B1251" s="2" t="s">
        <v>470</v>
      </c>
      <c r="C1251" s="2" t="s">
        <v>716</v>
      </c>
      <c r="D1251" s="2" t="s">
        <v>129</v>
      </c>
      <c r="E1251" s="67" t="s">
        <v>139</v>
      </c>
      <c r="F1251" s="12">
        <v>94</v>
      </c>
      <c r="G1251" s="12">
        <v>56</v>
      </c>
      <c r="H1251" s="12">
        <v>38</v>
      </c>
      <c r="J1251" s="2"/>
      <c r="K1251" s="2"/>
      <c r="L1251" s="2"/>
      <c r="M1251" s="2"/>
      <c r="N1251" s="2"/>
      <c r="O1251" s="2"/>
      <c r="P1251" s="2"/>
    </row>
    <row r="1252" spans="1:16" x14ac:dyDescent="0.4">
      <c r="A1252">
        <v>2013</v>
      </c>
      <c r="B1252" s="2" t="s">
        <v>471</v>
      </c>
      <c r="C1252" s="2" t="s">
        <v>716</v>
      </c>
      <c r="D1252" s="2" t="s">
        <v>129</v>
      </c>
      <c r="E1252" s="67" t="s">
        <v>85</v>
      </c>
      <c r="F1252" s="12">
        <v>1501</v>
      </c>
      <c r="G1252" s="12">
        <v>816</v>
      </c>
      <c r="H1252" s="12">
        <v>685</v>
      </c>
      <c r="J1252" s="2"/>
      <c r="K1252" s="2"/>
      <c r="L1252" s="2"/>
      <c r="M1252" s="2"/>
      <c r="N1252" s="2"/>
      <c r="O1252" s="2"/>
      <c r="P1252" s="2"/>
    </row>
    <row r="1253" spans="1:16" x14ac:dyDescent="0.4">
      <c r="A1253">
        <v>2013</v>
      </c>
      <c r="B1253" s="2" t="s">
        <v>472</v>
      </c>
      <c r="C1253" s="2" t="s">
        <v>716</v>
      </c>
      <c r="D1253" s="2" t="s">
        <v>129</v>
      </c>
      <c r="E1253" s="67" t="s">
        <v>140</v>
      </c>
      <c r="F1253" s="12">
        <v>86</v>
      </c>
      <c r="G1253" s="12">
        <v>56</v>
      </c>
      <c r="H1253" s="12">
        <v>30</v>
      </c>
      <c r="J1253" s="2"/>
      <c r="K1253" s="2"/>
      <c r="L1253" s="2"/>
      <c r="M1253" s="2"/>
      <c r="N1253" s="2"/>
      <c r="O1253" s="2"/>
      <c r="P1253" s="2"/>
    </row>
    <row r="1254" spans="1:16" x14ac:dyDescent="0.4">
      <c r="A1254">
        <v>2013</v>
      </c>
      <c r="B1254" s="2" t="s">
        <v>473</v>
      </c>
      <c r="C1254" s="2" t="s">
        <v>716</v>
      </c>
      <c r="D1254" s="2" t="s">
        <v>129</v>
      </c>
      <c r="E1254" s="67" t="s">
        <v>141</v>
      </c>
      <c r="F1254" s="12">
        <v>4</v>
      </c>
      <c r="G1254" s="12">
        <v>2</v>
      </c>
      <c r="H1254" s="12">
        <v>2</v>
      </c>
      <c r="J1254" s="2"/>
      <c r="K1254" s="2"/>
      <c r="L1254" s="2"/>
      <c r="M1254" s="2"/>
      <c r="N1254" s="2"/>
      <c r="O1254" s="2"/>
      <c r="P1254" s="2"/>
    </row>
    <row r="1255" spans="1:16" x14ac:dyDescent="0.4">
      <c r="A1255">
        <v>2013</v>
      </c>
      <c r="B1255" s="2" t="s">
        <v>474</v>
      </c>
      <c r="C1255" s="2" t="s">
        <v>716</v>
      </c>
      <c r="D1255" s="2" t="s">
        <v>129</v>
      </c>
      <c r="E1255" s="67" t="s">
        <v>143</v>
      </c>
      <c r="F1255" s="12">
        <v>29</v>
      </c>
      <c r="G1255" s="12">
        <v>16</v>
      </c>
      <c r="H1255" s="12">
        <v>13</v>
      </c>
      <c r="J1255" s="2"/>
      <c r="K1255" s="2"/>
      <c r="L1255" s="2"/>
      <c r="M1255" s="2"/>
      <c r="N1255" s="2"/>
      <c r="O1255" s="2"/>
      <c r="P1255" s="2"/>
    </row>
    <row r="1256" spans="1:16" x14ac:dyDescent="0.4">
      <c r="A1256">
        <v>2013</v>
      </c>
      <c r="B1256" s="2" t="s">
        <v>475</v>
      </c>
      <c r="C1256" s="2" t="s">
        <v>716</v>
      </c>
      <c r="D1256" s="2" t="s">
        <v>129</v>
      </c>
      <c r="E1256" s="67" t="s">
        <v>21</v>
      </c>
      <c r="F1256" s="12">
        <v>2</v>
      </c>
      <c r="G1256" s="12" t="s">
        <v>142</v>
      </c>
      <c r="H1256" s="12">
        <v>2</v>
      </c>
      <c r="J1256" s="2"/>
      <c r="K1256" s="2"/>
      <c r="L1256" s="2"/>
      <c r="M1256" s="2"/>
      <c r="N1256" s="2"/>
      <c r="O1256" s="2"/>
      <c r="P1256" s="2"/>
    </row>
    <row r="1257" spans="1:16" x14ac:dyDescent="0.4">
      <c r="A1257">
        <v>2013</v>
      </c>
      <c r="B1257" s="2" t="s">
        <v>476</v>
      </c>
      <c r="C1257" s="2" t="s">
        <v>716</v>
      </c>
      <c r="D1257" s="2" t="s">
        <v>129</v>
      </c>
      <c r="E1257" s="67" t="s">
        <v>144</v>
      </c>
      <c r="F1257" s="12">
        <v>40</v>
      </c>
      <c r="G1257" s="12">
        <v>22</v>
      </c>
      <c r="H1257" s="12">
        <v>18</v>
      </c>
      <c r="J1257" s="2"/>
      <c r="K1257" s="2"/>
      <c r="L1257" s="2"/>
      <c r="M1257" s="2"/>
      <c r="N1257" s="2"/>
      <c r="O1257" s="2"/>
      <c r="P1257" s="2"/>
    </row>
    <row r="1258" spans="1:16" x14ac:dyDescent="0.4">
      <c r="A1258">
        <v>2013</v>
      </c>
      <c r="B1258" s="2" t="s">
        <v>477</v>
      </c>
      <c r="C1258" s="2" t="s">
        <v>716</v>
      </c>
      <c r="D1258" s="2" t="s">
        <v>129</v>
      </c>
      <c r="E1258" s="67" t="s">
        <v>145</v>
      </c>
      <c r="F1258" s="12">
        <v>178</v>
      </c>
      <c r="G1258" s="12">
        <v>122</v>
      </c>
      <c r="H1258" s="12">
        <v>56</v>
      </c>
      <c r="J1258" s="2"/>
      <c r="K1258" s="2"/>
      <c r="L1258" s="2"/>
      <c r="M1258" s="2"/>
      <c r="N1258" s="2"/>
      <c r="O1258" s="2"/>
      <c r="P1258" s="2"/>
    </row>
    <row r="1259" spans="1:16" x14ac:dyDescent="0.4">
      <c r="A1259">
        <v>2013</v>
      </c>
      <c r="B1259" s="2" t="s">
        <v>478</v>
      </c>
      <c r="C1259" s="2" t="s">
        <v>716</v>
      </c>
      <c r="D1259" s="2" t="s">
        <v>129</v>
      </c>
      <c r="E1259" s="67" t="s">
        <v>51</v>
      </c>
      <c r="F1259" s="12">
        <v>23</v>
      </c>
      <c r="G1259" s="12">
        <v>12</v>
      </c>
      <c r="H1259" s="12">
        <v>11</v>
      </c>
      <c r="J1259" s="2"/>
      <c r="K1259" s="2"/>
      <c r="L1259" s="2"/>
      <c r="M1259" s="2"/>
      <c r="N1259" s="2"/>
      <c r="O1259" s="2"/>
      <c r="P1259" s="2"/>
    </row>
    <row r="1260" spans="1:16" x14ac:dyDescent="0.4">
      <c r="A1260">
        <v>2013</v>
      </c>
      <c r="B1260" s="2" t="s">
        <v>479</v>
      </c>
      <c r="C1260" s="2" t="s">
        <v>716</v>
      </c>
      <c r="D1260" s="2" t="s">
        <v>129</v>
      </c>
      <c r="E1260" s="67" t="s">
        <v>146</v>
      </c>
      <c r="F1260" s="12">
        <v>19</v>
      </c>
      <c r="G1260" s="12">
        <v>13</v>
      </c>
      <c r="H1260" s="12">
        <v>6</v>
      </c>
      <c r="J1260" s="2"/>
      <c r="K1260" s="2"/>
      <c r="L1260" s="2"/>
      <c r="M1260" s="2"/>
      <c r="N1260" s="2"/>
      <c r="O1260" s="2"/>
      <c r="P1260" s="2"/>
    </row>
    <row r="1261" spans="1:16" x14ac:dyDescent="0.4">
      <c r="A1261">
        <v>2013</v>
      </c>
      <c r="B1261" s="2" t="s">
        <v>480</v>
      </c>
      <c r="C1261" s="2" t="s">
        <v>716</v>
      </c>
      <c r="D1261" s="2" t="s">
        <v>129</v>
      </c>
      <c r="E1261" s="67" t="s">
        <v>147</v>
      </c>
      <c r="F1261" s="12">
        <v>33</v>
      </c>
      <c r="G1261" s="12">
        <v>21</v>
      </c>
      <c r="H1261" s="12">
        <v>12</v>
      </c>
      <c r="J1261" s="2"/>
      <c r="K1261" s="2"/>
      <c r="L1261" s="2"/>
      <c r="M1261" s="2"/>
      <c r="N1261" s="2"/>
      <c r="O1261" s="2"/>
      <c r="P1261" s="2"/>
    </row>
    <row r="1262" spans="1:16" x14ac:dyDescent="0.4">
      <c r="A1262">
        <v>2013</v>
      </c>
      <c r="B1262" s="2" t="s">
        <v>481</v>
      </c>
      <c r="C1262" s="2" t="s">
        <v>716</v>
      </c>
      <c r="D1262" s="2" t="s">
        <v>129</v>
      </c>
      <c r="E1262" s="67" t="s">
        <v>148</v>
      </c>
      <c r="F1262" s="12">
        <v>12</v>
      </c>
      <c r="G1262" s="12">
        <v>6</v>
      </c>
      <c r="H1262" s="12">
        <v>6</v>
      </c>
      <c r="J1262" s="2"/>
      <c r="K1262" s="2"/>
      <c r="L1262" s="2"/>
      <c r="M1262" s="2"/>
      <c r="N1262" s="2"/>
      <c r="O1262" s="2"/>
      <c r="P1262" s="2"/>
    </row>
    <row r="1263" spans="1:16" x14ac:dyDescent="0.4">
      <c r="A1263">
        <v>2013</v>
      </c>
      <c r="B1263" s="2" t="s">
        <v>482</v>
      </c>
      <c r="C1263" s="2" t="s">
        <v>716</v>
      </c>
      <c r="D1263" s="2" t="s">
        <v>129</v>
      </c>
      <c r="E1263" s="67" t="s">
        <v>54</v>
      </c>
      <c r="F1263" s="12">
        <v>7</v>
      </c>
      <c r="G1263" s="12">
        <v>5</v>
      </c>
      <c r="H1263" s="12">
        <v>2</v>
      </c>
      <c r="J1263" s="2"/>
      <c r="K1263" s="2"/>
      <c r="L1263" s="2"/>
      <c r="M1263" s="2"/>
      <c r="N1263" s="2"/>
      <c r="O1263" s="2"/>
      <c r="P1263" s="2"/>
    </row>
    <row r="1264" spans="1:16" x14ac:dyDescent="0.4">
      <c r="A1264">
        <v>2013</v>
      </c>
      <c r="B1264" s="2" t="s">
        <v>483</v>
      </c>
      <c r="C1264" s="2" t="s">
        <v>717</v>
      </c>
      <c r="D1264" s="2" t="s">
        <v>150</v>
      </c>
      <c r="E1264" s="67" t="s">
        <v>149</v>
      </c>
      <c r="F1264" s="12">
        <v>73</v>
      </c>
      <c r="G1264" s="12">
        <v>43</v>
      </c>
      <c r="H1264" s="12">
        <v>30</v>
      </c>
      <c r="J1264" s="2"/>
      <c r="K1264" s="2"/>
      <c r="L1264" s="2"/>
      <c r="M1264" s="2"/>
      <c r="N1264" s="2"/>
      <c r="O1264" s="2"/>
      <c r="P1264" s="2"/>
    </row>
    <row r="1265" spans="1:16" x14ac:dyDescent="0.4">
      <c r="A1265">
        <v>2013</v>
      </c>
      <c r="B1265" s="2" t="s">
        <v>484</v>
      </c>
      <c r="C1265" s="2" t="s">
        <v>717</v>
      </c>
      <c r="D1265" s="2" t="s">
        <v>150</v>
      </c>
      <c r="E1265" s="67" t="s">
        <v>151</v>
      </c>
      <c r="F1265" s="12">
        <v>40</v>
      </c>
      <c r="G1265" s="12">
        <v>31</v>
      </c>
      <c r="H1265" s="12">
        <v>9</v>
      </c>
      <c r="J1265" s="2"/>
      <c r="K1265" s="2"/>
      <c r="L1265" s="2"/>
      <c r="M1265" s="2"/>
      <c r="N1265" s="2"/>
      <c r="O1265" s="2"/>
      <c r="P1265" s="2"/>
    </row>
    <row r="1266" spans="1:16" x14ac:dyDescent="0.4">
      <c r="A1266">
        <v>2013</v>
      </c>
      <c r="B1266" s="2" t="s">
        <v>485</v>
      </c>
      <c r="C1266" s="2" t="s">
        <v>717</v>
      </c>
      <c r="D1266" s="2" t="s">
        <v>150</v>
      </c>
      <c r="E1266" s="67" t="s">
        <v>152</v>
      </c>
      <c r="F1266" s="12">
        <v>59</v>
      </c>
      <c r="G1266" s="12">
        <v>40</v>
      </c>
      <c r="H1266" s="12">
        <v>19</v>
      </c>
      <c r="J1266" s="2"/>
      <c r="K1266" s="2"/>
      <c r="L1266" s="2"/>
      <c r="M1266" s="2"/>
      <c r="N1266" s="2"/>
      <c r="O1266" s="2"/>
      <c r="P1266" s="2"/>
    </row>
    <row r="1267" spans="1:16" x14ac:dyDescent="0.4">
      <c r="A1267">
        <v>2013</v>
      </c>
      <c r="B1267" s="2" t="s">
        <v>486</v>
      </c>
      <c r="C1267" s="2" t="s">
        <v>717</v>
      </c>
      <c r="D1267" s="2" t="s">
        <v>150</v>
      </c>
      <c r="E1267" s="67" t="s">
        <v>153</v>
      </c>
      <c r="F1267" s="12">
        <v>40</v>
      </c>
      <c r="G1267" s="12">
        <v>19</v>
      </c>
      <c r="H1267" s="12">
        <v>21</v>
      </c>
      <c r="J1267" s="2"/>
      <c r="K1267" s="2"/>
      <c r="L1267" s="2"/>
      <c r="M1267" s="2"/>
      <c r="N1267" s="2"/>
      <c r="O1267" s="2"/>
      <c r="P1267" s="2"/>
    </row>
    <row r="1268" spans="1:16" x14ac:dyDescent="0.4">
      <c r="A1268">
        <v>2013</v>
      </c>
      <c r="B1268" s="2" t="s">
        <v>487</v>
      </c>
      <c r="C1268" s="2" t="s">
        <v>717</v>
      </c>
      <c r="D1268" s="2" t="s">
        <v>150</v>
      </c>
      <c r="E1268" s="67" t="s">
        <v>154</v>
      </c>
      <c r="F1268" s="12">
        <v>825</v>
      </c>
      <c r="G1268" s="12">
        <v>506</v>
      </c>
      <c r="H1268" s="12">
        <v>319</v>
      </c>
      <c r="J1268" s="2"/>
      <c r="K1268" s="2"/>
      <c r="L1268" s="2"/>
      <c r="M1268" s="2"/>
      <c r="N1268" s="2"/>
      <c r="O1268" s="2"/>
      <c r="P1268" s="2"/>
    </row>
    <row r="1269" spans="1:16" x14ac:dyDescent="0.4">
      <c r="A1269">
        <v>2013</v>
      </c>
      <c r="B1269" s="2" t="s">
        <v>488</v>
      </c>
      <c r="C1269" s="2" t="s">
        <v>717</v>
      </c>
      <c r="D1269" s="2" t="s">
        <v>150</v>
      </c>
      <c r="E1269" s="67" t="s">
        <v>155</v>
      </c>
      <c r="F1269" s="12">
        <v>116</v>
      </c>
      <c r="G1269" s="12">
        <v>78</v>
      </c>
      <c r="H1269" s="12">
        <v>38</v>
      </c>
      <c r="J1269" s="2"/>
      <c r="K1269" s="2"/>
      <c r="L1269" s="2"/>
      <c r="M1269" s="2"/>
      <c r="N1269" s="2"/>
      <c r="O1269" s="2"/>
      <c r="P1269" s="2"/>
    </row>
    <row r="1270" spans="1:16" x14ac:dyDescent="0.4">
      <c r="A1270">
        <v>2013</v>
      </c>
      <c r="B1270" s="2" t="s">
        <v>489</v>
      </c>
      <c r="C1270" s="2" t="s">
        <v>717</v>
      </c>
      <c r="D1270" s="2" t="s">
        <v>150</v>
      </c>
      <c r="E1270" s="67" t="s">
        <v>156</v>
      </c>
      <c r="F1270" s="12">
        <v>128</v>
      </c>
      <c r="G1270" s="12">
        <v>92</v>
      </c>
      <c r="H1270" s="12">
        <v>36</v>
      </c>
      <c r="J1270" s="2"/>
      <c r="K1270" s="2"/>
      <c r="L1270" s="2"/>
      <c r="M1270" s="2"/>
      <c r="N1270" s="2"/>
      <c r="O1270" s="2"/>
      <c r="P1270" s="2"/>
    </row>
    <row r="1271" spans="1:16" x14ac:dyDescent="0.4">
      <c r="A1271">
        <v>2013</v>
      </c>
      <c r="B1271" s="2" t="s">
        <v>490</v>
      </c>
      <c r="C1271" s="2" t="s">
        <v>717</v>
      </c>
      <c r="D1271" s="2" t="s">
        <v>150</v>
      </c>
      <c r="E1271" s="67" t="s">
        <v>85</v>
      </c>
      <c r="F1271" s="12">
        <v>675</v>
      </c>
      <c r="G1271" s="12">
        <v>422</v>
      </c>
      <c r="H1271" s="12">
        <v>253</v>
      </c>
      <c r="J1271" s="2"/>
      <c r="K1271" s="2"/>
      <c r="L1271" s="2"/>
      <c r="M1271" s="2"/>
      <c r="N1271" s="2"/>
      <c r="O1271" s="2"/>
      <c r="P1271" s="2"/>
    </row>
    <row r="1272" spans="1:16" x14ac:dyDescent="0.4">
      <c r="A1272">
        <v>2013</v>
      </c>
      <c r="B1272" s="2" t="s">
        <v>491</v>
      </c>
      <c r="C1272" s="2" t="s">
        <v>717</v>
      </c>
      <c r="D1272" s="2" t="s">
        <v>150</v>
      </c>
      <c r="E1272" s="67" t="s">
        <v>157</v>
      </c>
      <c r="F1272" s="12">
        <v>391</v>
      </c>
      <c r="G1272" s="12">
        <v>252</v>
      </c>
      <c r="H1272" s="12">
        <v>139</v>
      </c>
      <c r="J1272" s="2"/>
      <c r="K1272" s="2"/>
      <c r="L1272" s="2"/>
      <c r="M1272" s="2"/>
      <c r="N1272" s="2"/>
      <c r="O1272" s="2"/>
      <c r="P1272" s="2"/>
    </row>
    <row r="1273" spans="1:16" x14ac:dyDescent="0.4">
      <c r="A1273">
        <v>2013</v>
      </c>
      <c r="B1273" s="2" t="s">
        <v>492</v>
      </c>
      <c r="C1273" s="2" t="s">
        <v>717</v>
      </c>
      <c r="D1273" s="2" t="s">
        <v>150</v>
      </c>
      <c r="E1273" s="67" t="s">
        <v>158</v>
      </c>
      <c r="F1273" s="12">
        <v>68</v>
      </c>
      <c r="G1273" s="12">
        <v>51</v>
      </c>
      <c r="H1273" s="12">
        <v>17</v>
      </c>
      <c r="J1273" s="2"/>
      <c r="K1273" s="2"/>
      <c r="L1273" s="2"/>
      <c r="M1273" s="2"/>
      <c r="N1273" s="2"/>
      <c r="O1273" s="2"/>
      <c r="P1273" s="2"/>
    </row>
    <row r="1274" spans="1:16" x14ac:dyDescent="0.4">
      <c r="A1274">
        <v>2013</v>
      </c>
      <c r="B1274" s="2" t="s">
        <v>493</v>
      </c>
      <c r="C1274" s="2" t="s">
        <v>717</v>
      </c>
      <c r="D1274" s="2" t="s">
        <v>150</v>
      </c>
      <c r="E1274" s="67" t="s">
        <v>159</v>
      </c>
      <c r="F1274" s="12">
        <v>104</v>
      </c>
      <c r="G1274" s="12">
        <v>65</v>
      </c>
      <c r="H1274" s="12">
        <v>39</v>
      </c>
      <c r="J1274" s="2"/>
      <c r="K1274" s="2"/>
      <c r="L1274" s="2"/>
      <c r="M1274" s="2"/>
      <c r="N1274" s="2"/>
      <c r="O1274" s="2"/>
      <c r="P1274" s="2"/>
    </row>
    <row r="1275" spans="1:16" x14ac:dyDescent="0.4">
      <c r="A1275">
        <v>2013</v>
      </c>
      <c r="B1275" s="2" t="s">
        <v>494</v>
      </c>
      <c r="C1275" s="2" t="s">
        <v>717</v>
      </c>
      <c r="D1275" s="2" t="s">
        <v>150</v>
      </c>
      <c r="E1275" s="67" t="s">
        <v>76</v>
      </c>
      <c r="F1275" s="12">
        <v>1282</v>
      </c>
      <c r="G1275" s="12">
        <v>790</v>
      </c>
      <c r="H1275" s="12">
        <v>492</v>
      </c>
      <c r="J1275" s="2"/>
      <c r="K1275" s="2"/>
      <c r="L1275" s="2"/>
      <c r="M1275" s="2"/>
      <c r="N1275" s="2"/>
      <c r="O1275" s="2"/>
      <c r="P1275" s="2"/>
    </row>
    <row r="1276" spans="1:16" x14ac:dyDescent="0.4">
      <c r="A1276">
        <v>2013</v>
      </c>
      <c r="B1276" s="2" t="s">
        <v>495</v>
      </c>
      <c r="C1276" s="2" t="s">
        <v>717</v>
      </c>
      <c r="D1276" s="2" t="s">
        <v>150</v>
      </c>
      <c r="E1276" s="67" t="s">
        <v>160</v>
      </c>
      <c r="F1276" s="12">
        <v>34</v>
      </c>
      <c r="G1276" s="12">
        <v>22</v>
      </c>
      <c r="H1276" s="12">
        <v>12</v>
      </c>
      <c r="J1276" s="2"/>
      <c r="K1276" s="2"/>
      <c r="L1276" s="2"/>
      <c r="M1276" s="2"/>
      <c r="N1276" s="2"/>
      <c r="O1276" s="2"/>
      <c r="P1276" s="2"/>
    </row>
    <row r="1277" spans="1:16" x14ac:dyDescent="0.4">
      <c r="A1277">
        <v>2013</v>
      </c>
      <c r="B1277" s="2" t="s">
        <v>496</v>
      </c>
      <c r="C1277" s="2" t="s">
        <v>717</v>
      </c>
      <c r="D1277" s="2" t="s">
        <v>150</v>
      </c>
      <c r="E1277" s="67" t="s">
        <v>161</v>
      </c>
      <c r="F1277" s="12">
        <v>43</v>
      </c>
      <c r="G1277" s="12">
        <v>32</v>
      </c>
      <c r="H1277" s="12">
        <v>11</v>
      </c>
      <c r="J1277" s="2"/>
      <c r="K1277" s="2"/>
      <c r="L1277" s="2"/>
      <c r="M1277" s="2"/>
      <c r="N1277" s="2"/>
      <c r="O1277" s="2"/>
      <c r="P1277" s="2"/>
    </row>
    <row r="1278" spans="1:16" x14ac:dyDescent="0.4">
      <c r="A1278">
        <v>2013</v>
      </c>
      <c r="B1278" s="2" t="s">
        <v>497</v>
      </c>
      <c r="C1278" s="2" t="s">
        <v>717</v>
      </c>
      <c r="D1278" s="2" t="s">
        <v>150</v>
      </c>
      <c r="E1278" s="67" t="s">
        <v>162</v>
      </c>
      <c r="F1278" s="12">
        <v>327</v>
      </c>
      <c r="G1278" s="12">
        <v>220</v>
      </c>
      <c r="H1278" s="12">
        <v>107</v>
      </c>
      <c r="J1278" s="2"/>
      <c r="K1278" s="2"/>
      <c r="L1278" s="2"/>
      <c r="M1278" s="2"/>
      <c r="N1278" s="2"/>
      <c r="O1278" s="2"/>
      <c r="P1278" s="2"/>
    </row>
    <row r="1279" spans="1:16" x14ac:dyDescent="0.4">
      <c r="A1279">
        <v>2013</v>
      </c>
      <c r="B1279" s="2" t="s">
        <v>498</v>
      </c>
      <c r="C1279" s="2" t="s">
        <v>718</v>
      </c>
      <c r="D1279" s="2" t="s">
        <v>164</v>
      </c>
      <c r="E1279" s="67" t="s">
        <v>163</v>
      </c>
      <c r="F1279" s="12">
        <v>139</v>
      </c>
      <c r="G1279" s="12">
        <v>95</v>
      </c>
      <c r="H1279" s="12">
        <v>44</v>
      </c>
      <c r="J1279" s="2"/>
      <c r="K1279" s="2"/>
      <c r="L1279" s="2"/>
      <c r="M1279" s="2"/>
      <c r="N1279" s="2"/>
      <c r="O1279" s="2"/>
      <c r="P1279" s="2"/>
    </row>
    <row r="1280" spans="1:16" x14ac:dyDescent="0.4">
      <c r="A1280">
        <v>2013</v>
      </c>
      <c r="B1280" s="2" t="s">
        <v>499</v>
      </c>
      <c r="C1280" s="2" t="s">
        <v>718</v>
      </c>
      <c r="D1280" s="2" t="s">
        <v>164</v>
      </c>
      <c r="E1280" s="67" t="s">
        <v>165</v>
      </c>
      <c r="F1280" s="12">
        <v>166</v>
      </c>
      <c r="G1280" s="12">
        <v>103</v>
      </c>
      <c r="H1280" s="12">
        <v>63</v>
      </c>
      <c r="J1280" s="2"/>
      <c r="K1280" s="2"/>
      <c r="L1280" s="2"/>
      <c r="M1280" s="2"/>
      <c r="N1280" s="2"/>
      <c r="O1280" s="2"/>
      <c r="P1280" s="2"/>
    </row>
    <row r="1281" spans="1:16" x14ac:dyDescent="0.4">
      <c r="A1281">
        <v>2013</v>
      </c>
      <c r="B1281" s="2" t="s">
        <v>500</v>
      </c>
      <c r="C1281" s="2" t="s">
        <v>718</v>
      </c>
      <c r="D1281" s="2" t="s">
        <v>164</v>
      </c>
      <c r="E1281" s="67" t="s">
        <v>166</v>
      </c>
      <c r="F1281" s="12">
        <v>7333</v>
      </c>
      <c r="G1281" s="12">
        <v>4339</v>
      </c>
      <c r="H1281" s="12">
        <v>2994</v>
      </c>
      <c r="J1281" s="2"/>
      <c r="K1281" s="2"/>
      <c r="L1281" s="2"/>
      <c r="M1281" s="2"/>
      <c r="N1281" s="2"/>
      <c r="O1281" s="2"/>
      <c r="P1281" s="2"/>
    </row>
    <row r="1282" spans="1:16" x14ac:dyDescent="0.4">
      <c r="A1282">
        <v>2013</v>
      </c>
      <c r="B1282" s="2" t="s">
        <v>501</v>
      </c>
      <c r="C1282" s="2" t="s">
        <v>718</v>
      </c>
      <c r="D1282" s="2" t="s">
        <v>164</v>
      </c>
      <c r="E1282" s="67" t="s">
        <v>167</v>
      </c>
      <c r="F1282" s="12">
        <v>360</v>
      </c>
      <c r="G1282" s="12">
        <v>241</v>
      </c>
      <c r="H1282" s="12">
        <v>119</v>
      </c>
      <c r="J1282" s="2"/>
      <c r="K1282" s="2"/>
      <c r="L1282" s="2"/>
      <c r="M1282" s="2"/>
      <c r="N1282" s="2"/>
      <c r="O1282" s="2"/>
      <c r="P1282" s="2"/>
    </row>
    <row r="1283" spans="1:16" x14ac:dyDescent="0.4">
      <c r="A1283">
        <v>2013</v>
      </c>
      <c r="B1283" s="2" t="s">
        <v>502</v>
      </c>
      <c r="C1283" s="2" t="s">
        <v>718</v>
      </c>
      <c r="D1283" s="2" t="s">
        <v>164</v>
      </c>
      <c r="E1283" s="67" t="s">
        <v>168</v>
      </c>
      <c r="F1283" s="12">
        <v>387</v>
      </c>
      <c r="G1283" s="12">
        <v>234</v>
      </c>
      <c r="H1283" s="12">
        <v>153</v>
      </c>
      <c r="J1283" s="2"/>
      <c r="K1283" s="2"/>
      <c r="L1283" s="2"/>
      <c r="M1283" s="2"/>
      <c r="N1283" s="2"/>
      <c r="O1283" s="2"/>
      <c r="P1283" s="2"/>
    </row>
    <row r="1284" spans="1:16" x14ac:dyDescent="0.4">
      <c r="A1284">
        <v>2013</v>
      </c>
      <c r="B1284" s="2" t="s">
        <v>503</v>
      </c>
      <c r="C1284" s="2" t="s">
        <v>718</v>
      </c>
      <c r="D1284" s="2" t="s">
        <v>164</v>
      </c>
      <c r="E1284" s="67" t="s">
        <v>169</v>
      </c>
      <c r="F1284" s="12">
        <v>428</v>
      </c>
      <c r="G1284" s="12">
        <v>247</v>
      </c>
      <c r="H1284" s="12">
        <v>181</v>
      </c>
      <c r="J1284" s="2"/>
      <c r="K1284" s="2"/>
      <c r="L1284" s="2"/>
      <c r="M1284" s="2"/>
      <c r="N1284" s="2"/>
      <c r="O1284" s="2"/>
      <c r="P1284" s="2"/>
    </row>
    <row r="1285" spans="1:16" x14ac:dyDescent="0.4">
      <c r="A1285">
        <v>2013</v>
      </c>
      <c r="B1285" s="2" t="s">
        <v>504</v>
      </c>
      <c r="C1285" s="2" t="s">
        <v>718</v>
      </c>
      <c r="D1285" s="2" t="s">
        <v>164</v>
      </c>
      <c r="E1285" s="67" t="s">
        <v>170</v>
      </c>
      <c r="F1285" s="12">
        <v>105</v>
      </c>
      <c r="G1285" s="12">
        <v>75</v>
      </c>
      <c r="H1285" s="12">
        <v>30</v>
      </c>
      <c r="J1285" s="2"/>
      <c r="K1285" s="2"/>
      <c r="L1285" s="2"/>
      <c r="M1285" s="2"/>
      <c r="N1285" s="2"/>
      <c r="O1285" s="2"/>
      <c r="P1285" s="2"/>
    </row>
    <row r="1286" spans="1:16" x14ac:dyDescent="0.4">
      <c r="A1286">
        <v>2013</v>
      </c>
      <c r="B1286" s="2" t="s">
        <v>505</v>
      </c>
      <c r="C1286" s="2" t="s">
        <v>718</v>
      </c>
      <c r="D1286" s="2" t="s">
        <v>164</v>
      </c>
      <c r="E1286" s="67" t="s">
        <v>171</v>
      </c>
      <c r="F1286" s="12">
        <v>694</v>
      </c>
      <c r="G1286" s="12">
        <v>417</v>
      </c>
      <c r="H1286" s="12">
        <v>277</v>
      </c>
      <c r="J1286" s="2"/>
      <c r="K1286" s="2"/>
      <c r="L1286" s="2"/>
      <c r="M1286" s="2"/>
      <c r="N1286" s="2"/>
      <c r="O1286" s="2"/>
      <c r="P1286" s="2"/>
    </row>
    <row r="1287" spans="1:16" x14ac:dyDescent="0.4">
      <c r="A1287">
        <v>2013</v>
      </c>
      <c r="B1287" s="2" t="s">
        <v>506</v>
      </c>
      <c r="C1287" s="2" t="s">
        <v>718</v>
      </c>
      <c r="D1287" s="2" t="s">
        <v>164</v>
      </c>
      <c r="E1287" s="67" t="s">
        <v>53</v>
      </c>
      <c r="F1287" s="12">
        <v>163</v>
      </c>
      <c r="G1287" s="12">
        <v>101</v>
      </c>
      <c r="H1287" s="12">
        <v>62</v>
      </c>
      <c r="J1287" s="2"/>
      <c r="K1287" s="2"/>
      <c r="L1287" s="2"/>
      <c r="M1287" s="2"/>
      <c r="N1287" s="2"/>
      <c r="O1287" s="2"/>
      <c r="P1287" s="2"/>
    </row>
    <row r="1288" spans="1:16" x14ac:dyDescent="0.4">
      <c r="A1288">
        <v>2013</v>
      </c>
      <c r="B1288" s="2" t="s">
        <v>507</v>
      </c>
      <c r="C1288" s="2" t="s">
        <v>719</v>
      </c>
      <c r="D1288" s="2" t="s">
        <v>173</v>
      </c>
      <c r="E1288" s="67" t="s">
        <v>172</v>
      </c>
      <c r="F1288" s="12">
        <v>612</v>
      </c>
      <c r="G1288" s="12">
        <v>385</v>
      </c>
      <c r="H1288" s="12">
        <v>227</v>
      </c>
      <c r="J1288" s="2"/>
      <c r="K1288" s="2"/>
      <c r="L1288" s="2"/>
      <c r="M1288" s="2"/>
      <c r="N1288" s="2"/>
      <c r="O1288" s="2"/>
      <c r="P1288" s="2"/>
    </row>
    <row r="1289" spans="1:16" x14ac:dyDescent="0.4">
      <c r="A1289">
        <v>2013</v>
      </c>
      <c r="B1289" s="2" t="s">
        <v>508</v>
      </c>
      <c r="C1289" s="2" t="s">
        <v>719</v>
      </c>
      <c r="D1289" s="2" t="s">
        <v>173</v>
      </c>
      <c r="E1289" s="67" t="s">
        <v>174</v>
      </c>
      <c r="F1289" s="12">
        <v>36</v>
      </c>
      <c r="G1289" s="12">
        <v>19</v>
      </c>
      <c r="H1289" s="12">
        <v>17</v>
      </c>
      <c r="J1289" s="2"/>
      <c r="K1289" s="2"/>
      <c r="L1289" s="2"/>
      <c r="M1289" s="2"/>
      <c r="N1289" s="2"/>
      <c r="O1289" s="2"/>
      <c r="P1289" s="2"/>
    </row>
    <row r="1290" spans="1:16" x14ac:dyDescent="0.4">
      <c r="A1290">
        <v>2013</v>
      </c>
      <c r="B1290" s="2" t="s">
        <v>509</v>
      </c>
      <c r="C1290" s="2" t="s">
        <v>719</v>
      </c>
      <c r="D1290" s="2" t="s">
        <v>173</v>
      </c>
      <c r="E1290" s="67" t="s">
        <v>175</v>
      </c>
      <c r="F1290" s="12">
        <v>83</v>
      </c>
      <c r="G1290" s="12">
        <v>47</v>
      </c>
      <c r="H1290" s="12">
        <v>36</v>
      </c>
      <c r="J1290" s="2"/>
      <c r="K1290" s="2"/>
      <c r="L1290" s="2"/>
      <c r="M1290" s="2"/>
      <c r="N1290" s="2"/>
      <c r="O1290" s="2"/>
      <c r="P1290" s="2"/>
    </row>
    <row r="1291" spans="1:16" x14ac:dyDescent="0.4">
      <c r="A1291">
        <v>2013</v>
      </c>
      <c r="B1291" s="2" t="s">
        <v>510</v>
      </c>
      <c r="C1291" s="2" t="s">
        <v>719</v>
      </c>
      <c r="D1291" s="2" t="s">
        <v>173</v>
      </c>
      <c r="E1291" s="67" t="s">
        <v>176</v>
      </c>
      <c r="F1291" s="12">
        <v>14</v>
      </c>
      <c r="G1291" s="12">
        <v>8</v>
      </c>
      <c r="H1291" s="12">
        <v>6</v>
      </c>
      <c r="J1291" s="2"/>
      <c r="K1291" s="2"/>
      <c r="L1291" s="2"/>
      <c r="M1291" s="2"/>
      <c r="N1291" s="2"/>
      <c r="O1291" s="2"/>
      <c r="P1291" s="2"/>
    </row>
    <row r="1292" spans="1:16" x14ac:dyDescent="0.4">
      <c r="A1292">
        <v>2013</v>
      </c>
      <c r="B1292" s="2" t="s">
        <v>511</v>
      </c>
      <c r="C1292" s="2" t="s">
        <v>719</v>
      </c>
      <c r="D1292" s="2" t="s">
        <v>173</v>
      </c>
      <c r="E1292" s="67" t="s">
        <v>177</v>
      </c>
      <c r="F1292" s="12">
        <v>51</v>
      </c>
      <c r="G1292" s="12">
        <v>34</v>
      </c>
      <c r="H1292" s="12">
        <v>17</v>
      </c>
      <c r="J1292" s="2"/>
      <c r="K1292" s="2"/>
      <c r="L1292" s="2"/>
      <c r="M1292" s="2"/>
      <c r="N1292" s="2"/>
      <c r="O1292" s="2"/>
      <c r="P1292" s="2"/>
    </row>
    <row r="1293" spans="1:16" x14ac:dyDescent="0.4">
      <c r="A1293">
        <v>2013</v>
      </c>
      <c r="B1293" s="2" t="s">
        <v>512</v>
      </c>
      <c r="C1293" s="2" t="s">
        <v>719</v>
      </c>
      <c r="D1293" s="2" t="s">
        <v>173</v>
      </c>
      <c r="E1293" s="67" t="s">
        <v>178</v>
      </c>
      <c r="F1293" s="12">
        <v>271</v>
      </c>
      <c r="G1293" s="12">
        <v>172</v>
      </c>
      <c r="H1293" s="12">
        <v>99</v>
      </c>
      <c r="J1293" s="2"/>
      <c r="K1293" s="2"/>
      <c r="L1293" s="2"/>
      <c r="M1293" s="2"/>
      <c r="N1293" s="2"/>
      <c r="O1293" s="2"/>
      <c r="P1293" s="2"/>
    </row>
    <row r="1294" spans="1:16" x14ac:dyDescent="0.4">
      <c r="A1294">
        <v>2013</v>
      </c>
      <c r="B1294" s="2" t="s">
        <v>513</v>
      </c>
      <c r="C1294" s="2" t="s">
        <v>719</v>
      </c>
      <c r="D1294" s="2" t="s">
        <v>173</v>
      </c>
      <c r="E1294" s="67" t="s">
        <v>179</v>
      </c>
      <c r="F1294" s="12">
        <v>43</v>
      </c>
      <c r="G1294" s="12">
        <v>32</v>
      </c>
      <c r="H1294" s="12">
        <v>11</v>
      </c>
      <c r="J1294" s="2"/>
      <c r="K1294" s="2"/>
      <c r="L1294" s="2"/>
      <c r="M1294" s="2"/>
      <c r="N1294" s="2"/>
      <c r="O1294" s="2"/>
      <c r="P1294" s="2"/>
    </row>
    <row r="1295" spans="1:16" x14ac:dyDescent="0.4">
      <c r="A1295">
        <v>2013</v>
      </c>
      <c r="B1295" s="2" t="s">
        <v>514</v>
      </c>
      <c r="C1295" s="2" t="s">
        <v>719</v>
      </c>
      <c r="D1295" s="2" t="s">
        <v>173</v>
      </c>
      <c r="E1295" s="67" t="s">
        <v>180</v>
      </c>
      <c r="F1295" s="12">
        <v>113</v>
      </c>
      <c r="G1295" s="12">
        <v>76</v>
      </c>
      <c r="H1295" s="12">
        <v>37</v>
      </c>
      <c r="J1295" s="2"/>
      <c r="K1295" s="2"/>
      <c r="L1295" s="2"/>
      <c r="M1295" s="2"/>
      <c r="N1295" s="2"/>
      <c r="O1295" s="2"/>
      <c r="P1295" s="2"/>
    </row>
    <row r="1296" spans="1:16" x14ac:dyDescent="0.4">
      <c r="A1296">
        <v>2013</v>
      </c>
      <c r="B1296" s="2" t="s">
        <v>515</v>
      </c>
      <c r="C1296" s="2" t="s">
        <v>719</v>
      </c>
      <c r="D1296" s="2" t="s">
        <v>173</v>
      </c>
      <c r="E1296" s="67" t="s">
        <v>181</v>
      </c>
      <c r="F1296" s="12">
        <v>37</v>
      </c>
      <c r="G1296" s="12">
        <v>16</v>
      </c>
      <c r="H1296" s="12">
        <v>21</v>
      </c>
      <c r="J1296" s="2"/>
      <c r="K1296" s="2"/>
      <c r="L1296" s="2"/>
      <c r="M1296" s="2"/>
      <c r="N1296" s="2"/>
      <c r="O1296" s="2"/>
      <c r="P1296" s="2"/>
    </row>
    <row r="1297" spans="1:16" x14ac:dyDescent="0.4">
      <c r="A1297">
        <v>2013</v>
      </c>
      <c r="B1297" s="2" t="s">
        <v>516</v>
      </c>
      <c r="C1297" s="2" t="s">
        <v>719</v>
      </c>
      <c r="D1297" s="2" t="s">
        <v>173</v>
      </c>
      <c r="E1297" s="67" t="s">
        <v>182</v>
      </c>
      <c r="F1297" s="12">
        <v>49</v>
      </c>
      <c r="G1297" s="12">
        <v>29</v>
      </c>
      <c r="H1297" s="12">
        <v>20</v>
      </c>
      <c r="J1297" s="2"/>
      <c r="K1297" s="2"/>
      <c r="L1297" s="2"/>
      <c r="M1297" s="2"/>
      <c r="N1297" s="2"/>
      <c r="O1297" s="2"/>
      <c r="P1297" s="2"/>
    </row>
    <row r="1298" spans="1:16" x14ac:dyDescent="0.4">
      <c r="A1298">
        <v>2013</v>
      </c>
      <c r="B1298" s="2" t="s">
        <v>517</v>
      </c>
      <c r="C1298" s="2" t="s">
        <v>719</v>
      </c>
      <c r="D1298" s="2" t="s">
        <v>173</v>
      </c>
      <c r="E1298" s="67" t="s">
        <v>183</v>
      </c>
      <c r="F1298" s="12">
        <v>12</v>
      </c>
      <c r="G1298" s="12">
        <v>11</v>
      </c>
      <c r="H1298" s="12">
        <v>1</v>
      </c>
      <c r="J1298" s="2"/>
      <c r="K1298" s="2"/>
      <c r="L1298" s="2"/>
      <c r="M1298" s="2"/>
      <c r="N1298" s="2"/>
      <c r="O1298" s="2"/>
      <c r="P1298" s="2"/>
    </row>
    <row r="1299" spans="1:16" x14ac:dyDescent="0.4">
      <c r="A1299">
        <v>2013</v>
      </c>
      <c r="B1299" s="2" t="s">
        <v>518</v>
      </c>
      <c r="C1299" s="2" t="s">
        <v>719</v>
      </c>
      <c r="D1299" s="2" t="s">
        <v>173</v>
      </c>
      <c r="E1299" s="67" t="s">
        <v>44</v>
      </c>
      <c r="F1299" s="12">
        <v>2461</v>
      </c>
      <c r="G1299" s="12">
        <v>1432</v>
      </c>
      <c r="H1299" s="12">
        <v>1029</v>
      </c>
      <c r="J1299" s="2"/>
      <c r="K1299" s="2"/>
      <c r="L1299" s="2"/>
      <c r="M1299" s="2"/>
      <c r="N1299" s="2"/>
      <c r="O1299" s="2"/>
      <c r="P1299" s="2"/>
    </row>
    <row r="1300" spans="1:16" x14ac:dyDescent="0.4">
      <c r="A1300">
        <v>2013</v>
      </c>
      <c r="B1300" s="2" t="s">
        <v>519</v>
      </c>
      <c r="C1300" s="2" t="s">
        <v>719</v>
      </c>
      <c r="D1300" s="2" t="s">
        <v>173</v>
      </c>
      <c r="E1300" s="67" t="s">
        <v>85</v>
      </c>
      <c r="F1300" s="12">
        <v>68</v>
      </c>
      <c r="G1300" s="12">
        <v>42</v>
      </c>
      <c r="H1300" s="12">
        <v>26</v>
      </c>
      <c r="J1300" s="2"/>
      <c r="K1300" s="2"/>
      <c r="L1300" s="2"/>
      <c r="M1300" s="2"/>
      <c r="N1300" s="2"/>
      <c r="O1300" s="2"/>
      <c r="P1300" s="2"/>
    </row>
    <row r="1301" spans="1:16" x14ac:dyDescent="0.4">
      <c r="A1301">
        <v>2013</v>
      </c>
      <c r="B1301" s="2" t="s">
        <v>520</v>
      </c>
      <c r="C1301" s="2" t="s">
        <v>719</v>
      </c>
      <c r="D1301" s="2" t="s">
        <v>173</v>
      </c>
      <c r="E1301" s="67" t="s">
        <v>184</v>
      </c>
      <c r="F1301" s="12">
        <v>77</v>
      </c>
      <c r="G1301" s="12">
        <v>53</v>
      </c>
      <c r="H1301" s="12">
        <v>24</v>
      </c>
      <c r="J1301" s="2"/>
      <c r="K1301" s="2"/>
      <c r="L1301" s="2"/>
      <c r="M1301" s="2"/>
      <c r="N1301" s="2"/>
      <c r="O1301" s="2"/>
      <c r="P1301" s="2"/>
    </row>
    <row r="1302" spans="1:16" x14ac:dyDescent="0.4">
      <c r="A1302">
        <v>2013</v>
      </c>
      <c r="B1302" s="2" t="s">
        <v>521</v>
      </c>
      <c r="C1302" s="2" t="s">
        <v>719</v>
      </c>
      <c r="D1302" s="2" t="s">
        <v>173</v>
      </c>
      <c r="E1302" s="67" t="s">
        <v>185</v>
      </c>
      <c r="F1302" s="12">
        <v>7</v>
      </c>
      <c r="G1302" s="12">
        <v>5</v>
      </c>
      <c r="H1302" s="12">
        <v>2</v>
      </c>
      <c r="J1302" s="2"/>
      <c r="K1302" s="2"/>
      <c r="L1302" s="2"/>
      <c r="M1302" s="2"/>
      <c r="N1302" s="2"/>
      <c r="O1302" s="2"/>
      <c r="P1302" s="2"/>
    </row>
    <row r="1303" spans="1:16" x14ac:dyDescent="0.4">
      <c r="A1303">
        <v>2013</v>
      </c>
      <c r="B1303" s="2" t="s">
        <v>522</v>
      </c>
      <c r="C1303" s="2" t="s">
        <v>719</v>
      </c>
      <c r="D1303" s="2" t="s">
        <v>173</v>
      </c>
      <c r="E1303" s="67" t="s">
        <v>186</v>
      </c>
      <c r="F1303" s="12">
        <v>36</v>
      </c>
      <c r="G1303" s="12">
        <v>24</v>
      </c>
      <c r="H1303" s="12">
        <v>12</v>
      </c>
      <c r="J1303" s="2"/>
      <c r="K1303" s="2"/>
      <c r="L1303" s="2"/>
      <c r="M1303" s="2"/>
      <c r="N1303" s="2"/>
      <c r="O1303" s="2"/>
      <c r="P1303" s="2"/>
    </row>
    <row r="1304" spans="1:16" x14ac:dyDescent="0.4">
      <c r="A1304">
        <v>2013</v>
      </c>
      <c r="B1304" s="2" t="s">
        <v>523</v>
      </c>
      <c r="C1304" s="2" t="s">
        <v>719</v>
      </c>
      <c r="D1304" s="2" t="s">
        <v>173</v>
      </c>
      <c r="E1304" s="67" t="s">
        <v>187</v>
      </c>
      <c r="F1304" s="12">
        <v>70</v>
      </c>
      <c r="G1304" s="12">
        <v>43</v>
      </c>
      <c r="H1304" s="12">
        <v>27</v>
      </c>
      <c r="J1304" s="2"/>
      <c r="K1304" s="2"/>
      <c r="L1304" s="2"/>
      <c r="M1304" s="2"/>
      <c r="N1304" s="2"/>
      <c r="O1304" s="2"/>
      <c r="P1304" s="2"/>
    </row>
    <row r="1305" spans="1:16" x14ac:dyDescent="0.4">
      <c r="A1305">
        <v>2013</v>
      </c>
      <c r="B1305" s="2" t="s">
        <v>524</v>
      </c>
      <c r="C1305" s="2" t="s">
        <v>719</v>
      </c>
      <c r="D1305" s="2" t="s">
        <v>173</v>
      </c>
      <c r="E1305" s="67" t="s">
        <v>188</v>
      </c>
      <c r="F1305" s="12">
        <v>67</v>
      </c>
      <c r="G1305" s="12">
        <v>40</v>
      </c>
      <c r="H1305" s="12">
        <v>27</v>
      </c>
      <c r="J1305" s="2"/>
      <c r="K1305" s="2"/>
      <c r="L1305" s="2"/>
      <c r="M1305" s="2"/>
      <c r="N1305" s="2"/>
      <c r="O1305" s="2"/>
      <c r="P1305" s="2"/>
    </row>
    <row r="1306" spans="1:16" x14ac:dyDescent="0.4">
      <c r="A1306">
        <v>2013</v>
      </c>
      <c r="B1306" s="2" t="s">
        <v>525</v>
      </c>
      <c r="C1306" s="2" t="s">
        <v>719</v>
      </c>
      <c r="D1306" s="2" t="s">
        <v>173</v>
      </c>
      <c r="E1306" s="67" t="s">
        <v>189</v>
      </c>
      <c r="F1306" s="12">
        <v>52</v>
      </c>
      <c r="G1306" s="12">
        <v>31</v>
      </c>
      <c r="H1306" s="12">
        <v>21</v>
      </c>
      <c r="J1306" s="2"/>
      <c r="K1306" s="2"/>
      <c r="L1306" s="2"/>
      <c r="M1306" s="2"/>
      <c r="N1306" s="2"/>
      <c r="O1306" s="2"/>
      <c r="P1306" s="2"/>
    </row>
    <row r="1307" spans="1:16" x14ac:dyDescent="0.4">
      <c r="A1307">
        <v>2013</v>
      </c>
      <c r="B1307" s="2" t="s">
        <v>526</v>
      </c>
      <c r="C1307" s="2" t="s">
        <v>719</v>
      </c>
      <c r="D1307" s="2" t="s">
        <v>173</v>
      </c>
      <c r="E1307" s="67" t="s">
        <v>51</v>
      </c>
      <c r="F1307" s="12">
        <v>189</v>
      </c>
      <c r="G1307" s="12">
        <v>133</v>
      </c>
      <c r="H1307" s="12">
        <v>56</v>
      </c>
      <c r="J1307" s="2"/>
      <c r="K1307" s="2"/>
      <c r="L1307" s="2"/>
      <c r="M1307" s="2"/>
      <c r="N1307" s="2"/>
      <c r="O1307" s="2"/>
      <c r="P1307" s="2"/>
    </row>
    <row r="1308" spans="1:16" x14ac:dyDescent="0.4">
      <c r="A1308">
        <v>2013</v>
      </c>
      <c r="B1308" s="2" t="s">
        <v>527</v>
      </c>
      <c r="C1308" s="2" t="s">
        <v>719</v>
      </c>
      <c r="D1308" s="2" t="s">
        <v>173</v>
      </c>
      <c r="E1308" s="67" t="s">
        <v>52</v>
      </c>
      <c r="F1308" s="12">
        <v>197</v>
      </c>
      <c r="G1308" s="12">
        <v>111</v>
      </c>
      <c r="H1308" s="12">
        <v>86</v>
      </c>
      <c r="J1308" s="2"/>
      <c r="K1308" s="2"/>
      <c r="L1308" s="2"/>
      <c r="M1308" s="2"/>
      <c r="N1308" s="2"/>
      <c r="O1308" s="2"/>
      <c r="P1308" s="2"/>
    </row>
    <row r="1309" spans="1:16" x14ac:dyDescent="0.4">
      <c r="A1309">
        <v>2013</v>
      </c>
      <c r="B1309" s="2" t="s">
        <v>528</v>
      </c>
      <c r="C1309" s="2" t="s">
        <v>719</v>
      </c>
      <c r="D1309" s="2" t="s">
        <v>173</v>
      </c>
      <c r="E1309" s="67" t="s">
        <v>190</v>
      </c>
      <c r="F1309" s="12">
        <v>93</v>
      </c>
      <c r="G1309" s="12">
        <v>55</v>
      </c>
      <c r="H1309" s="12">
        <v>38</v>
      </c>
      <c r="J1309" s="2"/>
      <c r="K1309" s="2"/>
      <c r="L1309" s="2"/>
      <c r="M1309" s="2"/>
      <c r="N1309" s="2"/>
      <c r="O1309" s="2"/>
      <c r="P1309" s="2"/>
    </row>
    <row r="1310" spans="1:16" x14ac:dyDescent="0.4">
      <c r="A1310">
        <v>2013</v>
      </c>
      <c r="B1310" s="2" t="s">
        <v>529</v>
      </c>
      <c r="C1310" s="2" t="s">
        <v>719</v>
      </c>
      <c r="D1310" s="2" t="s">
        <v>173</v>
      </c>
      <c r="E1310" s="67" t="s">
        <v>191</v>
      </c>
      <c r="F1310" s="12">
        <v>42</v>
      </c>
      <c r="G1310" s="12">
        <v>30</v>
      </c>
      <c r="H1310" s="12">
        <v>12</v>
      </c>
      <c r="J1310" s="2"/>
      <c r="K1310" s="2"/>
      <c r="L1310" s="2"/>
      <c r="M1310" s="2"/>
      <c r="N1310" s="2"/>
      <c r="O1310" s="2"/>
      <c r="P1310" s="2"/>
    </row>
    <row r="1311" spans="1:16" x14ac:dyDescent="0.4">
      <c r="A1311">
        <v>2013</v>
      </c>
      <c r="B1311" s="2" t="s">
        <v>530</v>
      </c>
      <c r="C1311" s="2" t="s">
        <v>720</v>
      </c>
      <c r="D1311" s="2" t="s">
        <v>193</v>
      </c>
      <c r="E1311" s="67" t="s">
        <v>192</v>
      </c>
      <c r="F1311" s="12">
        <v>501</v>
      </c>
      <c r="G1311" s="12">
        <v>352</v>
      </c>
      <c r="H1311" s="12">
        <v>149</v>
      </c>
      <c r="J1311" s="2"/>
      <c r="K1311" s="2"/>
      <c r="L1311" s="2"/>
      <c r="M1311" s="2"/>
      <c r="N1311" s="2"/>
      <c r="O1311" s="2"/>
      <c r="P1311" s="2"/>
    </row>
    <row r="1312" spans="1:16" x14ac:dyDescent="0.4">
      <c r="A1312">
        <v>2013</v>
      </c>
      <c r="B1312" s="2" t="s">
        <v>531</v>
      </c>
      <c r="C1312" s="2" t="s">
        <v>720</v>
      </c>
      <c r="D1312" s="2" t="s">
        <v>193</v>
      </c>
      <c r="E1312" s="67" t="s">
        <v>174</v>
      </c>
      <c r="F1312" s="12">
        <v>116</v>
      </c>
      <c r="G1312" s="12">
        <v>73</v>
      </c>
      <c r="H1312" s="12">
        <v>43</v>
      </c>
      <c r="J1312" s="2"/>
      <c r="K1312" s="2"/>
      <c r="L1312" s="2"/>
      <c r="M1312" s="2"/>
      <c r="N1312" s="2"/>
      <c r="O1312" s="2"/>
      <c r="P1312" s="2"/>
    </row>
    <row r="1313" spans="1:16" x14ac:dyDescent="0.4">
      <c r="A1313">
        <v>2013</v>
      </c>
      <c r="B1313" s="2" t="s">
        <v>532</v>
      </c>
      <c r="C1313" s="2" t="s">
        <v>720</v>
      </c>
      <c r="D1313" s="2" t="s">
        <v>193</v>
      </c>
      <c r="E1313" s="67" t="s">
        <v>194</v>
      </c>
      <c r="F1313" s="12">
        <v>2234</v>
      </c>
      <c r="G1313" s="12">
        <v>1107</v>
      </c>
      <c r="H1313" s="12">
        <v>1127</v>
      </c>
      <c r="J1313" s="2"/>
      <c r="K1313" s="2"/>
      <c r="L1313" s="2"/>
      <c r="M1313" s="2"/>
      <c r="N1313" s="2"/>
      <c r="O1313" s="2"/>
      <c r="P1313" s="2"/>
    </row>
    <row r="1314" spans="1:16" x14ac:dyDescent="0.4">
      <c r="A1314">
        <v>2013</v>
      </c>
      <c r="B1314" s="2" t="s">
        <v>533</v>
      </c>
      <c r="C1314" s="2" t="s">
        <v>720</v>
      </c>
      <c r="D1314" s="2" t="s">
        <v>193</v>
      </c>
      <c r="E1314" s="67" t="s">
        <v>195</v>
      </c>
      <c r="F1314" s="12">
        <v>307</v>
      </c>
      <c r="G1314" s="12">
        <v>207</v>
      </c>
      <c r="H1314" s="12">
        <v>100</v>
      </c>
      <c r="J1314" s="2"/>
      <c r="K1314" s="2"/>
      <c r="L1314" s="2"/>
      <c r="M1314" s="2"/>
      <c r="N1314" s="2"/>
      <c r="O1314" s="2"/>
      <c r="P1314" s="2"/>
    </row>
    <row r="1315" spans="1:16" x14ac:dyDescent="0.4">
      <c r="A1315">
        <v>2013</v>
      </c>
      <c r="B1315" s="2" t="s">
        <v>534</v>
      </c>
      <c r="C1315" s="2" t="s">
        <v>720</v>
      </c>
      <c r="D1315" s="2" t="s">
        <v>193</v>
      </c>
      <c r="E1315" s="67" t="s">
        <v>196</v>
      </c>
      <c r="F1315" s="12">
        <v>87</v>
      </c>
      <c r="G1315" s="12">
        <v>54</v>
      </c>
      <c r="H1315" s="12">
        <v>33</v>
      </c>
      <c r="J1315" s="2"/>
      <c r="K1315" s="2"/>
      <c r="L1315" s="2"/>
      <c r="M1315" s="2"/>
      <c r="N1315" s="2"/>
      <c r="O1315" s="2"/>
      <c r="P1315" s="2"/>
    </row>
    <row r="1316" spans="1:16" x14ac:dyDescent="0.4">
      <c r="A1316">
        <v>2013</v>
      </c>
      <c r="B1316" s="2" t="s">
        <v>535</v>
      </c>
      <c r="C1316" s="2" t="s">
        <v>720</v>
      </c>
      <c r="D1316" s="2" t="s">
        <v>193</v>
      </c>
      <c r="E1316" s="67" t="s">
        <v>197</v>
      </c>
      <c r="F1316" s="12">
        <v>205</v>
      </c>
      <c r="G1316" s="12">
        <v>117</v>
      </c>
      <c r="H1316" s="12">
        <v>88</v>
      </c>
      <c r="J1316" s="2"/>
      <c r="K1316" s="2"/>
      <c r="L1316" s="2"/>
      <c r="M1316" s="2"/>
      <c r="N1316" s="2"/>
      <c r="O1316" s="2"/>
      <c r="P1316" s="2"/>
    </row>
    <row r="1317" spans="1:16" x14ac:dyDescent="0.4">
      <c r="A1317">
        <v>2013</v>
      </c>
      <c r="B1317" s="2" t="s">
        <v>536</v>
      </c>
      <c r="C1317" s="2" t="s">
        <v>720</v>
      </c>
      <c r="D1317" s="2" t="s">
        <v>193</v>
      </c>
      <c r="E1317" s="67" t="s">
        <v>198</v>
      </c>
      <c r="F1317" s="12">
        <v>862</v>
      </c>
      <c r="G1317" s="12">
        <v>425</v>
      </c>
      <c r="H1317" s="12">
        <v>437</v>
      </c>
      <c r="J1317" s="2"/>
      <c r="K1317" s="2"/>
      <c r="L1317" s="2"/>
      <c r="M1317" s="2"/>
      <c r="N1317" s="2"/>
      <c r="O1317" s="2"/>
      <c r="P1317" s="2"/>
    </row>
    <row r="1318" spans="1:16" x14ac:dyDescent="0.4">
      <c r="A1318">
        <v>2013</v>
      </c>
      <c r="B1318" s="2" t="s">
        <v>537</v>
      </c>
      <c r="C1318" s="2" t="s">
        <v>720</v>
      </c>
      <c r="D1318" s="2" t="s">
        <v>193</v>
      </c>
      <c r="E1318" s="67" t="s">
        <v>199</v>
      </c>
      <c r="F1318" s="12">
        <v>544</v>
      </c>
      <c r="G1318" s="12">
        <v>372</v>
      </c>
      <c r="H1318" s="12">
        <v>172</v>
      </c>
      <c r="J1318" s="2"/>
      <c r="K1318" s="2"/>
      <c r="L1318" s="2"/>
      <c r="M1318" s="2"/>
      <c r="N1318" s="2"/>
      <c r="O1318" s="2"/>
      <c r="P1318" s="2"/>
    </row>
    <row r="1319" spans="1:16" x14ac:dyDescent="0.4">
      <c r="A1319">
        <v>2013</v>
      </c>
      <c r="B1319" s="2" t="s">
        <v>538</v>
      </c>
      <c r="C1319" s="2" t="s">
        <v>720</v>
      </c>
      <c r="D1319" s="2" t="s">
        <v>193</v>
      </c>
      <c r="E1319" s="67" t="s">
        <v>200</v>
      </c>
      <c r="F1319" s="12">
        <v>196</v>
      </c>
      <c r="G1319" s="12">
        <v>107</v>
      </c>
      <c r="H1319" s="12">
        <v>89</v>
      </c>
      <c r="J1319" s="2"/>
      <c r="K1319" s="2"/>
      <c r="L1319" s="2"/>
      <c r="M1319" s="2"/>
      <c r="N1319" s="2"/>
      <c r="O1319" s="2"/>
      <c r="P1319" s="2"/>
    </row>
    <row r="1320" spans="1:16" x14ac:dyDescent="0.4">
      <c r="A1320">
        <v>2013</v>
      </c>
      <c r="B1320" s="2" t="s">
        <v>539</v>
      </c>
      <c r="C1320" s="2" t="s">
        <v>720</v>
      </c>
      <c r="D1320" s="2" t="s">
        <v>193</v>
      </c>
      <c r="E1320" s="67" t="s">
        <v>201</v>
      </c>
      <c r="F1320" s="12">
        <v>1555</v>
      </c>
      <c r="G1320" s="12">
        <v>968</v>
      </c>
      <c r="H1320" s="12">
        <v>587</v>
      </c>
      <c r="J1320" s="2"/>
      <c r="K1320" s="2"/>
      <c r="L1320" s="2"/>
      <c r="M1320" s="2"/>
      <c r="N1320" s="2"/>
      <c r="O1320" s="2"/>
      <c r="P1320" s="2"/>
    </row>
    <row r="1321" spans="1:16" x14ac:dyDescent="0.4">
      <c r="A1321">
        <v>2013</v>
      </c>
      <c r="B1321" s="2" t="s">
        <v>540</v>
      </c>
      <c r="C1321" s="2" t="s">
        <v>720</v>
      </c>
      <c r="D1321" s="2" t="s">
        <v>193</v>
      </c>
      <c r="E1321" s="67" t="s">
        <v>14</v>
      </c>
      <c r="F1321" s="12">
        <v>631</v>
      </c>
      <c r="G1321" s="12">
        <v>461</v>
      </c>
      <c r="H1321" s="12">
        <v>170</v>
      </c>
      <c r="J1321" s="2"/>
      <c r="K1321" s="2"/>
      <c r="L1321" s="2"/>
      <c r="M1321" s="2"/>
      <c r="N1321" s="2"/>
      <c r="O1321" s="2"/>
      <c r="P1321" s="2"/>
    </row>
    <row r="1322" spans="1:16" x14ac:dyDescent="0.4">
      <c r="A1322">
        <v>2013</v>
      </c>
      <c r="B1322" s="2" t="s">
        <v>541</v>
      </c>
      <c r="C1322" s="2" t="s">
        <v>720</v>
      </c>
      <c r="D1322" s="2" t="s">
        <v>193</v>
      </c>
      <c r="E1322" s="67" t="s">
        <v>202</v>
      </c>
      <c r="F1322" s="12">
        <v>701</v>
      </c>
      <c r="G1322" s="12">
        <v>458</v>
      </c>
      <c r="H1322" s="12">
        <v>243</v>
      </c>
      <c r="J1322" s="2"/>
      <c r="K1322" s="2"/>
      <c r="L1322" s="2"/>
      <c r="M1322" s="2"/>
      <c r="N1322" s="2"/>
      <c r="O1322" s="2"/>
      <c r="P1322" s="2"/>
    </row>
    <row r="1323" spans="1:16" x14ac:dyDescent="0.4">
      <c r="A1323">
        <v>2013</v>
      </c>
      <c r="B1323" s="2" t="s">
        <v>542</v>
      </c>
      <c r="C1323" s="2" t="s">
        <v>720</v>
      </c>
      <c r="D1323" s="2" t="s">
        <v>193</v>
      </c>
      <c r="E1323" s="67" t="s">
        <v>203</v>
      </c>
      <c r="F1323" s="12">
        <v>228</v>
      </c>
      <c r="G1323" s="12">
        <v>131</v>
      </c>
      <c r="H1323" s="12">
        <v>97</v>
      </c>
      <c r="J1323" s="2"/>
      <c r="K1323" s="2"/>
      <c r="L1323" s="2"/>
      <c r="M1323" s="2"/>
      <c r="N1323" s="2"/>
      <c r="O1323" s="2"/>
      <c r="P1323" s="2"/>
    </row>
    <row r="1324" spans="1:16" x14ac:dyDescent="0.4">
      <c r="A1324">
        <v>2013</v>
      </c>
      <c r="B1324" s="2" t="s">
        <v>543</v>
      </c>
      <c r="C1324" s="2" t="s">
        <v>720</v>
      </c>
      <c r="D1324" s="2" t="s">
        <v>193</v>
      </c>
      <c r="E1324" s="67" t="s">
        <v>32</v>
      </c>
      <c r="F1324" s="12">
        <v>62</v>
      </c>
      <c r="G1324" s="12">
        <v>48</v>
      </c>
      <c r="H1324" s="12">
        <v>14</v>
      </c>
      <c r="J1324" s="2"/>
      <c r="K1324" s="2"/>
      <c r="L1324" s="2"/>
      <c r="M1324" s="2"/>
      <c r="N1324" s="2"/>
      <c r="O1324" s="2"/>
      <c r="P1324" s="2"/>
    </row>
    <row r="1325" spans="1:16" x14ac:dyDescent="0.4">
      <c r="A1325">
        <v>2013</v>
      </c>
      <c r="B1325" s="2" t="s">
        <v>544</v>
      </c>
      <c r="C1325" s="2" t="s">
        <v>720</v>
      </c>
      <c r="D1325" s="2" t="s">
        <v>193</v>
      </c>
      <c r="E1325" s="67" t="s">
        <v>204</v>
      </c>
      <c r="F1325" s="12">
        <v>377</v>
      </c>
      <c r="G1325" s="12">
        <v>281</v>
      </c>
      <c r="H1325" s="12">
        <v>96</v>
      </c>
      <c r="J1325" s="2"/>
      <c r="K1325" s="2"/>
      <c r="L1325" s="2"/>
      <c r="M1325" s="2"/>
      <c r="N1325" s="2"/>
      <c r="O1325" s="2"/>
      <c r="P1325" s="2"/>
    </row>
    <row r="1326" spans="1:16" x14ac:dyDescent="0.4">
      <c r="A1326">
        <v>2013</v>
      </c>
      <c r="B1326" s="2" t="s">
        <v>545</v>
      </c>
      <c r="C1326" s="2" t="s">
        <v>720</v>
      </c>
      <c r="D1326" s="2" t="s">
        <v>193</v>
      </c>
      <c r="E1326" s="67" t="s">
        <v>205</v>
      </c>
      <c r="F1326" s="12">
        <v>30</v>
      </c>
      <c r="G1326" s="12">
        <v>23</v>
      </c>
      <c r="H1326" s="12">
        <v>7</v>
      </c>
      <c r="J1326" s="2"/>
      <c r="K1326" s="2"/>
      <c r="L1326" s="2"/>
      <c r="M1326" s="2"/>
      <c r="N1326" s="2"/>
      <c r="O1326" s="2"/>
      <c r="P1326" s="2"/>
    </row>
    <row r="1327" spans="1:16" x14ac:dyDescent="0.4">
      <c r="A1327">
        <v>2013</v>
      </c>
      <c r="B1327" s="2" t="s">
        <v>546</v>
      </c>
      <c r="C1327" s="2" t="s">
        <v>720</v>
      </c>
      <c r="D1327" s="2" t="s">
        <v>193</v>
      </c>
      <c r="E1327" s="67" t="s">
        <v>206</v>
      </c>
      <c r="F1327" s="12">
        <v>692</v>
      </c>
      <c r="G1327" s="12">
        <v>471</v>
      </c>
      <c r="H1327" s="12">
        <v>221</v>
      </c>
      <c r="J1327" s="2"/>
      <c r="K1327" s="2"/>
      <c r="L1327" s="2"/>
      <c r="M1327" s="2"/>
      <c r="N1327" s="2"/>
      <c r="O1327" s="2"/>
      <c r="P1327" s="2"/>
    </row>
    <row r="1328" spans="1:16" x14ac:dyDescent="0.4">
      <c r="A1328">
        <v>2013</v>
      </c>
      <c r="B1328" s="2" t="s">
        <v>547</v>
      </c>
      <c r="C1328" s="2" t="s">
        <v>720</v>
      </c>
      <c r="D1328" s="2" t="s">
        <v>193</v>
      </c>
      <c r="E1328" s="67" t="s">
        <v>25</v>
      </c>
      <c r="F1328" s="12">
        <v>125</v>
      </c>
      <c r="G1328" s="12">
        <v>97</v>
      </c>
      <c r="H1328" s="12">
        <v>28</v>
      </c>
      <c r="J1328" s="2"/>
      <c r="K1328" s="2"/>
      <c r="L1328" s="2"/>
      <c r="M1328" s="2"/>
      <c r="N1328" s="2"/>
      <c r="O1328" s="2"/>
      <c r="P1328" s="2"/>
    </row>
    <row r="1329" spans="1:16" x14ac:dyDescent="0.4">
      <c r="A1329">
        <v>2013</v>
      </c>
      <c r="B1329" s="2" t="s">
        <v>548</v>
      </c>
      <c r="C1329" s="2" t="s">
        <v>720</v>
      </c>
      <c r="D1329" s="2" t="s">
        <v>193</v>
      </c>
      <c r="E1329" s="67" t="s">
        <v>51</v>
      </c>
      <c r="F1329" s="12">
        <v>4367</v>
      </c>
      <c r="G1329" s="12">
        <v>2771</v>
      </c>
      <c r="H1329" s="12">
        <v>1596</v>
      </c>
      <c r="J1329" s="2"/>
      <c r="K1329" s="2"/>
      <c r="L1329" s="2"/>
      <c r="M1329" s="2"/>
      <c r="N1329" s="2"/>
      <c r="O1329" s="2"/>
      <c r="P1329" s="2"/>
    </row>
    <row r="1330" spans="1:16" x14ac:dyDescent="0.4">
      <c r="A1330">
        <v>2013</v>
      </c>
      <c r="B1330" s="2" t="s">
        <v>549</v>
      </c>
      <c r="C1330" s="2" t="s">
        <v>720</v>
      </c>
      <c r="D1330" s="2" t="s">
        <v>193</v>
      </c>
      <c r="E1330" s="67" t="s">
        <v>53</v>
      </c>
      <c r="F1330" s="12">
        <v>610</v>
      </c>
      <c r="G1330" s="12">
        <v>406</v>
      </c>
      <c r="H1330" s="12">
        <v>204</v>
      </c>
      <c r="J1330" s="2"/>
      <c r="K1330" s="2"/>
      <c r="L1330" s="2"/>
      <c r="M1330" s="2"/>
      <c r="N1330" s="2"/>
      <c r="O1330" s="2"/>
      <c r="P1330" s="2"/>
    </row>
    <row r="1331" spans="1:16" x14ac:dyDescent="0.4">
      <c r="A1331">
        <v>2013</v>
      </c>
      <c r="B1331" s="2" t="s">
        <v>550</v>
      </c>
      <c r="C1331" s="2" t="s">
        <v>720</v>
      </c>
      <c r="D1331" s="2" t="s">
        <v>193</v>
      </c>
      <c r="E1331" s="67" t="s">
        <v>54</v>
      </c>
      <c r="F1331" s="12">
        <v>786</v>
      </c>
      <c r="G1331" s="12">
        <v>485</v>
      </c>
      <c r="H1331" s="12">
        <v>301</v>
      </c>
      <c r="J1331" s="2"/>
      <c r="K1331" s="2"/>
      <c r="L1331" s="2"/>
      <c r="M1331" s="2"/>
      <c r="N1331" s="2"/>
      <c r="O1331" s="2"/>
      <c r="P1331" s="2"/>
    </row>
    <row r="1332" spans="1:16" x14ac:dyDescent="0.4">
      <c r="A1332">
        <v>2013</v>
      </c>
      <c r="B1332" s="2" t="s">
        <v>551</v>
      </c>
      <c r="C1332" s="2" t="s">
        <v>721</v>
      </c>
      <c r="D1332" s="2" t="s">
        <v>207</v>
      </c>
      <c r="E1332" s="67" t="s">
        <v>128</v>
      </c>
      <c r="F1332" s="12">
        <v>64</v>
      </c>
      <c r="G1332" s="12">
        <v>36</v>
      </c>
      <c r="H1332" s="12">
        <v>28</v>
      </c>
      <c r="J1332" s="2"/>
      <c r="K1332" s="2"/>
      <c r="L1332" s="2"/>
      <c r="M1332" s="2"/>
      <c r="N1332" s="2"/>
      <c r="O1332" s="2"/>
      <c r="P1332" s="2"/>
    </row>
    <row r="1333" spans="1:16" x14ac:dyDescent="0.4">
      <c r="A1333">
        <v>2013</v>
      </c>
      <c r="B1333" s="2" t="s">
        <v>552</v>
      </c>
      <c r="C1333" s="2" t="s">
        <v>721</v>
      </c>
      <c r="D1333" s="2" t="s">
        <v>207</v>
      </c>
      <c r="E1333" s="67" t="s">
        <v>208</v>
      </c>
      <c r="F1333" s="12">
        <v>9</v>
      </c>
      <c r="G1333" s="12">
        <v>6</v>
      </c>
      <c r="H1333" s="12">
        <v>3</v>
      </c>
      <c r="J1333" s="2"/>
      <c r="K1333" s="2"/>
      <c r="L1333" s="2"/>
      <c r="M1333" s="2"/>
      <c r="N1333" s="2"/>
      <c r="O1333" s="2"/>
      <c r="P1333" s="2"/>
    </row>
    <row r="1334" spans="1:16" x14ac:dyDescent="0.4">
      <c r="A1334">
        <v>2013</v>
      </c>
      <c r="B1334" s="2" t="s">
        <v>553</v>
      </c>
      <c r="C1334" s="2" t="s">
        <v>721</v>
      </c>
      <c r="D1334" s="2" t="s">
        <v>207</v>
      </c>
      <c r="E1334" s="67" t="s">
        <v>36</v>
      </c>
      <c r="F1334" s="12">
        <v>142</v>
      </c>
      <c r="G1334" s="12">
        <v>90</v>
      </c>
      <c r="H1334" s="12">
        <v>52</v>
      </c>
      <c r="J1334" s="2"/>
      <c r="K1334" s="2"/>
      <c r="L1334" s="2"/>
      <c r="M1334" s="2"/>
      <c r="N1334" s="2"/>
      <c r="O1334" s="2"/>
      <c r="P1334" s="2"/>
    </row>
    <row r="1335" spans="1:16" x14ac:dyDescent="0.4">
      <c r="A1335">
        <v>2013</v>
      </c>
      <c r="B1335" s="2" t="s">
        <v>554</v>
      </c>
      <c r="C1335" s="2" t="s">
        <v>721</v>
      </c>
      <c r="D1335" s="2" t="s">
        <v>207</v>
      </c>
      <c r="E1335" s="67" t="s">
        <v>209</v>
      </c>
      <c r="F1335" s="12">
        <v>99</v>
      </c>
      <c r="G1335" s="12">
        <v>64</v>
      </c>
      <c r="H1335" s="12">
        <v>35</v>
      </c>
      <c r="J1335" s="2"/>
      <c r="K1335" s="2"/>
      <c r="L1335" s="2"/>
      <c r="M1335" s="2"/>
      <c r="N1335" s="2"/>
      <c r="O1335" s="2"/>
      <c r="P1335" s="2"/>
    </row>
    <row r="1336" spans="1:16" x14ac:dyDescent="0.4">
      <c r="A1336">
        <v>2013</v>
      </c>
      <c r="B1336" s="2" t="s">
        <v>555</v>
      </c>
      <c r="C1336" s="2" t="s">
        <v>721</v>
      </c>
      <c r="D1336" s="2" t="s">
        <v>207</v>
      </c>
      <c r="E1336" s="67" t="s">
        <v>69</v>
      </c>
      <c r="F1336" s="12">
        <v>93</v>
      </c>
      <c r="G1336" s="12">
        <v>64</v>
      </c>
      <c r="H1336" s="12">
        <v>29</v>
      </c>
      <c r="J1336" s="2"/>
      <c r="K1336" s="2"/>
      <c r="L1336" s="2"/>
      <c r="M1336" s="2"/>
      <c r="N1336" s="2"/>
      <c r="O1336" s="2"/>
      <c r="P1336" s="2"/>
    </row>
    <row r="1337" spans="1:16" x14ac:dyDescent="0.4">
      <c r="A1337">
        <v>2013</v>
      </c>
      <c r="B1337" s="2" t="s">
        <v>556</v>
      </c>
      <c r="C1337" s="2" t="s">
        <v>721</v>
      </c>
      <c r="D1337" s="2" t="s">
        <v>207</v>
      </c>
      <c r="E1337" s="67" t="s">
        <v>62</v>
      </c>
      <c r="F1337" s="12">
        <v>220</v>
      </c>
      <c r="G1337" s="12">
        <v>150</v>
      </c>
      <c r="H1337" s="12">
        <v>70</v>
      </c>
      <c r="J1337" s="2"/>
      <c r="K1337" s="2"/>
      <c r="L1337" s="2"/>
      <c r="M1337" s="2"/>
      <c r="N1337" s="2"/>
      <c r="O1337" s="2"/>
      <c r="P1337" s="2"/>
    </row>
    <row r="1338" spans="1:16" x14ac:dyDescent="0.4">
      <c r="A1338">
        <v>2013</v>
      </c>
      <c r="B1338" s="2" t="s">
        <v>557</v>
      </c>
      <c r="C1338" s="2" t="s">
        <v>721</v>
      </c>
      <c r="D1338" s="2" t="s">
        <v>207</v>
      </c>
      <c r="E1338" s="67" t="s">
        <v>44</v>
      </c>
      <c r="F1338" s="12">
        <v>97</v>
      </c>
      <c r="G1338" s="12">
        <v>69</v>
      </c>
      <c r="H1338" s="12">
        <v>28</v>
      </c>
      <c r="J1338" s="2"/>
      <c r="K1338" s="2"/>
      <c r="L1338" s="2"/>
      <c r="M1338" s="2"/>
      <c r="N1338" s="2"/>
      <c r="O1338" s="2"/>
      <c r="P1338" s="2"/>
    </row>
    <row r="1339" spans="1:16" x14ac:dyDescent="0.4">
      <c r="A1339">
        <v>2013</v>
      </c>
      <c r="B1339" s="2" t="s">
        <v>558</v>
      </c>
      <c r="C1339" s="2" t="s">
        <v>721</v>
      </c>
      <c r="D1339" s="2" t="s">
        <v>207</v>
      </c>
      <c r="E1339" s="67" t="s">
        <v>210</v>
      </c>
      <c r="F1339" s="12">
        <v>3330</v>
      </c>
      <c r="G1339" s="12">
        <v>2090</v>
      </c>
      <c r="H1339" s="12">
        <v>1240</v>
      </c>
      <c r="J1339" s="2"/>
      <c r="K1339" s="2"/>
      <c r="L1339" s="2"/>
      <c r="M1339" s="2"/>
      <c r="N1339" s="2"/>
      <c r="O1339" s="2"/>
      <c r="P1339" s="2"/>
    </row>
    <row r="1340" spans="1:16" x14ac:dyDescent="0.4">
      <c r="A1340">
        <v>2013</v>
      </c>
      <c r="B1340" s="2" t="s">
        <v>559</v>
      </c>
      <c r="C1340" s="2" t="s">
        <v>721</v>
      </c>
      <c r="D1340" s="2" t="s">
        <v>207</v>
      </c>
      <c r="E1340" s="67" t="s">
        <v>74</v>
      </c>
      <c r="F1340" s="12">
        <v>137</v>
      </c>
      <c r="G1340" s="12">
        <v>88</v>
      </c>
      <c r="H1340" s="12">
        <v>49</v>
      </c>
      <c r="J1340" s="2"/>
      <c r="K1340" s="2"/>
      <c r="L1340" s="2"/>
      <c r="M1340" s="2"/>
      <c r="N1340" s="2"/>
      <c r="O1340" s="2"/>
      <c r="P1340" s="2"/>
    </row>
    <row r="1341" spans="1:16" x14ac:dyDescent="0.4">
      <c r="A1341">
        <v>2013</v>
      </c>
      <c r="B1341" s="2" t="s">
        <v>560</v>
      </c>
      <c r="C1341" s="2" t="s">
        <v>721</v>
      </c>
      <c r="D1341" s="2" t="s">
        <v>207</v>
      </c>
      <c r="E1341" s="67" t="s">
        <v>211</v>
      </c>
      <c r="F1341" s="12">
        <v>75</v>
      </c>
      <c r="G1341" s="12">
        <v>47</v>
      </c>
      <c r="H1341" s="12">
        <v>28</v>
      </c>
      <c r="J1341" s="2"/>
      <c r="K1341" s="2"/>
      <c r="L1341" s="2"/>
      <c r="M1341" s="2"/>
      <c r="N1341" s="2"/>
      <c r="O1341" s="2"/>
      <c r="P1341" s="2"/>
    </row>
    <row r="1342" spans="1:16" x14ac:dyDescent="0.4">
      <c r="A1342">
        <v>2013</v>
      </c>
      <c r="B1342" s="2" t="s">
        <v>561</v>
      </c>
      <c r="C1342" s="2" t="s">
        <v>721</v>
      </c>
      <c r="D1342" s="2" t="s">
        <v>207</v>
      </c>
      <c r="E1342" s="67" t="s">
        <v>212</v>
      </c>
      <c r="F1342" s="12">
        <v>19</v>
      </c>
      <c r="G1342" s="12">
        <v>16</v>
      </c>
      <c r="H1342" s="12">
        <v>3</v>
      </c>
      <c r="J1342" s="2"/>
      <c r="K1342" s="2"/>
      <c r="L1342" s="2"/>
      <c r="M1342" s="2"/>
      <c r="N1342" s="2"/>
      <c r="O1342" s="2"/>
      <c r="P1342" s="2"/>
    </row>
    <row r="1343" spans="1:16" x14ac:dyDescent="0.4">
      <c r="A1343">
        <v>2013</v>
      </c>
      <c r="B1343" s="2" t="s">
        <v>562</v>
      </c>
      <c r="C1343" s="2" t="s">
        <v>721</v>
      </c>
      <c r="D1343" s="2" t="s">
        <v>207</v>
      </c>
      <c r="E1343" s="67" t="s">
        <v>213</v>
      </c>
      <c r="F1343" s="12">
        <v>82</v>
      </c>
      <c r="G1343" s="12">
        <v>51</v>
      </c>
      <c r="H1343" s="12">
        <v>31</v>
      </c>
      <c r="J1343" s="2"/>
      <c r="K1343" s="2"/>
      <c r="L1343" s="2"/>
      <c r="M1343" s="2"/>
      <c r="N1343" s="2"/>
      <c r="O1343" s="2"/>
      <c r="P1343" s="2"/>
    </row>
    <row r="1344" spans="1:16" x14ac:dyDescent="0.4">
      <c r="A1344">
        <v>2013</v>
      </c>
      <c r="B1344" s="2" t="s">
        <v>563</v>
      </c>
      <c r="C1344" s="2" t="s">
        <v>721</v>
      </c>
      <c r="D1344" s="2" t="s">
        <v>207</v>
      </c>
      <c r="E1344" s="67" t="s">
        <v>214</v>
      </c>
      <c r="F1344" s="12">
        <v>8</v>
      </c>
      <c r="G1344" s="12">
        <v>7</v>
      </c>
      <c r="H1344" s="12">
        <v>1</v>
      </c>
      <c r="J1344" s="2"/>
      <c r="K1344" s="2"/>
      <c r="L1344" s="2"/>
      <c r="M1344" s="2"/>
      <c r="N1344" s="2"/>
      <c r="O1344" s="2"/>
      <c r="P1344" s="2"/>
    </row>
    <row r="1345" spans="1:16" x14ac:dyDescent="0.4">
      <c r="A1345">
        <v>2013</v>
      </c>
      <c r="B1345" s="2" t="s">
        <v>564</v>
      </c>
      <c r="C1345" s="2" t="s">
        <v>722</v>
      </c>
      <c r="D1345" s="2" t="s">
        <v>216</v>
      </c>
      <c r="E1345" s="67" t="s">
        <v>215</v>
      </c>
      <c r="F1345" s="12">
        <v>91</v>
      </c>
      <c r="G1345" s="12">
        <v>58</v>
      </c>
      <c r="H1345" s="12">
        <v>33</v>
      </c>
      <c r="J1345" s="2"/>
      <c r="K1345" s="2"/>
      <c r="L1345" s="2"/>
      <c r="M1345" s="2"/>
      <c r="N1345" s="2"/>
      <c r="O1345" s="2"/>
      <c r="P1345" s="2"/>
    </row>
    <row r="1346" spans="1:16" x14ac:dyDescent="0.4">
      <c r="A1346">
        <v>2013</v>
      </c>
      <c r="B1346" s="2" t="s">
        <v>565</v>
      </c>
      <c r="C1346" s="2" t="s">
        <v>722</v>
      </c>
      <c r="D1346" s="2" t="s">
        <v>216</v>
      </c>
      <c r="E1346" s="67" t="s">
        <v>59</v>
      </c>
      <c r="F1346" s="12">
        <v>144</v>
      </c>
      <c r="G1346" s="12">
        <v>84</v>
      </c>
      <c r="H1346" s="12">
        <v>60</v>
      </c>
      <c r="J1346" s="2"/>
      <c r="K1346" s="2"/>
      <c r="L1346" s="2"/>
      <c r="M1346" s="2"/>
      <c r="N1346" s="2"/>
      <c r="O1346" s="2"/>
      <c r="P1346" s="2"/>
    </row>
    <row r="1347" spans="1:16" x14ac:dyDescent="0.4">
      <c r="A1347">
        <v>2013</v>
      </c>
      <c r="B1347" s="2" t="s">
        <v>566</v>
      </c>
      <c r="C1347" s="2" t="s">
        <v>722</v>
      </c>
      <c r="D1347" s="2" t="s">
        <v>216</v>
      </c>
      <c r="E1347" s="67" t="s">
        <v>217</v>
      </c>
      <c r="F1347" s="12">
        <v>157</v>
      </c>
      <c r="G1347" s="12">
        <v>104</v>
      </c>
      <c r="H1347" s="12">
        <v>53</v>
      </c>
      <c r="J1347" s="2"/>
      <c r="K1347" s="2"/>
      <c r="L1347" s="2"/>
      <c r="M1347" s="2"/>
      <c r="N1347" s="2"/>
      <c r="O1347" s="2"/>
      <c r="P1347" s="2"/>
    </row>
    <row r="1348" spans="1:16" x14ac:dyDescent="0.4">
      <c r="A1348">
        <v>2013</v>
      </c>
      <c r="B1348" s="2" t="s">
        <v>567</v>
      </c>
      <c r="C1348" s="2" t="s">
        <v>722</v>
      </c>
      <c r="D1348" s="2" t="s">
        <v>216</v>
      </c>
      <c r="E1348" s="67" t="s">
        <v>218</v>
      </c>
      <c r="F1348" s="12">
        <v>271</v>
      </c>
      <c r="G1348" s="12">
        <v>173</v>
      </c>
      <c r="H1348" s="12">
        <v>98</v>
      </c>
      <c r="J1348" s="2"/>
      <c r="K1348" s="2"/>
      <c r="L1348" s="2"/>
      <c r="M1348" s="2"/>
      <c r="N1348" s="2"/>
      <c r="O1348" s="2"/>
      <c r="P1348" s="2"/>
    </row>
    <row r="1349" spans="1:16" x14ac:dyDescent="0.4">
      <c r="A1349">
        <v>2013</v>
      </c>
      <c r="B1349" s="2" t="s">
        <v>568</v>
      </c>
      <c r="C1349" s="2" t="s">
        <v>722</v>
      </c>
      <c r="D1349" s="2" t="s">
        <v>216</v>
      </c>
      <c r="E1349" s="67" t="s">
        <v>219</v>
      </c>
      <c r="F1349" s="12">
        <v>82</v>
      </c>
      <c r="G1349" s="12">
        <v>39</v>
      </c>
      <c r="H1349" s="12">
        <v>43</v>
      </c>
      <c r="J1349" s="2"/>
      <c r="K1349" s="2"/>
      <c r="L1349" s="2"/>
      <c r="M1349" s="2"/>
      <c r="N1349" s="2"/>
      <c r="O1349" s="2"/>
      <c r="P1349" s="2"/>
    </row>
    <row r="1350" spans="1:16" x14ac:dyDescent="0.4">
      <c r="A1350">
        <v>2013</v>
      </c>
      <c r="B1350" s="2" t="s">
        <v>569</v>
      </c>
      <c r="C1350" s="2" t="s">
        <v>722</v>
      </c>
      <c r="D1350" s="2" t="s">
        <v>216</v>
      </c>
      <c r="E1350" s="67" t="s">
        <v>220</v>
      </c>
      <c r="F1350" s="12">
        <v>166</v>
      </c>
      <c r="G1350" s="12">
        <v>98</v>
      </c>
      <c r="H1350" s="12">
        <v>68</v>
      </c>
      <c r="J1350" s="2"/>
      <c r="K1350" s="2"/>
      <c r="L1350" s="2"/>
      <c r="M1350" s="2"/>
      <c r="N1350" s="2"/>
      <c r="O1350" s="2"/>
      <c r="P1350" s="2"/>
    </row>
    <row r="1351" spans="1:16" x14ac:dyDescent="0.4">
      <c r="A1351">
        <v>2013</v>
      </c>
      <c r="B1351" s="2" t="s">
        <v>570</v>
      </c>
      <c r="C1351" s="2" t="s">
        <v>722</v>
      </c>
      <c r="D1351" s="2" t="s">
        <v>216</v>
      </c>
      <c r="E1351" s="67" t="s">
        <v>221</v>
      </c>
      <c r="F1351" s="12">
        <v>168</v>
      </c>
      <c r="G1351" s="12">
        <v>94</v>
      </c>
      <c r="H1351" s="12">
        <v>74</v>
      </c>
      <c r="J1351" s="2"/>
      <c r="K1351" s="2"/>
      <c r="L1351" s="2"/>
      <c r="M1351" s="2"/>
      <c r="N1351" s="2"/>
      <c r="O1351" s="2"/>
      <c r="P1351" s="2"/>
    </row>
    <row r="1352" spans="1:16" x14ac:dyDescent="0.4">
      <c r="A1352">
        <v>2013</v>
      </c>
      <c r="B1352" s="2" t="s">
        <v>571</v>
      </c>
      <c r="C1352" s="2" t="s">
        <v>722</v>
      </c>
      <c r="D1352" s="2" t="s">
        <v>216</v>
      </c>
      <c r="E1352" s="67" t="s">
        <v>222</v>
      </c>
      <c r="F1352" s="12">
        <v>1205</v>
      </c>
      <c r="G1352" s="12">
        <v>703</v>
      </c>
      <c r="H1352" s="12">
        <v>502</v>
      </c>
      <c r="J1352" s="2"/>
      <c r="K1352" s="2"/>
      <c r="L1352" s="2"/>
      <c r="M1352" s="2"/>
      <c r="N1352" s="2"/>
      <c r="O1352" s="2"/>
      <c r="P1352" s="2"/>
    </row>
    <row r="1353" spans="1:16" x14ac:dyDescent="0.4">
      <c r="A1353">
        <v>2013</v>
      </c>
      <c r="B1353" s="2" t="s">
        <v>572</v>
      </c>
      <c r="C1353" s="2" t="s">
        <v>722</v>
      </c>
      <c r="D1353" s="2" t="s">
        <v>216</v>
      </c>
      <c r="E1353" s="67" t="s">
        <v>223</v>
      </c>
      <c r="F1353" s="12">
        <v>85</v>
      </c>
      <c r="G1353" s="12">
        <v>49</v>
      </c>
      <c r="H1353" s="12">
        <v>36</v>
      </c>
      <c r="J1353" s="2"/>
      <c r="K1353" s="2"/>
      <c r="L1353" s="2"/>
      <c r="M1353" s="2"/>
      <c r="N1353" s="2"/>
      <c r="O1353" s="2"/>
      <c r="P1353" s="2"/>
    </row>
    <row r="1354" spans="1:16" x14ac:dyDescent="0.4">
      <c r="A1354">
        <v>2013</v>
      </c>
      <c r="B1354" s="2" t="s">
        <v>573</v>
      </c>
      <c r="C1354" s="2" t="s">
        <v>722</v>
      </c>
      <c r="D1354" s="2" t="s">
        <v>216</v>
      </c>
      <c r="E1354" s="67" t="s">
        <v>224</v>
      </c>
      <c r="F1354" s="12">
        <v>134</v>
      </c>
      <c r="G1354" s="12">
        <v>73</v>
      </c>
      <c r="H1354" s="12">
        <v>61</v>
      </c>
      <c r="J1354" s="2"/>
      <c r="K1354" s="2"/>
      <c r="L1354" s="2"/>
      <c r="M1354" s="2"/>
      <c r="N1354" s="2"/>
      <c r="O1354" s="2"/>
      <c r="P1354" s="2"/>
    </row>
    <row r="1355" spans="1:16" x14ac:dyDescent="0.4">
      <c r="A1355">
        <v>2013</v>
      </c>
      <c r="B1355" s="2" t="s">
        <v>574</v>
      </c>
      <c r="C1355" s="2" t="s">
        <v>722</v>
      </c>
      <c r="D1355" s="2" t="s">
        <v>216</v>
      </c>
      <c r="E1355" s="67" t="s">
        <v>225</v>
      </c>
      <c r="F1355" s="12">
        <v>42</v>
      </c>
      <c r="G1355" s="12">
        <v>26</v>
      </c>
      <c r="H1355" s="12">
        <v>16</v>
      </c>
      <c r="J1355" s="2"/>
      <c r="K1355" s="2"/>
      <c r="L1355" s="2"/>
      <c r="M1355" s="2"/>
      <c r="N1355" s="2"/>
      <c r="O1355" s="2"/>
      <c r="P1355" s="2"/>
    </row>
    <row r="1356" spans="1:16" x14ac:dyDescent="0.4">
      <c r="A1356">
        <v>2013</v>
      </c>
      <c r="B1356" s="2" t="s">
        <v>575</v>
      </c>
      <c r="C1356" s="2" t="s">
        <v>723</v>
      </c>
      <c r="D1356" s="2" t="s">
        <v>227</v>
      </c>
      <c r="E1356" s="67" t="s">
        <v>226</v>
      </c>
      <c r="F1356" s="12">
        <v>104</v>
      </c>
      <c r="G1356" s="12">
        <v>67</v>
      </c>
      <c r="H1356" s="12">
        <v>37</v>
      </c>
      <c r="J1356" s="2"/>
      <c r="K1356" s="2"/>
      <c r="L1356" s="2"/>
      <c r="M1356" s="2"/>
      <c r="N1356" s="2"/>
      <c r="O1356" s="2"/>
      <c r="P1356" s="2"/>
    </row>
    <row r="1357" spans="1:16" x14ac:dyDescent="0.4">
      <c r="A1357">
        <v>2013</v>
      </c>
      <c r="B1357" s="2" t="s">
        <v>576</v>
      </c>
      <c r="C1357" s="2" t="s">
        <v>723</v>
      </c>
      <c r="D1357" s="2" t="s">
        <v>227</v>
      </c>
      <c r="E1357" s="67" t="s">
        <v>228</v>
      </c>
      <c r="F1357" s="12">
        <v>1353</v>
      </c>
      <c r="G1357" s="12">
        <v>829</v>
      </c>
      <c r="H1357" s="12">
        <v>524</v>
      </c>
      <c r="J1357" s="2"/>
      <c r="K1357" s="2"/>
      <c r="L1357" s="2"/>
      <c r="M1357" s="2"/>
      <c r="N1357" s="2"/>
      <c r="O1357" s="2"/>
      <c r="P1357" s="2"/>
    </row>
    <row r="1358" spans="1:16" x14ac:dyDescent="0.4">
      <c r="A1358">
        <v>2013</v>
      </c>
      <c r="B1358" s="2" t="s">
        <v>577</v>
      </c>
      <c r="C1358" s="2" t="s">
        <v>723</v>
      </c>
      <c r="D1358" s="2" t="s">
        <v>227</v>
      </c>
      <c r="E1358" s="67" t="s">
        <v>229</v>
      </c>
      <c r="F1358" s="12">
        <v>127</v>
      </c>
      <c r="G1358" s="12">
        <v>78</v>
      </c>
      <c r="H1358" s="12">
        <v>49</v>
      </c>
      <c r="J1358" s="2"/>
      <c r="K1358" s="2"/>
      <c r="L1358" s="2"/>
      <c r="M1358" s="2"/>
      <c r="N1358" s="2"/>
      <c r="O1358" s="2"/>
      <c r="P1358" s="2"/>
    </row>
    <row r="1359" spans="1:16" x14ac:dyDescent="0.4">
      <c r="A1359">
        <v>2013</v>
      </c>
      <c r="B1359" s="2" t="s">
        <v>578</v>
      </c>
      <c r="C1359" s="2" t="s">
        <v>723</v>
      </c>
      <c r="D1359" s="2" t="s">
        <v>227</v>
      </c>
      <c r="E1359" s="67" t="s">
        <v>230</v>
      </c>
      <c r="F1359" s="12">
        <v>1189</v>
      </c>
      <c r="G1359" s="12">
        <v>723</v>
      </c>
      <c r="H1359" s="12">
        <v>466</v>
      </c>
      <c r="J1359" s="2"/>
      <c r="K1359" s="2"/>
      <c r="L1359" s="2"/>
      <c r="M1359" s="2"/>
      <c r="N1359" s="2"/>
      <c r="O1359" s="2"/>
      <c r="P1359" s="2"/>
    </row>
    <row r="1360" spans="1:16" x14ac:dyDescent="0.4">
      <c r="A1360">
        <v>2013</v>
      </c>
      <c r="B1360" s="2" t="s">
        <v>579</v>
      </c>
      <c r="C1360" s="2" t="s">
        <v>723</v>
      </c>
      <c r="D1360" s="2" t="s">
        <v>227</v>
      </c>
      <c r="E1360" s="67" t="s">
        <v>231</v>
      </c>
      <c r="F1360" s="12">
        <v>74</v>
      </c>
      <c r="G1360" s="12">
        <v>46</v>
      </c>
      <c r="H1360" s="12">
        <v>28</v>
      </c>
      <c r="J1360" s="2"/>
      <c r="K1360" s="2"/>
      <c r="L1360" s="2"/>
      <c r="M1360" s="2"/>
      <c r="N1360" s="2"/>
      <c r="O1360" s="2"/>
      <c r="P1360" s="2"/>
    </row>
    <row r="1361" spans="1:16" ht="23.15" x14ac:dyDescent="0.4">
      <c r="A1361">
        <v>2013</v>
      </c>
      <c r="B1361" s="2" t="s">
        <v>580</v>
      </c>
      <c r="C1361" s="2" t="s">
        <v>723</v>
      </c>
      <c r="D1361" s="2" t="s">
        <v>227</v>
      </c>
      <c r="E1361" s="67" t="s">
        <v>232</v>
      </c>
      <c r="F1361" s="12">
        <v>70</v>
      </c>
      <c r="G1361" s="12">
        <v>36</v>
      </c>
      <c r="H1361" s="12">
        <v>34</v>
      </c>
      <c r="J1361" s="2"/>
      <c r="K1361" s="2"/>
      <c r="L1361" s="2"/>
      <c r="M1361" s="2"/>
      <c r="N1361" s="2"/>
      <c r="O1361" s="2"/>
      <c r="P1361" s="2"/>
    </row>
    <row r="1362" spans="1:16" x14ac:dyDescent="0.4">
      <c r="A1362">
        <v>2013</v>
      </c>
      <c r="B1362" s="2" t="s">
        <v>581</v>
      </c>
      <c r="C1362" s="2" t="s">
        <v>723</v>
      </c>
      <c r="D1362" s="2" t="s">
        <v>227</v>
      </c>
      <c r="E1362" s="67" t="s">
        <v>233</v>
      </c>
      <c r="F1362" s="12">
        <v>165</v>
      </c>
      <c r="G1362" s="12">
        <v>111</v>
      </c>
      <c r="H1362" s="12">
        <v>54</v>
      </c>
      <c r="J1362" s="2"/>
      <c r="K1362" s="2"/>
      <c r="L1362" s="2"/>
      <c r="M1362" s="2"/>
      <c r="N1362" s="2"/>
      <c r="O1362" s="2"/>
      <c r="P1362" s="2"/>
    </row>
    <row r="1363" spans="1:16" x14ac:dyDescent="0.4">
      <c r="A1363">
        <v>2013</v>
      </c>
      <c r="B1363" s="2" t="s">
        <v>582</v>
      </c>
      <c r="C1363" s="2" t="s">
        <v>723</v>
      </c>
      <c r="D1363" s="2" t="s">
        <v>227</v>
      </c>
      <c r="E1363" s="67" t="s">
        <v>32</v>
      </c>
      <c r="F1363" s="12">
        <v>567</v>
      </c>
      <c r="G1363" s="12">
        <v>358</v>
      </c>
      <c r="H1363" s="12">
        <v>209</v>
      </c>
      <c r="J1363" s="2"/>
      <c r="K1363" s="2"/>
      <c r="L1363" s="2"/>
      <c r="M1363" s="2"/>
      <c r="N1363" s="2"/>
      <c r="O1363" s="2"/>
      <c r="P1363" s="2"/>
    </row>
    <row r="1364" spans="1:16" x14ac:dyDescent="0.4">
      <c r="A1364">
        <v>2013</v>
      </c>
      <c r="B1364" s="2" t="s">
        <v>583</v>
      </c>
      <c r="C1364" s="2" t="s">
        <v>723</v>
      </c>
      <c r="D1364" s="2" t="s">
        <v>227</v>
      </c>
      <c r="E1364" s="67" t="s">
        <v>234</v>
      </c>
      <c r="F1364" s="12">
        <v>19</v>
      </c>
      <c r="G1364" s="12">
        <v>16</v>
      </c>
      <c r="H1364" s="12">
        <v>3</v>
      </c>
      <c r="J1364" s="2"/>
      <c r="K1364" s="2"/>
      <c r="L1364" s="2"/>
      <c r="M1364" s="2"/>
      <c r="N1364" s="2"/>
      <c r="O1364" s="2"/>
      <c r="P1364" s="2"/>
    </row>
    <row r="1365" spans="1:16" x14ac:dyDescent="0.4">
      <c r="A1365">
        <v>2013</v>
      </c>
      <c r="B1365" s="2" t="s">
        <v>584</v>
      </c>
      <c r="C1365" s="2" t="s">
        <v>723</v>
      </c>
      <c r="D1365" s="2" t="s">
        <v>227</v>
      </c>
      <c r="E1365" s="67" t="s">
        <v>235</v>
      </c>
      <c r="F1365" s="12">
        <v>63</v>
      </c>
      <c r="G1365" s="12">
        <v>36</v>
      </c>
      <c r="H1365" s="12">
        <v>27</v>
      </c>
      <c r="J1365" s="2"/>
      <c r="K1365" s="2"/>
      <c r="L1365" s="2"/>
      <c r="M1365" s="2"/>
      <c r="N1365" s="2"/>
      <c r="O1365" s="2"/>
      <c r="P1365" s="2"/>
    </row>
    <row r="1366" spans="1:16" x14ac:dyDescent="0.4">
      <c r="A1366">
        <v>2013</v>
      </c>
      <c r="B1366" s="2" t="s">
        <v>585</v>
      </c>
      <c r="C1366" s="2" t="s">
        <v>723</v>
      </c>
      <c r="D1366" s="2" t="s">
        <v>227</v>
      </c>
      <c r="E1366" s="67" t="s">
        <v>236</v>
      </c>
      <c r="F1366" s="12">
        <v>49</v>
      </c>
      <c r="G1366" s="12">
        <v>30</v>
      </c>
      <c r="H1366" s="12">
        <v>19</v>
      </c>
      <c r="J1366" s="2"/>
      <c r="K1366" s="2"/>
      <c r="L1366" s="2"/>
      <c r="M1366" s="2"/>
      <c r="N1366" s="2"/>
      <c r="O1366" s="2"/>
      <c r="P1366" s="2"/>
    </row>
    <row r="1367" spans="1:16" x14ac:dyDescent="0.4">
      <c r="A1367">
        <v>2013</v>
      </c>
      <c r="B1367" s="2" t="s">
        <v>586</v>
      </c>
      <c r="C1367" s="2" t="s">
        <v>723</v>
      </c>
      <c r="D1367" s="2" t="s">
        <v>227</v>
      </c>
      <c r="E1367" s="67" t="s">
        <v>237</v>
      </c>
      <c r="F1367" s="12">
        <v>34</v>
      </c>
      <c r="G1367" s="12">
        <v>21</v>
      </c>
      <c r="H1367" s="12">
        <v>13</v>
      </c>
      <c r="J1367" s="2"/>
      <c r="K1367" s="2"/>
      <c r="L1367" s="2"/>
      <c r="M1367" s="2"/>
      <c r="N1367" s="2"/>
      <c r="O1367" s="2"/>
      <c r="P1367" s="2"/>
    </row>
    <row r="1368" spans="1:16" x14ac:dyDescent="0.4">
      <c r="A1368">
        <v>2013</v>
      </c>
      <c r="B1368" s="2" t="s">
        <v>587</v>
      </c>
      <c r="C1368" s="2" t="s">
        <v>723</v>
      </c>
      <c r="D1368" s="2" t="s">
        <v>227</v>
      </c>
      <c r="E1368" s="67" t="s">
        <v>51</v>
      </c>
      <c r="F1368" s="12">
        <v>112</v>
      </c>
      <c r="G1368" s="12">
        <v>73</v>
      </c>
      <c r="H1368" s="12">
        <v>39</v>
      </c>
      <c r="J1368" s="2"/>
      <c r="K1368" s="2"/>
      <c r="L1368" s="2"/>
      <c r="M1368" s="2"/>
      <c r="N1368" s="2"/>
      <c r="O1368" s="2"/>
      <c r="P1368" s="2"/>
    </row>
    <row r="1369" spans="1:16" x14ac:dyDescent="0.4">
      <c r="A1369">
        <v>2013</v>
      </c>
      <c r="B1369" s="2" t="s">
        <v>588</v>
      </c>
      <c r="C1369" s="2" t="s">
        <v>723</v>
      </c>
      <c r="D1369" s="2" t="s">
        <v>227</v>
      </c>
      <c r="E1369" s="67" t="s">
        <v>238</v>
      </c>
      <c r="F1369" s="12">
        <v>243</v>
      </c>
      <c r="G1369" s="12">
        <v>161</v>
      </c>
      <c r="H1369" s="12">
        <v>82</v>
      </c>
      <c r="J1369" s="2"/>
      <c r="K1369" s="2"/>
      <c r="L1369" s="2"/>
      <c r="M1369" s="2"/>
      <c r="N1369" s="2"/>
      <c r="O1369" s="2"/>
      <c r="P1369" s="2"/>
    </row>
    <row r="1370" spans="1:16" x14ac:dyDescent="0.4">
      <c r="A1370">
        <v>2013</v>
      </c>
      <c r="B1370" s="2" t="s">
        <v>589</v>
      </c>
      <c r="C1370" s="2" t="s">
        <v>724</v>
      </c>
      <c r="D1370" s="2" t="s">
        <v>239</v>
      </c>
      <c r="E1370" s="67" t="s">
        <v>163</v>
      </c>
      <c r="F1370" s="12">
        <v>93</v>
      </c>
      <c r="G1370" s="12">
        <v>57</v>
      </c>
      <c r="H1370" s="12">
        <v>36</v>
      </c>
      <c r="J1370" s="2"/>
      <c r="K1370" s="2"/>
      <c r="L1370" s="2"/>
      <c r="M1370" s="2"/>
      <c r="N1370" s="2"/>
      <c r="O1370" s="2"/>
      <c r="P1370" s="2"/>
    </row>
    <row r="1371" spans="1:16" x14ac:dyDescent="0.4">
      <c r="A1371">
        <v>2013</v>
      </c>
      <c r="B1371" s="2" t="s">
        <v>590</v>
      </c>
      <c r="C1371" s="2" t="s">
        <v>724</v>
      </c>
      <c r="D1371" s="2" t="s">
        <v>239</v>
      </c>
      <c r="E1371" s="67" t="s">
        <v>240</v>
      </c>
      <c r="F1371" s="12">
        <v>67</v>
      </c>
      <c r="G1371" s="12">
        <v>37</v>
      </c>
      <c r="H1371" s="12">
        <v>30</v>
      </c>
      <c r="J1371" s="2"/>
      <c r="K1371" s="2"/>
      <c r="L1371" s="2"/>
      <c r="M1371" s="2"/>
      <c r="N1371" s="2"/>
      <c r="O1371" s="2"/>
      <c r="P1371" s="2"/>
    </row>
    <row r="1372" spans="1:16" x14ac:dyDescent="0.4">
      <c r="A1372">
        <v>2013</v>
      </c>
      <c r="B1372" s="2" t="s">
        <v>591</v>
      </c>
      <c r="C1372" s="2" t="s">
        <v>724</v>
      </c>
      <c r="D1372" s="2" t="s">
        <v>239</v>
      </c>
      <c r="E1372" s="67" t="s">
        <v>59</v>
      </c>
      <c r="F1372" s="12">
        <v>212</v>
      </c>
      <c r="G1372" s="12">
        <v>137</v>
      </c>
      <c r="H1372" s="12">
        <v>75</v>
      </c>
      <c r="J1372" s="2"/>
      <c r="K1372" s="2"/>
      <c r="L1372" s="2"/>
      <c r="M1372" s="2"/>
      <c r="N1372" s="2"/>
      <c r="O1372" s="2"/>
      <c r="P1372" s="2"/>
    </row>
    <row r="1373" spans="1:16" x14ac:dyDescent="0.4">
      <c r="A1373">
        <v>2013</v>
      </c>
      <c r="B1373" s="2" t="s">
        <v>592</v>
      </c>
      <c r="C1373" s="2" t="s">
        <v>724</v>
      </c>
      <c r="D1373" s="2" t="s">
        <v>239</v>
      </c>
      <c r="E1373" s="67" t="s">
        <v>241</v>
      </c>
      <c r="F1373" s="12">
        <v>67</v>
      </c>
      <c r="G1373" s="12">
        <v>34</v>
      </c>
      <c r="H1373" s="12">
        <v>33</v>
      </c>
      <c r="J1373" s="2"/>
      <c r="K1373" s="2"/>
      <c r="L1373" s="2"/>
      <c r="M1373" s="2"/>
      <c r="N1373" s="2"/>
      <c r="O1373" s="2"/>
      <c r="P1373" s="2"/>
    </row>
    <row r="1374" spans="1:16" x14ac:dyDescent="0.4">
      <c r="A1374">
        <v>2013</v>
      </c>
      <c r="B1374" s="2" t="s">
        <v>593</v>
      </c>
      <c r="C1374" s="2" t="s">
        <v>724</v>
      </c>
      <c r="D1374" s="2" t="s">
        <v>239</v>
      </c>
      <c r="E1374" s="67" t="s">
        <v>242</v>
      </c>
      <c r="F1374" s="12">
        <v>1239</v>
      </c>
      <c r="G1374" s="12">
        <v>741</v>
      </c>
      <c r="H1374" s="12">
        <v>498</v>
      </c>
      <c r="J1374" s="2"/>
      <c r="K1374" s="2"/>
      <c r="L1374" s="2"/>
      <c r="M1374" s="2"/>
      <c r="N1374" s="2"/>
      <c r="O1374" s="2"/>
      <c r="P1374" s="2"/>
    </row>
    <row r="1375" spans="1:16" x14ac:dyDescent="0.4">
      <c r="A1375">
        <v>2013</v>
      </c>
      <c r="B1375" s="2" t="s">
        <v>594</v>
      </c>
      <c r="C1375" s="2" t="s">
        <v>724</v>
      </c>
      <c r="D1375" s="2" t="s">
        <v>239</v>
      </c>
      <c r="E1375" s="67" t="s">
        <v>36</v>
      </c>
      <c r="F1375" s="12">
        <v>65</v>
      </c>
      <c r="G1375" s="12">
        <v>39</v>
      </c>
      <c r="H1375" s="12">
        <v>26</v>
      </c>
      <c r="J1375" s="2"/>
      <c r="K1375" s="2"/>
      <c r="L1375" s="2"/>
      <c r="M1375" s="2"/>
      <c r="N1375" s="2"/>
      <c r="O1375" s="2"/>
      <c r="P1375" s="2"/>
    </row>
    <row r="1376" spans="1:16" x14ac:dyDescent="0.4">
      <c r="A1376">
        <v>2013</v>
      </c>
      <c r="B1376" s="2" t="s">
        <v>595</v>
      </c>
      <c r="C1376" s="2" t="s">
        <v>724</v>
      </c>
      <c r="D1376" s="2" t="s">
        <v>239</v>
      </c>
      <c r="E1376" s="67" t="s">
        <v>243</v>
      </c>
      <c r="F1376" s="12">
        <v>75</v>
      </c>
      <c r="G1376" s="12">
        <v>51</v>
      </c>
      <c r="H1376" s="12">
        <v>24</v>
      </c>
      <c r="J1376" s="2"/>
      <c r="K1376" s="2"/>
      <c r="L1376" s="2"/>
      <c r="M1376" s="2"/>
      <c r="N1376" s="2"/>
      <c r="O1376" s="2"/>
      <c r="P1376" s="2"/>
    </row>
    <row r="1377" spans="1:16" x14ac:dyDescent="0.4">
      <c r="A1377">
        <v>2013</v>
      </c>
      <c r="B1377" s="2" t="s">
        <v>596</v>
      </c>
      <c r="C1377" s="2" t="s">
        <v>724</v>
      </c>
      <c r="D1377" s="2" t="s">
        <v>239</v>
      </c>
      <c r="E1377" s="67" t="s">
        <v>244</v>
      </c>
      <c r="F1377" s="12">
        <v>92</v>
      </c>
      <c r="G1377" s="12">
        <v>59</v>
      </c>
      <c r="H1377" s="12">
        <v>33</v>
      </c>
      <c r="J1377" s="2"/>
      <c r="K1377" s="2"/>
      <c r="L1377" s="2"/>
      <c r="M1377" s="2"/>
      <c r="N1377" s="2"/>
      <c r="O1377" s="2"/>
      <c r="P1377" s="2"/>
    </row>
    <row r="1378" spans="1:16" x14ac:dyDescent="0.4">
      <c r="A1378">
        <v>2013</v>
      </c>
      <c r="B1378" s="2" t="s">
        <v>597</v>
      </c>
      <c r="C1378" s="2" t="s">
        <v>724</v>
      </c>
      <c r="D1378" s="2" t="s">
        <v>239</v>
      </c>
      <c r="E1378" s="67" t="s">
        <v>44</v>
      </c>
      <c r="F1378" s="12">
        <v>46</v>
      </c>
      <c r="G1378" s="12">
        <v>28</v>
      </c>
      <c r="H1378" s="12">
        <v>18</v>
      </c>
      <c r="J1378" s="2"/>
      <c r="K1378" s="2"/>
      <c r="L1378" s="2"/>
      <c r="M1378" s="2"/>
      <c r="N1378" s="2"/>
      <c r="O1378" s="2"/>
      <c r="P1378" s="2"/>
    </row>
    <row r="1379" spans="1:16" x14ac:dyDescent="0.4">
      <c r="A1379">
        <v>2013</v>
      </c>
      <c r="B1379" s="2" t="s">
        <v>598</v>
      </c>
      <c r="C1379" s="2" t="s">
        <v>724</v>
      </c>
      <c r="D1379" s="2" t="s">
        <v>239</v>
      </c>
      <c r="E1379" s="67" t="s">
        <v>222</v>
      </c>
      <c r="F1379" s="12">
        <v>97</v>
      </c>
      <c r="G1379" s="12">
        <v>68</v>
      </c>
      <c r="H1379" s="12">
        <v>29</v>
      </c>
      <c r="J1379" s="2"/>
      <c r="K1379" s="2"/>
      <c r="L1379" s="2"/>
      <c r="M1379" s="2"/>
      <c r="N1379" s="2"/>
      <c r="O1379" s="2"/>
      <c r="P1379" s="2"/>
    </row>
    <row r="1380" spans="1:16" x14ac:dyDescent="0.4">
      <c r="A1380">
        <v>2013</v>
      </c>
      <c r="B1380" s="2" t="s">
        <v>599</v>
      </c>
      <c r="C1380" s="2" t="s">
        <v>724</v>
      </c>
      <c r="D1380" s="2" t="s">
        <v>239</v>
      </c>
      <c r="E1380" s="67" t="s">
        <v>245</v>
      </c>
      <c r="F1380" s="12">
        <v>45</v>
      </c>
      <c r="G1380" s="12">
        <v>24</v>
      </c>
      <c r="H1380" s="12">
        <v>21</v>
      </c>
      <c r="J1380" s="2"/>
      <c r="K1380" s="2"/>
      <c r="L1380" s="2"/>
      <c r="M1380" s="2"/>
      <c r="N1380" s="2"/>
      <c r="O1380" s="2"/>
      <c r="P1380" s="2"/>
    </row>
    <row r="1381" spans="1:16" x14ac:dyDescent="0.4">
      <c r="A1381">
        <v>2013</v>
      </c>
      <c r="B1381" s="2" t="s">
        <v>600</v>
      </c>
      <c r="C1381" s="2" t="s">
        <v>724</v>
      </c>
      <c r="D1381" s="2" t="s">
        <v>239</v>
      </c>
      <c r="E1381" s="67" t="s">
        <v>246</v>
      </c>
      <c r="F1381" s="12">
        <v>210</v>
      </c>
      <c r="G1381" s="12">
        <v>127</v>
      </c>
      <c r="H1381" s="12">
        <v>83</v>
      </c>
      <c r="J1381" s="2"/>
      <c r="K1381" s="2"/>
      <c r="L1381" s="2"/>
      <c r="M1381" s="2"/>
      <c r="N1381" s="2"/>
      <c r="O1381" s="2"/>
      <c r="P1381" s="2"/>
    </row>
    <row r="1382" spans="1:16" x14ac:dyDescent="0.4">
      <c r="A1382">
        <v>2013</v>
      </c>
      <c r="B1382" s="2" t="s">
        <v>601</v>
      </c>
      <c r="C1382" s="2" t="s">
        <v>724</v>
      </c>
      <c r="D1382" s="2" t="s">
        <v>239</v>
      </c>
      <c r="E1382" s="67" t="s">
        <v>247</v>
      </c>
      <c r="F1382" s="12">
        <v>217</v>
      </c>
      <c r="G1382" s="12">
        <v>138</v>
      </c>
      <c r="H1382" s="12">
        <v>79</v>
      </c>
      <c r="J1382" s="2"/>
      <c r="K1382" s="2"/>
      <c r="L1382" s="2"/>
      <c r="M1382" s="2"/>
      <c r="N1382" s="2"/>
      <c r="O1382" s="2"/>
      <c r="P1382" s="2"/>
    </row>
    <row r="1383" spans="1:16" x14ac:dyDescent="0.4">
      <c r="A1383">
        <v>2013</v>
      </c>
      <c r="B1383" s="2" t="s">
        <v>602</v>
      </c>
      <c r="C1383" s="2" t="s">
        <v>724</v>
      </c>
      <c r="D1383" s="2" t="s">
        <v>239</v>
      </c>
      <c r="E1383" s="67" t="s">
        <v>51</v>
      </c>
      <c r="F1383" s="12">
        <v>2354</v>
      </c>
      <c r="G1383" s="12">
        <v>1456</v>
      </c>
      <c r="H1383" s="12">
        <v>898</v>
      </c>
      <c r="J1383" s="2"/>
      <c r="K1383" s="2"/>
      <c r="L1383" s="2"/>
      <c r="M1383" s="2"/>
      <c r="N1383" s="2"/>
      <c r="O1383" s="2"/>
      <c r="P1383" s="2"/>
    </row>
    <row r="1384" spans="1:16" x14ac:dyDescent="0.4">
      <c r="A1384">
        <v>2013</v>
      </c>
      <c r="B1384" s="2" t="s">
        <v>603</v>
      </c>
      <c r="C1384" s="2" t="s">
        <v>724</v>
      </c>
      <c r="D1384" s="2" t="s">
        <v>239</v>
      </c>
      <c r="E1384" s="67" t="s">
        <v>248</v>
      </c>
      <c r="F1384" s="12">
        <v>188</v>
      </c>
      <c r="G1384" s="12">
        <v>138</v>
      </c>
      <c r="H1384" s="12">
        <v>50</v>
      </c>
      <c r="J1384" s="2"/>
      <c r="K1384" s="2"/>
      <c r="L1384" s="2"/>
      <c r="M1384" s="2"/>
      <c r="N1384" s="2"/>
      <c r="O1384" s="2"/>
      <c r="P1384" s="2"/>
    </row>
    <row r="1385" spans="1:16" x14ac:dyDescent="0.4">
      <c r="A1385">
        <v>2013</v>
      </c>
      <c r="B1385" s="2" t="s">
        <v>604</v>
      </c>
      <c r="C1385" s="2" t="s">
        <v>725</v>
      </c>
      <c r="D1385" s="2" t="s">
        <v>249</v>
      </c>
      <c r="E1385" s="67" t="s">
        <v>174</v>
      </c>
      <c r="F1385" s="12">
        <v>74</v>
      </c>
      <c r="G1385" s="12">
        <v>52</v>
      </c>
      <c r="H1385" s="12">
        <v>22</v>
      </c>
      <c r="J1385" s="2"/>
      <c r="K1385" s="2"/>
      <c r="L1385" s="2"/>
      <c r="M1385" s="2"/>
      <c r="N1385" s="2"/>
      <c r="O1385" s="2"/>
      <c r="P1385" s="2"/>
    </row>
    <row r="1386" spans="1:16" x14ac:dyDescent="0.4">
      <c r="A1386">
        <v>2013</v>
      </c>
      <c r="B1386" s="2" t="s">
        <v>605</v>
      </c>
      <c r="C1386" s="2" t="s">
        <v>725</v>
      </c>
      <c r="D1386" s="2" t="s">
        <v>249</v>
      </c>
      <c r="E1386" s="67" t="s">
        <v>250</v>
      </c>
      <c r="F1386" s="12">
        <v>37</v>
      </c>
      <c r="G1386" s="12">
        <v>24</v>
      </c>
      <c r="H1386" s="12">
        <v>13</v>
      </c>
      <c r="J1386" s="2"/>
      <c r="K1386" s="2"/>
      <c r="L1386" s="2"/>
      <c r="M1386" s="2"/>
      <c r="N1386" s="2"/>
      <c r="O1386" s="2"/>
      <c r="P1386" s="2"/>
    </row>
    <row r="1387" spans="1:16" x14ac:dyDescent="0.4">
      <c r="A1387">
        <v>2013</v>
      </c>
      <c r="B1387" s="2" t="s">
        <v>606</v>
      </c>
      <c r="C1387" s="2" t="s">
        <v>725</v>
      </c>
      <c r="D1387" s="2" t="s">
        <v>249</v>
      </c>
      <c r="E1387" s="67" t="s">
        <v>251</v>
      </c>
      <c r="F1387" s="12">
        <v>306</v>
      </c>
      <c r="G1387" s="12">
        <v>188</v>
      </c>
      <c r="H1387" s="12">
        <v>118</v>
      </c>
      <c r="J1387" s="2"/>
      <c r="K1387" s="2"/>
      <c r="L1387" s="2"/>
      <c r="M1387" s="2"/>
      <c r="N1387" s="2"/>
      <c r="O1387" s="2"/>
      <c r="P1387" s="2"/>
    </row>
    <row r="1388" spans="1:16" x14ac:dyDescent="0.4">
      <c r="A1388">
        <v>2013</v>
      </c>
      <c r="B1388" s="2" t="s">
        <v>607</v>
      </c>
      <c r="C1388" s="2" t="s">
        <v>725</v>
      </c>
      <c r="D1388" s="2" t="s">
        <v>249</v>
      </c>
      <c r="E1388" s="67" t="s">
        <v>36</v>
      </c>
      <c r="F1388" s="12">
        <v>163</v>
      </c>
      <c r="G1388" s="12">
        <v>97</v>
      </c>
      <c r="H1388" s="12">
        <v>66</v>
      </c>
      <c r="J1388" s="2"/>
      <c r="K1388" s="2"/>
      <c r="L1388" s="2"/>
      <c r="M1388" s="2"/>
      <c r="N1388" s="2"/>
      <c r="O1388" s="2"/>
      <c r="P1388" s="2"/>
    </row>
    <row r="1389" spans="1:16" x14ac:dyDescent="0.4">
      <c r="A1389">
        <v>2013</v>
      </c>
      <c r="B1389" s="2" t="s">
        <v>608</v>
      </c>
      <c r="C1389" s="2" t="s">
        <v>725</v>
      </c>
      <c r="D1389" s="2" t="s">
        <v>249</v>
      </c>
      <c r="E1389" s="67" t="s">
        <v>252</v>
      </c>
      <c r="F1389" s="12">
        <v>231</v>
      </c>
      <c r="G1389" s="12">
        <v>128</v>
      </c>
      <c r="H1389" s="12">
        <v>103</v>
      </c>
      <c r="J1389" s="2"/>
      <c r="K1389" s="2"/>
      <c r="L1389" s="2"/>
      <c r="M1389" s="2"/>
      <c r="N1389" s="2"/>
      <c r="O1389" s="2"/>
      <c r="P1389" s="2"/>
    </row>
    <row r="1390" spans="1:16" x14ac:dyDescent="0.4">
      <c r="A1390">
        <v>2013</v>
      </c>
      <c r="B1390" s="2" t="s">
        <v>609</v>
      </c>
      <c r="C1390" s="2" t="s">
        <v>725</v>
      </c>
      <c r="D1390" s="2" t="s">
        <v>249</v>
      </c>
      <c r="E1390" s="67" t="s">
        <v>253</v>
      </c>
      <c r="F1390" s="12">
        <v>119</v>
      </c>
      <c r="G1390" s="12">
        <v>83</v>
      </c>
      <c r="H1390" s="12">
        <v>36</v>
      </c>
      <c r="J1390" s="2"/>
      <c r="K1390" s="2"/>
      <c r="L1390" s="2"/>
      <c r="M1390" s="2"/>
      <c r="N1390" s="2"/>
      <c r="O1390" s="2"/>
      <c r="P1390" s="2"/>
    </row>
    <row r="1391" spans="1:16" x14ac:dyDescent="0.4">
      <c r="A1391">
        <v>2013</v>
      </c>
      <c r="B1391" s="2" t="s">
        <v>610</v>
      </c>
      <c r="C1391" s="2" t="s">
        <v>725</v>
      </c>
      <c r="D1391" s="2" t="s">
        <v>249</v>
      </c>
      <c r="E1391" s="67" t="s">
        <v>254</v>
      </c>
      <c r="F1391" s="12">
        <v>181</v>
      </c>
      <c r="G1391" s="12">
        <v>132</v>
      </c>
      <c r="H1391" s="12">
        <v>49</v>
      </c>
      <c r="J1391" s="2"/>
      <c r="K1391" s="2"/>
      <c r="L1391" s="2"/>
      <c r="M1391" s="2"/>
      <c r="N1391" s="2"/>
      <c r="O1391" s="2"/>
      <c r="P1391" s="2"/>
    </row>
    <row r="1392" spans="1:16" x14ac:dyDescent="0.4">
      <c r="A1392">
        <v>2013</v>
      </c>
      <c r="B1392" s="2" t="s">
        <v>611</v>
      </c>
      <c r="C1392" s="2" t="s">
        <v>725</v>
      </c>
      <c r="D1392" s="2" t="s">
        <v>249</v>
      </c>
      <c r="E1392" s="67" t="s">
        <v>11</v>
      </c>
      <c r="F1392" s="12">
        <v>19</v>
      </c>
      <c r="G1392" s="12">
        <v>12</v>
      </c>
      <c r="H1392" s="12">
        <v>7</v>
      </c>
      <c r="J1392" s="2"/>
      <c r="K1392" s="2"/>
      <c r="L1392" s="2"/>
      <c r="M1392" s="2"/>
      <c r="N1392" s="2"/>
      <c r="O1392" s="2"/>
      <c r="P1392" s="2"/>
    </row>
    <row r="1393" spans="1:16" x14ac:dyDescent="0.4">
      <c r="A1393">
        <v>2013</v>
      </c>
      <c r="B1393" s="2" t="s">
        <v>612</v>
      </c>
      <c r="C1393" s="2" t="s">
        <v>725</v>
      </c>
      <c r="D1393" s="2" t="s">
        <v>249</v>
      </c>
      <c r="E1393" s="67" t="s">
        <v>255</v>
      </c>
      <c r="F1393" s="12">
        <v>155</v>
      </c>
      <c r="G1393" s="12">
        <v>96</v>
      </c>
      <c r="H1393" s="12">
        <v>59</v>
      </c>
      <c r="J1393" s="2"/>
      <c r="K1393" s="2"/>
      <c r="L1393" s="2"/>
      <c r="M1393" s="2"/>
      <c r="N1393" s="2"/>
      <c r="O1393" s="2"/>
      <c r="P1393" s="2"/>
    </row>
    <row r="1394" spans="1:16" x14ac:dyDescent="0.4">
      <c r="A1394">
        <v>2013</v>
      </c>
      <c r="B1394" s="2" t="s">
        <v>613</v>
      </c>
      <c r="C1394" s="2" t="s">
        <v>725</v>
      </c>
      <c r="D1394" s="2" t="s">
        <v>249</v>
      </c>
      <c r="E1394" s="67" t="s">
        <v>256</v>
      </c>
      <c r="F1394" s="12">
        <v>96</v>
      </c>
      <c r="G1394" s="12">
        <v>44</v>
      </c>
      <c r="H1394" s="12">
        <v>52</v>
      </c>
      <c r="J1394" s="2"/>
      <c r="K1394" s="2"/>
      <c r="L1394" s="2"/>
      <c r="M1394" s="2"/>
      <c r="N1394" s="2"/>
      <c r="O1394" s="2"/>
      <c r="P1394" s="2"/>
    </row>
    <row r="1395" spans="1:16" x14ac:dyDescent="0.4">
      <c r="A1395">
        <v>2013</v>
      </c>
      <c r="B1395" s="2" t="s">
        <v>614</v>
      </c>
      <c r="C1395" s="2" t="s">
        <v>725</v>
      </c>
      <c r="D1395" s="2" t="s">
        <v>249</v>
      </c>
      <c r="E1395" s="67" t="s">
        <v>14</v>
      </c>
      <c r="F1395" s="12">
        <v>96</v>
      </c>
      <c r="G1395" s="12">
        <v>52</v>
      </c>
      <c r="H1395" s="12">
        <v>44</v>
      </c>
      <c r="J1395" s="2"/>
      <c r="K1395" s="2"/>
      <c r="L1395" s="2"/>
      <c r="M1395" s="2"/>
      <c r="N1395" s="2"/>
      <c r="O1395" s="2"/>
      <c r="P1395" s="2"/>
    </row>
    <row r="1396" spans="1:16" x14ac:dyDescent="0.4">
      <c r="A1396">
        <v>2013</v>
      </c>
      <c r="B1396" s="2" t="s">
        <v>615</v>
      </c>
      <c r="C1396" s="2" t="s">
        <v>725</v>
      </c>
      <c r="D1396" s="2" t="s">
        <v>249</v>
      </c>
      <c r="E1396" s="67" t="s">
        <v>257</v>
      </c>
      <c r="F1396" s="12">
        <v>231</v>
      </c>
      <c r="G1396" s="12">
        <v>142</v>
      </c>
      <c r="H1396" s="12">
        <v>89</v>
      </c>
      <c r="J1396" s="2"/>
      <c r="K1396" s="2"/>
      <c r="L1396" s="2"/>
      <c r="M1396" s="2"/>
      <c r="N1396" s="2"/>
      <c r="O1396" s="2"/>
      <c r="P1396" s="2"/>
    </row>
    <row r="1397" spans="1:16" x14ac:dyDescent="0.4">
      <c r="A1397">
        <v>2013</v>
      </c>
      <c r="B1397" s="2" t="s">
        <v>616</v>
      </c>
      <c r="C1397" s="2" t="s">
        <v>725</v>
      </c>
      <c r="D1397" s="2" t="s">
        <v>249</v>
      </c>
      <c r="E1397" s="67" t="s">
        <v>258</v>
      </c>
      <c r="F1397" s="12">
        <v>31</v>
      </c>
      <c r="G1397" s="12">
        <v>21</v>
      </c>
      <c r="H1397" s="12">
        <v>10</v>
      </c>
      <c r="J1397" s="2"/>
      <c r="K1397" s="2"/>
      <c r="L1397" s="2"/>
      <c r="M1397" s="2"/>
      <c r="N1397" s="2"/>
      <c r="O1397" s="2"/>
      <c r="P1397" s="2"/>
    </row>
    <row r="1398" spans="1:16" x14ac:dyDescent="0.4">
      <c r="A1398">
        <v>2013</v>
      </c>
      <c r="B1398" s="2" t="s">
        <v>617</v>
      </c>
      <c r="C1398" s="2" t="s">
        <v>725</v>
      </c>
      <c r="D1398" s="2" t="s">
        <v>249</v>
      </c>
      <c r="E1398" s="67" t="s">
        <v>259</v>
      </c>
      <c r="F1398" s="12">
        <v>279</v>
      </c>
      <c r="G1398" s="12">
        <v>172</v>
      </c>
      <c r="H1398" s="12">
        <v>107</v>
      </c>
      <c r="J1398" s="2"/>
      <c r="K1398" s="2"/>
      <c r="L1398" s="2"/>
      <c r="M1398" s="2"/>
      <c r="N1398" s="2"/>
      <c r="O1398" s="2"/>
      <c r="P1398" s="2"/>
    </row>
    <row r="1399" spans="1:16" x14ac:dyDescent="0.4">
      <c r="A1399">
        <v>2013</v>
      </c>
      <c r="B1399" s="2" t="s">
        <v>618</v>
      </c>
      <c r="C1399" s="2" t="s">
        <v>725</v>
      </c>
      <c r="D1399" s="2" t="s">
        <v>249</v>
      </c>
      <c r="E1399" s="67" t="s">
        <v>18</v>
      </c>
      <c r="F1399" s="12">
        <v>65</v>
      </c>
      <c r="G1399" s="12">
        <v>44</v>
      </c>
      <c r="H1399" s="12">
        <v>21</v>
      </c>
      <c r="J1399" s="2"/>
      <c r="K1399" s="2"/>
      <c r="L1399" s="2"/>
      <c r="M1399" s="2"/>
      <c r="N1399" s="2"/>
      <c r="O1399" s="2"/>
      <c r="P1399" s="2"/>
    </row>
    <row r="1400" spans="1:16" x14ac:dyDescent="0.4">
      <c r="A1400">
        <v>2013</v>
      </c>
      <c r="B1400" s="2" t="s">
        <v>619</v>
      </c>
      <c r="C1400" s="2" t="s">
        <v>725</v>
      </c>
      <c r="D1400" s="2" t="s">
        <v>249</v>
      </c>
      <c r="E1400" s="67" t="s">
        <v>44</v>
      </c>
      <c r="F1400" s="12">
        <v>86</v>
      </c>
      <c r="G1400" s="12">
        <v>59</v>
      </c>
      <c r="H1400" s="12">
        <v>27</v>
      </c>
      <c r="J1400" s="2"/>
      <c r="K1400" s="2"/>
      <c r="L1400" s="2"/>
      <c r="M1400" s="2"/>
      <c r="N1400" s="2"/>
      <c r="O1400" s="2"/>
      <c r="P1400" s="2"/>
    </row>
    <row r="1401" spans="1:16" x14ac:dyDescent="0.4">
      <c r="A1401">
        <v>2013</v>
      </c>
      <c r="B1401" s="2" t="s">
        <v>620</v>
      </c>
      <c r="C1401" s="2" t="s">
        <v>725</v>
      </c>
      <c r="D1401" s="2" t="s">
        <v>249</v>
      </c>
      <c r="E1401" s="67" t="s">
        <v>260</v>
      </c>
      <c r="F1401" s="12">
        <v>37</v>
      </c>
      <c r="G1401" s="12">
        <v>26</v>
      </c>
      <c r="H1401" s="12">
        <v>11</v>
      </c>
      <c r="J1401" s="2"/>
      <c r="K1401" s="2"/>
      <c r="L1401" s="2"/>
      <c r="M1401" s="2"/>
      <c r="N1401" s="2"/>
      <c r="O1401" s="2"/>
      <c r="P1401" s="2"/>
    </row>
    <row r="1402" spans="1:16" x14ac:dyDescent="0.4">
      <c r="A1402">
        <v>2013</v>
      </c>
      <c r="B1402" s="2" t="s">
        <v>621</v>
      </c>
      <c r="C1402" s="2" t="s">
        <v>725</v>
      </c>
      <c r="D1402" s="2" t="s">
        <v>249</v>
      </c>
      <c r="E1402" s="67" t="s">
        <v>261</v>
      </c>
      <c r="F1402" s="12">
        <v>73</v>
      </c>
      <c r="G1402" s="12">
        <v>48</v>
      </c>
      <c r="H1402" s="12">
        <v>25</v>
      </c>
      <c r="J1402" s="2"/>
      <c r="K1402" s="2"/>
      <c r="L1402" s="2"/>
      <c r="M1402" s="2"/>
      <c r="N1402" s="2"/>
      <c r="O1402" s="2"/>
      <c r="P1402" s="2"/>
    </row>
    <row r="1403" spans="1:16" x14ac:dyDescent="0.4">
      <c r="A1403">
        <v>2013</v>
      </c>
      <c r="B1403" s="2" t="s">
        <v>622</v>
      </c>
      <c r="C1403" s="2" t="s">
        <v>725</v>
      </c>
      <c r="D1403" s="2" t="s">
        <v>249</v>
      </c>
      <c r="E1403" s="67" t="s">
        <v>262</v>
      </c>
      <c r="F1403" s="12">
        <v>153</v>
      </c>
      <c r="G1403" s="12">
        <v>99</v>
      </c>
      <c r="H1403" s="12">
        <v>54</v>
      </c>
      <c r="J1403" s="2"/>
      <c r="K1403" s="2"/>
      <c r="L1403" s="2"/>
      <c r="M1403" s="2"/>
      <c r="N1403" s="2"/>
      <c r="O1403" s="2"/>
      <c r="P1403" s="2"/>
    </row>
    <row r="1404" spans="1:16" x14ac:dyDescent="0.4">
      <c r="A1404">
        <v>2013</v>
      </c>
      <c r="B1404" s="2" t="s">
        <v>623</v>
      </c>
      <c r="C1404" s="2" t="s">
        <v>725</v>
      </c>
      <c r="D1404" s="2" t="s">
        <v>249</v>
      </c>
      <c r="E1404" s="67" t="s">
        <v>263</v>
      </c>
      <c r="F1404" s="12">
        <v>85</v>
      </c>
      <c r="G1404" s="12">
        <v>64</v>
      </c>
      <c r="H1404" s="12">
        <v>21</v>
      </c>
      <c r="J1404" s="2"/>
      <c r="K1404" s="2"/>
      <c r="L1404" s="2"/>
      <c r="M1404" s="2"/>
      <c r="N1404" s="2"/>
      <c r="O1404" s="2"/>
      <c r="P1404" s="2"/>
    </row>
    <row r="1405" spans="1:16" x14ac:dyDescent="0.4">
      <c r="A1405">
        <v>2013</v>
      </c>
      <c r="B1405" s="2" t="s">
        <v>624</v>
      </c>
      <c r="C1405" s="2" t="s">
        <v>725</v>
      </c>
      <c r="D1405" s="2" t="s">
        <v>249</v>
      </c>
      <c r="E1405" s="67" t="s">
        <v>264</v>
      </c>
      <c r="F1405" s="12">
        <v>21</v>
      </c>
      <c r="G1405" s="12">
        <v>11</v>
      </c>
      <c r="H1405" s="12">
        <v>10</v>
      </c>
      <c r="J1405" s="2"/>
      <c r="K1405" s="2"/>
      <c r="L1405" s="2"/>
      <c r="M1405" s="2"/>
      <c r="N1405" s="2"/>
      <c r="O1405" s="2"/>
      <c r="P1405" s="2"/>
    </row>
    <row r="1406" spans="1:16" x14ac:dyDescent="0.4">
      <c r="A1406">
        <v>2013</v>
      </c>
      <c r="B1406" s="2" t="s">
        <v>625</v>
      </c>
      <c r="C1406" s="2" t="s">
        <v>725</v>
      </c>
      <c r="D1406" s="2" t="s">
        <v>249</v>
      </c>
      <c r="E1406" s="67" t="s">
        <v>265</v>
      </c>
      <c r="F1406" s="12">
        <v>58</v>
      </c>
      <c r="G1406" s="12">
        <v>37</v>
      </c>
      <c r="H1406" s="12">
        <v>21</v>
      </c>
      <c r="J1406" s="2"/>
      <c r="K1406" s="2"/>
      <c r="L1406" s="2"/>
      <c r="M1406" s="2"/>
      <c r="N1406" s="2"/>
      <c r="O1406" s="2"/>
      <c r="P1406" s="2"/>
    </row>
    <row r="1407" spans="1:16" x14ac:dyDescent="0.4">
      <c r="A1407">
        <v>2013</v>
      </c>
      <c r="B1407" s="2" t="s">
        <v>626</v>
      </c>
      <c r="C1407" s="2" t="s">
        <v>725</v>
      </c>
      <c r="D1407" s="2" t="s">
        <v>249</v>
      </c>
      <c r="E1407" s="67" t="s">
        <v>266</v>
      </c>
      <c r="F1407" s="12">
        <v>3805</v>
      </c>
      <c r="G1407" s="12">
        <v>2180</v>
      </c>
      <c r="H1407" s="12">
        <v>1625</v>
      </c>
      <c r="J1407" s="2"/>
      <c r="K1407" s="2"/>
      <c r="L1407" s="2"/>
      <c r="M1407" s="2"/>
      <c r="N1407" s="2"/>
      <c r="O1407" s="2"/>
      <c r="P1407" s="2"/>
    </row>
    <row r="1408" spans="1:16" x14ac:dyDescent="0.4">
      <c r="A1408">
        <v>2013</v>
      </c>
      <c r="B1408" s="2" t="s">
        <v>627</v>
      </c>
      <c r="C1408" s="2" t="s">
        <v>725</v>
      </c>
      <c r="D1408" s="2" t="s">
        <v>249</v>
      </c>
      <c r="E1408" s="67" t="s">
        <v>267</v>
      </c>
      <c r="F1408" s="12">
        <v>21</v>
      </c>
      <c r="G1408" s="12">
        <v>13</v>
      </c>
      <c r="H1408" s="12">
        <v>8</v>
      </c>
      <c r="J1408" s="2"/>
      <c r="K1408" s="2"/>
      <c r="L1408" s="2"/>
      <c r="M1408" s="2"/>
      <c r="N1408" s="2"/>
      <c r="O1408" s="2"/>
      <c r="P1408" s="2"/>
    </row>
    <row r="1409" spans="1:16" x14ac:dyDescent="0.4">
      <c r="A1409">
        <v>2013</v>
      </c>
      <c r="B1409" s="2" t="s">
        <v>628</v>
      </c>
      <c r="C1409" s="2" t="s">
        <v>725</v>
      </c>
      <c r="D1409" s="2" t="s">
        <v>249</v>
      </c>
      <c r="E1409" s="67" t="s">
        <v>268</v>
      </c>
      <c r="F1409" s="12">
        <v>36</v>
      </c>
      <c r="G1409" s="12">
        <v>27</v>
      </c>
      <c r="H1409" s="12">
        <v>9</v>
      </c>
      <c r="J1409" s="2"/>
      <c r="K1409" s="2"/>
      <c r="L1409" s="2"/>
      <c r="M1409" s="2"/>
      <c r="N1409" s="2"/>
      <c r="O1409" s="2"/>
      <c r="P1409" s="2"/>
    </row>
    <row r="1410" spans="1:16" x14ac:dyDescent="0.4">
      <c r="A1410">
        <v>2013</v>
      </c>
      <c r="B1410" s="2" t="s">
        <v>629</v>
      </c>
      <c r="C1410" s="2" t="s">
        <v>725</v>
      </c>
      <c r="D1410" s="2" t="s">
        <v>249</v>
      </c>
      <c r="E1410" s="67" t="s">
        <v>26</v>
      </c>
      <c r="F1410" s="12">
        <v>9</v>
      </c>
      <c r="G1410" s="12">
        <v>7</v>
      </c>
      <c r="H1410" s="12">
        <v>2</v>
      </c>
      <c r="J1410" s="2"/>
      <c r="K1410" s="2"/>
      <c r="L1410" s="2"/>
      <c r="M1410" s="2"/>
      <c r="N1410" s="2"/>
      <c r="O1410" s="2"/>
      <c r="P1410" s="2"/>
    </row>
    <row r="1411" spans="1:16" x14ac:dyDescent="0.4">
      <c r="A1411">
        <v>2013</v>
      </c>
      <c r="B1411" s="2" t="s">
        <v>630</v>
      </c>
      <c r="C1411" s="2" t="s">
        <v>725</v>
      </c>
      <c r="D1411" s="2" t="s">
        <v>249</v>
      </c>
      <c r="E1411" s="67" t="s">
        <v>51</v>
      </c>
      <c r="F1411" s="12">
        <v>19</v>
      </c>
      <c r="G1411" s="12">
        <v>10</v>
      </c>
      <c r="H1411" s="12">
        <v>9</v>
      </c>
      <c r="J1411" s="2"/>
      <c r="K1411" s="2"/>
      <c r="L1411" s="2"/>
      <c r="M1411" s="2"/>
      <c r="N1411" s="2"/>
      <c r="O1411" s="2"/>
      <c r="P1411" s="2"/>
    </row>
    <row r="1412" spans="1:16" x14ac:dyDescent="0.4">
      <c r="A1412">
        <v>2013</v>
      </c>
      <c r="B1412" s="2" t="s">
        <v>631</v>
      </c>
      <c r="C1412" s="2" t="s">
        <v>725</v>
      </c>
      <c r="D1412" s="2" t="s">
        <v>249</v>
      </c>
      <c r="E1412" s="67" t="s">
        <v>269</v>
      </c>
      <c r="F1412" s="12">
        <v>138</v>
      </c>
      <c r="G1412" s="12">
        <v>109</v>
      </c>
      <c r="H1412" s="12">
        <v>29</v>
      </c>
      <c r="J1412" s="2"/>
      <c r="K1412" s="2"/>
      <c r="L1412" s="2"/>
      <c r="M1412" s="2"/>
      <c r="N1412" s="2"/>
      <c r="O1412" s="2"/>
      <c r="P1412" s="2"/>
    </row>
    <row r="1413" spans="1:16" x14ac:dyDescent="0.4">
      <c r="A1413">
        <v>2013</v>
      </c>
      <c r="B1413" s="2" t="s">
        <v>632</v>
      </c>
      <c r="C1413" s="2" t="s">
        <v>725</v>
      </c>
      <c r="D1413" s="2" t="s">
        <v>249</v>
      </c>
      <c r="E1413" s="67" t="s">
        <v>270</v>
      </c>
      <c r="F1413" s="12">
        <v>77</v>
      </c>
      <c r="G1413" s="12">
        <v>49</v>
      </c>
      <c r="H1413" s="12">
        <v>28</v>
      </c>
      <c r="J1413" s="2"/>
      <c r="K1413" s="2"/>
      <c r="L1413" s="2"/>
      <c r="M1413" s="2"/>
      <c r="N1413" s="2"/>
      <c r="O1413" s="2"/>
      <c r="P1413" s="2"/>
    </row>
    <row r="1414" spans="1:16" x14ac:dyDescent="0.4">
      <c r="A1414">
        <v>2013</v>
      </c>
      <c r="B1414" s="2" t="s">
        <v>633</v>
      </c>
      <c r="C1414" s="2" t="s">
        <v>726</v>
      </c>
      <c r="D1414" s="2" t="s">
        <v>271</v>
      </c>
      <c r="E1414" s="67" t="s">
        <v>174</v>
      </c>
      <c r="F1414" s="12">
        <v>53</v>
      </c>
      <c r="G1414" s="12">
        <v>44</v>
      </c>
      <c r="H1414" s="12">
        <v>9</v>
      </c>
      <c r="J1414" s="2"/>
      <c r="K1414" s="2"/>
      <c r="L1414" s="2"/>
      <c r="M1414" s="2"/>
      <c r="N1414" s="2"/>
      <c r="O1414" s="2"/>
      <c r="P1414" s="2"/>
    </row>
    <row r="1415" spans="1:16" x14ac:dyDescent="0.4">
      <c r="A1415">
        <v>2013</v>
      </c>
      <c r="B1415" s="2" t="s">
        <v>634</v>
      </c>
      <c r="C1415" s="2" t="s">
        <v>726</v>
      </c>
      <c r="D1415" s="2" t="s">
        <v>271</v>
      </c>
      <c r="E1415" s="67" t="s">
        <v>272</v>
      </c>
      <c r="F1415" s="12">
        <v>574</v>
      </c>
      <c r="G1415" s="12">
        <v>322</v>
      </c>
      <c r="H1415" s="12">
        <v>252</v>
      </c>
      <c r="J1415" s="2"/>
      <c r="K1415" s="2"/>
      <c r="L1415" s="2"/>
      <c r="M1415" s="2"/>
      <c r="N1415" s="2"/>
      <c r="O1415" s="2"/>
      <c r="P1415" s="2"/>
    </row>
    <row r="1416" spans="1:16" x14ac:dyDescent="0.4">
      <c r="A1416">
        <v>2013</v>
      </c>
      <c r="B1416" s="2" t="s">
        <v>635</v>
      </c>
      <c r="C1416" s="2" t="s">
        <v>726</v>
      </c>
      <c r="D1416" s="2" t="s">
        <v>271</v>
      </c>
      <c r="E1416" s="67" t="s">
        <v>36</v>
      </c>
      <c r="F1416" s="12">
        <v>28</v>
      </c>
      <c r="G1416" s="12">
        <v>18</v>
      </c>
      <c r="H1416" s="12">
        <v>10</v>
      </c>
      <c r="J1416" s="2"/>
      <c r="K1416" s="2"/>
      <c r="L1416" s="2"/>
      <c r="M1416" s="2"/>
      <c r="N1416" s="2"/>
      <c r="O1416" s="2"/>
      <c r="P1416" s="2"/>
    </row>
    <row r="1417" spans="1:16" x14ac:dyDescent="0.4">
      <c r="A1417">
        <v>2013</v>
      </c>
      <c r="B1417" s="2" t="s">
        <v>636</v>
      </c>
      <c r="C1417" s="2" t="s">
        <v>726</v>
      </c>
      <c r="D1417" s="2" t="s">
        <v>271</v>
      </c>
      <c r="E1417" s="67" t="s">
        <v>273</v>
      </c>
      <c r="F1417" s="12">
        <v>88</v>
      </c>
      <c r="G1417" s="12">
        <v>55</v>
      </c>
      <c r="H1417" s="12">
        <v>33</v>
      </c>
      <c r="J1417" s="2"/>
      <c r="K1417" s="2"/>
      <c r="L1417" s="2"/>
      <c r="M1417" s="2"/>
      <c r="N1417" s="2"/>
      <c r="O1417" s="2"/>
      <c r="P1417" s="2"/>
    </row>
    <row r="1418" spans="1:16" x14ac:dyDescent="0.4">
      <c r="A1418">
        <v>2013</v>
      </c>
      <c r="B1418" s="2" t="s">
        <v>637</v>
      </c>
      <c r="C1418" s="2" t="s">
        <v>726</v>
      </c>
      <c r="D1418" s="2" t="s">
        <v>271</v>
      </c>
      <c r="E1418" s="67" t="s">
        <v>274</v>
      </c>
      <c r="F1418" s="12">
        <v>151</v>
      </c>
      <c r="G1418" s="12">
        <v>91</v>
      </c>
      <c r="H1418" s="12">
        <v>60</v>
      </c>
      <c r="J1418" s="2"/>
      <c r="K1418" s="2"/>
      <c r="L1418" s="2"/>
      <c r="M1418" s="2"/>
      <c r="N1418" s="2"/>
      <c r="O1418" s="2"/>
      <c r="P1418" s="2"/>
    </row>
    <row r="1419" spans="1:16" x14ac:dyDescent="0.4">
      <c r="A1419">
        <v>2013</v>
      </c>
      <c r="B1419" s="2" t="s">
        <v>638</v>
      </c>
      <c r="C1419" s="2" t="s">
        <v>726</v>
      </c>
      <c r="D1419" s="2" t="s">
        <v>271</v>
      </c>
      <c r="E1419" s="67" t="s">
        <v>275</v>
      </c>
      <c r="F1419" s="12">
        <v>61</v>
      </c>
      <c r="G1419" s="12">
        <v>37</v>
      </c>
      <c r="H1419" s="12">
        <v>24</v>
      </c>
      <c r="J1419" s="2"/>
      <c r="K1419" s="2"/>
      <c r="L1419" s="2"/>
      <c r="M1419" s="2"/>
      <c r="N1419" s="2"/>
      <c r="O1419" s="2"/>
      <c r="P1419" s="2"/>
    </row>
    <row r="1420" spans="1:16" x14ac:dyDescent="0.4">
      <c r="A1420">
        <v>2013</v>
      </c>
      <c r="B1420" s="2" t="s">
        <v>639</v>
      </c>
      <c r="C1420" s="2" t="s">
        <v>726</v>
      </c>
      <c r="D1420" s="2" t="s">
        <v>271</v>
      </c>
      <c r="E1420" s="67" t="s">
        <v>276</v>
      </c>
      <c r="F1420" s="12">
        <v>10</v>
      </c>
      <c r="G1420" s="12">
        <v>9</v>
      </c>
      <c r="H1420" s="12">
        <v>1</v>
      </c>
      <c r="J1420" s="2"/>
      <c r="K1420" s="2"/>
      <c r="L1420" s="2"/>
      <c r="M1420" s="2"/>
      <c r="N1420" s="2"/>
      <c r="O1420" s="2"/>
      <c r="P1420" s="2"/>
    </row>
    <row r="1421" spans="1:16" x14ac:dyDescent="0.4">
      <c r="A1421">
        <v>2013</v>
      </c>
      <c r="B1421" s="2" t="s">
        <v>640</v>
      </c>
      <c r="C1421" s="2" t="s">
        <v>726</v>
      </c>
      <c r="D1421" s="2" t="s">
        <v>271</v>
      </c>
      <c r="E1421" s="67" t="s">
        <v>277</v>
      </c>
      <c r="F1421" s="12">
        <v>30</v>
      </c>
      <c r="G1421" s="12">
        <v>18</v>
      </c>
      <c r="H1421" s="12">
        <v>12</v>
      </c>
      <c r="J1421" s="2"/>
      <c r="K1421" s="2"/>
      <c r="L1421" s="2"/>
      <c r="M1421" s="2"/>
      <c r="N1421" s="2"/>
      <c r="O1421" s="2"/>
      <c r="P1421" s="2"/>
    </row>
    <row r="1422" spans="1:16" x14ac:dyDescent="0.4">
      <c r="A1422">
        <v>2013</v>
      </c>
      <c r="B1422" s="2" t="s">
        <v>641</v>
      </c>
      <c r="C1422" s="2" t="s">
        <v>726</v>
      </c>
      <c r="D1422" s="2" t="s">
        <v>271</v>
      </c>
      <c r="E1422" s="67" t="s">
        <v>278</v>
      </c>
      <c r="F1422" s="12">
        <v>60</v>
      </c>
      <c r="G1422" s="12">
        <v>44</v>
      </c>
      <c r="H1422" s="12">
        <v>16</v>
      </c>
      <c r="J1422" s="2"/>
      <c r="K1422" s="2"/>
      <c r="L1422" s="2"/>
      <c r="M1422" s="2"/>
      <c r="N1422" s="2"/>
      <c r="O1422" s="2"/>
      <c r="P1422" s="2"/>
    </row>
    <row r="1423" spans="1:16" x14ac:dyDescent="0.4">
      <c r="A1423">
        <v>2013</v>
      </c>
      <c r="B1423" s="2" t="s">
        <v>642</v>
      </c>
      <c r="C1423" s="2" t="s">
        <v>726</v>
      </c>
      <c r="D1423" s="2" t="s">
        <v>271</v>
      </c>
      <c r="E1423" s="67" t="s">
        <v>85</v>
      </c>
      <c r="F1423" s="12">
        <v>50</v>
      </c>
      <c r="G1423" s="12">
        <v>37</v>
      </c>
      <c r="H1423" s="12">
        <v>13</v>
      </c>
      <c r="J1423" s="2"/>
      <c r="K1423" s="2"/>
      <c r="L1423" s="2"/>
      <c r="M1423" s="2"/>
      <c r="N1423" s="2"/>
      <c r="O1423" s="2"/>
      <c r="P1423" s="2"/>
    </row>
    <row r="1424" spans="1:16" x14ac:dyDescent="0.4">
      <c r="A1424">
        <v>2013</v>
      </c>
      <c r="B1424" s="2" t="s">
        <v>643</v>
      </c>
      <c r="C1424" s="2" t="s">
        <v>726</v>
      </c>
      <c r="D1424" s="2" t="s">
        <v>271</v>
      </c>
      <c r="E1424" s="67" t="s">
        <v>279</v>
      </c>
      <c r="F1424" s="12">
        <v>33</v>
      </c>
      <c r="G1424" s="12">
        <v>21</v>
      </c>
      <c r="H1424" s="12">
        <v>12</v>
      </c>
      <c r="J1424" s="2"/>
      <c r="K1424" s="2"/>
      <c r="L1424" s="2"/>
      <c r="M1424" s="2"/>
      <c r="N1424" s="2"/>
      <c r="O1424" s="2"/>
      <c r="P1424" s="2"/>
    </row>
    <row r="1425" spans="1:16" x14ac:dyDescent="0.4">
      <c r="A1425">
        <v>2013</v>
      </c>
      <c r="B1425" s="2" t="s">
        <v>644</v>
      </c>
      <c r="C1425" s="2" t="s">
        <v>726</v>
      </c>
      <c r="D1425" s="2" t="s">
        <v>271</v>
      </c>
      <c r="E1425" s="67" t="s">
        <v>280</v>
      </c>
      <c r="F1425" s="12">
        <v>33</v>
      </c>
      <c r="G1425" s="12">
        <v>20</v>
      </c>
      <c r="H1425" s="12">
        <v>13</v>
      </c>
      <c r="J1425" s="2"/>
      <c r="K1425" s="2"/>
      <c r="L1425" s="2"/>
      <c r="M1425" s="2"/>
      <c r="N1425" s="2"/>
      <c r="O1425" s="2"/>
      <c r="P1425" s="2"/>
    </row>
    <row r="1426" spans="1:16" x14ac:dyDescent="0.4">
      <c r="A1426">
        <v>2013</v>
      </c>
      <c r="B1426" s="2" t="s">
        <v>645</v>
      </c>
      <c r="C1426" s="2" t="s">
        <v>726</v>
      </c>
      <c r="D1426" s="2" t="s">
        <v>271</v>
      </c>
      <c r="E1426" s="67" t="s">
        <v>281</v>
      </c>
      <c r="F1426" s="12">
        <v>142</v>
      </c>
      <c r="G1426" s="12">
        <v>86</v>
      </c>
      <c r="H1426" s="12">
        <v>56</v>
      </c>
      <c r="J1426" s="2"/>
      <c r="K1426" s="2"/>
      <c r="L1426" s="2"/>
      <c r="M1426" s="2"/>
      <c r="N1426" s="2"/>
      <c r="O1426" s="2"/>
      <c r="P1426" s="2"/>
    </row>
    <row r="1427" spans="1:16" x14ac:dyDescent="0.4">
      <c r="A1427">
        <v>2013</v>
      </c>
      <c r="B1427" s="2" t="s">
        <v>646</v>
      </c>
      <c r="C1427" s="2" t="s">
        <v>726</v>
      </c>
      <c r="D1427" s="2" t="s">
        <v>271</v>
      </c>
      <c r="E1427" s="67" t="s">
        <v>282</v>
      </c>
      <c r="F1427" s="12">
        <v>63</v>
      </c>
      <c r="G1427" s="12">
        <v>47</v>
      </c>
      <c r="H1427" s="12">
        <v>16</v>
      </c>
      <c r="J1427" s="2"/>
      <c r="K1427" s="2"/>
      <c r="L1427" s="2"/>
      <c r="M1427" s="2"/>
      <c r="N1427" s="2"/>
      <c r="O1427" s="2"/>
      <c r="P1427" s="2"/>
    </row>
    <row r="1428" spans="1:16" x14ac:dyDescent="0.4">
      <c r="A1428">
        <v>2013</v>
      </c>
      <c r="B1428" s="2" t="s">
        <v>647</v>
      </c>
      <c r="C1428" s="2" t="s">
        <v>726</v>
      </c>
      <c r="D1428" s="2" t="s">
        <v>271</v>
      </c>
      <c r="E1428" s="67" t="s">
        <v>283</v>
      </c>
      <c r="F1428" s="12">
        <v>52</v>
      </c>
      <c r="G1428" s="12">
        <v>33</v>
      </c>
      <c r="H1428" s="12">
        <v>19</v>
      </c>
      <c r="J1428" s="2"/>
      <c r="K1428" s="2"/>
      <c r="L1428" s="2"/>
      <c r="M1428" s="2"/>
      <c r="N1428" s="2"/>
      <c r="O1428" s="2"/>
      <c r="P1428" s="2"/>
    </row>
    <row r="1429" spans="1:16" x14ac:dyDescent="0.4">
      <c r="A1429">
        <v>2013</v>
      </c>
      <c r="B1429" s="2" t="s">
        <v>648</v>
      </c>
      <c r="C1429" s="2" t="s">
        <v>726</v>
      </c>
      <c r="D1429" s="2" t="s">
        <v>271</v>
      </c>
      <c r="E1429" s="67" t="s">
        <v>284</v>
      </c>
      <c r="F1429" s="12">
        <v>111</v>
      </c>
      <c r="G1429" s="12">
        <v>78</v>
      </c>
      <c r="H1429" s="12">
        <v>33</v>
      </c>
      <c r="J1429" s="2"/>
      <c r="K1429" s="2"/>
      <c r="L1429" s="2"/>
      <c r="M1429" s="2"/>
      <c r="N1429" s="2"/>
      <c r="O1429" s="2"/>
      <c r="P1429" s="2"/>
    </row>
    <row r="1430" spans="1:16" x14ac:dyDescent="0.4">
      <c r="A1430">
        <v>2013</v>
      </c>
      <c r="B1430" s="2" t="s">
        <v>649</v>
      </c>
      <c r="C1430" s="2" t="s">
        <v>726</v>
      </c>
      <c r="D1430" s="2" t="s">
        <v>271</v>
      </c>
      <c r="E1430" s="67" t="s">
        <v>51</v>
      </c>
      <c r="F1430" s="12">
        <v>127</v>
      </c>
      <c r="G1430" s="12">
        <v>86</v>
      </c>
      <c r="H1430" s="12">
        <v>41</v>
      </c>
      <c r="J1430" s="2"/>
      <c r="K1430" s="2"/>
      <c r="L1430" s="2"/>
      <c r="M1430" s="2"/>
      <c r="N1430" s="2"/>
      <c r="O1430" s="2"/>
      <c r="P1430" s="2"/>
    </row>
    <row r="1431" spans="1:16" x14ac:dyDescent="0.4">
      <c r="A1431">
        <v>2013</v>
      </c>
      <c r="B1431" s="2" t="s">
        <v>650</v>
      </c>
      <c r="C1431" s="2" t="s">
        <v>726</v>
      </c>
      <c r="D1431" s="2" t="s">
        <v>271</v>
      </c>
      <c r="E1431" s="67" t="s">
        <v>285</v>
      </c>
      <c r="F1431" s="12">
        <v>505</v>
      </c>
      <c r="G1431" s="12">
        <v>288</v>
      </c>
      <c r="H1431" s="12">
        <v>217</v>
      </c>
      <c r="J1431" s="2"/>
      <c r="K1431" s="2"/>
      <c r="L1431" s="2"/>
      <c r="M1431" s="2"/>
      <c r="N1431" s="2"/>
      <c r="O1431" s="2"/>
      <c r="P1431" s="2"/>
    </row>
    <row r="1432" spans="1:16" x14ac:dyDescent="0.4">
      <c r="A1432">
        <v>2013</v>
      </c>
      <c r="B1432" s="2" t="s">
        <v>651</v>
      </c>
      <c r="C1432" s="2" t="s">
        <v>726</v>
      </c>
      <c r="D1432" s="2" t="s">
        <v>271</v>
      </c>
      <c r="E1432" s="67" t="s">
        <v>53</v>
      </c>
      <c r="F1432" s="12">
        <v>94</v>
      </c>
      <c r="G1432" s="12">
        <v>56</v>
      </c>
      <c r="H1432" s="12">
        <v>38</v>
      </c>
      <c r="J1432" s="2"/>
      <c r="K1432" s="2"/>
      <c r="L1432" s="2"/>
      <c r="M1432" s="2"/>
      <c r="N1432" s="2"/>
      <c r="O1432" s="2"/>
      <c r="P1432" s="2"/>
    </row>
    <row r="1433" spans="1:16" x14ac:dyDescent="0.4">
      <c r="A1433">
        <v>2013</v>
      </c>
      <c r="B1433" s="2" t="s">
        <v>652</v>
      </c>
      <c r="C1433" s="2" t="s">
        <v>726</v>
      </c>
      <c r="D1433" s="2" t="s">
        <v>271</v>
      </c>
      <c r="E1433" s="67" t="s">
        <v>286</v>
      </c>
      <c r="F1433" s="12">
        <v>1716</v>
      </c>
      <c r="G1433" s="12">
        <v>1006</v>
      </c>
      <c r="H1433" s="12">
        <v>710</v>
      </c>
      <c r="J1433" s="2"/>
      <c r="K1433" s="2"/>
      <c r="L1433" s="2"/>
      <c r="M1433" s="2"/>
      <c r="N1433" s="2"/>
      <c r="O1433" s="2"/>
      <c r="P1433" s="2"/>
    </row>
    <row r="1434" spans="1:16" x14ac:dyDescent="0.4">
      <c r="A1434">
        <v>2013</v>
      </c>
      <c r="B1434" s="2" t="s">
        <v>653</v>
      </c>
      <c r="C1434" s="2" t="s">
        <v>727</v>
      </c>
      <c r="D1434" s="2" t="s">
        <v>288</v>
      </c>
      <c r="E1434" s="67" t="s">
        <v>287</v>
      </c>
      <c r="F1434" s="12">
        <v>150</v>
      </c>
      <c r="G1434" s="12">
        <v>104</v>
      </c>
      <c r="H1434" s="12">
        <v>46</v>
      </c>
      <c r="J1434" s="2"/>
      <c r="K1434" s="2"/>
      <c r="L1434" s="2"/>
      <c r="M1434" s="2"/>
      <c r="N1434" s="2"/>
      <c r="O1434" s="2"/>
      <c r="P1434" s="2"/>
    </row>
    <row r="1435" spans="1:16" x14ac:dyDescent="0.4">
      <c r="A1435">
        <v>2013</v>
      </c>
      <c r="B1435" s="2" t="s">
        <v>654</v>
      </c>
      <c r="C1435" s="2" t="s">
        <v>727</v>
      </c>
      <c r="D1435" s="2" t="s">
        <v>288</v>
      </c>
      <c r="E1435" s="67" t="s">
        <v>289</v>
      </c>
      <c r="F1435" s="12">
        <v>152</v>
      </c>
      <c r="G1435" s="12">
        <v>97</v>
      </c>
      <c r="H1435" s="12">
        <v>55</v>
      </c>
      <c r="J1435" s="2"/>
      <c r="K1435" s="2"/>
      <c r="L1435" s="2"/>
      <c r="M1435" s="2"/>
      <c r="N1435" s="2"/>
      <c r="O1435" s="2"/>
      <c r="P1435" s="2"/>
    </row>
    <row r="1436" spans="1:16" x14ac:dyDescent="0.4">
      <c r="A1436">
        <v>2013</v>
      </c>
      <c r="B1436" s="2" t="s">
        <v>655</v>
      </c>
      <c r="C1436" s="2" t="s">
        <v>727</v>
      </c>
      <c r="D1436" s="2" t="s">
        <v>288</v>
      </c>
      <c r="E1436" s="67" t="s">
        <v>290</v>
      </c>
      <c r="F1436" s="12">
        <v>536</v>
      </c>
      <c r="G1436" s="12">
        <v>336</v>
      </c>
      <c r="H1436" s="12">
        <v>200</v>
      </c>
      <c r="J1436" s="2"/>
      <c r="K1436" s="2"/>
      <c r="L1436" s="2"/>
      <c r="M1436" s="2"/>
      <c r="N1436" s="2"/>
      <c r="O1436" s="2"/>
      <c r="P1436" s="2"/>
    </row>
    <row r="1437" spans="1:16" x14ac:dyDescent="0.4">
      <c r="A1437">
        <v>2013</v>
      </c>
      <c r="B1437" s="2" t="s">
        <v>656</v>
      </c>
      <c r="C1437" s="2" t="s">
        <v>727</v>
      </c>
      <c r="D1437" s="2" t="s">
        <v>288</v>
      </c>
      <c r="E1437" s="67" t="s">
        <v>291</v>
      </c>
      <c r="F1437" s="12">
        <v>34</v>
      </c>
      <c r="G1437" s="12">
        <v>18</v>
      </c>
      <c r="H1437" s="12">
        <v>16</v>
      </c>
      <c r="J1437" s="2"/>
      <c r="K1437" s="2"/>
      <c r="L1437" s="2"/>
      <c r="M1437" s="2"/>
      <c r="N1437" s="2"/>
      <c r="O1437" s="2"/>
      <c r="P1437" s="2"/>
    </row>
    <row r="1438" spans="1:16" x14ac:dyDescent="0.4">
      <c r="A1438">
        <v>2013</v>
      </c>
      <c r="B1438" s="2" t="s">
        <v>657</v>
      </c>
      <c r="C1438" s="2" t="s">
        <v>727</v>
      </c>
      <c r="D1438" s="2" t="s">
        <v>288</v>
      </c>
      <c r="E1438" s="67" t="s">
        <v>292</v>
      </c>
      <c r="F1438" s="12">
        <v>306</v>
      </c>
      <c r="G1438" s="12">
        <v>209</v>
      </c>
      <c r="H1438" s="12">
        <v>97</v>
      </c>
      <c r="J1438" s="2"/>
      <c r="K1438" s="2"/>
      <c r="L1438" s="2"/>
      <c r="M1438" s="2"/>
      <c r="N1438" s="2"/>
      <c r="O1438" s="2"/>
      <c r="P1438" s="2"/>
    </row>
    <row r="1439" spans="1:16" x14ac:dyDescent="0.4">
      <c r="A1439">
        <v>2013</v>
      </c>
      <c r="B1439" s="2" t="s">
        <v>658</v>
      </c>
      <c r="C1439" s="2" t="s">
        <v>727</v>
      </c>
      <c r="D1439" s="2" t="s">
        <v>288</v>
      </c>
      <c r="E1439" s="67" t="s">
        <v>293</v>
      </c>
      <c r="F1439" s="12">
        <v>14</v>
      </c>
      <c r="G1439" s="12">
        <v>10</v>
      </c>
      <c r="H1439" s="12">
        <v>4</v>
      </c>
      <c r="J1439" s="2"/>
      <c r="K1439" s="2"/>
      <c r="L1439" s="2"/>
      <c r="M1439" s="2"/>
      <c r="N1439" s="2"/>
      <c r="O1439" s="2"/>
      <c r="P1439" s="2"/>
    </row>
    <row r="1440" spans="1:16" x14ac:dyDescent="0.4">
      <c r="A1440">
        <v>2013</v>
      </c>
      <c r="B1440" s="2" t="s">
        <v>659</v>
      </c>
      <c r="C1440" s="2" t="s">
        <v>727</v>
      </c>
      <c r="D1440" s="2" t="s">
        <v>288</v>
      </c>
      <c r="E1440" s="67" t="s">
        <v>294</v>
      </c>
      <c r="F1440" s="12">
        <v>572</v>
      </c>
      <c r="G1440" s="12">
        <v>329</v>
      </c>
      <c r="H1440" s="12">
        <v>243</v>
      </c>
      <c r="J1440" s="2"/>
      <c r="K1440" s="2"/>
      <c r="L1440" s="2"/>
      <c r="M1440" s="2"/>
      <c r="N1440" s="2"/>
      <c r="O1440" s="2"/>
      <c r="P1440" s="2"/>
    </row>
    <row r="1441" spans="1:16" x14ac:dyDescent="0.4">
      <c r="A1441">
        <v>2013</v>
      </c>
      <c r="B1441" s="2" t="s">
        <v>660</v>
      </c>
      <c r="C1441" s="2" t="s">
        <v>727</v>
      </c>
      <c r="D1441" s="2" t="s">
        <v>288</v>
      </c>
      <c r="E1441" s="67" t="s">
        <v>295</v>
      </c>
      <c r="F1441" s="12">
        <v>101</v>
      </c>
      <c r="G1441" s="12">
        <v>57</v>
      </c>
      <c r="H1441" s="12">
        <v>44</v>
      </c>
      <c r="J1441" s="2"/>
      <c r="K1441" s="2"/>
      <c r="L1441" s="2"/>
      <c r="M1441" s="2"/>
      <c r="N1441" s="2"/>
      <c r="O1441" s="2"/>
      <c r="P1441" s="2"/>
    </row>
    <row r="1442" spans="1:16" x14ac:dyDescent="0.4">
      <c r="A1442">
        <v>2013</v>
      </c>
      <c r="B1442" s="2" t="s">
        <v>661</v>
      </c>
      <c r="C1442" s="2" t="s">
        <v>727</v>
      </c>
      <c r="D1442" s="2" t="s">
        <v>288</v>
      </c>
      <c r="E1442" s="67" t="s">
        <v>296</v>
      </c>
      <c r="F1442" s="12">
        <v>142</v>
      </c>
      <c r="G1442" s="12">
        <v>89</v>
      </c>
      <c r="H1442" s="12">
        <v>53</v>
      </c>
      <c r="J1442" s="2"/>
      <c r="K1442" s="2"/>
      <c r="L1442" s="2"/>
      <c r="M1442" s="2"/>
      <c r="N1442" s="2"/>
      <c r="O1442" s="2"/>
      <c r="P1442" s="2"/>
    </row>
    <row r="1443" spans="1:16" x14ac:dyDescent="0.4">
      <c r="A1443">
        <v>2013</v>
      </c>
      <c r="B1443" s="2" t="s">
        <v>662</v>
      </c>
      <c r="C1443" s="2" t="s">
        <v>727</v>
      </c>
      <c r="D1443" s="2" t="s">
        <v>288</v>
      </c>
      <c r="E1443" s="67" t="s">
        <v>297</v>
      </c>
      <c r="F1443" s="12">
        <v>63</v>
      </c>
      <c r="G1443" s="12">
        <v>40</v>
      </c>
      <c r="H1443" s="12">
        <v>23</v>
      </c>
      <c r="J1443" s="2"/>
      <c r="K1443" s="2"/>
      <c r="L1443" s="2"/>
      <c r="M1443" s="2"/>
      <c r="N1443" s="2"/>
      <c r="O1443" s="2"/>
      <c r="P1443" s="2"/>
    </row>
    <row r="1444" spans="1:16" x14ac:dyDescent="0.4">
      <c r="A1444">
        <v>2013</v>
      </c>
      <c r="B1444" s="2" t="s">
        <v>663</v>
      </c>
      <c r="C1444" s="2" t="s">
        <v>727</v>
      </c>
      <c r="D1444" s="2" t="s">
        <v>288</v>
      </c>
      <c r="E1444" s="67" t="s">
        <v>298</v>
      </c>
      <c r="F1444" s="12">
        <v>178</v>
      </c>
      <c r="G1444" s="12">
        <v>116</v>
      </c>
      <c r="H1444" s="12">
        <v>62</v>
      </c>
      <c r="J1444" s="2"/>
      <c r="K1444" s="2"/>
      <c r="L1444" s="2"/>
      <c r="M1444" s="2"/>
      <c r="N1444" s="2"/>
      <c r="O1444" s="2"/>
      <c r="P1444" s="2"/>
    </row>
    <row r="1445" spans="1:16" x14ac:dyDescent="0.4">
      <c r="A1445">
        <v>2013</v>
      </c>
      <c r="B1445" s="2" t="s">
        <v>664</v>
      </c>
      <c r="C1445" s="2" t="s">
        <v>728</v>
      </c>
      <c r="D1445" s="2" t="s">
        <v>300</v>
      </c>
      <c r="E1445" s="67" t="s">
        <v>299</v>
      </c>
      <c r="F1445" s="12">
        <v>53</v>
      </c>
      <c r="G1445" s="12">
        <v>32</v>
      </c>
      <c r="H1445" s="12">
        <v>21</v>
      </c>
      <c r="J1445" s="2"/>
      <c r="K1445" s="2"/>
      <c r="L1445" s="2"/>
      <c r="M1445" s="2"/>
      <c r="N1445" s="2"/>
      <c r="O1445" s="2"/>
      <c r="P1445" s="2"/>
    </row>
    <row r="1446" spans="1:16" x14ac:dyDescent="0.4">
      <c r="A1446">
        <v>2013</v>
      </c>
      <c r="B1446" s="2" t="s">
        <v>665</v>
      </c>
      <c r="C1446" s="2" t="s">
        <v>728</v>
      </c>
      <c r="D1446" s="14" t="s">
        <v>300</v>
      </c>
      <c r="E1446" s="69" t="s">
        <v>36</v>
      </c>
      <c r="F1446" s="11">
        <v>78</v>
      </c>
      <c r="G1446" s="11">
        <v>45</v>
      </c>
      <c r="H1446" s="12">
        <v>33</v>
      </c>
      <c r="J1446" s="2"/>
      <c r="K1446" s="2"/>
      <c r="L1446" s="2"/>
      <c r="M1446" s="2"/>
      <c r="N1446" s="2"/>
      <c r="O1446" s="2"/>
      <c r="P1446" s="2"/>
    </row>
    <row r="1447" spans="1:16" x14ac:dyDescent="0.4">
      <c r="A1447">
        <v>2013</v>
      </c>
      <c r="B1447" s="2" t="s">
        <v>666</v>
      </c>
      <c r="C1447" s="2" t="s">
        <v>728</v>
      </c>
      <c r="D1447" s="2" t="s">
        <v>300</v>
      </c>
      <c r="E1447" s="67" t="s">
        <v>301</v>
      </c>
      <c r="F1447" s="12">
        <v>214</v>
      </c>
      <c r="G1447" s="12">
        <v>142</v>
      </c>
      <c r="H1447" s="12">
        <v>72</v>
      </c>
      <c r="J1447" s="2"/>
      <c r="K1447" s="2"/>
      <c r="L1447" s="2"/>
      <c r="M1447" s="2"/>
      <c r="N1447" s="2"/>
      <c r="O1447" s="2"/>
      <c r="P1447" s="2"/>
    </row>
    <row r="1448" spans="1:16" x14ac:dyDescent="0.4">
      <c r="A1448">
        <v>2013</v>
      </c>
      <c r="B1448" s="2" t="s">
        <v>667</v>
      </c>
      <c r="C1448" s="2" t="s">
        <v>728</v>
      </c>
      <c r="D1448" s="2" t="s">
        <v>300</v>
      </c>
      <c r="E1448" s="67" t="s">
        <v>302</v>
      </c>
      <c r="F1448" s="12">
        <v>91</v>
      </c>
      <c r="G1448" s="12">
        <v>64</v>
      </c>
      <c r="H1448" s="12">
        <v>27</v>
      </c>
      <c r="J1448" s="2"/>
      <c r="K1448" s="2"/>
      <c r="L1448" s="2"/>
      <c r="M1448" s="2"/>
      <c r="N1448" s="2"/>
      <c r="O1448" s="2"/>
      <c r="P1448" s="2"/>
    </row>
    <row r="1449" spans="1:16" x14ac:dyDescent="0.4">
      <c r="A1449">
        <v>2013</v>
      </c>
      <c r="B1449" s="2" t="s">
        <v>668</v>
      </c>
      <c r="C1449" s="2" t="s">
        <v>728</v>
      </c>
      <c r="D1449" s="2" t="s">
        <v>300</v>
      </c>
      <c r="E1449" s="67" t="s">
        <v>14</v>
      </c>
      <c r="F1449" s="12">
        <v>157</v>
      </c>
      <c r="G1449" s="12">
        <v>102</v>
      </c>
      <c r="H1449" s="12">
        <v>55</v>
      </c>
      <c r="J1449" s="2"/>
      <c r="K1449" s="2"/>
      <c r="L1449" s="2"/>
      <c r="M1449" s="2"/>
      <c r="N1449" s="2"/>
      <c r="O1449" s="2"/>
      <c r="P1449" s="2"/>
    </row>
    <row r="1450" spans="1:16" x14ac:dyDescent="0.4">
      <c r="A1450">
        <v>2013</v>
      </c>
      <c r="B1450" s="2" t="s">
        <v>669</v>
      </c>
      <c r="C1450" s="2" t="s">
        <v>728</v>
      </c>
      <c r="D1450" s="2" t="s">
        <v>300</v>
      </c>
      <c r="E1450" s="67" t="s">
        <v>303</v>
      </c>
      <c r="F1450" s="12">
        <v>44</v>
      </c>
      <c r="G1450" s="12">
        <v>31</v>
      </c>
      <c r="H1450" s="12">
        <v>13</v>
      </c>
      <c r="J1450" s="2"/>
      <c r="K1450" s="2"/>
      <c r="L1450" s="2"/>
      <c r="M1450" s="2"/>
      <c r="N1450" s="2"/>
      <c r="O1450" s="2"/>
      <c r="P1450" s="2"/>
    </row>
    <row r="1451" spans="1:16" x14ac:dyDescent="0.4">
      <c r="A1451">
        <v>2013</v>
      </c>
      <c r="B1451" s="2" t="s">
        <v>670</v>
      </c>
      <c r="C1451" s="2" t="s">
        <v>728</v>
      </c>
      <c r="D1451" s="2" t="s">
        <v>300</v>
      </c>
      <c r="E1451" s="67" t="s">
        <v>304</v>
      </c>
      <c r="F1451" s="12">
        <v>38</v>
      </c>
      <c r="G1451" s="12">
        <v>16</v>
      </c>
      <c r="H1451" s="12">
        <v>22</v>
      </c>
      <c r="J1451" s="2"/>
      <c r="K1451" s="2"/>
      <c r="L1451" s="2"/>
      <c r="M1451" s="2"/>
      <c r="N1451" s="2"/>
      <c r="O1451" s="2"/>
      <c r="P1451" s="2"/>
    </row>
    <row r="1452" spans="1:16" x14ac:dyDescent="0.4">
      <c r="A1452">
        <v>2013</v>
      </c>
      <c r="B1452" s="2" t="s">
        <v>671</v>
      </c>
      <c r="C1452" s="2" t="s">
        <v>728</v>
      </c>
      <c r="D1452" s="2" t="s">
        <v>300</v>
      </c>
      <c r="E1452" s="67" t="s">
        <v>305</v>
      </c>
      <c r="F1452" s="12">
        <v>40</v>
      </c>
      <c r="G1452" s="12">
        <v>26</v>
      </c>
      <c r="H1452" s="12">
        <v>14</v>
      </c>
      <c r="J1452" s="2"/>
      <c r="K1452" s="2"/>
      <c r="L1452" s="2"/>
      <c r="M1452" s="2"/>
      <c r="N1452" s="2"/>
      <c r="O1452" s="2"/>
      <c r="P1452" s="2"/>
    </row>
    <row r="1453" spans="1:16" x14ac:dyDescent="0.4">
      <c r="A1453">
        <v>2013</v>
      </c>
      <c r="B1453" s="2" t="s">
        <v>672</v>
      </c>
      <c r="C1453" s="2" t="s">
        <v>728</v>
      </c>
      <c r="D1453" s="2" t="s">
        <v>300</v>
      </c>
      <c r="E1453" s="67" t="s">
        <v>306</v>
      </c>
      <c r="F1453" s="12">
        <v>248</v>
      </c>
      <c r="G1453" s="12">
        <v>165</v>
      </c>
      <c r="H1453" s="12">
        <v>83</v>
      </c>
      <c r="J1453" s="2"/>
      <c r="K1453" s="2"/>
      <c r="L1453" s="2"/>
      <c r="M1453" s="2"/>
      <c r="N1453" s="2"/>
      <c r="O1453" s="2"/>
      <c r="P1453" s="2"/>
    </row>
    <row r="1454" spans="1:16" x14ac:dyDescent="0.4">
      <c r="A1454">
        <v>2013</v>
      </c>
      <c r="B1454" s="2" t="s">
        <v>673</v>
      </c>
      <c r="C1454" s="2" t="s">
        <v>728</v>
      </c>
      <c r="D1454" s="2" t="s">
        <v>300</v>
      </c>
      <c r="E1454" s="67" t="s">
        <v>307</v>
      </c>
      <c r="F1454" s="12">
        <v>268</v>
      </c>
      <c r="G1454" s="12">
        <v>169</v>
      </c>
      <c r="H1454" s="12">
        <v>99</v>
      </c>
      <c r="J1454" s="2"/>
      <c r="K1454" s="2"/>
      <c r="L1454" s="2"/>
      <c r="M1454" s="2"/>
      <c r="N1454" s="2"/>
      <c r="O1454" s="2"/>
      <c r="P1454" s="2"/>
    </row>
    <row r="1455" spans="1:16" x14ac:dyDescent="0.4">
      <c r="A1455">
        <v>2013</v>
      </c>
      <c r="B1455" s="2" t="s">
        <v>674</v>
      </c>
      <c r="C1455" s="2" t="s">
        <v>728</v>
      </c>
      <c r="D1455" s="2" t="s">
        <v>300</v>
      </c>
      <c r="E1455" s="67" t="s">
        <v>308</v>
      </c>
      <c r="F1455" s="12">
        <v>1520</v>
      </c>
      <c r="G1455" s="12">
        <v>855</v>
      </c>
      <c r="H1455" s="12">
        <v>665</v>
      </c>
      <c r="J1455" s="2"/>
      <c r="K1455" s="2"/>
      <c r="L1455" s="2"/>
      <c r="M1455" s="2"/>
      <c r="N1455" s="2"/>
      <c r="O1455" s="2"/>
      <c r="P1455" s="2"/>
    </row>
    <row r="1456" spans="1:16" x14ac:dyDescent="0.4">
      <c r="A1456">
        <v>2013</v>
      </c>
      <c r="B1456" s="2" t="s">
        <v>675</v>
      </c>
      <c r="C1456" s="2" t="s">
        <v>728</v>
      </c>
      <c r="D1456" s="2" t="s">
        <v>300</v>
      </c>
      <c r="E1456" s="67" t="s">
        <v>51</v>
      </c>
      <c r="F1456" s="12">
        <v>37</v>
      </c>
      <c r="G1456" s="12">
        <v>25</v>
      </c>
      <c r="H1456" s="12">
        <v>12</v>
      </c>
      <c r="J1456" s="2"/>
      <c r="K1456" s="2"/>
      <c r="L1456" s="2"/>
      <c r="M1456" s="2"/>
      <c r="N1456" s="2"/>
      <c r="O1456" s="2"/>
      <c r="P1456" s="2"/>
    </row>
    <row r="1457" spans="1:16" x14ac:dyDescent="0.4">
      <c r="A1457">
        <v>2013</v>
      </c>
      <c r="B1457" s="2" t="s">
        <v>676</v>
      </c>
      <c r="C1457" s="2" t="s">
        <v>728</v>
      </c>
      <c r="D1457" s="2" t="s">
        <v>300</v>
      </c>
      <c r="E1457" s="67" t="s">
        <v>309</v>
      </c>
      <c r="F1457" s="12">
        <v>51</v>
      </c>
      <c r="G1457" s="12">
        <v>35</v>
      </c>
      <c r="H1457" s="12">
        <v>16</v>
      </c>
      <c r="J1457" s="2"/>
      <c r="K1457" s="2"/>
      <c r="L1457" s="2"/>
      <c r="M1457" s="2"/>
      <c r="N1457" s="2"/>
      <c r="O1457" s="2"/>
      <c r="P1457" s="2"/>
    </row>
    <row r="1458" spans="1:16" x14ac:dyDescent="0.4">
      <c r="A1458">
        <v>2013</v>
      </c>
      <c r="B1458" s="2" t="s">
        <v>677</v>
      </c>
      <c r="C1458" s="2" t="s">
        <v>728</v>
      </c>
      <c r="D1458" s="2" t="s">
        <v>300</v>
      </c>
      <c r="E1458" s="67" t="s">
        <v>310</v>
      </c>
      <c r="F1458" s="12">
        <v>74</v>
      </c>
      <c r="G1458" s="12">
        <v>56</v>
      </c>
      <c r="H1458" s="12">
        <v>18</v>
      </c>
      <c r="J1458" s="2"/>
      <c r="K1458" s="2"/>
      <c r="L1458" s="2"/>
      <c r="M1458" s="2"/>
      <c r="N1458" s="2"/>
      <c r="O1458" s="2"/>
      <c r="P1458" s="2"/>
    </row>
    <row r="1459" spans="1:16" x14ac:dyDescent="0.4">
      <c r="A1459">
        <v>2013</v>
      </c>
      <c r="B1459" s="2" t="s">
        <v>678</v>
      </c>
      <c r="C1459" s="2" t="s">
        <v>729</v>
      </c>
      <c r="D1459" s="2" t="s">
        <v>312</v>
      </c>
      <c r="E1459" s="67" t="s">
        <v>311</v>
      </c>
      <c r="F1459" s="12">
        <v>34</v>
      </c>
      <c r="G1459" s="12">
        <v>18</v>
      </c>
      <c r="H1459" s="12">
        <v>16</v>
      </c>
      <c r="J1459" s="2"/>
      <c r="K1459" s="2"/>
      <c r="L1459" s="2"/>
      <c r="M1459" s="2"/>
      <c r="N1459" s="2"/>
      <c r="O1459" s="2"/>
      <c r="P1459" s="2"/>
    </row>
    <row r="1460" spans="1:16" x14ac:dyDescent="0.4">
      <c r="A1460">
        <v>2013</v>
      </c>
      <c r="B1460" s="2" t="s">
        <v>679</v>
      </c>
      <c r="C1460" s="2" t="s">
        <v>729</v>
      </c>
      <c r="D1460" s="2" t="s">
        <v>312</v>
      </c>
      <c r="E1460" s="67" t="s">
        <v>313</v>
      </c>
      <c r="F1460" s="12">
        <v>298</v>
      </c>
      <c r="G1460" s="12">
        <v>211</v>
      </c>
      <c r="H1460" s="12">
        <v>87</v>
      </c>
      <c r="J1460" s="2"/>
      <c r="K1460" s="2"/>
      <c r="L1460" s="2"/>
      <c r="M1460" s="2"/>
      <c r="N1460" s="2"/>
      <c r="O1460" s="2"/>
      <c r="P1460" s="2"/>
    </row>
    <row r="1461" spans="1:16" x14ac:dyDescent="0.4">
      <c r="A1461">
        <v>2013</v>
      </c>
      <c r="B1461" s="2" t="s">
        <v>680</v>
      </c>
      <c r="C1461" s="2" t="s">
        <v>729</v>
      </c>
      <c r="D1461" s="2" t="s">
        <v>312</v>
      </c>
      <c r="E1461" s="67" t="s">
        <v>314</v>
      </c>
      <c r="F1461" s="12">
        <v>1443</v>
      </c>
      <c r="G1461" s="12">
        <v>820</v>
      </c>
      <c r="H1461" s="12">
        <v>623</v>
      </c>
      <c r="J1461" s="2"/>
      <c r="K1461" s="2"/>
      <c r="L1461" s="2"/>
      <c r="M1461" s="2"/>
      <c r="N1461" s="2"/>
      <c r="O1461" s="2"/>
      <c r="P1461" s="2"/>
    </row>
    <row r="1462" spans="1:16" x14ac:dyDescent="0.4">
      <c r="A1462">
        <v>2013</v>
      </c>
      <c r="B1462" s="2" t="s">
        <v>681</v>
      </c>
      <c r="C1462" s="2" t="s">
        <v>729</v>
      </c>
      <c r="D1462" s="2" t="s">
        <v>312</v>
      </c>
      <c r="E1462" s="67" t="s">
        <v>315</v>
      </c>
      <c r="F1462" s="12">
        <v>99</v>
      </c>
      <c r="G1462" s="12">
        <v>68</v>
      </c>
      <c r="H1462" s="12">
        <v>31</v>
      </c>
      <c r="J1462" s="2"/>
      <c r="K1462" s="2"/>
      <c r="L1462" s="2"/>
      <c r="M1462" s="2"/>
      <c r="N1462" s="2"/>
      <c r="O1462" s="2"/>
      <c r="P1462" s="2"/>
    </row>
    <row r="1463" spans="1:16" x14ac:dyDescent="0.4">
      <c r="A1463">
        <v>2013</v>
      </c>
      <c r="B1463" s="2" t="s">
        <v>682</v>
      </c>
      <c r="C1463" s="2" t="s">
        <v>729</v>
      </c>
      <c r="D1463" s="2" t="s">
        <v>312</v>
      </c>
      <c r="E1463" s="67" t="s">
        <v>316</v>
      </c>
      <c r="F1463" s="12">
        <v>509</v>
      </c>
      <c r="G1463" s="12">
        <v>327</v>
      </c>
      <c r="H1463" s="12">
        <v>182</v>
      </c>
      <c r="J1463" s="2"/>
      <c r="K1463" s="2"/>
      <c r="L1463" s="2"/>
      <c r="M1463" s="2"/>
      <c r="N1463" s="2"/>
      <c r="O1463" s="2"/>
      <c r="P1463" s="2"/>
    </row>
    <row r="1464" spans="1:16" x14ac:dyDescent="0.4">
      <c r="A1464">
        <v>2013</v>
      </c>
      <c r="B1464" s="2" t="s">
        <v>683</v>
      </c>
      <c r="C1464" s="2" t="s">
        <v>729</v>
      </c>
      <c r="D1464" s="2" t="s">
        <v>312</v>
      </c>
      <c r="E1464" s="67" t="s">
        <v>317</v>
      </c>
      <c r="F1464" s="12">
        <v>75</v>
      </c>
      <c r="G1464" s="12">
        <v>55</v>
      </c>
      <c r="H1464" s="12">
        <v>20</v>
      </c>
      <c r="J1464" s="2"/>
      <c r="K1464" s="2"/>
      <c r="L1464" s="2"/>
      <c r="M1464" s="2"/>
      <c r="N1464" s="2"/>
      <c r="O1464" s="2"/>
      <c r="P1464" s="2"/>
    </row>
    <row r="1465" spans="1:16" x14ac:dyDescent="0.4">
      <c r="A1465">
        <v>2013</v>
      </c>
      <c r="B1465" s="2" t="s">
        <v>684</v>
      </c>
      <c r="C1465" s="2" t="s">
        <v>729</v>
      </c>
      <c r="D1465" s="2" t="s">
        <v>312</v>
      </c>
      <c r="E1465" s="67" t="s">
        <v>318</v>
      </c>
      <c r="F1465" s="12">
        <v>378</v>
      </c>
      <c r="G1465" s="12">
        <v>255</v>
      </c>
      <c r="H1465" s="12">
        <v>123</v>
      </c>
      <c r="J1465" s="2"/>
      <c r="K1465" s="2"/>
      <c r="L1465" s="2"/>
      <c r="M1465" s="2"/>
      <c r="N1465" s="2"/>
      <c r="O1465" s="2"/>
      <c r="P1465" s="2"/>
    </row>
    <row r="1466" spans="1:16" x14ac:dyDescent="0.4">
      <c r="A1466">
        <v>2013</v>
      </c>
      <c r="B1466" s="2" t="s">
        <v>685</v>
      </c>
      <c r="C1466" s="2" t="s">
        <v>729</v>
      </c>
      <c r="D1466" s="2" t="s">
        <v>312</v>
      </c>
      <c r="E1466" s="67" t="s">
        <v>319</v>
      </c>
      <c r="F1466" s="12">
        <v>117</v>
      </c>
      <c r="G1466" s="12">
        <v>83</v>
      </c>
      <c r="H1466" s="12">
        <v>34</v>
      </c>
      <c r="J1466" s="2"/>
      <c r="K1466" s="2"/>
      <c r="L1466" s="2"/>
      <c r="M1466" s="2"/>
      <c r="N1466" s="2"/>
      <c r="O1466" s="2"/>
      <c r="P1466" s="2"/>
    </row>
    <row r="1467" spans="1:16" x14ac:dyDescent="0.4">
      <c r="A1467">
        <v>2013</v>
      </c>
      <c r="B1467" s="2" t="s">
        <v>686</v>
      </c>
      <c r="C1467" s="2" t="s">
        <v>729</v>
      </c>
      <c r="D1467" s="2" t="s">
        <v>312</v>
      </c>
      <c r="E1467" s="67" t="s">
        <v>320</v>
      </c>
      <c r="F1467" s="12">
        <v>259</v>
      </c>
      <c r="G1467" s="12">
        <v>192</v>
      </c>
      <c r="H1467" s="12">
        <v>67</v>
      </c>
      <c r="J1467" s="2"/>
      <c r="K1467" s="2"/>
      <c r="L1467" s="2"/>
      <c r="M1467" s="2"/>
      <c r="N1467" s="2"/>
      <c r="O1467" s="2"/>
      <c r="P1467" s="2"/>
    </row>
    <row r="1468" spans="1:16" x14ac:dyDescent="0.4">
      <c r="A1468">
        <v>2013</v>
      </c>
      <c r="B1468" s="2" t="s">
        <v>687</v>
      </c>
      <c r="C1468" s="2" t="s">
        <v>729</v>
      </c>
      <c r="D1468" s="2" t="s">
        <v>312</v>
      </c>
      <c r="E1468" s="67" t="s">
        <v>321</v>
      </c>
      <c r="F1468" s="12">
        <v>1240</v>
      </c>
      <c r="G1468" s="12">
        <v>736</v>
      </c>
      <c r="H1468" s="12">
        <v>504</v>
      </c>
      <c r="J1468" s="2"/>
      <c r="K1468" s="2"/>
      <c r="L1468" s="2"/>
      <c r="M1468" s="2"/>
      <c r="N1468" s="2"/>
      <c r="O1468" s="2"/>
      <c r="P1468" s="2"/>
    </row>
    <row r="1469" spans="1:16" x14ac:dyDescent="0.4">
      <c r="A1469">
        <v>2013</v>
      </c>
      <c r="B1469" s="2" t="s">
        <v>688</v>
      </c>
      <c r="C1469" s="2" t="s">
        <v>729</v>
      </c>
      <c r="D1469" s="2" t="s">
        <v>312</v>
      </c>
      <c r="E1469" s="67" t="s">
        <v>322</v>
      </c>
      <c r="F1469" s="12">
        <v>459</v>
      </c>
      <c r="G1469" s="12">
        <v>296</v>
      </c>
      <c r="H1469" s="12">
        <v>163</v>
      </c>
      <c r="J1469" s="2"/>
      <c r="K1469" s="2"/>
      <c r="L1469" s="2"/>
      <c r="M1469" s="2"/>
      <c r="N1469" s="2"/>
      <c r="O1469" s="2"/>
      <c r="P1469" s="2"/>
    </row>
    <row r="1470" spans="1:16" x14ac:dyDescent="0.4">
      <c r="A1470">
        <v>2013</v>
      </c>
      <c r="B1470" s="2" t="s">
        <v>689</v>
      </c>
      <c r="C1470" s="2" t="s">
        <v>729</v>
      </c>
      <c r="D1470" s="2" t="s">
        <v>312</v>
      </c>
      <c r="E1470" s="67" t="s">
        <v>323</v>
      </c>
      <c r="F1470" s="12">
        <v>674</v>
      </c>
      <c r="G1470" s="12">
        <v>426</v>
      </c>
      <c r="H1470" s="12">
        <v>248</v>
      </c>
      <c r="J1470" s="2"/>
      <c r="K1470" s="2"/>
      <c r="L1470" s="2"/>
      <c r="M1470" s="2"/>
      <c r="N1470" s="2"/>
      <c r="O1470" s="2"/>
      <c r="P1470" s="2"/>
    </row>
    <row r="1471" spans="1:16" x14ac:dyDescent="0.4">
      <c r="A1471">
        <v>2013</v>
      </c>
      <c r="B1471" s="2" t="s">
        <v>690</v>
      </c>
      <c r="C1471" s="2" t="s">
        <v>729</v>
      </c>
      <c r="D1471" s="2" t="s">
        <v>312</v>
      </c>
      <c r="E1471" s="67" t="s">
        <v>324</v>
      </c>
      <c r="F1471" s="12">
        <v>10564</v>
      </c>
      <c r="G1471" s="12">
        <v>5938</v>
      </c>
      <c r="H1471" s="12">
        <v>4626</v>
      </c>
      <c r="J1471" s="2"/>
      <c r="K1471" s="2"/>
      <c r="L1471" s="2"/>
      <c r="M1471" s="2"/>
      <c r="N1471" s="2"/>
      <c r="O1471" s="2"/>
      <c r="P1471" s="2"/>
    </row>
    <row r="1472" spans="1:16" x14ac:dyDescent="0.4">
      <c r="A1472">
        <v>2013</v>
      </c>
      <c r="B1472" s="2" t="s">
        <v>691</v>
      </c>
      <c r="C1472" s="2" t="s">
        <v>729</v>
      </c>
      <c r="D1472" s="2" t="s">
        <v>312</v>
      </c>
      <c r="E1472" s="67" t="s">
        <v>85</v>
      </c>
      <c r="F1472" s="12">
        <v>356</v>
      </c>
      <c r="G1472" s="12">
        <v>247</v>
      </c>
      <c r="H1472" s="12">
        <v>109</v>
      </c>
      <c r="J1472" s="2"/>
      <c r="K1472" s="2"/>
      <c r="L1472" s="2"/>
      <c r="M1472" s="2"/>
      <c r="N1472" s="2"/>
      <c r="O1472" s="2"/>
      <c r="P1472" s="2"/>
    </row>
    <row r="1473" spans="1:16" x14ac:dyDescent="0.4">
      <c r="A1473">
        <v>2013</v>
      </c>
      <c r="B1473" s="2" t="s">
        <v>692</v>
      </c>
      <c r="C1473" s="2" t="s">
        <v>729</v>
      </c>
      <c r="D1473" s="2" t="s">
        <v>312</v>
      </c>
      <c r="E1473" s="67" t="s">
        <v>32</v>
      </c>
      <c r="F1473" s="12">
        <v>164</v>
      </c>
      <c r="G1473" s="12">
        <v>94</v>
      </c>
      <c r="H1473" s="12">
        <v>70</v>
      </c>
      <c r="J1473" s="2"/>
      <c r="K1473" s="2"/>
      <c r="L1473" s="2"/>
      <c r="M1473" s="2"/>
      <c r="N1473" s="2"/>
      <c r="O1473" s="2"/>
      <c r="P1473" s="2"/>
    </row>
    <row r="1474" spans="1:16" x14ac:dyDescent="0.4">
      <c r="A1474">
        <v>2013</v>
      </c>
      <c r="B1474" s="2" t="s">
        <v>693</v>
      </c>
      <c r="C1474" s="2" t="s">
        <v>729</v>
      </c>
      <c r="D1474" s="2" t="s">
        <v>312</v>
      </c>
      <c r="E1474" s="67" t="s">
        <v>325</v>
      </c>
      <c r="F1474" s="12">
        <v>319</v>
      </c>
      <c r="G1474" s="12">
        <v>201</v>
      </c>
      <c r="H1474" s="12">
        <v>118</v>
      </c>
      <c r="J1474" s="2"/>
      <c r="K1474" s="2"/>
      <c r="L1474" s="2"/>
      <c r="M1474" s="2"/>
      <c r="N1474" s="2"/>
      <c r="O1474" s="2"/>
      <c r="P1474" s="2"/>
    </row>
    <row r="1475" spans="1:16" x14ac:dyDescent="0.4">
      <c r="A1475">
        <v>2013</v>
      </c>
      <c r="B1475" s="2" t="s">
        <v>694</v>
      </c>
      <c r="C1475" s="2" t="s">
        <v>729</v>
      </c>
      <c r="D1475" s="2" t="s">
        <v>312</v>
      </c>
      <c r="E1475" s="67" t="s">
        <v>144</v>
      </c>
      <c r="F1475" s="12">
        <v>1412</v>
      </c>
      <c r="G1475" s="12">
        <v>835</v>
      </c>
      <c r="H1475" s="12">
        <v>577</v>
      </c>
      <c r="J1475" s="2"/>
      <c r="K1475" s="2"/>
      <c r="L1475" s="2"/>
      <c r="M1475" s="2"/>
      <c r="N1475" s="2"/>
      <c r="O1475" s="2"/>
      <c r="P1475" s="2"/>
    </row>
    <row r="1476" spans="1:16" x14ac:dyDescent="0.4">
      <c r="A1476">
        <v>2013</v>
      </c>
      <c r="B1476" s="2" t="s">
        <v>695</v>
      </c>
      <c r="C1476" s="2" t="s">
        <v>729</v>
      </c>
      <c r="D1476" s="2" t="s">
        <v>312</v>
      </c>
      <c r="E1476" s="67" t="s">
        <v>326</v>
      </c>
      <c r="F1476" s="12">
        <v>175</v>
      </c>
      <c r="G1476" s="12">
        <v>122</v>
      </c>
      <c r="H1476" s="12">
        <v>53</v>
      </c>
      <c r="J1476" s="2"/>
      <c r="K1476" s="2"/>
      <c r="L1476" s="2"/>
      <c r="M1476" s="2"/>
      <c r="N1476" s="2"/>
      <c r="O1476" s="2"/>
      <c r="P1476" s="2"/>
    </row>
    <row r="1477" spans="1:16" x14ac:dyDescent="0.4">
      <c r="A1477">
        <v>2013</v>
      </c>
      <c r="B1477" s="2" t="s">
        <v>696</v>
      </c>
      <c r="C1477" s="2" t="s">
        <v>729</v>
      </c>
      <c r="D1477" s="2" t="s">
        <v>312</v>
      </c>
      <c r="E1477" s="67" t="s">
        <v>25</v>
      </c>
      <c r="F1477" s="12">
        <v>89</v>
      </c>
      <c r="G1477" s="12">
        <v>65</v>
      </c>
      <c r="H1477" s="12">
        <v>24</v>
      </c>
      <c r="J1477" s="2"/>
      <c r="K1477" s="2"/>
      <c r="L1477" s="2"/>
      <c r="M1477" s="2"/>
      <c r="N1477" s="2"/>
      <c r="O1477" s="2"/>
      <c r="P1477" s="2"/>
    </row>
    <row r="1478" spans="1:16" x14ac:dyDescent="0.4">
      <c r="A1478">
        <v>2013</v>
      </c>
      <c r="B1478" s="2" t="s">
        <v>697</v>
      </c>
      <c r="C1478" s="2" t="s">
        <v>729</v>
      </c>
      <c r="D1478" s="2" t="s">
        <v>312</v>
      </c>
      <c r="E1478" s="67" t="s">
        <v>51</v>
      </c>
      <c r="F1478" s="12">
        <v>219</v>
      </c>
      <c r="G1478" s="12">
        <v>155</v>
      </c>
      <c r="H1478" s="12">
        <v>64</v>
      </c>
      <c r="J1478" s="2"/>
      <c r="K1478" s="2"/>
      <c r="L1478" s="2"/>
      <c r="M1478" s="2"/>
      <c r="N1478" s="2"/>
      <c r="O1478" s="2"/>
      <c r="P1478" s="2"/>
    </row>
    <row r="1479" spans="1:16" x14ac:dyDescent="0.4">
      <c r="A1479">
        <v>2013</v>
      </c>
      <c r="B1479" s="2" t="s">
        <v>698</v>
      </c>
      <c r="C1479" s="2" t="s">
        <v>729</v>
      </c>
      <c r="D1479" s="2" t="s">
        <v>312</v>
      </c>
      <c r="E1479" s="67" t="s">
        <v>327</v>
      </c>
      <c r="F1479" s="12">
        <v>150</v>
      </c>
      <c r="G1479" s="12">
        <v>95</v>
      </c>
      <c r="H1479" s="12">
        <v>55</v>
      </c>
      <c r="J1479" s="2"/>
      <c r="K1479" s="2"/>
      <c r="L1479" s="2"/>
      <c r="M1479" s="2"/>
      <c r="N1479" s="2"/>
      <c r="O1479" s="2"/>
      <c r="P1479" s="2"/>
    </row>
    <row r="1480" spans="1:16" x14ac:dyDescent="0.4">
      <c r="A1480">
        <v>2013</v>
      </c>
      <c r="B1480" s="2" t="s">
        <v>733</v>
      </c>
      <c r="C1480" s="2" t="s">
        <v>715</v>
      </c>
      <c r="D1480" s="2" t="s">
        <v>734</v>
      </c>
      <c r="E1480" s="67" t="s">
        <v>735</v>
      </c>
      <c r="F1480" s="12">
        <v>2</v>
      </c>
      <c r="G1480" s="12">
        <v>2</v>
      </c>
      <c r="H1480" s="12" t="s">
        <v>142</v>
      </c>
      <c r="J1480" s="2"/>
      <c r="K1480" s="2"/>
      <c r="L1480" s="2"/>
      <c r="M1480" s="2"/>
      <c r="N1480" s="2"/>
      <c r="O1480" s="2"/>
      <c r="P1480" s="2"/>
    </row>
    <row r="1481" spans="1:16" x14ac:dyDescent="0.4">
      <c r="A1481">
        <v>2012</v>
      </c>
      <c r="B1481" s="5" t="str">
        <f>+C1481&amp;"-"&amp;E1481</f>
        <v>VA-Municipio Autónomo Vargas</v>
      </c>
      <c r="C1481" s="5" t="str">
        <f>+MID(D1481,1,2)</f>
        <v>VA</v>
      </c>
      <c r="D1481" s="25" t="s">
        <v>288</v>
      </c>
      <c r="E1481" s="64" t="s">
        <v>757</v>
      </c>
      <c r="F1481" s="2">
        <v>0</v>
      </c>
      <c r="G1481" s="2">
        <v>0</v>
      </c>
      <c r="H1481" s="2">
        <v>0</v>
      </c>
      <c r="J1481" s="2"/>
      <c r="K1481" s="2"/>
      <c r="L1481" s="2"/>
      <c r="M1481" s="2"/>
      <c r="N1481" s="2"/>
      <c r="O1481" s="2"/>
      <c r="P1481" s="2"/>
    </row>
    <row r="1482" spans="1:16" x14ac:dyDescent="0.4">
      <c r="A1482">
        <v>2012</v>
      </c>
      <c r="B1482" s="5" t="str">
        <f>+C1482&amp;"-"&amp;E1482</f>
        <v>DI-Municipio Autónomo Libertador</v>
      </c>
      <c r="C1482" s="5" t="str">
        <f>+MID(D1482,1,2)</f>
        <v>DI</v>
      </c>
      <c r="D1482" s="25" t="s">
        <v>106</v>
      </c>
      <c r="E1482" s="64" t="s">
        <v>756</v>
      </c>
      <c r="F1482" s="2">
        <v>0</v>
      </c>
      <c r="G1482" s="2">
        <v>0</v>
      </c>
      <c r="H1482" s="2">
        <v>0</v>
      </c>
      <c r="J1482" s="2"/>
      <c r="K1482" s="2"/>
      <c r="L1482" s="2"/>
      <c r="M1482" s="2"/>
      <c r="N1482" s="2"/>
      <c r="O1482" s="2"/>
      <c r="P1482" s="2"/>
    </row>
    <row r="1483" spans="1:16" x14ac:dyDescent="0.4">
      <c r="A1483">
        <v>2012</v>
      </c>
      <c r="B1483" s="2" t="s">
        <v>335</v>
      </c>
      <c r="C1483" s="2" t="s">
        <v>706</v>
      </c>
      <c r="D1483" s="2" t="s">
        <v>106</v>
      </c>
      <c r="E1483" s="67" t="s">
        <v>105</v>
      </c>
      <c r="F1483" s="12">
        <v>123</v>
      </c>
      <c r="G1483" s="12">
        <v>72</v>
      </c>
      <c r="H1483" s="12">
        <v>51</v>
      </c>
      <c r="J1483" s="2"/>
      <c r="K1483" s="2"/>
      <c r="L1483" s="2"/>
      <c r="M1483" s="2"/>
      <c r="N1483" s="2"/>
      <c r="O1483" s="2"/>
      <c r="P1483" s="2"/>
    </row>
    <row r="1484" spans="1:16" x14ac:dyDescent="0.4">
      <c r="A1484">
        <v>2012</v>
      </c>
      <c r="B1484" s="2" t="s">
        <v>336</v>
      </c>
      <c r="C1484" s="2" t="s">
        <v>706</v>
      </c>
      <c r="D1484" s="2" t="s">
        <v>106</v>
      </c>
      <c r="E1484" s="67" t="s">
        <v>107</v>
      </c>
      <c r="F1484" s="12">
        <v>479</v>
      </c>
      <c r="G1484" s="12">
        <v>336</v>
      </c>
      <c r="H1484" s="12">
        <v>143</v>
      </c>
      <c r="J1484" s="2"/>
      <c r="K1484" s="2"/>
      <c r="L1484" s="2"/>
      <c r="M1484" s="2"/>
      <c r="N1484" s="2"/>
      <c r="O1484" s="2"/>
      <c r="P1484" s="2"/>
    </row>
    <row r="1485" spans="1:16" x14ac:dyDescent="0.4">
      <c r="A1485">
        <v>2012</v>
      </c>
      <c r="B1485" s="2" t="s">
        <v>337</v>
      </c>
      <c r="C1485" s="2" t="s">
        <v>706</v>
      </c>
      <c r="D1485" s="2" t="s">
        <v>106</v>
      </c>
      <c r="E1485" s="67" t="s">
        <v>108</v>
      </c>
      <c r="F1485" s="12">
        <v>230</v>
      </c>
      <c r="G1485" s="12">
        <v>138</v>
      </c>
      <c r="H1485" s="12">
        <v>92</v>
      </c>
      <c r="J1485" s="2"/>
      <c r="K1485" s="2"/>
      <c r="L1485" s="2"/>
      <c r="M1485" s="2"/>
      <c r="N1485" s="2"/>
      <c r="O1485" s="2"/>
      <c r="P1485" s="2"/>
    </row>
    <row r="1486" spans="1:16" x14ac:dyDescent="0.4">
      <c r="A1486">
        <v>2012</v>
      </c>
      <c r="B1486" s="2" t="s">
        <v>338</v>
      </c>
      <c r="C1486" s="2" t="s">
        <v>706</v>
      </c>
      <c r="D1486" s="2" t="s">
        <v>106</v>
      </c>
      <c r="E1486" s="67" t="s">
        <v>109</v>
      </c>
      <c r="F1486" s="12">
        <v>416</v>
      </c>
      <c r="G1486" s="12">
        <v>243</v>
      </c>
      <c r="H1486" s="12">
        <v>173</v>
      </c>
      <c r="J1486" s="2"/>
      <c r="K1486" s="2"/>
      <c r="L1486" s="2"/>
      <c r="M1486" s="2"/>
      <c r="N1486" s="2"/>
      <c r="O1486" s="2"/>
      <c r="P1486" s="2"/>
    </row>
    <row r="1487" spans="1:16" x14ac:dyDescent="0.4">
      <c r="A1487">
        <v>2012</v>
      </c>
      <c r="B1487" s="2" t="s">
        <v>339</v>
      </c>
      <c r="C1487" s="2" t="s">
        <v>706</v>
      </c>
      <c r="D1487" s="2" t="s">
        <v>106</v>
      </c>
      <c r="E1487" s="67" t="s">
        <v>110</v>
      </c>
      <c r="F1487" s="12">
        <v>52</v>
      </c>
      <c r="G1487" s="12">
        <v>28</v>
      </c>
      <c r="H1487" s="12">
        <v>24</v>
      </c>
      <c r="J1487" s="2"/>
      <c r="K1487" s="2"/>
      <c r="L1487" s="2"/>
      <c r="M1487" s="2"/>
      <c r="N1487" s="2"/>
      <c r="O1487" s="2"/>
      <c r="P1487" s="2"/>
    </row>
    <row r="1488" spans="1:16" x14ac:dyDescent="0.4">
      <c r="A1488">
        <v>2012</v>
      </c>
      <c r="B1488" s="2" t="s">
        <v>340</v>
      </c>
      <c r="C1488" s="2" t="s">
        <v>706</v>
      </c>
      <c r="D1488" s="2" t="s">
        <v>106</v>
      </c>
      <c r="E1488" s="67" t="s">
        <v>111</v>
      </c>
      <c r="F1488" s="12">
        <v>430</v>
      </c>
      <c r="G1488" s="12">
        <v>316</v>
      </c>
      <c r="H1488" s="12">
        <v>114</v>
      </c>
      <c r="J1488" s="2"/>
      <c r="K1488" s="2"/>
      <c r="L1488" s="2"/>
      <c r="M1488" s="2"/>
      <c r="N1488" s="2"/>
      <c r="O1488" s="2"/>
      <c r="P1488" s="2"/>
    </row>
    <row r="1489" spans="1:16" x14ac:dyDescent="0.4">
      <c r="A1489">
        <v>2012</v>
      </c>
      <c r="B1489" s="2" t="s">
        <v>341</v>
      </c>
      <c r="C1489" s="2" t="s">
        <v>706</v>
      </c>
      <c r="D1489" s="2" t="s">
        <v>106</v>
      </c>
      <c r="E1489" s="67" t="s">
        <v>112</v>
      </c>
      <c r="F1489" s="12">
        <v>169</v>
      </c>
      <c r="G1489" s="12">
        <v>113</v>
      </c>
      <c r="H1489" s="12">
        <v>56</v>
      </c>
      <c r="J1489" s="2"/>
      <c r="K1489" s="2"/>
      <c r="L1489" s="2"/>
      <c r="M1489" s="2"/>
      <c r="N1489" s="2"/>
      <c r="O1489" s="2"/>
      <c r="P1489" s="2"/>
    </row>
    <row r="1490" spans="1:16" x14ac:dyDescent="0.4">
      <c r="A1490">
        <v>2012</v>
      </c>
      <c r="B1490" s="2" t="s">
        <v>342</v>
      </c>
      <c r="C1490" s="2" t="s">
        <v>706</v>
      </c>
      <c r="D1490" s="2" t="s">
        <v>106</v>
      </c>
      <c r="E1490" s="67" t="s">
        <v>113</v>
      </c>
      <c r="F1490" s="12">
        <v>2728</v>
      </c>
      <c r="G1490" s="12">
        <v>1748</v>
      </c>
      <c r="H1490" s="12">
        <v>980</v>
      </c>
      <c r="J1490" s="2"/>
      <c r="K1490" s="2"/>
      <c r="L1490" s="2"/>
      <c r="M1490" s="2"/>
      <c r="N1490" s="2"/>
      <c r="O1490" s="2"/>
      <c r="P1490" s="2"/>
    </row>
    <row r="1491" spans="1:16" x14ac:dyDescent="0.4">
      <c r="A1491">
        <v>2012</v>
      </c>
      <c r="B1491" s="2" t="s">
        <v>343</v>
      </c>
      <c r="C1491" s="2" t="s">
        <v>706</v>
      </c>
      <c r="D1491" s="2" t="s">
        <v>106</v>
      </c>
      <c r="E1491" s="67" t="s">
        <v>114</v>
      </c>
      <c r="F1491" s="12">
        <v>684</v>
      </c>
      <c r="G1491" s="12">
        <v>394</v>
      </c>
      <c r="H1491" s="12">
        <v>290</v>
      </c>
      <c r="J1491" s="2"/>
      <c r="K1491" s="2"/>
      <c r="L1491" s="2"/>
      <c r="M1491" s="2"/>
      <c r="N1491" s="2"/>
      <c r="O1491" s="2"/>
      <c r="P1491" s="2"/>
    </row>
    <row r="1492" spans="1:16" x14ac:dyDescent="0.4">
      <c r="A1492">
        <v>2012</v>
      </c>
      <c r="B1492" s="2" t="s">
        <v>344</v>
      </c>
      <c r="C1492" s="2" t="s">
        <v>706</v>
      </c>
      <c r="D1492" s="2" t="s">
        <v>106</v>
      </c>
      <c r="E1492" s="67" t="s">
        <v>115</v>
      </c>
      <c r="F1492" s="12">
        <v>354</v>
      </c>
      <c r="G1492" s="12">
        <v>228</v>
      </c>
      <c r="H1492" s="12">
        <v>126</v>
      </c>
      <c r="J1492" s="2"/>
      <c r="K1492" s="2"/>
      <c r="L1492" s="2"/>
      <c r="M1492" s="2"/>
      <c r="N1492" s="2"/>
      <c r="O1492" s="2"/>
      <c r="P1492" s="2"/>
    </row>
    <row r="1493" spans="1:16" x14ac:dyDescent="0.4">
      <c r="A1493">
        <v>2012</v>
      </c>
      <c r="B1493" s="2" t="s">
        <v>345</v>
      </c>
      <c r="C1493" s="2" t="s">
        <v>706</v>
      </c>
      <c r="D1493" s="2" t="s">
        <v>106</v>
      </c>
      <c r="E1493" s="67" t="s">
        <v>116</v>
      </c>
      <c r="F1493" s="12">
        <v>479</v>
      </c>
      <c r="G1493" s="12">
        <v>319</v>
      </c>
      <c r="H1493" s="12">
        <v>160</v>
      </c>
      <c r="J1493" s="2"/>
      <c r="K1493" s="2"/>
      <c r="L1493" s="2"/>
      <c r="M1493" s="2"/>
      <c r="N1493" s="2"/>
      <c r="O1493" s="2"/>
      <c r="P1493" s="2"/>
    </row>
    <row r="1494" spans="1:16" x14ac:dyDescent="0.4">
      <c r="A1494">
        <v>2012</v>
      </c>
      <c r="B1494" s="2" t="s">
        <v>346</v>
      </c>
      <c r="C1494" s="2" t="s">
        <v>706</v>
      </c>
      <c r="D1494" s="2" t="s">
        <v>106</v>
      </c>
      <c r="E1494" s="67" t="s">
        <v>117</v>
      </c>
      <c r="F1494" s="12">
        <v>441</v>
      </c>
      <c r="G1494" s="12">
        <v>281</v>
      </c>
      <c r="H1494" s="12">
        <v>160</v>
      </c>
      <c r="J1494" s="2"/>
      <c r="K1494" s="2"/>
      <c r="L1494" s="2"/>
      <c r="M1494" s="2"/>
      <c r="N1494" s="2"/>
      <c r="O1494" s="2"/>
      <c r="P1494" s="2"/>
    </row>
    <row r="1495" spans="1:16" x14ac:dyDescent="0.4">
      <c r="A1495">
        <v>2012</v>
      </c>
      <c r="B1495" s="2" t="s">
        <v>347</v>
      </c>
      <c r="C1495" s="2" t="s">
        <v>706</v>
      </c>
      <c r="D1495" s="2" t="s">
        <v>106</v>
      </c>
      <c r="E1495" s="67" t="s">
        <v>118</v>
      </c>
      <c r="F1495" s="12">
        <v>199</v>
      </c>
      <c r="G1495" s="12">
        <v>133</v>
      </c>
      <c r="H1495" s="12">
        <v>66</v>
      </c>
      <c r="J1495" s="2"/>
      <c r="K1495" s="2"/>
      <c r="L1495" s="2"/>
      <c r="M1495" s="2"/>
      <c r="N1495" s="2"/>
      <c r="O1495" s="2"/>
      <c r="P1495" s="2"/>
    </row>
    <row r="1496" spans="1:16" x14ac:dyDescent="0.4">
      <c r="A1496">
        <v>2012</v>
      </c>
      <c r="B1496" s="2" t="s">
        <v>348</v>
      </c>
      <c r="C1496" s="2" t="s">
        <v>706</v>
      </c>
      <c r="D1496" s="2" t="s">
        <v>106</v>
      </c>
      <c r="E1496" s="67" t="s">
        <v>119</v>
      </c>
      <c r="F1496" s="12">
        <v>140</v>
      </c>
      <c r="G1496" s="12">
        <v>99</v>
      </c>
      <c r="H1496" s="12">
        <v>41</v>
      </c>
      <c r="J1496" s="2"/>
      <c r="K1496" s="2"/>
      <c r="L1496" s="2"/>
      <c r="M1496" s="2"/>
      <c r="N1496" s="2"/>
      <c r="O1496" s="2"/>
      <c r="P1496" s="2"/>
    </row>
    <row r="1497" spans="1:16" x14ac:dyDescent="0.4">
      <c r="A1497">
        <v>2012</v>
      </c>
      <c r="B1497" s="2" t="s">
        <v>349</v>
      </c>
      <c r="C1497" s="2" t="s">
        <v>706</v>
      </c>
      <c r="D1497" s="2" t="s">
        <v>106</v>
      </c>
      <c r="E1497" s="67" t="s">
        <v>120</v>
      </c>
      <c r="F1497" s="12">
        <v>1220</v>
      </c>
      <c r="G1497" s="12">
        <v>648</v>
      </c>
      <c r="H1497" s="12">
        <v>572</v>
      </c>
      <c r="J1497" s="2"/>
      <c r="K1497" s="2"/>
      <c r="L1497" s="2"/>
      <c r="M1497" s="2"/>
      <c r="N1497" s="2"/>
      <c r="O1497" s="2"/>
      <c r="P1497" s="2"/>
    </row>
    <row r="1498" spans="1:16" x14ac:dyDescent="0.4">
      <c r="A1498">
        <v>2012</v>
      </c>
      <c r="B1498" s="2" t="s">
        <v>350</v>
      </c>
      <c r="C1498" s="2" t="s">
        <v>706</v>
      </c>
      <c r="D1498" s="2" t="s">
        <v>106</v>
      </c>
      <c r="E1498" s="67" t="s">
        <v>121</v>
      </c>
      <c r="F1498" s="12">
        <v>1120</v>
      </c>
      <c r="G1498" s="12">
        <v>598</v>
      </c>
      <c r="H1498" s="12">
        <v>522</v>
      </c>
      <c r="J1498" s="2"/>
      <c r="K1498" s="2"/>
      <c r="L1498" s="2"/>
      <c r="M1498" s="2"/>
      <c r="N1498" s="2"/>
      <c r="O1498" s="2"/>
      <c r="P1498" s="2"/>
    </row>
    <row r="1499" spans="1:16" x14ac:dyDescent="0.4">
      <c r="A1499">
        <v>2012</v>
      </c>
      <c r="B1499" s="2" t="s">
        <v>351</v>
      </c>
      <c r="C1499" s="2" t="s">
        <v>706</v>
      </c>
      <c r="D1499" s="2" t="s">
        <v>106</v>
      </c>
      <c r="E1499" s="67" t="s">
        <v>122</v>
      </c>
      <c r="F1499" s="12">
        <v>2201</v>
      </c>
      <c r="G1499" s="12">
        <v>1284</v>
      </c>
      <c r="H1499" s="12">
        <v>917</v>
      </c>
      <c r="J1499" s="2"/>
      <c r="K1499" s="2"/>
      <c r="L1499" s="2"/>
      <c r="M1499" s="2"/>
      <c r="N1499" s="2"/>
      <c r="O1499" s="2"/>
      <c r="P1499" s="2"/>
    </row>
    <row r="1500" spans="1:16" x14ac:dyDescent="0.4">
      <c r="A1500">
        <v>2012</v>
      </c>
      <c r="B1500" s="7" t="s">
        <v>352</v>
      </c>
      <c r="C1500" s="7" t="s">
        <v>706</v>
      </c>
      <c r="D1500" s="7" t="s">
        <v>106</v>
      </c>
      <c r="E1500" s="69" t="s">
        <v>123</v>
      </c>
      <c r="F1500" s="11">
        <v>2415</v>
      </c>
      <c r="G1500" s="11">
        <v>1383</v>
      </c>
      <c r="H1500" s="12">
        <v>1032</v>
      </c>
      <c r="J1500" s="2"/>
      <c r="K1500" s="2"/>
      <c r="L1500" s="2"/>
      <c r="M1500" s="2"/>
      <c r="N1500" s="2"/>
      <c r="O1500" s="2"/>
      <c r="P1500" s="2"/>
    </row>
    <row r="1501" spans="1:16" x14ac:dyDescent="0.4">
      <c r="A1501">
        <v>2012</v>
      </c>
      <c r="B1501" s="2" t="s">
        <v>353</v>
      </c>
      <c r="C1501" s="2" t="s">
        <v>706</v>
      </c>
      <c r="D1501" s="2" t="s">
        <v>106</v>
      </c>
      <c r="E1501" s="67" t="s">
        <v>124</v>
      </c>
      <c r="F1501" s="12">
        <v>650</v>
      </c>
      <c r="G1501" s="12">
        <v>333</v>
      </c>
      <c r="H1501" s="12">
        <v>317</v>
      </c>
      <c r="J1501" s="2"/>
      <c r="K1501" s="2"/>
      <c r="L1501" s="2"/>
      <c r="M1501" s="2"/>
      <c r="N1501" s="2"/>
      <c r="O1501" s="2"/>
      <c r="P1501" s="2"/>
    </row>
    <row r="1502" spans="1:16" x14ac:dyDescent="0.4">
      <c r="A1502">
        <v>2012</v>
      </c>
      <c r="B1502" s="2" t="s">
        <v>354</v>
      </c>
      <c r="C1502" s="2" t="s">
        <v>706</v>
      </c>
      <c r="D1502" s="2" t="s">
        <v>106</v>
      </c>
      <c r="E1502" s="67" t="s">
        <v>125</v>
      </c>
      <c r="F1502" s="12">
        <v>68</v>
      </c>
      <c r="G1502" s="12">
        <v>44</v>
      </c>
      <c r="H1502" s="12">
        <v>24</v>
      </c>
      <c r="J1502" s="2"/>
      <c r="K1502" s="2"/>
      <c r="L1502" s="2"/>
      <c r="M1502" s="2"/>
      <c r="N1502" s="2"/>
      <c r="O1502" s="2"/>
      <c r="P1502" s="2"/>
    </row>
    <row r="1503" spans="1:16" x14ac:dyDescent="0.4">
      <c r="A1503">
        <v>2012</v>
      </c>
      <c r="B1503" s="2" t="s">
        <v>355</v>
      </c>
      <c r="C1503" s="2" t="s">
        <v>706</v>
      </c>
      <c r="D1503" s="2" t="s">
        <v>106</v>
      </c>
      <c r="E1503" s="67" t="s">
        <v>126</v>
      </c>
      <c r="F1503" s="12">
        <v>1503</v>
      </c>
      <c r="G1503" s="12">
        <v>971</v>
      </c>
      <c r="H1503" s="12">
        <v>532</v>
      </c>
      <c r="J1503" s="2"/>
      <c r="K1503" s="2"/>
      <c r="L1503" s="2"/>
      <c r="M1503" s="2"/>
      <c r="N1503" s="2"/>
      <c r="O1503" s="2"/>
      <c r="P1503" s="2"/>
    </row>
    <row r="1504" spans="1:16" x14ac:dyDescent="0.4">
      <c r="A1504">
        <v>2012</v>
      </c>
      <c r="B1504" s="2" t="s">
        <v>356</v>
      </c>
      <c r="C1504" s="2" t="s">
        <v>706</v>
      </c>
      <c r="D1504" s="2" t="s">
        <v>106</v>
      </c>
      <c r="E1504" s="67" t="s">
        <v>127</v>
      </c>
      <c r="F1504" s="12">
        <v>324</v>
      </c>
      <c r="G1504" s="12">
        <v>184</v>
      </c>
      <c r="H1504" s="12">
        <v>140</v>
      </c>
      <c r="J1504" s="2"/>
      <c r="K1504" s="2"/>
      <c r="L1504" s="2"/>
      <c r="M1504" s="2"/>
      <c r="N1504" s="2"/>
      <c r="O1504" s="2"/>
      <c r="P1504" s="2"/>
    </row>
    <row r="1505" spans="1:16" x14ac:dyDescent="0.4">
      <c r="A1505">
        <v>2012</v>
      </c>
      <c r="B1505" s="2" t="s">
        <v>357</v>
      </c>
      <c r="C1505" s="2" t="s">
        <v>707</v>
      </c>
      <c r="D1505" s="2" t="s">
        <v>1</v>
      </c>
      <c r="E1505" s="67" t="s">
        <v>0</v>
      </c>
      <c r="F1505" s="12">
        <v>12</v>
      </c>
      <c r="G1505" s="12">
        <v>7</v>
      </c>
      <c r="H1505" s="12">
        <v>5</v>
      </c>
      <c r="J1505" s="2"/>
      <c r="K1505" s="2"/>
      <c r="L1505" s="2"/>
      <c r="M1505" s="2"/>
      <c r="N1505" s="2"/>
      <c r="O1505" s="2"/>
      <c r="P1505" s="2"/>
    </row>
    <row r="1506" spans="1:16" x14ac:dyDescent="0.4">
      <c r="A1506">
        <v>2012</v>
      </c>
      <c r="B1506" s="2" t="s">
        <v>358</v>
      </c>
      <c r="C1506" s="2" t="s">
        <v>707</v>
      </c>
      <c r="D1506" s="2" t="s">
        <v>1</v>
      </c>
      <c r="E1506" s="67" t="s">
        <v>2</v>
      </c>
      <c r="F1506" s="12">
        <v>12</v>
      </c>
      <c r="G1506" s="12">
        <v>7</v>
      </c>
      <c r="H1506" s="12">
        <v>5</v>
      </c>
      <c r="J1506" s="2"/>
      <c r="K1506" s="2"/>
      <c r="L1506" s="2"/>
      <c r="M1506" s="2"/>
      <c r="N1506" s="2"/>
      <c r="O1506" s="2"/>
      <c r="P1506" s="2"/>
    </row>
    <row r="1507" spans="1:16" x14ac:dyDescent="0.4">
      <c r="A1507">
        <v>2012</v>
      </c>
      <c r="B1507" s="2" t="s">
        <v>359</v>
      </c>
      <c r="C1507" s="2" t="s">
        <v>707</v>
      </c>
      <c r="D1507" s="2" t="s">
        <v>1</v>
      </c>
      <c r="E1507" s="67" t="s">
        <v>3</v>
      </c>
      <c r="F1507" s="12">
        <v>598</v>
      </c>
      <c r="G1507" s="12">
        <v>371</v>
      </c>
      <c r="H1507" s="12">
        <v>227</v>
      </c>
      <c r="J1507" s="2"/>
      <c r="K1507" s="2"/>
      <c r="L1507" s="2"/>
      <c r="M1507" s="2"/>
      <c r="N1507" s="2"/>
      <c r="O1507" s="2"/>
      <c r="P1507" s="2"/>
    </row>
    <row r="1508" spans="1:16" x14ac:dyDescent="0.4">
      <c r="A1508">
        <v>2012</v>
      </c>
      <c r="B1508" s="2" t="s">
        <v>360</v>
      </c>
      <c r="C1508" s="2" t="s">
        <v>707</v>
      </c>
      <c r="D1508" s="2" t="s">
        <v>1</v>
      </c>
      <c r="E1508" s="67" t="s">
        <v>4</v>
      </c>
      <c r="F1508" s="12">
        <v>14</v>
      </c>
      <c r="G1508" s="12">
        <v>11</v>
      </c>
      <c r="H1508" s="12">
        <v>3</v>
      </c>
      <c r="J1508" s="2"/>
      <c r="K1508" s="2"/>
      <c r="L1508" s="2"/>
      <c r="M1508" s="2"/>
      <c r="N1508" s="2"/>
      <c r="O1508" s="2"/>
      <c r="P1508" s="2"/>
    </row>
    <row r="1509" spans="1:16" x14ac:dyDescent="0.4">
      <c r="A1509">
        <v>2012</v>
      </c>
      <c r="B1509" s="2" t="s">
        <v>361</v>
      </c>
      <c r="C1509" s="2" t="s">
        <v>707</v>
      </c>
      <c r="D1509" s="2" t="s">
        <v>1</v>
      </c>
      <c r="E1509" s="67" t="s">
        <v>5</v>
      </c>
      <c r="F1509" s="12">
        <v>3</v>
      </c>
      <c r="G1509" s="12">
        <v>2</v>
      </c>
      <c r="H1509" s="12">
        <v>1</v>
      </c>
      <c r="J1509" s="2"/>
      <c r="K1509" s="2"/>
      <c r="L1509" s="2"/>
      <c r="M1509" s="2"/>
      <c r="N1509" s="2"/>
      <c r="O1509" s="2"/>
      <c r="P1509" s="2"/>
    </row>
    <row r="1510" spans="1:16" x14ac:dyDescent="0.4">
      <c r="A1510">
        <v>2012</v>
      </c>
      <c r="B1510" s="2" t="s">
        <v>732</v>
      </c>
      <c r="C1510" s="2" t="s">
        <v>707</v>
      </c>
      <c r="D1510" s="2" t="s">
        <v>1</v>
      </c>
      <c r="E1510" s="67" t="s">
        <v>330</v>
      </c>
      <c r="F1510" s="12">
        <v>1</v>
      </c>
      <c r="G1510" s="12">
        <v>0</v>
      </c>
      <c r="H1510" s="12">
        <v>1</v>
      </c>
      <c r="J1510" s="2"/>
      <c r="K1510" s="2"/>
      <c r="L1510" s="2"/>
      <c r="M1510" s="2"/>
      <c r="N1510" s="2"/>
      <c r="O1510" s="2"/>
      <c r="P1510" s="2"/>
    </row>
    <row r="1511" spans="1:16" x14ac:dyDescent="0.4">
      <c r="A1511">
        <v>2012</v>
      </c>
      <c r="B1511" s="2" t="s">
        <v>730</v>
      </c>
      <c r="C1511" s="2" t="s">
        <v>707</v>
      </c>
      <c r="D1511" s="2" t="s">
        <v>1</v>
      </c>
      <c r="E1511" s="67" t="s">
        <v>328</v>
      </c>
      <c r="F1511" s="12">
        <v>3</v>
      </c>
      <c r="G1511" s="12">
        <v>2</v>
      </c>
      <c r="H1511" s="12">
        <v>1</v>
      </c>
      <c r="J1511" s="2"/>
      <c r="K1511" s="2"/>
      <c r="L1511" s="2"/>
      <c r="M1511" s="2"/>
      <c r="N1511" s="2"/>
      <c r="O1511" s="2"/>
      <c r="P1511" s="2"/>
    </row>
    <row r="1512" spans="1:16" x14ac:dyDescent="0.4">
      <c r="A1512">
        <v>2012</v>
      </c>
      <c r="B1512" s="2" t="s">
        <v>362</v>
      </c>
      <c r="C1512" s="2" t="s">
        <v>708</v>
      </c>
      <c r="D1512" s="2" t="s">
        <v>7</v>
      </c>
      <c r="E1512" s="67" t="s">
        <v>6</v>
      </c>
      <c r="F1512" s="12">
        <v>428</v>
      </c>
      <c r="G1512" s="12">
        <v>254</v>
      </c>
      <c r="H1512" s="12">
        <v>174</v>
      </c>
      <c r="J1512" s="2"/>
      <c r="K1512" s="2"/>
      <c r="L1512" s="2"/>
      <c r="M1512" s="2"/>
      <c r="N1512" s="2"/>
      <c r="O1512" s="2"/>
      <c r="P1512" s="2"/>
    </row>
    <row r="1513" spans="1:16" x14ac:dyDescent="0.4">
      <c r="A1513">
        <v>2012</v>
      </c>
      <c r="B1513" s="2" t="s">
        <v>363</v>
      </c>
      <c r="C1513" s="2" t="s">
        <v>708</v>
      </c>
      <c r="D1513" s="2" t="s">
        <v>7</v>
      </c>
      <c r="E1513" s="67" t="s">
        <v>8</v>
      </c>
      <c r="F1513" s="12">
        <v>89</v>
      </c>
      <c r="G1513" s="12">
        <v>52</v>
      </c>
      <c r="H1513" s="12">
        <v>37</v>
      </c>
      <c r="J1513" s="2"/>
      <c r="K1513" s="2"/>
      <c r="L1513" s="2"/>
      <c r="M1513" s="2"/>
      <c r="N1513" s="2"/>
      <c r="O1513" s="2"/>
      <c r="P1513" s="2"/>
    </row>
    <row r="1514" spans="1:16" x14ac:dyDescent="0.4">
      <c r="A1514">
        <v>2012</v>
      </c>
      <c r="B1514" s="2" t="s">
        <v>364</v>
      </c>
      <c r="C1514" s="2" t="s">
        <v>708</v>
      </c>
      <c r="D1514" s="2" t="s">
        <v>7</v>
      </c>
      <c r="E1514" s="67" t="s">
        <v>9</v>
      </c>
      <c r="F1514" s="12">
        <v>178</v>
      </c>
      <c r="G1514" s="12">
        <v>101</v>
      </c>
      <c r="H1514" s="12">
        <v>77</v>
      </c>
      <c r="J1514" s="2"/>
      <c r="K1514" s="2"/>
      <c r="L1514" s="2"/>
      <c r="M1514" s="2"/>
      <c r="N1514" s="2"/>
      <c r="O1514" s="2"/>
      <c r="P1514" s="2"/>
    </row>
    <row r="1515" spans="1:16" x14ac:dyDescent="0.4">
      <c r="A1515">
        <v>2012</v>
      </c>
      <c r="B1515" s="2" t="s">
        <v>365</v>
      </c>
      <c r="C1515" s="2" t="s">
        <v>708</v>
      </c>
      <c r="D1515" s="2" t="s">
        <v>7</v>
      </c>
      <c r="E1515" s="67" t="s">
        <v>10</v>
      </c>
      <c r="F1515" s="12">
        <v>59</v>
      </c>
      <c r="G1515" s="12">
        <v>31</v>
      </c>
      <c r="H1515" s="12">
        <v>28</v>
      </c>
      <c r="J1515" s="2"/>
      <c r="K1515" s="2"/>
      <c r="L1515" s="2"/>
      <c r="M1515" s="2"/>
      <c r="N1515" s="2"/>
      <c r="O1515" s="2"/>
      <c r="P1515" s="2"/>
    </row>
    <row r="1516" spans="1:16" x14ac:dyDescent="0.4">
      <c r="A1516">
        <v>2012</v>
      </c>
      <c r="B1516" s="2" t="s">
        <v>366</v>
      </c>
      <c r="C1516" s="2" t="s">
        <v>708</v>
      </c>
      <c r="D1516" s="2" t="s">
        <v>7</v>
      </c>
      <c r="E1516" s="67" t="s">
        <v>11</v>
      </c>
      <c r="F1516" s="12">
        <v>113</v>
      </c>
      <c r="G1516" s="12">
        <v>82</v>
      </c>
      <c r="H1516" s="12">
        <v>31</v>
      </c>
      <c r="J1516" s="2"/>
      <c r="K1516" s="2"/>
      <c r="L1516" s="2"/>
      <c r="M1516" s="2"/>
      <c r="N1516" s="2"/>
      <c r="O1516" s="2"/>
      <c r="P1516" s="2"/>
    </row>
    <row r="1517" spans="1:16" x14ac:dyDescent="0.4">
      <c r="A1517">
        <v>2012</v>
      </c>
      <c r="B1517" s="2" t="s">
        <v>367</v>
      </c>
      <c r="C1517" s="2" t="s">
        <v>708</v>
      </c>
      <c r="D1517" s="2" t="s">
        <v>7</v>
      </c>
      <c r="E1517" s="67" t="s">
        <v>12</v>
      </c>
      <c r="F1517" s="12">
        <v>53</v>
      </c>
      <c r="G1517" s="12">
        <v>28</v>
      </c>
      <c r="H1517" s="12">
        <v>25</v>
      </c>
      <c r="J1517" s="2"/>
      <c r="K1517" s="2"/>
      <c r="L1517" s="2"/>
      <c r="M1517" s="2"/>
      <c r="N1517" s="2"/>
      <c r="O1517" s="2"/>
      <c r="P1517" s="2"/>
    </row>
    <row r="1518" spans="1:16" x14ac:dyDescent="0.4">
      <c r="A1518">
        <v>2012</v>
      </c>
      <c r="B1518" s="2" t="s">
        <v>368</v>
      </c>
      <c r="C1518" s="2" t="s">
        <v>708</v>
      </c>
      <c r="D1518" s="2" t="s">
        <v>7</v>
      </c>
      <c r="E1518" s="67" t="s">
        <v>13</v>
      </c>
      <c r="F1518" s="12">
        <v>52</v>
      </c>
      <c r="G1518" s="12">
        <v>37</v>
      </c>
      <c r="H1518" s="12">
        <v>15</v>
      </c>
      <c r="J1518" s="2"/>
      <c r="K1518" s="2"/>
      <c r="L1518" s="2"/>
      <c r="M1518" s="2"/>
      <c r="N1518" s="2"/>
      <c r="O1518" s="2"/>
      <c r="P1518" s="2"/>
    </row>
    <row r="1519" spans="1:16" x14ac:dyDescent="0.4">
      <c r="A1519">
        <v>2012</v>
      </c>
      <c r="B1519" s="2" t="s">
        <v>369</v>
      </c>
      <c r="C1519" s="2" t="s">
        <v>708</v>
      </c>
      <c r="D1519" s="2" t="s">
        <v>7</v>
      </c>
      <c r="E1519" s="67" t="s">
        <v>14</v>
      </c>
      <c r="F1519" s="12">
        <v>65</v>
      </c>
      <c r="G1519" s="12">
        <v>50</v>
      </c>
      <c r="H1519" s="12">
        <v>15</v>
      </c>
      <c r="J1519" s="2"/>
      <c r="K1519" s="2"/>
      <c r="L1519" s="2"/>
      <c r="M1519" s="2"/>
      <c r="N1519" s="2"/>
      <c r="O1519" s="2"/>
      <c r="P1519" s="2"/>
    </row>
    <row r="1520" spans="1:16" x14ac:dyDescent="0.4">
      <c r="A1520">
        <v>2012</v>
      </c>
      <c r="B1520" s="2" t="s">
        <v>370</v>
      </c>
      <c r="C1520" s="2" t="s">
        <v>708</v>
      </c>
      <c r="D1520" s="2" t="s">
        <v>7</v>
      </c>
      <c r="E1520" s="67" t="s">
        <v>15</v>
      </c>
      <c r="F1520" s="12">
        <v>51</v>
      </c>
      <c r="G1520" s="12">
        <v>28</v>
      </c>
      <c r="H1520" s="12">
        <v>23</v>
      </c>
      <c r="J1520" s="2"/>
      <c r="K1520" s="2"/>
      <c r="L1520" s="2"/>
      <c r="M1520" s="2"/>
      <c r="N1520" s="2"/>
      <c r="O1520" s="2"/>
      <c r="P1520" s="2"/>
    </row>
    <row r="1521" spans="1:16" x14ac:dyDescent="0.4">
      <c r="A1521">
        <v>2012</v>
      </c>
      <c r="B1521" s="2" t="s">
        <v>371</v>
      </c>
      <c r="C1521" s="2" t="s">
        <v>708</v>
      </c>
      <c r="D1521" s="2" t="s">
        <v>7</v>
      </c>
      <c r="E1521" s="67" t="s">
        <v>16</v>
      </c>
      <c r="F1521" s="12">
        <v>608</v>
      </c>
      <c r="G1521" s="12">
        <v>375</v>
      </c>
      <c r="H1521" s="12">
        <v>233</v>
      </c>
      <c r="J1521" s="2"/>
      <c r="K1521" s="2"/>
      <c r="L1521" s="2"/>
      <c r="M1521" s="2"/>
      <c r="N1521" s="2"/>
      <c r="O1521" s="2"/>
      <c r="P1521" s="2"/>
    </row>
    <row r="1522" spans="1:16" x14ac:dyDescent="0.4">
      <c r="A1522">
        <v>2012</v>
      </c>
      <c r="B1522" s="2" t="s">
        <v>372</v>
      </c>
      <c r="C1522" s="2" t="s">
        <v>708</v>
      </c>
      <c r="D1522" s="2" t="s">
        <v>7</v>
      </c>
      <c r="E1522" s="67" t="s">
        <v>17</v>
      </c>
      <c r="F1522" s="12">
        <v>26</v>
      </c>
      <c r="G1522" s="12">
        <v>22</v>
      </c>
      <c r="H1522" s="12">
        <v>4</v>
      </c>
      <c r="J1522" s="2"/>
      <c r="K1522" s="2"/>
      <c r="L1522" s="2"/>
      <c r="M1522" s="2"/>
      <c r="N1522" s="2"/>
      <c r="O1522" s="2"/>
      <c r="P1522" s="2"/>
    </row>
    <row r="1523" spans="1:16" x14ac:dyDescent="0.4">
      <c r="A1523">
        <v>2012</v>
      </c>
      <c r="B1523" s="2" t="s">
        <v>373</v>
      </c>
      <c r="C1523" s="2" t="s">
        <v>708</v>
      </c>
      <c r="D1523" s="2" t="s">
        <v>7</v>
      </c>
      <c r="E1523" s="67" t="s">
        <v>18</v>
      </c>
      <c r="F1523" s="12">
        <v>46</v>
      </c>
      <c r="G1523" s="12">
        <v>25</v>
      </c>
      <c r="H1523" s="12">
        <v>21</v>
      </c>
      <c r="J1523" s="2"/>
      <c r="K1523" s="2"/>
      <c r="L1523" s="2"/>
      <c r="M1523" s="2"/>
      <c r="N1523" s="2"/>
      <c r="O1523" s="2"/>
      <c r="P1523" s="2"/>
    </row>
    <row r="1524" spans="1:16" x14ac:dyDescent="0.4">
      <c r="A1524">
        <v>2012</v>
      </c>
      <c r="B1524" s="2" t="s">
        <v>374</v>
      </c>
      <c r="C1524" s="2" t="s">
        <v>708</v>
      </c>
      <c r="D1524" s="2" t="s">
        <v>7</v>
      </c>
      <c r="E1524" s="67" t="s">
        <v>19</v>
      </c>
      <c r="F1524" s="12">
        <v>101</v>
      </c>
      <c r="G1524" s="12">
        <v>57</v>
      </c>
      <c r="H1524" s="12">
        <v>44</v>
      </c>
      <c r="J1524" s="2"/>
      <c r="K1524" s="2"/>
      <c r="L1524" s="2"/>
      <c r="M1524" s="2"/>
      <c r="N1524" s="2"/>
      <c r="O1524" s="2"/>
      <c r="P1524" s="2"/>
    </row>
    <row r="1525" spans="1:16" x14ac:dyDescent="0.4">
      <c r="A1525">
        <v>2012</v>
      </c>
      <c r="B1525" s="2" t="s">
        <v>375</v>
      </c>
      <c r="C1525" s="2" t="s">
        <v>708</v>
      </c>
      <c r="D1525" s="2" t="s">
        <v>7</v>
      </c>
      <c r="E1525" s="67" t="s">
        <v>20</v>
      </c>
      <c r="F1525" s="12">
        <v>335</v>
      </c>
      <c r="G1525" s="12">
        <v>209</v>
      </c>
      <c r="H1525" s="12">
        <v>126</v>
      </c>
      <c r="J1525" s="2"/>
      <c r="K1525" s="2"/>
      <c r="L1525" s="2"/>
      <c r="M1525" s="2"/>
      <c r="N1525" s="2"/>
      <c r="O1525" s="2"/>
      <c r="P1525" s="2"/>
    </row>
    <row r="1526" spans="1:16" x14ac:dyDescent="0.4">
      <c r="A1526">
        <v>2012</v>
      </c>
      <c r="B1526" s="2" t="s">
        <v>376</v>
      </c>
      <c r="C1526" s="2" t="s">
        <v>708</v>
      </c>
      <c r="D1526" s="2" t="s">
        <v>7</v>
      </c>
      <c r="E1526" s="67" t="s">
        <v>21</v>
      </c>
      <c r="F1526" s="12">
        <v>89</v>
      </c>
      <c r="G1526" s="12">
        <v>49</v>
      </c>
      <c r="H1526" s="12">
        <v>40</v>
      </c>
      <c r="J1526" s="2"/>
      <c r="K1526" s="2"/>
      <c r="L1526" s="2"/>
      <c r="M1526" s="2"/>
      <c r="N1526" s="2"/>
      <c r="O1526" s="2"/>
      <c r="P1526" s="2"/>
    </row>
    <row r="1527" spans="1:16" x14ac:dyDescent="0.4">
      <c r="A1527">
        <v>2012</v>
      </c>
      <c r="B1527" s="2" t="s">
        <v>377</v>
      </c>
      <c r="C1527" s="2" t="s">
        <v>708</v>
      </c>
      <c r="D1527" s="2" t="s">
        <v>7</v>
      </c>
      <c r="E1527" s="67" t="s">
        <v>22</v>
      </c>
      <c r="F1527" s="12">
        <v>176</v>
      </c>
      <c r="G1527" s="12">
        <v>120</v>
      </c>
      <c r="H1527" s="12">
        <v>56</v>
      </c>
      <c r="J1527" s="2"/>
      <c r="K1527" s="2"/>
      <c r="L1527" s="2"/>
      <c r="M1527" s="2"/>
      <c r="N1527" s="2"/>
      <c r="O1527" s="2"/>
      <c r="P1527" s="2"/>
    </row>
    <row r="1528" spans="1:16" x14ac:dyDescent="0.4">
      <c r="A1528">
        <v>2012</v>
      </c>
      <c r="B1528" s="2" t="s">
        <v>378</v>
      </c>
      <c r="C1528" s="2" t="s">
        <v>708</v>
      </c>
      <c r="D1528" s="2" t="s">
        <v>7</v>
      </c>
      <c r="E1528" s="67" t="s">
        <v>23</v>
      </c>
      <c r="F1528" s="12">
        <v>34</v>
      </c>
      <c r="G1528" s="12">
        <v>20</v>
      </c>
      <c r="H1528" s="12">
        <v>14</v>
      </c>
      <c r="J1528" s="2"/>
      <c r="K1528" s="2"/>
      <c r="L1528" s="2"/>
      <c r="M1528" s="2"/>
      <c r="N1528" s="2"/>
      <c r="O1528" s="2"/>
      <c r="P1528" s="2"/>
    </row>
    <row r="1529" spans="1:16" x14ac:dyDescent="0.4">
      <c r="A1529">
        <v>2012</v>
      </c>
      <c r="B1529" s="2" t="s">
        <v>379</v>
      </c>
      <c r="C1529" s="2" t="s">
        <v>708</v>
      </c>
      <c r="D1529" s="2" t="s">
        <v>7</v>
      </c>
      <c r="E1529" s="67" t="s">
        <v>24</v>
      </c>
      <c r="F1529" s="12">
        <v>16</v>
      </c>
      <c r="G1529" s="12">
        <v>8</v>
      </c>
      <c r="H1529" s="12">
        <v>8</v>
      </c>
      <c r="J1529" s="2"/>
      <c r="K1529" s="2"/>
      <c r="L1529" s="2"/>
      <c r="M1529" s="2"/>
      <c r="N1529" s="2"/>
      <c r="O1529" s="2"/>
      <c r="P1529" s="2"/>
    </row>
    <row r="1530" spans="1:16" x14ac:dyDescent="0.4">
      <c r="A1530">
        <v>2012</v>
      </c>
      <c r="B1530" s="2" t="s">
        <v>380</v>
      </c>
      <c r="C1530" s="2" t="s">
        <v>708</v>
      </c>
      <c r="D1530" s="2" t="s">
        <v>7</v>
      </c>
      <c r="E1530" s="67" t="s">
        <v>25</v>
      </c>
      <c r="F1530" s="12">
        <v>2362</v>
      </c>
      <c r="G1530" s="12">
        <v>1456</v>
      </c>
      <c r="H1530" s="12">
        <v>906</v>
      </c>
      <c r="J1530" s="2"/>
      <c r="K1530" s="2"/>
      <c r="L1530" s="2"/>
      <c r="M1530" s="2"/>
      <c r="N1530" s="2"/>
      <c r="O1530" s="2"/>
      <c r="P1530" s="2"/>
    </row>
    <row r="1531" spans="1:16" x14ac:dyDescent="0.4">
      <c r="A1531">
        <v>2012</v>
      </c>
      <c r="B1531" s="2" t="s">
        <v>381</v>
      </c>
      <c r="C1531" s="2" t="s">
        <v>708</v>
      </c>
      <c r="D1531" s="2" t="s">
        <v>7</v>
      </c>
      <c r="E1531" s="67" t="s">
        <v>26</v>
      </c>
      <c r="F1531" s="12">
        <v>941</v>
      </c>
      <c r="G1531" s="12">
        <v>571</v>
      </c>
      <c r="H1531" s="12">
        <v>370</v>
      </c>
      <c r="J1531" s="2"/>
      <c r="K1531" s="2"/>
      <c r="L1531" s="2"/>
      <c r="M1531" s="2"/>
      <c r="N1531" s="2"/>
      <c r="O1531" s="2"/>
      <c r="P1531" s="2"/>
    </row>
    <row r="1532" spans="1:16" x14ac:dyDescent="0.4">
      <c r="A1532">
        <v>2012</v>
      </c>
      <c r="B1532" s="2" t="s">
        <v>382</v>
      </c>
      <c r="C1532" s="2" t="s">
        <v>708</v>
      </c>
      <c r="D1532" s="2" t="s">
        <v>7</v>
      </c>
      <c r="E1532" s="67" t="s">
        <v>27</v>
      </c>
      <c r="F1532" s="12">
        <v>19</v>
      </c>
      <c r="G1532" s="12">
        <v>11</v>
      </c>
      <c r="H1532" s="12">
        <v>8</v>
      </c>
      <c r="J1532" s="2"/>
      <c r="K1532" s="2"/>
      <c r="L1532" s="2"/>
      <c r="M1532" s="2"/>
      <c r="N1532" s="2"/>
      <c r="O1532" s="2"/>
      <c r="P1532" s="2"/>
    </row>
    <row r="1533" spans="1:16" x14ac:dyDescent="0.4">
      <c r="A1533">
        <v>2012</v>
      </c>
      <c r="B1533" s="2" t="s">
        <v>383</v>
      </c>
      <c r="C1533" s="2" t="s">
        <v>709</v>
      </c>
      <c r="D1533" s="2" t="s">
        <v>29</v>
      </c>
      <c r="E1533" s="67" t="s">
        <v>28</v>
      </c>
      <c r="F1533" s="12">
        <v>190</v>
      </c>
      <c r="G1533" s="12">
        <v>122</v>
      </c>
      <c r="H1533" s="12">
        <v>68</v>
      </c>
      <c r="J1533" s="2"/>
      <c r="K1533" s="2"/>
      <c r="L1533" s="2"/>
      <c r="M1533" s="2"/>
      <c r="N1533" s="2"/>
      <c r="O1533" s="2"/>
      <c r="P1533" s="2"/>
    </row>
    <row r="1534" spans="1:16" x14ac:dyDescent="0.4">
      <c r="A1534">
        <v>2012</v>
      </c>
      <c r="B1534" s="2" t="s">
        <v>384</v>
      </c>
      <c r="C1534" s="2" t="s">
        <v>709</v>
      </c>
      <c r="D1534" s="2" t="s">
        <v>29</v>
      </c>
      <c r="E1534" s="67" t="s">
        <v>30</v>
      </c>
      <c r="F1534" s="12">
        <v>78</v>
      </c>
      <c r="G1534" s="12">
        <v>56</v>
      </c>
      <c r="H1534" s="12">
        <v>22</v>
      </c>
      <c r="J1534" s="2"/>
      <c r="K1534" s="2"/>
      <c r="L1534" s="2"/>
      <c r="M1534" s="2"/>
      <c r="N1534" s="2"/>
      <c r="O1534" s="2"/>
      <c r="P1534" s="2"/>
    </row>
    <row r="1535" spans="1:16" x14ac:dyDescent="0.4">
      <c r="A1535">
        <v>2012</v>
      </c>
      <c r="B1535" s="2" t="s">
        <v>385</v>
      </c>
      <c r="C1535" s="2" t="s">
        <v>709</v>
      </c>
      <c r="D1535" s="2" t="s">
        <v>29</v>
      </c>
      <c r="E1535" s="67" t="s">
        <v>31</v>
      </c>
      <c r="F1535" s="12">
        <v>71</v>
      </c>
      <c r="G1535" s="12">
        <v>47</v>
      </c>
      <c r="H1535" s="12">
        <v>24</v>
      </c>
      <c r="J1535" s="2"/>
      <c r="K1535" s="2"/>
      <c r="L1535" s="2"/>
      <c r="M1535" s="2"/>
      <c r="N1535" s="2"/>
      <c r="O1535" s="2"/>
      <c r="P1535" s="2"/>
    </row>
    <row r="1536" spans="1:16" x14ac:dyDescent="0.4">
      <c r="A1536">
        <v>2012</v>
      </c>
      <c r="B1536" s="2" t="s">
        <v>386</v>
      </c>
      <c r="C1536" s="2" t="s">
        <v>709</v>
      </c>
      <c r="D1536" s="2" t="s">
        <v>29</v>
      </c>
      <c r="E1536" s="67" t="s">
        <v>32</v>
      </c>
      <c r="F1536" s="12">
        <v>294</v>
      </c>
      <c r="G1536" s="12">
        <v>193</v>
      </c>
      <c r="H1536" s="12">
        <v>101</v>
      </c>
      <c r="J1536" s="2"/>
      <c r="K1536" s="2"/>
      <c r="L1536" s="2"/>
      <c r="M1536" s="2"/>
      <c r="N1536" s="2"/>
      <c r="O1536" s="2"/>
      <c r="P1536" s="2"/>
    </row>
    <row r="1537" spans="1:16" x14ac:dyDescent="0.4">
      <c r="A1537">
        <v>2012</v>
      </c>
      <c r="B1537" s="2" t="s">
        <v>387</v>
      </c>
      <c r="C1537" s="2" t="s">
        <v>709</v>
      </c>
      <c r="D1537" s="2" t="s">
        <v>29</v>
      </c>
      <c r="E1537" s="67" t="s">
        <v>33</v>
      </c>
      <c r="F1537" s="12">
        <v>54</v>
      </c>
      <c r="G1537" s="12">
        <v>34</v>
      </c>
      <c r="H1537" s="12">
        <v>20</v>
      </c>
      <c r="J1537" s="2"/>
      <c r="K1537" s="2"/>
      <c r="L1537" s="2"/>
      <c r="M1537" s="2"/>
      <c r="N1537" s="2"/>
      <c r="O1537" s="2"/>
      <c r="P1537" s="2"/>
    </row>
    <row r="1538" spans="1:16" x14ac:dyDescent="0.4">
      <c r="A1538">
        <v>2012</v>
      </c>
      <c r="B1538" s="2" t="s">
        <v>388</v>
      </c>
      <c r="C1538" s="2" t="s">
        <v>709</v>
      </c>
      <c r="D1538" s="2" t="s">
        <v>29</v>
      </c>
      <c r="E1538" s="67" t="s">
        <v>34</v>
      </c>
      <c r="F1538" s="12">
        <v>59</v>
      </c>
      <c r="G1538" s="12">
        <v>36</v>
      </c>
      <c r="H1538" s="12">
        <v>23</v>
      </c>
      <c r="J1538" s="2"/>
      <c r="K1538" s="2"/>
      <c r="L1538" s="2"/>
      <c r="M1538" s="2"/>
      <c r="N1538" s="2"/>
      <c r="O1538" s="2"/>
      <c r="P1538" s="2"/>
    </row>
    <row r="1539" spans="1:16" x14ac:dyDescent="0.4">
      <c r="A1539">
        <v>2012</v>
      </c>
      <c r="B1539" s="2" t="s">
        <v>389</v>
      </c>
      <c r="C1539" s="2" t="s">
        <v>709</v>
      </c>
      <c r="D1539" s="2" t="s">
        <v>29</v>
      </c>
      <c r="E1539" s="67" t="s">
        <v>35</v>
      </c>
      <c r="F1539" s="12">
        <v>1157</v>
      </c>
      <c r="G1539" s="12">
        <v>713</v>
      </c>
      <c r="H1539" s="12">
        <v>444</v>
      </c>
      <c r="J1539" s="2"/>
      <c r="K1539" s="2"/>
      <c r="L1539" s="2"/>
      <c r="M1539" s="2"/>
      <c r="N1539" s="2"/>
      <c r="O1539" s="2"/>
      <c r="P1539" s="2"/>
    </row>
    <row r="1540" spans="1:16" x14ac:dyDescent="0.4">
      <c r="A1540">
        <v>2012</v>
      </c>
      <c r="B1540" s="2" t="s">
        <v>390</v>
      </c>
      <c r="C1540" s="2" t="s">
        <v>710</v>
      </c>
      <c r="D1540" s="2" t="s">
        <v>37</v>
      </c>
      <c r="E1540" s="67" t="s">
        <v>36</v>
      </c>
      <c r="F1540" s="12">
        <v>192</v>
      </c>
      <c r="G1540" s="12">
        <v>133</v>
      </c>
      <c r="H1540" s="12">
        <v>59</v>
      </c>
      <c r="J1540" s="2"/>
      <c r="K1540" s="2"/>
      <c r="L1540" s="2"/>
      <c r="M1540" s="2"/>
      <c r="N1540" s="2"/>
      <c r="O1540" s="2"/>
      <c r="P1540" s="2"/>
    </row>
    <row r="1541" spans="1:16" x14ac:dyDescent="0.4">
      <c r="A1541">
        <v>2012</v>
      </c>
      <c r="B1541" s="2" t="s">
        <v>391</v>
      </c>
      <c r="C1541" s="2" t="s">
        <v>710</v>
      </c>
      <c r="D1541" s="2" t="s">
        <v>37</v>
      </c>
      <c r="E1541" s="67" t="s">
        <v>38</v>
      </c>
      <c r="F1541" s="12">
        <v>62</v>
      </c>
      <c r="G1541" s="12">
        <v>46</v>
      </c>
      <c r="H1541" s="12">
        <v>16</v>
      </c>
      <c r="J1541" s="2"/>
      <c r="K1541" s="2"/>
      <c r="L1541" s="2"/>
      <c r="M1541" s="2"/>
      <c r="N1541" s="2"/>
      <c r="O1541" s="2"/>
      <c r="P1541" s="2"/>
    </row>
    <row r="1542" spans="1:16" x14ac:dyDescent="0.4">
      <c r="A1542">
        <v>2012</v>
      </c>
      <c r="B1542" s="2" t="s">
        <v>392</v>
      </c>
      <c r="C1542" s="2" t="s">
        <v>710</v>
      </c>
      <c r="D1542" s="2" t="s">
        <v>37</v>
      </c>
      <c r="E1542" s="67" t="s">
        <v>39</v>
      </c>
      <c r="F1542" s="12">
        <v>367</v>
      </c>
      <c r="G1542" s="12">
        <v>245</v>
      </c>
      <c r="H1542" s="12">
        <v>122</v>
      </c>
      <c r="J1542" s="2"/>
      <c r="K1542" s="2"/>
      <c r="L1542" s="2"/>
      <c r="M1542" s="2"/>
      <c r="N1542" s="2"/>
      <c r="O1542" s="2"/>
      <c r="P1542" s="2"/>
    </row>
    <row r="1543" spans="1:16" x14ac:dyDescent="0.4">
      <c r="A1543">
        <v>2012</v>
      </c>
      <c r="B1543" s="2" t="s">
        <v>393</v>
      </c>
      <c r="C1543" s="2" t="s">
        <v>710</v>
      </c>
      <c r="D1543" s="2" t="s">
        <v>37</v>
      </c>
      <c r="E1543" s="67" t="s">
        <v>40</v>
      </c>
      <c r="F1543" s="12">
        <v>4801</v>
      </c>
      <c r="G1543" s="12">
        <v>2814</v>
      </c>
      <c r="H1543" s="12">
        <v>1987</v>
      </c>
      <c r="J1543" s="2"/>
      <c r="K1543" s="2"/>
      <c r="L1543" s="2"/>
      <c r="M1543" s="2"/>
      <c r="N1543" s="2"/>
      <c r="O1543" s="2"/>
      <c r="P1543" s="2"/>
    </row>
    <row r="1544" spans="1:16" x14ac:dyDescent="0.4">
      <c r="A1544">
        <v>2012</v>
      </c>
      <c r="B1544" s="2" t="s">
        <v>394</v>
      </c>
      <c r="C1544" s="2" t="s">
        <v>710</v>
      </c>
      <c r="D1544" s="2" t="s">
        <v>37</v>
      </c>
      <c r="E1544" s="67" t="s">
        <v>41</v>
      </c>
      <c r="F1544" s="12">
        <v>98</v>
      </c>
      <c r="G1544" s="12">
        <v>67</v>
      </c>
      <c r="H1544" s="12">
        <v>31</v>
      </c>
      <c r="J1544" s="2"/>
      <c r="K1544" s="2"/>
      <c r="L1544" s="2"/>
      <c r="M1544" s="2"/>
      <c r="N1544" s="2"/>
      <c r="O1544" s="2"/>
      <c r="P1544" s="2"/>
    </row>
    <row r="1545" spans="1:16" x14ac:dyDescent="0.4">
      <c r="A1545">
        <v>2012</v>
      </c>
      <c r="B1545" s="2" t="s">
        <v>395</v>
      </c>
      <c r="C1545" s="2" t="s">
        <v>710</v>
      </c>
      <c r="D1545" s="2" t="s">
        <v>37</v>
      </c>
      <c r="E1545" s="67" t="s">
        <v>42</v>
      </c>
      <c r="F1545" s="12">
        <v>938</v>
      </c>
      <c r="G1545" s="12">
        <v>583</v>
      </c>
      <c r="H1545" s="12">
        <v>355</v>
      </c>
      <c r="J1545" s="2"/>
      <c r="K1545" s="2"/>
      <c r="L1545" s="2"/>
      <c r="M1545" s="2"/>
      <c r="N1545" s="2"/>
      <c r="O1545" s="2"/>
      <c r="P1545" s="2"/>
    </row>
    <row r="1546" spans="1:16" x14ac:dyDescent="0.4">
      <c r="A1546">
        <v>2012</v>
      </c>
      <c r="B1546" s="2" t="s">
        <v>396</v>
      </c>
      <c r="C1546" s="2" t="s">
        <v>710</v>
      </c>
      <c r="D1546" s="2" t="s">
        <v>37</v>
      </c>
      <c r="E1546" s="67" t="s">
        <v>43</v>
      </c>
      <c r="F1546" s="12">
        <v>139</v>
      </c>
      <c r="G1546" s="12">
        <v>101</v>
      </c>
      <c r="H1546" s="12">
        <v>38</v>
      </c>
      <c r="J1546" s="2"/>
      <c r="K1546" s="2"/>
      <c r="L1546" s="2"/>
      <c r="M1546" s="2"/>
      <c r="N1546" s="2"/>
      <c r="O1546" s="2"/>
      <c r="P1546" s="2"/>
    </row>
    <row r="1547" spans="1:16" x14ac:dyDescent="0.4">
      <c r="A1547">
        <v>2012</v>
      </c>
      <c r="B1547" s="2" t="s">
        <v>397</v>
      </c>
      <c r="C1547" s="2" t="s">
        <v>710</v>
      </c>
      <c r="D1547" s="2" t="s">
        <v>37</v>
      </c>
      <c r="E1547" s="67" t="s">
        <v>44</v>
      </c>
      <c r="F1547" s="12">
        <v>437</v>
      </c>
      <c r="G1547" s="12">
        <v>276</v>
      </c>
      <c r="H1547" s="12">
        <v>161</v>
      </c>
      <c r="J1547" s="2"/>
      <c r="K1547" s="2"/>
      <c r="L1547" s="2"/>
      <c r="M1547" s="2"/>
      <c r="N1547" s="2"/>
      <c r="O1547" s="2"/>
      <c r="P1547" s="2"/>
    </row>
    <row r="1548" spans="1:16" x14ac:dyDescent="0.4">
      <c r="A1548">
        <v>2012</v>
      </c>
      <c r="B1548" s="2" t="s">
        <v>398</v>
      </c>
      <c r="C1548" s="2" t="s">
        <v>710</v>
      </c>
      <c r="D1548" s="2" t="s">
        <v>37</v>
      </c>
      <c r="E1548" s="67" t="s">
        <v>45</v>
      </c>
      <c r="F1548" s="12">
        <v>300</v>
      </c>
      <c r="G1548" s="12">
        <v>180</v>
      </c>
      <c r="H1548" s="12">
        <v>120</v>
      </c>
      <c r="J1548" s="2"/>
      <c r="K1548" s="2"/>
      <c r="L1548" s="2"/>
      <c r="M1548" s="2"/>
      <c r="N1548" s="2"/>
      <c r="O1548" s="2"/>
      <c r="P1548" s="2"/>
    </row>
    <row r="1549" spans="1:16" x14ac:dyDescent="0.4">
      <c r="A1549">
        <v>2012</v>
      </c>
      <c r="B1549" s="2" t="s">
        <v>399</v>
      </c>
      <c r="C1549" s="2" t="s">
        <v>710</v>
      </c>
      <c r="D1549" s="2" t="s">
        <v>37</v>
      </c>
      <c r="E1549" s="67" t="s">
        <v>46</v>
      </c>
      <c r="F1549" s="12">
        <v>39</v>
      </c>
      <c r="G1549" s="12">
        <v>26</v>
      </c>
      <c r="H1549" s="12">
        <v>13</v>
      </c>
      <c r="J1549" s="2"/>
      <c r="K1549" s="2"/>
      <c r="L1549" s="2"/>
      <c r="M1549" s="2"/>
      <c r="N1549" s="2"/>
      <c r="O1549" s="2"/>
      <c r="P1549" s="2"/>
    </row>
    <row r="1550" spans="1:16" x14ac:dyDescent="0.4">
      <c r="A1550">
        <v>2012</v>
      </c>
      <c r="B1550" s="2" t="s">
        <v>400</v>
      </c>
      <c r="C1550" s="2" t="s">
        <v>710</v>
      </c>
      <c r="D1550" s="2" t="s">
        <v>37</v>
      </c>
      <c r="E1550" s="67" t="s">
        <v>47</v>
      </c>
      <c r="F1550" s="12">
        <v>109</v>
      </c>
      <c r="G1550" s="12">
        <v>74</v>
      </c>
      <c r="H1550" s="12">
        <v>35</v>
      </c>
      <c r="J1550" s="2"/>
      <c r="K1550" s="2"/>
      <c r="L1550" s="2"/>
      <c r="M1550" s="2"/>
      <c r="N1550" s="2"/>
      <c r="O1550" s="2"/>
      <c r="P1550" s="2"/>
    </row>
    <row r="1551" spans="1:16" x14ac:dyDescent="0.4">
      <c r="A1551">
        <v>2012</v>
      </c>
      <c r="B1551" s="2" t="s">
        <v>401</v>
      </c>
      <c r="C1551" s="2" t="s">
        <v>710</v>
      </c>
      <c r="D1551" s="2" t="s">
        <v>37</v>
      </c>
      <c r="E1551" s="67" t="s">
        <v>48</v>
      </c>
      <c r="F1551" s="12">
        <v>75</v>
      </c>
      <c r="G1551" s="12">
        <v>48</v>
      </c>
      <c r="H1551" s="12">
        <v>27</v>
      </c>
      <c r="J1551" s="2"/>
      <c r="K1551" s="2"/>
      <c r="L1551" s="2"/>
      <c r="M1551" s="2"/>
      <c r="N1551" s="2"/>
      <c r="O1551" s="2"/>
      <c r="P1551" s="2"/>
    </row>
    <row r="1552" spans="1:16" x14ac:dyDescent="0.4">
      <c r="A1552">
        <v>2012</v>
      </c>
      <c r="B1552" s="2" t="s">
        <v>402</v>
      </c>
      <c r="C1552" s="2" t="s">
        <v>710</v>
      </c>
      <c r="D1552" s="2" t="s">
        <v>37</v>
      </c>
      <c r="E1552" s="67" t="s">
        <v>49</v>
      </c>
      <c r="F1552" s="12">
        <v>554</v>
      </c>
      <c r="G1552" s="12">
        <v>373</v>
      </c>
      <c r="H1552" s="12">
        <v>181</v>
      </c>
      <c r="J1552" s="2"/>
      <c r="K1552" s="2"/>
      <c r="L1552" s="2"/>
      <c r="M1552" s="2"/>
      <c r="N1552" s="2"/>
      <c r="O1552" s="2"/>
      <c r="P1552" s="2"/>
    </row>
    <row r="1553" spans="1:16" x14ac:dyDescent="0.4">
      <c r="A1553">
        <v>2012</v>
      </c>
      <c r="B1553" s="2" t="s">
        <v>403</v>
      </c>
      <c r="C1553" s="2" t="s">
        <v>710</v>
      </c>
      <c r="D1553" s="2" t="s">
        <v>37</v>
      </c>
      <c r="E1553" s="67" t="s">
        <v>50</v>
      </c>
      <c r="F1553" s="12">
        <v>128</v>
      </c>
      <c r="G1553" s="12">
        <v>86</v>
      </c>
      <c r="H1553" s="12">
        <v>42</v>
      </c>
      <c r="J1553" s="2"/>
      <c r="K1553" s="2"/>
      <c r="L1553" s="2"/>
      <c r="M1553" s="2"/>
      <c r="N1553" s="2"/>
      <c r="O1553" s="2"/>
      <c r="P1553" s="2"/>
    </row>
    <row r="1554" spans="1:16" x14ac:dyDescent="0.4">
      <c r="A1554">
        <v>2012</v>
      </c>
      <c r="B1554" s="2" t="s">
        <v>404</v>
      </c>
      <c r="C1554" s="2" t="s">
        <v>710</v>
      </c>
      <c r="D1554" s="2" t="s">
        <v>37</v>
      </c>
      <c r="E1554" s="67" t="s">
        <v>51</v>
      </c>
      <c r="F1554" s="12">
        <v>558</v>
      </c>
      <c r="G1554" s="12">
        <v>346</v>
      </c>
      <c r="H1554" s="12">
        <v>212</v>
      </c>
      <c r="J1554" s="2"/>
      <c r="K1554" s="2"/>
      <c r="L1554" s="2"/>
      <c r="M1554" s="2"/>
      <c r="N1554" s="2"/>
      <c r="O1554" s="2"/>
      <c r="P1554" s="2"/>
    </row>
    <row r="1555" spans="1:16" x14ac:dyDescent="0.4">
      <c r="A1555">
        <v>2012</v>
      </c>
      <c r="B1555" s="2" t="s">
        <v>405</v>
      </c>
      <c r="C1555" s="2" t="s">
        <v>710</v>
      </c>
      <c r="D1555" s="2" t="s">
        <v>37</v>
      </c>
      <c r="E1555" s="67" t="s">
        <v>52</v>
      </c>
      <c r="F1555" s="12">
        <v>47</v>
      </c>
      <c r="G1555" s="12">
        <v>31</v>
      </c>
      <c r="H1555" s="12">
        <v>16</v>
      </c>
      <c r="J1555" s="2"/>
      <c r="K1555" s="2"/>
      <c r="L1555" s="2"/>
      <c r="M1555" s="2"/>
      <c r="N1555" s="2"/>
      <c r="O1555" s="2"/>
      <c r="P1555" s="2"/>
    </row>
    <row r="1556" spans="1:16" x14ac:dyDescent="0.4">
      <c r="A1556">
        <v>2012</v>
      </c>
      <c r="B1556" s="2" t="s">
        <v>406</v>
      </c>
      <c r="C1556" s="2" t="s">
        <v>710</v>
      </c>
      <c r="D1556" s="2" t="s">
        <v>37</v>
      </c>
      <c r="E1556" s="67" t="s">
        <v>53</v>
      </c>
      <c r="F1556" s="12">
        <v>56</v>
      </c>
      <c r="G1556" s="12">
        <v>37</v>
      </c>
      <c r="H1556" s="12">
        <v>19</v>
      </c>
      <c r="J1556" s="2"/>
      <c r="K1556" s="2"/>
      <c r="L1556" s="2"/>
      <c r="M1556" s="2"/>
      <c r="N1556" s="2"/>
      <c r="O1556" s="2"/>
      <c r="P1556" s="2"/>
    </row>
    <row r="1557" spans="1:16" x14ac:dyDescent="0.4">
      <c r="A1557">
        <v>2012</v>
      </c>
      <c r="B1557" s="2" t="s">
        <v>407</v>
      </c>
      <c r="C1557" s="2" t="s">
        <v>710</v>
      </c>
      <c r="D1557" s="2" t="s">
        <v>37</v>
      </c>
      <c r="E1557" s="67" t="s">
        <v>54</v>
      </c>
      <c r="F1557" s="12">
        <v>591</v>
      </c>
      <c r="G1557" s="12">
        <v>417</v>
      </c>
      <c r="H1557" s="12">
        <v>174</v>
      </c>
      <c r="J1557" s="2"/>
      <c r="K1557" s="2"/>
      <c r="L1557" s="2"/>
      <c r="M1557" s="2"/>
      <c r="N1557" s="2"/>
      <c r="O1557" s="2"/>
      <c r="P1557" s="2"/>
    </row>
    <row r="1558" spans="1:16" x14ac:dyDescent="0.4">
      <c r="A1558">
        <v>2012</v>
      </c>
      <c r="B1558" s="2" t="s">
        <v>408</v>
      </c>
      <c r="C1558" s="2" t="s">
        <v>711</v>
      </c>
      <c r="D1558" s="2" t="s">
        <v>56</v>
      </c>
      <c r="E1558" s="67" t="s">
        <v>55</v>
      </c>
      <c r="F1558" s="12">
        <v>115</v>
      </c>
      <c r="G1558" s="12">
        <v>76</v>
      </c>
      <c r="H1558" s="12">
        <v>39</v>
      </c>
      <c r="J1558" s="2"/>
      <c r="K1558" s="2"/>
      <c r="L1558" s="2"/>
      <c r="M1558" s="2"/>
      <c r="N1558" s="2"/>
      <c r="O1558" s="2"/>
      <c r="P1558" s="2"/>
    </row>
    <row r="1559" spans="1:16" x14ac:dyDescent="0.4">
      <c r="A1559">
        <v>2012</v>
      </c>
      <c r="B1559" s="2" t="s">
        <v>409</v>
      </c>
      <c r="C1559" s="2" t="s">
        <v>711</v>
      </c>
      <c r="D1559" s="2" t="s">
        <v>56</v>
      </c>
      <c r="E1559" s="67" t="s">
        <v>57</v>
      </c>
      <c r="F1559" s="12">
        <v>44</v>
      </c>
      <c r="G1559" s="12">
        <v>31</v>
      </c>
      <c r="H1559" s="12">
        <v>13</v>
      </c>
      <c r="J1559" s="2"/>
      <c r="K1559" s="2"/>
      <c r="L1559" s="2"/>
      <c r="M1559" s="2"/>
      <c r="N1559" s="2"/>
      <c r="O1559" s="2"/>
      <c r="P1559" s="2"/>
    </row>
    <row r="1560" spans="1:16" x14ac:dyDescent="0.4">
      <c r="A1560">
        <v>2012</v>
      </c>
      <c r="B1560" s="2" t="s">
        <v>410</v>
      </c>
      <c r="C1560" s="2" t="s">
        <v>711</v>
      </c>
      <c r="D1560" s="2" t="s">
        <v>56</v>
      </c>
      <c r="E1560" s="67" t="s">
        <v>58</v>
      </c>
      <c r="F1560" s="12">
        <v>306</v>
      </c>
      <c r="G1560" s="12">
        <v>220</v>
      </c>
      <c r="H1560" s="12">
        <v>86</v>
      </c>
      <c r="J1560" s="2"/>
      <c r="K1560" s="2"/>
      <c r="L1560" s="2"/>
      <c r="M1560" s="2"/>
      <c r="N1560" s="2"/>
      <c r="O1560" s="2"/>
      <c r="P1560" s="2"/>
    </row>
    <row r="1561" spans="1:16" x14ac:dyDescent="0.4">
      <c r="A1561">
        <v>2012</v>
      </c>
      <c r="B1561" s="2" t="s">
        <v>411</v>
      </c>
      <c r="C1561" s="2" t="s">
        <v>711</v>
      </c>
      <c r="D1561" s="2" t="s">
        <v>56</v>
      </c>
      <c r="E1561" s="67" t="s">
        <v>59</v>
      </c>
      <c r="F1561" s="12">
        <v>24</v>
      </c>
      <c r="G1561" s="12">
        <v>16</v>
      </c>
      <c r="H1561" s="12">
        <v>8</v>
      </c>
      <c r="J1561" s="2"/>
      <c r="K1561" s="2"/>
      <c r="L1561" s="2"/>
      <c r="M1561" s="2"/>
      <c r="N1561" s="2"/>
      <c r="O1561" s="2"/>
      <c r="P1561" s="2"/>
    </row>
    <row r="1562" spans="1:16" x14ac:dyDescent="0.4">
      <c r="A1562">
        <v>2012</v>
      </c>
      <c r="B1562" s="2" t="s">
        <v>412</v>
      </c>
      <c r="C1562" s="2" t="s">
        <v>711</v>
      </c>
      <c r="D1562" s="2" t="s">
        <v>56</v>
      </c>
      <c r="E1562" s="67" t="s">
        <v>60</v>
      </c>
      <c r="F1562" s="12">
        <v>2385</v>
      </c>
      <c r="G1562" s="12">
        <v>1497</v>
      </c>
      <c r="H1562" s="12">
        <v>888</v>
      </c>
      <c r="J1562" s="2"/>
      <c r="K1562" s="2"/>
      <c r="L1562" s="2"/>
      <c r="M1562" s="2"/>
      <c r="N1562" s="2"/>
      <c r="O1562" s="2"/>
      <c r="P1562" s="2"/>
    </row>
    <row r="1563" spans="1:16" x14ac:dyDescent="0.4">
      <c r="A1563">
        <v>2012</v>
      </c>
      <c r="B1563" s="2" t="s">
        <v>413</v>
      </c>
      <c r="C1563" s="2" t="s">
        <v>711</v>
      </c>
      <c r="D1563" s="2" t="s">
        <v>56</v>
      </c>
      <c r="E1563" s="67" t="s">
        <v>36</v>
      </c>
      <c r="F1563" s="12">
        <v>153</v>
      </c>
      <c r="G1563" s="12">
        <v>90</v>
      </c>
      <c r="H1563" s="12">
        <v>63</v>
      </c>
      <c r="J1563" s="2"/>
      <c r="K1563" s="2"/>
      <c r="L1563" s="2"/>
      <c r="M1563" s="2"/>
      <c r="N1563" s="2"/>
      <c r="O1563" s="2"/>
      <c r="P1563" s="2"/>
    </row>
    <row r="1564" spans="1:16" x14ac:dyDescent="0.4">
      <c r="A1564">
        <v>2012</v>
      </c>
      <c r="B1564" s="2" t="s">
        <v>414</v>
      </c>
      <c r="C1564" s="2" t="s">
        <v>711</v>
      </c>
      <c r="D1564" s="2" t="s">
        <v>56</v>
      </c>
      <c r="E1564" s="67" t="s">
        <v>61</v>
      </c>
      <c r="F1564" s="12">
        <v>84</v>
      </c>
      <c r="G1564" s="12">
        <v>58</v>
      </c>
      <c r="H1564" s="12">
        <v>26</v>
      </c>
      <c r="J1564" s="2"/>
      <c r="K1564" s="2"/>
      <c r="L1564" s="2"/>
      <c r="M1564" s="2"/>
      <c r="N1564" s="2"/>
      <c r="O1564" s="2"/>
      <c r="P1564" s="2"/>
    </row>
    <row r="1565" spans="1:16" x14ac:dyDescent="0.4">
      <c r="A1565">
        <v>2012</v>
      </c>
      <c r="B1565" s="2" t="s">
        <v>415</v>
      </c>
      <c r="C1565" s="2" t="s">
        <v>711</v>
      </c>
      <c r="D1565" s="2" t="s">
        <v>56</v>
      </c>
      <c r="E1565" s="67" t="s">
        <v>62</v>
      </c>
      <c r="F1565" s="12">
        <v>196</v>
      </c>
      <c r="G1565" s="12">
        <v>137</v>
      </c>
      <c r="H1565" s="12">
        <v>59</v>
      </c>
      <c r="J1565" s="2"/>
      <c r="K1565" s="2"/>
      <c r="L1565" s="2"/>
      <c r="M1565" s="2"/>
      <c r="N1565" s="2"/>
      <c r="O1565" s="2"/>
      <c r="P1565" s="2"/>
    </row>
    <row r="1566" spans="1:16" x14ac:dyDescent="0.4">
      <c r="A1566">
        <v>2012</v>
      </c>
      <c r="B1566" s="2" t="s">
        <v>416</v>
      </c>
      <c r="C1566" s="2" t="s">
        <v>711</v>
      </c>
      <c r="D1566" s="2" t="s">
        <v>56</v>
      </c>
      <c r="E1566" s="67" t="s">
        <v>63</v>
      </c>
      <c r="F1566" s="12">
        <v>96</v>
      </c>
      <c r="G1566" s="12">
        <v>73</v>
      </c>
      <c r="H1566" s="12">
        <v>23</v>
      </c>
      <c r="J1566" s="2"/>
      <c r="K1566" s="2"/>
      <c r="L1566" s="2"/>
      <c r="M1566" s="2"/>
      <c r="N1566" s="2"/>
      <c r="O1566" s="2"/>
      <c r="P1566" s="2"/>
    </row>
    <row r="1567" spans="1:16" x14ac:dyDescent="0.4">
      <c r="A1567">
        <v>2012</v>
      </c>
      <c r="B1567" s="2" t="s">
        <v>417</v>
      </c>
      <c r="C1567" s="2" t="s">
        <v>711</v>
      </c>
      <c r="D1567" s="2" t="s">
        <v>56</v>
      </c>
      <c r="E1567" s="67" t="s">
        <v>64</v>
      </c>
      <c r="F1567" s="12">
        <v>171</v>
      </c>
      <c r="G1567" s="12">
        <v>121</v>
      </c>
      <c r="H1567" s="12">
        <v>50</v>
      </c>
      <c r="J1567" s="2"/>
      <c r="K1567" s="2"/>
      <c r="L1567" s="2"/>
      <c r="M1567" s="2"/>
      <c r="N1567" s="2"/>
      <c r="O1567" s="2"/>
      <c r="P1567" s="2"/>
    </row>
    <row r="1568" spans="1:16" x14ac:dyDescent="0.4">
      <c r="A1568">
        <v>2012</v>
      </c>
      <c r="B1568" s="2" t="s">
        <v>418</v>
      </c>
      <c r="C1568" s="2" t="s">
        <v>711</v>
      </c>
      <c r="D1568" s="2" t="s">
        <v>56</v>
      </c>
      <c r="E1568" s="67" t="s">
        <v>65</v>
      </c>
      <c r="F1568" s="12">
        <v>98</v>
      </c>
      <c r="G1568" s="12">
        <v>61</v>
      </c>
      <c r="H1568" s="12">
        <v>37</v>
      </c>
      <c r="J1568" s="2"/>
      <c r="K1568" s="2"/>
      <c r="L1568" s="2"/>
      <c r="M1568" s="2"/>
      <c r="N1568" s="2"/>
      <c r="O1568" s="2"/>
      <c r="P1568" s="2"/>
    </row>
    <row r="1569" spans="1:16" x14ac:dyDescent="0.4">
      <c r="A1569">
        <v>2012</v>
      </c>
      <c r="B1569" s="2" t="s">
        <v>419</v>
      </c>
      <c r="C1569" s="2" t="s">
        <v>711</v>
      </c>
      <c r="D1569" s="2" t="s">
        <v>56</v>
      </c>
      <c r="E1569" s="67" t="s">
        <v>66</v>
      </c>
      <c r="F1569" s="12">
        <v>53</v>
      </c>
      <c r="G1569" s="12">
        <v>33</v>
      </c>
      <c r="H1569" s="12">
        <v>20</v>
      </c>
      <c r="J1569" s="2"/>
      <c r="K1569" s="2"/>
      <c r="L1569" s="2"/>
      <c r="M1569" s="2"/>
      <c r="N1569" s="2"/>
      <c r="O1569" s="2"/>
      <c r="P1569" s="2"/>
    </row>
    <row r="1570" spans="1:16" x14ac:dyDescent="0.4">
      <c r="A1570">
        <v>2012</v>
      </c>
      <c r="B1570" s="2" t="s">
        <v>420</v>
      </c>
      <c r="C1570" s="2" t="s">
        <v>712</v>
      </c>
      <c r="D1570" s="2" t="s">
        <v>68</v>
      </c>
      <c r="E1570" s="67" t="s">
        <v>67</v>
      </c>
      <c r="F1570" s="12">
        <v>4113</v>
      </c>
      <c r="G1570" s="12">
        <v>2561</v>
      </c>
      <c r="H1570" s="12">
        <v>1552</v>
      </c>
      <c r="J1570" s="2"/>
      <c r="K1570" s="2"/>
      <c r="L1570" s="2"/>
      <c r="M1570" s="2"/>
      <c r="N1570" s="2"/>
      <c r="O1570" s="2"/>
      <c r="P1570" s="2"/>
    </row>
    <row r="1571" spans="1:16" x14ac:dyDescent="0.4">
      <c r="A1571">
        <v>2012</v>
      </c>
      <c r="B1571" s="2" t="s">
        <v>421</v>
      </c>
      <c r="C1571" s="2" t="s">
        <v>712</v>
      </c>
      <c r="D1571" s="2" t="s">
        <v>68</v>
      </c>
      <c r="E1571" s="67" t="s">
        <v>69</v>
      </c>
      <c r="F1571" s="12">
        <v>216</v>
      </c>
      <c r="G1571" s="12">
        <v>142</v>
      </c>
      <c r="H1571" s="12">
        <v>74</v>
      </c>
      <c r="J1571" s="2"/>
      <c r="K1571" s="2"/>
      <c r="L1571" s="2"/>
      <c r="M1571" s="2"/>
      <c r="N1571" s="2"/>
      <c r="O1571" s="2"/>
      <c r="P1571" s="2"/>
    </row>
    <row r="1572" spans="1:16" x14ac:dyDescent="0.4">
      <c r="A1572">
        <v>2012</v>
      </c>
      <c r="B1572" s="2" t="s">
        <v>422</v>
      </c>
      <c r="C1572" s="2" t="s">
        <v>712</v>
      </c>
      <c r="D1572" s="2" t="s">
        <v>68</v>
      </c>
      <c r="E1572" s="67" t="s">
        <v>70</v>
      </c>
      <c r="F1572" s="12">
        <v>77</v>
      </c>
      <c r="G1572" s="12">
        <v>50</v>
      </c>
      <c r="H1572" s="12">
        <v>27</v>
      </c>
      <c r="J1572" s="2"/>
      <c r="K1572" s="2"/>
      <c r="L1572" s="2"/>
      <c r="M1572" s="2"/>
      <c r="N1572" s="2"/>
      <c r="O1572" s="2"/>
      <c r="P1572" s="2"/>
    </row>
    <row r="1573" spans="1:16" x14ac:dyDescent="0.4">
      <c r="A1573">
        <v>2012</v>
      </c>
      <c r="B1573" s="2" t="s">
        <v>423</v>
      </c>
      <c r="C1573" s="2" t="s">
        <v>712</v>
      </c>
      <c r="D1573" s="2" t="s">
        <v>68</v>
      </c>
      <c r="E1573" s="67" t="s">
        <v>71</v>
      </c>
      <c r="F1573" s="12">
        <v>75</v>
      </c>
      <c r="G1573" s="12">
        <v>55</v>
      </c>
      <c r="H1573" s="12">
        <v>20</v>
      </c>
      <c r="J1573" s="2"/>
      <c r="K1573" s="2"/>
      <c r="L1573" s="2"/>
      <c r="M1573" s="2"/>
      <c r="N1573" s="2"/>
      <c r="O1573" s="2"/>
      <c r="P1573" s="2"/>
    </row>
    <row r="1574" spans="1:16" x14ac:dyDescent="0.4">
      <c r="A1574">
        <v>2012</v>
      </c>
      <c r="B1574" s="2" t="s">
        <v>424</v>
      </c>
      <c r="C1574" s="2" t="s">
        <v>712</v>
      </c>
      <c r="D1574" s="2" t="s">
        <v>68</v>
      </c>
      <c r="E1574" s="67" t="s">
        <v>72</v>
      </c>
      <c r="F1574" s="12">
        <v>2209</v>
      </c>
      <c r="G1574" s="12">
        <v>1337</v>
      </c>
      <c r="H1574" s="12">
        <v>872</v>
      </c>
      <c r="J1574" s="2"/>
      <c r="K1574" s="2"/>
      <c r="L1574" s="2"/>
      <c r="M1574" s="2"/>
      <c r="N1574" s="2"/>
      <c r="O1574" s="2"/>
      <c r="P1574" s="2"/>
    </row>
    <row r="1575" spans="1:16" x14ac:dyDescent="0.4">
      <c r="A1575">
        <v>2012</v>
      </c>
      <c r="B1575" s="2" t="s">
        <v>425</v>
      </c>
      <c r="C1575" s="2" t="s">
        <v>712</v>
      </c>
      <c r="D1575" s="2" t="s">
        <v>68</v>
      </c>
      <c r="E1575" s="67" t="s">
        <v>73</v>
      </c>
      <c r="F1575" s="12">
        <v>36</v>
      </c>
      <c r="G1575" s="12">
        <v>23</v>
      </c>
      <c r="H1575" s="12">
        <v>13</v>
      </c>
      <c r="J1575" s="2"/>
      <c r="K1575" s="2"/>
      <c r="L1575" s="2"/>
      <c r="M1575" s="2"/>
      <c r="N1575" s="2"/>
      <c r="O1575" s="2"/>
      <c r="P1575" s="2"/>
    </row>
    <row r="1576" spans="1:16" x14ac:dyDescent="0.4">
      <c r="A1576">
        <v>2012</v>
      </c>
      <c r="B1576" s="2" t="s">
        <v>426</v>
      </c>
      <c r="C1576" s="2" t="s">
        <v>712</v>
      </c>
      <c r="D1576" s="2" t="s">
        <v>68</v>
      </c>
      <c r="E1576" s="67" t="s">
        <v>74</v>
      </c>
      <c r="F1576" s="12">
        <v>424</v>
      </c>
      <c r="G1576" s="12">
        <v>270</v>
      </c>
      <c r="H1576" s="12">
        <v>154</v>
      </c>
      <c r="J1576" s="2"/>
      <c r="K1576" s="2"/>
      <c r="L1576" s="2"/>
      <c r="M1576" s="2"/>
      <c r="N1576" s="2"/>
      <c r="O1576" s="2"/>
      <c r="P1576" s="2"/>
    </row>
    <row r="1577" spans="1:16" x14ac:dyDescent="0.4">
      <c r="A1577">
        <v>2012</v>
      </c>
      <c r="B1577" s="2" t="s">
        <v>427</v>
      </c>
      <c r="C1577" s="2" t="s">
        <v>712</v>
      </c>
      <c r="D1577" s="2" t="s">
        <v>68</v>
      </c>
      <c r="E1577" s="67" t="s">
        <v>75</v>
      </c>
      <c r="F1577" s="12">
        <v>64</v>
      </c>
      <c r="G1577" s="12">
        <v>49</v>
      </c>
      <c r="H1577" s="12">
        <v>15</v>
      </c>
      <c r="J1577" s="2"/>
      <c r="K1577" s="2"/>
      <c r="L1577" s="2"/>
      <c r="M1577" s="2"/>
      <c r="N1577" s="2"/>
      <c r="O1577" s="2"/>
      <c r="P1577" s="2"/>
    </row>
    <row r="1578" spans="1:16" x14ac:dyDescent="0.4">
      <c r="A1578">
        <v>2012</v>
      </c>
      <c r="B1578" s="2" t="s">
        <v>428</v>
      </c>
      <c r="C1578" s="2" t="s">
        <v>712</v>
      </c>
      <c r="D1578" s="2" t="s">
        <v>68</v>
      </c>
      <c r="E1578" s="67" t="s">
        <v>76</v>
      </c>
      <c r="F1578" s="12">
        <v>88</v>
      </c>
      <c r="G1578" s="12">
        <v>60</v>
      </c>
      <c r="H1578" s="12">
        <v>28</v>
      </c>
      <c r="J1578" s="2"/>
      <c r="K1578" s="2"/>
      <c r="L1578" s="2"/>
      <c r="M1578" s="2"/>
      <c r="N1578" s="2"/>
      <c r="O1578" s="2"/>
      <c r="P1578" s="2"/>
    </row>
    <row r="1579" spans="1:16" x14ac:dyDescent="0.4">
      <c r="A1579">
        <v>2012</v>
      </c>
      <c r="B1579" s="2" t="s">
        <v>429</v>
      </c>
      <c r="C1579" s="2" t="s">
        <v>712</v>
      </c>
      <c r="D1579" s="2" t="s">
        <v>68</v>
      </c>
      <c r="E1579" s="67" t="s">
        <v>77</v>
      </c>
      <c r="F1579" s="12">
        <v>156</v>
      </c>
      <c r="G1579" s="12">
        <v>104</v>
      </c>
      <c r="H1579" s="12">
        <v>52</v>
      </c>
      <c r="J1579" s="2"/>
      <c r="K1579" s="2"/>
      <c r="L1579" s="2"/>
      <c r="M1579" s="2"/>
      <c r="N1579" s="2"/>
      <c r="O1579" s="2"/>
      <c r="P1579" s="2"/>
    </row>
    <row r="1580" spans="1:16" x14ac:dyDescent="0.4">
      <c r="A1580">
        <v>2012</v>
      </c>
      <c r="B1580" s="2" t="s">
        <v>430</v>
      </c>
      <c r="C1580" s="2" t="s">
        <v>712</v>
      </c>
      <c r="D1580" s="2" t="s">
        <v>68</v>
      </c>
      <c r="E1580" s="67" t="s">
        <v>51</v>
      </c>
      <c r="F1580" s="12">
        <v>21</v>
      </c>
      <c r="G1580" s="12">
        <v>14</v>
      </c>
      <c r="H1580" s="12">
        <v>7</v>
      </c>
      <c r="J1580" s="2"/>
      <c r="K1580" s="2"/>
      <c r="L1580" s="2"/>
      <c r="M1580" s="2"/>
      <c r="N1580" s="2"/>
      <c r="O1580" s="2"/>
      <c r="P1580" s="2"/>
    </row>
    <row r="1581" spans="1:16" x14ac:dyDescent="0.4">
      <c r="A1581">
        <v>2012</v>
      </c>
      <c r="B1581" s="2" t="s">
        <v>431</v>
      </c>
      <c r="C1581" s="2" t="s">
        <v>713</v>
      </c>
      <c r="D1581" s="2" t="s">
        <v>79</v>
      </c>
      <c r="E1581" s="67" t="s">
        <v>78</v>
      </c>
      <c r="F1581" s="12">
        <v>266</v>
      </c>
      <c r="G1581" s="12">
        <v>156</v>
      </c>
      <c r="H1581" s="12">
        <v>110</v>
      </c>
      <c r="J1581" s="2"/>
      <c r="K1581" s="2"/>
      <c r="L1581" s="2"/>
      <c r="M1581" s="2"/>
      <c r="N1581" s="2"/>
      <c r="O1581" s="2"/>
      <c r="P1581" s="2"/>
    </row>
    <row r="1582" spans="1:16" x14ac:dyDescent="0.4">
      <c r="A1582">
        <v>2012</v>
      </c>
      <c r="B1582" s="2" t="s">
        <v>432</v>
      </c>
      <c r="C1582" s="2" t="s">
        <v>713</v>
      </c>
      <c r="D1582" s="2" t="s">
        <v>79</v>
      </c>
      <c r="E1582" s="67" t="s">
        <v>80</v>
      </c>
      <c r="F1582" s="12">
        <v>545</v>
      </c>
      <c r="G1582" s="12">
        <v>390</v>
      </c>
      <c r="H1582" s="12">
        <v>155</v>
      </c>
      <c r="J1582" s="2"/>
      <c r="K1582" s="2"/>
      <c r="L1582" s="2"/>
      <c r="M1582" s="2"/>
      <c r="N1582" s="2"/>
      <c r="O1582" s="2"/>
      <c r="P1582" s="2"/>
    </row>
    <row r="1583" spans="1:16" x14ac:dyDescent="0.4">
      <c r="A1583">
        <v>2012</v>
      </c>
      <c r="B1583" s="2" t="s">
        <v>433</v>
      </c>
      <c r="C1583" s="2" t="s">
        <v>713</v>
      </c>
      <c r="D1583" s="2" t="s">
        <v>79</v>
      </c>
      <c r="E1583" s="67" t="s">
        <v>81</v>
      </c>
      <c r="F1583" s="12">
        <v>521</v>
      </c>
      <c r="G1583" s="12">
        <v>361</v>
      </c>
      <c r="H1583" s="12">
        <v>160</v>
      </c>
      <c r="J1583" s="2"/>
      <c r="K1583" s="2"/>
      <c r="L1583" s="2"/>
      <c r="M1583" s="2"/>
      <c r="N1583" s="2"/>
      <c r="O1583" s="2"/>
      <c r="P1583" s="2"/>
    </row>
    <row r="1584" spans="1:16" x14ac:dyDescent="0.4">
      <c r="A1584">
        <v>2012</v>
      </c>
      <c r="B1584" s="2" t="s">
        <v>434</v>
      </c>
      <c r="C1584" s="2" t="s">
        <v>713</v>
      </c>
      <c r="D1584" s="2" t="s">
        <v>79</v>
      </c>
      <c r="E1584" s="67" t="s">
        <v>82</v>
      </c>
      <c r="F1584" s="12">
        <v>671</v>
      </c>
      <c r="G1584" s="12">
        <v>440</v>
      </c>
      <c r="H1584" s="12">
        <v>231</v>
      </c>
      <c r="J1584" s="2"/>
      <c r="K1584" s="2"/>
      <c r="L1584" s="2"/>
      <c r="M1584" s="2"/>
      <c r="N1584" s="2"/>
      <c r="O1584" s="2"/>
      <c r="P1584" s="2"/>
    </row>
    <row r="1585" spans="1:16" x14ac:dyDescent="0.4">
      <c r="A1585">
        <v>2012</v>
      </c>
      <c r="B1585" s="2" t="s">
        <v>435</v>
      </c>
      <c r="C1585" s="2" t="s">
        <v>713</v>
      </c>
      <c r="D1585" s="2" t="s">
        <v>79</v>
      </c>
      <c r="E1585" s="67" t="s">
        <v>83</v>
      </c>
      <c r="F1585" s="12">
        <v>225</v>
      </c>
      <c r="G1585" s="12">
        <v>150</v>
      </c>
      <c r="H1585" s="12">
        <v>75</v>
      </c>
      <c r="J1585" s="2"/>
      <c r="K1585" s="2"/>
      <c r="L1585" s="2"/>
      <c r="M1585" s="2"/>
      <c r="N1585" s="2"/>
      <c r="O1585" s="2"/>
      <c r="P1585" s="2"/>
    </row>
    <row r="1586" spans="1:16" x14ac:dyDescent="0.4">
      <c r="A1586">
        <v>2012</v>
      </c>
      <c r="B1586" s="2" t="s">
        <v>436</v>
      </c>
      <c r="C1586" s="2" t="s">
        <v>713</v>
      </c>
      <c r="D1586" s="2" t="s">
        <v>79</v>
      </c>
      <c r="E1586" s="67" t="s">
        <v>44</v>
      </c>
      <c r="F1586" s="12">
        <v>650</v>
      </c>
      <c r="G1586" s="12">
        <v>471</v>
      </c>
      <c r="H1586" s="12">
        <v>179</v>
      </c>
      <c r="J1586" s="2"/>
      <c r="K1586" s="2"/>
      <c r="L1586" s="2"/>
      <c r="M1586" s="2"/>
      <c r="N1586" s="2"/>
      <c r="O1586" s="2"/>
      <c r="P1586" s="2"/>
    </row>
    <row r="1587" spans="1:16" x14ac:dyDescent="0.4">
      <c r="A1587">
        <v>2012</v>
      </c>
      <c r="B1587" s="2" t="s">
        <v>437</v>
      </c>
      <c r="C1587" s="2" t="s">
        <v>713</v>
      </c>
      <c r="D1587" s="2" t="s">
        <v>79</v>
      </c>
      <c r="E1587" s="67" t="s">
        <v>84</v>
      </c>
      <c r="F1587" s="12">
        <v>348</v>
      </c>
      <c r="G1587" s="12">
        <v>235</v>
      </c>
      <c r="H1587" s="12">
        <v>113</v>
      </c>
      <c r="J1587" s="2"/>
      <c r="K1587" s="2"/>
      <c r="L1587" s="2"/>
      <c r="M1587" s="2"/>
      <c r="N1587" s="2"/>
      <c r="O1587" s="2"/>
      <c r="P1587" s="2"/>
    </row>
    <row r="1588" spans="1:16" x14ac:dyDescent="0.4">
      <c r="A1588">
        <v>2012</v>
      </c>
      <c r="B1588" s="2" t="s">
        <v>438</v>
      </c>
      <c r="C1588" s="2" t="s">
        <v>713</v>
      </c>
      <c r="D1588" s="2" t="s">
        <v>79</v>
      </c>
      <c r="E1588" s="67" t="s">
        <v>85</v>
      </c>
      <c r="F1588" s="12">
        <v>130</v>
      </c>
      <c r="G1588" s="12">
        <v>82</v>
      </c>
      <c r="H1588" s="12">
        <v>48</v>
      </c>
      <c r="J1588" s="2"/>
      <c r="K1588" s="2"/>
      <c r="L1588" s="2"/>
      <c r="M1588" s="2"/>
      <c r="N1588" s="2"/>
      <c r="O1588" s="2"/>
      <c r="P1588" s="2"/>
    </row>
    <row r="1589" spans="1:16" x14ac:dyDescent="0.4">
      <c r="A1589">
        <v>2012</v>
      </c>
      <c r="B1589" s="2" t="s">
        <v>439</v>
      </c>
      <c r="C1589" s="2" t="s">
        <v>713</v>
      </c>
      <c r="D1589" s="2" t="s">
        <v>79</v>
      </c>
      <c r="E1589" s="67" t="s">
        <v>86</v>
      </c>
      <c r="F1589" s="12">
        <v>80</v>
      </c>
      <c r="G1589" s="12">
        <v>49</v>
      </c>
      <c r="H1589" s="12">
        <v>31</v>
      </c>
      <c r="J1589" s="2"/>
      <c r="K1589" s="2"/>
      <c r="L1589" s="2"/>
      <c r="M1589" s="2"/>
      <c r="N1589" s="2"/>
      <c r="O1589" s="2"/>
      <c r="P1589" s="2"/>
    </row>
    <row r="1590" spans="1:16" x14ac:dyDescent="0.4">
      <c r="A1590">
        <v>2012</v>
      </c>
      <c r="B1590" s="2" t="s">
        <v>440</v>
      </c>
      <c r="C1590" s="2" t="s">
        <v>713</v>
      </c>
      <c r="D1590" s="2" t="s">
        <v>79</v>
      </c>
      <c r="E1590" s="67" t="s">
        <v>87</v>
      </c>
      <c r="F1590" s="12">
        <v>1756</v>
      </c>
      <c r="G1590" s="12">
        <v>972</v>
      </c>
      <c r="H1590" s="12">
        <v>784</v>
      </c>
      <c r="J1590" s="2"/>
      <c r="K1590" s="2"/>
      <c r="L1590" s="2"/>
      <c r="M1590" s="2"/>
      <c r="N1590" s="2"/>
      <c r="O1590" s="2"/>
      <c r="P1590" s="2"/>
    </row>
    <row r="1591" spans="1:16" x14ac:dyDescent="0.4">
      <c r="A1591">
        <v>2012</v>
      </c>
      <c r="B1591" s="2" t="s">
        <v>441</v>
      </c>
      <c r="C1591" s="2" t="s">
        <v>713</v>
      </c>
      <c r="D1591" s="2" t="s">
        <v>79</v>
      </c>
      <c r="E1591" s="67" t="s">
        <v>88</v>
      </c>
      <c r="F1591" s="12">
        <v>1313</v>
      </c>
      <c r="G1591" s="12">
        <v>797</v>
      </c>
      <c r="H1591" s="12">
        <v>516</v>
      </c>
      <c r="J1591" s="2"/>
      <c r="K1591" s="2"/>
      <c r="L1591" s="2"/>
      <c r="M1591" s="2"/>
      <c r="N1591" s="2"/>
      <c r="O1591" s="2"/>
      <c r="P1591" s="2"/>
    </row>
    <row r="1592" spans="1:16" x14ac:dyDescent="0.4">
      <c r="A1592">
        <v>2012</v>
      </c>
      <c r="B1592" s="2" t="s">
        <v>442</v>
      </c>
      <c r="C1592" s="2" t="s">
        <v>713</v>
      </c>
      <c r="D1592" s="2" t="s">
        <v>79</v>
      </c>
      <c r="E1592" s="67" t="s">
        <v>89</v>
      </c>
      <c r="F1592" s="12">
        <v>334</v>
      </c>
      <c r="G1592" s="12">
        <v>174</v>
      </c>
      <c r="H1592" s="12">
        <v>160</v>
      </c>
      <c r="J1592" s="2"/>
      <c r="K1592" s="2"/>
      <c r="L1592" s="2"/>
      <c r="M1592" s="2"/>
      <c r="N1592" s="2"/>
      <c r="O1592" s="2"/>
      <c r="P1592" s="2"/>
    </row>
    <row r="1593" spans="1:16" x14ac:dyDescent="0.4">
      <c r="A1593">
        <v>2012</v>
      </c>
      <c r="B1593" s="2" t="s">
        <v>443</v>
      </c>
      <c r="C1593" s="2" t="s">
        <v>713</v>
      </c>
      <c r="D1593" s="2" t="s">
        <v>79</v>
      </c>
      <c r="E1593" s="67" t="s">
        <v>90</v>
      </c>
      <c r="F1593" s="12">
        <v>193</v>
      </c>
      <c r="G1593" s="12">
        <v>132</v>
      </c>
      <c r="H1593" s="12">
        <v>61</v>
      </c>
      <c r="J1593" s="2"/>
      <c r="K1593" s="2"/>
      <c r="L1593" s="2"/>
      <c r="M1593" s="2"/>
      <c r="N1593" s="2"/>
      <c r="O1593" s="2"/>
      <c r="P1593" s="2"/>
    </row>
    <row r="1594" spans="1:16" x14ac:dyDescent="0.4">
      <c r="A1594">
        <v>2012</v>
      </c>
      <c r="B1594" s="2" t="s">
        <v>444</v>
      </c>
      <c r="C1594" s="2" t="s">
        <v>713</v>
      </c>
      <c r="D1594" s="2" t="s">
        <v>79</v>
      </c>
      <c r="E1594" s="67" t="s">
        <v>91</v>
      </c>
      <c r="F1594" s="12">
        <v>5444</v>
      </c>
      <c r="G1594" s="12">
        <v>3362</v>
      </c>
      <c r="H1594" s="12">
        <v>2082</v>
      </c>
      <c r="J1594" s="2"/>
      <c r="K1594" s="2"/>
      <c r="L1594" s="2"/>
      <c r="M1594" s="2"/>
      <c r="N1594" s="2"/>
      <c r="O1594" s="2"/>
      <c r="P1594" s="2"/>
    </row>
    <row r="1595" spans="1:16" x14ac:dyDescent="0.4">
      <c r="A1595">
        <v>2012</v>
      </c>
      <c r="B1595" s="2" t="s">
        <v>445</v>
      </c>
      <c r="C1595" s="2" t="s">
        <v>714</v>
      </c>
      <c r="D1595" s="2" t="s">
        <v>93</v>
      </c>
      <c r="E1595" s="67" t="s">
        <v>92</v>
      </c>
      <c r="F1595" s="12">
        <v>36</v>
      </c>
      <c r="G1595" s="12">
        <v>26</v>
      </c>
      <c r="H1595" s="12">
        <v>10</v>
      </c>
      <c r="J1595" s="2"/>
      <c r="K1595" s="2"/>
      <c r="L1595" s="2"/>
      <c r="M1595" s="2"/>
      <c r="N1595" s="2"/>
      <c r="O1595" s="2"/>
      <c r="P1595" s="2"/>
    </row>
    <row r="1596" spans="1:16" x14ac:dyDescent="0.4">
      <c r="A1596">
        <v>2012</v>
      </c>
      <c r="B1596" s="2" t="s">
        <v>446</v>
      </c>
      <c r="C1596" s="2" t="s">
        <v>714</v>
      </c>
      <c r="D1596" s="2" t="s">
        <v>93</v>
      </c>
      <c r="E1596" s="67" t="s">
        <v>94</v>
      </c>
      <c r="F1596" s="12">
        <v>395</v>
      </c>
      <c r="G1596" s="12">
        <v>252</v>
      </c>
      <c r="H1596" s="12">
        <v>143</v>
      </c>
      <c r="J1596" s="2"/>
      <c r="K1596" s="2"/>
      <c r="L1596" s="2"/>
      <c r="M1596" s="2"/>
      <c r="N1596" s="2"/>
      <c r="O1596" s="2"/>
      <c r="P1596" s="2"/>
    </row>
    <row r="1597" spans="1:16" x14ac:dyDescent="0.4">
      <c r="A1597">
        <v>2012</v>
      </c>
      <c r="B1597" s="2" t="s">
        <v>447</v>
      </c>
      <c r="C1597" s="2" t="s">
        <v>714</v>
      </c>
      <c r="D1597" s="2" t="s">
        <v>93</v>
      </c>
      <c r="E1597" s="67" t="s">
        <v>40</v>
      </c>
      <c r="F1597" s="12">
        <v>33</v>
      </c>
      <c r="G1597" s="12">
        <v>24</v>
      </c>
      <c r="H1597" s="12">
        <v>9</v>
      </c>
      <c r="J1597" s="2"/>
      <c r="K1597" s="2"/>
      <c r="L1597" s="2"/>
      <c r="M1597" s="2"/>
      <c r="N1597" s="2"/>
      <c r="O1597" s="2"/>
      <c r="P1597" s="2"/>
    </row>
    <row r="1598" spans="1:16" x14ac:dyDescent="0.4">
      <c r="A1598">
        <v>2012</v>
      </c>
      <c r="B1598" s="2" t="s">
        <v>448</v>
      </c>
      <c r="C1598" s="2" t="s">
        <v>714</v>
      </c>
      <c r="D1598" s="14" t="s">
        <v>93</v>
      </c>
      <c r="E1598" s="69" t="s">
        <v>95</v>
      </c>
      <c r="F1598" s="11">
        <v>27</v>
      </c>
      <c r="G1598" s="11">
        <v>16</v>
      </c>
      <c r="H1598" s="12">
        <v>11</v>
      </c>
      <c r="J1598" s="2"/>
      <c r="K1598" s="2"/>
      <c r="L1598" s="2"/>
      <c r="M1598" s="2"/>
      <c r="N1598" s="2"/>
      <c r="O1598" s="2"/>
      <c r="P1598" s="2"/>
    </row>
    <row r="1599" spans="1:16" x14ac:dyDescent="0.4">
      <c r="A1599">
        <v>2012</v>
      </c>
      <c r="B1599" s="2" t="s">
        <v>449</v>
      </c>
      <c r="C1599" s="2" t="s">
        <v>714</v>
      </c>
      <c r="D1599" s="2" t="s">
        <v>93</v>
      </c>
      <c r="E1599" s="67" t="s">
        <v>96</v>
      </c>
      <c r="F1599" s="12">
        <v>44</v>
      </c>
      <c r="G1599" s="12">
        <v>32</v>
      </c>
      <c r="H1599" s="12">
        <v>12</v>
      </c>
      <c r="J1599" s="2"/>
      <c r="K1599" s="2"/>
      <c r="L1599" s="2"/>
      <c r="M1599" s="2"/>
      <c r="N1599" s="2"/>
      <c r="O1599" s="2"/>
      <c r="P1599" s="2"/>
    </row>
    <row r="1600" spans="1:16" x14ac:dyDescent="0.4">
      <c r="A1600">
        <v>2012</v>
      </c>
      <c r="B1600" s="2" t="s">
        <v>450</v>
      </c>
      <c r="C1600" s="2" t="s">
        <v>714</v>
      </c>
      <c r="D1600" s="2" t="s">
        <v>93</v>
      </c>
      <c r="E1600" s="67" t="s">
        <v>97</v>
      </c>
      <c r="F1600" s="12">
        <v>42</v>
      </c>
      <c r="G1600" s="12">
        <v>29</v>
      </c>
      <c r="H1600" s="12">
        <v>13</v>
      </c>
      <c r="J1600" s="2"/>
      <c r="K1600" s="2"/>
      <c r="L1600" s="2"/>
      <c r="M1600" s="2"/>
      <c r="N1600" s="2"/>
      <c r="O1600" s="2"/>
      <c r="P1600" s="2"/>
    </row>
    <row r="1601" spans="1:16" x14ac:dyDescent="0.4">
      <c r="A1601">
        <v>2012</v>
      </c>
      <c r="B1601" s="2" t="s">
        <v>451</v>
      </c>
      <c r="C1601" s="2" t="s">
        <v>714</v>
      </c>
      <c r="D1601" s="2" t="s">
        <v>93</v>
      </c>
      <c r="E1601" s="67" t="s">
        <v>34</v>
      </c>
      <c r="F1601" s="12">
        <v>32</v>
      </c>
      <c r="G1601" s="12">
        <v>25</v>
      </c>
      <c r="H1601" s="12">
        <v>7</v>
      </c>
      <c r="J1601" s="2"/>
      <c r="K1601" s="2"/>
      <c r="L1601" s="2"/>
      <c r="M1601" s="2"/>
      <c r="N1601" s="2"/>
      <c r="O1601" s="2"/>
      <c r="P1601" s="2"/>
    </row>
    <row r="1602" spans="1:16" x14ac:dyDescent="0.4">
      <c r="A1602">
        <v>2012</v>
      </c>
      <c r="B1602" s="2" t="s">
        <v>452</v>
      </c>
      <c r="C1602" s="2" t="s">
        <v>714</v>
      </c>
      <c r="D1602" s="2" t="s">
        <v>93</v>
      </c>
      <c r="E1602" s="67" t="s">
        <v>98</v>
      </c>
      <c r="F1602" s="12">
        <v>822</v>
      </c>
      <c r="G1602" s="12">
        <v>518</v>
      </c>
      <c r="H1602" s="12">
        <v>304</v>
      </c>
      <c r="J1602" s="2"/>
      <c r="K1602" s="2"/>
      <c r="L1602" s="2"/>
      <c r="M1602" s="2"/>
      <c r="N1602" s="2"/>
      <c r="O1602" s="2"/>
      <c r="P1602" s="2"/>
    </row>
    <row r="1603" spans="1:16" x14ac:dyDescent="0.4">
      <c r="A1603">
        <v>2012</v>
      </c>
      <c r="B1603" s="2" t="s">
        <v>453</v>
      </c>
      <c r="C1603" s="2" t="s">
        <v>714</v>
      </c>
      <c r="D1603" s="2" t="s">
        <v>93</v>
      </c>
      <c r="E1603" s="67" t="s">
        <v>99</v>
      </c>
      <c r="F1603" s="12">
        <v>102</v>
      </c>
      <c r="G1603" s="12">
        <v>71</v>
      </c>
      <c r="H1603" s="12">
        <v>31</v>
      </c>
      <c r="J1603" s="2"/>
      <c r="K1603" s="2"/>
      <c r="L1603" s="2"/>
      <c r="M1603" s="2"/>
      <c r="N1603" s="2"/>
      <c r="O1603" s="2"/>
      <c r="P1603" s="2"/>
    </row>
    <row r="1604" spans="1:16" x14ac:dyDescent="0.4">
      <c r="A1604">
        <v>2012</v>
      </c>
      <c r="B1604" s="2" t="s">
        <v>454</v>
      </c>
      <c r="C1604" s="2" t="s">
        <v>715</v>
      </c>
      <c r="D1604" s="2" t="s">
        <v>101</v>
      </c>
      <c r="E1604" s="67" t="s">
        <v>100</v>
      </c>
      <c r="F1604" s="12">
        <v>52</v>
      </c>
      <c r="G1604" s="12">
        <v>28</v>
      </c>
      <c r="H1604" s="12">
        <v>24</v>
      </c>
      <c r="J1604" s="2"/>
      <c r="K1604" s="2"/>
      <c r="L1604" s="2"/>
      <c r="M1604" s="2"/>
      <c r="N1604" s="2"/>
      <c r="O1604" s="2"/>
      <c r="P1604" s="2"/>
    </row>
    <row r="1605" spans="1:16" x14ac:dyDescent="0.4">
      <c r="A1605">
        <v>2012</v>
      </c>
      <c r="B1605" s="2" t="s">
        <v>455</v>
      </c>
      <c r="C1605" s="2" t="s">
        <v>715</v>
      </c>
      <c r="D1605" s="2" t="s">
        <v>101</v>
      </c>
      <c r="E1605" s="67" t="s">
        <v>102</v>
      </c>
      <c r="F1605" s="12">
        <v>65</v>
      </c>
      <c r="G1605" s="12">
        <v>49</v>
      </c>
      <c r="H1605" s="12">
        <v>16</v>
      </c>
      <c r="J1605" s="2"/>
      <c r="K1605" s="2"/>
      <c r="L1605" s="2"/>
      <c r="M1605" s="2"/>
      <c r="N1605" s="2"/>
      <c r="O1605" s="2"/>
      <c r="P1605" s="2"/>
    </row>
    <row r="1606" spans="1:16" x14ac:dyDescent="0.4">
      <c r="A1606">
        <v>2012</v>
      </c>
      <c r="B1606" s="2" t="s">
        <v>456</v>
      </c>
      <c r="C1606" s="2" t="s">
        <v>715</v>
      </c>
      <c r="D1606" s="2" t="s">
        <v>101</v>
      </c>
      <c r="E1606" s="67" t="s">
        <v>103</v>
      </c>
      <c r="F1606" s="12">
        <v>31</v>
      </c>
      <c r="G1606" s="12">
        <v>13</v>
      </c>
      <c r="H1606" s="12">
        <v>18</v>
      </c>
      <c r="J1606" s="2"/>
      <c r="K1606" s="2"/>
      <c r="L1606" s="2"/>
      <c r="M1606" s="2"/>
      <c r="N1606" s="2"/>
      <c r="O1606" s="2"/>
      <c r="P1606" s="2"/>
    </row>
    <row r="1607" spans="1:16" x14ac:dyDescent="0.4">
      <c r="A1607">
        <v>2012</v>
      </c>
      <c r="B1607" s="2" t="s">
        <v>457</v>
      </c>
      <c r="C1607" s="2" t="s">
        <v>715</v>
      </c>
      <c r="D1607" s="2" t="s">
        <v>101</v>
      </c>
      <c r="E1607" s="67" t="s">
        <v>104</v>
      </c>
      <c r="F1607" s="12">
        <v>522</v>
      </c>
      <c r="G1607" s="12">
        <v>318</v>
      </c>
      <c r="H1607" s="12">
        <v>204</v>
      </c>
      <c r="J1607" s="2"/>
      <c r="K1607" s="2"/>
      <c r="L1607" s="2"/>
      <c r="M1607" s="2"/>
      <c r="N1607" s="2"/>
      <c r="O1607" s="2"/>
      <c r="P1607" s="2"/>
    </row>
    <row r="1608" spans="1:16" x14ac:dyDescent="0.4">
      <c r="A1608">
        <v>2012</v>
      </c>
      <c r="B1608" s="2" t="s">
        <v>458</v>
      </c>
      <c r="C1608" s="2" t="s">
        <v>716</v>
      </c>
      <c r="D1608" s="2" t="s">
        <v>129</v>
      </c>
      <c r="E1608" s="67" t="s">
        <v>128</v>
      </c>
      <c r="F1608" s="12">
        <v>31</v>
      </c>
      <c r="G1608" s="12">
        <v>18</v>
      </c>
      <c r="H1608" s="12">
        <v>13</v>
      </c>
      <c r="J1608" s="2"/>
      <c r="K1608" s="2"/>
      <c r="L1608" s="2"/>
      <c r="M1608" s="2"/>
      <c r="N1608" s="2"/>
      <c r="O1608" s="2"/>
      <c r="P1608" s="2"/>
    </row>
    <row r="1609" spans="1:16" x14ac:dyDescent="0.4">
      <c r="A1609">
        <v>2012</v>
      </c>
      <c r="B1609" s="2" t="s">
        <v>459</v>
      </c>
      <c r="C1609" s="2" t="s">
        <v>716</v>
      </c>
      <c r="D1609" s="2" t="s">
        <v>129</v>
      </c>
      <c r="E1609" s="67" t="s">
        <v>36</v>
      </c>
      <c r="F1609" s="12">
        <v>11</v>
      </c>
      <c r="G1609" s="12">
        <v>5</v>
      </c>
      <c r="H1609" s="12">
        <v>6</v>
      </c>
      <c r="J1609" s="2"/>
      <c r="K1609" s="2"/>
      <c r="L1609" s="2"/>
      <c r="M1609" s="2"/>
      <c r="N1609" s="2"/>
      <c r="O1609" s="2"/>
      <c r="P1609" s="2"/>
    </row>
    <row r="1610" spans="1:16" x14ac:dyDescent="0.4">
      <c r="A1610">
        <v>2012</v>
      </c>
      <c r="B1610" s="2" t="s">
        <v>460</v>
      </c>
      <c r="C1610" s="2" t="s">
        <v>716</v>
      </c>
      <c r="D1610" s="2" t="s">
        <v>129</v>
      </c>
      <c r="E1610" s="67" t="s">
        <v>130</v>
      </c>
      <c r="F1610" s="12">
        <v>50</v>
      </c>
      <c r="G1610" s="12">
        <v>32</v>
      </c>
      <c r="H1610" s="12">
        <v>18</v>
      </c>
      <c r="J1610" s="2"/>
      <c r="K1610" s="2"/>
      <c r="L1610" s="2"/>
      <c r="M1610" s="2"/>
      <c r="N1610" s="2"/>
      <c r="O1610" s="2"/>
      <c r="P1610" s="2"/>
    </row>
    <row r="1611" spans="1:16" x14ac:dyDescent="0.4">
      <c r="A1611">
        <v>2012</v>
      </c>
      <c r="B1611" s="2" t="s">
        <v>461</v>
      </c>
      <c r="C1611" s="2" t="s">
        <v>716</v>
      </c>
      <c r="D1611" s="2" t="s">
        <v>129</v>
      </c>
      <c r="E1611" s="67" t="s">
        <v>131</v>
      </c>
      <c r="F1611" s="12">
        <v>25</v>
      </c>
      <c r="G1611" s="12">
        <v>19</v>
      </c>
      <c r="H1611" s="12">
        <v>6</v>
      </c>
      <c r="J1611" s="2"/>
      <c r="K1611" s="2"/>
      <c r="L1611" s="2"/>
      <c r="M1611" s="2"/>
      <c r="N1611" s="2"/>
      <c r="O1611" s="2"/>
      <c r="P1611" s="2"/>
    </row>
    <row r="1612" spans="1:16" x14ac:dyDescent="0.4">
      <c r="A1612">
        <v>2012</v>
      </c>
      <c r="B1612" s="2" t="s">
        <v>462</v>
      </c>
      <c r="C1612" s="2" t="s">
        <v>716</v>
      </c>
      <c r="D1612" s="2" t="s">
        <v>129</v>
      </c>
      <c r="E1612" s="67" t="s">
        <v>132</v>
      </c>
      <c r="F1612" s="12">
        <v>1157</v>
      </c>
      <c r="G1612" s="12">
        <v>664</v>
      </c>
      <c r="H1612" s="12">
        <v>493</v>
      </c>
      <c r="J1612" s="2"/>
      <c r="K1612" s="2"/>
      <c r="L1612" s="2"/>
      <c r="M1612" s="2"/>
      <c r="N1612" s="2"/>
      <c r="O1612" s="2"/>
      <c r="P1612" s="2"/>
    </row>
    <row r="1613" spans="1:16" x14ac:dyDescent="0.4">
      <c r="A1613">
        <v>2012</v>
      </c>
      <c r="B1613" s="2" t="s">
        <v>463</v>
      </c>
      <c r="C1613" s="2" t="s">
        <v>716</v>
      </c>
      <c r="D1613" s="2" t="s">
        <v>129</v>
      </c>
      <c r="E1613" s="67" t="s">
        <v>133</v>
      </c>
      <c r="F1613" s="12">
        <v>62</v>
      </c>
      <c r="G1613" s="12">
        <v>36</v>
      </c>
      <c r="H1613" s="12">
        <v>26</v>
      </c>
      <c r="J1613" s="2"/>
      <c r="K1613" s="2"/>
      <c r="L1613" s="2"/>
      <c r="M1613" s="2"/>
      <c r="N1613" s="2"/>
      <c r="O1613" s="2"/>
      <c r="P1613" s="2"/>
    </row>
    <row r="1614" spans="1:16" x14ac:dyDescent="0.4">
      <c r="A1614">
        <v>2012</v>
      </c>
      <c r="B1614" s="2" t="s">
        <v>464</v>
      </c>
      <c r="C1614" s="2" t="s">
        <v>716</v>
      </c>
      <c r="D1614" s="2" t="s">
        <v>129</v>
      </c>
      <c r="E1614" s="67" t="s">
        <v>134</v>
      </c>
      <c r="F1614" s="12">
        <v>68</v>
      </c>
      <c r="G1614" s="12">
        <v>38</v>
      </c>
      <c r="H1614" s="12">
        <v>30</v>
      </c>
      <c r="J1614" s="2"/>
      <c r="K1614" s="2"/>
      <c r="L1614" s="2"/>
      <c r="M1614" s="2"/>
      <c r="N1614" s="2"/>
      <c r="O1614" s="2"/>
      <c r="P1614" s="2"/>
    </row>
    <row r="1615" spans="1:16" x14ac:dyDescent="0.4">
      <c r="A1615">
        <v>2012</v>
      </c>
      <c r="B1615" s="2" t="s">
        <v>465</v>
      </c>
      <c r="C1615" s="2" t="s">
        <v>716</v>
      </c>
      <c r="D1615" s="2" t="s">
        <v>129</v>
      </c>
      <c r="E1615" s="67" t="s">
        <v>135</v>
      </c>
      <c r="F1615" s="12">
        <v>21</v>
      </c>
      <c r="G1615" s="12">
        <v>14</v>
      </c>
      <c r="H1615" s="12">
        <v>7</v>
      </c>
      <c r="J1615" s="2"/>
      <c r="K1615" s="2"/>
      <c r="L1615" s="2"/>
      <c r="M1615" s="2"/>
      <c r="N1615" s="2"/>
      <c r="O1615" s="2"/>
      <c r="P1615" s="2"/>
    </row>
    <row r="1616" spans="1:16" x14ac:dyDescent="0.4">
      <c r="A1616">
        <v>2012</v>
      </c>
      <c r="B1616" s="2" t="s">
        <v>466</v>
      </c>
      <c r="C1616" s="2" t="s">
        <v>716</v>
      </c>
      <c r="D1616" s="2" t="s">
        <v>129</v>
      </c>
      <c r="E1616" s="67" t="s">
        <v>94</v>
      </c>
      <c r="F1616" s="12">
        <v>129</v>
      </c>
      <c r="G1616" s="12">
        <v>87</v>
      </c>
      <c r="H1616" s="12">
        <v>42</v>
      </c>
      <c r="J1616" s="2"/>
      <c r="K1616" s="2"/>
      <c r="L1616" s="2"/>
      <c r="M1616" s="2"/>
      <c r="N1616" s="2"/>
      <c r="O1616" s="2"/>
      <c r="P1616" s="2"/>
    </row>
    <row r="1617" spans="1:16" x14ac:dyDescent="0.4">
      <c r="A1617">
        <v>2012</v>
      </c>
      <c r="B1617" s="2" t="s">
        <v>467</v>
      </c>
      <c r="C1617" s="2" t="s">
        <v>716</v>
      </c>
      <c r="D1617" s="2" t="s">
        <v>129</v>
      </c>
      <c r="E1617" s="67" t="s">
        <v>136</v>
      </c>
      <c r="F1617" s="12">
        <v>105</v>
      </c>
      <c r="G1617" s="12">
        <v>58</v>
      </c>
      <c r="H1617" s="12">
        <v>47</v>
      </c>
      <c r="J1617" s="2"/>
      <c r="K1617" s="2"/>
      <c r="L1617" s="2"/>
      <c r="M1617" s="2"/>
      <c r="N1617" s="2"/>
      <c r="O1617" s="2"/>
      <c r="P1617" s="2"/>
    </row>
    <row r="1618" spans="1:16" x14ac:dyDescent="0.4">
      <c r="A1618">
        <v>2012</v>
      </c>
      <c r="B1618" s="2" t="s">
        <v>468</v>
      </c>
      <c r="C1618" s="2" t="s">
        <v>716</v>
      </c>
      <c r="D1618" s="2" t="s">
        <v>129</v>
      </c>
      <c r="E1618" s="67" t="s">
        <v>137</v>
      </c>
      <c r="F1618" s="12">
        <v>16</v>
      </c>
      <c r="G1618" s="12">
        <v>13</v>
      </c>
      <c r="H1618" s="12">
        <v>3</v>
      </c>
      <c r="J1618" s="2"/>
      <c r="K1618" s="2"/>
      <c r="L1618" s="2"/>
      <c r="M1618" s="2"/>
      <c r="N1618" s="2"/>
      <c r="O1618" s="2"/>
      <c r="P1618" s="2"/>
    </row>
    <row r="1619" spans="1:16" x14ac:dyDescent="0.4">
      <c r="A1619">
        <v>2012</v>
      </c>
      <c r="B1619" s="2" t="s">
        <v>469</v>
      </c>
      <c r="C1619" s="2" t="s">
        <v>716</v>
      </c>
      <c r="D1619" s="2" t="s">
        <v>129</v>
      </c>
      <c r="E1619" s="67" t="s">
        <v>138</v>
      </c>
      <c r="F1619" s="12">
        <v>118</v>
      </c>
      <c r="G1619" s="12">
        <v>75</v>
      </c>
      <c r="H1619" s="12">
        <v>43</v>
      </c>
      <c r="J1619" s="2"/>
      <c r="K1619" s="2"/>
      <c r="L1619" s="2"/>
      <c r="M1619" s="2"/>
      <c r="N1619" s="2"/>
      <c r="O1619" s="2"/>
      <c r="P1619" s="2"/>
    </row>
    <row r="1620" spans="1:16" x14ac:dyDescent="0.4">
      <c r="A1620">
        <v>2012</v>
      </c>
      <c r="B1620" s="2" t="s">
        <v>470</v>
      </c>
      <c r="C1620" s="2" t="s">
        <v>716</v>
      </c>
      <c r="D1620" s="2" t="s">
        <v>129</v>
      </c>
      <c r="E1620" s="67" t="s">
        <v>139</v>
      </c>
      <c r="F1620" s="12">
        <v>77</v>
      </c>
      <c r="G1620" s="12">
        <v>49</v>
      </c>
      <c r="H1620" s="12">
        <v>28</v>
      </c>
      <c r="J1620" s="2"/>
      <c r="K1620" s="2"/>
      <c r="L1620" s="2"/>
      <c r="M1620" s="2"/>
      <c r="N1620" s="2"/>
      <c r="O1620" s="2"/>
      <c r="P1620" s="2"/>
    </row>
    <row r="1621" spans="1:16" x14ac:dyDescent="0.4">
      <c r="A1621">
        <v>2012</v>
      </c>
      <c r="B1621" s="2" t="s">
        <v>471</v>
      </c>
      <c r="C1621" s="2" t="s">
        <v>716</v>
      </c>
      <c r="D1621" s="2" t="s">
        <v>129</v>
      </c>
      <c r="E1621" s="67" t="s">
        <v>85</v>
      </c>
      <c r="F1621" s="12">
        <v>1544</v>
      </c>
      <c r="G1621" s="12">
        <v>866</v>
      </c>
      <c r="H1621" s="12">
        <v>678</v>
      </c>
      <c r="J1621" s="2"/>
      <c r="K1621" s="2"/>
      <c r="L1621" s="2"/>
      <c r="M1621" s="2"/>
      <c r="N1621" s="2"/>
      <c r="O1621" s="2"/>
      <c r="P1621" s="2"/>
    </row>
    <row r="1622" spans="1:16" x14ac:dyDescent="0.4">
      <c r="A1622">
        <v>2012</v>
      </c>
      <c r="B1622" s="2" t="s">
        <v>472</v>
      </c>
      <c r="C1622" s="2" t="s">
        <v>716</v>
      </c>
      <c r="D1622" s="2" t="s">
        <v>129</v>
      </c>
      <c r="E1622" s="67" t="s">
        <v>140</v>
      </c>
      <c r="F1622" s="12">
        <v>64</v>
      </c>
      <c r="G1622" s="12">
        <v>45</v>
      </c>
      <c r="H1622" s="12">
        <v>19</v>
      </c>
      <c r="J1622" s="2"/>
      <c r="K1622" s="2"/>
      <c r="L1622" s="2"/>
      <c r="M1622" s="2"/>
      <c r="N1622" s="2"/>
      <c r="O1622" s="2"/>
      <c r="P1622" s="2"/>
    </row>
    <row r="1623" spans="1:16" x14ac:dyDescent="0.4">
      <c r="A1623">
        <v>2012</v>
      </c>
      <c r="B1623" s="2" t="s">
        <v>473</v>
      </c>
      <c r="C1623" s="2" t="s">
        <v>716</v>
      </c>
      <c r="D1623" s="2" t="s">
        <v>129</v>
      </c>
      <c r="E1623" s="67" t="s">
        <v>141</v>
      </c>
      <c r="F1623" s="12">
        <v>5</v>
      </c>
      <c r="G1623" s="12">
        <v>4</v>
      </c>
      <c r="H1623" s="12">
        <v>1</v>
      </c>
      <c r="J1623" s="2"/>
      <c r="K1623" s="2"/>
      <c r="L1623" s="2"/>
      <c r="M1623" s="2"/>
      <c r="N1623" s="2"/>
      <c r="O1623" s="2"/>
      <c r="P1623" s="2"/>
    </row>
    <row r="1624" spans="1:16" x14ac:dyDescent="0.4">
      <c r="A1624">
        <v>2012</v>
      </c>
      <c r="B1624" s="2" t="s">
        <v>474</v>
      </c>
      <c r="C1624" s="2" t="s">
        <v>716</v>
      </c>
      <c r="D1624" s="2" t="s">
        <v>129</v>
      </c>
      <c r="E1624" s="67" t="s">
        <v>143</v>
      </c>
      <c r="F1624" s="12">
        <v>19</v>
      </c>
      <c r="G1624" s="12">
        <v>11</v>
      </c>
      <c r="H1624" s="12">
        <v>8</v>
      </c>
      <c r="J1624" s="2"/>
      <c r="K1624" s="2"/>
      <c r="L1624" s="2"/>
      <c r="M1624" s="2"/>
      <c r="N1624" s="2"/>
      <c r="O1624" s="2"/>
      <c r="P1624" s="2"/>
    </row>
    <row r="1625" spans="1:16" x14ac:dyDescent="0.4">
      <c r="A1625">
        <v>2012</v>
      </c>
      <c r="B1625" s="2" t="s">
        <v>475</v>
      </c>
      <c r="C1625" s="2" t="s">
        <v>716</v>
      </c>
      <c r="D1625" s="2" t="s">
        <v>129</v>
      </c>
      <c r="E1625" s="67" t="s">
        <v>21</v>
      </c>
      <c r="F1625" s="12">
        <v>33</v>
      </c>
      <c r="G1625" s="12">
        <v>19</v>
      </c>
      <c r="H1625" s="12">
        <v>14</v>
      </c>
      <c r="J1625" s="2"/>
      <c r="K1625" s="2"/>
      <c r="L1625" s="2"/>
      <c r="M1625" s="2"/>
      <c r="N1625" s="2"/>
      <c r="O1625" s="2"/>
      <c r="P1625" s="2"/>
    </row>
    <row r="1626" spans="1:16" x14ac:dyDescent="0.4">
      <c r="A1626">
        <v>2012</v>
      </c>
      <c r="B1626" s="2" t="s">
        <v>476</v>
      </c>
      <c r="C1626" s="2" t="s">
        <v>716</v>
      </c>
      <c r="D1626" s="2" t="s">
        <v>129</v>
      </c>
      <c r="E1626" s="67" t="s">
        <v>144</v>
      </c>
      <c r="F1626" s="12">
        <v>42</v>
      </c>
      <c r="G1626" s="12">
        <v>29</v>
      </c>
      <c r="H1626" s="12">
        <v>13</v>
      </c>
      <c r="J1626" s="2"/>
      <c r="K1626" s="2"/>
      <c r="L1626" s="2"/>
      <c r="M1626" s="2"/>
      <c r="N1626" s="2"/>
      <c r="O1626" s="2"/>
      <c r="P1626" s="2"/>
    </row>
    <row r="1627" spans="1:16" x14ac:dyDescent="0.4">
      <c r="A1627">
        <v>2012</v>
      </c>
      <c r="B1627" s="2" t="s">
        <v>477</v>
      </c>
      <c r="C1627" s="2" t="s">
        <v>716</v>
      </c>
      <c r="D1627" s="2" t="s">
        <v>129</v>
      </c>
      <c r="E1627" s="67" t="s">
        <v>145</v>
      </c>
      <c r="F1627" s="12">
        <v>224</v>
      </c>
      <c r="G1627" s="12">
        <v>159</v>
      </c>
      <c r="H1627" s="12">
        <v>65</v>
      </c>
      <c r="J1627" s="2"/>
      <c r="K1627" s="2"/>
      <c r="L1627" s="2"/>
      <c r="M1627" s="2"/>
      <c r="N1627" s="2"/>
      <c r="O1627" s="2"/>
      <c r="P1627" s="2"/>
    </row>
    <row r="1628" spans="1:16" x14ac:dyDescent="0.4">
      <c r="A1628">
        <v>2012</v>
      </c>
      <c r="B1628" s="2" t="s">
        <v>478</v>
      </c>
      <c r="C1628" s="2" t="s">
        <v>716</v>
      </c>
      <c r="D1628" s="2" t="s">
        <v>129</v>
      </c>
      <c r="E1628" s="67" t="s">
        <v>51</v>
      </c>
      <c r="F1628" s="12">
        <v>21</v>
      </c>
      <c r="G1628" s="12">
        <v>9</v>
      </c>
      <c r="H1628" s="12">
        <v>12</v>
      </c>
      <c r="J1628" s="2"/>
      <c r="K1628" s="2"/>
      <c r="L1628" s="2"/>
      <c r="M1628" s="2"/>
      <c r="N1628" s="2"/>
      <c r="O1628" s="2"/>
      <c r="P1628" s="2"/>
    </row>
    <row r="1629" spans="1:16" x14ac:dyDescent="0.4">
      <c r="A1629">
        <v>2012</v>
      </c>
      <c r="B1629" s="2" t="s">
        <v>479</v>
      </c>
      <c r="C1629" s="2" t="s">
        <v>716</v>
      </c>
      <c r="D1629" s="2" t="s">
        <v>129</v>
      </c>
      <c r="E1629" s="67" t="s">
        <v>146</v>
      </c>
      <c r="F1629" s="12">
        <v>27</v>
      </c>
      <c r="G1629" s="12">
        <v>13</v>
      </c>
      <c r="H1629" s="12">
        <v>14</v>
      </c>
      <c r="J1629" s="2"/>
      <c r="K1629" s="2"/>
      <c r="L1629" s="2"/>
      <c r="M1629" s="2"/>
      <c r="N1629" s="2"/>
      <c r="O1629" s="2"/>
      <c r="P1629" s="2"/>
    </row>
    <row r="1630" spans="1:16" x14ac:dyDescent="0.4">
      <c r="A1630">
        <v>2012</v>
      </c>
      <c r="B1630" s="2" t="s">
        <v>480</v>
      </c>
      <c r="C1630" s="2" t="s">
        <v>716</v>
      </c>
      <c r="D1630" s="2" t="s">
        <v>129</v>
      </c>
      <c r="E1630" s="67" t="s">
        <v>147</v>
      </c>
      <c r="F1630" s="12">
        <v>20</v>
      </c>
      <c r="G1630" s="12">
        <v>11</v>
      </c>
      <c r="H1630" s="12">
        <v>9</v>
      </c>
      <c r="J1630" s="2"/>
      <c r="K1630" s="2"/>
      <c r="L1630" s="2"/>
      <c r="M1630" s="2"/>
      <c r="N1630" s="2"/>
      <c r="O1630" s="2"/>
      <c r="P1630" s="2"/>
    </row>
    <row r="1631" spans="1:16" x14ac:dyDescent="0.4">
      <c r="A1631">
        <v>2012</v>
      </c>
      <c r="B1631" s="2" t="s">
        <v>481</v>
      </c>
      <c r="C1631" s="2" t="s">
        <v>716</v>
      </c>
      <c r="D1631" s="2" t="s">
        <v>129</v>
      </c>
      <c r="E1631" s="67" t="s">
        <v>148</v>
      </c>
      <c r="F1631" s="12">
        <v>26</v>
      </c>
      <c r="G1631" s="12">
        <v>14</v>
      </c>
      <c r="H1631" s="12">
        <v>12</v>
      </c>
      <c r="J1631" s="2"/>
      <c r="K1631" s="2"/>
      <c r="L1631" s="2"/>
      <c r="M1631" s="2"/>
      <c r="N1631" s="2"/>
      <c r="O1631" s="2"/>
      <c r="P1631" s="2"/>
    </row>
    <row r="1632" spans="1:16" x14ac:dyDescent="0.4">
      <c r="A1632">
        <v>2012</v>
      </c>
      <c r="B1632" s="2" t="s">
        <v>482</v>
      </c>
      <c r="C1632" s="2" t="s">
        <v>716</v>
      </c>
      <c r="D1632" s="2" t="s">
        <v>129</v>
      </c>
      <c r="E1632" s="67" t="s">
        <v>54</v>
      </c>
      <c r="F1632" s="12">
        <v>45</v>
      </c>
      <c r="G1632" s="12">
        <v>32</v>
      </c>
      <c r="H1632" s="12">
        <v>13</v>
      </c>
      <c r="J1632" s="2"/>
      <c r="K1632" s="2"/>
      <c r="L1632" s="2"/>
      <c r="M1632" s="2"/>
      <c r="N1632" s="2"/>
      <c r="O1632" s="2"/>
      <c r="P1632" s="2"/>
    </row>
    <row r="1633" spans="1:16" x14ac:dyDescent="0.4">
      <c r="A1633">
        <v>2012</v>
      </c>
      <c r="B1633" s="2" t="s">
        <v>483</v>
      </c>
      <c r="C1633" s="2" t="s">
        <v>717</v>
      </c>
      <c r="D1633" s="2" t="s">
        <v>150</v>
      </c>
      <c r="E1633" s="67" t="s">
        <v>149</v>
      </c>
      <c r="F1633" s="12">
        <v>76</v>
      </c>
      <c r="G1633" s="12">
        <v>45</v>
      </c>
      <c r="H1633" s="12">
        <v>31</v>
      </c>
      <c r="J1633" s="2"/>
      <c r="K1633" s="2"/>
      <c r="L1633" s="2"/>
      <c r="M1633" s="2"/>
      <c r="N1633" s="2"/>
      <c r="O1633" s="2"/>
      <c r="P1633" s="2"/>
    </row>
    <row r="1634" spans="1:16" x14ac:dyDescent="0.4">
      <c r="A1634">
        <v>2012</v>
      </c>
      <c r="B1634" s="2" t="s">
        <v>484</v>
      </c>
      <c r="C1634" s="2" t="s">
        <v>717</v>
      </c>
      <c r="D1634" s="2" t="s">
        <v>150</v>
      </c>
      <c r="E1634" s="67" t="s">
        <v>151</v>
      </c>
      <c r="F1634" s="12">
        <v>47</v>
      </c>
      <c r="G1634" s="12">
        <v>30</v>
      </c>
      <c r="H1634" s="12">
        <v>17</v>
      </c>
      <c r="J1634" s="2"/>
      <c r="K1634" s="2"/>
      <c r="L1634" s="2"/>
      <c r="M1634" s="2"/>
      <c r="N1634" s="2"/>
      <c r="O1634" s="2"/>
      <c r="P1634" s="2"/>
    </row>
    <row r="1635" spans="1:16" x14ac:dyDescent="0.4">
      <c r="A1635">
        <v>2012</v>
      </c>
      <c r="B1635" s="2" t="s">
        <v>485</v>
      </c>
      <c r="C1635" s="2" t="s">
        <v>717</v>
      </c>
      <c r="D1635" s="2" t="s">
        <v>150</v>
      </c>
      <c r="E1635" s="67" t="s">
        <v>152</v>
      </c>
      <c r="F1635" s="12">
        <v>42</v>
      </c>
      <c r="G1635" s="12">
        <v>27</v>
      </c>
      <c r="H1635" s="12">
        <v>15</v>
      </c>
      <c r="J1635" s="2"/>
      <c r="K1635" s="2"/>
      <c r="L1635" s="2"/>
      <c r="M1635" s="2"/>
      <c r="N1635" s="2"/>
      <c r="O1635" s="2"/>
      <c r="P1635" s="2"/>
    </row>
    <row r="1636" spans="1:16" x14ac:dyDescent="0.4">
      <c r="A1636">
        <v>2012</v>
      </c>
      <c r="B1636" s="2" t="s">
        <v>486</v>
      </c>
      <c r="C1636" s="2" t="s">
        <v>717</v>
      </c>
      <c r="D1636" s="2" t="s">
        <v>150</v>
      </c>
      <c r="E1636" s="67" t="s">
        <v>153</v>
      </c>
      <c r="F1636" s="12">
        <v>38</v>
      </c>
      <c r="G1636" s="12">
        <v>26</v>
      </c>
      <c r="H1636" s="12">
        <v>12</v>
      </c>
      <c r="J1636" s="2"/>
      <c r="K1636" s="2"/>
      <c r="L1636" s="2"/>
      <c r="M1636" s="2"/>
      <c r="N1636" s="2"/>
      <c r="O1636" s="2"/>
      <c r="P1636" s="2"/>
    </row>
    <row r="1637" spans="1:16" x14ac:dyDescent="0.4">
      <c r="A1637">
        <v>2012</v>
      </c>
      <c r="B1637" s="2" t="s">
        <v>487</v>
      </c>
      <c r="C1637" s="2" t="s">
        <v>717</v>
      </c>
      <c r="D1637" s="2" t="s">
        <v>150</v>
      </c>
      <c r="E1637" s="67" t="s">
        <v>154</v>
      </c>
      <c r="F1637" s="12">
        <v>874</v>
      </c>
      <c r="G1637" s="12">
        <v>537</v>
      </c>
      <c r="H1637" s="12">
        <v>337</v>
      </c>
      <c r="J1637" s="2"/>
      <c r="K1637" s="2"/>
      <c r="L1637" s="2"/>
      <c r="M1637" s="2"/>
      <c r="N1637" s="2"/>
      <c r="O1637" s="2"/>
      <c r="P1637" s="2"/>
    </row>
    <row r="1638" spans="1:16" x14ac:dyDescent="0.4">
      <c r="A1638">
        <v>2012</v>
      </c>
      <c r="B1638" s="2" t="s">
        <v>488</v>
      </c>
      <c r="C1638" s="2" t="s">
        <v>717</v>
      </c>
      <c r="D1638" s="2" t="s">
        <v>150</v>
      </c>
      <c r="E1638" s="67" t="s">
        <v>155</v>
      </c>
      <c r="F1638" s="12">
        <v>112</v>
      </c>
      <c r="G1638" s="12">
        <v>75</v>
      </c>
      <c r="H1638" s="12">
        <v>37</v>
      </c>
      <c r="J1638" s="2"/>
      <c r="K1638" s="2"/>
      <c r="L1638" s="2"/>
      <c r="M1638" s="2"/>
      <c r="N1638" s="2"/>
      <c r="O1638" s="2"/>
      <c r="P1638" s="2"/>
    </row>
    <row r="1639" spans="1:16" x14ac:dyDescent="0.4">
      <c r="A1639">
        <v>2012</v>
      </c>
      <c r="B1639" s="2" t="s">
        <v>489</v>
      </c>
      <c r="C1639" s="2" t="s">
        <v>717</v>
      </c>
      <c r="D1639" s="2" t="s">
        <v>150</v>
      </c>
      <c r="E1639" s="67" t="s">
        <v>156</v>
      </c>
      <c r="F1639" s="12">
        <v>132</v>
      </c>
      <c r="G1639" s="12">
        <v>92</v>
      </c>
      <c r="H1639" s="12">
        <v>40</v>
      </c>
      <c r="J1639" s="2"/>
      <c r="K1639" s="2"/>
      <c r="L1639" s="2"/>
      <c r="M1639" s="2"/>
      <c r="N1639" s="2"/>
      <c r="O1639" s="2"/>
      <c r="P1639" s="2"/>
    </row>
    <row r="1640" spans="1:16" x14ac:dyDescent="0.4">
      <c r="A1640">
        <v>2012</v>
      </c>
      <c r="B1640" s="2" t="s">
        <v>490</v>
      </c>
      <c r="C1640" s="2" t="s">
        <v>717</v>
      </c>
      <c r="D1640" s="2" t="s">
        <v>150</v>
      </c>
      <c r="E1640" s="67" t="s">
        <v>85</v>
      </c>
      <c r="F1640" s="12">
        <v>649</v>
      </c>
      <c r="G1640" s="12">
        <v>420</v>
      </c>
      <c r="H1640" s="12">
        <v>229</v>
      </c>
      <c r="J1640" s="2"/>
      <c r="K1640" s="2"/>
      <c r="L1640" s="2"/>
      <c r="M1640" s="2"/>
      <c r="N1640" s="2"/>
      <c r="O1640" s="2"/>
      <c r="P1640" s="2"/>
    </row>
    <row r="1641" spans="1:16" x14ac:dyDescent="0.4">
      <c r="A1641">
        <v>2012</v>
      </c>
      <c r="B1641" s="2" t="s">
        <v>491</v>
      </c>
      <c r="C1641" s="2" t="s">
        <v>717</v>
      </c>
      <c r="D1641" s="2" t="s">
        <v>150</v>
      </c>
      <c r="E1641" s="67" t="s">
        <v>157</v>
      </c>
      <c r="F1641" s="12">
        <v>357</v>
      </c>
      <c r="G1641" s="12">
        <v>220</v>
      </c>
      <c r="H1641" s="12">
        <v>137</v>
      </c>
      <c r="J1641" s="2"/>
      <c r="K1641" s="2"/>
      <c r="L1641" s="2"/>
      <c r="M1641" s="2"/>
      <c r="N1641" s="2"/>
      <c r="O1641" s="2"/>
      <c r="P1641" s="2"/>
    </row>
    <row r="1642" spans="1:16" x14ac:dyDescent="0.4">
      <c r="A1642">
        <v>2012</v>
      </c>
      <c r="B1642" s="2" t="s">
        <v>492</v>
      </c>
      <c r="C1642" s="2" t="s">
        <v>717</v>
      </c>
      <c r="D1642" s="2" t="s">
        <v>150</v>
      </c>
      <c r="E1642" s="67" t="s">
        <v>158</v>
      </c>
      <c r="F1642" s="12">
        <v>68</v>
      </c>
      <c r="G1642" s="12">
        <v>48</v>
      </c>
      <c r="H1642" s="12">
        <v>20</v>
      </c>
      <c r="J1642" s="2"/>
      <c r="K1642" s="2"/>
      <c r="L1642" s="2"/>
      <c r="M1642" s="2"/>
      <c r="N1642" s="2"/>
      <c r="O1642" s="2"/>
      <c r="P1642" s="2"/>
    </row>
    <row r="1643" spans="1:16" x14ac:dyDescent="0.4">
      <c r="A1643">
        <v>2012</v>
      </c>
      <c r="B1643" s="2" t="s">
        <v>493</v>
      </c>
      <c r="C1643" s="2" t="s">
        <v>717</v>
      </c>
      <c r="D1643" s="2" t="s">
        <v>150</v>
      </c>
      <c r="E1643" s="67" t="s">
        <v>159</v>
      </c>
      <c r="F1643" s="12">
        <v>102</v>
      </c>
      <c r="G1643" s="12">
        <v>70</v>
      </c>
      <c r="H1643" s="12">
        <v>32</v>
      </c>
      <c r="J1643" s="2"/>
      <c r="K1643" s="2"/>
      <c r="L1643" s="2"/>
      <c r="M1643" s="2"/>
      <c r="N1643" s="2"/>
      <c r="O1643" s="2"/>
      <c r="P1643" s="2"/>
    </row>
    <row r="1644" spans="1:16" x14ac:dyDescent="0.4">
      <c r="A1644">
        <v>2012</v>
      </c>
      <c r="B1644" s="2" t="s">
        <v>494</v>
      </c>
      <c r="C1644" s="2" t="s">
        <v>717</v>
      </c>
      <c r="D1644" s="2" t="s">
        <v>150</v>
      </c>
      <c r="E1644" s="67" t="s">
        <v>76</v>
      </c>
      <c r="F1644" s="12">
        <v>1227</v>
      </c>
      <c r="G1644" s="12">
        <v>744</v>
      </c>
      <c r="H1644" s="12">
        <v>483</v>
      </c>
      <c r="J1644" s="2"/>
      <c r="K1644" s="2"/>
      <c r="L1644" s="2"/>
      <c r="M1644" s="2"/>
      <c r="N1644" s="2"/>
      <c r="O1644" s="2"/>
      <c r="P1644" s="2"/>
    </row>
    <row r="1645" spans="1:16" x14ac:dyDescent="0.4">
      <c r="A1645">
        <v>2012</v>
      </c>
      <c r="B1645" s="2" t="s">
        <v>495</v>
      </c>
      <c r="C1645" s="2" t="s">
        <v>717</v>
      </c>
      <c r="D1645" s="2" t="s">
        <v>150</v>
      </c>
      <c r="E1645" s="67" t="s">
        <v>160</v>
      </c>
      <c r="F1645" s="12">
        <v>28</v>
      </c>
      <c r="G1645" s="12">
        <v>15</v>
      </c>
      <c r="H1645" s="12">
        <v>13</v>
      </c>
      <c r="J1645" s="2"/>
      <c r="K1645" s="2"/>
      <c r="L1645" s="2"/>
      <c r="M1645" s="2"/>
      <c r="N1645" s="2"/>
      <c r="O1645" s="2"/>
      <c r="P1645" s="2"/>
    </row>
    <row r="1646" spans="1:16" x14ac:dyDescent="0.4">
      <c r="A1646">
        <v>2012</v>
      </c>
      <c r="B1646" s="2" t="s">
        <v>496</v>
      </c>
      <c r="C1646" s="2" t="s">
        <v>717</v>
      </c>
      <c r="D1646" s="2" t="s">
        <v>150</v>
      </c>
      <c r="E1646" s="67" t="s">
        <v>161</v>
      </c>
      <c r="F1646" s="12">
        <v>36</v>
      </c>
      <c r="G1646" s="12">
        <v>20</v>
      </c>
      <c r="H1646" s="12">
        <v>16</v>
      </c>
      <c r="J1646" s="2"/>
      <c r="K1646" s="2"/>
      <c r="L1646" s="2"/>
      <c r="M1646" s="2"/>
      <c r="N1646" s="2"/>
      <c r="O1646" s="2"/>
      <c r="P1646" s="2"/>
    </row>
    <row r="1647" spans="1:16" x14ac:dyDescent="0.4">
      <c r="A1647">
        <v>2012</v>
      </c>
      <c r="B1647" s="2" t="s">
        <v>497</v>
      </c>
      <c r="C1647" s="2" t="s">
        <v>717</v>
      </c>
      <c r="D1647" s="2" t="s">
        <v>150</v>
      </c>
      <c r="E1647" s="67" t="s">
        <v>162</v>
      </c>
      <c r="F1647" s="12">
        <v>278</v>
      </c>
      <c r="G1647" s="12">
        <v>165</v>
      </c>
      <c r="H1647" s="12">
        <v>113</v>
      </c>
      <c r="J1647" s="2"/>
      <c r="K1647" s="2"/>
      <c r="L1647" s="2"/>
      <c r="M1647" s="2"/>
      <c r="N1647" s="2"/>
      <c r="O1647" s="2"/>
      <c r="P1647" s="2"/>
    </row>
    <row r="1648" spans="1:16" x14ac:dyDescent="0.4">
      <c r="A1648">
        <v>2012</v>
      </c>
      <c r="B1648" s="2" t="s">
        <v>498</v>
      </c>
      <c r="C1648" s="2" t="s">
        <v>718</v>
      </c>
      <c r="D1648" s="2" t="s">
        <v>164</v>
      </c>
      <c r="E1648" s="67" t="s">
        <v>163</v>
      </c>
      <c r="F1648" s="12">
        <v>133</v>
      </c>
      <c r="G1648" s="12">
        <v>79</v>
      </c>
      <c r="H1648" s="12">
        <v>54</v>
      </c>
      <c r="J1648" s="2"/>
      <c r="K1648" s="2"/>
      <c r="L1648" s="2"/>
      <c r="M1648" s="2"/>
      <c r="N1648" s="2"/>
      <c r="O1648" s="2"/>
      <c r="P1648" s="2"/>
    </row>
    <row r="1649" spans="1:16" x14ac:dyDescent="0.4">
      <c r="A1649">
        <v>2012</v>
      </c>
      <c r="B1649" s="2" t="s">
        <v>499</v>
      </c>
      <c r="C1649" s="2" t="s">
        <v>718</v>
      </c>
      <c r="D1649" s="2" t="s">
        <v>164</v>
      </c>
      <c r="E1649" s="67" t="s">
        <v>165</v>
      </c>
      <c r="F1649" s="12">
        <v>140</v>
      </c>
      <c r="G1649" s="12">
        <v>83</v>
      </c>
      <c r="H1649" s="12">
        <v>57</v>
      </c>
      <c r="J1649" s="2"/>
      <c r="K1649" s="2"/>
      <c r="L1649" s="2"/>
      <c r="M1649" s="2"/>
      <c r="N1649" s="2"/>
      <c r="O1649" s="2"/>
      <c r="P1649" s="2"/>
    </row>
    <row r="1650" spans="1:16" x14ac:dyDescent="0.4">
      <c r="A1650">
        <v>2012</v>
      </c>
      <c r="B1650" s="2" t="s">
        <v>500</v>
      </c>
      <c r="C1650" s="2" t="s">
        <v>718</v>
      </c>
      <c r="D1650" s="2" t="s">
        <v>164</v>
      </c>
      <c r="E1650" s="67" t="s">
        <v>166</v>
      </c>
      <c r="F1650" s="12">
        <v>7234</v>
      </c>
      <c r="G1650" s="12">
        <v>4368</v>
      </c>
      <c r="H1650" s="12">
        <v>2866</v>
      </c>
      <c r="J1650" s="2"/>
      <c r="K1650" s="2"/>
      <c r="L1650" s="2"/>
      <c r="M1650" s="2"/>
      <c r="N1650" s="2"/>
      <c r="O1650" s="2"/>
      <c r="P1650" s="2"/>
    </row>
    <row r="1651" spans="1:16" x14ac:dyDescent="0.4">
      <c r="A1651">
        <v>2012</v>
      </c>
      <c r="B1651" s="2" t="s">
        <v>501</v>
      </c>
      <c r="C1651" s="2" t="s">
        <v>718</v>
      </c>
      <c r="D1651" s="2" t="s">
        <v>164</v>
      </c>
      <c r="E1651" s="67" t="s">
        <v>167</v>
      </c>
      <c r="F1651" s="12">
        <v>350</v>
      </c>
      <c r="G1651" s="12">
        <v>229</v>
      </c>
      <c r="H1651" s="12">
        <v>121</v>
      </c>
      <c r="J1651" s="2"/>
      <c r="K1651" s="2"/>
      <c r="L1651" s="2"/>
      <c r="M1651" s="2"/>
      <c r="N1651" s="2"/>
      <c r="O1651" s="2"/>
      <c r="P1651" s="2"/>
    </row>
    <row r="1652" spans="1:16" x14ac:dyDescent="0.4">
      <c r="A1652">
        <v>2012</v>
      </c>
      <c r="B1652" s="2" t="s">
        <v>502</v>
      </c>
      <c r="C1652" s="2" t="s">
        <v>718</v>
      </c>
      <c r="D1652" s="2" t="s">
        <v>164</v>
      </c>
      <c r="E1652" s="67" t="s">
        <v>168</v>
      </c>
      <c r="F1652" s="12">
        <v>459</v>
      </c>
      <c r="G1652" s="12">
        <v>298</v>
      </c>
      <c r="H1652" s="12">
        <v>161</v>
      </c>
      <c r="J1652" s="2"/>
      <c r="K1652" s="2"/>
      <c r="L1652" s="2"/>
      <c r="M1652" s="2"/>
      <c r="N1652" s="2"/>
      <c r="O1652" s="2"/>
      <c r="P1652" s="2"/>
    </row>
    <row r="1653" spans="1:16" x14ac:dyDescent="0.4">
      <c r="A1653">
        <v>2012</v>
      </c>
      <c r="B1653" s="2" t="s">
        <v>503</v>
      </c>
      <c r="C1653" s="2" t="s">
        <v>718</v>
      </c>
      <c r="D1653" s="2" t="s">
        <v>164</v>
      </c>
      <c r="E1653" s="67" t="s">
        <v>169</v>
      </c>
      <c r="F1653" s="12">
        <v>366</v>
      </c>
      <c r="G1653" s="12">
        <v>213</v>
      </c>
      <c r="H1653" s="12">
        <v>153</v>
      </c>
      <c r="J1653" s="2"/>
      <c r="K1653" s="2"/>
      <c r="L1653" s="2"/>
      <c r="M1653" s="2"/>
      <c r="N1653" s="2"/>
      <c r="O1653" s="2"/>
      <c r="P1653" s="2"/>
    </row>
    <row r="1654" spans="1:16" x14ac:dyDescent="0.4">
      <c r="A1654">
        <v>2012</v>
      </c>
      <c r="B1654" s="2" t="s">
        <v>504</v>
      </c>
      <c r="C1654" s="2" t="s">
        <v>718</v>
      </c>
      <c r="D1654" s="2" t="s">
        <v>164</v>
      </c>
      <c r="E1654" s="67" t="s">
        <v>170</v>
      </c>
      <c r="F1654" s="12">
        <v>83</v>
      </c>
      <c r="G1654" s="12">
        <v>55</v>
      </c>
      <c r="H1654" s="12">
        <v>28</v>
      </c>
      <c r="J1654" s="2"/>
      <c r="K1654" s="2"/>
      <c r="L1654" s="2"/>
      <c r="M1654" s="2"/>
      <c r="N1654" s="2"/>
      <c r="O1654" s="2"/>
      <c r="P1654" s="2"/>
    </row>
    <row r="1655" spans="1:16" x14ac:dyDescent="0.4">
      <c r="A1655">
        <v>2012</v>
      </c>
      <c r="B1655" s="2" t="s">
        <v>505</v>
      </c>
      <c r="C1655" s="2" t="s">
        <v>718</v>
      </c>
      <c r="D1655" s="2" t="s">
        <v>164</v>
      </c>
      <c r="E1655" s="67" t="s">
        <v>171</v>
      </c>
      <c r="F1655" s="12">
        <v>703</v>
      </c>
      <c r="G1655" s="12">
        <v>444</v>
      </c>
      <c r="H1655" s="12">
        <v>259</v>
      </c>
      <c r="J1655" s="2"/>
      <c r="K1655" s="2"/>
      <c r="L1655" s="2"/>
      <c r="M1655" s="2"/>
      <c r="N1655" s="2"/>
      <c r="O1655" s="2"/>
      <c r="P1655" s="2"/>
    </row>
    <row r="1656" spans="1:16" x14ac:dyDescent="0.4">
      <c r="A1656">
        <v>2012</v>
      </c>
      <c r="B1656" s="2" t="s">
        <v>506</v>
      </c>
      <c r="C1656" s="2" t="s">
        <v>718</v>
      </c>
      <c r="D1656" s="2" t="s">
        <v>164</v>
      </c>
      <c r="E1656" s="67" t="s">
        <v>53</v>
      </c>
      <c r="F1656" s="12">
        <v>196</v>
      </c>
      <c r="G1656" s="12">
        <v>123</v>
      </c>
      <c r="H1656" s="12">
        <v>73</v>
      </c>
      <c r="J1656" s="2"/>
      <c r="K1656" s="2"/>
      <c r="L1656" s="2"/>
      <c r="M1656" s="2"/>
      <c r="N1656" s="2"/>
      <c r="O1656" s="2"/>
      <c r="P1656" s="2"/>
    </row>
    <row r="1657" spans="1:16" x14ac:dyDescent="0.4">
      <c r="A1657">
        <v>2012</v>
      </c>
      <c r="B1657" s="2" t="s">
        <v>507</v>
      </c>
      <c r="C1657" s="2" t="s">
        <v>719</v>
      </c>
      <c r="D1657" s="2" t="s">
        <v>173</v>
      </c>
      <c r="E1657" s="67" t="s">
        <v>172</v>
      </c>
      <c r="F1657" s="12">
        <v>565</v>
      </c>
      <c r="G1657" s="12">
        <v>371</v>
      </c>
      <c r="H1657" s="12">
        <v>194</v>
      </c>
      <c r="J1657" s="2"/>
      <c r="K1657" s="2"/>
      <c r="L1657" s="2"/>
      <c r="M1657" s="2"/>
      <c r="N1657" s="2"/>
      <c r="O1657" s="2"/>
      <c r="P1657" s="2"/>
    </row>
    <row r="1658" spans="1:16" x14ac:dyDescent="0.4">
      <c r="A1658">
        <v>2012</v>
      </c>
      <c r="B1658" s="2" t="s">
        <v>508</v>
      </c>
      <c r="C1658" s="2" t="s">
        <v>719</v>
      </c>
      <c r="D1658" s="2" t="s">
        <v>173</v>
      </c>
      <c r="E1658" s="67" t="s">
        <v>174</v>
      </c>
      <c r="F1658" s="12">
        <v>49</v>
      </c>
      <c r="G1658" s="12">
        <v>28</v>
      </c>
      <c r="H1658" s="12">
        <v>21</v>
      </c>
      <c r="J1658" s="2"/>
      <c r="K1658" s="2"/>
      <c r="L1658" s="2"/>
      <c r="M1658" s="2"/>
      <c r="N1658" s="2"/>
      <c r="O1658" s="2"/>
      <c r="P1658" s="2"/>
    </row>
    <row r="1659" spans="1:16" x14ac:dyDescent="0.4">
      <c r="A1659">
        <v>2012</v>
      </c>
      <c r="B1659" s="2" t="s">
        <v>509</v>
      </c>
      <c r="C1659" s="2" t="s">
        <v>719</v>
      </c>
      <c r="D1659" s="2" t="s">
        <v>173</v>
      </c>
      <c r="E1659" s="67" t="s">
        <v>175</v>
      </c>
      <c r="F1659" s="12">
        <v>98</v>
      </c>
      <c r="G1659" s="12">
        <v>67</v>
      </c>
      <c r="H1659" s="12">
        <v>31</v>
      </c>
      <c r="J1659" s="2"/>
      <c r="K1659" s="2"/>
      <c r="L1659" s="2"/>
      <c r="M1659" s="2"/>
      <c r="N1659" s="2"/>
      <c r="O1659" s="2"/>
      <c r="P1659" s="2"/>
    </row>
    <row r="1660" spans="1:16" x14ac:dyDescent="0.4">
      <c r="A1660">
        <v>2012</v>
      </c>
      <c r="B1660" s="2" t="s">
        <v>510</v>
      </c>
      <c r="C1660" s="2" t="s">
        <v>719</v>
      </c>
      <c r="D1660" s="2" t="s">
        <v>173</v>
      </c>
      <c r="E1660" s="67" t="s">
        <v>176</v>
      </c>
      <c r="F1660" s="12">
        <v>10</v>
      </c>
      <c r="G1660" s="12">
        <v>6</v>
      </c>
      <c r="H1660" s="12">
        <v>4</v>
      </c>
      <c r="J1660" s="2"/>
      <c r="K1660" s="2"/>
      <c r="L1660" s="2"/>
      <c r="M1660" s="2"/>
      <c r="N1660" s="2"/>
      <c r="O1660" s="2"/>
      <c r="P1660" s="2"/>
    </row>
    <row r="1661" spans="1:16" x14ac:dyDescent="0.4">
      <c r="A1661">
        <v>2012</v>
      </c>
      <c r="B1661" s="2" t="s">
        <v>511</v>
      </c>
      <c r="C1661" s="2" t="s">
        <v>719</v>
      </c>
      <c r="D1661" s="2" t="s">
        <v>173</v>
      </c>
      <c r="E1661" s="67" t="s">
        <v>177</v>
      </c>
      <c r="F1661" s="12">
        <v>51</v>
      </c>
      <c r="G1661" s="12">
        <v>33</v>
      </c>
      <c r="H1661" s="12">
        <v>18</v>
      </c>
      <c r="J1661" s="2"/>
      <c r="K1661" s="2"/>
      <c r="L1661" s="2"/>
      <c r="M1661" s="2"/>
      <c r="N1661" s="2"/>
      <c r="O1661" s="2"/>
      <c r="P1661" s="2"/>
    </row>
    <row r="1662" spans="1:16" x14ac:dyDescent="0.4">
      <c r="A1662">
        <v>2012</v>
      </c>
      <c r="B1662" s="2" t="s">
        <v>512</v>
      </c>
      <c r="C1662" s="2" t="s">
        <v>719</v>
      </c>
      <c r="D1662" s="2" t="s">
        <v>173</v>
      </c>
      <c r="E1662" s="67" t="s">
        <v>178</v>
      </c>
      <c r="F1662" s="12">
        <v>297</v>
      </c>
      <c r="G1662" s="12">
        <v>198</v>
      </c>
      <c r="H1662" s="12">
        <v>99</v>
      </c>
      <c r="J1662" s="2"/>
      <c r="K1662" s="2"/>
      <c r="L1662" s="2"/>
      <c r="M1662" s="2"/>
      <c r="N1662" s="2"/>
      <c r="O1662" s="2"/>
      <c r="P1662" s="2"/>
    </row>
    <row r="1663" spans="1:16" x14ac:dyDescent="0.4">
      <c r="A1663">
        <v>2012</v>
      </c>
      <c r="B1663" s="2" t="s">
        <v>513</v>
      </c>
      <c r="C1663" s="2" t="s">
        <v>719</v>
      </c>
      <c r="D1663" s="2" t="s">
        <v>173</v>
      </c>
      <c r="E1663" s="67" t="s">
        <v>179</v>
      </c>
      <c r="F1663" s="12">
        <v>43</v>
      </c>
      <c r="G1663" s="12">
        <v>27</v>
      </c>
      <c r="H1663" s="12">
        <v>16</v>
      </c>
      <c r="J1663" s="2"/>
      <c r="K1663" s="2"/>
      <c r="L1663" s="2"/>
      <c r="M1663" s="2"/>
      <c r="N1663" s="2"/>
      <c r="O1663" s="2"/>
      <c r="P1663" s="2"/>
    </row>
    <row r="1664" spans="1:16" x14ac:dyDescent="0.4">
      <c r="A1664">
        <v>2012</v>
      </c>
      <c r="B1664" s="2" t="s">
        <v>514</v>
      </c>
      <c r="C1664" s="2" t="s">
        <v>719</v>
      </c>
      <c r="D1664" s="2" t="s">
        <v>173</v>
      </c>
      <c r="E1664" s="67" t="s">
        <v>180</v>
      </c>
      <c r="F1664" s="12">
        <v>113</v>
      </c>
      <c r="G1664" s="12">
        <v>79</v>
      </c>
      <c r="H1664" s="12">
        <v>34</v>
      </c>
      <c r="J1664" s="2"/>
      <c r="K1664" s="2"/>
      <c r="L1664" s="2"/>
      <c r="M1664" s="2"/>
      <c r="N1664" s="2"/>
      <c r="O1664" s="2"/>
      <c r="P1664" s="2"/>
    </row>
    <row r="1665" spans="1:16" x14ac:dyDescent="0.4">
      <c r="A1665">
        <v>2012</v>
      </c>
      <c r="B1665" s="2" t="s">
        <v>515</v>
      </c>
      <c r="C1665" s="2" t="s">
        <v>719</v>
      </c>
      <c r="D1665" s="2" t="s">
        <v>173</v>
      </c>
      <c r="E1665" s="67" t="s">
        <v>181</v>
      </c>
      <c r="F1665" s="12">
        <v>34</v>
      </c>
      <c r="G1665" s="12">
        <v>20</v>
      </c>
      <c r="H1665" s="12">
        <v>14</v>
      </c>
      <c r="J1665" s="2"/>
      <c r="K1665" s="2"/>
      <c r="L1665" s="2"/>
      <c r="M1665" s="2"/>
      <c r="N1665" s="2"/>
      <c r="O1665" s="2"/>
      <c r="P1665" s="2"/>
    </row>
    <row r="1666" spans="1:16" x14ac:dyDescent="0.4">
      <c r="A1666">
        <v>2012</v>
      </c>
      <c r="B1666" s="2" t="s">
        <v>516</v>
      </c>
      <c r="C1666" s="2" t="s">
        <v>719</v>
      </c>
      <c r="D1666" s="2" t="s">
        <v>173</v>
      </c>
      <c r="E1666" s="67" t="s">
        <v>182</v>
      </c>
      <c r="F1666" s="12">
        <v>51</v>
      </c>
      <c r="G1666" s="12">
        <v>34</v>
      </c>
      <c r="H1666" s="12">
        <v>17</v>
      </c>
      <c r="J1666" s="2"/>
      <c r="K1666" s="2"/>
      <c r="L1666" s="2"/>
      <c r="M1666" s="2"/>
      <c r="N1666" s="2"/>
      <c r="O1666" s="2"/>
      <c r="P1666" s="2"/>
    </row>
    <row r="1667" spans="1:16" x14ac:dyDescent="0.4">
      <c r="A1667">
        <v>2012</v>
      </c>
      <c r="B1667" s="2" t="s">
        <v>517</v>
      </c>
      <c r="C1667" s="2" t="s">
        <v>719</v>
      </c>
      <c r="D1667" s="2" t="s">
        <v>173</v>
      </c>
      <c r="E1667" s="67" t="s">
        <v>183</v>
      </c>
      <c r="F1667" s="12">
        <v>13</v>
      </c>
      <c r="G1667" s="12">
        <v>11</v>
      </c>
      <c r="H1667" s="12">
        <v>2</v>
      </c>
      <c r="J1667" s="2"/>
      <c r="K1667" s="2"/>
      <c r="L1667" s="2"/>
      <c r="M1667" s="2"/>
      <c r="N1667" s="2"/>
      <c r="O1667" s="2"/>
      <c r="P1667" s="2"/>
    </row>
    <row r="1668" spans="1:16" x14ac:dyDescent="0.4">
      <c r="A1668">
        <v>2012</v>
      </c>
      <c r="B1668" s="2" t="s">
        <v>518</v>
      </c>
      <c r="C1668" s="2" t="s">
        <v>719</v>
      </c>
      <c r="D1668" s="2" t="s">
        <v>173</v>
      </c>
      <c r="E1668" s="67" t="s">
        <v>44</v>
      </c>
      <c r="F1668" s="12">
        <v>2526</v>
      </c>
      <c r="G1668" s="12">
        <v>1473</v>
      </c>
      <c r="H1668" s="12">
        <v>1053</v>
      </c>
      <c r="J1668" s="2"/>
      <c r="K1668" s="2"/>
      <c r="L1668" s="2"/>
      <c r="M1668" s="2"/>
      <c r="N1668" s="2"/>
      <c r="O1668" s="2"/>
      <c r="P1668" s="2"/>
    </row>
    <row r="1669" spans="1:16" x14ac:dyDescent="0.4">
      <c r="A1669">
        <v>2012</v>
      </c>
      <c r="B1669" s="2" t="s">
        <v>519</v>
      </c>
      <c r="C1669" s="2" t="s">
        <v>719</v>
      </c>
      <c r="D1669" s="2" t="s">
        <v>173</v>
      </c>
      <c r="E1669" s="67" t="s">
        <v>85</v>
      </c>
      <c r="F1669" s="12">
        <v>72</v>
      </c>
      <c r="G1669" s="12">
        <v>44</v>
      </c>
      <c r="H1669" s="12">
        <v>28</v>
      </c>
      <c r="J1669" s="2"/>
      <c r="K1669" s="2"/>
      <c r="L1669" s="2"/>
      <c r="M1669" s="2"/>
      <c r="N1669" s="2"/>
      <c r="O1669" s="2"/>
      <c r="P1669" s="2"/>
    </row>
    <row r="1670" spans="1:16" x14ac:dyDescent="0.4">
      <c r="A1670">
        <v>2012</v>
      </c>
      <c r="B1670" s="2" t="s">
        <v>520</v>
      </c>
      <c r="C1670" s="2" t="s">
        <v>719</v>
      </c>
      <c r="D1670" s="2" t="s">
        <v>173</v>
      </c>
      <c r="E1670" s="67" t="s">
        <v>184</v>
      </c>
      <c r="F1670" s="12">
        <v>92</v>
      </c>
      <c r="G1670" s="12">
        <v>70</v>
      </c>
      <c r="H1670" s="12">
        <v>22</v>
      </c>
      <c r="J1670" s="2"/>
      <c r="K1670" s="2"/>
      <c r="L1670" s="2"/>
      <c r="M1670" s="2"/>
      <c r="N1670" s="2"/>
      <c r="O1670" s="2"/>
      <c r="P1670" s="2"/>
    </row>
    <row r="1671" spans="1:16" x14ac:dyDescent="0.4">
      <c r="A1671">
        <v>2012</v>
      </c>
      <c r="B1671" s="2" t="s">
        <v>521</v>
      </c>
      <c r="C1671" s="2" t="s">
        <v>719</v>
      </c>
      <c r="D1671" s="2" t="s">
        <v>173</v>
      </c>
      <c r="E1671" s="67" t="s">
        <v>185</v>
      </c>
      <c r="F1671" s="12">
        <v>4</v>
      </c>
      <c r="G1671" s="12">
        <v>4</v>
      </c>
      <c r="H1671" s="12">
        <v>0</v>
      </c>
      <c r="J1671" s="2"/>
      <c r="K1671" s="2"/>
      <c r="L1671" s="2"/>
      <c r="M1671" s="2"/>
      <c r="N1671" s="2"/>
      <c r="O1671" s="2"/>
      <c r="P1671" s="2"/>
    </row>
    <row r="1672" spans="1:16" x14ac:dyDescent="0.4">
      <c r="A1672">
        <v>2012</v>
      </c>
      <c r="B1672" s="2" t="s">
        <v>522</v>
      </c>
      <c r="C1672" s="2" t="s">
        <v>719</v>
      </c>
      <c r="D1672" s="2" t="s">
        <v>173</v>
      </c>
      <c r="E1672" s="67" t="s">
        <v>186</v>
      </c>
      <c r="F1672" s="12">
        <v>36</v>
      </c>
      <c r="G1672" s="12">
        <v>25</v>
      </c>
      <c r="H1672" s="12">
        <v>11</v>
      </c>
      <c r="J1672" s="2"/>
      <c r="K1672" s="2"/>
      <c r="L1672" s="2"/>
      <c r="M1672" s="2"/>
      <c r="N1672" s="2"/>
      <c r="O1672" s="2"/>
      <c r="P1672" s="2"/>
    </row>
    <row r="1673" spans="1:16" x14ac:dyDescent="0.4">
      <c r="A1673">
        <v>2012</v>
      </c>
      <c r="B1673" s="2" t="s">
        <v>523</v>
      </c>
      <c r="C1673" s="2" t="s">
        <v>719</v>
      </c>
      <c r="D1673" s="2" t="s">
        <v>173</v>
      </c>
      <c r="E1673" s="67" t="s">
        <v>187</v>
      </c>
      <c r="F1673" s="12">
        <v>57</v>
      </c>
      <c r="G1673" s="12">
        <v>39</v>
      </c>
      <c r="H1673" s="12">
        <v>18</v>
      </c>
      <c r="J1673" s="2"/>
      <c r="K1673" s="2"/>
      <c r="L1673" s="2"/>
      <c r="M1673" s="2"/>
      <c r="N1673" s="2"/>
      <c r="O1673" s="2"/>
      <c r="P1673" s="2"/>
    </row>
    <row r="1674" spans="1:16" x14ac:dyDescent="0.4">
      <c r="A1674">
        <v>2012</v>
      </c>
      <c r="B1674" s="2" t="s">
        <v>524</v>
      </c>
      <c r="C1674" s="2" t="s">
        <v>719</v>
      </c>
      <c r="D1674" s="2" t="s">
        <v>173</v>
      </c>
      <c r="E1674" s="67" t="s">
        <v>188</v>
      </c>
      <c r="F1674" s="12">
        <v>60</v>
      </c>
      <c r="G1674" s="12">
        <v>45</v>
      </c>
      <c r="H1674" s="12">
        <v>15</v>
      </c>
      <c r="J1674" s="2"/>
      <c r="K1674" s="2"/>
      <c r="L1674" s="2"/>
      <c r="M1674" s="2"/>
      <c r="N1674" s="2"/>
      <c r="O1674" s="2"/>
      <c r="P1674" s="2"/>
    </row>
    <row r="1675" spans="1:16" x14ac:dyDescent="0.4">
      <c r="A1675">
        <v>2012</v>
      </c>
      <c r="B1675" s="2" t="s">
        <v>525</v>
      </c>
      <c r="C1675" s="2" t="s">
        <v>719</v>
      </c>
      <c r="D1675" s="2" t="s">
        <v>173</v>
      </c>
      <c r="E1675" s="67" t="s">
        <v>189</v>
      </c>
      <c r="F1675" s="12">
        <v>38</v>
      </c>
      <c r="G1675" s="12">
        <v>21</v>
      </c>
      <c r="H1675" s="12">
        <v>17</v>
      </c>
      <c r="J1675" s="2"/>
      <c r="K1675" s="2"/>
      <c r="L1675" s="2"/>
      <c r="M1675" s="2"/>
      <c r="N1675" s="2"/>
      <c r="O1675" s="2"/>
      <c r="P1675" s="2"/>
    </row>
    <row r="1676" spans="1:16" x14ac:dyDescent="0.4">
      <c r="A1676">
        <v>2012</v>
      </c>
      <c r="B1676" s="2" t="s">
        <v>526</v>
      </c>
      <c r="C1676" s="2" t="s">
        <v>719</v>
      </c>
      <c r="D1676" s="2" t="s">
        <v>173</v>
      </c>
      <c r="E1676" s="67" t="s">
        <v>51</v>
      </c>
      <c r="F1676" s="12">
        <v>217</v>
      </c>
      <c r="G1676" s="12">
        <v>157</v>
      </c>
      <c r="H1676" s="12">
        <v>60</v>
      </c>
      <c r="J1676" s="2"/>
      <c r="K1676" s="2"/>
      <c r="L1676" s="2"/>
      <c r="M1676" s="2"/>
      <c r="N1676" s="2"/>
      <c r="O1676" s="2"/>
      <c r="P1676" s="2"/>
    </row>
    <row r="1677" spans="1:16" x14ac:dyDescent="0.4">
      <c r="A1677">
        <v>2012</v>
      </c>
      <c r="B1677" s="2" t="s">
        <v>527</v>
      </c>
      <c r="C1677" s="2" t="s">
        <v>719</v>
      </c>
      <c r="D1677" s="2" t="s">
        <v>173</v>
      </c>
      <c r="E1677" s="67" t="s">
        <v>52</v>
      </c>
      <c r="F1677" s="12">
        <v>183</v>
      </c>
      <c r="G1677" s="12">
        <v>109</v>
      </c>
      <c r="H1677" s="12">
        <v>74</v>
      </c>
      <c r="J1677" s="2"/>
      <c r="K1677" s="2"/>
      <c r="L1677" s="2"/>
      <c r="M1677" s="2"/>
      <c r="N1677" s="2"/>
      <c r="O1677" s="2"/>
      <c r="P1677" s="2"/>
    </row>
    <row r="1678" spans="1:16" x14ac:dyDescent="0.4">
      <c r="A1678">
        <v>2012</v>
      </c>
      <c r="B1678" s="2" t="s">
        <v>528</v>
      </c>
      <c r="C1678" s="2" t="s">
        <v>719</v>
      </c>
      <c r="D1678" s="2" t="s">
        <v>173</v>
      </c>
      <c r="E1678" s="67" t="s">
        <v>190</v>
      </c>
      <c r="F1678" s="12">
        <v>116</v>
      </c>
      <c r="G1678" s="12">
        <v>81</v>
      </c>
      <c r="H1678" s="12">
        <v>35</v>
      </c>
      <c r="J1678" s="2"/>
      <c r="K1678" s="2"/>
      <c r="L1678" s="2"/>
      <c r="M1678" s="2"/>
      <c r="N1678" s="2"/>
      <c r="O1678" s="2"/>
      <c r="P1678" s="2"/>
    </row>
    <row r="1679" spans="1:16" x14ac:dyDescent="0.4">
      <c r="A1679">
        <v>2012</v>
      </c>
      <c r="B1679" s="2" t="s">
        <v>529</v>
      </c>
      <c r="C1679" s="2" t="s">
        <v>719</v>
      </c>
      <c r="D1679" s="2" t="s">
        <v>173</v>
      </c>
      <c r="E1679" s="67" t="s">
        <v>191</v>
      </c>
      <c r="F1679" s="12">
        <v>45</v>
      </c>
      <c r="G1679" s="12">
        <v>24</v>
      </c>
      <c r="H1679" s="12">
        <v>21</v>
      </c>
      <c r="J1679" s="2"/>
      <c r="K1679" s="2"/>
      <c r="L1679" s="2"/>
      <c r="M1679" s="2"/>
      <c r="N1679" s="2"/>
      <c r="O1679" s="2"/>
      <c r="P1679" s="2"/>
    </row>
    <row r="1680" spans="1:16" x14ac:dyDescent="0.4">
      <c r="A1680">
        <v>2012</v>
      </c>
      <c r="B1680" s="2" t="s">
        <v>530</v>
      </c>
      <c r="C1680" s="2" t="s">
        <v>720</v>
      </c>
      <c r="D1680" s="2" t="s">
        <v>193</v>
      </c>
      <c r="E1680" s="67" t="s">
        <v>192</v>
      </c>
      <c r="F1680" s="12">
        <v>443</v>
      </c>
      <c r="G1680" s="12">
        <v>302</v>
      </c>
      <c r="H1680" s="12">
        <v>141</v>
      </c>
      <c r="J1680" s="2"/>
      <c r="K1680" s="2"/>
      <c r="L1680" s="2"/>
      <c r="M1680" s="2"/>
      <c r="N1680" s="2"/>
      <c r="O1680" s="2"/>
      <c r="P1680" s="2"/>
    </row>
    <row r="1681" spans="1:16" x14ac:dyDescent="0.4">
      <c r="A1681">
        <v>2012</v>
      </c>
      <c r="B1681" s="2" t="s">
        <v>531</v>
      </c>
      <c r="C1681" s="2" t="s">
        <v>720</v>
      </c>
      <c r="D1681" s="2" t="s">
        <v>193</v>
      </c>
      <c r="E1681" s="67" t="s">
        <v>174</v>
      </c>
      <c r="F1681" s="12">
        <v>112</v>
      </c>
      <c r="G1681" s="12">
        <v>79</v>
      </c>
      <c r="H1681" s="12">
        <v>33</v>
      </c>
      <c r="J1681" s="2"/>
      <c r="K1681" s="2"/>
      <c r="L1681" s="2"/>
      <c r="M1681" s="2"/>
      <c r="N1681" s="2"/>
      <c r="O1681" s="2"/>
      <c r="P1681" s="2"/>
    </row>
    <row r="1682" spans="1:16" x14ac:dyDescent="0.4">
      <c r="A1682">
        <v>2012</v>
      </c>
      <c r="B1682" s="2" t="s">
        <v>532</v>
      </c>
      <c r="C1682" s="2" t="s">
        <v>720</v>
      </c>
      <c r="D1682" s="2" t="s">
        <v>193</v>
      </c>
      <c r="E1682" s="67" t="s">
        <v>194</v>
      </c>
      <c r="F1682" s="12">
        <v>2133</v>
      </c>
      <c r="G1682" s="12">
        <v>1093</v>
      </c>
      <c r="H1682" s="12">
        <v>1040</v>
      </c>
      <c r="J1682" s="2"/>
      <c r="K1682" s="2"/>
      <c r="L1682" s="2"/>
      <c r="M1682" s="2"/>
      <c r="N1682" s="2"/>
      <c r="O1682" s="2"/>
      <c r="P1682" s="2"/>
    </row>
    <row r="1683" spans="1:16" x14ac:dyDescent="0.4">
      <c r="A1683">
        <v>2012</v>
      </c>
      <c r="B1683" s="2" t="s">
        <v>533</v>
      </c>
      <c r="C1683" s="2" t="s">
        <v>720</v>
      </c>
      <c r="D1683" s="2" t="s">
        <v>193</v>
      </c>
      <c r="E1683" s="67" t="s">
        <v>195</v>
      </c>
      <c r="F1683" s="12">
        <v>297</v>
      </c>
      <c r="G1683" s="12">
        <v>198</v>
      </c>
      <c r="H1683" s="12">
        <v>99</v>
      </c>
      <c r="J1683" s="2"/>
      <c r="K1683" s="2"/>
      <c r="L1683" s="2"/>
      <c r="M1683" s="2"/>
      <c r="N1683" s="2"/>
      <c r="O1683" s="2"/>
      <c r="P1683" s="2"/>
    </row>
    <row r="1684" spans="1:16" x14ac:dyDescent="0.4">
      <c r="A1684">
        <v>2012</v>
      </c>
      <c r="B1684" s="2" t="s">
        <v>534</v>
      </c>
      <c r="C1684" s="2" t="s">
        <v>720</v>
      </c>
      <c r="D1684" s="2" t="s">
        <v>193</v>
      </c>
      <c r="E1684" s="67" t="s">
        <v>196</v>
      </c>
      <c r="F1684" s="12">
        <v>127</v>
      </c>
      <c r="G1684" s="12">
        <v>93</v>
      </c>
      <c r="H1684" s="12">
        <v>34</v>
      </c>
      <c r="J1684" s="2"/>
      <c r="K1684" s="2"/>
      <c r="L1684" s="2"/>
      <c r="M1684" s="2"/>
      <c r="N1684" s="2"/>
      <c r="O1684" s="2"/>
      <c r="P1684" s="2"/>
    </row>
    <row r="1685" spans="1:16" x14ac:dyDescent="0.4">
      <c r="A1685">
        <v>2012</v>
      </c>
      <c r="B1685" s="2" t="s">
        <v>535</v>
      </c>
      <c r="C1685" s="2" t="s">
        <v>720</v>
      </c>
      <c r="D1685" s="2" t="s">
        <v>193</v>
      </c>
      <c r="E1685" s="67" t="s">
        <v>197</v>
      </c>
      <c r="F1685" s="12">
        <v>160</v>
      </c>
      <c r="G1685" s="12">
        <v>99</v>
      </c>
      <c r="H1685" s="12">
        <v>61</v>
      </c>
      <c r="J1685" s="2"/>
      <c r="K1685" s="2"/>
      <c r="L1685" s="2"/>
      <c r="M1685" s="2"/>
      <c r="N1685" s="2"/>
      <c r="O1685" s="2"/>
      <c r="P1685" s="2"/>
    </row>
    <row r="1686" spans="1:16" x14ac:dyDescent="0.4">
      <c r="A1686">
        <v>2012</v>
      </c>
      <c r="B1686" s="2" t="s">
        <v>536</v>
      </c>
      <c r="C1686" s="2" t="s">
        <v>720</v>
      </c>
      <c r="D1686" s="2" t="s">
        <v>193</v>
      </c>
      <c r="E1686" s="67" t="s">
        <v>198</v>
      </c>
      <c r="F1686" s="12">
        <v>816</v>
      </c>
      <c r="G1686" s="12">
        <v>393</v>
      </c>
      <c r="H1686" s="12">
        <v>423</v>
      </c>
      <c r="J1686" s="2"/>
      <c r="K1686" s="2"/>
      <c r="L1686" s="2"/>
      <c r="M1686" s="2"/>
      <c r="N1686" s="2"/>
      <c r="O1686" s="2"/>
      <c r="P1686" s="2"/>
    </row>
    <row r="1687" spans="1:16" x14ac:dyDescent="0.4">
      <c r="A1687">
        <v>2012</v>
      </c>
      <c r="B1687" s="2" t="s">
        <v>537</v>
      </c>
      <c r="C1687" s="2" t="s">
        <v>720</v>
      </c>
      <c r="D1687" s="2" t="s">
        <v>193</v>
      </c>
      <c r="E1687" s="67" t="s">
        <v>199</v>
      </c>
      <c r="F1687" s="12">
        <v>451</v>
      </c>
      <c r="G1687" s="12">
        <v>295</v>
      </c>
      <c r="H1687" s="12">
        <v>156</v>
      </c>
      <c r="J1687" s="2"/>
      <c r="K1687" s="2"/>
      <c r="L1687" s="2"/>
      <c r="M1687" s="2"/>
      <c r="N1687" s="2"/>
      <c r="O1687" s="2"/>
      <c r="P1687" s="2"/>
    </row>
    <row r="1688" spans="1:16" x14ac:dyDescent="0.4">
      <c r="A1688">
        <v>2012</v>
      </c>
      <c r="B1688" s="2" t="s">
        <v>538</v>
      </c>
      <c r="C1688" s="2" t="s">
        <v>720</v>
      </c>
      <c r="D1688" s="2" t="s">
        <v>193</v>
      </c>
      <c r="E1688" s="67" t="s">
        <v>200</v>
      </c>
      <c r="F1688" s="12">
        <v>222</v>
      </c>
      <c r="G1688" s="12">
        <v>117</v>
      </c>
      <c r="H1688" s="12">
        <v>105</v>
      </c>
      <c r="J1688" s="2"/>
      <c r="K1688" s="2"/>
      <c r="L1688" s="2"/>
      <c r="M1688" s="2"/>
      <c r="N1688" s="2"/>
      <c r="O1688" s="2"/>
      <c r="P1688" s="2"/>
    </row>
    <row r="1689" spans="1:16" x14ac:dyDescent="0.4">
      <c r="A1689">
        <v>2012</v>
      </c>
      <c r="B1689" s="2" t="s">
        <v>539</v>
      </c>
      <c r="C1689" s="2" t="s">
        <v>720</v>
      </c>
      <c r="D1689" s="2" t="s">
        <v>193</v>
      </c>
      <c r="E1689" s="67" t="s">
        <v>201</v>
      </c>
      <c r="F1689" s="12">
        <v>1441</v>
      </c>
      <c r="G1689" s="12">
        <v>935</v>
      </c>
      <c r="H1689" s="12">
        <v>506</v>
      </c>
      <c r="J1689" s="2"/>
      <c r="K1689" s="2"/>
      <c r="L1689" s="2"/>
      <c r="M1689" s="2"/>
      <c r="N1689" s="2"/>
      <c r="O1689" s="2"/>
      <c r="P1689" s="2"/>
    </row>
    <row r="1690" spans="1:16" x14ac:dyDescent="0.4">
      <c r="A1690">
        <v>2012</v>
      </c>
      <c r="B1690" s="2" t="s">
        <v>540</v>
      </c>
      <c r="C1690" s="2" t="s">
        <v>720</v>
      </c>
      <c r="D1690" s="2" t="s">
        <v>193</v>
      </c>
      <c r="E1690" s="67" t="s">
        <v>14</v>
      </c>
      <c r="F1690" s="12">
        <v>607</v>
      </c>
      <c r="G1690" s="12">
        <v>411</v>
      </c>
      <c r="H1690" s="12">
        <v>196</v>
      </c>
      <c r="J1690" s="2"/>
      <c r="K1690" s="2"/>
      <c r="L1690" s="2"/>
      <c r="M1690" s="2"/>
      <c r="N1690" s="2"/>
      <c r="O1690" s="2"/>
      <c r="P1690" s="2"/>
    </row>
    <row r="1691" spans="1:16" x14ac:dyDescent="0.4">
      <c r="A1691">
        <v>2012</v>
      </c>
      <c r="B1691" s="2" t="s">
        <v>541</v>
      </c>
      <c r="C1691" s="2" t="s">
        <v>720</v>
      </c>
      <c r="D1691" s="2" t="s">
        <v>193</v>
      </c>
      <c r="E1691" s="67" t="s">
        <v>202</v>
      </c>
      <c r="F1691" s="12">
        <v>739</v>
      </c>
      <c r="G1691" s="12">
        <v>499</v>
      </c>
      <c r="H1691" s="12">
        <v>240</v>
      </c>
      <c r="J1691" s="2"/>
      <c r="K1691" s="2"/>
      <c r="L1691" s="2"/>
      <c r="M1691" s="2"/>
      <c r="N1691" s="2"/>
      <c r="O1691" s="2"/>
      <c r="P1691" s="2"/>
    </row>
    <row r="1692" spans="1:16" x14ac:dyDescent="0.4">
      <c r="A1692">
        <v>2012</v>
      </c>
      <c r="B1692" s="2" t="s">
        <v>542</v>
      </c>
      <c r="C1692" s="2" t="s">
        <v>720</v>
      </c>
      <c r="D1692" s="2" t="s">
        <v>193</v>
      </c>
      <c r="E1692" s="67" t="s">
        <v>203</v>
      </c>
      <c r="F1692" s="12">
        <v>210</v>
      </c>
      <c r="G1692" s="12">
        <v>114</v>
      </c>
      <c r="H1692" s="12">
        <v>96</v>
      </c>
      <c r="J1692" s="2"/>
      <c r="K1692" s="2"/>
      <c r="L1692" s="2"/>
      <c r="M1692" s="2"/>
      <c r="N1692" s="2"/>
      <c r="O1692" s="2"/>
      <c r="P1692" s="2"/>
    </row>
    <row r="1693" spans="1:16" x14ac:dyDescent="0.4">
      <c r="A1693">
        <v>2012</v>
      </c>
      <c r="B1693" s="2" t="s">
        <v>543</v>
      </c>
      <c r="C1693" s="2" t="s">
        <v>720</v>
      </c>
      <c r="D1693" s="2" t="s">
        <v>193</v>
      </c>
      <c r="E1693" s="67" t="s">
        <v>32</v>
      </c>
      <c r="F1693" s="12">
        <v>184</v>
      </c>
      <c r="G1693" s="12">
        <v>122</v>
      </c>
      <c r="H1693" s="12">
        <v>62</v>
      </c>
      <c r="J1693" s="2"/>
      <c r="K1693" s="2"/>
      <c r="L1693" s="2"/>
      <c r="M1693" s="2"/>
      <c r="N1693" s="2"/>
      <c r="O1693" s="2"/>
      <c r="P1693" s="2"/>
    </row>
    <row r="1694" spans="1:16" x14ac:dyDescent="0.4">
      <c r="A1694">
        <v>2012</v>
      </c>
      <c r="B1694" s="2" t="s">
        <v>544</v>
      </c>
      <c r="C1694" s="2" t="s">
        <v>720</v>
      </c>
      <c r="D1694" s="2" t="s">
        <v>193</v>
      </c>
      <c r="E1694" s="67" t="s">
        <v>204</v>
      </c>
      <c r="F1694" s="12">
        <v>334</v>
      </c>
      <c r="G1694" s="12">
        <v>242</v>
      </c>
      <c r="H1694" s="12">
        <v>92</v>
      </c>
      <c r="J1694" s="2"/>
      <c r="K1694" s="2"/>
      <c r="L1694" s="2"/>
      <c r="M1694" s="2"/>
      <c r="N1694" s="2"/>
      <c r="O1694" s="2"/>
      <c r="P1694" s="2"/>
    </row>
    <row r="1695" spans="1:16" x14ac:dyDescent="0.4">
      <c r="A1695">
        <v>2012</v>
      </c>
      <c r="B1695" s="2" t="s">
        <v>545</v>
      </c>
      <c r="C1695" s="2" t="s">
        <v>720</v>
      </c>
      <c r="D1695" s="2" t="s">
        <v>193</v>
      </c>
      <c r="E1695" s="67" t="s">
        <v>205</v>
      </c>
      <c r="F1695" s="12">
        <v>70</v>
      </c>
      <c r="G1695" s="12">
        <v>41</v>
      </c>
      <c r="H1695" s="12">
        <v>29</v>
      </c>
      <c r="J1695" s="2"/>
      <c r="K1695" s="2"/>
      <c r="L1695" s="2"/>
      <c r="M1695" s="2"/>
      <c r="N1695" s="2"/>
      <c r="O1695" s="2"/>
      <c r="P1695" s="2"/>
    </row>
    <row r="1696" spans="1:16" x14ac:dyDescent="0.4">
      <c r="A1696">
        <v>2012</v>
      </c>
      <c r="B1696" s="2" t="s">
        <v>546</v>
      </c>
      <c r="C1696" s="2" t="s">
        <v>720</v>
      </c>
      <c r="D1696" s="2" t="s">
        <v>193</v>
      </c>
      <c r="E1696" s="67" t="s">
        <v>206</v>
      </c>
      <c r="F1696" s="12">
        <v>744</v>
      </c>
      <c r="G1696" s="12">
        <v>519</v>
      </c>
      <c r="H1696" s="12">
        <v>225</v>
      </c>
      <c r="J1696" s="2"/>
      <c r="K1696" s="2"/>
      <c r="L1696" s="2"/>
      <c r="M1696" s="2"/>
      <c r="N1696" s="2"/>
      <c r="O1696" s="2"/>
      <c r="P1696" s="2"/>
    </row>
    <row r="1697" spans="1:16" x14ac:dyDescent="0.4">
      <c r="A1697">
        <v>2012</v>
      </c>
      <c r="B1697" s="2" t="s">
        <v>547</v>
      </c>
      <c r="C1697" s="2" t="s">
        <v>720</v>
      </c>
      <c r="D1697" s="2" t="s">
        <v>193</v>
      </c>
      <c r="E1697" s="67" t="s">
        <v>25</v>
      </c>
      <c r="F1697" s="12">
        <v>177</v>
      </c>
      <c r="G1697" s="12">
        <v>142</v>
      </c>
      <c r="H1697" s="12">
        <v>35</v>
      </c>
      <c r="J1697" s="2"/>
      <c r="K1697" s="2"/>
      <c r="L1697" s="2"/>
      <c r="M1697" s="2"/>
      <c r="N1697" s="2"/>
      <c r="O1697" s="2"/>
      <c r="P1697" s="2"/>
    </row>
    <row r="1698" spans="1:16" x14ac:dyDescent="0.4">
      <c r="A1698">
        <v>2012</v>
      </c>
      <c r="B1698" s="2" t="s">
        <v>548</v>
      </c>
      <c r="C1698" s="2" t="s">
        <v>720</v>
      </c>
      <c r="D1698" s="2" t="s">
        <v>193</v>
      </c>
      <c r="E1698" s="67" t="s">
        <v>51</v>
      </c>
      <c r="F1698" s="12">
        <v>4358</v>
      </c>
      <c r="G1698" s="12">
        <v>2783</v>
      </c>
      <c r="H1698" s="12">
        <v>1575</v>
      </c>
      <c r="J1698" s="2"/>
      <c r="K1698" s="2"/>
      <c r="L1698" s="2"/>
      <c r="M1698" s="2"/>
      <c r="N1698" s="2"/>
      <c r="O1698" s="2"/>
      <c r="P1698" s="2"/>
    </row>
    <row r="1699" spans="1:16" x14ac:dyDescent="0.4">
      <c r="A1699">
        <v>2012</v>
      </c>
      <c r="B1699" s="2" t="s">
        <v>549</v>
      </c>
      <c r="C1699" s="2" t="s">
        <v>720</v>
      </c>
      <c r="D1699" s="2" t="s">
        <v>193</v>
      </c>
      <c r="E1699" s="67" t="s">
        <v>53</v>
      </c>
      <c r="F1699" s="12">
        <v>562</v>
      </c>
      <c r="G1699" s="12">
        <v>366</v>
      </c>
      <c r="H1699" s="12">
        <v>196</v>
      </c>
      <c r="J1699" s="2"/>
      <c r="K1699" s="2"/>
      <c r="L1699" s="2"/>
      <c r="M1699" s="2"/>
      <c r="N1699" s="2"/>
      <c r="O1699" s="2"/>
      <c r="P1699" s="2"/>
    </row>
    <row r="1700" spans="1:16" x14ac:dyDescent="0.4">
      <c r="A1700">
        <v>2012</v>
      </c>
      <c r="B1700" s="2" t="s">
        <v>550</v>
      </c>
      <c r="C1700" s="2" t="s">
        <v>720</v>
      </c>
      <c r="D1700" s="2" t="s">
        <v>193</v>
      </c>
      <c r="E1700" s="67" t="s">
        <v>54</v>
      </c>
      <c r="F1700" s="12">
        <v>656</v>
      </c>
      <c r="G1700" s="12">
        <v>448</v>
      </c>
      <c r="H1700" s="12">
        <v>208</v>
      </c>
      <c r="J1700" s="2"/>
      <c r="K1700" s="2"/>
      <c r="L1700" s="2"/>
      <c r="M1700" s="2"/>
      <c r="N1700" s="2"/>
      <c r="O1700" s="2"/>
      <c r="P1700" s="2"/>
    </row>
    <row r="1701" spans="1:16" x14ac:dyDescent="0.4">
      <c r="A1701">
        <v>2012</v>
      </c>
      <c r="B1701" s="2" t="s">
        <v>551</v>
      </c>
      <c r="C1701" s="2" t="s">
        <v>721</v>
      </c>
      <c r="D1701" s="2" t="s">
        <v>207</v>
      </c>
      <c r="E1701" s="67" t="s">
        <v>128</v>
      </c>
      <c r="F1701" s="12">
        <v>52</v>
      </c>
      <c r="G1701" s="12">
        <v>27</v>
      </c>
      <c r="H1701" s="12">
        <v>25</v>
      </c>
      <c r="J1701" s="2"/>
      <c r="K1701" s="2"/>
      <c r="L1701" s="2"/>
      <c r="M1701" s="2"/>
      <c r="N1701" s="2"/>
      <c r="O1701" s="2"/>
      <c r="P1701" s="2"/>
    </row>
    <row r="1702" spans="1:16" x14ac:dyDescent="0.4">
      <c r="A1702">
        <v>2012</v>
      </c>
      <c r="B1702" s="2" t="s">
        <v>552</v>
      </c>
      <c r="C1702" s="2" t="s">
        <v>721</v>
      </c>
      <c r="D1702" s="2" t="s">
        <v>207</v>
      </c>
      <c r="E1702" s="67" t="s">
        <v>208</v>
      </c>
      <c r="F1702" s="12">
        <v>32</v>
      </c>
      <c r="G1702" s="12">
        <v>25</v>
      </c>
      <c r="H1702" s="12">
        <v>7</v>
      </c>
      <c r="J1702" s="2"/>
      <c r="K1702" s="2"/>
      <c r="L1702" s="2"/>
      <c r="M1702" s="2"/>
      <c r="N1702" s="2"/>
      <c r="O1702" s="2"/>
      <c r="P1702" s="2"/>
    </row>
    <row r="1703" spans="1:16" x14ac:dyDescent="0.4">
      <c r="A1703">
        <v>2012</v>
      </c>
      <c r="B1703" s="2" t="s">
        <v>553</v>
      </c>
      <c r="C1703" s="2" t="s">
        <v>721</v>
      </c>
      <c r="D1703" s="2" t="s">
        <v>207</v>
      </c>
      <c r="E1703" s="67" t="s">
        <v>36</v>
      </c>
      <c r="F1703" s="12">
        <v>135</v>
      </c>
      <c r="G1703" s="12">
        <v>75</v>
      </c>
      <c r="H1703" s="12">
        <v>60</v>
      </c>
      <c r="J1703" s="2"/>
      <c r="K1703" s="2"/>
      <c r="L1703" s="2"/>
      <c r="M1703" s="2"/>
      <c r="N1703" s="2"/>
      <c r="O1703" s="2"/>
      <c r="P1703" s="2"/>
    </row>
    <row r="1704" spans="1:16" x14ac:dyDescent="0.4">
      <c r="A1704">
        <v>2012</v>
      </c>
      <c r="B1704" s="2" t="s">
        <v>554</v>
      </c>
      <c r="C1704" s="2" t="s">
        <v>721</v>
      </c>
      <c r="D1704" s="2" t="s">
        <v>207</v>
      </c>
      <c r="E1704" s="67" t="s">
        <v>209</v>
      </c>
      <c r="F1704" s="12">
        <v>108</v>
      </c>
      <c r="G1704" s="12">
        <v>71</v>
      </c>
      <c r="H1704" s="12">
        <v>37</v>
      </c>
      <c r="J1704" s="2"/>
      <c r="K1704" s="2"/>
      <c r="L1704" s="2"/>
      <c r="M1704" s="2"/>
      <c r="N1704" s="2"/>
      <c r="O1704" s="2"/>
      <c r="P1704" s="2"/>
    </row>
    <row r="1705" spans="1:16" x14ac:dyDescent="0.4">
      <c r="A1705">
        <v>2012</v>
      </c>
      <c r="B1705" s="2" t="s">
        <v>555</v>
      </c>
      <c r="C1705" s="2" t="s">
        <v>721</v>
      </c>
      <c r="D1705" s="2" t="s">
        <v>207</v>
      </c>
      <c r="E1705" s="67" t="s">
        <v>69</v>
      </c>
      <c r="F1705" s="12">
        <v>103</v>
      </c>
      <c r="G1705" s="12">
        <v>61</v>
      </c>
      <c r="H1705" s="12">
        <v>42</v>
      </c>
      <c r="J1705" s="2"/>
      <c r="K1705" s="2"/>
      <c r="L1705" s="2"/>
      <c r="M1705" s="2"/>
      <c r="N1705" s="2"/>
      <c r="O1705" s="2"/>
      <c r="P1705" s="2"/>
    </row>
    <row r="1706" spans="1:16" x14ac:dyDescent="0.4">
      <c r="A1706">
        <v>2012</v>
      </c>
      <c r="B1706" s="2" t="s">
        <v>556</v>
      </c>
      <c r="C1706" s="2" t="s">
        <v>721</v>
      </c>
      <c r="D1706" s="2" t="s">
        <v>207</v>
      </c>
      <c r="E1706" s="67" t="s">
        <v>62</v>
      </c>
      <c r="F1706" s="12">
        <v>191</v>
      </c>
      <c r="G1706" s="12">
        <v>130</v>
      </c>
      <c r="H1706" s="12">
        <v>61</v>
      </c>
      <c r="J1706" s="2"/>
      <c r="K1706" s="2"/>
      <c r="L1706" s="2"/>
      <c r="M1706" s="2"/>
      <c r="N1706" s="2"/>
      <c r="O1706" s="2"/>
      <c r="P1706" s="2"/>
    </row>
    <row r="1707" spans="1:16" x14ac:dyDescent="0.4">
      <c r="A1707">
        <v>2012</v>
      </c>
      <c r="B1707" s="2" t="s">
        <v>557</v>
      </c>
      <c r="C1707" s="2" t="s">
        <v>721</v>
      </c>
      <c r="D1707" s="2" t="s">
        <v>207</v>
      </c>
      <c r="E1707" s="67" t="s">
        <v>44</v>
      </c>
      <c r="F1707" s="12">
        <v>93</v>
      </c>
      <c r="G1707" s="12">
        <v>66</v>
      </c>
      <c r="H1707" s="12">
        <v>27</v>
      </c>
      <c r="J1707" s="2"/>
      <c r="K1707" s="2"/>
      <c r="L1707" s="2"/>
      <c r="M1707" s="2"/>
      <c r="N1707" s="2"/>
      <c r="O1707" s="2"/>
      <c r="P1707" s="2"/>
    </row>
    <row r="1708" spans="1:16" x14ac:dyDescent="0.4">
      <c r="A1708">
        <v>2012</v>
      </c>
      <c r="B1708" s="2" t="s">
        <v>558</v>
      </c>
      <c r="C1708" s="2" t="s">
        <v>721</v>
      </c>
      <c r="D1708" s="2" t="s">
        <v>207</v>
      </c>
      <c r="E1708" s="67" t="s">
        <v>210</v>
      </c>
      <c r="F1708" s="12">
        <v>3313</v>
      </c>
      <c r="G1708" s="12">
        <v>2046</v>
      </c>
      <c r="H1708" s="12">
        <v>1267</v>
      </c>
      <c r="J1708" s="2"/>
      <c r="K1708" s="2"/>
      <c r="L1708" s="2"/>
      <c r="M1708" s="2"/>
      <c r="N1708" s="2"/>
      <c r="O1708" s="2"/>
      <c r="P1708" s="2"/>
    </row>
    <row r="1709" spans="1:16" x14ac:dyDescent="0.4">
      <c r="A1709">
        <v>2012</v>
      </c>
      <c r="B1709" s="2" t="s">
        <v>559</v>
      </c>
      <c r="C1709" s="2" t="s">
        <v>721</v>
      </c>
      <c r="D1709" s="2" t="s">
        <v>207</v>
      </c>
      <c r="E1709" s="67" t="s">
        <v>74</v>
      </c>
      <c r="F1709" s="12">
        <v>128</v>
      </c>
      <c r="G1709" s="12">
        <v>80</v>
      </c>
      <c r="H1709" s="12">
        <v>48</v>
      </c>
      <c r="J1709" s="2"/>
      <c r="K1709" s="2"/>
      <c r="L1709" s="2"/>
      <c r="M1709" s="2"/>
      <c r="N1709" s="2"/>
      <c r="O1709" s="2"/>
      <c r="P1709" s="2"/>
    </row>
    <row r="1710" spans="1:16" x14ac:dyDescent="0.4">
      <c r="A1710">
        <v>2012</v>
      </c>
      <c r="B1710" s="2" t="s">
        <v>560</v>
      </c>
      <c r="C1710" s="2" t="s">
        <v>721</v>
      </c>
      <c r="D1710" s="2" t="s">
        <v>207</v>
      </c>
      <c r="E1710" s="67" t="s">
        <v>211</v>
      </c>
      <c r="F1710" s="12">
        <v>91</v>
      </c>
      <c r="G1710" s="12">
        <v>50</v>
      </c>
      <c r="H1710" s="12">
        <v>41</v>
      </c>
      <c r="J1710" s="2"/>
      <c r="K1710" s="2"/>
      <c r="L1710" s="2"/>
      <c r="M1710" s="2"/>
      <c r="N1710" s="2"/>
      <c r="O1710" s="2"/>
      <c r="P1710" s="2"/>
    </row>
    <row r="1711" spans="1:16" x14ac:dyDescent="0.4">
      <c r="A1711">
        <v>2012</v>
      </c>
      <c r="B1711" s="2" t="s">
        <v>561</v>
      </c>
      <c r="C1711" s="2" t="s">
        <v>721</v>
      </c>
      <c r="D1711" s="2" t="s">
        <v>207</v>
      </c>
      <c r="E1711" s="67" t="s">
        <v>212</v>
      </c>
      <c r="F1711" s="12">
        <v>34</v>
      </c>
      <c r="G1711" s="12">
        <v>19</v>
      </c>
      <c r="H1711" s="12">
        <v>15</v>
      </c>
      <c r="J1711" s="2"/>
      <c r="K1711" s="2"/>
      <c r="L1711" s="2"/>
      <c r="M1711" s="2"/>
      <c r="N1711" s="2"/>
      <c r="O1711" s="2"/>
      <c r="P1711" s="2"/>
    </row>
    <row r="1712" spans="1:16" x14ac:dyDescent="0.4">
      <c r="A1712">
        <v>2012</v>
      </c>
      <c r="B1712" s="2" t="s">
        <v>562</v>
      </c>
      <c r="C1712" s="2" t="s">
        <v>721</v>
      </c>
      <c r="D1712" s="2" t="s">
        <v>207</v>
      </c>
      <c r="E1712" s="67" t="s">
        <v>213</v>
      </c>
      <c r="F1712" s="12">
        <v>88</v>
      </c>
      <c r="G1712" s="12">
        <v>61</v>
      </c>
      <c r="H1712" s="12">
        <v>27</v>
      </c>
      <c r="J1712" s="2"/>
      <c r="K1712" s="2"/>
      <c r="L1712" s="2"/>
      <c r="M1712" s="2"/>
      <c r="N1712" s="2"/>
      <c r="O1712" s="2"/>
      <c r="P1712" s="2"/>
    </row>
    <row r="1713" spans="1:16" x14ac:dyDescent="0.4">
      <c r="A1713">
        <v>2012</v>
      </c>
      <c r="B1713" s="2" t="s">
        <v>563</v>
      </c>
      <c r="C1713" s="2" t="s">
        <v>721</v>
      </c>
      <c r="D1713" s="2" t="s">
        <v>207</v>
      </c>
      <c r="E1713" s="67" t="s">
        <v>214</v>
      </c>
      <c r="F1713" s="12">
        <v>22</v>
      </c>
      <c r="G1713" s="12">
        <v>14</v>
      </c>
      <c r="H1713" s="12">
        <v>8</v>
      </c>
      <c r="J1713" s="2"/>
      <c r="K1713" s="2"/>
      <c r="L1713" s="2"/>
      <c r="M1713" s="2"/>
      <c r="N1713" s="2"/>
      <c r="O1713" s="2"/>
      <c r="P1713" s="2"/>
    </row>
    <row r="1714" spans="1:16" x14ac:dyDescent="0.4">
      <c r="A1714">
        <v>2012</v>
      </c>
      <c r="B1714" s="2" t="s">
        <v>564</v>
      </c>
      <c r="C1714" s="2" t="s">
        <v>722</v>
      </c>
      <c r="D1714" s="2" t="s">
        <v>216</v>
      </c>
      <c r="E1714" s="67" t="s">
        <v>215</v>
      </c>
      <c r="F1714" s="12">
        <v>82</v>
      </c>
      <c r="G1714" s="12">
        <v>46</v>
      </c>
      <c r="H1714" s="12">
        <v>36</v>
      </c>
      <c r="J1714" s="2"/>
      <c r="K1714" s="2"/>
      <c r="L1714" s="2"/>
      <c r="M1714" s="2"/>
      <c r="N1714" s="2"/>
      <c r="O1714" s="2"/>
      <c r="P1714" s="2"/>
    </row>
    <row r="1715" spans="1:16" x14ac:dyDescent="0.4">
      <c r="A1715">
        <v>2012</v>
      </c>
      <c r="B1715" s="2" t="s">
        <v>565</v>
      </c>
      <c r="C1715" s="2" t="s">
        <v>722</v>
      </c>
      <c r="D1715" s="2" t="s">
        <v>216</v>
      </c>
      <c r="E1715" s="67" t="s">
        <v>59</v>
      </c>
      <c r="F1715" s="12">
        <v>116</v>
      </c>
      <c r="G1715" s="12">
        <v>71</v>
      </c>
      <c r="H1715" s="12">
        <v>45</v>
      </c>
      <c r="J1715" s="2"/>
      <c r="K1715" s="2"/>
      <c r="L1715" s="2"/>
      <c r="M1715" s="2"/>
      <c r="N1715" s="2"/>
      <c r="O1715" s="2"/>
      <c r="P1715" s="2"/>
    </row>
    <row r="1716" spans="1:16" x14ac:dyDescent="0.4">
      <c r="A1716">
        <v>2012</v>
      </c>
      <c r="B1716" s="2" t="s">
        <v>566</v>
      </c>
      <c r="C1716" s="2" t="s">
        <v>722</v>
      </c>
      <c r="D1716" s="2" t="s">
        <v>216</v>
      </c>
      <c r="E1716" s="67" t="s">
        <v>217</v>
      </c>
      <c r="F1716" s="12">
        <v>164</v>
      </c>
      <c r="G1716" s="12">
        <v>97</v>
      </c>
      <c r="H1716" s="12">
        <v>67</v>
      </c>
      <c r="J1716" s="2"/>
      <c r="K1716" s="2"/>
      <c r="L1716" s="2"/>
      <c r="M1716" s="2"/>
      <c r="N1716" s="2"/>
      <c r="O1716" s="2"/>
      <c r="P1716" s="2"/>
    </row>
    <row r="1717" spans="1:16" x14ac:dyDescent="0.4">
      <c r="A1717">
        <v>2012</v>
      </c>
      <c r="B1717" s="2" t="s">
        <v>567</v>
      </c>
      <c r="C1717" s="2" t="s">
        <v>722</v>
      </c>
      <c r="D1717" s="2" t="s">
        <v>216</v>
      </c>
      <c r="E1717" s="67" t="s">
        <v>218</v>
      </c>
      <c r="F1717" s="12">
        <v>208</v>
      </c>
      <c r="G1717" s="12">
        <v>122</v>
      </c>
      <c r="H1717" s="12">
        <v>86</v>
      </c>
      <c r="J1717" s="2"/>
      <c r="K1717" s="2"/>
      <c r="L1717" s="2"/>
      <c r="M1717" s="2"/>
      <c r="N1717" s="2"/>
      <c r="O1717" s="2"/>
      <c r="P1717" s="2"/>
    </row>
    <row r="1718" spans="1:16" x14ac:dyDescent="0.4">
      <c r="A1718">
        <v>2012</v>
      </c>
      <c r="B1718" s="2" t="s">
        <v>568</v>
      </c>
      <c r="C1718" s="2" t="s">
        <v>722</v>
      </c>
      <c r="D1718" s="2" t="s">
        <v>216</v>
      </c>
      <c r="E1718" s="67" t="s">
        <v>219</v>
      </c>
      <c r="F1718" s="12">
        <v>101</v>
      </c>
      <c r="G1718" s="12">
        <v>57</v>
      </c>
      <c r="H1718" s="12">
        <v>44</v>
      </c>
      <c r="J1718" s="2"/>
      <c r="K1718" s="2"/>
      <c r="L1718" s="2"/>
      <c r="M1718" s="2"/>
      <c r="N1718" s="2"/>
      <c r="O1718" s="2"/>
      <c r="P1718" s="2"/>
    </row>
    <row r="1719" spans="1:16" x14ac:dyDescent="0.4">
      <c r="A1719">
        <v>2012</v>
      </c>
      <c r="B1719" s="2" t="s">
        <v>569</v>
      </c>
      <c r="C1719" s="2" t="s">
        <v>722</v>
      </c>
      <c r="D1719" s="2" t="s">
        <v>216</v>
      </c>
      <c r="E1719" s="67" t="s">
        <v>220</v>
      </c>
      <c r="F1719" s="12">
        <v>144</v>
      </c>
      <c r="G1719" s="12">
        <v>85</v>
      </c>
      <c r="H1719" s="12">
        <v>59</v>
      </c>
      <c r="J1719" s="2"/>
      <c r="K1719" s="2"/>
      <c r="L1719" s="2"/>
      <c r="M1719" s="2"/>
      <c r="N1719" s="2"/>
      <c r="O1719" s="2"/>
      <c r="P1719" s="2"/>
    </row>
    <row r="1720" spans="1:16" x14ac:dyDescent="0.4">
      <c r="A1720">
        <v>2012</v>
      </c>
      <c r="B1720" s="2" t="s">
        <v>570</v>
      </c>
      <c r="C1720" s="2" t="s">
        <v>722</v>
      </c>
      <c r="D1720" s="2" t="s">
        <v>216</v>
      </c>
      <c r="E1720" s="67" t="s">
        <v>221</v>
      </c>
      <c r="F1720" s="12">
        <v>162</v>
      </c>
      <c r="G1720" s="12">
        <v>100</v>
      </c>
      <c r="H1720" s="12">
        <v>62</v>
      </c>
      <c r="J1720" s="2"/>
      <c r="K1720" s="2"/>
      <c r="L1720" s="2"/>
      <c r="M1720" s="2"/>
      <c r="N1720" s="2"/>
      <c r="O1720" s="2"/>
      <c r="P1720" s="2"/>
    </row>
    <row r="1721" spans="1:16" x14ac:dyDescent="0.4">
      <c r="A1721">
        <v>2012</v>
      </c>
      <c r="B1721" s="2" t="s">
        <v>571</v>
      </c>
      <c r="C1721" s="2" t="s">
        <v>722</v>
      </c>
      <c r="D1721" s="2" t="s">
        <v>216</v>
      </c>
      <c r="E1721" s="67" t="s">
        <v>222</v>
      </c>
      <c r="F1721" s="12">
        <v>1304</v>
      </c>
      <c r="G1721" s="12">
        <v>788</v>
      </c>
      <c r="H1721" s="12">
        <v>516</v>
      </c>
      <c r="J1721" s="2"/>
      <c r="K1721" s="2"/>
      <c r="L1721" s="2"/>
      <c r="M1721" s="2"/>
      <c r="N1721" s="2"/>
      <c r="O1721" s="2"/>
      <c r="P1721" s="2"/>
    </row>
    <row r="1722" spans="1:16" x14ac:dyDescent="0.4">
      <c r="A1722">
        <v>2012</v>
      </c>
      <c r="B1722" s="2" t="s">
        <v>572</v>
      </c>
      <c r="C1722" s="2" t="s">
        <v>722</v>
      </c>
      <c r="D1722" s="2" t="s">
        <v>216</v>
      </c>
      <c r="E1722" s="67" t="s">
        <v>223</v>
      </c>
      <c r="F1722" s="12">
        <v>88</v>
      </c>
      <c r="G1722" s="12">
        <v>46</v>
      </c>
      <c r="H1722" s="12">
        <v>42</v>
      </c>
      <c r="J1722" s="2"/>
      <c r="K1722" s="2"/>
      <c r="L1722" s="2"/>
      <c r="M1722" s="2"/>
      <c r="N1722" s="2"/>
      <c r="O1722" s="2"/>
      <c r="P1722" s="2"/>
    </row>
    <row r="1723" spans="1:16" x14ac:dyDescent="0.4">
      <c r="A1723">
        <v>2012</v>
      </c>
      <c r="B1723" s="2" t="s">
        <v>573</v>
      </c>
      <c r="C1723" s="2" t="s">
        <v>722</v>
      </c>
      <c r="D1723" s="2" t="s">
        <v>216</v>
      </c>
      <c r="E1723" s="67" t="s">
        <v>224</v>
      </c>
      <c r="F1723" s="12">
        <v>120</v>
      </c>
      <c r="G1723" s="12">
        <v>72</v>
      </c>
      <c r="H1723" s="12">
        <v>48</v>
      </c>
      <c r="J1723" s="2"/>
      <c r="K1723" s="2"/>
      <c r="L1723" s="2"/>
      <c r="M1723" s="2"/>
      <c r="N1723" s="2"/>
      <c r="O1723" s="2"/>
      <c r="P1723" s="2"/>
    </row>
    <row r="1724" spans="1:16" x14ac:dyDescent="0.4">
      <c r="A1724">
        <v>2012</v>
      </c>
      <c r="B1724" s="2" t="s">
        <v>574</v>
      </c>
      <c r="C1724" s="2" t="s">
        <v>722</v>
      </c>
      <c r="D1724" s="2" t="s">
        <v>216</v>
      </c>
      <c r="E1724" s="67" t="s">
        <v>225</v>
      </c>
      <c r="F1724" s="12">
        <v>41</v>
      </c>
      <c r="G1724" s="12">
        <v>24</v>
      </c>
      <c r="H1724" s="12">
        <v>17</v>
      </c>
      <c r="J1724" s="2"/>
      <c r="K1724" s="2"/>
      <c r="L1724" s="2"/>
      <c r="M1724" s="2"/>
      <c r="N1724" s="2"/>
      <c r="O1724" s="2"/>
      <c r="P1724" s="2"/>
    </row>
    <row r="1725" spans="1:16" x14ac:dyDescent="0.4">
      <c r="A1725">
        <v>2012</v>
      </c>
      <c r="B1725" s="2" t="s">
        <v>575</v>
      </c>
      <c r="C1725" s="2" t="s">
        <v>723</v>
      </c>
      <c r="D1725" s="2" t="s">
        <v>227</v>
      </c>
      <c r="E1725" s="67" t="s">
        <v>226</v>
      </c>
      <c r="F1725" s="12">
        <v>95</v>
      </c>
      <c r="G1725" s="12">
        <v>55</v>
      </c>
      <c r="H1725" s="12">
        <v>40</v>
      </c>
      <c r="J1725" s="2"/>
      <c r="K1725" s="2"/>
      <c r="L1725" s="2"/>
      <c r="M1725" s="2"/>
      <c r="N1725" s="2"/>
      <c r="O1725" s="2"/>
      <c r="P1725" s="2"/>
    </row>
    <row r="1726" spans="1:16" x14ac:dyDescent="0.4">
      <c r="A1726">
        <v>2012</v>
      </c>
      <c r="B1726" s="2" t="s">
        <v>576</v>
      </c>
      <c r="C1726" s="2" t="s">
        <v>723</v>
      </c>
      <c r="D1726" s="2" t="s">
        <v>227</v>
      </c>
      <c r="E1726" s="67" t="s">
        <v>228</v>
      </c>
      <c r="F1726" s="12">
        <v>1327</v>
      </c>
      <c r="G1726" s="12">
        <v>839</v>
      </c>
      <c r="H1726" s="12">
        <v>488</v>
      </c>
      <c r="J1726" s="2"/>
      <c r="K1726" s="2"/>
      <c r="L1726" s="2"/>
      <c r="M1726" s="2"/>
      <c r="N1726" s="2"/>
      <c r="O1726" s="2"/>
      <c r="P1726" s="2"/>
    </row>
    <row r="1727" spans="1:16" x14ac:dyDescent="0.4">
      <c r="A1727">
        <v>2012</v>
      </c>
      <c r="B1727" s="2" t="s">
        <v>577</v>
      </c>
      <c r="C1727" s="2" t="s">
        <v>723</v>
      </c>
      <c r="D1727" s="2" t="s">
        <v>227</v>
      </c>
      <c r="E1727" s="67" t="s">
        <v>229</v>
      </c>
      <c r="F1727" s="12">
        <v>120</v>
      </c>
      <c r="G1727" s="12">
        <v>77</v>
      </c>
      <c r="H1727" s="12">
        <v>43</v>
      </c>
      <c r="J1727" s="2"/>
      <c r="K1727" s="2"/>
      <c r="L1727" s="2"/>
      <c r="M1727" s="2"/>
      <c r="N1727" s="2"/>
      <c r="O1727" s="2"/>
      <c r="P1727" s="2"/>
    </row>
    <row r="1728" spans="1:16" x14ac:dyDescent="0.4">
      <c r="A1728">
        <v>2012</v>
      </c>
      <c r="B1728" s="2" t="s">
        <v>578</v>
      </c>
      <c r="C1728" s="2" t="s">
        <v>723</v>
      </c>
      <c r="D1728" s="2" t="s">
        <v>227</v>
      </c>
      <c r="E1728" s="67" t="s">
        <v>230</v>
      </c>
      <c r="F1728" s="12">
        <v>1102</v>
      </c>
      <c r="G1728" s="12">
        <v>698</v>
      </c>
      <c r="H1728" s="12">
        <v>404</v>
      </c>
      <c r="J1728" s="2"/>
      <c r="K1728" s="2"/>
      <c r="L1728" s="2"/>
      <c r="M1728" s="2"/>
      <c r="N1728" s="2"/>
      <c r="O1728" s="2"/>
      <c r="P1728" s="2"/>
    </row>
    <row r="1729" spans="1:16" x14ac:dyDescent="0.4">
      <c r="A1729">
        <v>2012</v>
      </c>
      <c r="B1729" s="2" t="s">
        <v>579</v>
      </c>
      <c r="C1729" s="2" t="s">
        <v>723</v>
      </c>
      <c r="D1729" s="2" t="s">
        <v>227</v>
      </c>
      <c r="E1729" s="67" t="s">
        <v>231</v>
      </c>
      <c r="F1729" s="12">
        <v>67</v>
      </c>
      <c r="G1729" s="12">
        <v>50</v>
      </c>
      <c r="H1729" s="12">
        <v>17</v>
      </c>
      <c r="J1729" s="2"/>
      <c r="K1729" s="2"/>
      <c r="L1729" s="2"/>
      <c r="M1729" s="2"/>
      <c r="N1729" s="2"/>
      <c r="O1729" s="2"/>
      <c r="P1729" s="2"/>
    </row>
    <row r="1730" spans="1:16" ht="23.15" x14ac:dyDescent="0.4">
      <c r="A1730">
        <v>2012</v>
      </c>
      <c r="B1730" s="2" t="s">
        <v>580</v>
      </c>
      <c r="C1730" s="2" t="s">
        <v>723</v>
      </c>
      <c r="D1730" s="2" t="s">
        <v>227</v>
      </c>
      <c r="E1730" s="67" t="s">
        <v>232</v>
      </c>
      <c r="F1730" s="12">
        <v>68</v>
      </c>
      <c r="G1730" s="12">
        <v>40</v>
      </c>
      <c r="H1730" s="12">
        <v>28</v>
      </c>
      <c r="J1730" s="2"/>
      <c r="K1730" s="2"/>
      <c r="L1730" s="2"/>
      <c r="M1730" s="2"/>
      <c r="N1730" s="2"/>
      <c r="O1730" s="2"/>
      <c r="P1730" s="2"/>
    </row>
    <row r="1731" spans="1:16" x14ac:dyDescent="0.4">
      <c r="A1731">
        <v>2012</v>
      </c>
      <c r="B1731" s="2" t="s">
        <v>581</v>
      </c>
      <c r="C1731" s="2" t="s">
        <v>723</v>
      </c>
      <c r="D1731" s="2" t="s">
        <v>227</v>
      </c>
      <c r="E1731" s="67" t="s">
        <v>233</v>
      </c>
      <c r="F1731" s="12">
        <v>133</v>
      </c>
      <c r="G1731" s="12">
        <v>91</v>
      </c>
      <c r="H1731" s="12">
        <v>42</v>
      </c>
      <c r="J1731" s="2"/>
      <c r="K1731" s="2"/>
      <c r="L1731" s="2"/>
      <c r="M1731" s="2"/>
      <c r="N1731" s="2"/>
      <c r="O1731" s="2"/>
      <c r="P1731" s="2"/>
    </row>
    <row r="1732" spans="1:16" x14ac:dyDescent="0.4">
      <c r="A1732">
        <v>2012</v>
      </c>
      <c r="B1732" s="2" t="s">
        <v>582</v>
      </c>
      <c r="C1732" s="2" t="s">
        <v>723</v>
      </c>
      <c r="D1732" s="2" t="s">
        <v>227</v>
      </c>
      <c r="E1732" s="67" t="s">
        <v>32</v>
      </c>
      <c r="F1732" s="12">
        <v>563</v>
      </c>
      <c r="G1732" s="12">
        <v>379</v>
      </c>
      <c r="H1732" s="12">
        <v>184</v>
      </c>
      <c r="J1732" s="2"/>
      <c r="K1732" s="2"/>
      <c r="L1732" s="2"/>
      <c r="M1732" s="2"/>
      <c r="N1732" s="2"/>
      <c r="O1732" s="2"/>
      <c r="P1732" s="2"/>
    </row>
    <row r="1733" spans="1:16" x14ac:dyDescent="0.4">
      <c r="A1733">
        <v>2012</v>
      </c>
      <c r="B1733" s="2" t="s">
        <v>583</v>
      </c>
      <c r="C1733" s="2" t="s">
        <v>723</v>
      </c>
      <c r="D1733" s="2" t="s">
        <v>227</v>
      </c>
      <c r="E1733" s="67" t="s">
        <v>234</v>
      </c>
      <c r="F1733" s="12">
        <v>13</v>
      </c>
      <c r="G1733" s="12">
        <v>10</v>
      </c>
      <c r="H1733" s="12">
        <v>3</v>
      </c>
      <c r="J1733" s="2"/>
      <c r="K1733" s="2"/>
      <c r="L1733" s="2"/>
      <c r="M1733" s="2"/>
      <c r="N1733" s="2"/>
      <c r="O1733" s="2"/>
      <c r="P1733" s="2"/>
    </row>
    <row r="1734" spans="1:16" x14ac:dyDescent="0.4">
      <c r="A1734">
        <v>2012</v>
      </c>
      <c r="B1734" s="2" t="s">
        <v>584</v>
      </c>
      <c r="C1734" s="2" t="s">
        <v>723</v>
      </c>
      <c r="D1734" s="2" t="s">
        <v>227</v>
      </c>
      <c r="E1734" s="67" t="s">
        <v>235</v>
      </c>
      <c r="F1734" s="12">
        <v>80</v>
      </c>
      <c r="G1734" s="12">
        <v>55</v>
      </c>
      <c r="H1734" s="12">
        <v>25</v>
      </c>
      <c r="J1734" s="2"/>
      <c r="K1734" s="2"/>
      <c r="L1734" s="2"/>
      <c r="M1734" s="2"/>
      <c r="N1734" s="2"/>
      <c r="O1734" s="2"/>
      <c r="P1734" s="2"/>
    </row>
    <row r="1735" spans="1:16" x14ac:dyDescent="0.4">
      <c r="A1735">
        <v>2012</v>
      </c>
      <c r="B1735" s="2" t="s">
        <v>585</v>
      </c>
      <c r="C1735" s="2" t="s">
        <v>723</v>
      </c>
      <c r="D1735" s="2" t="s">
        <v>227</v>
      </c>
      <c r="E1735" s="67" t="s">
        <v>236</v>
      </c>
      <c r="F1735" s="12">
        <v>48</v>
      </c>
      <c r="G1735" s="12">
        <v>35</v>
      </c>
      <c r="H1735" s="12">
        <v>13</v>
      </c>
      <c r="J1735" s="2"/>
      <c r="K1735" s="2"/>
      <c r="L1735" s="2"/>
      <c r="M1735" s="2"/>
      <c r="N1735" s="2"/>
      <c r="O1735" s="2"/>
      <c r="P1735" s="2"/>
    </row>
    <row r="1736" spans="1:16" x14ac:dyDescent="0.4">
      <c r="A1736">
        <v>2012</v>
      </c>
      <c r="B1736" s="2" t="s">
        <v>586</v>
      </c>
      <c r="C1736" s="2" t="s">
        <v>723</v>
      </c>
      <c r="D1736" s="2" t="s">
        <v>227</v>
      </c>
      <c r="E1736" s="67" t="s">
        <v>237</v>
      </c>
      <c r="F1736" s="12">
        <v>36</v>
      </c>
      <c r="G1736" s="12">
        <v>27</v>
      </c>
      <c r="H1736" s="12">
        <v>9</v>
      </c>
      <c r="J1736" s="2"/>
      <c r="K1736" s="2"/>
      <c r="L1736" s="2"/>
      <c r="M1736" s="2"/>
      <c r="N1736" s="2"/>
      <c r="O1736" s="2"/>
      <c r="P1736" s="2"/>
    </row>
    <row r="1737" spans="1:16" x14ac:dyDescent="0.4">
      <c r="A1737">
        <v>2012</v>
      </c>
      <c r="B1737" s="2" t="s">
        <v>587</v>
      </c>
      <c r="C1737" s="2" t="s">
        <v>723</v>
      </c>
      <c r="D1737" s="2" t="s">
        <v>227</v>
      </c>
      <c r="E1737" s="67" t="s">
        <v>51</v>
      </c>
      <c r="F1737" s="12">
        <v>104</v>
      </c>
      <c r="G1737" s="12">
        <v>71</v>
      </c>
      <c r="H1737" s="12">
        <v>33</v>
      </c>
      <c r="J1737" s="2"/>
      <c r="K1737" s="2"/>
      <c r="L1737" s="2"/>
      <c r="M1737" s="2"/>
      <c r="N1737" s="2"/>
      <c r="O1737" s="2"/>
      <c r="P1737" s="2"/>
    </row>
    <row r="1738" spans="1:16" x14ac:dyDescent="0.4">
      <c r="A1738">
        <v>2012</v>
      </c>
      <c r="B1738" s="2" t="s">
        <v>588</v>
      </c>
      <c r="C1738" s="2" t="s">
        <v>723</v>
      </c>
      <c r="D1738" s="2" t="s">
        <v>227</v>
      </c>
      <c r="E1738" s="67" t="s">
        <v>238</v>
      </c>
      <c r="F1738" s="12">
        <v>260</v>
      </c>
      <c r="G1738" s="12">
        <v>175</v>
      </c>
      <c r="H1738" s="12">
        <v>85</v>
      </c>
      <c r="J1738" s="2"/>
      <c r="K1738" s="2"/>
      <c r="L1738" s="2"/>
      <c r="M1738" s="2"/>
      <c r="N1738" s="2"/>
      <c r="O1738" s="2"/>
      <c r="P1738" s="2"/>
    </row>
    <row r="1739" spans="1:16" x14ac:dyDescent="0.4">
      <c r="A1739">
        <v>2012</v>
      </c>
      <c r="B1739" s="2" t="s">
        <v>589</v>
      </c>
      <c r="C1739" s="2" t="s">
        <v>724</v>
      </c>
      <c r="D1739" s="2" t="s">
        <v>239</v>
      </c>
      <c r="E1739" s="67" t="s">
        <v>163</v>
      </c>
      <c r="F1739" s="12">
        <v>114</v>
      </c>
      <c r="G1739" s="12">
        <v>78</v>
      </c>
      <c r="H1739" s="12">
        <v>36</v>
      </c>
      <c r="J1739" s="2"/>
      <c r="K1739" s="2"/>
      <c r="L1739" s="2"/>
      <c r="M1739" s="2"/>
      <c r="N1739" s="2"/>
      <c r="O1739" s="2"/>
      <c r="P1739" s="2"/>
    </row>
    <row r="1740" spans="1:16" x14ac:dyDescent="0.4">
      <c r="A1740">
        <v>2012</v>
      </c>
      <c r="B1740" s="2" t="s">
        <v>590</v>
      </c>
      <c r="C1740" s="2" t="s">
        <v>724</v>
      </c>
      <c r="D1740" s="2" t="s">
        <v>239</v>
      </c>
      <c r="E1740" s="67" t="s">
        <v>240</v>
      </c>
      <c r="F1740" s="12">
        <v>47</v>
      </c>
      <c r="G1740" s="12">
        <v>30</v>
      </c>
      <c r="H1740" s="12">
        <v>17</v>
      </c>
      <c r="J1740" s="2"/>
      <c r="K1740" s="2"/>
      <c r="L1740" s="2"/>
      <c r="M1740" s="2"/>
      <c r="N1740" s="2"/>
      <c r="O1740" s="2"/>
      <c r="P1740" s="2"/>
    </row>
    <row r="1741" spans="1:16" x14ac:dyDescent="0.4">
      <c r="A1741">
        <v>2012</v>
      </c>
      <c r="B1741" s="2" t="s">
        <v>591</v>
      </c>
      <c r="C1741" s="2" t="s">
        <v>724</v>
      </c>
      <c r="D1741" s="2" t="s">
        <v>239</v>
      </c>
      <c r="E1741" s="67" t="s">
        <v>59</v>
      </c>
      <c r="F1741" s="12">
        <v>164</v>
      </c>
      <c r="G1741" s="12">
        <v>92</v>
      </c>
      <c r="H1741" s="12">
        <v>72</v>
      </c>
      <c r="J1741" s="2"/>
      <c r="K1741" s="2"/>
      <c r="L1741" s="2"/>
      <c r="M1741" s="2"/>
      <c r="N1741" s="2"/>
      <c r="O1741" s="2"/>
      <c r="P1741" s="2"/>
    </row>
    <row r="1742" spans="1:16" x14ac:dyDescent="0.4">
      <c r="A1742">
        <v>2012</v>
      </c>
      <c r="B1742" s="2" t="s">
        <v>592</v>
      </c>
      <c r="C1742" s="2" t="s">
        <v>724</v>
      </c>
      <c r="D1742" s="2" t="s">
        <v>239</v>
      </c>
      <c r="E1742" s="67" t="s">
        <v>241</v>
      </c>
      <c r="F1742" s="12">
        <v>78</v>
      </c>
      <c r="G1742" s="12">
        <v>46</v>
      </c>
      <c r="H1742" s="12">
        <v>32</v>
      </c>
      <c r="J1742" s="2"/>
      <c r="K1742" s="2"/>
      <c r="L1742" s="2"/>
      <c r="M1742" s="2"/>
      <c r="N1742" s="2"/>
      <c r="O1742" s="2"/>
      <c r="P1742" s="2"/>
    </row>
    <row r="1743" spans="1:16" x14ac:dyDescent="0.4">
      <c r="A1743">
        <v>2012</v>
      </c>
      <c r="B1743" s="2" t="s">
        <v>593</v>
      </c>
      <c r="C1743" s="2" t="s">
        <v>724</v>
      </c>
      <c r="D1743" s="2" t="s">
        <v>239</v>
      </c>
      <c r="E1743" s="67" t="s">
        <v>242</v>
      </c>
      <c r="F1743" s="12">
        <v>1187</v>
      </c>
      <c r="G1743" s="12">
        <v>748</v>
      </c>
      <c r="H1743" s="12">
        <v>439</v>
      </c>
      <c r="J1743" s="2"/>
      <c r="K1743" s="2"/>
      <c r="L1743" s="2"/>
      <c r="M1743" s="2"/>
      <c r="N1743" s="2"/>
      <c r="O1743" s="2"/>
      <c r="P1743" s="2"/>
    </row>
    <row r="1744" spans="1:16" x14ac:dyDescent="0.4">
      <c r="A1744">
        <v>2012</v>
      </c>
      <c r="B1744" s="2" t="s">
        <v>594</v>
      </c>
      <c r="C1744" s="2" t="s">
        <v>724</v>
      </c>
      <c r="D1744" s="2" t="s">
        <v>239</v>
      </c>
      <c r="E1744" s="67" t="s">
        <v>36</v>
      </c>
      <c r="F1744" s="12">
        <v>67</v>
      </c>
      <c r="G1744" s="12">
        <v>41</v>
      </c>
      <c r="H1744" s="12">
        <v>26</v>
      </c>
      <c r="J1744" s="2"/>
      <c r="K1744" s="2"/>
      <c r="L1744" s="2"/>
      <c r="M1744" s="2"/>
      <c r="N1744" s="2"/>
      <c r="O1744" s="2"/>
      <c r="P1744" s="2"/>
    </row>
    <row r="1745" spans="1:16" x14ac:dyDescent="0.4">
      <c r="A1745">
        <v>2012</v>
      </c>
      <c r="B1745" s="2" t="s">
        <v>595</v>
      </c>
      <c r="C1745" s="2" t="s">
        <v>724</v>
      </c>
      <c r="D1745" s="2" t="s">
        <v>239</v>
      </c>
      <c r="E1745" s="67" t="s">
        <v>243</v>
      </c>
      <c r="F1745" s="12">
        <v>86</v>
      </c>
      <c r="G1745" s="12">
        <v>60</v>
      </c>
      <c r="H1745" s="12">
        <v>26</v>
      </c>
      <c r="J1745" s="2"/>
      <c r="K1745" s="2"/>
      <c r="L1745" s="2"/>
      <c r="M1745" s="2"/>
      <c r="N1745" s="2"/>
      <c r="O1745" s="2"/>
      <c r="P1745" s="2"/>
    </row>
    <row r="1746" spans="1:16" x14ac:dyDescent="0.4">
      <c r="A1746">
        <v>2012</v>
      </c>
      <c r="B1746" s="2" t="s">
        <v>596</v>
      </c>
      <c r="C1746" s="2" t="s">
        <v>724</v>
      </c>
      <c r="D1746" s="2" t="s">
        <v>239</v>
      </c>
      <c r="E1746" s="67" t="s">
        <v>244</v>
      </c>
      <c r="F1746" s="12">
        <v>81</v>
      </c>
      <c r="G1746" s="12">
        <v>49</v>
      </c>
      <c r="H1746" s="12">
        <v>32</v>
      </c>
      <c r="J1746" s="2"/>
      <c r="K1746" s="2"/>
      <c r="L1746" s="2"/>
      <c r="M1746" s="2"/>
      <c r="N1746" s="2"/>
      <c r="O1746" s="2"/>
      <c r="P1746" s="2"/>
    </row>
    <row r="1747" spans="1:16" x14ac:dyDescent="0.4">
      <c r="A1747">
        <v>2012</v>
      </c>
      <c r="B1747" s="2" t="s">
        <v>597</v>
      </c>
      <c r="C1747" s="2" t="s">
        <v>724</v>
      </c>
      <c r="D1747" s="2" t="s">
        <v>239</v>
      </c>
      <c r="E1747" s="67" t="s">
        <v>44</v>
      </c>
      <c r="F1747" s="12">
        <v>30</v>
      </c>
      <c r="G1747" s="12">
        <v>17</v>
      </c>
      <c r="H1747" s="12">
        <v>13</v>
      </c>
      <c r="J1747" s="2"/>
      <c r="K1747" s="2"/>
      <c r="L1747" s="2"/>
      <c r="M1747" s="2"/>
      <c r="N1747" s="2"/>
      <c r="O1747" s="2"/>
      <c r="P1747" s="2"/>
    </row>
    <row r="1748" spans="1:16" x14ac:dyDescent="0.4">
      <c r="A1748">
        <v>2012</v>
      </c>
      <c r="B1748" s="2" t="s">
        <v>598</v>
      </c>
      <c r="C1748" s="2" t="s">
        <v>724</v>
      </c>
      <c r="D1748" s="2" t="s">
        <v>239</v>
      </c>
      <c r="E1748" s="67" t="s">
        <v>222</v>
      </c>
      <c r="F1748" s="12">
        <v>107</v>
      </c>
      <c r="G1748" s="12">
        <v>66</v>
      </c>
      <c r="H1748" s="12">
        <v>41</v>
      </c>
      <c r="J1748" s="2"/>
      <c r="K1748" s="2"/>
      <c r="L1748" s="2"/>
      <c r="M1748" s="2"/>
      <c r="N1748" s="2"/>
      <c r="O1748" s="2"/>
      <c r="P1748" s="2"/>
    </row>
    <row r="1749" spans="1:16" x14ac:dyDescent="0.4">
      <c r="A1749">
        <v>2012</v>
      </c>
      <c r="B1749" s="2" t="s">
        <v>599</v>
      </c>
      <c r="C1749" s="2" t="s">
        <v>724</v>
      </c>
      <c r="D1749" s="2" t="s">
        <v>239</v>
      </c>
      <c r="E1749" s="67" t="s">
        <v>245</v>
      </c>
      <c r="F1749" s="12">
        <v>45</v>
      </c>
      <c r="G1749" s="12">
        <v>25</v>
      </c>
      <c r="H1749" s="12">
        <v>20</v>
      </c>
      <c r="J1749" s="2"/>
      <c r="K1749" s="2"/>
      <c r="L1749" s="2"/>
      <c r="M1749" s="2"/>
      <c r="N1749" s="2"/>
      <c r="O1749" s="2"/>
      <c r="P1749" s="2"/>
    </row>
    <row r="1750" spans="1:16" x14ac:dyDescent="0.4">
      <c r="A1750">
        <v>2012</v>
      </c>
      <c r="B1750" s="2" t="s">
        <v>600</v>
      </c>
      <c r="C1750" s="2" t="s">
        <v>724</v>
      </c>
      <c r="D1750" s="2" t="s">
        <v>239</v>
      </c>
      <c r="E1750" s="67" t="s">
        <v>246</v>
      </c>
      <c r="F1750" s="12">
        <v>212</v>
      </c>
      <c r="G1750" s="12">
        <v>125</v>
      </c>
      <c r="H1750" s="12">
        <v>87</v>
      </c>
      <c r="J1750" s="2"/>
      <c r="K1750" s="2"/>
      <c r="L1750" s="2"/>
      <c r="M1750" s="2"/>
      <c r="N1750" s="2"/>
      <c r="O1750" s="2"/>
      <c r="P1750" s="2"/>
    </row>
    <row r="1751" spans="1:16" x14ac:dyDescent="0.4">
      <c r="A1751">
        <v>2012</v>
      </c>
      <c r="B1751" s="2" t="s">
        <v>601</v>
      </c>
      <c r="C1751" s="2" t="s">
        <v>724</v>
      </c>
      <c r="D1751" s="2" t="s">
        <v>239</v>
      </c>
      <c r="E1751" s="67" t="s">
        <v>247</v>
      </c>
      <c r="F1751" s="12">
        <v>194</v>
      </c>
      <c r="G1751" s="12">
        <v>115</v>
      </c>
      <c r="H1751" s="12">
        <v>79</v>
      </c>
      <c r="J1751" s="2"/>
      <c r="K1751" s="2"/>
      <c r="L1751" s="2"/>
      <c r="M1751" s="2"/>
      <c r="N1751" s="2"/>
      <c r="O1751" s="2"/>
      <c r="P1751" s="2"/>
    </row>
    <row r="1752" spans="1:16" x14ac:dyDescent="0.4">
      <c r="A1752">
        <v>2012</v>
      </c>
      <c r="B1752" s="2" t="s">
        <v>602</v>
      </c>
      <c r="C1752" s="2" t="s">
        <v>724</v>
      </c>
      <c r="D1752" s="2" t="s">
        <v>239</v>
      </c>
      <c r="E1752" s="67" t="s">
        <v>51</v>
      </c>
      <c r="F1752" s="12">
        <v>2510</v>
      </c>
      <c r="G1752" s="12">
        <v>1576</v>
      </c>
      <c r="H1752" s="12">
        <v>934</v>
      </c>
      <c r="J1752" s="2"/>
      <c r="K1752" s="2"/>
      <c r="L1752" s="2"/>
      <c r="M1752" s="2"/>
      <c r="N1752" s="2"/>
      <c r="O1752" s="2"/>
      <c r="P1752" s="2"/>
    </row>
    <row r="1753" spans="1:16" x14ac:dyDescent="0.4">
      <c r="A1753">
        <v>2012</v>
      </c>
      <c r="B1753" s="2" t="s">
        <v>603</v>
      </c>
      <c r="C1753" s="2" t="s">
        <v>724</v>
      </c>
      <c r="D1753" s="2" t="s">
        <v>239</v>
      </c>
      <c r="E1753" s="67" t="s">
        <v>248</v>
      </c>
      <c r="F1753" s="12">
        <v>177</v>
      </c>
      <c r="G1753" s="12">
        <v>100</v>
      </c>
      <c r="H1753" s="12">
        <v>77</v>
      </c>
      <c r="J1753" s="2"/>
      <c r="K1753" s="2"/>
      <c r="L1753" s="2"/>
      <c r="M1753" s="2"/>
      <c r="N1753" s="2"/>
      <c r="O1753" s="2"/>
      <c r="P1753" s="2"/>
    </row>
    <row r="1754" spans="1:16" x14ac:dyDescent="0.4">
      <c r="A1754">
        <v>2012</v>
      </c>
      <c r="B1754" s="2" t="s">
        <v>604</v>
      </c>
      <c r="C1754" s="2" t="s">
        <v>725</v>
      </c>
      <c r="D1754" s="2" t="s">
        <v>249</v>
      </c>
      <c r="E1754" s="67" t="s">
        <v>174</v>
      </c>
      <c r="F1754" s="12">
        <v>47</v>
      </c>
      <c r="G1754" s="12">
        <v>30</v>
      </c>
      <c r="H1754" s="12">
        <v>17</v>
      </c>
      <c r="J1754" s="2"/>
      <c r="K1754" s="2"/>
      <c r="L1754" s="2"/>
      <c r="M1754" s="2"/>
      <c r="N1754" s="2"/>
      <c r="O1754" s="2"/>
      <c r="P1754" s="2"/>
    </row>
    <row r="1755" spans="1:16" x14ac:dyDescent="0.4">
      <c r="A1755">
        <v>2012</v>
      </c>
      <c r="B1755" s="2" t="s">
        <v>605</v>
      </c>
      <c r="C1755" s="2" t="s">
        <v>725</v>
      </c>
      <c r="D1755" s="2" t="s">
        <v>249</v>
      </c>
      <c r="E1755" s="67" t="s">
        <v>250</v>
      </c>
      <c r="F1755" s="12">
        <v>33</v>
      </c>
      <c r="G1755" s="12">
        <v>20</v>
      </c>
      <c r="H1755" s="12">
        <v>13</v>
      </c>
      <c r="J1755" s="2"/>
      <c r="K1755" s="2"/>
      <c r="L1755" s="2"/>
      <c r="M1755" s="2"/>
      <c r="N1755" s="2"/>
      <c r="O1755" s="2"/>
      <c r="P1755" s="2"/>
    </row>
    <row r="1756" spans="1:16" x14ac:dyDescent="0.4">
      <c r="A1756">
        <v>2012</v>
      </c>
      <c r="B1756" s="2" t="s">
        <v>606</v>
      </c>
      <c r="C1756" s="2" t="s">
        <v>725</v>
      </c>
      <c r="D1756" s="2" t="s">
        <v>249</v>
      </c>
      <c r="E1756" s="67" t="s">
        <v>251</v>
      </c>
      <c r="F1756" s="12">
        <v>282</v>
      </c>
      <c r="G1756" s="12">
        <v>176</v>
      </c>
      <c r="H1756" s="12">
        <v>106</v>
      </c>
      <c r="J1756" s="2"/>
      <c r="K1756" s="2"/>
      <c r="L1756" s="2"/>
      <c r="M1756" s="2"/>
      <c r="N1756" s="2"/>
      <c r="O1756" s="2"/>
      <c r="P1756" s="2"/>
    </row>
    <row r="1757" spans="1:16" x14ac:dyDescent="0.4">
      <c r="A1757">
        <v>2012</v>
      </c>
      <c r="B1757" s="2" t="s">
        <v>607</v>
      </c>
      <c r="C1757" s="2" t="s">
        <v>725</v>
      </c>
      <c r="D1757" s="2" t="s">
        <v>249</v>
      </c>
      <c r="E1757" s="67" t="s">
        <v>36</v>
      </c>
      <c r="F1757" s="12">
        <v>165</v>
      </c>
      <c r="G1757" s="12">
        <v>102</v>
      </c>
      <c r="H1757" s="12">
        <v>63</v>
      </c>
      <c r="J1757" s="2"/>
      <c r="K1757" s="2"/>
      <c r="L1757" s="2"/>
      <c r="M1757" s="2"/>
      <c r="N1757" s="2"/>
      <c r="O1757" s="2"/>
      <c r="P1757" s="2"/>
    </row>
    <row r="1758" spans="1:16" x14ac:dyDescent="0.4">
      <c r="A1758">
        <v>2012</v>
      </c>
      <c r="B1758" s="2" t="s">
        <v>608</v>
      </c>
      <c r="C1758" s="2" t="s">
        <v>725</v>
      </c>
      <c r="D1758" s="2" t="s">
        <v>249</v>
      </c>
      <c r="E1758" s="67" t="s">
        <v>252</v>
      </c>
      <c r="F1758" s="12">
        <v>174</v>
      </c>
      <c r="G1758" s="12">
        <v>86</v>
      </c>
      <c r="H1758" s="12">
        <v>88</v>
      </c>
      <c r="J1758" s="2"/>
      <c r="K1758" s="2"/>
      <c r="L1758" s="2"/>
      <c r="M1758" s="2"/>
      <c r="N1758" s="2"/>
      <c r="O1758" s="2"/>
      <c r="P1758" s="2"/>
    </row>
    <row r="1759" spans="1:16" x14ac:dyDescent="0.4">
      <c r="A1759">
        <v>2012</v>
      </c>
      <c r="B1759" s="2" t="s">
        <v>609</v>
      </c>
      <c r="C1759" s="2" t="s">
        <v>725</v>
      </c>
      <c r="D1759" s="2" t="s">
        <v>249</v>
      </c>
      <c r="E1759" s="67" t="s">
        <v>253</v>
      </c>
      <c r="F1759" s="12">
        <v>137</v>
      </c>
      <c r="G1759" s="12">
        <v>87</v>
      </c>
      <c r="H1759" s="12">
        <v>50</v>
      </c>
      <c r="J1759" s="2"/>
      <c r="K1759" s="2"/>
      <c r="L1759" s="2"/>
      <c r="M1759" s="2"/>
      <c r="N1759" s="2"/>
      <c r="O1759" s="2"/>
      <c r="P1759" s="2"/>
    </row>
    <row r="1760" spans="1:16" x14ac:dyDescent="0.4">
      <c r="A1760">
        <v>2012</v>
      </c>
      <c r="B1760" s="2" t="s">
        <v>610</v>
      </c>
      <c r="C1760" s="2" t="s">
        <v>725</v>
      </c>
      <c r="D1760" s="2" t="s">
        <v>249</v>
      </c>
      <c r="E1760" s="67" t="s">
        <v>254</v>
      </c>
      <c r="F1760" s="12">
        <v>150</v>
      </c>
      <c r="G1760" s="12">
        <v>101</v>
      </c>
      <c r="H1760" s="12">
        <v>49</v>
      </c>
      <c r="J1760" s="2"/>
      <c r="K1760" s="2"/>
      <c r="L1760" s="2"/>
      <c r="M1760" s="2"/>
      <c r="N1760" s="2"/>
      <c r="O1760" s="2"/>
      <c r="P1760" s="2"/>
    </row>
    <row r="1761" spans="1:16" x14ac:dyDescent="0.4">
      <c r="A1761">
        <v>2012</v>
      </c>
      <c r="B1761" s="2" t="s">
        <v>611</v>
      </c>
      <c r="C1761" s="2" t="s">
        <v>725</v>
      </c>
      <c r="D1761" s="2" t="s">
        <v>249</v>
      </c>
      <c r="E1761" s="67" t="s">
        <v>11</v>
      </c>
      <c r="F1761" s="12">
        <v>3</v>
      </c>
      <c r="G1761" s="12">
        <v>2</v>
      </c>
      <c r="H1761" s="12">
        <v>1</v>
      </c>
      <c r="J1761" s="2"/>
      <c r="K1761" s="2"/>
      <c r="L1761" s="2"/>
      <c r="M1761" s="2"/>
      <c r="N1761" s="2"/>
      <c r="O1761" s="2"/>
      <c r="P1761" s="2"/>
    </row>
    <row r="1762" spans="1:16" x14ac:dyDescent="0.4">
      <c r="A1762">
        <v>2012</v>
      </c>
      <c r="B1762" s="2" t="s">
        <v>612</v>
      </c>
      <c r="C1762" s="2" t="s">
        <v>725</v>
      </c>
      <c r="D1762" s="2" t="s">
        <v>249</v>
      </c>
      <c r="E1762" s="67" t="s">
        <v>255</v>
      </c>
      <c r="F1762" s="12">
        <v>211</v>
      </c>
      <c r="G1762" s="12">
        <v>140</v>
      </c>
      <c r="H1762" s="12">
        <v>71</v>
      </c>
      <c r="J1762" s="2"/>
      <c r="K1762" s="2"/>
      <c r="L1762" s="2"/>
      <c r="M1762" s="2"/>
      <c r="N1762" s="2"/>
      <c r="O1762" s="2"/>
      <c r="P1762" s="2"/>
    </row>
    <row r="1763" spans="1:16" x14ac:dyDescent="0.4">
      <c r="A1763">
        <v>2012</v>
      </c>
      <c r="B1763" s="2" t="s">
        <v>613</v>
      </c>
      <c r="C1763" s="2" t="s">
        <v>725</v>
      </c>
      <c r="D1763" s="2" t="s">
        <v>249</v>
      </c>
      <c r="E1763" s="67" t="s">
        <v>256</v>
      </c>
      <c r="F1763" s="12">
        <v>112</v>
      </c>
      <c r="G1763" s="12">
        <v>63</v>
      </c>
      <c r="H1763" s="12">
        <v>49</v>
      </c>
      <c r="J1763" s="2"/>
      <c r="K1763" s="2"/>
      <c r="L1763" s="2"/>
      <c r="M1763" s="2"/>
      <c r="N1763" s="2"/>
      <c r="O1763" s="2"/>
      <c r="P1763" s="2"/>
    </row>
    <row r="1764" spans="1:16" x14ac:dyDescent="0.4">
      <c r="A1764">
        <v>2012</v>
      </c>
      <c r="B1764" s="2" t="s">
        <v>614</v>
      </c>
      <c r="C1764" s="2" t="s">
        <v>725</v>
      </c>
      <c r="D1764" s="2" t="s">
        <v>249</v>
      </c>
      <c r="E1764" s="67" t="s">
        <v>14</v>
      </c>
      <c r="F1764" s="12">
        <v>87</v>
      </c>
      <c r="G1764" s="12">
        <v>58</v>
      </c>
      <c r="H1764" s="12">
        <v>29</v>
      </c>
      <c r="J1764" s="2"/>
      <c r="K1764" s="2"/>
      <c r="L1764" s="2"/>
      <c r="M1764" s="2"/>
      <c r="N1764" s="2"/>
      <c r="O1764" s="2"/>
      <c r="P1764" s="2"/>
    </row>
    <row r="1765" spans="1:16" x14ac:dyDescent="0.4">
      <c r="A1765">
        <v>2012</v>
      </c>
      <c r="B1765" s="2" t="s">
        <v>615</v>
      </c>
      <c r="C1765" s="2" t="s">
        <v>725</v>
      </c>
      <c r="D1765" s="2" t="s">
        <v>249</v>
      </c>
      <c r="E1765" s="67" t="s">
        <v>257</v>
      </c>
      <c r="F1765" s="12">
        <v>220</v>
      </c>
      <c r="G1765" s="12">
        <v>152</v>
      </c>
      <c r="H1765" s="12">
        <v>68</v>
      </c>
      <c r="J1765" s="2"/>
      <c r="K1765" s="2"/>
      <c r="L1765" s="2"/>
      <c r="M1765" s="2"/>
      <c r="N1765" s="2"/>
      <c r="O1765" s="2"/>
      <c r="P1765" s="2"/>
    </row>
    <row r="1766" spans="1:16" x14ac:dyDescent="0.4">
      <c r="A1766">
        <v>2012</v>
      </c>
      <c r="B1766" s="2" t="s">
        <v>616</v>
      </c>
      <c r="C1766" s="2" t="s">
        <v>725</v>
      </c>
      <c r="D1766" s="2" t="s">
        <v>249</v>
      </c>
      <c r="E1766" s="67" t="s">
        <v>258</v>
      </c>
      <c r="F1766" s="12">
        <v>31</v>
      </c>
      <c r="G1766" s="12">
        <v>23</v>
      </c>
      <c r="H1766" s="12">
        <v>8</v>
      </c>
      <c r="J1766" s="2"/>
      <c r="K1766" s="2"/>
      <c r="L1766" s="2"/>
      <c r="M1766" s="2"/>
      <c r="N1766" s="2"/>
      <c r="O1766" s="2"/>
      <c r="P1766" s="2"/>
    </row>
    <row r="1767" spans="1:16" x14ac:dyDescent="0.4">
      <c r="A1767">
        <v>2012</v>
      </c>
      <c r="B1767" s="2" t="s">
        <v>617</v>
      </c>
      <c r="C1767" s="2" t="s">
        <v>725</v>
      </c>
      <c r="D1767" s="2" t="s">
        <v>249</v>
      </c>
      <c r="E1767" s="67" t="s">
        <v>259</v>
      </c>
      <c r="F1767" s="12">
        <v>305</v>
      </c>
      <c r="G1767" s="12">
        <v>186</v>
      </c>
      <c r="H1767" s="12">
        <v>119</v>
      </c>
      <c r="J1767" s="2"/>
      <c r="K1767" s="2"/>
      <c r="L1767" s="2"/>
      <c r="M1767" s="2"/>
      <c r="N1767" s="2"/>
      <c r="O1767" s="2"/>
      <c r="P1767" s="2"/>
    </row>
    <row r="1768" spans="1:16" x14ac:dyDescent="0.4">
      <c r="A1768">
        <v>2012</v>
      </c>
      <c r="B1768" s="2" t="s">
        <v>618</v>
      </c>
      <c r="C1768" s="2" t="s">
        <v>725</v>
      </c>
      <c r="D1768" s="2" t="s">
        <v>249</v>
      </c>
      <c r="E1768" s="67" t="s">
        <v>18</v>
      </c>
      <c r="F1768" s="12">
        <v>55</v>
      </c>
      <c r="G1768" s="12">
        <v>35</v>
      </c>
      <c r="H1768" s="12">
        <v>20</v>
      </c>
      <c r="J1768" s="2"/>
      <c r="K1768" s="2"/>
      <c r="L1768" s="2"/>
      <c r="M1768" s="2"/>
      <c r="N1768" s="2"/>
      <c r="O1768" s="2"/>
      <c r="P1768" s="2"/>
    </row>
    <row r="1769" spans="1:16" x14ac:dyDescent="0.4">
      <c r="A1769">
        <v>2012</v>
      </c>
      <c r="B1769" s="2" t="s">
        <v>619</v>
      </c>
      <c r="C1769" s="2" t="s">
        <v>725</v>
      </c>
      <c r="D1769" s="2" t="s">
        <v>249</v>
      </c>
      <c r="E1769" s="67" t="s">
        <v>44</v>
      </c>
      <c r="F1769" s="12">
        <v>93</v>
      </c>
      <c r="G1769" s="12">
        <v>65</v>
      </c>
      <c r="H1769" s="12">
        <v>28</v>
      </c>
      <c r="J1769" s="2"/>
      <c r="K1769" s="2"/>
      <c r="L1769" s="2"/>
      <c r="M1769" s="2"/>
      <c r="N1769" s="2"/>
      <c r="O1769" s="2"/>
      <c r="P1769" s="2"/>
    </row>
    <row r="1770" spans="1:16" x14ac:dyDescent="0.4">
      <c r="A1770">
        <v>2012</v>
      </c>
      <c r="B1770" s="2" t="s">
        <v>620</v>
      </c>
      <c r="C1770" s="2" t="s">
        <v>725</v>
      </c>
      <c r="D1770" s="2" t="s">
        <v>249</v>
      </c>
      <c r="E1770" s="67" t="s">
        <v>260</v>
      </c>
      <c r="F1770" s="12">
        <v>44</v>
      </c>
      <c r="G1770" s="12">
        <v>25</v>
      </c>
      <c r="H1770" s="12">
        <v>19</v>
      </c>
      <c r="J1770" s="2"/>
      <c r="K1770" s="2"/>
      <c r="L1770" s="2"/>
      <c r="M1770" s="2"/>
      <c r="N1770" s="2"/>
      <c r="O1770" s="2"/>
      <c r="P1770" s="2"/>
    </row>
    <row r="1771" spans="1:16" x14ac:dyDescent="0.4">
      <c r="A1771">
        <v>2012</v>
      </c>
      <c r="B1771" s="2" t="s">
        <v>621</v>
      </c>
      <c r="C1771" s="2" t="s">
        <v>725</v>
      </c>
      <c r="D1771" s="2" t="s">
        <v>249</v>
      </c>
      <c r="E1771" s="67" t="s">
        <v>261</v>
      </c>
      <c r="F1771" s="12">
        <v>60</v>
      </c>
      <c r="G1771" s="12">
        <v>40</v>
      </c>
      <c r="H1771" s="12">
        <v>20</v>
      </c>
      <c r="J1771" s="2"/>
      <c r="K1771" s="2"/>
      <c r="L1771" s="2"/>
      <c r="M1771" s="2"/>
      <c r="N1771" s="2"/>
      <c r="O1771" s="2"/>
      <c r="P1771" s="2"/>
    </row>
    <row r="1772" spans="1:16" x14ac:dyDescent="0.4">
      <c r="A1772">
        <v>2012</v>
      </c>
      <c r="B1772" s="2" t="s">
        <v>622</v>
      </c>
      <c r="C1772" s="2" t="s">
        <v>725</v>
      </c>
      <c r="D1772" s="2" t="s">
        <v>249</v>
      </c>
      <c r="E1772" s="67" t="s">
        <v>262</v>
      </c>
      <c r="F1772" s="12">
        <v>171</v>
      </c>
      <c r="G1772" s="12">
        <v>128</v>
      </c>
      <c r="H1772" s="12">
        <v>43</v>
      </c>
      <c r="J1772" s="2"/>
      <c r="K1772" s="2"/>
      <c r="L1772" s="2"/>
      <c r="M1772" s="2"/>
      <c r="N1772" s="2"/>
      <c r="O1772" s="2"/>
      <c r="P1772" s="2"/>
    </row>
    <row r="1773" spans="1:16" x14ac:dyDescent="0.4">
      <c r="A1773">
        <v>2012</v>
      </c>
      <c r="B1773" s="2" t="s">
        <v>623</v>
      </c>
      <c r="C1773" s="2" t="s">
        <v>725</v>
      </c>
      <c r="D1773" s="2" t="s">
        <v>249</v>
      </c>
      <c r="E1773" s="67" t="s">
        <v>263</v>
      </c>
      <c r="F1773" s="12">
        <v>91</v>
      </c>
      <c r="G1773" s="12">
        <v>57</v>
      </c>
      <c r="H1773" s="12">
        <v>34</v>
      </c>
      <c r="J1773" s="2"/>
      <c r="K1773" s="2"/>
      <c r="L1773" s="2"/>
      <c r="M1773" s="2"/>
      <c r="N1773" s="2"/>
      <c r="O1773" s="2"/>
      <c r="P1773" s="2"/>
    </row>
    <row r="1774" spans="1:16" x14ac:dyDescent="0.4">
      <c r="A1774">
        <v>2012</v>
      </c>
      <c r="B1774" s="2" t="s">
        <v>624</v>
      </c>
      <c r="C1774" s="2" t="s">
        <v>725</v>
      </c>
      <c r="D1774" s="2" t="s">
        <v>249</v>
      </c>
      <c r="E1774" s="67" t="s">
        <v>264</v>
      </c>
      <c r="F1774" s="12">
        <v>22</v>
      </c>
      <c r="G1774" s="12">
        <v>16</v>
      </c>
      <c r="H1774" s="12">
        <v>6</v>
      </c>
      <c r="J1774" s="2"/>
      <c r="K1774" s="2"/>
      <c r="L1774" s="2"/>
      <c r="M1774" s="2"/>
      <c r="N1774" s="2"/>
      <c r="O1774" s="2"/>
      <c r="P1774" s="2"/>
    </row>
    <row r="1775" spans="1:16" x14ac:dyDescent="0.4">
      <c r="A1775">
        <v>2012</v>
      </c>
      <c r="B1775" s="2" t="s">
        <v>625</v>
      </c>
      <c r="C1775" s="2" t="s">
        <v>725</v>
      </c>
      <c r="D1775" s="2" t="s">
        <v>249</v>
      </c>
      <c r="E1775" s="67" t="s">
        <v>265</v>
      </c>
      <c r="F1775" s="12">
        <v>61</v>
      </c>
      <c r="G1775" s="12">
        <v>42</v>
      </c>
      <c r="H1775" s="12">
        <v>19</v>
      </c>
      <c r="J1775" s="2"/>
      <c r="K1775" s="2"/>
      <c r="L1775" s="2"/>
      <c r="M1775" s="2"/>
      <c r="N1775" s="2"/>
      <c r="O1775" s="2"/>
      <c r="P1775" s="2"/>
    </row>
    <row r="1776" spans="1:16" x14ac:dyDescent="0.4">
      <c r="A1776">
        <v>2012</v>
      </c>
      <c r="B1776" s="2" t="s">
        <v>626</v>
      </c>
      <c r="C1776" s="2" t="s">
        <v>725</v>
      </c>
      <c r="D1776" s="2" t="s">
        <v>249</v>
      </c>
      <c r="E1776" s="67" t="s">
        <v>266</v>
      </c>
      <c r="F1776" s="12">
        <v>3561</v>
      </c>
      <c r="G1776" s="12">
        <v>2110</v>
      </c>
      <c r="H1776" s="12">
        <v>1451</v>
      </c>
      <c r="J1776" s="2"/>
      <c r="K1776" s="2"/>
      <c r="L1776" s="2"/>
      <c r="M1776" s="2"/>
      <c r="N1776" s="2"/>
      <c r="O1776" s="2"/>
      <c r="P1776" s="2"/>
    </row>
    <row r="1777" spans="1:16" x14ac:dyDescent="0.4">
      <c r="A1777">
        <v>2012</v>
      </c>
      <c r="B1777" s="2" t="s">
        <v>627</v>
      </c>
      <c r="C1777" s="2" t="s">
        <v>725</v>
      </c>
      <c r="D1777" s="2" t="s">
        <v>249</v>
      </c>
      <c r="E1777" s="67" t="s">
        <v>267</v>
      </c>
      <c r="F1777" s="12">
        <v>21</v>
      </c>
      <c r="G1777" s="12">
        <v>8</v>
      </c>
      <c r="H1777" s="12">
        <v>13</v>
      </c>
      <c r="J1777" s="2"/>
      <c r="K1777" s="2"/>
      <c r="L1777" s="2"/>
      <c r="M1777" s="2"/>
      <c r="N1777" s="2"/>
      <c r="O1777" s="2"/>
      <c r="P1777" s="2"/>
    </row>
    <row r="1778" spans="1:16" x14ac:dyDescent="0.4">
      <c r="A1778">
        <v>2012</v>
      </c>
      <c r="B1778" s="2" t="s">
        <v>628</v>
      </c>
      <c r="C1778" s="2" t="s">
        <v>725</v>
      </c>
      <c r="D1778" s="2" t="s">
        <v>249</v>
      </c>
      <c r="E1778" s="67" t="s">
        <v>268</v>
      </c>
      <c r="F1778" s="12">
        <v>19</v>
      </c>
      <c r="G1778" s="12">
        <v>8</v>
      </c>
      <c r="H1778" s="12">
        <v>11</v>
      </c>
      <c r="J1778" s="2"/>
      <c r="K1778" s="2"/>
      <c r="L1778" s="2"/>
      <c r="M1778" s="2"/>
      <c r="N1778" s="2"/>
      <c r="O1778" s="2"/>
      <c r="P1778" s="2"/>
    </row>
    <row r="1779" spans="1:16" x14ac:dyDescent="0.4">
      <c r="A1779">
        <v>2012</v>
      </c>
      <c r="B1779" s="2" t="s">
        <v>629</v>
      </c>
      <c r="C1779" s="2" t="s">
        <v>725</v>
      </c>
      <c r="D1779" s="2" t="s">
        <v>249</v>
      </c>
      <c r="E1779" s="67" t="s">
        <v>26</v>
      </c>
      <c r="F1779" s="12">
        <v>15</v>
      </c>
      <c r="G1779" s="12">
        <v>10</v>
      </c>
      <c r="H1779" s="12">
        <v>5</v>
      </c>
      <c r="J1779" s="2"/>
      <c r="K1779" s="2"/>
      <c r="L1779" s="2"/>
      <c r="M1779" s="2"/>
      <c r="N1779" s="2"/>
      <c r="O1779" s="2"/>
      <c r="P1779" s="2"/>
    </row>
    <row r="1780" spans="1:16" x14ac:dyDescent="0.4">
      <c r="A1780">
        <v>2012</v>
      </c>
      <c r="B1780" s="2" t="s">
        <v>630</v>
      </c>
      <c r="C1780" s="2" t="s">
        <v>725</v>
      </c>
      <c r="D1780" s="2" t="s">
        <v>249</v>
      </c>
      <c r="E1780" s="67" t="s">
        <v>51</v>
      </c>
      <c r="F1780" s="12">
        <v>34</v>
      </c>
      <c r="G1780" s="12">
        <v>23</v>
      </c>
      <c r="H1780" s="12">
        <v>11</v>
      </c>
      <c r="J1780" s="2"/>
      <c r="K1780" s="2"/>
      <c r="L1780" s="2"/>
      <c r="M1780" s="2"/>
      <c r="N1780" s="2"/>
      <c r="O1780" s="2"/>
      <c r="P1780" s="2"/>
    </row>
    <row r="1781" spans="1:16" x14ac:dyDescent="0.4">
      <c r="A1781">
        <v>2012</v>
      </c>
      <c r="B1781" s="2" t="s">
        <v>631</v>
      </c>
      <c r="C1781" s="2" t="s">
        <v>725</v>
      </c>
      <c r="D1781" s="2" t="s">
        <v>249</v>
      </c>
      <c r="E1781" s="67" t="s">
        <v>269</v>
      </c>
      <c r="F1781" s="12">
        <v>126</v>
      </c>
      <c r="G1781" s="12">
        <v>92</v>
      </c>
      <c r="H1781" s="12">
        <v>34</v>
      </c>
      <c r="J1781" s="2"/>
      <c r="K1781" s="2"/>
      <c r="L1781" s="2"/>
      <c r="M1781" s="2"/>
      <c r="N1781" s="2"/>
      <c r="O1781" s="2"/>
      <c r="P1781" s="2"/>
    </row>
    <row r="1782" spans="1:16" x14ac:dyDescent="0.4">
      <c r="A1782">
        <v>2012</v>
      </c>
      <c r="B1782" s="2" t="s">
        <v>632</v>
      </c>
      <c r="C1782" s="2" t="s">
        <v>725</v>
      </c>
      <c r="D1782" s="2" t="s">
        <v>249</v>
      </c>
      <c r="E1782" s="67" t="s">
        <v>270</v>
      </c>
      <c r="F1782" s="12">
        <v>80</v>
      </c>
      <c r="G1782" s="12">
        <v>54</v>
      </c>
      <c r="H1782" s="12">
        <v>26</v>
      </c>
      <c r="J1782" s="2"/>
      <c r="K1782" s="2"/>
      <c r="L1782" s="2"/>
      <c r="M1782" s="2"/>
      <c r="N1782" s="2"/>
      <c r="O1782" s="2"/>
      <c r="P1782" s="2"/>
    </row>
    <row r="1783" spans="1:16" x14ac:dyDescent="0.4">
      <c r="A1783">
        <v>2012</v>
      </c>
      <c r="B1783" s="2" t="s">
        <v>633</v>
      </c>
      <c r="C1783" s="2" t="s">
        <v>726</v>
      </c>
      <c r="D1783" s="2" t="s">
        <v>271</v>
      </c>
      <c r="E1783" s="67" t="s">
        <v>174</v>
      </c>
      <c r="F1783" s="12">
        <v>58</v>
      </c>
      <c r="G1783" s="12">
        <v>44</v>
      </c>
      <c r="H1783" s="12">
        <v>14</v>
      </c>
      <c r="J1783" s="2"/>
      <c r="K1783" s="2"/>
      <c r="L1783" s="2"/>
      <c r="M1783" s="2"/>
      <c r="N1783" s="2"/>
      <c r="O1783" s="2"/>
      <c r="P1783" s="2"/>
    </row>
    <row r="1784" spans="1:16" x14ac:dyDescent="0.4">
      <c r="A1784">
        <v>2012</v>
      </c>
      <c r="B1784" s="2" t="s">
        <v>634</v>
      </c>
      <c r="C1784" s="2" t="s">
        <v>726</v>
      </c>
      <c r="D1784" s="2" t="s">
        <v>271</v>
      </c>
      <c r="E1784" s="67" t="s">
        <v>272</v>
      </c>
      <c r="F1784" s="12">
        <v>555</v>
      </c>
      <c r="G1784" s="12">
        <v>312</v>
      </c>
      <c r="H1784" s="12">
        <v>243</v>
      </c>
      <c r="J1784" s="2"/>
      <c r="K1784" s="2"/>
      <c r="L1784" s="2"/>
      <c r="M1784" s="2"/>
      <c r="N1784" s="2"/>
      <c r="O1784" s="2"/>
      <c r="P1784" s="2"/>
    </row>
    <row r="1785" spans="1:16" x14ac:dyDescent="0.4">
      <c r="A1785">
        <v>2012</v>
      </c>
      <c r="B1785" s="2" t="s">
        <v>635</v>
      </c>
      <c r="C1785" s="2" t="s">
        <v>726</v>
      </c>
      <c r="D1785" s="2" t="s">
        <v>271</v>
      </c>
      <c r="E1785" s="67" t="s">
        <v>36</v>
      </c>
      <c r="F1785" s="12">
        <v>31</v>
      </c>
      <c r="G1785" s="12">
        <v>25</v>
      </c>
      <c r="H1785" s="12">
        <v>6</v>
      </c>
      <c r="J1785" s="2"/>
      <c r="K1785" s="2"/>
      <c r="L1785" s="2"/>
      <c r="M1785" s="2"/>
      <c r="N1785" s="2"/>
      <c r="O1785" s="2"/>
      <c r="P1785" s="2"/>
    </row>
    <row r="1786" spans="1:16" x14ac:dyDescent="0.4">
      <c r="A1786">
        <v>2012</v>
      </c>
      <c r="B1786" s="2" t="s">
        <v>636</v>
      </c>
      <c r="C1786" s="2" t="s">
        <v>726</v>
      </c>
      <c r="D1786" s="2" t="s">
        <v>271</v>
      </c>
      <c r="E1786" s="67" t="s">
        <v>273</v>
      </c>
      <c r="F1786" s="12">
        <v>78</v>
      </c>
      <c r="G1786" s="12">
        <v>46</v>
      </c>
      <c r="H1786" s="12">
        <v>32</v>
      </c>
      <c r="J1786" s="2"/>
      <c r="K1786" s="2"/>
      <c r="L1786" s="2"/>
      <c r="M1786" s="2"/>
      <c r="N1786" s="2"/>
      <c r="O1786" s="2"/>
      <c r="P1786" s="2"/>
    </row>
    <row r="1787" spans="1:16" x14ac:dyDescent="0.4">
      <c r="A1787">
        <v>2012</v>
      </c>
      <c r="B1787" s="2" t="s">
        <v>637</v>
      </c>
      <c r="C1787" s="2" t="s">
        <v>726</v>
      </c>
      <c r="D1787" s="2" t="s">
        <v>271</v>
      </c>
      <c r="E1787" s="67" t="s">
        <v>274</v>
      </c>
      <c r="F1787" s="12">
        <v>127</v>
      </c>
      <c r="G1787" s="12">
        <v>80</v>
      </c>
      <c r="H1787" s="12">
        <v>47</v>
      </c>
      <c r="J1787" s="2"/>
      <c r="K1787" s="2"/>
      <c r="L1787" s="2"/>
      <c r="M1787" s="2"/>
      <c r="N1787" s="2"/>
      <c r="O1787" s="2"/>
      <c r="P1787" s="2"/>
    </row>
    <row r="1788" spans="1:16" x14ac:dyDescent="0.4">
      <c r="A1788">
        <v>2012</v>
      </c>
      <c r="B1788" s="2" t="s">
        <v>638</v>
      </c>
      <c r="C1788" s="2" t="s">
        <v>726</v>
      </c>
      <c r="D1788" s="2" t="s">
        <v>271</v>
      </c>
      <c r="E1788" s="67" t="s">
        <v>275</v>
      </c>
      <c r="F1788" s="12">
        <v>72</v>
      </c>
      <c r="G1788" s="12">
        <v>48</v>
      </c>
      <c r="H1788" s="12">
        <v>24</v>
      </c>
      <c r="J1788" s="2"/>
      <c r="K1788" s="2"/>
      <c r="L1788" s="2"/>
      <c r="M1788" s="2"/>
      <c r="N1788" s="2"/>
      <c r="O1788" s="2"/>
      <c r="P1788" s="2"/>
    </row>
    <row r="1789" spans="1:16" x14ac:dyDescent="0.4">
      <c r="A1789">
        <v>2012</v>
      </c>
      <c r="B1789" s="2" t="s">
        <v>639</v>
      </c>
      <c r="C1789" s="2" t="s">
        <v>726</v>
      </c>
      <c r="D1789" s="2" t="s">
        <v>271</v>
      </c>
      <c r="E1789" s="67" t="s">
        <v>276</v>
      </c>
      <c r="F1789" s="12">
        <v>3</v>
      </c>
      <c r="G1789" s="12">
        <v>2</v>
      </c>
      <c r="H1789" s="12">
        <v>1</v>
      </c>
      <c r="J1789" s="2"/>
      <c r="K1789" s="2"/>
      <c r="L1789" s="2"/>
      <c r="M1789" s="2"/>
      <c r="N1789" s="2"/>
      <c r="O1789" s="2"/>
      <c r="P1789" s="2"/>
    </row>
    <row r="1790" spans="1:16" x14ac:dyDescent="0.4">
      <c r="A1790">
        <v>2012</v>
      </c>
      <c r="B1790" s="2" t="s">
        <v>640</v>
      </c>
      <c r="C1790" s="2" t="s">
        <v>726</v>
      </c>
      <c r="D1790" s="2" t="s">
        <v>271</v>
      </c>
      <c r="E1790" s="67" t="s">
        <v>277</v>
      </c>
      <c r="F1790" s="12">
        <v>46</v>
      </c>
      <c r="G1790" s="12">
        <v>28</v>
      </c>
      <c r="H1790" s="12">
        <v>18</v>
      </c>
      <c r="J1790" s="2"/>
      <c r="K1790" s="2"/>
      <c r="L1790" s="2"/>
      <c r="M1790" s="2"/>
      <c r="N1790" s="2"/>
      <c r="O1790" s="2"/>
      <c r="P1790" s="2"/>
    </row>
    <row r="1791" spans="1:16" x14ac:dyDescent="0.4">
      <c r="A1791">
        <v>2012</v>
      </c>
      <c r="B1791" s="2" t="s">
        <v>641</v>
      </c>
      <c r="C1791" s="2" t="s">
        <v>726</v>
      </c>
      <c r="D1791" s="2" t="s">
        <v>271</v>
      </c>
      <c r="E1791" s="67" t="s">
        <v>278</v>
      </c>
      <c r="F1791" s="12">
        <v>76</v>
      </c>
      <c r="G1791" s="12">
        <v>58</v>
      </c>
      <c r="H1791" s="12">
        <v>18</v>
      </c>
      <c r="J1791" s="2"/>
      <c r="K1791" s="2"/>
      <c r="L1791" s="2"/>
      <c r="M1791" s="2"/>
      <c r="N1791" s="2"/>
      <c r="O1791" s="2"/>
      <c r="P1791" s="2"/>
    </row>
    <row r="1792" spans="1:16" x14ac:dyDescent="0.4">
      <c r="A1792">
        <v>2012</v>
      </c>
      <c r="B1792" s="2" t="s">
        <v>642</v>
      </c>
      <c r="C1792" s="2" t="s">
        <v>726</v>
      </c>
      <c r="D1792" s="2" t="s">
        <v>271</v>
      </c>
      <c r="E1792" s="67" t="s">
        <v>85</v>
      </c>
      <c r="F1792" s="12">
        <v>49</v>
      </c>
      <c r="G1792" s="12">
        <v>33</v>
      </c>
      <c r="H1792" s="12">
        <v>16</v>
      </c>
      <c r="J1792" s="2"/>
      <c r="K1792" s="2"/>
      <c r="L1792" s="2"/>
      <c r="M1792" s="2"/>
      <c r="N1792" s="2"/>
      <c r="O1792" s="2"/>
      <c r="P1792" s="2"/>
    </row>
    <row r="1793" spans="1:16" x14ac:dyDescent="0.4">
      <c r="A1793">
        <v>2012</v>
      </c>
      <c r="B1793" s="2" t="s">
        <v>643</v>
      </c>
      <c r="C1793" s="2" t="s">
        <v>726</v>
      </c>
      <c r="D1793" s="2" t="s">
        <v>271</v>
      </c>
      <c r="E1793" s="67" t="s">
        <v>279</v>
      </c>
      <c r="F1793" s="12">
        <v>41</v>
      </c>
      <c r="G1793" s="12">
        <v>31</v>
      </c>
      <c r="H1793" s="12">
        <v>10</v>
      </c>
      <c r="J1793" s="2"/>
      <c r="K1793" s="2"/>
      <c r="L1793" s="2"/>
      <c r="M1793" s="2"/>
      <c r="N1793" s="2"/>
      <c r="O1793" s="2"/>
      <c r="P1793" s="2"/>
    </row>
    <row r="1794" spans="1:16" x14ac:dyDescent="0.4">
      <c r="A1794">
        <v>2012</v>
      </c>
      <c r="B1794" s="2" t="s">
        <v>644</v>
      </c>
      <c r="C1794" s="2" t="s">
        <v>726</v>
      </c>
      <c r="D1794" s="2" t="s">
        <v>271</v>
      </c>
      <c r="E1794" s="67" t="s">
        <v>280</v>
      </c>
      <c r="F1794" s="12">
        <v>53</v>
      </c>
      <c r="G1794" s="12">
        <v>36</v>
      </c>
      <c r="H1794" s="12">
        <v>17</v>
      </c>
      <c r="J1794" s="2"/>
      <c r="K1794" s="2"/>
      <c r="L1794" s="2"/>
      <c r="M1794" s="2"/>
      <c r="N1794" s="2"/>
      <c r="O1794" s="2"/>
      <c r="P1794" s="2"/>
    </row>
    <row r="1795" spans="1:16" x14ac:dyDescent="0.4">
      <c r="A1795">
        <v>2012</v>
      </c>
      <c r="B1795" s="2" t="s">
        <v>645</v>
      </c>
      <c r="C1795" s="2" t="s">
        <v>726</v>
      </c>
      <c r="D1795" s="2" t="s">
        <v>271</v>
      </c>
      <c r="E1795" s="67" t="s">
        <v>281</v>
      </c>
      <c r="F1795" s="12">
        <v>175</v>
      </c>
      <c r="G1795" s="12">
        <v>116</v>
      </c>
      <c r="H1795" s="12">
        <v>59</v>
      </c>
      <c r="J1795" s="2"/>
      <c r="K1795" s="2"/>
      <c r="L1795" s="2"/>
      <c r="M1795" s="2"/>
      <c r="N1795" s="2"/>
      <c r="O1795" s="2"/>
      <c r="P1795" s="2"/>
    </row>
    <row r="1796" spans="1:16" x14ac:dyDescent="0.4">
      <c r="A1796">
        <v>2012</v>
      </c>
      <c r="B1796" s="2" t="s">
        <v>646</v>
      </c>
      <c r="C1796" s="2" t="s">
        <v>726</v>
      </c>
      <c r="D1796" s="2" t="s">
        <v>271</v>
      </c>
      <c r="E1796" s="67" t="s">
        <v>282</v>
      </c>
      <c r="F1796" s="12">
        <v>45</v>
      </c>
      <c r="G1796" s="12">
        <v>29</v>
      </c>
      <c r="H1796" s="12">
        <v>16</v>
      </c>
      <c r="J1796" s="2"/>
      <c r="K1796" s="2"/>
      <c r="L1796" s="2"/>
      <c r="M1796" s="2"/>
      <c r="N1796" s="2"/>
      <c r="O1796" s="2"/>
      <c r="P1796" s="2"/>
    </row>
    <row r="1797" spans="1:16" x14ac:dyDescent="0.4">
      <c r="A1797">
        <v>2012</v>
      </c>
      <c r="B1797" s="2" t="s">
        <v>647</v>
      </c>
      <c r="C1797" s="2" t="s">
        <v>726</v>
      </c>
      <c r="D1797" s="2" t="s">
        <v>271</v>
      </c>
      <c r="E1797" s="67" t="s">
        <v>283</v>
      </c>
      <c r="F1797" s="12">
        <v>57</v>
      </c>
      <c r="G1797" s="12">
        <v>28</v>
      </c>
      <c r="H1797" s="12">
        <v>29</v>
      </c>
      <c r="J1797" s="2"/>
      <c r="K1797" s="2"/>
      <c r="L1797" s="2"/>
      <c r="M1797" s="2"/>
      <c r="N1797" s="2"/>
      <c r="O1797" s="2"/>
      <c r="P1797" s="2"/>
    </row>
    <row r="1798" spans="1:16" x14ac:dyDescent="0.4">
      <c r="A1798">
        <v>2012</v>
      </c>
      <c r="B1798" s="2" t="s">
        <v>648</v>
      </c>
      <c r="C1798" s="2" t="s">
        <v>726</v>
      </c>
      <c r="D1798" s="2" t="s">
        <v>271</v>
      </c>
      <c r="E1798" s="67" t="s">
        <v>284</v>
      </c>
      <c r="F1798" s="12">
        <v>146</v>
      </c>
      <c r="G1798" s="12">
        <v>87</v>
      </c>
      <c r="H1798" s="12">
        <v>59</v>
      </c>
      <c r="J1798" s="2"/>
      <c r="K1798" s="2"/>
      <c r="L1798" s="2"/>
      <c r="M1798" s="2"/>
      <c r="N1798" s="2"/>
      <c r="O1798" s="2"/>
      <c r="P1798" s="2"/>
    </row>
    <row r="1799" spans="1:16" x14ac:dyDescent="0.4">
      <c r="A1799">
        <v>2012</v>
      </c>
      <c r="B1799" s="2" t="s">
        <v>649</v>
      </c>
      <c r="C1799" s="2" t="s">
        <v>726</v>
      </c>
      <c r="D1799" s="2" t="s">
        <v>271</v>
      </c>
      <c r="E1799" s="67" t="s">
        <v>51</v>
      </c>
      <c r="F1799" s="12">
        <v>123</v>
      </c>
      <c r="G1799" s="12">
        <v>85</v>
      </c>
      <c r="H1799" s="12">
        <v>38</v>
      </c>
      <c r="J1799" s="2"/>
      <c r="K1799" s="2"/>
      <c r="L1799" s="2"/>
      <c r="M1799" s="2"/>
      <c r="N1799" s="2"/>
      <c r="O1799" s="2"/>
      <c r="P1799" s="2"/>
    </row>
    <row r="1800" spans="1:16" x14ac:dyDescent="0.4">
      <c r="A1800">
        <v>2012</v>
      </c>
      <c r="B1800" s="2" t="s">
        <v>650</v>
      </c>
      <c r="C1800" s="2" t="s">
        <v>726</v>
      </c>
      <c r="D1800" s="2" t="s">
        <v>271</v>
      </c>
      <c r="E1800" s="67" t="s">
        <v>285</v>
      </c>
      <c r="F1800" s="12">
        <v>485</v>
      </c>
      <c r="G1800" s="12">
        <v>268</v>
      </c>
      <c r="H1800" s="12">
        <v>217</v>
      </c>
      <c r="J1800" s="2"/>
      <c r="K1800" s="2"/>
      <c r="L1800" s="2"/>
      <c r="M1800" s="2"/>
      <c r="N1800" s="2"/>
      <c r="O1800" s="2"/>
      <c r="P1800" s="2"/>
    </row>
    <row r="1801" spans="1:16" x14ac:dyDescent="0.4">
      <c r="A1801">
        <v>2012</v>
      </c>
      <c r="B1801" s="2" t="s">
        <v>651</v>
      </c>
      <c r="C1801" s="2" t="s">
        <v>726</v>
      </c>
      <c r="D1801" s="2" t="s">
        <v>271</v>
      </c>
      <c r="E1801" s="67" t="s">
        <v>53</v>
      </c>
      <c r="F1801" s="12">
        <v>121</v>
      </c>
      <c r="G1801" s="12">
        <v>77</v>
      </c>
      <c r="H1801" s="12">
        <v>44</v>
      </c>
      <c r="J1801" s="2"/>
      <c r="K1801" s="2"/>
      <c r="L1801" s="2"/>
      <c r="M1801" s="2"/>
      <c r="N1801" s="2"/>
      <c r="O1801" s="2"/>
      <c r="P1801" s="2"/>
    </row>
    <row r="1802" spans="1:16" x14ac:dyDescent="0.4">
      <c r="A1802">
        <v>2012</v>
      </c>
      <c r="B1802" s="2" t="s">
        <v>652</v>
      </c>
      <c r="C1802" s="2" t="s">
        <v>726</v>
      </c>
      <c r="D1802" s="2" t="s">
        <v>271</v>
      </c>
      <c r="E1802" s="67" t="s">
        <v>286</v>
      </c>
      <c r="F1802" s="12">
        <v>1738</v>
      </c>
      <c r="G1802" s="12">
        <v>1053</v>
      </c>
      <c r="H1802" s="12">
        <v>685</v>
      </c>
      <c r="J1802" s="2"/>
      <c r="K1802" s="2"/>
      <c r="L1802" s="2"/>
      <c r="M1802" s="2"/>
      <c r="N1802" s="2"/>
      <c r="O1802" s="2"/>
      <c r="P1802" s="2"/>
    </row>
    <row r="1803" spans="1:16" x14ac:dyDescent="0.4">
      <c r="A1803">
        <v>2012</v>
      </c>
      <c r="B1803" s="2" t="s">
        <v>653</v>
      </c>
      <c r="C1803" s="2" t="s">
        <v>727</v>
      </c>
      <c r="D1803" s="2" t="s">
        <v>288</v>
      </c>
      <c r="E1803" s="67" t="s">
        <v>287</v>
      </c>
      <c r="F1803" s="12">
        <v>136</v>
      </c>
      <c r="G1803" s="12">
        <v>91</v>
      </c>
      <c r="H1803" s="12">
        <v>45</v>
      </c>
      <c r="J1803" s="2"/>
      <c r="K1803" s="2"/>
      <c r="L1803" s="2"/>
      <c r="M1803" s="2"/>
      <c r="N1803" s="2"/>
      <c r="O1803" s="2"/>
      <c r="P1803" s="2"/>
    </row>
    <row r="1804" spans="1:16" x14ac:dyDescent="0.4">
      <c r="A1804">
        <v>2012</v>
      </c>
      <c r="B1804" s="2" t="s">
        <v>654</v>
      </c>
      <c r="C1804" s="2" t="s">
        <v>727</v>
      </c>
      <c r="D1804" s="2" t="s">
        <v>288</v>
      </c>
      <c r="E1804" s="67" t="s">
        <v>289</v>
      </c>
      <c r="F1804" s="12">
        <v>164</v>
      </c>
      <c r="G1804" s="12">
        <v>120</v>
      </c>
      <c r="H1804" s="12">
        <v>44</v>
      </c>
      <c r="J1804" s="2"/>
      <c r="K1804" s="2"/>
      <c r="L1804" s="2"/>
      <c r="M1804" s="2"/>
      <c r="N1804" s="2"/>
      <c r="O1804" s="2"/>
      <c r="P1804" s="2"/>
    </row>
    <row r="1805" spans="1:16" x14ac:dyDescent="0.4">
      <c r="A1805">
        <v>2012</v>
      </c>
      <c r="B1805" s="2" t="s">
        <v>655</v>
      </c>
      <c r="C1805" s="2" t="s">
        <v>727</v>
      </c>
      <c r="D1805" s="2" t="s">
        <v>288</v>
      </c>
      <c r="E1805" s="67" t="s">
        <v>290</v>
      </c>
      <c r="F1805" s="12">
        <v>259</v>
      </c>
      <c r="G1805" s="12">
        <v>177</v>
      </c>
      <c r="H1805" s="12">
        <v>82</v>
      </c>
      <c r="J1805" s="2"/>
      <c r="K1805" s="2"/>
      <c r="L1805" s="2"/>
      <c r="M1805" s="2"/>
      <c r="N1805" s="2"/>
      <c r="O1805" s="2"/>
      <c r="P1805" s="2"/>
    </row>
    <row r="1806" spans="1:16" x14ac:dyDescent="0.4">
      <c r="A1806">
        <v>2012</v>
      </c>
      <c r="B1806" s="2" t="s">
        <v>656</v>
      </c>
      <c r="C1806" s="2" t="s">
        <v>727</v>
      </c>
      <c r="D1806" s="2" t="s">
        <v>288</v>
      </c>
      <c r="E1806" s="67" t="s">
        <v>291</v>
      </c>
      <c r="F1806" s="12">
        <v>28</v>
      </c>
      <c r="G1806" s="12">
        <v>20</v>
      </c>
      <c r="H1806" s="12">
        <v>8</v>
      </c>
      <c r="J1806" s="2"/>
      <c r="K1806" s="2"/>
      <c r="L1806" s="2"/>
      <c r="M1806" s="2"/>
      <c r="N1806" s="2"/>
      <c r="O1806" s="2"/>
      <c r="P1806" s="2"/>
    </row>
    <row r="1807" spans="1:16" x14ac:dyDescent="0.4">
      <c r="A1807">
        <v>2012</v>
      </c>
      <c r="B1807" s="2" t="s">
        <v>657</v>
      </c>
      <c r="C1807" s="2" t="s">
        <v>727</v>
      </c>
      <c r="D1807" s="2" t="s">
        <v>288</v>
      </c>
      <c r="E1807" s="67" t="s">
        <v>292</v>
      </c>
      <c r="F1807" s="12">
        <v>299</v>
      </c>
      <c r="G1807" s="12">
        <v>203</v>
      </c>
      <c r="H1807" s="12">
        <v>96</v>
      </c>
      <c r="J1807" s="2"/>
      <c r="K1807" s="2"/>
      <c r="L1807" s="2"/>
      <c r="M1807" s="2"/>
      <c r="N1807" s="2"/>
      <c r="O1807" s="2"/>
      <c r="P1807" s="2"/>
    </row>
    <row r="1808" spans="1:16" x14ac:dyDescent="0.4">
      <c r="A1808">
        <v>2012</v>
      </c>
      <c r="B1808" s="2" t="s">
        <v>658</v>
      </c>
      <c r="C1808" s="2" t="s">
        <v>727</v>
      </c>
      <c r="D1808" s="2" t="s">
        <v>288</v>
      </c>
      <c r="E1808" s="67" t="s">
        <v>293</v>
      </c>
      <c r="F1808" s="12">
        <v>12</v>
      </c>
      <c r="G1808" s="12">
        <v>10</v>
      </c>
      <c r="H1808" s="12">
        <v>2</v>
      </c>
      <c r="J1808" s="2"/>
      <c r="K1808" s="2"/>
      <c r="L1808" s="2"/>
      <c r="M1808" s="2"/>
      <c r="N1808" s="2"/>
      <c r="O1808" s="2"/>
      <c r="P1808" s="2"/>
    </row>
    <row r="1809" spans="1:16" x14ac:dyDescent="0.4">
      <c r="A1809">
        <v>2012</v>
      </c>
      <c r="B1809" s="2" t="s">
        <v>659</v>
      </c>
      <c r="C1809" s="2" t="s">
        <v>727</v>
      </c>
      <c r="D1809" s="2" t="s">
        <v>288</v>
      </c>
      <c r="E1809" s="67" t="s">
        <v>294</v>
      </c>
      <c r="F1809" s="12">
        <v>625</v>
      </c>
      <c r="G1809" s="12">
        <v>374</v>
      </c>
      <c r="H1809" s="12">
        <v>251</v>
      </c>
      <c r="J1809" s="2"/>
      <c r="K1809" s="2"/>
      <c r="L1809" s="2"/>
      <c r="M1809" s="2"/>
      <c r="N1809" s="2"/>
      <c r="O1809" s="2"/>
      <c r="P1809" s="2"/>
    </row>
    <row r="1810" spans="1:16" x14ac:dyDescent="0.4">
      <c r="A1810">
        <v>2012</v>
      </c>
      <c r="B1810" s="2" t="s">
        <v>660</v>
      </c>
      <c r="C1810" s="2" t="s">
        <v>727</v>
      </c>
      <c r="D1810" s="2" t="s">
        <v>288</v>
      </c>
      <c r="E1810" s="67" t="s">
        <v>295</v>
      </c>
      <c r="F1810" s="12">
        <v>107</v>
      </c>
      <c r="G1810" s="12">
        <v>69</v>
      </c>
      <c r="H1810" s="12">
        <v>38</v>
      </c>
      <c r="J1810" s="2"/>
      <c r="K1810" s="2"/>
      <c r="L1810" s="2"/>
      <c r="M1810" s="2"/>
      <c r="N1810" s="2"/>
      <c r="O1810" s="2"/>
      <c r="P1810" s="2"/>
    </row>
    <row r="1811" spans="1:16" x14ac:dyDescent="0.4">
      <c r="A1811">
        <v>2012</v>
      </c>
      <c r="B1811" s="2" t="s">
        <v>661</v>
      </c>
      <c r="C1811" s="2" t="s">
        <v>727</v>
      </c>
      <c r="D1811" s="2" t="s">
        <v>288</v>
      </c>
      <c r="E1811" s="67" t="s">
        <v>296</v>
      </c>
      <c r="F1811" s="12">
        <v>334</v>
      </c>
      <c r="G1811" s="12">
        <v>201</v>
      </c>
      <c r="H1811" s="12">
        <v>133</v>
      </c>
      <c r="J1811" s="2"/>
      <c r="K1811" s="2"/>
      <c r="L1811" s="2"/>
      <c r="M1811" s="2"/>
      <c r="N1811" s="2"/>
      <c r="O1811" s="2"/>
      <c r="P1811" s="2"/>
    </row>
    <row r="1812" spans="1:16" x14ac:dyDescent="0.4">
      <c r="A1812">
        <v>2012</v>
      </c>
      <c r="B1812" s="2" t="s">
        <v>662</v>
      </c>
      <c r="C1812" s="2" t="s">
        <v>727</v>
      </c>
      <c r="D1812" s="2" t="s">
        <v>288</v>
      </c>
      <c r="E1812" s="67" t="s">
        <v>297</v>
      </c>
      <c r="F1812" s="12">
        <v>78</v>
      </c>
      <c r="G1812" s="12">
        <v>51</v>
      </c>
      <c r="H1812" s="12">
        <v>27</v>
      </c>
      <c r="J1812" s="2"/>
      <c r="K1812" s="2"/>
      <c r="L1812" s="2"/>
      <c r="M1812" s="2"/>
      <c r="N1812" s="2"/>
      <c r="O1812" s="2"/>
      <c r="P1812" s="2"/>
    </row>
    <row r="1813" spans="1:16" x14ac:dyDescent="0.4">
      <c r="A1813">
        <v>2012</v>
      </c>
      <c r="B1813" s="2" t="s">
        <v>663</v>
      </c>
      <c r="C1813" s="2" t="s">
        <v>727</v>
      </c>
      <c r="D1813" s="2" t="s">
        <v>288</v>
      </c>
      <c r="E1813" s="67" t="s">
        <v>298</v>
      </c>
      <c r="F1813" s="12">
        <v>135</v>
      </c>
      <c r="G1813" s="12">
        <v>91</v>
      </c>
      <c r="H1813" s="12">
        <v>44</v>
      </c>
      <c r="J1813" s="2"/>
      <c r="K1813" s="2"/>
      <c r="L1813" s="2"/>
      <c r="M1813" s="2"/>
      <c r="N1813" s="2"/>
      <c r="O1813" s="2"/>
      <c r="P1813" s="2"/>
    </row>
    <row r="1814" spans="1:16" x14ac:dyDescent="0.4">
      <c r="A1814">
        <v>2012</v>
      </c>
      <c r="B1814" s="2" t="s">
        <v>664</v>
      </c>
      <c r="C1814" s="2" t="s">
        <v>728</v>
      </c>
      <c r="D1814" s="2" t="s">
        <v>300</v>
      </c>
      <c r="E1814" s="67" t="s">
        <v>299</v>
      </c>
      <c r="F1814" s="12">
        <v>44</v>
      </c>
      <c r="G1814" s="12">
        <v>25</v>
      </c>
      <c r="H1814" s="12">
        <v>19</v>
      </c>
      <c r="J1814" s="2"/>
      <c r="K1814" s="2"/>
      <c r="L1814" s="2"/>
      <c r="M1814" s="2"/>
      <c r="N1814" s="2"/>
      <c r="O1814" s="2"/>
      <c r="P1814" s="2"/>
    </row>
    <row r="1815" spans="1:16" x14ac:dyDescent="0.4">
      <c r="A1815">
        <v>2012</v>
      </c>
      <c r="B1815" s="2" t="s">
        <v>665</v>
      </c>
      <c r="C1815" s="2" t="s">
        <v>728</v>
      </c>
      <c r="D1815" s="2" t="s">
        <v>300</v>
      </c>
      <c r="E1815" s="67" t="s">
        <v>36</v>
      </c>
      <c r="F1815" s="12">
        <v>82</v>
      </c>
      <c r="G1815" s="12">
        <v>47</v>
      </c>
      <c r="H1815" s="12">
        <v>35</v>
      </c>
      <c r="J1815" s="2"/>
      <c r="K1815" s="2"/>
      <c r="L1815" s="2"/>
      <c r="M1815" s="2"/>
      <c r="N1815" s="2"/>
      <c r="O1815" s="2"/>
      <c r="P1815" s="2"/>
    </row>
    <row r="1816" spans="1:16" x14ac:dyDescent="0.4">
      <c r="A1816">
        <v>2012</v>
      </c>
      <c r="B1816" s="2" t="s">
        <v>666</v>
      </c>
      <c r="C1816" s="2" t="s">
        <v>728</v>
      </c>
      <c r="D1816" s="14" t="s">
        <v>300</v>
      </c>
      <c r="E1816" s="69" t="s">
        <v>301</v>
      </c>
      <c r="F1816" s="11">
        <v>214</v>
      </c>
      <c r="G1816" s="11">
        <v>139</v>
      </c>
      <c r="H1816" s="12">
        <v>75</v>
      </c>
      <c r="J1816" s="2"/>
      <c r="K1816" s="2"/>
      <c r="L1816" s="2"/>
      <c r="M1816" s="2"/>
      <c r="N1816" s="2"/>
      <c r="O1816" s="2"/>
      <c r="P1816" s="2"/>
    </row>
    <row r="1817" spans="1:16" x14ac:dyDescent="0.4">
      <c r="A1817">
        <v>2012</v>
      </c>
      <c r="B1817" s="2" t="s">
        <v>667</v>
      </c>
      <c r="C1817" s="2" t="s">
        <v>728</v>
      </c>
      <c r="D1817" s="2" t="s">
        <v>300</v>
      </c>
      <c r="E1817" s="67" t="s">
        <v>302</v>
      </c>
      <c r="F1817" s="12">
        <v>73</v>
      </c>
      <c r="G1817" s="12">
        <v>57</v>
      </c>
      <c r="H1817" s="12">
        <v>16</v>
      </c>
      <c r="J1817" s="2"/>
      <c r="K1817" s="2"/>
      <c r="L1817" s="2"/>
      <c r="M1817" s="2"/>
      <c r="N1817" s="2"/>
      <c r="O1817" s="2"/>
      <c r="P1817" s="2"/>
    </row>
    <row r="1818" spans="1:16" x14ac:dyDescent="0.4">
      <c r="A1818">
        <v>2012</v>
      </c>
      <c r="B1818" s="2" t="s">
        <v>668</v>
      </c>
      <c r="C1818" s="2" t="s">
        <v>728</v>
      </c>
      <c r="D1818" s="2" t="s">
        <v>300</v>
      </c>
      <c r="E1818" s="67" t="s">
        <v>14</v>
      </c>
      <c r="F1818" s="12">
        <v>142</v>
      </c>
      <c r="G1818" s="12">
        <v>85</v>
      </c>
      <c r="H1818" s="12">
        <v>57</v>
      </c>
      <c r="J1818" s="2"/>
      <c r="K1818" s="2"/>
      <c r="L1818" s="2"/>
      <c r="M1818" s="2"/>
      <c r="N1818" s="2"/>
      <c r="O1818" s="2"/>
      <c r="P1818" s="2"/>
    </row>
    <row r="1819" spans="1:16" x14ac:dyDescent="0.4">
      <c r="A1819">
        <v>2012</v>
      </c>
      <c r="B1819" s="2" t="s">
        <v>669</v>
      </c>
      <c r="C1819" s="2" t="s">
        <v>728</v>
      </c>
      <c r="D1819" s="2" t="s">
        <v>300</v>
      </c>
      <c r="E1819" s="67" t="s">
        <v>303</v>
      </c>
      <c r="F1819" s="12">
        <v>36</v>
      </c>
      <c r="G1819" s="12">
        <v>25</v>
      </c>
      <c r="H1819" s="12">
        <v>11</v>
      </c>
      <c r="J1819" s="2"/>
      <c r="K1819" s="2"/>
      <c r="L1819" s="2"/>
      <c r="M1819" s="2"/>
      <c r="N1819" s="2"/>
      <c r="O1819" s="2"/>
      <c r="P1819" s="2"/>
    </row>
    <row r="1820" spans="1:16" x14ac:dyDescent="0.4">
      <c r="A1820">
        <v>2012</v>
      </c>
      <c r="B1820" s="2" t="s">
        <v>670</v>
      </c>
      <c r="C1820" s="2" t="s">
        <v>728</v>
      </c>
      <c r="D1820" s="2" t="s">
        <v>300</v>
      </c>
      <c r="E1820" s="67" t="s">
        <v>304</v>
      </c>
      <c r="F1820" s="12">
        <v>33</v>
      </c>
      <c r="G1820" s="12">
        <v>26</v>
      </c>
      <c r="H1820" s="12">
        <v>7</v>
      </c>
      <c r="J1820" s="2"/>
      <c r="K1820" s="2"/>
      <c r="L1820" s="2"/>
      <c r="M1820" s="2"/>
      <c r="N1820" s="2"/>
      <c r="O1820" s="2"/>
      <c r="P1820" s="2"/>
    </row>
    <row r="1821" spans="1:16" x14ac:dyDescent="0.4">
      <c r="A1821">
        <v>2012</v>
      </c>
      <c r="B1821" s="2" t="s">
        <v>671</v>
      </c>
      <c r="C1821" s="2" t="s">
        <v>728</v>
      </c>
      <c r="D1821" s="2" t="s">
        <v>300</v>
      </c>
      <c r="E1821" s="67" t="s">
        <v>305</v>
      </c>
      <c r="F1821" s="12">
        <v>34</v>
      </c>
      <c r="G1821" s="12">
        <v>22</v>
      </c>
      <c r="H1821" s="12">
        <v>12</v>
      </c>
      <c r="J1821" s="2"/>
      <c r="K1821" s="2"/>
      <c r="L1821" s="2"/>
      <c r="M1821" s="2"/>
      <c r="N1821" s="2"/>
      <c r="O1821" s="2"/>
      <c r="P1821" s="2"/>
    </row>
    <row r="1822" spans="1:16" x14ac:dyDescent="0.4">
      <c r="A1822">
        <v>2012</v>
      </c>
      <c r="B1822" s="2" t="s">
        <v>672</v>
      </c>
      <c r="C1822" s="2" t="s">
        <v>728</v>
      </c>
      <c r="D1822" s="2" t="s">
        <v>300</v>
      </c>
      <c r="E1822" s="67" t="s">
        <v>306</v>
      </c>
      <c r="F1822" s="12">
        <v>245</v>
      </c>
      <c r="G1822" s="12">
        <v>163</v>
      </c>
      <c r="H1822" s="12">
        <v>82</v>
      </c>
      <c r="J1822" s="2"/>
      <c r="K1822" s="2"/>
      <c r="L1822" s="2"/>
      <c r="M1822" s="2"/>
      <c r="N1822" s="2"/>
      <c r="O1822" s="2"/>
      <c r="P1822" s="2"/>
    </row>
    <row r="1823" spans="1:16" x14ac:dyDescent="0.4">
      <c r="A1823">
        <v>2012</v>
      </c>
      <c r="B1823" s="2" t="s">
        <v>673</v>
      </c>
      <c r="C1823" s="2" t="s">
        <v>728</v>
      </c>
      <c r="D1823" s="2" t="s">
        <v>300</v>
      </c>
      <c r="E1823" s="67" t="s">
        <v>307</v>
      </c>
      <c r="F1823" s="12">
        <v>267</v>
      </c>
      <c r="G1823" s="12">
        <v>173</v>
      </c>
      <c r="H1823" s="12">
        <v>94</v>
      </c>
      <c r="J1823" s="2"/>
      <c r="K1823" s="2"/>
      <c r="L1823" s="2"/>
      <c r="M1823" s="2"/>
      <c r="N1823" s="2"/>
      <c r="O1823" s="2"/>
      <c r="P1823" s="2"/>
    </row>
    <row r="1824" spans="1:16" x14ac:dyDescent="0.4">
      <c r="A1824">
        <v>2012</v>
      </c>
      <c r="B1824" s="2" t="s">
        <v>674</v>
      </c>
      <c r="C1824" s="2" t="s">
        <v>728</v>
      </c>
      <c r="D1824" s="2" t="s">
        <v>300</v>
      </c>
      <c r="E1824" s="67" t="s">
        <v>308</v>
      </c>
      <c r="F1824" s="12">
        <v>1476</v>
      </c>
      <c r="G1824" s="12">
        <v>860</v>
      </c>
      <c r="H1824" s="12">
        <v>616</v>
      </c>
      <c r="J1824" s="2"/>
      <c r="K1824" s="2"/>
      <c r="L1824" s="2"/>
      <c r="M1824" s="2"/>
      <c r="N1824" s="2"/>
      <c r="O1824" s="2"/>
      <c r="P1824" s="2"/>
    </row>
    <row r="1825" spans="1:16" x14ac:dyDescent="0.4">
      <c r="A1825">
        <v>2012</v>
      </c>
      <c r="B1825" s="2" t="s">
        <v>675</v>
      </c>
      <c r="C1825" s="2" t="s">
        <v>728</v>
      </c>
      <c r="D1825" s="2" t="s">
        <v>300</v>
      </c>
      <c r="E1825" s="67" t="s">
        <v>51</v>
      </c>
      <c r="F1825" s="12">
        <v>56</v>
      </c>
      <c r="G1825" s="12">
        <v>32</v>
      </c>
      <c r="H1825" s="12">
        <v>24</v>
      </c>
      <c r="J1825" s="2"/>
      <c r="K1825" s="2"/>
      <c r="L1825" s="2"/>
      <c r="M1825" s="2"/>
      <c r="N1825" s="2"/>
      <c r="O1825" s="2"/>
      <c r="P1825" s="2"/>
    </row>
    <row r="1826" spans="1:16" x14ac:dyDescent="0.4">
      <c r="A1826">
        <v>2012</v>
      </c>
      <c r="B1826" s="2" t="s">
        <v>676</v>
      </c>
      <c r="C1826" s="2" t="s">
        <v>728</v>
      </c>
      <c r="D1826" s="2" t="s">
        <v>300</v>
      </c>
      <c r="E1826" s="67" t="s">
        <v>309</v>
      </c>
      <c r="F1826" s="12">
        <v>65</v>
      </c>
      <c r="G1826" s="12">
        <v>36</v>
      </c>
      <c r="H1826" s="12">
        <v>29</v>
      </c>
      <c r="J1826" s="2"/>
      <c r="K1826" s="2"/>
      <c r="L1826" s="2"/>
      <c r="M1826" s="2"/>
      <c r="N1826" s="2"/>
      <c r="O1826" s="2"/>
      <c r="P1826" s="2"/>
    </row>
    <row r="1827" spans="1:16" x14ac:dyDescent="0.4">
      <c r="A1827">
        <v>2012</v>
      </c>
      <c r="B1827" s="2" t="s">
        <v>677</v>
      </c>
      <c r="C1827" s="2" t="s">
        <v>728</v>
      </c>
      <c r="D1827" s="2" t="s">
        <v>300</v>
      </c>
      <c r="E1827" s="67" t="s">
        <v>310</v>
      </c>
      <c r="F1827" s="12">
        <v>55</v>
      </c>
      <c r="G1827" s="12">
        <v>45</v>
      </c>
      <c r="H1827" s="12">
        <v>10</v>
      </c>
      <c r="J1827" s="2"/>
      <c r="K1827" s="2"/>
      <c r="L1827" s="2"/>
      <c r="M1827" s="2"/>
      <c r="N1827" s="2"/>
      <c r="O1827" s="2"/>
      <c r="P1827" s="2"/>
    </row>
    <row r="1828" spans="1:16" x14ac:dyDescent="0.4">
      <c r="A1828">
        <v>2012</v>
      </c>
      <c r="B1828" s="2" t="s">
        <v>678</v>
      </c>
      <c r="C1828" s="2" t="s">
        <v>729</v>
      </c>
      <c r="D1828" s="2" t="s">
        <v>312</v>
      </c>
      <c r="E1828" s="67" t="s">
        <v>311</v>
      </c>
      <c r="F1828" s="12">
        <v>39</v>
      </c>
      <c r="G1828" s="12">
        <v>27</v>
      </c>
      <c r="H1828" s="12">
        <v>12</v>
      </c>
      <c r="J1828" s="2"/>
      <c r="K1828" s="2"/>
      <c r="L1828" s="2"/>
      <c r="M1828" s="2"/>
      <c r="N1828" s="2"/>
      <c r="O1828" s="2"/>
      <c r="P1828" s="2"/>
    </row>
    <row r="1829" spans="1:16" x14ac:dyDescent="0.4">
      <c r="A1829">
        <v>2012</v>
      </c>
      <c r="B1829" s="2" t="s">
        <v>679</v>
      </c>
      <c r="C1829" s="2" t="s">
        <v>729</v>
      </c>
      <c r="D1829" s="2" t="s">
        <v>312</v>
      </c>
      <c r="E1829" s="67" t="s">
        <v>313</v>
      </c>
      <c r="F1829" s="12">
        <v>263</v>
      </c>
      <c r="G1829" s="12">
        <v>176</v>
      </c>
      <c r="H1829" s="12">
        <v>87</v>
      </c>
      <c r="J1829" s="2"/>
      <c r="K1829" s="2"/>
      <c r="L1829" s="2"/>
      <c r="M1829" s="2"/>
      <c r="N1829" s="2"/>
      <c r="O1829" s="2"/>
      <c r="P1829" s="2"/>
    </row>
    <row r="1830" spans="1:16" x14ac:dyDescent="0.4">
      <c r="A1830">
        <v>2012</v>
      </c>
      <c r="B1830" s="2" t="s">
        <v>680</v>
      </c>
      <c r="C1830" s="2" t="s">
        <v>729</v>
      </c>
      <c r="D1830" s="2" t="s">
        <v>312</v>
      </c>
      <c r="E1830" s="67" t="s">
        <v>314</v>
      </c>
      <c r="F1830" s="12">
        <v>1464</v>
      </c>
      <c r="G1830" s="12">
        <v>833</v>
      </c>
      <c r="H1830" s="12">
        <v>631</v>
      </c>
      <c r="J1830" s="2"/>
      <c r="K1830" s="2"/>
      <c r="L1830" s="2"/>
      <c r="M1830" s="2"/>
      <c r="N1830" s="2"/>
      <c r="O1830" s="2"/>
      <c r="P1830" s="2"/>
    </row>
    <row r="1831" spans="1:16" x14ac:dyDescent="0.4">
      <c r="A1831">
        <v>2012</v>
      </c>
      <c r="B1831" s="2" t="s">
        <v>681</v>
      </c>
      <c r="C1831" s="2" t="s">
        <v>729</v>
      </c>
      <c r="D1831" s="2" t="s">
        <v>312</v>
      </c>
      <c r="E1831" s="67" t="s">
        <v>315</v>
      </c>
      <c r="F1831" s="12">
        <v>105</v>
      </c>
      <c r="G1831" s="12">
        <v>57</v>
      </c>
      <c r="H1831" s="12">
        <v>48</v>
      </c>
      <c r="J1831" s="2"/>
      <c r="K1831" s="2"/>
      <c r="L1831" s="2"/>
      <c r="M1831" s="2"/>
      <c r="N1831" s="2"/>
      <c r="O1831" s="2"/>
      <c r="P1831" s="2"/>
    </row>
    <row r="1832" spans="1:16" x14ac:dyDescent="0.4">
      <c r="A1832">
        <v>2012</v>
      </c>
      <c r="B1832" s="2" t="s">
        <v>682</v>
      </c>
      <c r="C1832" s="2" t="s">
        <v>729</v>
      </c>
      <c r="D1832" s="2" t="s">
        <v>312</v>
      </c>
      <c r="E1832" s="67" t="s">
        <v>316</v>
      </c>
      <c r="F1832" s="12">
        <v>583</v>
      </c>
      <c r="G1832" s="12">
        <v>371</v>
      </c>
      <c r="H1832" s="12">
        <v>212</v>
      </c>
      <c r="J1832" s="2"/>
      <c r="K1832" s="2"/>
      <c r="L1832" s="2"/>
      <c r="M1832" s="2"/>
      <c r="N1832" s="2"/>
      <c r="O1832" s="2"/>
      <c r="P1832" s="2"/>
    </row>
    <row r="1833" spans="1:16" x14ac:dyDescent="0.4">
      <c r="A1833">
        <v>2012</v>
      </c>
      <c r="B1833" s="2" t="s">
        <v>683</v>
      </c>
      <c r="C1833" s="2" t="s">
        <v>729</v>
      </c>
      <c r="D1833" s="2" t="s">
        <v>312</v>
      </c>
      <c r="E1833" s="67" t="s">
        <v>317</v>
      </c>
      <c r="F1833" s="12">
        <v>57</v>
      </c>
      <c r="G1833" s="12">
        <v>44</v>
      </c>
      <c r="H1833" s="12">
        <v>13</v>
      </c>
      <c r="J1833" s="2"/>
      <c r="K1833" s="2"/>
      <c r="L1833" s="2"/>
      <c r="M1833" s="2"/>
      <c r="N1833" s="2"/>
      <c r="O1833" s="2"/>
      <c r="P1833" s="2"/>
    </row>
    <row r="1834" spans="1:16" x14ac:dyDescent="0.4">
      <c r="A1834">
        <v>2012</v>
      </c>
      <c r="B1834" s="2" t="s">
        <v>684</v>
      </c>
      <c r="C1834" s="2" t="s">
        <v>729</v>
      </c>
      <c r="D1834" s="2" t="s">
        <v>312</v>
      </c>
      <c r="E1834" s="67" t="s">
        <v>318</v>
      </c>
      <c r="F1834" s="12">
        <v>387</v>
      </c>
      <c r="G1834" s="12">
        <v>244</v>
      </c>
      <c r="H1834" s="12">
        <v>143</v>
      </c>
      <c r="J1834" s="2"/>
      <c r="K1834" s="2"/>
      <c r="L1834" s="2"/>
      <c r="M1834" s="2"/>
      <c r="N1834" s="2"/>
      <c r="O1834" s="2"/>
      <c r="P1834" s="2"/>
    </row>
    <row r="1835" spans="1:16" x14ac:dyDescent="0.4">
      <c r="A1835">
        <v>2012</v>
      </c>
      <c r="B1835" s="2" t="s">
        <v>685</v>
      </c>
      <c r="C1835" s="2" t="s">
        <v>729</v>
      </c>
      <c r="D1835" s="2" t="s">
        <v>312</v>
      </c>
      <c r="E1835" s="67" t="s">
        <v>319</v>
      </c>
      <c r="F1835" s="12">
        <v>105</v>
      </c>
      <c r="G1835" s="12">
        <v>73</v>
      </c>
      <c r="H1835" s="12">
        <v>32</v>
      </c>
      <c r="J1835" s="2"/>
      <c r="K1835" s="2"/>
      <c r="L1835" s="2"/>
      <c r="M1835" s="2"/>
      <c r="N1835" s="2"/>
      <c r="O1835" s="2"/>
      <c r="P1835" s="2"/>
    </row>
    <row r="1836" spans="1:16" x14ac:dyDescent="0.4">
      <c r="A1836">
        <v>2012</v>
      </c>
      <c r="B1836" s="2" t="s">
        <v>686</v>
      </c>
      <c r="C1836" s="2" t="s">
        <v>729</v>
      </c>
      <c r="D1836" s="2" t="s">
        <v>312</v>
      </c>
      <c r="E1836" s="67" t="s">
        <v>320</v>
      </c>
      <c r="F1836" s="12">
        <v>222</v>
      </c>
      <c r="G1836" s="12">
        <v>141</v>
      </c>
      <c r="H1836" s="12">
        <v>81</v>
      </c>
      <c r="J1836" s="2"/>
      <c r="K1836" s="2"/>
      <c r="L1836" s="2"/>
      <c r="M1836" s="2"/>
      <c r="N1836" s="2"/>
      <c r="O1836" s="2"/>
      <c r="P1836" s="2"/>
    </row>
    <row r="1837" spans="1:16" x14ac:dyDescent="0.4">
      <c r="A1837">
        <v>2012</v>
      </c>
      <c r="B1837" s="2" t="s">
        <v>687</v>
      </c>
      <c r="C1837" s="2" t="s">
        <v>729</v>
      </c>
      <c r="D1837" s="2" t="s">
        <v>312</v>
      </c>
      <c r="E1837" s="67" t="s">
        <v>321</v>
      </c>
      <c r="F1837" s="12">
        <v>1310</v>
      </c>
      <c r="G1837" s="12">
        <v>732</v>
      </c>
      <c r="H1837" s="12">
        <v>578</v>
      </c>
      <c r="J1837" s="2"/>
      <c r="K1837" s="2"/>
      <c r="L1837" s="2"/>
      <c r="M1837" s="2"/>
      <c r="N1837" s="2"/>
      <c r="O1837" s="2"/>
      <c r="P1837" s="2"/>
    </row>
    <row r="1838" spans="1:16" x14ac:dyDescent="0.4">
      <c r="A1838">
        <v>2012</v>
      </c>
      <c r="B1838" s="2" t="s">
        <v>688</v>
      </c>
      <c r="C1838" s="2" t="s">
        <v>729</v>
      </c>
      <c r="D1838" s="2" t="s">
        <v>312</v>
      </c>
      <c r="E1838" s="67" t="s">
        <v>322</v>
      </c>
      <c r="F1838" s="12">
        <v>421</v>
      </c>
      <c r="G1838" s="12">
        <v>262</v>
      </c>
      <c r="H1838" s="12">
        <v>159</v>
      </c>
      <c r="J1838" s="2"/>
      <c r="K1838" s="2"/>
      <c r="L1838" s="2"/>
      <c r="M1838" s="2"/>
      <c r="N1838" s="2"/>
      <c r="O1838" s="2"/>
      <c r="P1838" s="2"/>
    </row>
    <row r="1839" spans="1:16" x14ac:dyDescent="0.4">
      <c r="A1839">
        <v>2012</v>
      </c>
      <c r="B1839" s="2" t="s">
        <v>689</v>
      </c>
      <c r="C1839" s="2" t="s">
        <v>729</v>
      </c>
      <c r="D1839" s="2" t="s">
        <v>312</v>
      </c>
      <c r="E1839" s="67" t="s">
        <v>323</v>
      </c>
      <c r="F1839" s="12">
        <v>783</v>
      </c>
      <c r="G1839" s="12">
        <v>509</v>
      </c>
      <c r="H1839" s="12">
        <v>274</v>
      </c>
      <c r="J1839" s="2"/>
      <c r="K1839" s="2"/>
      <c r="L1839" s="2"/>
      <c r="M1839" s="2"/>
      <c r="N1839" s="2"/>
      <c r="O1839" s="2"/>
      <c r="P1839" s="2"/>
    </row>
    <row r="1840" spans="1:16" x14ac:dyDescent="0.4">
      <c r="A1840">
        <v>2012</v>
      </c>
      <c r="B1840" s="2" t="s">
        <v>690</v>
      </c>
      <c r="C1840" s="2" t="s">
        <v>729</v>
      </c>
      <c r="D1840" s="2" t="s">
        <v>312</v>
      </c>
      <c r="E1840" s="67" t="s">
        <v>324</v>
      </c>
      <c r="F1840" s="12">
        <v>10385</v>
      </c>
      <c r="G1840" s="12">
        <v>5991</v>
      </c>
      <c r="H1840" s="12">
        <v>4394</v>
      </c>
      <c r="J1840" s="2"/>
      <c r="K1840" s="2"/>
      <c r="L1840" s="2"/>
      <c r="M1840" s="2"/>
      <c r="N1840" s="2"/>
      <c r="O1840" s="2"/>
      <c r="P1840" s="2"/>
    </row>
    <row r="1841" spans="1:16" x14ac:dyDescent="0.4">
      <c r="A1841">
        <v>2012</v>
      </c>
      <c r="B1841" s="2" t="s">
        <v>691</v>
      </c>
      <c r="C1841" s="2" t="s">
        <v>729</v>
      </c>
      <c r="D1841" s="2" t="s">
        <v>312</v>
      </c>
      <c r="E1841" s="67" t="s">
        <v>85</v>
      </c>
      <c r="F1841" s="12">
        <v>283</v>
      </c>
      <c r="G1841" s="12">
        <v>177</v>
      </c>
      <c r="H1841" s="12">
        <v>106</v>
      </c>
      <c r="J1841" s="2"/>
      <c r="K1841" s="2"/>
      <c r="L1841" s="2"/>
      <c r="M1841" s="2"/>
      <c r="N1841" s="2"/>
      <c r="O1841" s="2"/>
      <c r="P1841" s="2"/>
    </row>
    <row r="1842" spans="1:16" x14ac:dyDescent="0.4">
      <c r="A1842">
        <v>2012</v>
      </c>
      <c r="B1842" s="2" t="s">
        <v>692</v>
      </c>
      <c r="C1842" s="2" t="s">
        <v>729</v>
      </c>
      <c r="D1842" s="2" t="s">
        <v>312</v>
      </c>
      <c r="E1842" s="67" t="s">
        <v>32</v>
      </c>
      <c r="F1842" s="12">
        <v>247</v>
      </c>
      <c r="G1842" s="12">
        <v>143</v>
      </c>
      <c r="H1842" s="12">
        <v>104</v>
      </c>
      <c r="J1842" s="2"/>
      <c r="K1842" s="2"/>
      <c r="L1842" s="2"/>
      <c r="M1842" s="2"/>
      <c r="N1842" s="2"/>
      <c r="O1842" s="2"/>
      <c r="P1842" s="2"/>
    </row>
    <row r="1843" spans="1:16" x14ac:dyDescent="0.4">
      <c r="A1843">
        <v>2012</v>
      </c>
      <c r="B1843" s="2" t="s">
        <v>693</v>
      </c>
      <c r="C1843" s="2" t="s">
        <v>729</v>
      </c>
      <c r="D1843" s="2" t="s">
        <v>312</v>
      </c>
      <c r="E1843" s="67" t="s">
        <v>325</v>
      </c>
      <c r="F1843" s="12">
        <v>322</v>
      </c>
      <c r="G1843" s="12">
        <v>197</v>
      </c>
      <c r="H1843" s="12">
        <v>125</v>
      </c>
      <c r="J1843" s="2"/>
      <c r="K1843" s="2"/>
      <c r="L1843" s="2"/>
      <c r="M1843" s="2"/>
      <c r="N1843" s="2"/>
      <c r="O1843" s="2"/>
      <c r="P1843" s="2"/>
    </row>
    <row r="1844" spans="1:16" x14ac:dyDescent="0.4">
      <c r="A1844">
        <v>2012</v>
      </c>
      <c r="B1844" s="2" t="s">
        <v>694</v>
      </c>
      <c r="C1844" s="2" t="s">
        <v>729</v>
      </c>
      <c r="D1844" s="2" t="s">
        <v>312</v>
      </c>
      <c r="E1844" s="67" t="s">
        <v>144</v>
      </c>
      <c r="F1844" s="12">
        <v>1472</v>
      </c>
      <c r="G1844" s="12">
        <v>856</v>
      </c>
      <c r="H1844" s="12">
        <v>616</v>
      </c>
      <c r="J1844" s="2"/>
      <c r="K1844" s="2"/>
      <c r="L1844" s="2"/>
      <c r="M1844" s="2"/>
      <c r="N1844" s="2"/>
      <c r="O1844" s="2"/>
      <c r="P1844" s="2"/>
    </row>
    <row r="1845" spans="1:16" x14ac:dyDescent="0.4">
      <c r="A1845">
        <v>2012</v>
      </c>
      <c r="B1845" s="2" t="s">
        <v>695</v>
      </c>
      <c r="C1845" s="2" t="s">
        <v>729</v>
      </c>
      <c r="D1845" s="2" t="s">
        <v>312</v>
      </c>
      <c r="E1845" s="67" t="s">
        <v>326</v>
      </c>
      <c r="F1845" s="12">
        <v>172</v>
      </c>
      <c r="G1845" s="12">
        <v>117</v>
      </c>
      <c r="H1845" s="12">
        <v>55</v>
      </c>
      <c r="J1845" s="2"/>
      <c r="K1845" s="2"/>
      <c r="L1845" s="2"/>
      <c r="M1845" s="2"/>
      <c r="N1845" s="2"/>
      <c r="O1845" s="2"/>
      <c r="P1845" s="2"/>
    </row>
    <row r="1846" spans="1:16" x14ac:dyDescent="0.4">
      <c r="A1846">
        <v>2012</v>
      </c>
      <c r="B1846" s="2" t="s">
        <v>696</v>
      </c>
      <c r="C1846" s="2" t="s">
        <v>729</v>
      </c>
      <c r="D1846" s="2" t="s">
        <v>312</v>
      </c>
      <c r="E1846" s="67" t="s">
        <v>25</v>
      </c>
      <c r="F1846" s="12">
        <v>100</v>
      </c>
      <c r="G1846" s="12">
        <v>70</v>
      </c>
      <c r="H1846" s="12">
        <v>30</v>
      </c>
      <c r="J1846" s="2"/>
      <c r="K1846" s="2"/>
      <c r="L1846" s="2"/>
      <c r="M1846" s="2"/>
      <c r="N1846" s="2"/>
      <c r="O1846" s="2"/>
      <c r="P1846" s="2"/>
    </row>
    <row r="1847" spans="1:16" x14ac:dyDescent="0.4">
      <c r="A1847">
        <v>2012</v>
      </c>
      <c r="B1847" s="2" t="s">
        <v>697</v>
      </c>
      <c r="C1847" s="2" t="s">
        <v>729</v>
      </c>
      <c r="D1847" s="2" t="s">
        <v>312</v>
      </c>
      <c r="E1847" s="67" t="s">
        <v>51</v>
      </c>
      <c r="F1847" s="12">
        <v>223</v>
      </c>
      <c r="G1847" s="12">
        <v>140</v>
      </c>
      <c r="H1847" s="12">
        <v>83</v>
      </c>
      <c r="J1847" s="2"/>
      <c r="K1847" s="2"/>
      <c r="L1847" s="2"/>
      <c r="M1847" s="2"/>
      <c r="N1847" s="2"/>
      <c r="O1847" s="2"/>
      <c r="P1847" s="2"/>
    </row>
    <row r="1848" spans="1:16" x14ac:dyDescent="0.4">
      <c r="A1848">
        <v>2012</v>
      </c>
      <c r="B1848" s="2" t="s">
        <v>698</v>
      </c>
      <c r="C1848" s="2" t="s">
        <v>729</v>
      </c>
      <c r="D1848" s="2" t="s">
        <v>312</v>
      </c>
      <c r="E1848" s="67" t="s">
        <v>327</v>
      </c>
      <c r="F1848" s="12">
        <v>123</v>
      </c>
      <c r="G1848" s="12">
        <v>71</v>
      </c>
      <c r="H1848" s="12">
        <v>52</v>
      </c>
      <c r="J1848" s="2"/>
      <c r="K1848" s="2"/>
      <c r="L1848" s="2"/>
      <c r="M1848" s="2"/>
      <c r="N1848" s="2"/>
      <c r="O1848" s="2"/>
      <c r="P1848" s="2"/>
    </row>
    <row r="1849" spans="1:16" x14ac:dyDescent="0.4">
      <c r="A1849">
        <v>2012</v>
      </c>
      <c r="B1849" s="2" t="s">
        <v>733</v>
      </c>
      <c r="C1849" s="2" t="s">
        <v>715</v>
      </c>
      <c r="D1849" s="2" t="s">
        <v>734</v>
      </c>
      <c r="E1849" s="67" t="s">
        <v>735</v>
      </c>
      <c r="F1849" s="12">
        <v>0</v>
      </c>
      <c r="G1849" s="12">
        <v>0</v>
      </c>
      <c r="H1849" s="12">
        <v>0</v>
      </c>
      <c r="J1849" s="2"/>
      <c r="K1849" s="2"/>
      <c r="L1849" s="2"/>
      <c r="M1849" s="2"/>
      <c r="N1849" s="2"/>
      <c r="O1849" s="2"/>
      <c r="P1849" s="2"/>
    </row>
    <row r="1850" spans="1:16" x14ac:dyDescent="0.4">
      <c r="A1850">
        <v>2011</v>
      </c>
      <c r="B1850" s="5" t="str">
        <f>+C1850&amp;"-"&amp;E1850</f>
        <v>VA-Municipio Autónomo Vargas</v>
      </c>
      <c r="C1850" s="5" t="str">
        <f>+MID(D1850,1,2)</f>
        <v>VA</v>
      </c>
      <c r="D1850" s="25" t="s">
        <v>288</v>
      </c>
      <c r="E1850" s="64" t="s">
        <v>757</v>
      </c>
      <c r="F1850" s="2">
        <v>0</v>
      </c>
      <c r="G1850" s="2">
        <v>0</v>
      </c>
      <c r="H1850" s="2">
        <v>0</v>
      </c>
      <c r="J1850" s="2"/>
      <c r="K1850" s="2"/>
      <c r="L1850" s="2"/>
      <c r="M1850" s="2"/>
      <c r="N1850" s="2"/>
      <c r="O1850" s="2"/>
      <c r="P1850" s="2"/>
    </row>
    <row r="1851" spans="1:16" x14ac:dyDescent="0.4">
      <c r="A1851">
        <v>2011</v>
      </c>
      <c r="B1851" s="5" t="str">
        <f>+C1851&amp;"-"&amp;E1851</f>
        <v>DI-Municipio Autónomo Libertador</v>
      </c>
      <c r="C1851" s="5" t="str">
        <f>+MID(D1851,1,2)</f>
        <v>DI</v>
      </c>
      <c r="D1851" s="25" t="s">
        <v>106</v>
      </c>
      <c r="E1851" s="64" t="s">
        <v>756</v>
      </c>
      <c r="F1851" s="2">
        <v>0</v>
      </c>
      <c r="G1851" s="2">
        <v>0</v>
      </c>
      <c r="H1851" s="2">
        <v>0</v>
      </c>
      <c r="J1851" s="2"/>
      <c r="K1851" s="2"/>
      <c r="L1851" s="2"/>
      <c r="M1851" s="2"/>
      <c r="N1851" s="2"/>
      <c r="O1851" s="2"/>
      <c r="P1851" s="2"/>
    </row>
    <row r="1852" spans="1:16" x14ac:dyDescent="0.4">
      <c r="A1852">
        <v>2011</v>
      </c>
      <c r="B1852" s="2" t="s">
        <v>335</v>
      </c>
      <c r="C1852" s="2" t="s">
        <v>706</v>
      </c>
      <c r="D1852" s="2" t="s">
        <v>106</v>
      </c>
      <c r="E1852" s="67" t="s">
        <v>105</v>
      </c>
      <c r="F1852" s="12">
        <v>113</v>
      </c>
      <c r="G1852" s="12">
        <v>68</v>
      </c>
      <c r="H1852" s="12">
        <v>45</v>
      </c>
      <c r="J1852" s="2"/>
      <c r="K1852" s="2"/>
      <c r="L1852" s="2"/>
      <c r="M1852" s="2"/>
      <c r="N1852" s="2"/>
      <c r="O1852" s="2"/>
      <c r="P1852" s="2"/>
    </row>
    <row r="1853" spans="1:16" x14ac:dyDescent="0.4">
      <c r="A1853">
        <v>2011</v>
      </c>
      <c r="B1853" s="2" t="s">
        <v>336</v>
      </c>
      <c r="C1853" s="2" t="s">
        <v>706</v>
      </c>
      <c r="D1853" s="2" t="s">
        <v>106</v>
      </c>
      <c r="E1853" s="67" t="s">
        <v>107</v>
      </c>
      <c r="F1853" s="12">
        <v>479</v>
      </c>
      <c r="G1853" s="12">
        <v>331</v>
      </c>
      <c r="H1853" s="12">
        <v>148</v>
      </c>
      <c r="J1853" s="2"/>
      <c r="K1853" s="2"/>
      <c r="L1853" s="2"/>
      <c r="M1853" s="2"/>
      <c r="N1853" s="2"/>
      <c r="O1853" s="2"/>
      <c r="P1853" s="2"/>
    </row>
    <row r="1854" spans="1:16" x14ac:dyDescent="0.4">
      <c r="A1854">
        <v>2011</v>
      </c>
      <c r="B1854" s="2" t="s">
        <v>337</v>
      </c>
      <c r="C1854" s="2" t="s">
        <v>706</v>
      </c>
      <c r="D1854" s="2" t="s">
        <v>106</v>
      </c>
      <c r="E1854" s="67" t="s">
        <v>108</v>
      </c>
      <c r="F1854" s="12">
        <v>257</v>
      </c>
      <c r="G1854" s="12">
        <v>110</v>
      </c>
      <c r="H1854" s="12">
        <v>147</v>
      </c>
      <c r="J1854" s="2"/>
      <c r="K1854" s="2"/>
      <c r="L1854" s="2"/>
      <c r="M1854" s="2"/>
      <c r="N1854" s="2"/>
      <c r="O1854" s="2"/>
      <c r="P1854" s="2"/>
    </row>
    <row r="1855" spans="1:16" x14ac:dyDescent="0.4">
      <c r="A1855">
        <v>2011</v>
      </c>
      <c r="B1855" s="2" t="s">
        <v>338</v>
      </c>
      <c r="C1855" s="2" t="s">
        <v>706</v>
      </c>
      <c r="D1855" s="2" t="s">
        <v>106</v>
      </c>
      <c r="E1855" s="67" t="s">
        <v>109</v>
      </c>
      <c r="F1855" s="12">
        <v>464</v>
      </c>
      <c r="G1855" s="12">
        <v>264</v>
      </c>
      <c r="H1855" s="12">
        <v>200</v>
      </c>
      <c r="J1855" s="2"/>
      <c r="K1855" s="2"/>
      <c r="L1855" s="2"/>
      <c r="M1855" s="2"/>
      <c r="N1855" s="2"/>
      <c r="O1855" s="2"/>
      <c r="P1855" s="2"/>
    </row>
    <row r="1856" spans="1:16" x14ac:dyDescent="0.4">
      <c r="A1856">
        <v>2011</v>
      </c>
      <c r="B1856" s="2" t="s">
        <v>339</v>
      </c>
      <c r="C1856" s="2" t="s">
        <v>706</v>
      </c>
      <c r="D1856" s="2" t="s">
        <v>106</v>
      </c>
      <c r="E1856" s="67" t="s">
        <v>110</v>
      </c>
      <c r="F1856" s="12">
        <v>39</v>
      </c>
      <c r="G1856" s="12">
        <v>26</v>
      </c>
      <c r="H1856" s="12">
        <v>13</v>
      </c>
      <c r="J1856" s="2"/>
      <c r="K1856" s="2"/>
      <c r="L1856" s="2"/>
      <c r="M1856" s="2"/>
      <c r="N1856" s="2"/>
      <c r="O1856" s="2"/>
      <c r="P1856" s="2"/>
    </row>
    <row r="1857" spans="1:16" x14ac:dyDescent="0.4">
      <c r="A1857">
        <v>2011</v>
      </c>
      <c r="B1857" s="2" t="s">
        <v>340</v>
      </c>
      <c r="C1857" s="2" t="s">
        <v>706</v>
      </c>
      <c r="D1857" s="2" t="s">
        <v>106</v>
      </c>
      <c r="E1857" s="67" t="s">
        <v>111</v>
      </c>
      <c r="F1857" s="12">
        <v>436</v>
      </c>
      <c r="G1857" s="12">
        <v>312</v>
      </c>
      <c r="H1857" s="12">
        <v>124</v>
      </c>
      <c r="J1857" s="2"/>
      <c r="K1857" s="2"/>
      <c r="L1857" s="2"/>
      <c r="M1857" s="2"/>
      <c r="N1857" s="2"/>
      <c r="O1857" s="2"/>
      <c r="P1857" s="2"/>
    </row>
    <row r="1858" spans="1:16" x14ac:dyDescent="0.4">
      <c r="A1858">
        <v>2011</v>
      </c>
      <c r="B1858" s="2" t="s">
        <v>341</v>
      </c>
      <c r="C1858" s="2" t="s">
        <v>706</v>
      </c>
      <c r="D1858" s="2" t="s">
        <v>106</v>
      </c>
      <c r="E1858" s="67" t="s">
        <v>112</v>
      </c>
      <c r="F1858" s="12">
        <v>166</v>
      </c>
      <c r="G1858" s="12">
        <v>120</v>
      </c>
      <c r="H1858" s="12">
        <v>46</v>
      </c>
      <c r="J1858" s="2"/>
      <c r="K1858" s="2"/>
      <c r="L1858" s="2"/>
      <c r="M1858" s="2"/>
      <c r="N1858" s="2"/>
      <c r="O1858" s="2"/>
      <c r="P1858" s="2"/>
    </row>
    <row r="1859" spans="1:16" x14ac:dyDescent="0.4">
      <c r="A1859">
        <v>2011</v>
      </c>
      <c r="B1859" s="2" t="s">
        <v>342</v>
      </c>
      <c r="C1859" s="2" t="s">
        <v>706</v>
      </c>
      <c r="D1859" s="2" t="s">
        <v>106</v>
      </c>
      <c r="E1859" s="67" t="s">
        <v>113</v>
      </c>
      <c r="F1859" s="12">
        <v>2779</v>
      </c>
      <c r="G1859" s="12">
        <v>1792</v>
      </c>
      <c r="H1859" s="12">
        <v>987</v>
      </c>
      <c r="J1859" s="2"/>
      <c r="K1859" s="2"/>
      <c r="L1859" s="2"/>
      <c r="M1859" s="2"/>
      <c r="N1859" s="2"/>
      <c r="O1859" s="2"/>
      <c r="P1859" s="2"/>
    </row>
    <row r="1860" spans="1:16" x14ac:dyDescent="0.4">
      <c r="A1860">
        <v>2011</v>
      </c>
      <c r="B1860" s="2" t="s">
        <v>343</v>
      </c>
      <c r="C1860" s="2" t="s">
        <v>706</v>
      </c>
      <c r="D1860" s="2" t="s">
        <v>106</v>
      </c>
      <c r="E1860" s="67" t="s">
        <v>114</v>
      </c>
      <c r="F1860" s="12">
        <v>774</v>
      </c>
      <c r="G1860" s="12">
        <v>401</v>
      </c>
      <c r="H1860" s="12">
        <v>373</v>
      </c>
      <c r="J1860" s="2"/>
      <c r="K1860" s="2"/>
      <c r="L1860" s="2"/>
      <c r="M1860" s="2"/>
      <c r="N1860" s="2"/>
      <c r="O1860" s="2"/>
      <c r="P1860" s="2"/>
    </row>
    <row r="1861" spans="1:16" x14ac:dyDescent="0.4">
      <c r="A1861">
        <v>2011</v>
      </c>
      <c r="B1861" s="2" t="s">
        <v>344</v>
      </c>
      <c r="C1861" s="2" t="s">
        <v>706</v>
      </c>
      <c r="D1861" s="2" t="s">
        <v>106</v>
      </c>
      <c r="E1861" s="67" t="s">
        <v>115</v>
      </c>
      <c r="F1861" s="12">
        <v>413</v>
      </c>
      <c r="G1861" s="12">
        <v>258</v>
      </c>
      <c r="H1861" s="12">
        <v>155</v>
      </c>
      <c r="J1861" s="2"/>
      <c r="K1861" s="2"/>
      <c r="L1861" s="2"/>
      <c r="M1861" s="2"/>
      <c r="N1861" s="2"/>
      <c r="O1861" s="2"/>
      <c r="P1861" s="2"/>
    </row>
    <row r="1862" spans="1:16" x14ac:dyDescent="0.4">
      <c r="A1862">
        <v>2011</v>
      </c>
      <c r="B1862" s="2" t="s">
        <v>345</v>
      </c>
      <c r="C1862" s="2" t="s">
        <v>706</v>
      </c>
      <c r="D1862" s="2" t="s">
        <v>106</v>
      </c>
      <c r="E1862" s="67" t="s">
        <v>116</v>
      </c>
      <c r="F1862" s="12">
        <v>508</v>
      </c>
      <c r="G1862" s="12">
        <v>348</v>
      </c>
      <c r="H1862" s="12">
        <v>160</v>
      </c>
      <c r="J1862" s="2"/>
      <c r="K1862" s="2"/>
      <c r="L1862" s="2"/>
      <c r="M1862" s="2"/>
      <c r="N1862" s="2"/>
      <c r="O1862" s="2"/>
      <c r="P1862" s="2"/>
    </row>
    <row r="1863" spans="1:16" x14ac:dyDescent="0.4">
      <c r="A1863">
        <v>2011</v>
      </c>
      <c r="B1863" s="2" t="s">
        <v>346</v>
      </c>
      <c r="C1863" s="2" t="s">
        <v>706</v>
      </c>
      <c r="D1863" s="2" t="s">
        <v>106</v>
      </c>
      <c r="E1863" s="67" t="s">
        <v>117</v>
      </c>
      <c r="F1863" s="12">
        <v>464</v>
      </c>
      <c r="G1863" s="12">
        <v>274</v>
      </c>
      <c r="H1863" s="12">
        <v>190</v>
      </c>
      <c r="J1863" s="2"/>
      <c r="K1863" s="2"/>
      <c r="L1863" s="2"/>
      <c r="M1863" s="2"/>
      <c r="N1863" s="2"/>
      <c r="O1863" s="2"/>
      <c r="P1863" s="2"/>
    </row>
    <row r="1864" spans="1:16" x14ac:dyDescent="0.4">
      <c r="A1864">
        <v>2011</v>
      </c>
      <c r="B1864" s="2" t="s">
        <v>347</v>
      </c>
      <c r="C1864" s="2" t="s">
        <v>706</v>
      </c>
      <c r="D1864" s="2" t="s">
        <v>106</v>
      </c>
      <c r="E1864" s="67" t="s">
        <v>118</v>
      </c>
      <c r="F1864" s="12">
        <v>157</v>
      </c>
      <c r="G1864" s="12">
        <v>108</v>
      </c>
      <c r="H1864" s="12">
        <v>49</v>
      </c>
      <c r="J1864" s="2"/>
      <c r="K1864" s="2"/>
      <c r="L1864" s="2"/>
      <c r="M1864" s="2"/>
      <c r="N1864" s="2"/>
      <c r="O1864" s="2"/>
      <c r="P1864" s="2"/>
    </row>
    <row r="1865" spans="1:16" x14ac:dyDescent="0.4">
      <c r="A1865">
        <v>2011</v>
      </c>
      <c r="B1865" s="2" t="s">
        <v>348</v>
      </c>
      <c r="C1865" s="2" t="s">
        <v>706</v>
      </c>
      <c r="D1865" s="2" t="s">
        <v>106</v>
      </c>
      <c r="E1865" s="67" t="s">
        <v>119</v>
      </c>
      <c r="F1865" s="12">
        <v>147</v>
      </c>
      <c r="G1865" s="12">
        <v>106</v>
      </c>
      <c r="H1865" s="12">
        <v>41</v>
      </c>
      <c r="J1865" s="2"/>
      <c r="K1865" s="2"/>
      <c r="L1865" s="2"/>
      <c r="M1865" s="2"/>
      <c r="N1865" s="2"/>
      <c r="O1865" s="2"/>
      <c r="P1865" s="2"/>
    </row>
    <row r="1866" spans="1:16" x14ac:dyDescent="0.4">
      <c r="A1866">
        <v>2011</v>
      </c>
      <c r="B1866" s="2" t="s">
        <v>349</v>
      </c>
      <c r="C1866" s="2" t="s">
        <v>706</v>
      </c>
      <c r="D1866" s="2" t="s">
        <v>106</v>
      </c>
      <c r="E1866" s="67" t="s">
        <v>120</v>
      </c>
      <c r="F1866" s="12">
        <v>1114</v>
      </c>
      <c r="G1866" s="12">
        <v>592</v>
      </c>
      <c r="H1866" s="12">
        <v>522</v>
      </c>
      <c r="J1866" s="2"/>
      <c r="K1866" s="2"/>
      <c r="L1866" s="2"/>
      <c r="M1866" s="2"/>
      <c r="N1866" s="2"/>
      <c r="O1866" s="2"/>
      <c r="P1866" s="2"/>
    </row>
    <row r="1867" spans="1:16" x14ac:dyDescent="0.4">
      <c r="A1867">
        <v>2011</v>
      </c>
      <c r="B1867" s="2" t="s">
        <v>350</v>
      </c>
      <c r="C1867" s="2" t="s">
        <v>706</v>
      </c>
      <c r="D1867" s="2" t="s">
        <v>106</v>
      </c>
      <c r="E1867" s="67" t="s">
        <v>121</v>
      </c>
      <c r="F1867" s="12">
        <v>1023</v>
      </c>
      <c r="G1867" s="12">
        <v>528</v>
      </c>
      <c r="H1867" s="12">
        <v>495</v>
      </c>
      <c r="J1867" s="2"/>
      <c r="K1867" s="2"/>
      <c r="L1867" s="2"/>
      <c r="M1867" s="2"/>
      <c r="N1867" s="2"/>
      <c r="O1867" s="2"/>
      <c r="P1867" s="2"/>
    </row>
    <row r="1868" spans="1:16" x14ac:dyDescent="0.4">
      <c r="A1868">
        <v>2011</v>
      </c>
      <c r="B1868" s="2" t="s">
        <v>351</v>
      </c>
      <c r="C1868" s="2" t="s">
        <v>706</v>
      </c>
      <c r="D1868" s="2" t="s">
        <v>106</v>
      </c>
      <c r="E1868" s="67" t="s">
        <v>122</v>
      </c>
      <c r="F1868" s="12">
        <v>2102</v>
      </c>
      <c r="G1868" s="12">
        <v>1198</v>
      </c>
      <c r="H1868" s="12">
        <v>904</v>
      </c>
      <c r="J1868" s="2"/>
      <c r="K1868" s="2"/>
      <c r="L1868" s="2"/>
      <c r="M1868" s="2"/>
      <c r="N1868" s="2"/>
      <c r="O1868" s="2"/>
      <c r="P1868" s="2"/>
    </row>
    <row r="1869" spans="1:16" x14ac:dyDescent="0.4">
      <c r="A1869">
        <v>2011</v>
      </c>
      <c r="B1869" s="2" t="s">
        <v>352</v>
      </c>
      <c r="C1869" s="2" t="s">
        <v>706</v>
      </c>
      <c r="D1869" s="2" t="s">
        <v>106</v>
      </c>
      <c r="E1869" s="67" t="s">
        <v>123</v>
      </c>
      <c r="F1869" s="12">
        <v>2385</v>
      </c>
      <c r="G1869" s="12">
        <v>1324</v>
      </c>
      <c r="H1869" s="12">
        <v>1061</v>
      </c>
      <c r="J1869" s="2"/>
      <c r="K1869" s="2"/>
      <c r="L1869" s="2"/>
      <c r="M1869" s="2"/>
      <c r="N1869" s="2"/>
      <c r="O1869" s="2"/>
      <c r="P1869" s="2"/>
    </row>
    <row r="1870" spans="1:16" x14ac:dyDescent="0.4">
      <c r="A1870">
        <v>2011</v>
      </c>
      <c r="B1870" s="7" t="s">
        <v>353</v>
      </c>
      <c r="C1870" s="7" t="s">
        <v>706</v>
      </c>
      <c r="D1870" s="7" t="s">
        <v>106</v>
      </c>
      <c r="E1870" s="69" t="s">
        <v>124</v>
      </c>
      <c r="F1870" s="11">
        <v>716</v>
      </c>
      <c r="G1870" s="11">
        <v>400</v>
      </c>
      <c r="H1870" s="12">
        <v>316</v>
      </c>
      <c r="J1870" s="2"/>
      <c r="K1870" s="2"/>
      <c r="L1870" s="2"/>
      <c r="M1870" s="2"/>
      <c r="N1870" s="2"/>
      <c r="O1870" s="2"/>
      <c r="P1870" s="2"/>
    </row>
    <row r="1871" spans="1:16" x14ac:dyDescent="0.4">
      <c r="A1871">
        <v>2011</v>
      </c>
      <c r="B1871" s="2" t="s">
        <v>354</v>
      </c>
      <c r="C1871" s="2" t="s">
        <v>706</v>
      </c>
      <c r="D1871" s="2" t="s">
        <v>106</v>
      </c>
      <c r="E1871" s="67" t="s">
        <v>125</v>
      </c>
      <c r="F1871" s="12">
        <v>56</v>
      </c>
      <c r="G1871" s="12">
        <v>33</v>
      </c>
      <c r="H1871" s="12">
        <v>23</v>
      </c>
      <c r="J1871" s="2"/>
      <c r="K1871" s="2"/>
      <c r="L1871" s="2"/>
      <c r="M1871" s="2"/>
      <c r="N1871" s="2"/>
      <c r="O1871" s="2"/>
      <c r="P1871" s="2"/>
    </row>
    <row r="1872" spans="1:16" x14ac:dyDescent="0.4">
      <c r="A1872">
        <v>2011</v>
      </c>
      <c r="B1872" s="2" t="s">
        <v>355</v>
      </c>
      <c r="C1872" s="2" t="s">
        <v>706</v>
      </c>
      <c r="D1872" s="2" t="s">
        <v>106</v>
      </c>
      <c r="E1872" s="67" t="s">
        <v>126</v>
      </c>
      <c r="F1872" s="12">
        <v>1503</v>
      </c>
      <c r="G1872" s="12">
        <v>1021</v>
      </c>
      <c r="H1872" s="12">
        <v>482</v>
      </c>
      <c r="J1872" s="2"/>
      <c r="K1872" s="2"/>
      <c r="L1872" s="2"/>
      <c r="M1872" s="2"/>
      <c r="N1872" s="2"/>
      <c r="O1872" s="2"/>
      <c r="P1872" s="2"/>
    </row>
    <row r="1873" spans="1:16" x14ac:dyDescent="0.4">
      <c r="A1873">
        <v>2011</v>
      </c>
      <c r="B1873" s="2" t="s">
        <v>356</v>
      </c>
      <c r="C1873" s="2" t="s">
        <v>706</v>
      </c>
      <c r="D1873" s="2" t="s">
        <v>106</v>
      </c>
      <c r="E1873" s="67" t="s">
        <v>127</v>
      </c>
      <c r="F1873" s="12">
        <v>354</v>
      </c>
      <c r="G1873" s="12">
        <v>230</v>
      </c>
      <c r="H1873" s="12">
        <v>124</v>
      </c>
      <c r="J1873" s="2"/>
      <c r="K1873" s="2"/>
      <c r="L1873" s="2"/>
      <c r="M1873" s="2"/>
      <c r="N1873" s="2"/>
      <c r="O1873" s="2"/>
      <c r="P1873" s="2"/>
    </row>
    <row r="1874" spans="1:16" x14ac:dyDescent="0.4">
      <c r="A1874">
        <v>2011</v>
      </c>
      <c r="B1874" s="2" t="s">
        <v>357</v>
      </c>
      <c r="C1874" s="2" t="s">
        <v>707</v>
      </c>
      <c r="D1874" s="2" t="s">
        <v>1</v>
      </c>
      <c r="E1874" s="67" t="s">
        <v>0</v>
      </c>
      <c r="F1874" s="12">
        <v>12</v>
      </c>
      <c r="G1874" s="12">
        <v>4</v>
      </c>
      <c r="H1874" s="12">
        <v>8</v>
      </c>
      <c r="J1874" s="2"/>
      <c r="K1874" s="2"/>
      <c r="L1874" s="2"/>
      <c r="M1874" s="2"/>
      <c r="N1874" s="2"/>
      <c r="O1874" s="2"/>
      <c r="P1874" s="2"/>
    </row>
    <row r="1875" spans="1:16" x14ac:dyDescent="0.4">
      <c r="A1875">
        <v>2011</v>
      </c>
      <c r="B1875" s="2" t="s">
        <v>358</v>
      </c>
      <c r="C1875" s="2" t="s">
        <v>707</v>
      </c>
      <c r="D1875" s="2" t="s">
        <v>1</v>
      </c>
      <c r="E1875" s="67" t="s">
        <v>2</v>
      </c>
      <c r="F1875" s="12">
        <v>8</v>
      </c>
      <c r="G1875" s="12">
        <v>6</v>
      </c>
      <c r="H1875" s="12">
        <v>2</v>
      </c>
      <c r="J1875" s="2"/>
      <c r="K1875" s="2"/>
      <c r="L1875" s="2"/>
      <c r="M1875" s="2"/>
      <c r="N1875" s="2"/>
      <c r="O1875" s="2"/>
      <c r="P1875" s="2"/>
    </row>
    <row r="1876" spans="1:16" x14ac:dyDescent="0.4">
      <c r="A1876">
        <v>2011</v>
      </c>
      <c r="B1876" s="2" t="s">
        <v>359</v>
      </c>
      <c r="C1876" s="2" t="s">
        <v>707</v>
      </c>
      <c r="D1876" s="2" t="s">
        <v>1</v>
      </c>
      <c r="E1876" s="67" t="s">
        <v>3</v>
      </c>
      <c r="F1876" s="12">
        <v>517</v>
      </c>
      <c r="G1876" s="12">
        <v>303</v>
      </c>
      <c r="H1876" s="12">
        <v>214</v>
      </c>
      <c r="J1876" s="2"/>
      <c r="K1876" s="2"/>
      <c r="L1876" s="2"/>
      <c r="M1876" s="2"/>
      <c r="N1876" s="2"/>
      <c r="O1876" s="2"/>
      <c r="P1876" s="2"/>
    </row>
    <row r="1877" spans="1:16" x14ac:dyDescent="0.4">
      <c r="A1877">
        <v>2011</v>
      </c>
      <c r="B1877" s="2" t="s">
        <v>360</v>
      </c>
      <c r="C1877" s="2" t="s">
        <v>707</v>
      </c>
      <c r="D1877" s="2" t="s">
        <v>1</v>
      </c>
      <c r="E1877" s="67" t="s">
        <v>4</v>
      </c>
      <c r="F1877" s="12">
        <v>4</v>
      </c>
      <c r="G1877" s="12">
        <v>3</v>
      </c>
      <c r="H1877" s="12">
        <v>1</v>
      </c>
      <c r="J1877" s="2"/>
      <c r="K1877" s="2"/>
      <c r="L1877" s="2"/>
      <c r="M1877" s="2"/>
      <c r="N1877" s="2"/>
      <c r="O1877" s="2"/>
      <c r="P1877" s="2"/>
    </row>
    <row r="1878" spans="1:16" x14ac:dyDescent="0.4">
      <c r="A1878">
        <v>2011</v>
      </c>
      <c r="B1878" s="2" t="s">
        <v>361</v>
      </c>
      <c r="C1878" s="2" t="s">
        <v>707</v>
      </c>
      <c r="D1878" s="2" t="s">
        <v>1</v>
      </c>
      <c r="E1878" s="67" t="s">
        <v>5</v>
      </c>
      <c r="F1878" s="12">
        <v>4</v>
      </c>
      <c r="G1878" s="12">
        <v>1</v>
      </c>
      <c r="H1878" s="12">
        <v>3</v>
      </c>
      <c r="J1878" s="2"/>
      <c r="K1878" s="2"/>
      <c r="L1878" s="2"/>
      <c r="M1878" s="2"/>
      <c r="N1878" s="2"/>
      <c r="O1878" s="2"/>
      <c r="P1878" s="2"/>
    </row>
    <row r="1879" spans="1:16" x14ac:dyDescent="0.4">
      <c r="A1879">
        <v>2011</v>
      </c>
      <c r="B1879" s="2" t="s">
        <v>732</v>
      </c>
      <c r="C1879" s="2" t="s">
        <v>707</v>
      </c>
      <c r="D1879" s="2" t="s">
        <v>1</v>
      </c>
      <c r="E1879" s="67" t="s">
        <v>330</v>
      </c>
      <c r="F1879" s="12">
        <v>0</v>
      </c>
      <c r="G1879" s="12">
        <v>0</v>
      </c>
      <c r="H1879" s="12">
        <v>0</v>
      </c>
      <c r="J1879" s="2"/>
      <c r="K1879" s="2"/>
      <c r="L1879" s="2"/>
      <c r="M1879" s="2"/>
      <c r="N1879" s="2"/>
      <c r="O1879" s="2"/>
      <c r="P1879" s="2"/>
    </row>
    <row r="1880" spans="1:16" x14ac:dyDescent="0.4">
      <c r="A1880">
        <v>2011</v>
      </c>
      <c r="B1880" s="2" t="s">
        <v>730</v>
      </c>
      <c r="C1880" s="2" t="s">
        <v>707</v>
      </c>
      <c r="D1880" s="2" t="s">
        <v>1</v>
      </c>
      <c r="E1880" s="67" t="s">
        <v>328</v>
      </c>
      <c r="F1880" s="12">
        <v>4</v>
      </c>
      <c r="G1880" s="12">
        <v>4</v>
      </c>
      <c r="H1880" s="12" t="s">
        <v>142</v>
      </c>
      <c r="J1880" s="2"/>
      <c r="K1880" s="2"/>
      <c r="L1880" s="2"/>
      <c r="M1880" s="2"/>
      <c r="N1880" s="2"/>
      <c r="O1880" s="2"/>
      <c r="P1880" s="2"/>
    </row>
    <row r="1881" spans="1:16" x14ac:dyDescent="0.4">
      <c r="A1881">
        <v>2011</v>
      </c>
      <c r="B1881" s="2" t="s">
        <v>362</v>
      </c>
      <c r="C1881" s="2" t="s">
        <v>708</v>
      </c>
      <c r="D1881" s="2" t="s">
        <v>7</v>
      </c>
      <c r="E1881" s="67" t="s">
        <v>6</v>
      </c>
      <c r="F1881" s="12">
        <v>348</v>
      </c>
      <c r="G1881" s="12">
        <v>203</v>
      </c>
      <c r="H1881" s="12">
        <v>145</v>
      </c>
      <c r="J1881" s="2"/>
      <c r="K1881" s="2"/>
      <c r="L1881" s="2"/>
      <c r="M1881" s="2"/>
      <c r="N1881" s="2"/>
      <c r="O1881" s="2"/>
      <c r="P1881" s="2"/>
    </row>
    <row r="1882" spans="1:16" x14ac:dyDescent="0.4">
      <c r="A1882">
        <v>2011</v>
      </c>
      <c r="B1882" s="2" t="s">
        <v>363</v>
      </c>
      <c r="C1882" s="2" t="s">
        <v>708</v>
      </c>
      <c r="D1882" s="2" t="s">
        <v>7</v>
      </c>
      <c r="E1882" s="67" t="s">
        <v>8</v>
      </c>
      <c r="F1882" s="12">
        <v>72</v>
      </c>
      <c r="G1882" s="12">
        <v>44</v>
      </c>
      <c r="H1882" s="12">
        <v>28</v>
      </c>
      <c r="J1882" s="2"/>
      <c r="K1882" s="2"/>
      <c r="L1882" s="2"/>
      <c r="M1882" s="2"/>
      <c r="N1882" s="2"/>
      <c r="O1882" s="2"/>
      <c r="P1882" s="2"/>
    </row>
    <row r="1883" spans="1:16" x14ac:dyDescent="0.4">
      <c r="A1883">
        <v>2011</v>
      </c>
      <c r="B1883" s="2" t="s">
        <v>364</v>
      </c>
      <c r="C1883" s="2" t="s">
        <v>708</v>
      </c>
      <c r="D1883" s="2" t="s">
        <v>7</v>
      </c>
      <c r="E1883" s="67" t="s">
        <v>9</v>
      </c>
      <c r="F1883" s="12">
        <v>183</v>
      </c>
      <c r="G1883" s="12">
        <v>102</v>
      </c>
      <c r="H1883" s="12">
        <v>81</v>
      </c>
      <c r="J1883" s="2"/>
      <c r="K1883" s="2"/>
      <c r="L1883" s="2"/>
      <c r="M1883" s="2"/>
      <c r="N1883" s="2"/>
      <c r="O1883" s="2"/>
      <c r="P1883" s="2"/>
    </row>
    <row r="1884" spans="1:16" x14ac:dyDescent="0.4">
      <c r="A1884">
        <v>2011</v>
      </c>
      <c r="B1884" s="2" t="s">
        <v>365</v>
      </c>
      <c r="C1884" s="2" t="s">
        <v>708</v>
      </c>
      <c r="D1884" s="2" t="s">
        <v>7</v>
      </c>
      <c r="E1884" s="67" t="s">
        <v>10</v>
      </c>
      <c r="F1884" s="12">
        <v>56</v>
      </c>
      <c r="G1884" s="12">
        <v>35</v>
      </c>
      <c r="H1884" s="12">
        <v>21</v>
      </c>
      <c r="J1884" s="2"/>
      <c r="K1884" s="2"/>
      <c r="L1884" s="2"/>
      <c r="M1884" s="2"/>
      <c r="N1884" s="2"/>
      <c r="O1884" s="2"/>
      <c r="P1884" s="2"/>
    </row>
    <row r="1885" spans="1:16" x14ac:dyDescent="0.4">
      <c r="A1885">
        <v>2011</v>
      </c>
      <c r="B1885" s="2" t="s">
        <v>366</v>
      </c>
      <c r="C1885" s="2" t="s">
        <v>708</v>
      </c>
      <c r="D1885" s="2" t="s">
        <v>7</v>
      </c>
      <c r="E1885" s="67" t="s">
        <v>11</v>
      </c>
      <c r="F1885" s="12">
        <v>101</v>
      </c>
      <c r="G1885" s="12">
        <v>53</v>
      </c>
      <c r="H1885" s="12">
        <v>48</v>
      </c>
      <c r="J1885" s="2"/>
      <c r="K1885" s="2"/>
      <c r="L1885" s="2"/>
      <c r="M1885" s="2"/>
      <c r="N1885" s="2"/>
      <c r="O1885" s="2"/>
      <c r="P1885" s="2"/>
    </row>
    <row r="1886" spans="1:16" x14ac:dyDescent="0.4">
      <c r="A1886">
        <v>2011</v>
      </c>
      <c r="B1886" s="2" t="s">
        <v>367</v>
      </c>
      <c r="C1886" s="2" t="s">
        <v>708</v>
      </c>
      <c r="D1886" s="2" t="s">
        <v>7</v>
      </c>
      <c r="E1886" s="67" t="s">
        <v>12</v>
      </c>
      <c r="F1886" s="12">
        <v>45</v>
      </c>
      <c r="G1886" s="12">
        <v>23</v>
      </c>
      <c r="H1886" s="12">
        <v>22</v>
      </c>
      <c r="J1886" s="2"/>
      <c r="K1886" s="2"/>
      <c r="L1886" s="2"/>
      <c r="M1886" s="2"/>
      <c r="N1886" s="2"/>
      <c r="O1886" s="2"/>
      <c r="P1886" s="2"/>
    </row>
    <row r="1887" spans="1:16" x14ac:dyDescent="0.4">
      <c r="A1887">
        <v>2011</v>
      </c>
      <c r="B1887" s="2" t="s">
        <v>368</v>
      </c>
      <c r="C1887" s="2" t="s">
        <v>708</v>
      </c>
      <c r="D1887" s="2" t="s">
        <v>7</v>
      </c>
      <c r="E1887" s="67" t="s">
        <v>13</v>
      </c>
      <c r="F1887" s="12">
        <v>76</v>
      </c>
      <c r="G1887" s="12">
        <v>51</v>
      </c>
      <c r="H1887" s="12">
        <v>25</v>
      </c>
      <c r="J1887" s="2"/>
      <c r="K1887" s="2"/>
      <c r="L1887" s="2"/>
      <c r="M1887" s="2"/>
      <c r="N1887" s="2"/>
      <c r="O1887" s="2"/>
      <c r="P1887" s="2"/>
    </row>
    <row r="1888" spans="1:16" x14ac:dyDescent="0.4">
      <c r="A1888">
        <v>2011</v>
      </c>
      <c r="B1888" s="2" t="s">
        <v>369</v>
      </c>
      <c r="C1888" s="2" t="s">
        <v>708</v>
      </c>
      <c r="D1888" s="2" t="s">
        <v>7</v>
      </c>
      <c r="E1888" s="67" t="s">
        <v>14</v>
      </c>
      <c r="F1888" s="12">
        <v>96</v>
      </c>
      <c r="G1888" s="12">
        <v>67</v>
      </c>
      <c r="H1888" s="12">
        <v>29</v>
      </c>
      <c r="J1888" s="2"/>
      <c r="K1888" s="2"/>
      <c r="L1888" s="2"/>
      <c r="M1888" s="2"/>
      <c r="N1888" s="2"/>
      <c r="O1888" s="2"/>
      <c r="P1888" s="2"/>
    </row>
    <row r="1889" spans="1:16" x14ac:dyDescent="0.4">
      <c r="A1889">
        <v>2011</v>
      </c>
      <c r="B1889" s="2" t="s">
        <v>370</v>
      </c>
      <c r="C1889" s="2" t="s">
        <v>708</v>
      </c>
      <c r="D1889" s="2" t="s">
        <v>7</v>
      </c>
      <c r="E1889" s="67" t="s">
        <v>15</v>
      </c>
      <c r="F1889" s="12">
        <v>12</v>
      </c>
      <c r="G1889" s="12">
        <v>8</v>
      </c>
      <c r="H1889" s="12">
        <v>4</v>
      </c>
      <c r="J1889" s="2"/>
      <c r="K1889" s="2"/>
      <c r="L1889" s="2"/>
      <c r="M1889" s="2"/>
      <c r="N1889" s="2"/>
      <c r="O1889" s="2"/>
      <c r="P1889" s="2"/>
    </row>
    <row r="1890" spans="1:16" x14ac:dyDescent="0.4">
      <c r="A1890">
        <v>2011</v>
      </c>
      <c r="B1890" s="2" t="s">
        <v>371</v>
      </c>
      <c r="C1890" s="2" t="s">
        <v>708</v>
      </c>
      <c r="D1890" s="2" t="s">
        <v>7</v>
      </c>
      <c r="E1890" s="67" t="s">
        <v>16</v>
      </c>
      <c r="F1890" s="12">
        <v>660</v>
      </c>
      <c r="G1890" s="12">
        <v>381</v>
      </c>
      <c r="H1890" s="12">
        <v>279</v>
      </c>
      <c r="J1890" s="2"/>
      <c r="K1890" s="2"/>
      <c r="L1890" s="2"/>
      <c r="M1890" s="2"/>
      <c r="N1890" s="2"/>
      <c r="O1890" s="2"/>
      <c r="P1890" s="2"/>
    </row>
    <row r="1891" spans="1:16" x14ac:dyDescent="0.4">
      <c r="A1891">
        <v>2011</v>
      </c>
      <c r="B1891" s="2" t="s">
        <v>372</v>
      </c>
      <c r="C1891" s="2" t="s">
        <v>708</v>
      </c>
      <c r="D1891" s="2" t="s">
        <v>7</v>
      </c>
      <c r="E1891" s="67" t="s">
        <v>17</v>
      </c>
      <c r="F1891" s="12">
        <v>32</v>
      </c>
      <c r="G1891" s="12">
        <v>18</v>
      </c>
      <c r="H1891" s="12">
        <v>14</v>
      </c>
      <c r="J1891" s="2"/>
      <c r="K1891" s="2"/>
      <c r="L1891" s="2"/>
      <c r="M1891" s="2"/>
      <c r="N1891" s="2"/>
      <c r="O1891" s="2"/>
      <c r="P1891" s="2"/>
    </row>
    <row r="1892" spans="1:16" x14ac:dyDescent="0.4">
      <c r="A1892">
        <v>2011</v>
      </c>
      <c r="B1892" s="2" t="s">
        <v>373</v>
      </c>
      <c r="C1892" s="2" t="s">
        <v>708</v>
      </c>
      <c r="D1892" s="2" t="s">
        <v>7</v>
      </c>
      <c r="E1892" s="67" t="s">
        <v>18</v>
      </c>
      <c r="F1892" s="12">
        <v>46</v>
      </c>
      <c r="G1892" s="12">
        <v>31</v>
      </c>
      <c r="H1892" s="12">
        <v>15</v>
      </c>
      <c r="J1892" s="2"/>
      <c r="K1892" s="2"/>
      <c r="L1892" s="2"/>
      <c r="M1892" s="2"/>
      <c r="N1892" s="2"/>
      <c r="O1892" s="2"/>
      <c r="P1892" s="2"/>
    </row>
    <row r="1893" spans="1:16" x14ac:dyDescent="0.4">
      <c r="A1893">
        <v>2011</v>
      </c>
      <c r="B1893" s="2" t="s">
        <v>374</v>
      </c>
      <c r="C1893" s="2" t="s">
        <v>708</v>
      </c>
      <c r="D1893" s="2" t="s">
        <v>7</v>
      </c>
      <c r="E1893" s="67" t="s">
        <v>19</v>
      </c>
      <c r="F1893" s="12">
        <v>101</v>
      </c>
      <c r="G1893" s="12">
        <v>50</v>
      </c>
      <c r="H1893" s="12">
        <v>51</v>
      </c>
      <c r="J1893" s="2"/>
      <c r="K1893" s="2"/>
      <c r="L1893" s="2"/>
      <c r="M1893" s="2"/>
      <c r="N1893" s="2"/>
      <c r="O1893" s="2"/>
      <c r="P1893" s="2"/>
    </row>
    <row r="1894" spans="1:16" x14ac:dyDescent="0.4">
      <c r="A1894">
        <v>2011</v>
      </c>
      <c r="B1894" s="2" t="s">
        <v>375</v>
      </c>
      <c r="C1894" s="2" t="s">
        <v>708</v>
      </c>
      <c r="D1894" s="2" t="s">
        <v>7</v>
      </c>
      <c r="E1894" s="67" t="s">
        <v>20</v>
      </c>
      <c r="F1894" s="12">
        <v>289</v>
      </c>
      <c r="G1894" s="12">
        <v>176</v>
      </c>
      <c r="H1894" s="12">
        <v>113</v>
      </c>
      <c r="J1894" s="2"/>
      <c r="K1894" s="2"/>
      <c r="L1894" s="2"/>
      <c r="M1894" s="2"/>
      <c r="N1894" s="2"/>
      <c r="O1894" s="2"/>
      <c r="P1894" s="2"/>
    </row>
    <row r="1895" spans="1:16" x14ac:dyDescent="0.4">
      <c r="A1895">
        <v>2011</v>
      </c>
      <c r="B1895" s="2" t="s">
        <v>376</v>
      </c>
      <c r="C1895" s="2" t="s">
        <v>708</v>
      </c>
      <c r="D1895" s="2" t="s">
        <v>7</v>
      </c>
      <c r="E1895" s="67" t="s">
        <v>21</v>
      </c>
      <c r="F1895" s="12">
        <v>83</v>
      </c>
      <c r="G1895" s="12">
        <v>47</v>
      </c>
      <c r="H1895" s="12">
        <v>36</v>
      </c>
      <c r="J1895" s="2"/>
      <c r="K1895" s="2"/>
      <c r="L1895" s="2"/>
      <c r="M1895" s="2"/>
      <c r="N1895" s="2"/>
      <c r="O1895" s="2"/>
      <c r="P1895" s="2"/>
    </row>
    <row r="1896" spans="1:16" x14ac:dyDescent="0.4">
      <c r="A1896">
        <v>2011</v>
      </c>
      <c r="B1896" s="2" t="s">
        <v>377</v>
      </c>
      <c r="C1896" s="2" t="s">
        <v>708</v>
      </c>
      <c r="D1896" s="2" t="s">
        <v>7</v>
      </c>
      <c r="E1896" s="67" t="s">
        <v>22</v>
      </c>
      <c r="F1896" s="12">
        <v>197</v>
      </c>
      <c r="G1896" s="12">
        <v>103</v>
      </c>
      <c r="H1896" s="12">
        <v>94</v>
      </c>
      <c r="J1896" s="2"/>
      <c r="K1896" s="2"/>
      <c r="L1896" s="2"/>
      <c r="M1896" s="2"/>
      <c r="N1896" s="2"/>
      <c r="O1896" s="2"/>
      <c r="P1896" s="2"/>
    </row>
    <row r="1897" spans="1:16" x14ac:dyDescent="0.4">
      <c r="A1897">
        <v>2011</v>
      </c>
      <c r="B1897" s="2" t="s">
        <v>378</v>
      </c>
      <c r="C1897" s="2" t="s">
        <v>708</v>
      </c>
      <c r="D1897" s="2" t="s">
        <v>7</v>
      </c>
      <c r="E1897" s="67" t="s">
        <v>23</v>
      </c>
      <c r="F1897" s="12">
        <v>29</v>
      </c>
      <c r="G1897" s="12">
        <v>22</v>
      </c>
      <c r="H1897" s="12">
        <v>7</v>
      </c>
      <c r="J1897" s="2"/>
      <c r="K1897" s="2"/>
      <c r="L1897" s="2"/>
      <c r="M1897" s="2"/>
      <c r="N1897" s="2"/>
      <c r="O1897" s="2"/>
      <c r="P1897" s="2"/>
    </row>
    <row r="1898" spans="1:16" x14ac:dyDescent="0.4">
      <c r="A1898">
        <v>2011</v>
      </c>
      <c r="B1898" s="2" t="s">
        <v>379</v>
      </c>
      <c r="C1898" s="2" t="s">
        <v>708</v>
      </c>
      <c r="D1898" s="2" t="s">
        <v>7</v>
      </c>
      <c r="E1898" s="67" t="s">
        <v>24</v>
      </c>
      <c r="F1898" s="12">
        <v>20</v>
      </c>
      <c r="G1898" s="12">
        <v>14</v>
      </c>
      <c r="H1898" s="12">
        <v>6</v>
      </c>
      <c r="J1898" s="2"/>
      <c r="K1898" s="2"/>
      <c r="L1898" s="2"/>
      <c r="M1898" s="2"/>
      <c r="N1898" s="2"/>
      <c r="O1898" s="2"/>
      <c r="P1898" s="2"/>
    </row>
    <row r="1899" spans="1:16" x14ac:dyDescent="0.4">
      <c r="A1899">
        <v>2011</v>
      </c>
      <c r="B1899" s="2" t="s">
        <v>380</v>
      </c>
      <c r="C1899" s="2" t="s">
        <v>708</v>
      </c>
      <c r="D1899" s="2" t="s">
        <v>7</v>
      </c>
      <c r="E1899" s="67" t="s">
        <v>25</v>
      </c>
      <c r="F1899" s="12">
        <v>2255</v>
      </c>
      <c r="G1899" s="12">
        <v>1324</v>
      </c>
      <c r="H1899" s="12">
        <v>931</v>
      </c>
      <c r="J1899" s="2"/>
      <c r="K1899" s="2"/>
      <c r="L1899" s="2"/>
      <c r="M1899" s="2"/>
      <c r="N1899" s="2"/>
      <c r="O1899" s="2"/>
      <c r="P1899" s="2"/>
    </row>
    <row r="1900" spans="1:16" x14ac:dyDescent="0.4">
      <c r="A1900">
        <v>2011</v>
      </c>
      <c r="B1900" s="2" t="s">
        <v>381</v>
      </c>
      <c r="C1900" s="2" t="s">
        <v>708</v>
      </c>
      <c r="D1900" s="2" t="s">
        <v>7</v>
      </c>
      <c r="E1900" s="67" t="s">
        <v>26</v>
      </c>
      <c r="F1900" s="12">
        <v>910</v>
      </c>
      <c r="G1900" s="12">
        <v>528</v>
      </c>
      <c r="H1900" s="12">
        <v>382</v>
      </c>
      <c r="J1900" s="2"/>
      <c r="K1900" s="2"/>
      <c r="L1900" s="2"/>
      <c r="M1900" s="2"/>
      <c r="N1900" s="2"/>
      <c r="O1900" s="2"/>
      <c r="P1900" s="2"/>
    </row>
    <row r="1901" spans="1:16" x14ac:dyDescent="0.4">
      <c r="A1901">
        <v>2011</v>
      </c>
      <c r="B1901" s="2" t="s">
        <v>382</v>
      </c>
      <c r="C1901" s="2" t="s">
        <v>708</v>
      </c>
      <c r="D1901" s="2" t="s">
        <v>7</v>
      </c>
      <c r="E1901" s="67" t="s">
        <v>27</v>
      </c>
      <c r="F1901" s="12">
        <v>25</v>
      </c>
      <c r="G1901" s="12">
        <v>17</v>
      </c>
      <c r="H1901" s="12">
        <v>8</v>
      </c>
      <c r="J1901" s="2"/>
      <c r="K1901" s="2"/>
      <c r="L1901" s="2"/>
      <c r="M1901" s="2"/>
      <c r="N1901" s="2"/>
      <c r="O1901" s="2"/>
      <c r="P1901" s="2"/>
    </row>
    <row r="1902" spans="1:16" x14ac:dyDescent="0.4">
      <c r="A1902">
        <v>2011</v>
      </c>
      <c r="B1902" s="2" t="s">
        <v>383</v>
      </c>
      <c r="C1902" s="2" t="s">
        <v>709</v>
      </c>
      <c r="D1902" s="2" t="s">
        <v>29</v>
      </c>
      <c r="E1902" s="67" t="s">
        <v>28</v>
      </c>
      <c r="F1902" s="12">
        <v>178</v>
      </c>
      <c r="G1902" s="12">
        <v>113</v>
      </c>
      <c r="H1902" s="12">
        <v>65</v>
      </c>
      <c r="J1902" s="2"/>
      <c r="K1902" s="2"/>
      <c r="L1902" s="2"/>
      <c r="M1902" s="2"/>
      <c r="N1902" s="2"/>
      <c r="O1902" s="2"/>
      <c r="P1902" s="2"/>
    </row>
    <row r="1903" spans="1:16" x14ac:dyDescent="0.4">
      <c r="A1903">
        <v>2011</v>
      </c>
      <c r="B1903" s="2" t="s">
        <v>384</v>
      </c>
      <c r="C1903" s="2" t="s">
        <v>709</v>
      </c>
      <c r="D1903" s="2" t="s">
        <v>29</v>
      </c>
      <c r="E1903" s="67" t="s">
        <v>30</v>
      </c>
      <c r="F1903" s="12">
        <v>54</v>
      </c>
      <c r="G1903" s="12">
        <v>37</v>
      </c>
      <c r="H1903" s="12">
        <v>17</v>
      </c>
      <c r="J1903" s="2"/>
      <c r="K1903" s="2"/>
      <c r="L1903" s="2"/>
      <c r="M1903" s="2"/>
      <c r="N1903" s="2"/>
      <c r="O1903" s="2"/>
      <c r="P1903" s="2"/>
    </row>
    <row r="1904" spans="1:16" x14ac:dyDescent="0.4">
      <c r="A1904">
        <v>2011</v>
      </c>
      <c r="B1904" s="2" t="s">
        <v>385</v>
      </c>
      <c r="C1904" s="2" t="s">
        <v>709</v>
      </c>
      <c r="D1904" s="2" t="s">
        <v>29</v>
      </c>
      <c r="E1904" s="67" t="s">
        <v>31</v>
      </c>
      <c r="F1904" s="12">
        <v>42</v>
      </c>
      <c r="G1904" s="12">
        <v>26</v>
      </c>
      <c r="H1904" s="12">
        <v>16</v>
      </c>
      <c r="J1904" s="2"/>
      <c r="K1904" s="2"/>
      <c r="L1904" s="2"/>
      <c r="M1904" s="2"/>
      <c r="N1904" s="2"/>
      <c r="O1904" s="2"/>
      <c r="P1904" s="2"/>
    </row>
    <row r="1905" spans="1:16" x14ac:dyDescent="0.4">
      <c r="A1905">
        <v>2011</v>
      </c>
      <c r="B1905" s="2" t="s">
        <v>386</v>
      </c>
      <c r="C1905" s="2" t="s">
        <v>709</v>
      </c>
      <c r="D1905" s="2" t="s">
        <v>29</v>
      </c>
      <c r="E1905" s="67" t="s">
        <v>32</v>
      </c>
      <c r="F1905" s="12">
        <v>247</v>
      </c>
      <c r="G1905" s="12">
        <v>176</v>
      </c>
      <c r="H1905" s="12">
        <v>71</v>
      </c>
      <c r="J1905" s="2"/>
      <c r="K1905" s="2"/>
      <c r="L1905" s="2"/>
      <c r="M1905" s="2"/>
      <c r="N1905" s="2"/>
      <c r="O1905" s="2"/>
      <c r="P1905" s="2"/>
    </row>
    <row r="1906" spans="1:16" x14ac:dyDescent="0.4">
      <c r="A1906">
        <v>2011</v>
      </c>
      <c r="B1906" s="2" t="s">
        <v>387</v>
      </c>
      <c r="C1906" s="2" t="s">
        <v>709</v>
      </c>
      <c r="D1906" s="2" t="s">
        <v>29</v>
      </c>
      <c r="E1906" s="67" t="s">
        <v>33</v>
      </c>
      <c r="F1906" s="12">
        <v>40</v>
      </c>
      <c r="G1906" s="12">
        <v>32</v>
      </c>
      <c r="H1906" s="12">
        <v>8</v>
      </c>
      <c r="J1906" s="2"/>
      <c r="K1906" s="2"/>
      <c r="L1906" s="2"/>
      <c r="M1906" s="2"/>
      <c r="N1906" s="2"/>
      <c r="O1906" s="2"/>
      <c r="P1906" s="2"/>
    </row>
    <row r="1907" spans="1:16" x14ac:dyDescent="0.4">
      <c r="A1907">
        <v>2011</v>
      </c>
      <c r="B1907" s="2" t="s">
        <v>388</v>
      </c>
      <c r="C1907" s="2" t="s">
        <v>709</v>
      </c>
      <c r="D1907" s="2" t="s">
        <v>29</v>
      </c>
      <c r="E1907" s="67" t="s">
        <v>34</v>
      </c>
      <c r="F1907" s="12">
        <v>58</v>
      </c>
      <c r="G1907" s="12">
        <v>40</v>
      </c>
      <c r="H1907" s="12">
        <v>18</v>
      </c>
      <c r="J1907" s="2"/>
      <c r="K1907" s="2"/>
      <c r="L1907" s="2"/>
      <c r="M1907" s="2"/>
      <c r="N1907" s="2"/>
      <c r="O1907" s="2"/>
      <c r="P1907" s="2"/>
    </row>
    <row r="1908" spans="1:16" x14ac:dyDescent="0.4">
      <c r="A1908">
        <v>2011</v>
      </c>
      <c r="B1908" s="2" t="s">
        <v>389</v>
      </c>
      <c r="C1908" s="2" t="s">
        <v>709</v>
      </c>
      <c r="D1908" s="2" t="s">
        <v>29</v>
      </c>
      <c r="E1908" s="67" t="s">
        <v>35</v>
      </c>
      <c r="F1908" s="12">
        <v>1023</v>
      </c>
      <c r="G1908" s="12">
        <v>607</v>
      </c>
      <c r="H1908" s="12">
        <v>416</v>
      </c>
      <c r="J1908" s="2"/>
      <c r="K1908" s="2"/>
      <c r="L1908" s="2"/>
      <c r="M1908" s="2"/>
      <c r="N1908" s="2"/>
      <c r="O1908" s="2"/>
      <c r="P1908" s="2"/>
    </row>
    <row r="1909" spans="1:16" x14ac:dyDescent="0.4">
      <c r="A1909">
        <v>2011</v>
      </c>
      <c r="B1909" s="2" t="s">
        <v>390</v>
      </c>
      <c r="C1909" s="2" t="s">
        <v>710</v>
      </c>
      <c r="D1909" s="2" t="s">
        <v>37</v>
      </c>
      <c r="E1909" s="67" t="s">
        <v>36</v>
      </c>
      <c r="F1909" s="12">
        <v>172</v>
      </c>
      <c r="G1909" s="12">
        <v>116</v>
      </c>
      <c r="H1909" s="12">
        <v>56</v>
      </c>
      <c r="J1909" s="2"/>
      <c r="K1909" s="2"/>
      <c r="L1909" s="2"/>
      <c r="M1909" s="2"/>
      <c r="N1909" s="2"/>
      <c r="O1909" s="2"/>
      <c r="P1909" s="2"/>
    </row>
    <row r="1910" spans="1:16" x14ac:dyDescent="0.4">
      <c r="A1910">
        <v>2011</v>
      </c>
      <c r="B1910" s="2" t="s">
        <v>391</v>
      </c>
      <c r="C1910" s="2" t="s">
        <v>710</v>
      </c>
      <c r="D1910" s="2" t="s">
        <v>37</v>
      </c>
      <c r="E1910" s="67" t="s">
        <v>38</v>
      </c>
      <c r="F1910" s="12">
        <v>66</v>
      </c>
      <c r="G1910" s="12">
        <v>44</v>
      </c>
      <c r="H1910" s="12">
        <v>22</v>
      </c>
      <c r="J1910" s="2"/>
      <c r="K1910" s="2"/>
      <c r="L1910" s="2"/>
      <c r="M1910" s="2"/>
      <c r="N1910" s="2"/>
      <c r="O1910" s="2"/>
      <c r="P1910" s="2"/>
    </row>
    <row r="1911" spans="1:16" x14ac:dyDescent="0.4">
      <c r="A1911">
        <v>2011</v>
      </c>
      <c r="B1911" s="2" t="s">
        <v>392</v>
      </c>
      <c r="C1911" s="2" t="s">
        <v>710</v>
      </c>
      <c r="D1911" s="2" t="s">
        <v>37</v>
      </c>
      <c r="E1911" s="67" t="s">
        <v>39</v>
      </c>
      <c r="F1911" s="12">
        <v>281</v>
      </c>
      <c r="G1911" s="12">
        <v>170</v>
      </c>
      <c r="H1911" s="12">
        <v>111</v>
      </c>
      <c r="J1911" s="2"/>
      <c r="K1911" s="2"/>
      <c r="L1911" s="2"/>
      <c r="M1911" s="2"/>
      <c r="N1911" s="2"/>
      <c r="O1911" s="2"/>
      <c r="P1911" s="2"/>
    </row>
    <row r="1912" spans="1:16" x14ac:dyDescent="0.4">
      <c r="A1912">
        <v>2011</v>
      </c>
      <c r="B1912" s="2" t="s">
        <v>393</v>
      </c>
      <c r="C1912" s="2" t="s">
        <v>710</v>
      </c>
      <c r="D1912" s="2" t="s">
        <v>37</v>
      </c>
      <c r="E1912" s="67" t="s">
        <v>40</v>
      </c>
      <c r="F1912" s="12">
        <v>4521</v>
      </c>
      <c r="G1912" s="12">
        <v>2609</v>
      </c>
      <c r="H1912" s="12">
        <v>1912</v>
      </c>
      <c r="J1912" s="2"/>
      <c r="K1912" s="2"/>
      <c r="L1912" s="2"/>
      <c r="M1912" s="2"/>
      <c r="N1912" s="2"/>
      <c r="O1912" s="2"/>
      <c r="P1912" s="2"/>
    </row>
    <row r="1913" spans="1:16" x14ac:dyDescent="0.4">
      <c r="A1913">
        <v>2011</v>
      </c>
      <c r="B1913" s="2" t="s">
        <v>394</v>
      </c>
      <c r="C1913" s="2" t="s">
        <v>710</v>
      </c>
      <c r="D1913" s="2" t="s">
        <v>37</v>
      </c>
      <c r="E1913" s="67" t="s">
        <v>41</v>
      </c>
      <c r="F1913" s="12">
        <v>94</v>
      </c>
      <c r="G1913" s="12">
        <v>62</v>
      </c>
      <c r="H1913" s="12">
        <v>32</v>
      </c>
      <c r="J1913" s="2"/>
      <c r="K1913" s="2"/>
      <c r="L1913" s="2"/>
      <c r="M1913" s="2"/>
      <c r="N1913" s="2"/>
      <c r="O1913" s="2"/>
      <c r="P1913" s="2"/>
    </row>
    <row r="1914" spans="1:16" x14ac:dyDescent="0.4">
      <c r="A1914">
        <v>2011</v>
      </c>
      <c r="B1914" s="2" t="s">
        <v>395</v>
      </c>
      <c r="C1914" s="2" t="s">
        <v>710</v>
      </c>
      <c r="D1914" s="2" t="s">
        <v>37</v>
      </c>
      <c r="E1914" s="67" t="s">
        <v>42</v>
      </c>
      <c r="F1914" s="12">
        <v>991</v>
      </c>
      <c r="G1914" s="12">
        <v>588</v>
      </c>
      <c r="H1914" s="12">
        <v>403</v>
      </c>
      <c r="J1914" s="2"/>
      <c r="K1914" s="2"/>
      <c r="L1914" s="2"/>
      <c r="M1914" s="2"/>
      <c r="N1914" s="2"/>
      <c r="O1914" s="2"/>
      <c r="P1914" s="2"/>
    </row>
    <row r="1915" spans="1:16" x14ac:dyDescent="0.4">
      <c r="A1915">
        <v>2011</v>
      </c>
      <c r="B1915" s="2" t="s">
        <v>396</v>
      </c>
      <c r="C1915" s="2" t="s">
        <v>710</v>
      </c>
      <c r="D1915" s="2" t="s">
        <v>37</v>
      </c>
      <c r="E1915" s="67" t="s">
        <v>43</v>
      </c>
      <c r="F1915" s="12">
        <v>131</v>
      </c>
      <c r="G1915" s="12">
        <v>88</v>
      </c>
      <c r="H1915" s="12">
        <v>43</v>
      </c>
      <c r="J1915" s="2"/>
      <c r="K1915" s="2"/>
      <c r="L1915" s="2"/>
      <c r="M1915" s="2"/>
      <c r="N1915" s="2"/>
      <c r="O1915" s="2"/>
      <c r="P1915" s="2"/>
    </row>
    <row r="1916" spans="1:16" x14ac:dyDescent="0.4">
      <c r="A1916">
        <v>2011</v>
      </c>
      <c r="B1916" s="2" t="s">
        <v>397</v>
      </c>
      <c r="C1916" s="2" t="s">
        <v>710</v>
      </c>
      <c r="D1916" s="2" t="s">
        <v>37</v>
      </c>
      <c r="E1916" s="67" t="s">
        <v>44</v>
      </c>
      <c r="F1916" s="12">
        <v>411</v>
      </c>
      <c r="G1916" s="12">
        <v>252</v>
      </c>
      <c r="H1916" s="12">
        <v>159</v>
      </c>
      <c r="J1916" s="2"/>
      <c r="K1916" s="2"/>
      <c r="L1916" s="2"/>
      <c r="M1916" s="2"/>
      <c r="N1916" s="2"/>
      <c r="O1916" s="2"/>
      <c r="P1916" s="2"/>
    </row>
    <row r="1917" spans="1:16" x14ac:dyDescent="0.4">
      <c r="A1917">
        <v>2011</v>
      </c>
      <c r="B1917" s="2" t="s">
        <v>398</v>
      </c>
      <c r="C1917" s="2" t="s">
        <v>710</v>
      </c>
      <c r="D1917" s="2" t="s">
        <v>37</v>
      </c>
      <c r="E1917" s="67" t="s">
        <v>45</v>
      </c>
      <c r="F1917" s="12">
        <v>291</v>
      </c>
      <c r="G1917" s="12">
        <v>148</v>
      </c>
      <c r="H1917" s="12">
        <v>143</v>
      </c>
      <c r="J1917" s="2"/>
      <c r="K1917" s="2"/>
      <c r="L1917" s="2"/>
      <c r="M1917" s="2"/>
      <c r="N1917" s="2"/>
      <c r="O1917" s="2"/>
      <c r="P1917" s="2"/>
    </row>
    <row r="1918" spans="1:16" x14ac:dyDescent="0.4">
      <c r="A1918">
        <v>2011</v>
      </c>
      <c r="B1918" s="2" t="s">
        <v>399</v>
      </c>
      <c r="C1918" s="2" t="s">
        <v>710</v>
      </c>
      <c r="D1918" s="2" t="s">
        <v>37</v>
      </c>
      <c r="E1918" s="67" t="s">
        <v>46</v>
      </c>
      <c r="F1918" s="12">
        <v>39</v>
      </c>
      <c r="G1918" s="12">
        <v>28</v>
      </c>
      <c r="H1918" s="12">
        <v>11</v>
      </c>
      <c r="J1918" s="2"/>
      <c r="K1918" s="2"/>
      <c r="L1918" s="2"/>
      <c r="M1918" s="2"/>
      <c r="N1918" s="2"/>
      <c r="O1918" s="2"/>
      <c r="P1918" s="2"/>
    </row>
    <row r="1919" spans="1:16" x14ac:dyDescent="0.4">
      <c r="A1919">
        <v>2011</v>
      </c>
      <c r="B1919" s="2" t="s">
        <v>400</v>
      </c>
      <c r="C1919" s="2" t="s">
        <v>710</v>
      </c>
      <c r="D1919" s="2" t="s">
        <v>37</v>
      </c>
      <c r="E1919" s="67" t="s">
        <v>47</v>
      </c>
      <c r="F1919" s="12">
        <v>142</v>
      </c>
      <c r="G1919" s="12">
        <v>97</v>
      </c>
      <c r="H1919" s="12">
        <v>45</v>
      </c>
      <c r="J1919" s="2"/>
      <c r="K1919" s="2"/>
      <c r="L1919" s="2"/>
      <c r="M1919" s="2"/>
      <c r="N1919" s="2"/>
      <c r="O1919" s="2"/>
      <c r="P1919" s="2"/>
    </row>
    <row r="1920" spans="1:16" x14ac:dyDescent="0.4">
      <c r="A1920">
        <v>2011</v>
      </c>
      <c r="B1920" s="2" t="s">
        <v>401</v>
      </c>
      <c r="C1920" s="2" t="s">
        <v>710</v>
      </c>
      <c r="D1920" s="2" t="s">
        <v>37</v>
      </c>
      <c r="E1920" s="67" t="s">
        <v>48</v>
      </c>
      <c r="F1920" s="12">
        <v>89</v>
      </c>
      <c r="G1920" s="12">
        <v>53</v>
      </c>
      <c r="H1920" s="12">
        <v>36</v>
      </c>
      <c r="J1920" s="2"/>
      <c r="K1920" s="2"/>
      <c r="L1920" s="2"/>
      <c r="M1920" s="2"/>
      <c r="N1920" s="2"/>
      <c r="O1920" s="2"/>
      <c r="P1920" s="2"/>
    </row>
    <row r="1921" spans="1:16" x14ac:dyDescent="0.4">
      <c r="A1921">
        <v>2011</v>
      </c>
      <c r="B1921" s="2" t="s">
        <v>402</v>
      </c>
      <c r="C1921" s="2" t="s">
        <v>710</v>
      </c>
      <c r="D1921" s="2" t="s">
        <v>37</v>
      </c>
      <c r="E1921" s="67" t="s">
        <v>49</v>
      </c>
      <c r="F1921" s="12">
        <v>568</v>
      </c>
      <c r="G1921" s="12">
        <v>362</v>
      </c>
      <c r="H1921" s="12">
        <v>206</v>
      </c>
      <c r="J1921" s="2"/>
      <c r="K1921" s="2"/>
      <c r="L1921" s="2"/>
      <c r="M1921" s="2"/>
      <c r="N1921" s="2"/>
      <c r="O1921" s="2"/>
      <c r="P1921" s="2"/>
    </row>
    <row r="1922" spans="1:16" x14ac:dyDescent="0.4">
      <c r="A1922">
        <v>2011</v>
      </c>
      <c r="B1922" s="2" t="s">
        <v>403</v>
      </c>
      <c r="C1922" s="2" t="s">
        <v>710</v>
      </c>
      <c r="D1922" s="2" t="s">
        <v>37</v>
      </c>
      <c r="E1922" s="67" t="s">
        <v>50</v>
      </c>
      <c r="F1922" s="12">
        <v>146</v>
      </c>
      <c r="G1922" s="12">
        <v>116</v>
      </c>
      <c r="H1922" s="12">
        <v>30</v>
      </c>
      <c r="J1922" s="2"/>
      <c r="K1922" s="2"/>
      <c r="L1922" s="2"/>
      <c r="M1922" s="2"/>
      <c r="N1922" s="2"/>
      <c r="O1922" s="2"/>
      <c r="P1922" s="2"/>
    </row>
    <row r="1923" spans="1:16" x14ac:dyDescent="0.4">
      <c r="A1923">
        <v>2011</v>
      </c>
      <c r="B1923" s="2" t="s">
        <v>404</v>
      </c>
      <c r="C1923" s="2" t="s">
        <v>710</v>
      </c>
      <c r="D1923" s="2" t="s">
        <v>37</v>
      </c>
      <c r="E1923" s="67" t="s">
        <v>51</v>
      </c>
      <c r="F1923" s="12">
        <v>490</v>
      </c>
      <c r="G1923" s="12">
        <v>272</v>
      </c>
      <c r="H1923" s="12">
        <v>218</v>
      </c>
      <c r="J1923" s="2"/>
      <c r="K1923" s="2"/>
      <c r="L1923" s="2"/>
      <c r="M1923" s="2"/>
      <c r="N1923" s="2"/>
      <c r="O1923" s="2"/>
      <c r="P1923" s="2"/>
    </row>
    <row r="1924" spans="1:16" x14ac:dyDescent="0.4">
      <c r="A1924">
        <v>2011</v>
      </c>
      <c r="B1924" s="2" t="s">
        <v>405</v>
      </c>
      <c r="C1924" s="2" t="s">
        <v>710</v>
      </c>
      <c r="D1924" s="2" t="s">
        <v>37</v>
      </c>
      <c r="E1924" s="67" t="s">
        <v>52</v>
      </c>
      <c r="F1924" s="12">
        <v>44</v>
      </c>
      <c r="G1924" s="12">
        <v>29</v>
      </c>
      <c r="H1924" s="12">
        <v>15</v>
      </c>
      <c r="J1924" s="2"/>
      <c r="K1924" s="2"/>
      <c r="L1924" s="2"/>
      <c r="M1924" s="2"/>
      <c r="N1924" s="2"/>
      <c r="O1924" s="2"/>
      <c r="P1924" s="2"/>
    </row>
    <row r="1925" spans="1:16" x14ac:dyDescent="0.4">
      <c r="A1925">
        <v>2011</v>
      </c>
      <c r="B1925" s="2" t="s">
        <v>406</v>
      </c>
      <c r="C1925" s="2" t="s">
        <v>710</v>
      </c>
      <c r="D1925" s="2" t="s">
        <v>37</v>
      </c>
      <c r="E1925" s="67" t="s">
        <v>53</v>
      </c>
      <c r="F1925" s="12">
        <v>56</v>
      </c>
      <c r="G1925" s="12">
        <v>38</v>
      </c>
      <c r="H1925" s="12">
        <v>18</v>
      </c>
      <c r="J1925" s="2"/>
      <c r="K1925" s="2"/>
      <c r="L1925" s="2"/>
      <c r="M1925" s="2"/>
      <c r="N1925" s="2"/>
      <c r="O1925" s="2"/>
      <c r="P1925" s="2"/>
    </row>
    <row r="1926" spans="1:16" x14ac:dyDescent="0.4">
      <c r="A1926">
        <v>2011</v>
      </c>
      <c r="B1926" s="2" t="s">
        <v>407</v>
      </c>
      <c r="C1926" s="2" t="s">
        <v>710</v>
      </c>
      <c r="D1926" s="2" t="s">
        <v>37</v>
      </c>
      <c r="E1926" s="67" t="s">
        <v>54</v>
      </c>
      <c r="F1926" s="12">
        <v>546</v>
      </c>
      <c r="G1926" s="12">
        <v>353</v>
      </c>
      <c r="H1926" s="12">
        <v>193</v>
      </c>
      <c r="J1926" s="2"/>
      <c r="K1926" s="2"/>
      <c r="L1926" s="2"/>
      <c r="M1926" s="2"/>
      <c r="N1926" s="2"/>
      <c r="O1926" s="2"/>
      <c r="P1926" s="2"/>
    </row>
    <row r="1927" spans="1:16" x14ac:dyDescent="0.4">
      <c r="A1927">
        <v>2011</v>
      </c>
      <c r="B1927" s="2" t="s">
        <v>408</v>
      </c>
      <c r="C1927" s="2" t="s">
        <v>711</v>
      </c>
      <c r="D1927" s="2" t="s">
        <v>56</v>
      </c>
      <c r="E1927" s="67" t="s">
        <v>55</v>
      </c>
      <c r="F1927" s="12">
        <v>126</v>
      </c>
      <c r="G1927" s="12">
        <v>89</v>
      </c>
      <c r="H1927" s="12">
        <v>37</v>
      </c>
      <c r="J1927" s="2"/>
      <c r="K1927" s="2"/>
      <c r="L1927" s="2"/>
      <c r="M1927" s="2"/>
      <c r="N1927" s="2"/>
      <c r="O1927" s="2"/>
      <c r="P1927" s="2"/>
    </row>
    <row r="1928" spans="1:16" x14ac:dyDescent="0.4">
      <c r="A1928">
        <v>2011</v>
      </c>
      <c r="B1928" s="2" t="s">
        <v>409</v>
      </c>
      <c r="C1928" s="2" t="s">
        <v>711</v>
      </c>
      <c r="D1928" s="2" t="s">
        <v>56</v>
      </c>
      <c r="E1928" s="67" t="s">
        <v>57</v>
      </c>
      <c r="F1928" s="12">
        <v>42</v>
      </c>
      <c r="G1928" s="12">
        <v>29</v>
      </c>
      <c r="H1928" s="12">
        <v>13</v>
      </c>
      <c r="J1928" s="2"/>
      <c r="K1928" s="2"/>
      <c r="L1928" s="2"/>
      <c r="M1928" s="2"/>
      <c r="N1928" s="2"/>
      <c r="O1928" s="2"/>
      <c r="P1928" s="2"/>
    </row>
    <row r="1929" spans="1:16" x14ac:dyDescent="0.4">
      <c r="A1929">
        <v>2011</v>
      </c>
      <c r="B1929" s="2" t="s">
        <v>410</v>
      </c>
      <c r="C1929" s="2" t="s">
        <v>711</v>
      </c>
      <c r="D1929" s="2" t="s">
        <v>56</v>
      </c>
      <c r="E1929" s="67" t="s">
        <v>58</v>
      </c>
      <c r="F1929" s="12">
        <v>253</v>
      </c>
      <c r="G1929" s="12">
        <v>161</v>
      </c>
      <c r="H1929" s="12">
        <v>92</v>
      </c>
      <c r="J1929" s="2"/>
      <c r="K1929" s="2"/>
      <c r="L1929" s="2"/>
      <c r="M1929" s="2"/>
      <c r="N1929" s="2"/>
      <c r="O1929" s="2"/>
      <c r="P1929" s="2"/>
    </row>
    <row r="1930" spans="1:16" x14ac:dyDescent="0.4">
      <c r="A1930">
        <v>2011</v>
      </c>
      <c r="B1930" s="2" t="s">
        <v>411</v>
      </c>
      <c r="C1930" s="2" t="s">
        <v>711</v>
      </c>
      <c r="D1930" s="2" t="s">
        <v>56</v>
      </c>
      <c r="E1930" s="67" t="s">
        <v>59</v>
      </c>
      <c r="F1930" s="12">
        <v>32</v>
      </c>
      <c r="G1930" s="12">
        <v>22</v>
      </c>
      <c r="H1930" s="12">
        <v>10</v>
      </c>
      <c r="J1930" s="2"/>
      <c r="K1930" s="2"/>
      <c r="L1930" s="2"/>
      <c r="M1930" s="2"/>
      <c r="N1930" s="2"/>
      <c r="O1930" s="2"/>
      <c r="P1930" s="2"/>
    </row>
    <row r="1931" spans="1:16" x14ac:dyDescent="0.4">
      <c r="A1931">
        <v>2011</v>
      </c>
      <c r="B1931" s="2" t="s">
        <v>412</v>
      </c>
      <c r="C1931" s="2" t="s">
        <v>711</v>
      </c>
      <c r="D1931" s="2" t="s">
        <v>56</v>
      </c>
      <c r="E1931" s="67" t="s">
        <v>60</v>
      </c>
      <c r="F1931" s="12">
        <v>2177</v>
      </c>
      <c r="G1931" s="12">
        <v>1374</v>
      </c>
      <c r="H1931" s="12">
        <v>803</v>
      </c>
      <c r="J1931" s="2"/>
      <c r="K1931" s="2"/>
      <c r="L1931" s="2"/>
      <c r="M1931" s="2"/>
      <c r="N1931" s="2"/>
      <c r="O1931" s="2"/>
      <c r="P1931" s="2"/>
    </row>
    <row r="1932" spans="1:16" x14ac:dyDescent="0.4">
      <c r="A1932">
        <v>2011</v>
      </c>
      <c r="B1932" s="2" t="s">
        <v>413</v>
      </c>
      <c r="C1932" s="2" t="s">
        <v>711</v>
      </c>
      <c r="D1932" s="2" t="s">
        <v>56</v>
      </c>
      <c r="E1932" s="67" t="s">
        <v>36</v>
      </c>
      <c r="F1932" s="12">
        <v>132</v>
      </c>
      <c r="G1932" s="12">
        <v>80</v>
      </c>
      <c r="H1932" s="12">
        <v>52</v>
      </c>
      <c r="J1932" s="2"/>
      <c r="K1932" s="2"/>
      <c r="L1932" s="2"/>
      <c r="M1932" s="2"/>
      <c r="N1932" s="2"/>
      <c r="O1932" s="2"/>
      <c r="P1932" s="2"/>
    </row>
    <row r="1933" spans="1:16" x14ac:dyDescent="0.4">
      <c r="A1933">
        <v>2011</v>
      </c>
      <c r="B1933" s="2" t="s">
        <v>414</v>
      </c>
      <c r="C1933" s="2" t="s">
        <v>711</v>
      </c>
      <c r="D1933" s="2" t="s">
        <v>56</v>
      </c>
      <c r="E1933" s="67" t="s">
        <v>61</v>
      </c>
      <c r="F1933" s="12">
        <v>86</v>
      </c>
      <c r="G1933" s="12">
        <v>59</v>
      </c>
      <c r="H1933" s="12">
        <v>27</v>
      </c>
      <c r="J1933" s="2"/>
      <c r="K1933" s="2"/>
      <c r="L1933" s="2"/>
      <c r="M1933" s="2"/>
      <c r="N1933" s="2"/>
      <c r="O1933" s="2"/>
      <c r="P1933" s="2"/>
    </row>
    <row r="1934" spans="1:16" x14ac:dyDescent="0.4">
      <c r="A1934">
        <v>2011</v>
      </c>
      <c r="B1934" s="2" t="s">
        <v>415</v>
      </c>
      <c r="C1934" s="2" t="s">
        <v>711</v>
      </c>
      <c r="D1934" s="2" t="s">
        <v>56</v>
      </c>
      <c r="E1934" s="67" t="s">
        <v>62</v>
      </c>
      <c r="F1934" s="12">
        <v>186</v>
      </c>
      <c r="G1934" s="12">
        <v>119</v>
      </c>
      <c r="H1934" s="12">
        <v>67</v>
      </c>
      <c r="J1934" s="2"/>
      <c r="K1934" s="2"/>
      <c r="L1934" s="2"/>
      <c r="M1934" s="2"/>
      <c r="N1934" s="2"/>
      <c r="O1934" s="2"/>
      <c r="P1934" s="2"/>
    </row>
    <row r="1935" spans="1:16" x14ac:dyDescent="0.4">
      <c r="A1935">
        <v>2011</v>
      </c>
      <c r="B1935" s="2" t="s">
        <v>416</v>
      </c>
      <c r="C1935" s="2" t="s">
        <v>711</v>
      </c>
      <c r="D1935" s="2" t="s">
        <v>56</v>
      </c>
      <c r="E1935" s="67" t="s">
        <v>63</v>
      </c>
      <c r="F1935" s="12">
        <v>65</v>
      </c>
      <c r="G1935" s="12">
        <v>49</v>
      </c>
      <c r="H1935" s="12">
        <v>16</v>
      </c>
      <c r="J1935" s="2"/>
      <c r="K1935" s="2"/>
      <c r="L1935" s="2"/>
      <c r="M1935" s="2"/>
      <c r="N1935" s="2"/>
      <c r="O1935" s="2"/>
      <c r="P1935" s="2"/>
    </row>
    <row r="1936" spans="1:16" x14ac:dyDescent="0.4">
      <c r="A1936">
        <v>2011</v>
      </c>
      <c r="B1936" s="2" t="s">
        <v>417</v>
      </c>
      <c r="C1936" s="2" t="s">
        <v>711</v>
      </c>
      <c r="D1936" s="2" t="s">
        <v>56</v>
      </c>
      <c r="E1936" s="67" t="s">
        <v>64</v>
      </c>
      <c r="F1936" s="12">
        <v>184</v>
      </c>
      <c r="G1936" s="12">
        <v>123</v>
      </c>
      <c r="H1936" s="12">
        <v>61</v>
      </c>
      <c r="J1936" s="2"/>
      <c r="K1936" s="2"/>
      <c r="L1936" s="2"/>
      <c r="M1936" s="2"/>
      <c r="N1936" s="2"/>
      <c r="O1936" s="2"/>
      <c r="P1936" s="2"/>
    </row>
    <row r="1937" spans="1:16" x14ac:dyDescent="0.4">
      <c r="A1937">
        <v>2011</v>
      </c>
      <c r="B1937" s="2" t="s">
        <v>418</v>
      </c>
      <c r="C1937" s="2" t="s">
        <v>711</v>
      </c>
      <c r="D1937" s="2" t="s">
        <v>56</v>
      </c>
      <c r="E1937" s="67" t="s">
        <v>65</v>
      </c>
      <c r="F1937" s="12">
        <v>103</v>
      </c>
      <c r="G1937" s="12">
        <v>70</v>
      </c>
      <c r="H1937" s="12">
        <v>33</v>
      </c>
      <c r="J1937" s="2"/>
      <c r="K1937" s="2"/>
      <c r="L1937" s="2"/>
      <c r="M1937" s="2"/>
      <c r="N1937" s="2"/>
      <c r="O1937" s="2"/>
      <c r="P1937" s="2"/>
    </row>
    <row r="1938" spans="1:16" x14ac:dyDescent="0.4">
      <c r="A1938">
        <v>2011</v>
      </c>
      <c r="B1938" s="2" t="s">
        <v>419</v>
      </c>
      <c r="C1938" s="2" t="s">
        <v>711</v>
      </c>
      <c r="D1938" s="2" t="s">
        <v>56</v>
      </c>
      <c r="E1938" s="67" t="s">
        <v>66</v>
      </c>
      <c r="F1938" s="12">
        <v>39</v>
      </c>
      <c r="G1938" s="12">
        <v>30</v>
      </c>
      <c r="H1938" s="12">
        <v>9</v>
      </c>
      <c r="J1938" s="2"/>
      <c r="K1938" s="2"/>
      <c r="L1938" s="2"/>
      <c r="M1938" s="2"/>
      <c r="N1938" s="2"/>
      <c r="O1938" s="2"/>
      <c r="P1938" s="2"/>
    </row>
    <row r="1939" spans="1:16" x14ac:dyDescent="0.4">
      <c r="A1939">
        <v>2011</v>
      </c>
      <c r="B1939" s="2" t="s">
        <v>420</v>
      </c>
      <c r="C1939" s="2" t="s">
        <v>712</v>
      </c>
      <c r="D1939" s="2" t="s">
        <v>68</v>
      </c>
      <c r="E1939" s="67" t="s">
        <v>67</v>
      </c>
      <c r="F1939" s="12">
        <v>3898</v>
      </c>
      <c r="G1939" s="12">
        <v>2406</v>
      </c>
      <c r="H1939" s="12">
        <v>1492</v>
      </c>
      <c r="J1939" s="2"/>
      <c r="K1939" s="2"/>
      <c r="L1939" s="2"/>
      <c r="M1939" s="2"/>
      <c r="N1939" s="2"/>
      <c r="O1939" s="2"/>
      <c r="P1939" s="2"/>
    </row>
    <row r="1940" spans="1:16" x14ac:dyDescent="0.4">
      <c r="A1940">
        <v>2011</v>
      </c>
      <c r="B1940" s="2" t="s">
        <v>421</v>
      </c>
      <c r="C1940" s="2" t="s">
        <v>712</v>
      </c>
      <c r="D1940" s="2" t="s">
        <v>68</v>
      </c>
      <c r="E1940" s="67" t="s">
        <v>69</v>
      </c>
      <c r="F1940" s="12">
        <v>239</v>
      </c>
      <c r="G1940" s="12">
        <v>147</v>
      </c>
      <c r="H1940" s="12">
        <v>92</v>
      </c>
      <c r="J1940" s="2"/>
      <c r="K1940" s="2"/>
      <c r="L1940" s="2"/>
      <c r="M1940" s="2"/>
      <c r="N1940" s="2"/>
      <c r="O1940" s="2"/>
      <c r="P1940" s="2"/>
    </row>
    <row r="1941" spans="1:16" x14ac:dyDescent="0.4">
      <c r="A1941">
        <v>2011</v>
      </c>
      <c r="B1941" s="2" t="s">
        <v>422</v>
      </c>
      <c r="C1941" s="2" t="s">
        <v>712</v>
      </c>
      <c r="D1941" s="2" t="s">
        <v>68</v>
      </c>
      <c r="E1941" s="67" t="s">
        <v>70</v>
      </c>
      <c r="F1941" s="12">
        <v>66</v>
      </c>
      <c r="G1941" s="12">
        <v>40</v>
      </c>
      <c r="H1941" s="12">
        <v>26</v>
      </c>
      <c r="J1941" s="2"/>
      <c r="K1941" s="2"/>
      <c r="L1941" s="2"/>
      <c r="M1941" s="2"/>
      <c r="N1941" s="2"/>
      <c r="O1941" s="2"/>
      <c r="P1941" s="2"/>
    </row>
    <row r="1942" spans="1:16" x14ac:dyDescent="0.4">
      <c r="A1942">
        <v>2011</v>
      </c>
      <c r="B1942" s="2" t="s">
        <v>423</v>
      </c>
      <c r="C1942" s="2" t="s">
        <v>712</v>
      </c>
      <c r="D1942" s="2" t="s">
        <v>68</v>
      </c>
      <c r="E1942" s="67" t="s">
        <v>71</v>
      </c>
      <c r="F1942" s="12">
        <v>64</v>
      </c>
      <c r="G1942" s="12">
        <v>42</v>
      </c>
      <c r="H1942" s="12">
        <v>22</v>
      </c>
      <c r="J1942" s="2"/>
      <c r="K1942" s="2"/>
      <c r="L1942" s="2"/>
      <c r="M1942" s="2"/>
      <c r="N1942" s="2"/>
      <c r="O1942" s="2"/>
      <c r="P1942" s="2"/>
    </row>
    <row r="1943" spans="1:16" x14ac:dyDescent="0.4">
      <c r="A1943">
        <v>2011</v>
      </c>
      <c r="B1943" s="2" t="s">
        <v>424</v>
      </c>
      <c r="C1943" s="2" t="s">
        <v>712</v>
      </c>
      <c r="D1943" s="2" t="s">
        <v>68</v>
      </c>
      <c r="E1943" s="67" t="s">
        <v>72</v>
      </c>
      <c r="F1943" s="12">
        <v>2361</v>
      </c>
      <c r="G1943" s="12">
        <v>1437</v>
      </c>
      <c r="H1943" s="12">
        <v>924</v>
      </c>
      <c r="J1943" s="2"/>
      <c r="K1943" s="2"/>
      <c r="L1943" s="2"/>
      <c r="M1943" s="2"/>
      <c r="N1943" s="2"/>
      <c r="O1943" s="2"/>
      <c r="P1943" s="2"/>
    </row>
    <row r="1944" spans="1:16" x14ac:dyDescent="0.4">
      <c r="A1944">
        <v>2011</v>
      </c>
      <c r="B1944" s="2" t="s">
        <v>425</v>
      </c>
      <c r="C1944" s="2" t="s">
        <v>712</v>
      </c>
      <c r="D1944" s="2" t="s">
        <v>68</v>
      </c>
      <c r="E1944" s="67" t="s">
        <v>73</v>
      </c>
      <c r="F1944" s="12">
        <v>47</v>
      </c>
      <c r="G1944" s="12">
        <v>31</v>
      </c>
      <c r="H1944" s="12">
        <v>16</v>
      </c>
      <c r="J1944" s="2"/>
      <c r="K1944" s="2"/>
      <c r="L1944" s="2"/>
      <c r="M1944" s="2"/>
      <c r="N1944" s="2"/>
      <c r="O1944" s="2"/>
      <c r="P1944" s="2"/>
    </row>
    <row r="1945" spans="1:16" x14ac:dyDescent="0.4">
      <c r="A1945">
        <v>2011</v>
      </c>
      <c r="B1945" s="2" t="s">
        <v>426</v>
      </c>
      <c r="C1945" s="2" t="s">
        <v>712</v>
      </c>
      <c r="D1945" s="2" t="s">
        <v>68</v>
      </c>
      <c r="E1945" s="67" t="s">
        <v>74</v>
      </c>
      <c r="F1945" s="12">
        <v>420</v>
      </c>
      <c r="G1945" s="12">
        <v>255</v>
      </c>
      <c r="H1945" s="12">
        <v>165</v>
      </c>
      <c r="J1945" s="2"/>
      <c r="K1945" s="2"/>
      <c r="L1945" s="2"/>
      <c r="M1945" s="2"/>
      <c r="N1945" s="2"/>
      <c r="O1945" s="2"/>
      <c r="P1945" s="2"/>
    </row>
    <row r="1946" spans="1:16" x14ac:dyDescent="0.4">
      <c r="A1946">
        <v>2011</v>
      </c>
      <c r="B1946" s="2" t="s">
        <v>427</v>
      </c>
      <c r="C1946" s="2" t="s">
        <v>712</v>
      </c>
      <c r="D1946" s="2" t="s">
        <v>68</v>
      </c>
      <c r="E1946" s="67" t="s">
        <v>75</v>
      </c>
      <c r="F1946" s="12">
        <v>26</v>
      </c>
      <c r="G1946" s="12">
        <v>22</v>
      </c>
      <c r="H1946" s="12">
        <v>4</v>
      </c>
      <c r="J1946" s="2"/>
      <c r="K1946" s="2"/>
      <c r="L1946" s="2"/>
      <c r="M1946" s="2"/>
      <c r="N1946" s="2"/>
      <c r="O1946" s="2"/>
      <c r="P1946" s="2"/>
    </row>
    <row r="1947" spans="1:16" x14ac:dyDescent="0.4">
      <c r="A1947">
        <v>2011</v>
      </c>
      <c r="B1947" s="2" t="s">
        <v>428</v>
      </c>
      <c r="C1947" s="2" t="s">
        <v>712</v>
      </c>
      <c r="D1947" s="2" t="s">
        <v>68</v>
      </c>
      <c r="E1947" s="67" t="s">
        <v>76</v>
      </c>
      <c r="F1947" s="12">
        <v>81</v>
      </c>
      <c r="G1947" s="12">
        <v>54</v>
      </c>
      <c r="H1947" s="12">
        <v>27</v>
      </c>
      <c r="J1947" s="2"/>
      <c r="K1947" s="2"/>
      <c r="L1947" s="2"/>
      <c r="M1947" s="2"/>
      <c r="N1947" s="2"/>
      <c r="O1947" s="2"/>
      <c r="P1947" s="2"/>
    </row>
    <row r="1948" spans="1:16" x14ac:dyDescent="0.4">
      <c r="A1948">
        <v>2011</v>
      </c>
      <c r="B1948" s="2" t="s">
        <v>429</v>
      </c>
      <c r="C1948" s="2" t="s">
        <v>712</v>
      </c>
      <c r="D1948" s="2" t="s">
        <v>68</v>
      </c>
      <c r="E1948" s="67" t="s">
        <v>77</v>
      </c>
      <c r="F1948" s="12">
        <v>144</v>
      </c>
      <c r="G1948" s="12">
        <v>104</v>
      </c>
      <c r="H1948" s="12">
        <v>40</v>
      </c>
      <c r="J1948" s="2"/>
      <c r="K1948" s="2"/>
      <c r="L1948" s="2"/>
      <c r="M1948" s="2"/>
      <c r="N1948" s="2"/>
      <c r="O1948" s="2"/>
      <c r="P1948" s="2"/>
    </row>
    <row r="1949" spans="1:16" x14ac:dyDescent="0.4">
      <c r="A1949">
        <v>2011</v>
      </c>
      <c r="B1949" s="2" t="s">
        <v>430</v>
      </c>
      <c r="C1949" s="2" t="s">
        <v>712</v>
      </c>
      <c r="D1949" s="2" t="s">
        <v>68</v>
      </c>
      <c r="E1949" s="67" t="s">
        <v>51</v>
      </c>
      <c r="F1949" s="12">
        <v>18</v>
      </c>
      <c r="G1949" s="12">
        <v>10</v>
      </c>
      <c r="H1949" s="12">
        <v>8</v>
      </c>
      <c r="J1949" s="2"/>
      <c r="K1949" s="2"/>
      <c r="L1949" s="2"/>
      <c r="M1949" s="2"/>
      <c r="N1949" s="2"/>
      <c r="O1949" s="2"/>
      <c r="P1949" s="2"/>
    </row>
    <row r="1950" spans="1:16" x14ac:dyDescent="0.4">
      <c r="A1950">
        <v>2011</v>
      </c>
      <c r="B1950" s="2" t="s">
        <v>431</v>
      </c>
      <c r="C1950" s="2" t="s">
        <v>713</v>
      </c>
      <c r="D1950" s="2" t="s">
        <v>79</v>
      </c>
      <c r="E1950" s="67" t="s">
        <v>78</v>
      </c>
      <c r="F1950" s="12">
        <v>263</v>
      </c>
      <c r="G1950" s="12">
        <v>147</v>
      </c>
      <c r="H1950" s="12">
        <v>116</v>
      </c>
      <c r="J1950" s="2"/>
      <c r="K1950" s="2"/>
      <c r="L1950" s="2"/>
      <c r="M1950" s="2"/>
      <c r="N1950" s="2"/>
      <c r="O1950" s="2"/>
      <c r="P1950" s="2"/>
    </row>
    <row r="1951" spans="1:16" x14ac:dyDescent="0.4">
      <c r="A1951">
        <v>2011</v>
      </c>
      <c r="B1951" s="2" t="s">
        <v>432</v>
      </c>
      <c r="C1951" s="2" t="s">
        <v>713</v>
      </c>
      <c r="D1951" s="2" t="s">
        <v>79</v>
      </c>
      <c r="E1951" s="67" t="s">
        <v>80</v>
      </c>
      <c r="F1951" s="12">
        <v>490</v>
      </c>
      <c r="G1951" s="12">
        <v>320</v>
      </c>
      <c r="H1951" s="12">
        <v>170</v>
      </c>
      <c r="J1951" s="2"/>
      <c r="K1951" s="2"/>
      <c r="L1951" s="2"/>
      <c r="M1951" s="2"/>
      <c r="N1951" s="2"/>
      <c r="O1951" s="2"/>
      <c r="P1951" s="2"/>
    </row>
    <row r="1952" spans="1:16" x14ac:dyDescent="0.4">
      <c r="A1952">
        <v>2011</v>
      </c>
      <c r="B1952" s="2" t="s">
        <v>433</v>
      </c>
      <c r="C1952" s="2" t="s">
        <v>713</v>
      </c>
      <c r="D1952" s="2" t="s">
        <v>79</v>
      </c>
      <c r="E1952" s="67" t="s">
        <v>81</v>
      </c>
      <c r="F1952" s="12">
        <v>453</v>
      </c>
      <c r="G1952" s="12">
        <v>308</v>
      </c>
      <c r="H1952" s="12">
        <v>145</v>
      </c>
      <c r="J1952" s="2"/>
      <c r="K1952" s="2"/>
      <c r="L1952" s="2"/>
      <c r="M1952" s="2"/>
      <c r="N1952" s="2"/>
      <c r="O1952" s="2"/>
      <c r="P1952" s="2"/>
    </row>
    <row r="1953" spans="1:16" x14ac:dyDescent="0.4">
      <c r="A1953">
        <v>2011</v>
      </c>
      <c r="B1953" s="2" t="s">
        <v>434</v>
      </c>
      <c r="C1953" s="2" t="s">
        <v>713</v>
      </c>
      <c r="D1953" s="2" t="s">
        <v>79</v>
      </c>
      <c r="E1953" s="67" t="s">
        <v>82</v>
      </c>
      <c r="F1953" s="12">
        <v>640</v>
      </c>
      <c r="G1953" s="12">
        <v>414</v>
      </c>
      <c r="H1953" s="12">
        <v>226</v>
      </c>
      <c r="J1953" s="2"/>
      <c r="K1953" s="2"/>
      <c r="L1953" s="2"/>
      <c r="M1953" s="2"/>
      <c r="N1953" s="2"/>
      <c r="O1953" s="2"/>
      <c r="P1953" s="2"/>
    </row>
    <row r="1954" spans="1:16" x14ac:dyDescent="0.4">
      <c r="A1954">
        <v>2011</v>
      </c>
      <c r="B1954" s="2" t="s">
        <v>435</v>
      </c>
      <c r="C1954" s="2" t="s">
        <v>713</v>
      </c>
      <c r="D1954" s="2" t="s">
        <v>79</v>
      </c>
      <c r="E1954" s="67" t="s">
        <v>83</v>
      </c>
      <c r="F1954" s="12">
        <v>188</v>
      </c>
      <c r="G1954" s="12">
        <v>141</v>
      </c>
      <c r="H1954" s="12">
        <v>47</v>
      </c>
      <c r="J1954" s="2"/>
      <c r="K1954" s="2"/>
      <c r="L1954" s="2"/>
      <c r="M1954" s="2"/>
      <c r="N1954" s="2"/>
      <c r="O1954" s="2"/>
      <c r="P1954" s="2"/>
    </row>
    <row r="1955" spans="1:16" x14ac:dyDescent="0.4">
      <c r="A1955">
        <v>2011</v>
      </c>
      <c r="B1955" s="2" t="s">
        <v>436</v>
      </c>
      <c r="C1955" s="2" t="s">
        <v>713</v>
      </c>
      <c r="D1955" s="2" t="s">
        <v>79</v>
      </c>
      <c r="E1955" s="67" t="s">
        <v>44</v>
      </c>
      <c r="F1955" s="12">
        <v>535</v>
      </c>
      <c r="G1955" s="12">
        <v>393</v>
      </c>
      <c r="H1955" s="12">
        <v>142</v>
      </c>
      <c r="J1955" s="2"/>
      <c r="K1955" s="2"/>
      <c r="L1955" s="2"/>
      <c r="M1955" s="2"/>
      <c r="N1955" s="2"/>
      <c r="O1955" s="2"/>
      <c r="P1955" s="2"/>
    </row>
    <row r="1956" spans="1:16" x14ac:dyDescent="0.4">
      <c r="A1956">
        <v>2011</v>
      </c>
      <c r="B1956" s="2" t="s">
        <v>437</v>
      </c>
      <c r="C1956" s="2" t="s">
        <v>713</v>
      </c>
      <c r="D1956" s="2" t="s">
        <v>79</v>
      </c>
      <c r="E1956" s="67" t="s">
        <v>84</v>
      </c>
      <c r="F1956" s="12">
        <v>388</v>
      </c>
      <c r="G1956" s="12">
        <v>258</v>
      </c>
      <c r="H1956" s="12">
        <v>130</v>
      </c>
      <c r="J1956" s="2"/>
      <c r="K1956" s="2"/>
      <c r="L1956" s="2"/>
      <c r="M1956" s="2"/>
      <c r="N1956" s="2"/>
      <c r="O1956" s="2"/>
      <c r="P1956" s="2"/>
    </row>
    <row r="1957" spans="1:16" x14ac:dyDescent="0.4">
      <c r="A1957">
        <v>2011</v>
      </c>
      <c r="B1957" s="2" t="s">
        <v>438</v>
      </c>
      <c r="C1957" s="2" t="s">
        <v>713</v>
      </c>
      <c r="D1957" s="2" t="s">
        <v>79</v>
      </c>
      <c r="E1957" s="67" t="s">
        <v>85</v>
      </c>
      <c r="F1957" s="12">
        <v>89</v>
      </c>
      <c r="G1957" s="12">
        <v>58</v>
      </c>
      <c r="H1957" s="12">
        <v>31</v>
      </c>
      <c r="J1957" s="2"/>
      <c r="K1957" s="2"/>
      <c r="L1957" s="2"/>
      <c r="M1957" s="2"/>
      <c r="N1957" s="2"/>
      <c r="O1957" s="2"/>
      <c r="P1957" s="2"/>
    </row>
    <row r="1958" spans="1:16" x14ac:dyDescent="0.4">
      <c r="A1958">
        <v>2011</v>
      </c>
      <c r="B1958" s="2" t="s">
        <v>439</v>
      </c>
      <c r="C1958" s="2" t="s">
        <v>713</v>
      </c>
      <c r="D1958" s="2" t="s">
        <v>79</v>
      </c>
      <c r="E1958" s="67" t="s">
        <v>86</v>
      </c>
      <c r="F1958" s="12">
        <v>61</v>
      </c>
      <c r="G1958" s="12">
        <v>37</v>
      </c>
      <c r="H1958" s="12">
        <v>24</v>
      </c>
      <c r="J1958" s="2"/>
      <c r="K1958" s="2"/>
      <c r="L1958" s="2"/>
      <c r="M1958" s="2"/>
      <c r="N1958" s="2"/>
      <c r="O1958" s="2"/>
      <c r="P1958" s="2"/>
    </row>
    <row r="1959" spans="1:16" x14ac:dyDescent="0.4">
      <c r="A1959">
        <v>2011</v>
      </c>
      <c r="B1959" s="2" t="s">
        <v>440</v>
      </c>
      <c r="C1959" s="2" t="s">
        <v>713</v>
      </c>
      <c r="D1959" s="2" t="s">
        <v>79</v>
      </c>
      <c r="E1959" s="67" t="s">
        <v>87</v>
      </c>
      <c r="F1959" s="12">
        <v>1759</v>
      </c>
      <c r="G1959" s="12">
        <v>987</v>
      </c>
      <c r="H1959" s="12">
        <v>772</v>
      </c>
      <c r="J1959" s="2"/>
      <c r="K1959" s="2"/>
      <c r="L1959" s="2"/>
      <c r="M1959" s="2"/>
      <c r="N1959" s="2"/>
      <c r="O1959" s="2"/>
      <c r="P1959" s="2"/>
    </row>
    <row r="1960" spans="1:16" x14ac:dyDescent="0.4">
      <c r="A1960">
        <v>2011</v>
      </c>
      <c r="B1960" s="2" t="s">
        <v>441</v>
      </c>
      <c r="C1960" s="2" t="s">
        <v>713</v>
      </c>
      <c r="D1960" s="2" t="s">
        <v>79</v>
      </c>
      <c r="E1960" s="67" t="s">
        <v>88</v>
      </c>
      <c r="F1960" s="12">
        <v>1182</v>
      </c>
      <c r="G1960" s="12">
        <v>690</v>
      </c>
      <c r="H1960" s="12">
        <v>492</v>
      </c>
      <c r="J1960" s="2"/>
      <c r="K1960" s="2"/>
      <c r="L1960" s="2"/>
      <c r="M1960" s="2"/>
      <c r="N1960" s="2"/>
      <c r="O1960" s="2"/>
      <c r="P1960" s="2"/>
    </row>
    <row r="1961" spans="1:16" x14ac:dyDescent="0.4">
      <c r="A1961">
        <v>2011</v>
      </c>
      <c r="B1961" s="2" t="s">
        <v>442</v>
      </c>
      <c r="C1961" s="2" t="s">
        <v>713</v>
      </c>
      <c r="D1961" s="2" t="s">
        <v>79</v>
      </c>
      <c r="E1961" s="67" t="s">
        <v>89</v>
      </c>
      <c r="F1961" s="12">
        <v>297</v>
      </c>
      <c r="G1961" s="12">
        <v>159</v>
      </c>
      <c r="H1961" s="12">
        <v>138</v>
      </c>
      <c r="J1961" s="2"/>
      <c r="K1961" s="2"/>
      <c r="L1961" s="2"/>
      <c r="M1961" s="2"/>
      <c r="N1961" s="2"/>
      <c r="O1961" s="2"/>
      <c r="P1961" s="2"/>
    </row>
    <row r="1962" spans="1:16" x14ac:dyDescent="0.4">
      <c r="A1962">
        <v>2011</v>
      </c>
      <c r="B1962" s="2" t="s">
        <v>443</v>
      </c>
      <c r="C1962" s="2" t="s">
        <v>713</v>
      </c>
      <c r="D1962" s="2" t="s">
        <v>79</v>
      </c>
      <c r="E1962" s="67" t="s">
        <v>90</v>
      </c>
      <c r="F1962" s="12">
        <v>181</v>
      </c>
      <c r="G1962" s="12">
        <v>123</v>
      </c>
      <c r="H1962" s="12">
        <v>58</v>
      </c>
      <c r="J1962" s="2"/>
      <c r="K1962" s="2"/>
      <c r="L1962" s="2"/>
      <c r="M1962" s="2"/>
      <c r="N1962" s="2"/>
      <c r="O1962" s="2"/>
      <c r="P1962" s="2"/>
    </row>
    <row r="1963" spans="1:16" x14ac:dyDescent="0.4">
      <c r="A1963">
        <v>2011</v>
      </c>
      <c r="B1963" s="2" t="s">
        <v>444</v>
      </c>
      <c r="C1963" s="2" t="s">
        <v>713</v>
      </c>
      <c r="D1963" s="2" t="s">
        <v>79</v>
      </c>
      <c r="E1963" s="67" t="s">
        <v>91</v>
      </c>
      <c r="F1963" s="12">
        <v>5195</v>
      </c>
      <c r="G1963" s="12">
        <v>3160</v>
      </c>
      <c r="H1963" s="12">
        <v>2035</v>
      </c>
      <c r="J1963" s="2"/>
      <c r="K1963" s="2"/>
      <c r="L1963" s="2"/>
      <c r="M1963" s="2"/>
      <c r="N1963" s="2"/>
      <c r="O1963" s="2"/>
      <c r="P1963" s="2"/>
    </row>
    <row r="1964" spans="1:16" x14ac:dyDescent="0.4">
      <c r="A1964">
        <v>2011</v>
      </c>
      <c r="B1964" s="2" t="s">
        <v>445</v>
      </c>
      <c r="C1964" s="2" t="s">
        <v>714</v>
      </c>
      <c r="D1964" s="2" t="s">
        <v>93</v>
      </c>
      <c r="E1964" s="67" t="s">
        <v>92</v>
      </c>
      <c r="F1964" s="12">
        <v>33</v>
      </c>
      <c r="G1964" s="12">
        <v>18</v>
      </c>
      <c r="H1964" s="12">
        <v>15</v>
      </c>
      <c r="J1964" s="2"/>
      <c r="K1964" s="2"/>
      <c r="L1964" s="2"/>
      <c r="M1964" s="2"/>
      <c r="N1964" s="2"/>
      <c r="O1964" s="2"/>
      <c r="P1964" s="2"/>
    </row>
    <row r="1965" spans="1:16" x14ac:dyDescent="0.4">
      <c r="A1965">
        <v>2011</v>
      </c>
      <c r="B1965" s="2" t="s">
        <v>446</v>
      </c>
      <c r="C1965" s="2" t="s">
        <v>714</v>
      </c>
      <c r="D1965" s="2" t="s">
        <v>93</v>
      </c>
      <c r="E1965" s="67" t="s">
        <v>94</v>
      </c>
      <c r="F1965" s="12">
        <v>339</v>
      </c>
      <c r="G1965" s="12">
        <v>225</v>
      </c>
      <c r="H1965" s="12">
        <v>114</v>
      </c>
      <c r="J1965" s="2"/>
      <c r="K1965" s="2"/>
      <c r="L1965" s="2"/>
      <c r="M1965" s="2"/>
      <c r="N1965" s="2"/>
      <c r="O1965" s="2"/>
      <c r="P1965" s="2"/>
    </row>
    <row r="1966" spans="1:16" x14ac:dyDescent="0.4">
      <c r="A1966">
        <v>2011</v>
      </c>
      <c r="B1966" s="2" t="s">
        <v>447</v>
      </c>
      <c r="C1966" s="2" t="s">
        <v>714</v>
      </c>
      <c r="D1966" s="2" t="s">
        <v>93</v>
      </c>
      <c r="E1966" s="67" t="s">
        <v>40</v>
      </c>
      <c r="F1966" s="12">
        <v>30</v>
      </c>
      <c r="G1966" s="12">
        <v>15</v>
      </c>
      <c r="H1966" s="12">
        <v>15</v>
      </c>
      <c r="J1966" s="2"/>
      <c r="K1966" s="2"/>
      <c r="L1966" s="2"/>
      <c r="M1966" s="2"/>
      <c r="N1966" s="2"/>
      <c r="O1966" s="2"/>
      <c r="P1966" s="2"/>
    </row>
    <row r="1967" spans="1:16" x14ac:dyDescent="0.4">
      <c r="A1967">
        <v>2011</v>
      </c>
      <c r="B1967" s="2" t="s">
        <v>448</v>
      </c>
      <c r="C1967" s="2" t="s">
        <v>714</v>
      </c>
      <c r="D1967" s="2" t="s">
        <v>93</v>
      </c>
      <c r="E1967" s="67" t="s">
        <v>95</v>
      </c>
      <c r="F1967" s="12">
        <v>32</v>
      </c>
      <c r="G1967" s="12">
        <v>16</v>
      </c>
      <c r="H1967" s="12">
        <v>16</v>
      </c>
      <c r="J1967" s="2"/>
      <c r="K1967" s="2"/>
      <c r="L1967" s="2"/>
      <c r="M1967" s="2"/>
      <c r="N1967" s="2"/>
      <c r="O1967" s="2"/>
      <c r="P1967" s="2"/>
    </row>
    <row r="1968" spans="1:16" x14ac:dyDescent="0.4">
      <c r="A1968">
        <v>2011</v>
      </c>
      <c r="B1968" s="2" t="s">
        <v>449</v>
      </c>
      <c r="C1968" s="2" t="s">
        <v>714</v>
      </c>
      <c r="D1968" s="14" t="s">
        <v>93</v>
      </c>
      <c r="E1968" s="69" t="s">
        <v>96</v>
      </c>
      <c r="F1968" s="11">
        <v>30</v>
      </c>
      <c r="G1968" s="11">
        <v>22</v>
      </c>
      <c r="H1968" s="12">
        <v>8</v>
      </c>
      <c r="J1968" s="2"/>
      <c r="K1968" s="2"/>
      <c r="L1968" s="2"/>
      <c r="M1968" s="2"/>
      <c r="N1968" s="2"/>
      <c r="O1968" s="2"/>
      <c r="P1968" s="2"/>
    </row>
    <row r="1969" spans="1:16" x14ac:dyDescent="0.4">
      <c r="A1969">
        <v>2011</v>
      </c>
      <c r="B1969" s="2" t="s">
        <v>450</v>
      </c>
      <c r="C1969" s="2" t="s">
        <v>714</v>
      </c>
      <c r="D1969" s="2" t="s">
        <v>93</v>
      </c>
      <c r="E1969" s="67" t="s">
        <v>97</v>
      </c>
      <c r="F1969" s="12">
        <v>38</v>
      </c>
      <c r="G1969" s="12">
        <v>21</v>
      </c>
      <c r="H1969" s="12">
        <v>17</v>
      </c>
      <c r="J1969" s="2"/>
      <c r="K1969" s="2"/>
      <c r="L1969" s="2"/>
      <c r="M1969" s="2"/>
      <c r="N1969" s="2"/>
      <c r="O1969" s="2"/>
      <c r="P1969" s="2"/>
    </row>
    <row r="1970" spans="1:16" x14ac:dyDescent="0.4">
      <c r="A1970">
        <v>2011</v>
      </c>
      <c r="B1970" s="2" t="s">
        <v>451</v>
      </c>
      <c r="C1970" s="2" t="s">
        <v>714</v>
      </c>
      <c r="D1970" s="2" t="s">
        <v>93</v>
      </c>
      <c r="E1970" s="67" t="s">
        <v>34</v>
      </c>
      <c r="F1970" s="12">
        <v>33</v>
      </c>
      <c r="G1970" s="12">
        <v>21</v>
      </c>
      <c r="H1970" s="12">
        <v>12</v>
      </c>
      <c r="J1970" s="2"/>
      <c r="K1970" s="2"/>
      <c r="L1970" s="2"/>
      <c r="M1970" s="2"/>
      <c r="N1970" s="2"/>
      <c r="O1970" s="2"/>
      <c r="P1970" s="2"/>
    </row>
    <row r="1971" spans="1:16" x14ac:dyDescent="0.4">
      <c r="A1971">
        <v>2011</v>
      </c>
      <c r="B1971" s="2" t="s">
        <v>452</v>
      </c>
      <c r="C1971" s="2" t="s">
        <v>714</v>
      </c>
      <c r="D1971" s="2" t="s">
        <v>93</v>
      </c>
      <c r="E1971" s="67" t="s">
        <v>98</v>
      </c>
      <c r="F1971" s="12">
        <v>704</v>
      </c>
      <c r="G1971" s="12">
        <v>427</v>
      </c>
      <c r="H1971" s="12">
        <v>277</v>
      </c>
      <c r="J1971" s="2"/>
      <c r="K1971" s="2"/>
      <c r="L1971" s="2"/>
      <c r="M1971" s="2"/>
      <c r="N1971" s="2"/>
      <c r="O1971" s="2"/>
      <c r="P1971" s="2"/>
    </row>
    <row r="1972" spans="1:16" x14ac:dyDescent="0.4">
      <c r="A1972">
        <v>2011</v>
      </c>
      <c r="B1972" s="2" t="s">
        <v>453</v>
      </c>
      <c r="C1972" s="2" t="s">
        <v>714</v>
      </c>
      <c r="D1972" s="2" t="s">
        <v>93</v>
      </c>
      <c r="E1972" s="67" t="s">
        <v>99</v>
      </c>
      <c r="F1972" s="12">
        <v>111</v>
      </c>
      <c r="G1972" s="12">
        <v>81</v>
      </c>
      <c r="H1972" s="12">
        <v>30</v>
      </c>
      <c r="J1972" s="2"/>
      <c r="K1972" s="2"/>
      <c r="L1972" s="2"/>
      <c r="M1972" s="2"/>
      <c r="N1972" s="2"/>
      <c r="O1972" s="2"/>
      <c r="P1972" s="2"/>
    </row>
    <row r="1973" spans="1:16" x14ac:dyDescent="0.4">
      <c r="A1973">
        <v>2011</v>
      </c>
      <c r="B1973" s="2" t="s">
        <v>454</v>
      </c>
      <c r="C1973" s="2" t="s">
        <v>715</v>
      </c>
      <c r="D1973" s="2" t="s">
        <v>101</v>
      </c>
      <c r="E1973" s="67" t="s">
        <v>100</v>
      </c>
      <c r="F1973" s="12">
        <v>54</v>
      </c>
      <c r="G1973" s="12">
        <v>34</v>
      </c>
      <c r="H1973" s="12">
        <v>20</v>
      </c>
      <c r="J1973" s="2"/>
      <c r="K1973" s="2"/>
      <c r="L1973" s="2"/>
      <c r="M1973" s="2"/>
      <c r="N1973" s="2"/>
      <c r="O1973" s="2"/>
      <c r="P1973" s="2"/>
    </row>
    <row r="1974" spans="1:16" x14ac:dyDescent="0.4">
      <c r="A1974">
        <v>2011</v>
      </c>
      <c r="B1974" s="2" t="s">
        <v>455</v>
      </c>
      <c r="C1974" s="2" t="s">
        <v>715</v>
      </c>
      <c r="D1974" s="2" t="s">
        <v>101</v>
      </c>
      <c r="E1974" s="67" t="s">
        <v>102</v>
      </c>
      <c r="F1974" s="12">
        <v>42</v>
      </c>
      <c r="G1974" s="12">
        <v>26</v>
      </c>
      <c r="H1974" s="12">
        <v>16</v>
      </c>
      <c r="J1974" s="2"/>
      <c r="K1974" s="2"/>
      <c r="L1974" s="2"/>
      <c r="M1974" s="2"/>
      <c r="N1974" s="2"/>
      <c r="O1974" s="2"/>
      <c r="P1974" s="2"/>
    </row>
    <row r="1975" spans="1:16" x14ac:dyDescent="0.4">
      <c r="A1975">
        <v>2011</v>
      </c>
      <c r="B1975" s="2" t="s">
        <v>456</v>
      </c>
      <c r="C1975" s="2" t="s">
        <v>715</v>
      </c>
      <c r="D1975" s="2" t="s">
        <v>101</v>
      </c>
      <c r="E1975" s="67" t="s">
        <v>103</v>
      </c>
      <c r="F1975" s="12">
        <v>15</v>
      </c>
      <c r="G1975" s="12">
        <v>10</v>
      </c>
      <c r="H1975" s="12">
        <v>5</v>
      </c>
      <c r="J1975" s="2"/>
      <c r="K1975" s="2"/>
      <c r="L1975" s="2"/>
      <c r="M1975" s="2"/>
      <c r="N1975" s="2"/>
      <c r="O1975" s="2"/>
      <c r="P1975" s="2"/>
    </row>
    <row r="1976" spans="1:16" x14ac:dyDescent="0.4">
      <c r="A1976">
        <v>2011</v>
      </c>
      <c r="B1976" s="2" t="s">
        <v>457</v>
      </c>
      <c r="C1976" s="2" t="s">
        <v>715</v>
      </c>
      <c r="D1976" s="2" t="s">
        <v>101</v>
      </c>
      <c r="E1976" s="67" t="s">
        <v>104</v>
      </c>
      <c r="F1976" s="12">
        <v>502</v>
      </c>
      <c r="G1976" s="12">
        <v>328</v>
      </c>
      <c r="H1976" s="12">
        <v>174</v>
      </c>
      <c r="J1976" s="2"/>
      <c r="K1976" s="2"/>
      <c r="L1976" s="2"/>
      <c r="M1976" s="2"/>
      <c r="N1976" s="2"/>
      <c r="O1976" s="2"/>
      <c r="P1976" s="2"/>
    </row>
    <row r="1977" spans="1:16" x14ac:dyDescent="0.4">
      <c r="A1977">
        <v>2011</v>
      </c>
      <c r="B1977" s="2" t="s">
        <v>458</v>
      </c>
      <c r="C1977" s="2" t="s">
        <v>716</v>
      </c>
      <c r="D1977" s="2" t="s">
        <v>129</v>
      </c>
      <c r="E1977" s="67" t="s">
        <v>128</v>
      </c>
      <c r="F1977" s="12">
        <v>30</v>
      </c>
      <c r="G1977" s="12">
        <v>23</v>
      </c>
      <c r="H1977" s="12">
        <v>7</v>
      </c>
      <c r="J1977" s="2"/>
      <c r="K1977" s="2"/>
      <c r="L1977" s="2"/>
      <c r="M1977" s="2"/>
      <c r="N1977" s="2"/>
      <c r="O1977" s="2"/>
      <c r="P1977" s="2"/>
    </row>
    <row r="1978" spans="1:16" x14ac:dyDescent="0.4">
      <c r="A1978">
        <v>2011</v>
      </c>
      <c r="B1978" s="2" t="s">
        <v>459</v>
      </c>
      <c r="C1978" s="2" t="s">
        <v>716</v>
      </c>
      <c r="D1978" s="2" t="s">
        <v>129</v>
      </c>
      <c r="E1978" s="67" t="s">
        <v>36</v>
      </c>
      <c r="F1978" s="12">
        <v>20</v>
      </c>
      <c r="G1978" s="12">
        <v>9</v>
      </c>
      <c r="H1978" s="12">
        <v>11</v>
      </c>
      <c r="J1978" s="2"/>
      <c r="K1978" s="2"/>
      <c r="L1978" s="2"/>
      <c r="M1978" s="2"/>
      <c r="N1978" s="2"/>
      <c r="O1978" s="2"/>
      <c r="P1978" s="2"/>
    </row>
    <row r="1979" spans="1:16" x14ac:dyDescent="0.4">
      <c r="A1979">
        <v>2011</v>
      </c>
      <c r="B1979" s="2" t="s">
        <v>460</v>
      </c>
      <c r="C1979" s="2" t="s">
        <v>716</v>
      </c>
      <c r="D1979" s="2" t="s">
        <v>129</v>
      </c>
      <c r="E1979" s="67" t="s">
        <v>130</v>
      </c>
      <c r="F1979" s="12">
        <v>50</v>
      </c>
      <c r="G1979" s="12">
        <v>29</v>
      </c>
      <c r="H1979" s="12">
        <v>21</v>
      </c>
      <c r="J1979" s="2"/>
      <c r="K1979" s="2"/>
      <c r="L1979" s="2"/>
      <c r="M1979" s="2"/>
      <c r="N1979" s="2"/>
      <c r="O1979" s="2"/>
      <c r="P1979" s="2"/>
    </row>
    <row r="1980" spans="1:16" x14ac:dyDescent="0.4">
      <c r="A1980">
        <v>2011</v>
      </c>
      <c r="B1980" s="2" t="s">
        <v>461</v>
      </c>
      <c r="C1980" s="2" t="s">
        <v>716</v>
      </c>
      <c r="D1980" s="2" t="s">
        <v>129</v>
      </c>
      <c r="E1980" s="67" t="s">
        <v>131</v>
      </c>
      <c r="F1980" s="12">
        <v>16</v>
      </c>
      <c r="G1980" s="12">
        <v>12</v>
      </c>
      <c r="H1980" s="12">
        <v>4</v>
      </c>
      <c r="J1980" s="2"/>
      <c r="K1980" s="2"/>
      <c r="L1980" s="2"/>
      <c r="M1980" s="2"/>
      <c r="N1980" s="2"/>
      <c r="O1980" s="2"/>
      <c r="P1980" s="2"/>
    </row>
    <row r="1981" spans="1:16" x14ac:dyDescent="0.4">
      <c r="A1981">
        <v>2011</v>
      </c>
      <c r="B1981" s="2" t="s">
        <v>462</v>
      </c>
      <c r="C1981" s="2" t="s">
        <v>716</v>
      </c>
      <c r="D1981" s="2" t="s">
        <v>129</v>
      </c>
      <c r="E1981" s="67" t="s">
        <v>132</v>
      </c>
      <c r="F1981" s="12">
        <v>1257</v>
      </c>
      <c r="G1981" s="12">
        <v>720</v>
      </c>
      <c r="H1981" s="12">
        <v>537</v>
      </c>
      <c r="J1981" s="2"/>
      <c r="K1981" s="2"/>
      <c r="L1981" s="2"/>
      <c r="M1981" s="2"/>
      <c r="N1981" s="2"/>
      <c r="O1981" s="2"/>
      <c r="P1981" s="2"/>
    </row>
    <row r="1982" spans="1:16" x14ac:dyDescent="0.4">
      <c r="A1982">
        <v>2011</v>
      </c>
      <c r="B1982" s="2" t="s">
        <v>463</v>
      </c>
      <c r="C1982" s="2" t="s">
        <v>716</v>
      </c>
      <c r="D1982" s="2" t="s">
        <v>129</v>
      </c>
      <c r="E1982" s="67" t="s">
        <v>133</v>
      </c>
      <c r="F1982" s="12">
        <v>84</v>
      </c>
      <c r="G1982" s="12">
        <v>53</v>
      </c>
      <c r="H1982" s="12">
        <v>31</v>
      </c>
      <c r="J1982" s="2"/>
      <c r="K1982" s="2"/>
      <c r="L1982" s="2"/>
      <c r="M1982" s="2"/>
      <c r="N1982" s="2"/>
      <c r="O1982" s="2"/>
      <c r="P1982" s="2"/>
    </row>
    <row r="1983" spans="1:16" x14ac:dyDescent="0.4">
      <c r="A1983">
        <v>2011</v>
      </c>
      <c r="B1983" s="2" t="s">
        <v>464</v>
      </c>
      <c r="C1983" s="2" t="s">
        <v>716</v>
      </c>
      <c r="D1983" s="2" t="s">
        <v>129</v>
      </c>
      <c r="E1983" s="67" t="s">
        <v>134</v>
      </c>
      <c r="F1983" s="12">
        <v>70</v>
      </c>
      <c r="G1983" s="12">
        <v>45</v>
      </c>
      <c r="H1983" s="12">
        <v>25</v>
      </c>
      <c r="J1983" s="2"/>
      <c r="K1983" s="2"/>
      <c r="L1983" s="2"/>
      <c r="M1983" s="2"/>
      <c r="N1983" s="2"/>
      <c r="O1983" s="2"/>
      <c r="P1983" s="2"/>
    </row>
    <row r="1984" spans="1:16" x14ac:dyDescent="0.4">
      <c r="A1984">
        <v>2011</v>
      </c>
      <c r="B1984" s="2" t="s">
        <v>465</v>
      </c>
      <c r="C1984" s="2" t="s">
        <v>716</v>
      </c>
      <c r="D1984" s="2" t="s">
        <v>129</v>
      </c>
      <c r="E1984" s="67" t="s">
        <v>135</v>
      </c>
      <c r="F1984" s="12">
        <v>20</v>
      </c>
      <c r="G1984" s="12">
        <v>12</v>
      </c>
      <c r="H1984" s="12">
        <v>8</v>
      </c>
      <c r="J1984" s="2"/>
      <c r="K1984" s="2"/>
      <c r="L1984" s="2"/>
      <c r="M1984" s="2"/>
      <c r="N1984" s="2"/>
      <c r="O1984" s="2"/>
      <c r="P1984" s="2"/>
    </row>
    <row r="1985" spans="1:16" x14ac:dyDescent="0.4">
      <c r="A1985">
        <v>2011</v>
      </c>
      <c r="B1985" s="2" t="s">
        <v>466</v>
      </c>
      <c r="C1985" s="2" t="s">
        <v>716</v>
      </c>
      <c r="D1985" s="2" t="s">
        <v>129</v>
      </c>
      <c r="E1985" s="67" t="s">
        <v>94</v>
      </c>
      <c r="F1985" s="12">
        <v>154</v>
      </c>
      <c r="G1985" s="12">
        <v>96</v>
      </c>
      <c r="H1985" s="12">
        <v>58</v>
      </c>
      <c r="J1985" s="2"/>
      <c r="K1985" s="2"/>
      <c r="L1985" s="2"/>
      <c r="M1985" s="2"/>
      <c r="N1985" s="2"/>
      <c r="O1985" s="2"/>
      <c r="P1985" s="2"/>
    </row>
    <row r="1986" spans="1:16" x14ac:dyDescent="0.4">
      <c r="A1986">
        <v>2011</v>
      </c>
      <c r="B1986" s="2" t="s">
        <v>467</v>
      </c>
      <c r="C1986" s="2" t="s">
        <v>716</v>
      </c>
      <c r="D1986" s="2" t="s">
        <v>129</v>
      </c>
      <c r="E1986" s="67" t="s">
        <v>136</v>
      </c>
      <c r="F1986" s="12">
        <v>91</v>
      </c>
      <c r="G1986" s="12">
        <v>47</v>
      </c>
      <c r="H1986" s="12">
        <v>44</v>
      </c>
      <c r="J1986" s="2"/>
      <c r="K1986" s="2"/>
      <c r="L1986" s="2"/>
      <c r="M1986" s="2"/>
      <c r="N1986" s="2"/>
      <c r="O1986" s="2"/>
      <c r="P1986" s="2"/>
    </row>
    <row r="1987" spans="1:16" x14ac:dyDescent="0.4">
      <c r="A1987">
        <v>2011</v>
      </c>
      <c r="B1987" s="2" t="s">
        <v>468</v>
      </c>
      <c r="C1987" s="2" t="s">
        <v>716</v>
      </c>
      <c r="D1987" s="2" t="s">
        <v>129</v>
      </c>
      <c r="E1987" s="67" t="s">
        <v>137</v>
      </c>
      <c r="F1987" s="12">
        <v>7</v>
      </c>
      <c r="G1987" s="12">
        <v>5</v>
      </c>
      <c r="H1987" s="12">
        <v>2</v>
      </c>
      <c r="J1987" s="2"/>
      <c r="K1987" s="2"/>
      <c r="L1987" s="2"/>
      <c r="M1987" s="2"/>
      <c r="N1987" s="2"/>
      <c r="O1987" s="2"/>
      <c r="P1987" s="2"/>
    </row>
    <row r="1988" spans="1:16" x14ac:dyDescent="0.4">
      <c r="A1988">
        <v>2011</v>
      </c>
      <c r="B1988" s="2" t="s">
        <v>469</v>
      </c>
      <c r="C1988" s="2" t="s">
        <v>716</v>
      </c>
      <c r="D1988" s="2" t="s">
        <v>129</v>
      </c>
      <c r="E1988" s="67" t="s">
        <v>138</v>
      </c>
      <c r="F1988" s="12">
        <v>130</v>
      </c>
      <c r="G1988" s="12">
        <v>85</v>
      </c>
      <c r="H1988" s="12">
        <v>45</v>
      </c>
      <c r="J1988" s="2"/>
      <c r="K1988" s="2"/>
      <c r="L1988" s="2"/>
      <c r="M1988" s="2"/>
      <c r="N1988" s="2"/>
      <c r="O1988" s="2"/>
      <c r="P1988" s="2"/>
    </row>
    <row r="1989" spans="1:16" x14ac:dyDescent="0.4">
      <c r="A1989">
        <v>2011</v>
      </c>
      <c r="B1989" s="2" t="s">
        <v>470</v>
      </c>
      <c r="C1989" s="2" t="s">
        <v>716</v>
      </c>
      <c r="D1989" s="2" t="s">
        <v>129</v>
      </c>
      <c r="E1989" s="67" t="s">
        <v>139</v>
      </c>
      <c r="F1989" s="12">
        <v>80</v>
      </c>
      <c r="G1989" s="12">
        <v>47</v>
      </c>
      <c r="H1989" s="12">
        <v>33</v>
      </c>
      <c r="J1989" s="2"/>
      <c r="K1989" s="2"/>
      <c r="L1989" s="2"/>
      <c r="M1989" s="2"/>
      <c r="N1989" s="2"/>
      <c r="O1989" s="2"/>
      <c r="P1989" s="2"/>
    </row>
    <row r="1990" spans="1:16" x14ac:dyDescent="0.4">
      <c r="A1990">
        <v>2011</v>
      </c>
      <c r="B1990" s="2" t="s">
        <v>471</v>
      </c>
      <c r="C1990" s="2" t="s">
        <v>716</v>
      </c>
      <c r="D1990" s="2" t="s">
        <v>129</v>
      </c>
      <c r="E1990" s="67" t="s">
        <v>85</v>
      </c>
      <c r="F1990" s="12">
        <v>1460</v>
      </c>
      <c r="G1990" s="12">
        <v>798</v>
      </c>
      <c r="H1990" s="12">
        <v>662</v>
      </c>
      <c r="J1990" s="2"/>
      <c r="K1990" s="2"/>
      <c r="L1990" s="2"/>
      <c r="M1990" s="2"/>
      <c r="N1990" s="2"/>
      <c r="O1990" s="2"/>
      <c r="P1990" s="2"/>
    </row>
    <row r="1991" spans="1:16" x14ac:dyDescent="0.4">
      <c r="A1991">
        <v>2011</v>
      </c>
      <c r="B1991" s="2" t="s">
        <v>472</v>
      </c>
      <c r="C1991" s="2" t="s">
        <v>716</v>
      </c>
      <c r="D1991" s="2" t="s">
        <v>129</v>
      </c>
      <c r="E1991" s="67" t="s">
        <v>140</v>
      </c>
      <c r="F1991" s="12">
        <v>62</v>
      </c>
      <c r="G1991" s="12">
        <v>43</v>
      </c>
      <c r="H1991" s="12">
        <v>19</v>
      </c>
      <c r="J1991" s="2"/>
      <c r="K1991" s="2"/>
      <c r="L1991" s="2"/>
      <c r="M1991" s="2"/>
      <c r="N1991" s="2"/>
      <c r="O1991" s="2"/>
      <c r="P1991" s="2"/>
    </row>
    <row r="1992" spans="1:16" x14ac:dyDescent="0.4">
      <c r="A1992">
        <v>2011</v>
      </c>
      <c r="B1992" s="2" t="s">
        <v>473</v>
      </c>
      <c r="C1992" s="2" t="s">
        <v>716</v>
      </c>
      <c r="D1992" s="2" t="s">
        <v>129</v>
      </c>
      <c r="E1992" s="67" t="s">
        <v>141</v>
      </c>
      <c r="F1992" s="12">
        <v>6</v>
      </c>
      <c r="G1992" s="12">
        <v>5</v>
      </c>
      <c r="H1992" s="12">
        <v>1</v>
      </c>
      <c r="J1992" s="2"/>
      <c r="K1992" s="2"/>
      <c r="L1992" s="2"/>
      <c r="M1992" s="2"/>
      <c r="N1992" s="2"/>
      <c r="O1992" s="2"/>
      <c r="P1992" s="2"/>
    </row>
    <row r="1993" spans="1:16" x14ac:dyDescent="0.4">
      <c r="A1993">
        <v>2011</v>
      </c>
      <c r="B1993" s="2" t="s">
        <v>474</v>
      </c>
      <c r="C1993" s="2" t="s">
        <v>716</v>
      </c>
      <c r="D1993" s="2" t="s">
        <v>129</v>
      </c>
      <c r="E1993" s="67" t="s">
        <v>143</v>
      </c>
      <c r="F1993" s="12">
        <v>26</v>
      </c>
      <c r="G1993" s="12">
        <v>15</v>
      </c>
      <c r="H1993" s="12">
        <v>11</v>
      </c>
      <c r="J1993" s="2"/>
      <c r="K1993" s="2"/>
      <c r="L1993" s="2"/>
      <c r="M1993" s="2"/>
      <c r="N1993" s="2"/>
      <c r="O1993" s="2"/>
      <c r="P1993" s="2"/>
    </row>
    <row r="1994" spans="1:16" x14ac:dyDescent="0.4">
      <c r="A1994">
        <v>2011</v>
      </c>
      <c r="B1994" s="2" t="s">
        <v>475</v>
      </c>
      <c r="C1994" s="2" t="s">
        <v>716</v>
      </c>
      <c r="D1994" s="2" t="s">
        <v>129</v>
      </c>
      <c r="E1994" s="67" t="s">
        <v>21</v>
      </c>
      <c r="F1994" s="12">
        <v>35</v>
      </c>
      <c r="G1994" s="12">
        <v>20</v>
      </c>
      <c r="H1994" s="12">
        <v>15</v>
      </c>
      <c r="J1994" s="2"/>
      <c r="K1994" s="2"/>
      <c r="L1994" s="2"/>
      <c r="M1994" s="2"/>
      <c r="N1994" s="2"/>
      <c r="O1994" s="2"/>
      <c r="P1994" s="2"/>
    </row>
    <row r="1995" spans="1:16" x14ac:dyDescent="0.4">
      <c r="A1995">
        <v>2011</v>
      </c>
      <c r="B1995" s="2" t="s">
        <v>476</v>
      </c>
      <c r="C1995" s="2" t="s">
        <v>716</v>
      </c>
      <c r="D1995" s="2" t="s">
        <v>129</v>
      </c>
      <c r="E1995" s="67" t="s">
        <v>144</v>
      </c>
      <c r="F1995" s="12">
        <v>45</v>
      </c>
      <c r="G1995" s="12">
        <v>26</v>
      </c>
      <c r="H1995" s="12">
        <v>19</v>
      </c>
      <c r="J1995" s="2"/>
      <c r="K1995" s="2"/>
      <c r="L1995" s="2"/>
      <c r="M1995" s="2"/>
      <c r="N1995" s="2"/>
      <c r="O1995" s="2"/>
      <c r="P1995" s="2"/>
    </row>
    <row r="1996" spans="1:16" x14ac:dyDescent="0.4">
      <c r="A1996">
        <v>2011</v>
      </c>
      <c r="B1996" s="2" t="s">
        <v>477</v>
      </c>
      <c r="C1996" s="2" t="s">
        <v>716</v>
      </c>
      <c r="D1996" s="2" t="s">
        <v>129</v>
      </c>
      <c r="E1996" s="67" t="s">
        <v>145</v>
      </c>
      <c r="F1996" s="12">
        <v>165</v>
      </c>
      <c r="G1996" s="12">
        <v>122</v>
      </c>
      <c r="H1996" s="12">
        <v>43</v>
      </c>
      <c r="J1996" s="2"/>
      <c r="K1996" s="2"/>
      <c r="L1996" s="2"/>
      <c r="M1996" s="2"/>
      <c r="N1996" s="2"/>
      <c r="O1996" s="2"/>
      <c r="P1996" s="2"/>
    </row>
    <row r="1997" spans="1:16" x14ac:dyDescent="0.4">
      <c r="A1997">
        <v>2011</v>
      </c>
      <c r="B1997" s="2" t="s">
        <v>478</v>
      </c>
      <c r="C1997" s="2" t="s">
        <v>716</v>
      </c>
      <c r="D1997" s="2" t="s">
        <v>129</v>
      </c>
      <c r="E1997" s="67" t="s">
        <v>51</v>
      </c>
      <c r="F1997" s="12">
        <v>16</v>
      </c>
      <c r="G1997" s="12">
        <v>10</v>
      </c>
      <c r="H1997" s="12">
        <v>6</v>
      </c>
      <c r="J1997" s="2"/>
      <c r="K1997" s="2"/>
      <c r="L1997" s="2"/>
      <c r="M1997" s="2"/>
      <c r="N1997" s="2"/>
      <c r="O1997" s="2"/>
      <c r="P1997" s="2"/>
    </row>
    <row r="1998" spans="1:16" x14ac:dyDescent="0.4">
      <c r="A1998">
        <v>2011</v>
      </c>
      <c r="B1998" s="2" t="s">
        <v>479</v>
      </c>
      <c r="C1998" s="2" t="s">
        <v>716</v>
      </c>
      <c r="D1998" s="2" t="s">
        <v>129</v>
      </c>
      <c r="E1998" s="67" t="s">
        <v>146</v>
      </c>
      <c r="F1998" s="12">
        <v>19</v>
      </c>
      <c r="G1998" s="12">
        <v>11</v>
      </c>
      <c r="H1998" s="12">
        <v>8</v>
      </c>
      <c r="J1998" s="2"/>
      <c r="K1998" s="2"/>
      <c r="L1998" s="2"/>
      <c r="M1998" s="2"/>
      <c r="N1998" s="2"/>
      <c r="O1998" s="2"/>
      <c r="P1998" s="2"/>
    </row>
    <row r="1999" spans="1:16" x14ac:dyDescent="0.4">
      <c r="A1999">
        <v>2011</v>
      </c>
      <c r="B1999" s="2" t="s">
        <v>480</v>
      </c>
      <c r="C1999" s="2" t="s">
        <v>716</v>
      </c>
      <c r="D1999" s="2" t="s">
        <v>129</v>
      </c>
      <c r="E1999" s="67" t="s">
        <v>147</v>
      </c>
      <c r="F1999" s="12">
        <v>34</v>
      </c>
      <c r="G1999" s="12">
        <v>19</v>
      </c>
      <c r="H1999" s="12">
        <v>15</v>
      </c>
      <c r="J1999" s="2"/>
      <c r="K1999" s="2"/>
      <c r="L1999" s="2"/>
      <c r="M1999" s="2"/>
      <c r="N1999" s="2"/>
      <c r="O1999" s="2"/>
      <c r="P1999" s="2"/>
    </row>
    <row r="2000" spans="1:16" x14ac:dyDescent="0.4">
      <c r="A2000">
        <v>2011</v>
      </c>
      <c r="B2000" s="2" t="s">
        <v>481</v>
      </c>
      <c r="C2000" s="2" t="s">
        <v>716</v>
      </c>
      <c r="D2000" s="2" t="s">
        <v>129</v>
      </c>
      <c r="E2000" s="67" t="s">
        <v>148</v>
      </c>
      <c r="F2000" s="12">
        <v>17</v>
      </c>
      <c r="G2000" s="12">
        <v>8</v>
      </c>
      <c r="H2000" s="12">
        <v>9</v>
      </c>
      <c r="J2000" s="2"/>
      <c r="K2000" s="2"/>
      <c r="L2000" s="2"/>
      <c r="M2000" s="2"/>
      <c r="N2000" s="2"/>
      <c r="O2000" s="2"/>
      <c r="P2000" s="2"/>
    </row>
    <row r="2001" spans="1:16" x14ac:dyDescent="0.4">
      <c r="A2001">
        <v>2011</v>
      </c>
      <c r="B2001" s="2" t="s">
        <v>482</v>
      </c>
      <c r="C2001" s="2" t="s">
        <v>716</v>
      </c>
      <c r="D2001" s="2" t="s">
        <v>129</v>
      </c>
      <c r="E2001" s="67" t="s">
        <v>54</v>
      </c>
      <c r="F2001" s="12">
        <v>69</v>
      </c>
      <c r="G2001" s="12">
        <v>38</v>
      </c>
      <c r="H2001" s="12">
        <v>31</v>
      </c>
      <c r="J2001" s="2"/>
      <c r="K2001" s="2"/>
      <c r="L2001" s="2"/>
      <c r="M2001" s="2"/>
      <c r="N2001" s="2"/>
      <c r="O2001" s="2"/>
      <c r="P2001" s="2"/>
    </row>
    <row r="2002" spans="1:16" x14ac:dyDescent="0.4">
      <c r="A2002">
        <v>2011</v>
      </c>
      <c r="B2002" s="2" t="s">
        <v>483</v>
      </c>
      <c r="C2002" s="2" t="s">
        <v>717</v>
      </c>
      <c r="D2002" s="2" t="s">
        <v>150</v>
      </c>
      <c r="E2002" s="67" t="s">
        <v>149</v>
      </c>
      <c r="F2002" s="12">
        <v>56</v>
      </c>
      <c r="G2002" s="12">
        <v>28</v>
      </c>
      <c r="H2002" s="12">
        <v>28</v>
      </c>
      <c r="J2002" s="2"/>
      <c r="K2002" s="2"/>
      <c r="L2002" s="2"/>
      <c r="M2002" s="2"/>
      <c r="N2002" s="2"/>
      <c r="O2002" s="2"/>
      <c r="P2002" s="2"/>
    </row>
    <row r="2003" spans="1:16" x14ac:dyDescent="0.4">
      <c r="A2003">
        <v>2011</v>
      </c>
      <c r="B2003" s="2" t="s">
        <v>484</v>
      </c>
      <c r="C2003" s="2" t="s">
        <v>717</v>
      </c>
      <c r="D2003" s="2" t="s">
        <v>150</v>
      </c>
      <c r="E2003" s="67" t="s">
        <v>151</v>
      </c>
      <c r="F2003" s="12">
        <v>39</v>
      </c>
      <c r="G2003" s="12">
        <v>27</v>
      </c>
      <c r="H2003" s="12">
        <v>12</v>
      </c>
      <c r="J2003" s="2"/>
      <c r="K2003" s="2"/>
      <c r="L2003" s="2"/>
      <c r="M2003" s="2"/>
      <c r="N2003" s="2"/>
      <c r="O2003" s="2"/>
      <c r="P2003" s="2"/>
    </row>
    <row r="2004" spans="1:16" x14ac:dyDescent="0.4">
      <c r="A2004">
        <v>2011</v>
      </c>
      <c r="B2004" s="2" t="s">
        <v>485</v>
      </c>
      <c r="C2004" s="2" t="s">
        <v>717</v>
      </c>
      <c r="D2004" s="2" t="s">
        <v>150</v>
      </c>
      <c r="E2004" s="67" t="s">
        <v>152</v>
      </c>
      <c r="F2004" s="12">
        <v>48</v>
      </c>
      <c r="G2004" s="12">
        <v>36</v>
      </c>
      <c r="H2004" s="12">
        <v>12</v>
      </c>
      <c r="J2004" s="2"/>
      <c r="K2004" s="2"/>
      <c r="L2004" s="2"/>
      <c r="M2004" s="2"/>
      <c r="N2004" s="2"/>
      <c r="O2004" s="2"/>
      <c r="P2004" s="2"/>
    </row>
    <row r="2005" spans="1:16" x14ac:dyDescent="0.4">
      <c r="A2005">
        <v>2011</v>
      </c>
      <c r="B2005" s="2" t="s">
        <v>486</v>
      </c>
      <c r="C2005" s="2" t="s">
        <v>717</v>
      </c>
      <c r="D2005" s="2" t="s">
        <v>150</v>
      </c>
      <c r="E2005" s="67" t="s">
        <v>153</v>
      </c>
      <c r="F2005" s="12">
        <v>40</v>
      </c>
      <c r="G2005" s="12">
        <v>25</v>
      </c>
      <c r="H2005" s="12">
        <v>15</v>
      </c>
      <c r="J2005" s="2"/>
      <c r="K2005" s="2"/>
      <c r="L2005" s="2"/>
      <c r="M2005" s="2"/>
      <c r="N2005" s="2"/>
      <c r="O2005" s="2"/>
      <c r="P2005" s="2"/>
    </row>
    <row r="2006" spans="1:16" x14ac:dyDescent="0.4">
      <c r="A2006">
        <v>2011</v>
      </c>
      <c r="B2006" s="2" t="s">
        <v>487</v>
      </c>
      <c r="C2006" s="2" t="s">
        <v>717</v>
      </c>
      <c r="D2006" s="2" t="s">
        <v>150</v>
      </c>
      <c r="E2006" s="67" t="s">
        <v>154</v>
      </c>
      <c r="F2006" s="12">
        <v>740</v>
      </c>
      <c r="G2006" s="12">
        <v>464</v>
      </c>
      <c r="H2006" s="12">
        <v>276</v>
      </c>
      <c r="J2006" s="2"/>
      <c r="K2006" s="2"/>
      <c r="L2006" s="2"/>
      <c r="M2006" s="2"/>
      <c r="N2006" s="2"/>
      <c r="O2006" s="2"/>
      <c r="P2006" s="2"/>
    </row>
    <row r="2007" spans="1:16" x14ac:dyDescent="0.4">
      <c r="A2007">
        <v>2011</v>
      </c>
      <c r="B2007" s="2" t="s">
        <v>488</v>
      </c>
      <c r="C2007" s="2" t="s">
        <v>717</v>
      </c>
      <c r="D2007" s="2" t="s">
        <v>150</v>
      </c>
      <c r="E2007" s="67" t="s">
        <v>155</v>
      </c>
      <c r="F2007" s="12">
        <v>103</v>
      </c>
      <c r="G2007" s="12">
        <v>72</v>
      </c>
      <c r="H2007" s="12">
        <v>31</v>
      </c>
      <c r="J2007" s="2"/>
      <c r="K2007" s="2"/>
      <c r="L2007" s="2"/>
      <c r="M2007" s="2"/>
      <c r="N2007" s="2"/>
      <c r="O2007" s="2"/>
      <c r="P2007" s="2"/>
    </row>
    <row r="2008" spans="1:16" x14ac:dyDescent="0.4">
      <c r="A2008">
        <v>2011</v>
      </c>
      <c r="B2008" s="2" t="s">
        <v>489</v>
      </c>
      <c r="C2008" s="2" t="s">
        <v>717</v>
      </c>
      <c r="D2008" s="2" t="s">
        <v>150</v>
      </c>
      <c r="E2008" s="67" t="s">
        <v>156</v>
      </c>
      <c r="F2008" s="12">
        <v>119</v>
      </c>
      <c r="G2008" s="12">
        <v>83</v>
      </c>
      <c r="H2008" s="12">
        <v>36</v>
      </c>
      <c r="J2008" s="2"/>
      <c r="K2008" s="2"/>
      <c r="L2008" s="2"/>
      <c r="M2008" s="2"/>
      <c r="N2008" s="2"/>
      <c r="O2008" s="2"/>
      <c r="P2008" s="2"/>
    </row>
    <row r="2009" spans="1:16" x14ac:dyDescent="0.4">
      <c r="A2009">
        <v>2011</v>
      </c>
      <c r="B2009" s="2" t="s">
        <v>490</v>
      </c>
      <c r="C2009" s="2" t="s">
        <v>717</v>
      </c>
      <c r="D2009" s="2" t="s">
        <v>150</v>
      </c>
      <c r="E2009" s="67" t="s">
        <v>85</v>
      </c>
      <c r="F2009" s="12">
        <v>624</v>
      </c>
      <c r="G2009" s="12">
        <v>383</v>
      </c>
      <c r="H2009" s="12">
        <v>241</v>
      </c>
      <c r="J2009" s="2"/>
      <c r="K2009" s="2"/>
      <c r="L2009" s="2"/>
      <c r="M2009" s="2"/>
      <c r="N2009" s="2"/>
      <c r="O2009" s="2"/>
      <c r="P2009" s="2"/>
    </row>
    <row r="2010" spans="1:16" x14ac:dyDescent="0.4">
      <c r="A2010">
        <v>2011</v>
      </c>
      <c r="B2010" s="2" t="s">
        <v>491</v>
      </c>
      <c r="C2010" s="2" t="s">
        <v>717</v>
      </c>
      <c r="D2010" s="2" t="s">
        <v>150</v>
      </c>
      <c r="E2010" s="67" t="s">
        <v>157</v>
      </c>
      <c r="F2010" s="12">
        <v>356</v>
      </c>
      <c r="G2010" s="12">
        <v>222</v>
      </c>
      <c r="H2010" s="12">
        <v>134</v>
      </c>
      <c r="J2010" s="2"/>
      <c r="K2010" s="2"/>
      <c r="L2010" s="2"/>
      <c r="M2010" s="2"/>
      <c r="N2010" s="2"/>
      <c r="O2010" s="2"/>
      <c r="P2010" s="2"/>
    </row>
    <row r="2011" spans="1:16" x14ac:dyDescent="0.4">
      <c r="A2011">
        <v>2011</v>
      </c>
      <c r="B2011" s="2" t="s">
        <v>492</v>
      </c>
      <c r="C2011" s="2" t="s">
        <v>717</v>
      </c>
      <c r="D2011" s="2" t="s">
        <v>150</v>
      </c>
      <c r="E2011" s="67" t="s">
        <v>158</v>
      </c>
      <c r="F2011" s="12">
        <v>66</v>
      </c>
      <c r="G2011" s="12">
        <v>51</v>
      </c>
      <c r="H2011" s="12">
        <v>15</v>
      </c>
      <c r="J2011" s="2"/>
      <c r="K2011" s="2"/>
      <c r="L2011" s="2"/>
      <c r="M2011" s="2"/>
      <c r="N2011" s="2"/>
      <c r="O2011" s="2"/>
      <c r="P2011" s="2"/>
    </row>
    <row r="2012" spans="1:16" x14ac:dyDescent="0.4">
      <c r="A2012">
        <v>2011</v>
      </c>
      <c r="B2012" s="2" t="s">
        <v>493</v>
      </c>
      <c r="C2012" s="2" t="s">
        <v>717</v>
      </c>
      <c r="D2012" s="2" t="s">
        <v>150</v>
      </c>
      <c r="E2012" s="67" t="s">
        <v>159</v>
      </c>
      <c r="F2012" s="12">
        <v>106</v>
      </c>
      <c r="G2012" s="12">
        <v>68</v>
      </c>
      <c r="H2012" s="12">
        <v>38</v>
      </c>
      <c r="J2012" s="2"/>
      <c r="K2012" s="2"/>
      <c r="L2012" s="2"/>
      <c r="M2012" s="2"/>
      <c r="N2012" s="2"/>
      <c r="O2012" s="2"/>
      <c r="P2012" s="2"/>
    </row>
    <row r="2013" spans="1:16" x14ac:dyDescent="0.4">
      <c r="A2013">
        <v>2011</v>
      </c>
      <c r="B2013" s="2" t="s">
        <v>494</v>
      </c>
      <c r="C2013" s="2" t="s">
        <v>717</v>
      </c>
      <c r="D2013" s="2" t="s">
        <v>150</v>
      </c>
      <c r="E2013" s="67" t="s">
        <v>76</v>
      </c>
      <c r="F2013" s="12">
        <v>1132</v>
      </c>
      <c r="G2013" s="12">
        <v>685</v>
      </c>
      <c r="H2013" s="12">
        <v>447</v>
      </c>
      <c r="J2013" s="2"/>
      <c r="K2013" s="2"/>
      <c r="L2013" s="2"/>
      <c r="M2013" s="2"/>
      <c r="N2013" s="2"/>
      <c r="O2013" s="2"/>
      <c r="P2013" s="2"/>
    </row>
    <row r="2014" spans="1:16" x14ac:dyDescent="0.4">
      <c r="A2014">
        <v>2011</v>
      </c>
      <c r="B2014" s="2" t="s">
        <v>495</v>
      </c>
      <c r="C2014" s="2" t="s">
        <v>717</v>
      </c>
      <c r="D2014" s="2" t="s">
        <v>150</v>
      </c>
      <c r="E2014" s="67" t="s">
        <v>160</v>
      </c>
      <c r="F2014" s="12">
        <v>21</v>
      </c>
      <c r="G2014" s="12">
        <v>17</v>
      </c>
      <c r="H2014" s="12">
        <v>4</v>
      </c>
      <c r="J2014" s="2"/>
      <c r="K2014" s="2"/>
      <c r="L2014" s="2"/>
      <c r="M2014" s="2"/>
      <c r="N2014" s="2"/>
      <c r="O2014" s="2"/>
      <c r="P2014" s="2"/>
    </row>
    <row r="2015" spans="1:16" x14ac:dyDescent="0.4">
      <c r="A2015">
        <v>2011</v>
      </c>
      <c r="B2015" s="2" t="s">
        <v>496</v>
      </c>
      <c r="C2015" s="2" t="s">
        <v>717</v>
      </c>
      <c r="D2015" s="2" t="s">
        <v>150</v>
      </c>
      <c r="E2015" s="67" t="s">
        <v>161</v>
      </c>
      <c r="F2015" s="12">
        <v>51</v>
      </c>
      <c r="G2015" s="12">
        <v>36</v>
      </c>
      <c r="H2015" s="12">
        <v>15</v>
      </c>
      <c r="J2015" s="2"/>
      <c r="K2015" s="2"/>
      <c r="L2015" s="2"/>
      <c r="M2015" s="2"/>
      <c r="N2015" s="2"/>
      <c r="O2015" s="2"/>
      <c r="P2015" s="2"/>
    </row>
    <row r="2016" spans="1:16" x14ac:dyDescent="0.4">
      <c r="A2016">
        <v>2011</v>
      </c>
      <c r="B2016" s="2" t="s">
        <v>497</v>
      </c>
      <c r="C2016" s="2" t="s">
        <v>717</v>
      </c>
      <c r="D2016" s="2" t="s">
        <v>150</v>
      </c>
      <c r="E2016" s="67" t="s">
        <v>162</v>
      </c>
      <c r="F2016" s="12">
        <v>251</v>
      </c>
      <c r="G2016" s="12">
        <v>165</v>
      </c>
      <c r="H2016" s="12">
        <v>86</v>
      </c>
      <c r="J2016" s="2"/>
      <c r="K2016" s="2"/>
      <c r="L2016" s="2"/>
      <c r="M2016" s="2"/>
      <c r="N2016" s="2"/>
      <c r="O2016" s="2"/>
      <c r="P2016" s="2"/>
    </row>
    <row r="2017" spans="1:16" x14ac:dyDescent="0.4">
      <c r="A2017">
        <v>2011</v>
      </c>
      <c r="B2017" s="2" t="s">
        <v>498</v>
      </c>
      <c r="C2017" s="2" t="s">
        <v>718</v>
      </c>
      <c r="D2017" s="2" t="s">
        <v>164</v>
      </c>
      <c r="E2017" s="67" t="s">
        <v>163</v>
      </c>
      <c r="F2017" s="12">
        <v>117</v>
      </c>
      <c r="G2017" s="12">
        <v>74</v>
      </c>
      <c r="H2017" s="12">
        <v>43</v>
      </c>
      <c r="J2017" s="2"/>
      <c r="K2017" s="2"/>
      <c r="L2017" s="2"/>
      <c r="M2017" s="2"/>
      <c r="N2017" s="2"/>
      <c r="O2017" s="2"/>
      <c r="P2017" s="2"/>
    </row>
    <row r="2018" spans="1:16" x14ac:dyDescent="0.4">
      <c r="A2018">
        <v>2011</v>
      </c>
      <c r="B2018" s="2" t="s">
        <v>499</v>
      </c>
      <c r="C2018" s="2" t="s">
        <v>718</v>
      </c>
      <c r="D2018" s="2" t="s">
        <v>164</v>
      </c>
      <c r="E2018" s="67" t="s">
        <v>165</v>
      </c>
      <c r="F2018" s="12">
        <v>143</v>
      </c>
      <c r="G2018" s="12">
        <v>90</v>
      </c>
      <c r="H2018" s="12">
        <v>53</v>
      </c>
      <c r="J2018" s="2"/>
      <c r="K2018" s="2"/>
      <c r="L2018" s="2"/>
      <c r="M2018" s="2"/>
      <c r="N2018" s="2"/>
      <c r="O2018" s="2"/>
      <c r="P2018" s="2"/>
    </row>
    <row r="2019" spans="1:16" x14ac:dyDescent="0.4">
      <c r="A2019">
        <v>2011</v>
      </c>
      <c r="B2019" s="2" t="s">
        <v>500</v>
      </c>
      <c r="C2019" s="2" t="s">
        <v>718</v>
      </c>
      <c r="D2019" s="2" t="s">
        <v>164</v>
      </c>
      <c r="E2019" s="67" t="s">
        <v>166</v>
      </c>
      <c r="F2019" s="12">
        <v>6702</v>
      </c>
      <c r="G2019" s="12">
        <v>3906</v>
      </c>
      <c r="H2019" s="12">
        <v>2796</v>
      </c>
      <c r="J2019" s="2"/>
      <c r="K2019" s="2"/>
      <c r="L2019" s="2"/>
      <c r="M2019" s="2"/>
      <c r="N2019" s="2"/>
      <c r="O2019" s="2"/>
      <c r="P2019" s="2"/>
    </row>
    <row r="2020" spans="1:16" x14ac:dyDescent="0.4">
      <c r="A2020">
        <v>2011</v>
      </c>
      <c r="B2020" s="2" t="s">
        <v>501</v>
      </c>
      <c r="C2020" s="2" t="s">
        <v>718</v>
      </c>
      <c r="D2020" s="2" t="s">
        <v>164</v>
      </c>
      <c r="E2020" s="67" t="s">
        <v>167</v>
      </c>
      <c r="F2020" s="12">
        <v>332</v>
      </c>
      <c r="G2020" s="12">
        <v>200</v>
      </c>
      <c r="H2020" s="12">
        <v>132</v>
      </c>
      <c r="J2020" s="2"/>
      <c r="K2020" s="2"/>
      <c r="L2020" s="2"/>
      <c r="M2020" s="2"/>
      <c r="N2020" s="2"/>
      <c r="O2020" s="2"/>
      <c r="P2020" s="2"/>
    </row>
    <row r="2021" spans="1:16" x14ac:dyDescent="0.4">
      <c r="A2021">
        <v>2011</v>
      </c>
      <c r="B2021" s="2" t="s">
        <v>502</v>
      </c>
      <c r="C2021" s="2" t="s">
        <v>718</v>
      </c>
      <c r="D2021" s="2" t="s">
        <v>164</v>
      </c>
      <c r="E2021" s="67" t="s">
        <v>168</v>
      </c>
      <c r="F2021" s="12">
        <v>450</v>
      </c>
      <c r="G2021" s="12">
        <v>282</v>
      </c>
      <c r="H2021" s="12">
        <v>168</v>
      </c>
      <c r="J2021" s="2"/>
      <c r="K2021" s="2"/>
      <c r="L2021" s="2"/>
      <c r="M2021" s="2"/>
      <c r="N2021" s="2"/>
      <c r="O2021" s="2"/>
      <c r="P2021" s="2"/>
    </row>
    <row r="2022" spans="1:16" x14ac:dyDescent="0.4">
      <c r="A2022">
        <v>2011</v>
      </c>
      <c r="B2022" s="2" t="s">
        <v>503</v>
      </c>
      <c r="C2022" s="2" t="s">
        <v>718</v>
      </c>
      <c r="D2022" s="2" t="s">
        <v>164</v>
      </c>
      <c r="E2022" s="67" t="s">
        <v>169</v>
      </c>
      <c r="F2022" s="12">
        <v>356</v>
      </c>
      <c r="G2022" s="12">
        <v>217</v>
      </c>
      <c r="H2022" s="12">
        <v>139</v>
      </c>
      <c r="J2022" s="2"/>
      <c r="K2022" s="2"/>
      <c r="L2022" s="2"/>
      <c r="M2022" s="2"/>
      <c r="N2022" s="2"/>
      <c r="O2022" s="2"/>
      <c r="P2022" s="2"/>
    </row>
    <row r="2023" spans="1:16" x14ac:dyDescent="0.4">
      <c r="A2023">
        <v>2011</v>
      </c>
      <c r="B2023" s="2" t="s">
        <v>504</v>
      </c>
      <c r="C2023" s="2" t="s">
        <v>718</v>
      </c>
      <c r="D2023" s="2" t="s">
        <v>164</v>
      </c>
      <c r="E2023" s="67" t="s">
        <v>170</v>
      </c>
      <c r="F2023" s="12">
        <v>76</v>
      </c>
      <c r="G2023" s="12">
        <v>52</v>
      </c>
      <c r="H2023" s="12">
        <v>24</v>
      </c>
      <c r="J2023" s="2"/>
      <c r="K2023" s="2"/>
      <c r="L2023" s="2"/>
      <c r="M2023" s="2"/>
      <c r="N2023" s="2"/>
      <c r="O2023" s="2"/>
      <c r="P2023" s="2"/>
    </row>
    <row r="2024" spans="1:16" x14ac:dyDescent="0.4">
      <c r="A2024">
        <v>2011</v>
      </c>
      <c r="B2024" s="2" t="s">
        <v>505</v>
      </c>
      <c r="C2024" s="2" t="s">
        <v>718</v>
      </c>
      <c r="D2024" s="2" t="s">
        <v>164</v>
      </c>
      <c r="E2024" s="67" t="s">
        <v>171</v>
      </c>
      <c r="F2024" s="12">
        <v>788</v>
      </c>
      <c r="G2024" s="12">
        <v>452</v>
      </c>
      <c r="H2024" s="12">
        <v>336</v>
      </c>
      <c r="J2024" s="2"/>
      <c r="K2024" s="2"/>
      <c r="L2024" s="2"/>
      <c r="M2024" s="2"/>
      <c r="N2024" s="2"/>
      <c r="O2024" s="2"/>
      <c r="P2024" s="2"/>
    </row>
    <row r="2025" spans="1:16" x14ac:dyDescent="0.4">
      <c r="A2025">
        <v>2011</v>
      </c>
      <c r="B2025" s="2" t="s">
        <v>506</v>
      </c>
      <c r="C2025" s="2" t="s">
        <v>718</v>
      </c>
      <c r="D2025" s="2" t="s">
        <v>164</v>
      </c>
      <c r="E2025" s="67" t="s">
        <v>53</v>
      </c>
      <c r="F2025" s="12">
        <v>163</v>
      </c>
      <c r="G2025" s="12">
        <v>93</v>
      </c>
      <c r="H2025" s="12">
        <v>70</v>
      </c>
      <c r="J2025" s="2"/>
      <c r="K2025" s="2"/>
      <c r="L2025" s="2"/>
      <c r="M2025" s="2"/>
      <c r="N2025" s="2"/>
      <c r="O2025" s="2"/>
      <c r="P2025" s="2"/>
    </row>
    <row r="2026" spans="1:16" x14ac:dyDescent="0.4">
      <c r="A2026">
        <v>2011</v>
      </c>
      <c r="B2026" s="2" t="s">
        <v>507</v>
      </c>
      <c r="C2026" s="2" t="s">
        <v>719</v>
      </c>
      <c r="D2026" s="2" t="s">
        <v>173</v>
      </c>
      <c r="E2026" s="67" t="s">
        <v>172</v>
      </c>
      <c r="F2026" s="12">
        <v>547</v>
      </c>
      <c r="G2026" s="12">
        <v>367</v>
      </c>
      <c r="H2026" s="12">
        <v>180</v>
      </c>
      <c r="J2026" s="2"/>
      <c r="K2026" s="2"/>
      <c r="L2026" s="2"/>
      <c r="M2026" s="2"/>
      <c r="N2026" s="2"/>
      <c r="O2026" s="2"/>
      <c r="P2026" s="2"/>
    </row>
    <row r="2027" spans="1:16" x14ac:dyDescent="0.4">
      <c r="A2027">
        <v>2011</v>
      </c>
      <c r="B2027" s="2" t="s">
        <v>508</v>
      </c>
      <c r="C2027" s="2" t="s">
        <v>719</v>
      </c>
      <c r="D2027" s="2" t="s">
        <v>173</v>
      </c>
      <c r="E2027" s="67" t="s">
        <v>174</v>
      </c>
      <c r="F2027" s="12">
        <v>50</v>
      </c>
      <c r="G2027" s="12">
        <v>32</v>
      </c>
      <c r="H2027" s="12">
        <v>18</v>
      </c>
      <c r="J2027" s="2"/>
      <c r="K2027" s="2"/>
      <c r="L2027" s="2"/>
      <c r="M2027" s="2"/>
      <c r="N2027" s="2"/>
      <c r="O2027" s="2"/>
      <c r="P2027" s="2"/>
    </row>
    <row r="2028" spans="1:16" x14ac:dyDescent="0.4">
      <c r="A2028">
        <v>2011</v>
      </c>
      <c r="B2028" s="2" t="s">
        <v>509</v>
      </c>
      <c r="C2028" s="2" t="s">
        <v>719</v>
      </c>
      <c r="D2028" s="2" t="s">
        <v>173</v>
      </c>
      <c r="E2028" s="67" t="s">
        <v>175</v>
      </c>
      <c r="F2028" s="12">
        <v>84</v>
      </c>
      <c r="G2028" s="12">
        <v>55</v>
      </c>
      <c r="H2028" s="12">
        <v>29</v>
      </c>
      <c r="J2028" s="2"/>
      <c r="K2028" s="2"/>
      <c r="L2028" s="2"/>
      <c r="M2028" s="2"/>
      <c r="N2028" s="2"/>
      <c r="O2028" s="2"/>
      <c r="P2028" s="2"/>
    </row>
    <row r="2029" spans="1:16" x14ac:dyDescent="0.4">
      <c r="A2029">
        <v>2011</v>
      </c>
      <c r="B2029" s="2" t="s">
        <v>510</v>
      </c>
      <c r="C2029" s="2" t="s">
        <v>719</v>
      </c>
      <c r="D2029" s="2" t="s">
        <v>173</v>
      </c>
      <c r="E2029" s="67" t="s">
        <v>176</v>
      </c>
      <c r="F2029" s="12">
        <v>15</v>
      </c>
      <c r="G2029" s="12">
        <v>6</v>
      </c>
      <c r="H2029" s="12">
        <v>9</v>
      </c>
      <c r="J2029" s="2"/>
      <c r="K2029" s="2"/>
      <c r="L2029" s="2"/>
      <c r="M2029" s="2"/>
      <c r="N2029" s="2"/>
      <c r="O2029" s="2"/>
      <c r="P2029" s="2"/>
    </row>
    <row r="2030" spans="1:16" x14ac:dyDescent="0.4">
      <c r="A2030">
        <v>2011</v>
      </c>
      <c r="B2030" s="2" t="s">
        <v>511</v>
      </c>
      <c r="C2030" s="2" t="s">
        <v>719</v>
      </c>
      <c r="D2030" s="2" t="s">
        <v>173</v>
      </c>
      <c r="E2030" s="67" t="s">
        <v>177</v>
      </c>
      <c r="F2030" s="12">
        <v>38</v>
      </c>
      <c r="G2030" s="12">
        <v>19</v>
      </c>
      <c r="H2030" s="12">
        <v>19</v>
      </c>
      <c r="J2030" s="2"/>
      <c r="K2030" s="2"/>
      <c r="L2030" s="2"/>
      <c r="M2030" s="2"/>
      <c r="N2030" s="2"/>
      <c r="O2030" s="2"/>
      <c r="P2030" s="2"/>
    </row>
    <row r="2031" spans="1:16" x14ac:dyDescent="0.4">
      <c r="A2031">
        <v>2011</v>
      </c>
      <c r="B2031" s="2" t="s">
        <v>512</v>
      </c>
      <c r="C2031" s="2" t="s">
        <v>719</v>
      </c>
      <c r="D2031" s="2" t="s">
        <v>173</v>
      </c>
      <c r="E2031" s="67" t="s">
        <v>178</v>
      </c>
      <c r="F2031" s="12">
        <v>325</v>
      </c>
      <c r="G2031" s="12">
        <v>196</v>
      </c>
      <c r="H2031" s="12">
        <v>129</v>
      </c>
      <c r="J2031" s="2"/>
      <c r="K2031" s="2"/>
      <c r="L2031" s="2"/>
      <c r="M2031" s="2"/>
      <c r="N2031" s="2"/>
      <c r="O2031" s="2"/>
      <c r="P2031" s="2"/>
    </row>
    <row r="2032" spans="1:16" x14ac:dyDescent="0.4">
      <c r="A2032">
        <v>2011</v>
      </c>
      <c r="B2032" s="2" t="s">
        <v>513</v>
      </c>
      <c r="C2032" s="2" t="s">
        <v>719</v>
      </c>
      <c r="D2032" s="2" t="s">
        <v>173</v>
      </c>
      <c r="E2032" s="67" t="s">
        <v>179</v>
      </c>
      <c r="F2032" s="12">
        <v>34</v>
      </c>
      <c r="G2032" s="12">
        <v>23</v>
      </c>
      <c r="H2032" s="12">
        <v>11</v>
      </c>
      <c r="J2032" s="2"/>
      <c r="K2032" s="2"/>
      <c r="L2032" s="2"/>
      <c r="M2032" s="2"/>
      <c r="N2032" s="2"/>
      <c r="O2032" s="2"/>
      <c r="P2032" s="2"/>
    </row>
    <row r="2033" spans="1:16" x14ac:dyDescent="0.4">
      <c r="A2033">
        <v>2011</v>
      </c>
      <c r="B2033" s="2" t="s">
        <v>514</v>
      </c>
      <c r="C2033" s="2" t="s">
        <v>719</v>
      </c>
      <c r="D2033" s="2" t="s">
        <v>173</v>
      </c>
      <c r="E2033" s="67" t="s">
        <v>180</v>
      </c>
      <c r="F2033" s="12">
        <v>103</v>
      </c>
      <c r="G2033" s="12">
        <v>64</v>
      </c>
      <c r="H2033" s="12">
        <v>39</v>
      </c>
      <c r="J2033" s="2"/>
      <c r="K2033" s="2"/>
      <c r="L2033" s="2"/>
      <c r="M2033" s="2"/>
      <c r="N2033" s="2"/>
      <c r="O2033" s="2"/>
      <c r="P2033" s="2"/>
    </row>
    <row r="2034" spans="1:16" x14ac:dyDescent="0.4">
      <c r="A2034">
        <v>2011</v>
      </c>
      <c r="B2034" s="2" t="s">
        <v>515</v>
      </c>
      <c r="C2034" s="2" t="s">
        <v>719</v>
      </c>
      <c r="D2034" s="2" t="s">
        <v>173</v>
      </c>
      <c r="E2034" s="67" t="s">
        <v>181</v>
      </c>
      <c r="F2034" s="12">
        <v>41</v>
      </c>
      <c r="G2034" s="12">
        <v>24</v>
      </c>
      <c r="H2034" s="12">
        <v>17</v>
      </c>
      <c r="J2034" s="2"/>
      <c r="K2034" s="2"/>
      <c r="L2034" s="2"/>
      <c r="M2034" s="2"/>
      <c r="N2034" s="2"/>
      <c r="O2034" s="2"/>
      <c r="P2034" s="2"/>
    </row>
    <row r="2035" spans="1:16" x14ac:dyDescent="0.4">
      <c r="A2035">
        <v>2011</v>
      </c>
      <c r="B2035" s="2" t="s">
        <v>516</v>
      </c>
      <c r="C2035" s="2" t="s">
        <v>719</v>
      </c>
      <c r="D2035" s="2" t="s">
        <v>173</v>
      </c>
      <c r="E2035" s="67" t="s">
        <v>182</v>
      </c>
      <c r="F2035" s="12">
        <v>65</v>
      </c>
      <c r="G2035" s="12">
        <v>38</v>
      </c>
      <c r="H2035" s="12">
        <v>27</v>
      </c>
      <c r="J2035" s="2"/>
      <c r="K2035" s="2"/>
      <c r="L2035" s="2"/>
      <c r="M2035" s="2"/>
      <c r="N2035" s="2"/>
      <c r="O2035" s="2"/>
      <c r="P2035" s="2"/>
    </row>
    <row r="2036" spans="1:16" x14ac:dyDescent="0.4">
      <c r="A2036">
        <v>2011</v>
      </c>
      <c r="B2036" s="2" t="s">
        <v>517</v>
      </c>
      <c r="C2036" s="2" t="s">
        <v>719</v>
      </c>
      <c r="D2036" s="2" t="s">
        <v>173</v>
      </c>
      <c r="E2036" s="67" t="s">
        <v>183</v>
      </c>
      <c r="F2036" s="12">
        <v>9</v>
      </c>
      <c r="G2036" s="12">
        <v>7</v>
      </c>
      <c r="H2036" s="12">
        <v>2</v>
      </c>
      <c r="J2036" s="2"/>
      <c r="K2036" s="2"/>
      <c r="L2036" s="2"/>
      <c r="M2036" s="2"/>
      <c r="N2036" s="2"/>
      <c r="O2036" s="2"/>
      <c r="P2036" s="2"/>
    </row>
    <row r="2037" spans="1:16" x14ac:dyDescent="0.4">
      <c r="A2037">
        <v>2011</v>
      </c>
      <c r="B2037" s="2" t="s">
        <v>518</v>
      </c>
      <c r="C2037" s="2" t="s">
        <v>719</v>
      </c>
      <c r="D2037" s="2" t="s">
        <v>173</v>
      </c>
      <c r="E2037" s="67" t="s">
        <v>44</v>
      </c>
      <c r="F2037" s="12">
        <v>2331</v>
      </c>
      <c r="G2037" s="12">
        <v>1347</v>
      </c>
      <c r="H2037" s="12">
        <v>984</v>
      </c>
      <c r="J2037" s="2"/>
      <c r="K2037" s="2"/>
      <c r="L2037" s="2"/>
      <c r="M2037" s="2"/>
      <c r="N2037" s="2"/>
      <c r="O2037" s="2"/>
      <c r="P2037" s="2"/>
    </row>
    <row r="2038" spans="1:16" x14ac:dyDescent="0.4">
      <c r="A2038">
        <v>2011</v>
      </c>
      <c r="B2038" s="2" t="s">
        <v>519</v>
      </c>
      <c r="C2038" s="2" t="s">
        <v>719</v>
      </c>
      <c r="D2038" s="2" t="s">
        <v>173</v>
      </c>
      <c r="E2038" s="67" t="s">
        <v>85</v>
      </c>
      <c r="F2038" s="12">
        <v>70</v>
      </c>
      <c r="G2038" s="12">
        <v>47</v>
      </c>
      <c r="H2038" s="12">
        <v>23</v>
      </c>
      <c r="J2038" s="2"/>
      <c r="K2038" s="2"/>
      <c r="L2038" s="2"/>
      <c r="M2038" s="2"/>
      <c r="N2038" s="2"/>
      <c r="O2038" s="2"/>
      <c r="P2038" s="2"/>
    </row>
    <row r="2039" spans="1:16" x14ac:dyDescent="0.4">
      <c r="A2039">
        <v>2011</v>
      </c>
      <c r="B2039" s="2" t="s">
        <v>520</v>
      </c>
      <c r="C2039" s="2" t="s">
        <v>719</v>
      </c>
      <c r="D2039" s="2" t="s">
        <v>173</v>
      </c>
      <c r="E2039" s="67" t="s">
        <v>184</v>
      </c>
      <c r="F2039" s="12">
        <v>81</v>
      </c>
      <c r="G2039" s="12">
        <v>48</v>
      </c>
      <c r="H2039" s="12">
        <v>33</v>
      </c>
      <c r="J2039" s="2"/>
      <c r="K2039" s="2"/>
      <c r="L2039" s="2"/>
      <c r="M2039" s="2"/>
      <c r="N2039" s="2"/>
      <c r="O2039" s="2"/>
      <c r="P2039" s="2"/>
    </row>
    <row r="2040" spans="1:16" x14ac:dyDescent="0.4">
      <c r="A2040">
        <v>2011</v>
      </c>
      <c r="B2040" s="2" t="s">
        <v>521</v>
      </c>
      <c r="C2040" s="2" t="s">
        <v>719</v>
      </c>
      <c r="D2040" s="2" t="s">
        <v>173</v>
      </c>
      <c r="E2040" s="67" t="s">
        <v>185</v>
      </c>
      <c r="F2040" s="12">
        <v>3</v>
      </c>
      <c r="G2040" s="12">
        <v>1</v>
      </c>
      <c r="H2040" s="12">
        <v>2</v>
      </c>
      <c r="J2040" s="2"/>
      <c r="K2040" s="2"/>
      <c r="L2040" s="2"/>
      <c r="M2040" s="2"/>
      <c r="N2040" s="2"/>
      <c r="O2040" s="2"/>
      <c r="P2040" s="2"/>
    </row>
    <row r="2041" spans="1:16" x14ac:dyDescent="0.4">
      <c r="A2041">
        <v>2011</v>
      </c>
      <c r="B2041" s="2" t="s">
        <v>522</v>
      </c>
      <c r="C2041" s="2" t="s">
        <v>719</v>
      </c>
      <c r="D2041" s="2" t="s">
        <v>173</v>
      </c>
      <c r="E2041" s="67" t="s">
        <v>186</v>
      </c>
      <c r="F2041" s="12">
        <v>43</v>
      </c>
      <c r="G2041" s="12">
        <v>28</v>
      </c>
      <c r="H2041" s="12">
        <v>15</v>
      </c>
      <c r="J2041" s="2"/>
      <c r="K2041" s="2"/>
      <c r="L2041" s="2"/>
      <c r="M2041" s="2"/>
      <c r="N2041" s="2"/>
      <c r="O2041" s="2"/>
      <c r="P2041" s="2"/>
    </row>
    <row r="2042" spans="1:16" x14ac:dyDescent="0.4">
      <c r="A2042">
        <v>2011</v>
      </c>
      <c r="B2042" s="2" t="s">
        <v>523</v>
      </c>
      <c r="C2042" s="2" t="s">
        <v>719</v>
      </c>
      <c r="D2042" s="2" t="s">
        <v>173</v>
      </c>
      <c r="E2042" s="67" t="s">
        <v>187</v>
      </c>
      <c r="F2042" s="12">
        <v>74</v>
      </c>
      <c r="G2042" s="12">
        <v>53</v>
      </c>
      <c r="H2042" s="12">
        <v>21</v>
      </c>
      <c r="J2042" s="2"/>
      <c r="K2042" s="2"/>
      <c r="L2042" s="2"/>
      <c r="M2042" s="2"/>
      <c r="N2042" s="2"/>
      <c r="O2042" s="2"/>
      <c r="P2042" s="2"/>
    </row>
    <row r="2043" spans="1:16" x14ac:dyDescent="0.4">
      <c r="A2043">
        <v>2011</v>
      </c>
      <c r="B2043" s="2" t="s">
        <v>524</v>
      </c>
      <c r="C2043" s="2" t="s">
        <v>719</v>
      </c>
      <c r="D2043" s="2" t="s">
        <v>173</v>
      </c>
      <c r="E2043" s="67" t="s">
        <v>188</v>
      </c>
      <c r="F2043" s="12">
        <v>79</v>
      </c>
      <c r="G2043" s="12">
        <v>55</v>
      </c>
      <c r="H2043" s="12">
        <v>24</v>
      </c>
      <c r="J2043" s="2"/>
      <c r="K2043" s="2"/>
      <c r="L2043" s="2"/>
      <c r="M2043" s="2"/>
      <c r="N2043" s="2"/>
      <c r="O2043" s="2"/>
      <c r="P2043" s="2"/>
    </row>
    <row r="2044" spans="1:16" x14ac:dyDescent="0.4">
      <c r="A2044">
        <v>2011</v>
      </c>
      <c r="B2044" s="2" t="s">
        <v>525</v>
      </c>
      <c r="C2044" s="2" t="s">
        <v>719</v>
      </c>
      <c r="D2044" s="2" t="s">
        <v>173</v>
      </c>
      <c r="E2044" s="67" t="s">
        <v>189</v>
      </c>
      <c r="F2044" s="12">
        <v>45</v>
      </c>
      <c r="G2044" s="12">
        <v>26</v>
      </c>
      <c r="H2044" s="12">
        <v>19</v>
      </c>
      <c r="J2044" s="2"/>
      <c r="K2044" s="2"/>
      <c r="L2044" s="2"/>
      <c r="M2044" s="2"/>
      <c r="N2044" s="2"/>
      <c r="O2044" s="2"/>
      <c r="P2044" s="2"/>
    </row>
    <row r="2045" spans="1:16" x14ac:dyDescent="0.4">
      <c r="A2045">
        <v>2011</v>
      </c>
      <c r="B2045" s="2" t="s">
        <v>526</v>
      </c>
      <c r="C2045" s="2" t="s">
        <v>719</v>
      </c>
      <c r="D2045" s="2" t="s">
        <v>173</v>
      </c>
      <c r="E2045" s="67" t="s">
        <v>51</v>
      </c>
      <c r="F2045" s="12">
        <v>210</v>
      </c>
      <c r="G2045" s="12">
        <v>150</v>
      </c>
      <c r="H2045" s="12">
        <v>60</v>
      </c>
      <c r="J2045" s="2"/>
      <c r="K2045" s="2"/>
      <c r="L2045" s="2"/>
      <c r="M2045" s="2"/>
      <c r="N2045" s="2"/>
      <c r="O2045" s="2"/>
      <c r="P2045" s="2"/>
    </row>
    <row r="2046" spans="1:16" x14ac:dyDescent="0.4">
      <c r="A2046">
        <v>2011</v>
      </c>
      <c r="B2046" s="2" t="s">
        <v>527</v>
      </c>
      <c r="C2046" s="2" t="s">
        <v>719</v>
      </c>
      <c r="D2046" s="2" t="s">
        <v>173</v>
      </c>
      <c r="E2046" s="67" t="s">
        <v>52</v>
      </c>
      <c r="F2046" s="12">
        <v>164</v>
      </c>
      <c r="G2046" s="12">
        <v>98</v>
      </c>
      <c r="H2046" s="12">
        <v>66</v>
      </c>
      <c r="J2046" s="2"/>
      <c r="K2046" s="2"/>
      <c r="L2046" s="2"/>
      <c r="M2046" s="2"/>
      <c r="N2046" s="2"/>
      <c r="O2046" s="2"/>
      <c r="P2046" s="2"/>
    </row>
    <row r="2047" spans="1:16" x14ac:dyDescent="0.4">
      <c r="A2047">
        <v>2011</v>
      </c>
      <c r="B2047" s="2" t="s">
        <v>528</v>
      </c>
      <c r="C2047" s="2" t="s">
        <v>719</v>
      </c>
      <c r="D2047" s="2" t="s">
        <v>173</v>
      </c>
      <c r="E2047" s="67" t="s">
        <v>190</v>
      </c>
      <c r="F2047" s="12">
        <v>89</v>
      </c>
      <c r="G2047" s="12">
        <v>61</v>
      </c>
      <c r="H2047" s="12">
        <v>28</v>
      </c>
      <c r="J2047" s="2"/>
      <c r="K2047" s="2"/>
      <c r="L2047" s="2"/>
      <c r="M2047" s="2"/>
      <c r="N2047" s="2"/>
      <c r="O2047" s="2"/>
      <c r="P2047" s="2"/>
    </row>
    <row r="2048" spans="1:16" x14ac:dyDescent="0.4">
      <c r="A2048">
        <v>2011</v>
      </c>
      <c r="B2048" s="2" t="s">
        <v>529</v>
      </c>
      <c r="C2048" s="2" t="s">
        <v>719</v>
      </c>
      <c r="D2048" s="2" t="s">
        <v>173</v>
      </c>
      <c r="E2048" s="67" t="s">
        <v>191</v>
      </c>
      <c r="F2048" s="12">
        <v>42</v>
      </c>
      <c r="G2048" s="12">
        <v>23</v>
      </c>
      <c r="H2048" s="12">
        <v>19</v>
      </c>
      <c r="J2048" s="2"/>
      <c r="K2048" s="2"/>
      <c r="L2048" s="2"/>
      <c r="M2048" s="2"/>
      <c r="N2048" s="2"/>
      <c r="O2048" s="2"/>
      <c r="P2048" s="2"/>
    </row>
    <row r="2049" spans="1:16" x14ac:dyDescent="0.4">
      <c r="A2049">
        <v>2011</v>
      </c>
      <c r="B2049" s="2" t="s">
        <v>530</v>
      </c>
      <c r="C2049" s="2" t="s">
        <v>720</v>
      </c>
      <c r="D2049" s="2" t="s">
        <v>193</v>
      </c>
      <c r="E2049" s="67" t="s">
        <v>192</v>
      </c>
      <c r="F2049" s="12">
        <v>427</v>
      </c>
      <c r="G2049" s="12">
        <v>294</v>
      </c>
      <c r="H2049" s="12">
        <v>133</v>
      </c>
      <c r="J2049" s="2"/>
      <c r="K2049" s="2"/>
      <c r="L2049" s="2"/>
      <c r="M2049" s="2"/>
      <c r="N2049" s="2"/>
      <c r="O2049" s="2"/>
      <c r="P2049" s="2"/>
    </row>
    <row r="2050" spans="1:16" x14ac:dyDescent="0.4">
      <c r="A2050">
        <v>2011</v>
      </c>
      <c r="B2050" s="2" t="s">
        <v>531</v>
      </c>
      <c r="C2050" s="2" t="s">
        <v>720</v>
      </c>
      <c r="D2050" s="2" t="s">
        <v>193</v>
      </c>
      <c r="E2050" s="67" t="s">
        <v>174</v>
      </c>
      <c r="F2050" s="12">
        <v>128</v>
      </c>
      <c r="G2050" s="12">
        <v>83</v>
      </c>
      <c r="H2050" s="12">
        <v>45</v>
      </c>
      <c r="J2050" s="2"/>
      <c r="K2050" s="2"/>
      <c r="L2050" s="2"/>
      <c r="M2050" s="2"/>
      <c r="N2050" s="2"/>
      <c r="O2050" s="2"/>
      <c r="P2050" s="2"/>
    </row>
    <row r="2051" spans="1:16" x14ac:dyDescent="0.4">
      <c r="A2051">
        <v>2011</v>
      </c>
      <c r="B2051" s="2" t="s">
        <v>532</v>
      </c>
      <c r="C2051" s="2" t="s">
        <v>720</v>
      </c>
      <c r="D2051" s="2" t="s">
        <v>193</v>
      </c>
      <c r="E2051" s="67" t="s">
        <v>194</v>
      </c>
      <c r="F2051" s="12">
        <v>2085</v>
      </c>
      <c r="G2051" s="12">
        <v>1066</v>
      </c>
      <c r="H2051" s="12">
        <v>1019</v>
      </c>
      <c r="J2051" s="2"/>
      <c r="K2051" s="2"/>
      <c r="L2051" s="2"/>
      <c r="M2051" s="2"/>
      <c r="N2051" s="2"/>
      <c r="O2051" s="2"/>
      <c r="P2051" s="2"/>
    </row>
    <row r="2052" spans="1:16" x14ac:dyDescent="0.4">
      <c r="A2052">
        <v>2011</v>
      </c>
      <c r="B2052" s="2" t="s">
        <v>533</v>
      </c>
      <c r="C2052" s="2" t="s">
        <v>720</v>
      </c>
      <c r="D2052" s="2" t="s">
        <v>193</v>
      </c>
      <c r="E2052" s="67" t="s">
        <v>195</v>
      </c>
      <c r="F2052" s="12">
        <v>283</v>
      </c>
      <c r="G2052" s="12">
        <v>181</v>
      </c>
      <c r="H2052" s="12">
        <v>102</v>
      </c>
      <c r="J2052" s="2"/>
      <c r="K2052" s="2"/>
      <c r="L2052" s="2"/>
      <c r="M2052" s="2"/>
      <c r="N2052" s="2"/>
      <c r="O2052" s="2"/>
      <c r="P2052" s="2"/>
    </row>
    <row r="2053" spans="1:16" x14ac:dyDescent="0.4">
      <c r="A2053">
        <v>2011</v>
      </c>
      <c r="B2053" s="2" t="s">
        <v>534</v>
      </c>
      <c r="C2053" s="2" t="s">
        <v>720</v>
      </c>
      <c r="D2053" s="2" t="s">
        <v>193</v>
      </c>
      <c r="E2053" s="67" t="s">
        <v>196</v>
      </c>
      <c r="F2053" s="12">
        <v>102</v>
      </c>
      <c r="G2053" s="12">
        <v>65</v>
      </c>
      <c r="H2053" s="12">
        <v>37</v>
      </c>
      <c r="J2053" s="2"/>
      <c r="K2053" s="2"/>
      <c r="L2053" s="2"/>
      <c r="M2053" s="2"/>
      <c r="N2053" s="2"/>
      <c r="O2053" s="2"/>
      <c r="P2053" s="2"/>
    </row>
    <row r="2054" spans="1:16" x14ac:dyDescent="0.4">
      <c r="A2054">
        <v>2011</v>
      </c>
      <c r="B2054" s="2" t="s">
        <v>535</v>
      </c>
      <c r="C2054" s="2" t="s">
        <v>720</v>
      </c>
      <c r="D2054" s="2" t="s">
        <v>193</v>
      </c>
      <c r="E2054" s="67" t="s">
        <v>197</v>
      </c>
      <c r="F2054" s="12">
        <v>181</v>
      </c>
      <c r="G2054" s="12">
        <v>106</v>
      </c>
      <c r="H2054" s="12">
        <v>75</v>
      </c>
      <c r="J2054" s="2"/>
      <c r="K2054" s="2"/>
      <c r="L2054" s="2"/>
      <c r="M2054" s="2"/>
      <c r="N2054" s="2"/>
      <c r="O2054" s="2"/>
      <c r="P2054" s="2"/>
    </row>
    <row r="2055" spans="1:16" x14ac:dyDescent="0.4">
      <c r="A2055">
        <v>2011</v>
      </c>
      <c r="B2055" s="2" t="s">
        <v>536</v>
      </c>
      <c r="C2055" s="2" t="s">
        <v>720</v>
      </c>
      <c r="D2055" s="2" t="s">
        <v>193</v>
      </c>
      <c r="E2055" s="67" t="s">
        <v>198</v>
      </c>
      <c r="F2055" s="12">
        <v>862</v>
      </c>
      <c r="G2055" s="12">
        <v>433</v>
      </c>
      <c r="H2055" s="12">
        <v>429</v>
      </c>
      <c r="J2055" s="2"/>
      <c r="K2055" s="2"/>
      <c r="L2055" s="2"/>
      <c r="M2055" s="2"/>
      <c r="N2055" s="2"/>
      <c r="O2055" s="2"/>
      <c r="P2055" s="2"/>
    </row>
    <row r="2056" spans="1:16" x14ac:dyDescent="0.4">
      <c r="A2056">
        <v>2011</v>
      </c>
      <c r="B2056" s="2" t="s">
        <v>537</v>
      </c>
      <c r="C2056" s="2" t="s">
        <v>720</v>
      </c>
      <c r="D2056" s="2" t="s">
        <v>193</v>
      </c>
      <c r="E2056" s="67" t="s">
        <v>199</v>
      </c>
      <c r="F2056" s="12">
        <v>450</v>
      </c>
      <c r="G2056" s="12">
        <v>316</v>
      </c>
      <c r="H2056" s="12">
        <v>134</v>
      </c>
      <c r="J2056" s="2"/>
      <c r="K2056" s="2"/>
      <c r="L2056" s="2"/>
      <c r="M2056" s="2"/>
      <c r="N2056" s="2"/>
      <c r="O2056" s="2"/>
      <c r="P2056" s="2"/>
    </row>
    <row r="2057" spans="1:16" x14ac:dyDescent="0.4">
      <c r="A2057">
        <v>2011</v>
      </c>
      <c r="B2057" s="2" t="s">
        <v>538</v>
      </c>
      <c r="C2057" s="2" t="s">
        <v>720</v>
      </c>
      <c r="D2057" s="2" t="s">
        <v>193</v>
      </c>
      <c r="E2057" s="67" t="s">
        <v>200</v>
      </c>
      <c r="F2057" s="12">
        <v>188</v>
      </c>
      <c r="G2057" s="12">
        <v>117</v>
      </c>
      <c r="H2057" s="12">
        <v>71</v>
      </c>
      <c r="J2057" s="2"/>
      <c r="K2057" s="2"/>
      <c r="L2057" s="2"/>
      <c r="M2057" s="2"/>
      <c r="N2057" s="2"/>
      <c r="O2057" s="2"/>
      <c r="P2057" s="2"/>
    </row>
    <row r="2058" spans="1:16" x14ac:dyDescent="0.4">
      <c r="A2058">
        <v>2011</v>
      </c>
      <c r="B2058" s="2" t="s">
        <v>539</v>
      </c>
      <c r="C2058" s="2" t="s">
        <v>720</v>
      </c>
      <c r="D2058" s="2" t="s">
        <v>193</v>
      </c>
      <c r="E2058" s="67" t="s">
        <v>201</v>
      </c>
      <c r="F2058" s="12">
        <v>1431</v>
      </c>
      <c r="G2058" s="12">
        <v>907</v>
      </c>
      <c r="H2058" s="12">
        <v>524</v>
      </c>
      <c r="J2058" s="2"/>
      <c r="K2058" s="2"/>
      <c r="L2058" s="2"/>
      <c r="M2058" s="2"/>
      <c r="N2058" s="2"/>
      <c r="O2058" s="2"/>
      <c r="P2058" s="2"/>
    </row>
    <row r="2059" spans="1:16" x14ac:dyDescent="0.4">
      <c r="A2059">
        <v>2011</v>
      </c>
      <c r="B2059" s="2" t="s">
        <v>540</v>
      </c>
      <c r="C2059" s="2" t="s">
        <v>720</v>
      </c>
      <c r="D2059" s="2" t="s">
        <v>193</v>
      </c>
      <c r="E2059" s="67" t="s">
        <v>14</v>
      </c>
      <c r="F2059" s="12">
        <v>560</v>
      </c>
      <c r="G2059" s="12">
        <v>375</v>
      </c>
      <c r="H2059" s="12">
        <v>185</v>
      </c>
      <c r="J2059" s="2"/>
      <c r="K2059" s="2"/>
      <c r="L2059" s="2"/>
      <c r="M2059" s="2"/>
      <c r="N2059" s="2"/>
      <c r="O2059" s="2"/>
      <c r="P2059" s="2"/>
    </row>
    <row r="2060" spans="1:16" x14ac:dyDescent="0.4">
      <c r="A2060">
        <v>2011</v>
      </c>
      <c r="B2060" s="2" t="s">
        <v>541</v>
      </c>
      <c r="C2060" s="2" t="s">
        <v>720</v>
      </c>
      <c r="D2060" s="2" t="s">
        <v>193</v>
      </c>
      <c r="E2060" s="67" t="s">
        <v>202</v>
      </c>
      <c r="F2060" s="12">
        <v>745</v>
      </c>
      <c r="G2060" s="12">
        <v>502</v>
      </c>
      <c r="H2060" s="12">
        <v>243</v>
      </c>
      <c r="J2060" s="2"/>
      <c r="K2060" s="2"/>
      <c r="L2060" s="2"/>
      <c r="M2060" s="2"/>
      <c r="N2060" s="2"/>
      <c r="O2060" s="2"/>
      <c r="P2060" s="2"/>
    </row>
    <row r="2061" spans="1:16" x14ac:dyDescent="0.4">
      <c r="A2061">
        <v>2011</v>
      </c>
      <c r="B2061" s="2" t="s">
        <v>542</v>
      </c>
      <c r="C2061" s="2" t="s">
        <v>720</v>
      </c>
      <c r="D2061" s="2" t="s">
        <v>193</v>
      </c>
      <c r="E2061" s="67" t="s">
        <v>203</v>
      </c>
      <c r="F2061" s="12">
        <v>170</v>
      </c>
      <c r="G2061" s="12">
        <v>85</v>
      </c>
      <c r="H2061" s="12">
        <v>85</v>
      </c>
      <c r="J2061" s="2"/>
      <c r="K2061" s="2"/>
      <c r="L2061" s="2"/>
      <c r="M2061" s="2"/>
      <c r="N2061" s="2"/>
      <c r="O2061" s="2"/>
      <c r="P2061" s="2"/>
    </row>
    <row r="2062" spans="1:16" x14ac:dyDescent="0.4">
      <c r="A2062">
        <v>2011</v>
      </c>
      <c r="B2062" s="2" t="s">
        <v>543</v>
      </c>
      <c r="C2062" s="2" t="s">
        <v>720</v>
      </c>
      <c r="D2062" s="2" t="s">
        <v>193</v>
      </c>
      <c r="E2062" s="67" t="s">
        <v>32</v>
      </c>
      <c r="F2062" s="12">
        <v>162</v>
      </c>
      <c r="G2062" s="12">
        <v>114</v>
      </c>
      <c r="H2062" s="12">
        <v>48</v>
      </c>
      <c r="J2062" s="2"/>
      <c r="K2062" s="2"/>
      <c r="L2062" s="2"/>
      <c r="M2062" s="2"/>
      <c r="N2062" s="2"/>
      <c r="O2062" s="2"/>
      <c r="P2062" s="2"/>
    </row>
    <row r="2063" spans="1:16" x14ac:dyDescent="0.4">
      <c r="A2063">
        <v>2011</v>
      </c>
      <c r="B2063" s="2" t="s">
        <v>544</v>
      </c>
      <c r="C2063" s="2" t="s">
        <v>720</v>
      </c>
      <c r="D2063" s="2" t="s">
        <v>193</v>
      </c>
      <c r="E2063" s="67" t="s">
        <v>204</v>
      </c>
      <c r="F2063" s="12">
        <v>389</v>
      </c>
      <c r="G2063" s="12">
        <v>264</v>
      </c>
      <c r="H2063" s="12">
        <v>125</v>
      </c>
      <c r="J2063" s="2"/>
      <c r="K2063" s="2"/>
      <c r="L2063" s="2"/>
      <c r="M2063" s="2"/>
      <c r="N2063" s="2"/>
      <c r="O2063" s="2"/>
      <c r="P2063" s="2"/>
    </row>
    <row r="2064" spans="1:16" x14ac:dyDescent="0.4">
      <c r="A2064">
        <v>2011</v>
      </c>
      <c r="B2064" s="2" t="s">
        <v>545</v>
      </c>
      <c r="C2064" s="2" t="s">
        <v>720</v>
      </c>
      <c r="D2064" s="2" t="s">
        <v>193</v>
      </c>
      <c r="E2064" s="67" t="s">
        <v>205</v>
      </c>
      <c r="F2064" s="12">
        <v>62</v>
      </c>
      <c r="G2064" s="12">
        <v>37</v>
      </c>
      <c r="H2064" s="12">
        <v>25</v>
      </c>
      <c r="J2064" s="2"/>
      <c r="K2064" s="2"/>
      <c r="L2064" s="2"/>
      <c r="M2064" s="2"/>
      <c r="N2064" s="2"/>
      <c r="O2064" s="2"/>
      <c r="P2064" s="2"/>
    </row>
    <row r="2065" spans="1:16" x14ac:dyDescent="0.4">
      <c r="A2065">
        <v>2011</v>
      </c>
      <c r="B2065" s="2" t="s">
        <v>546</v>
      </c>
      <c r="C2065" s="2" t="s">
        <v>720</v>
      </c>
      <c r="D2065" s="2" t="s">
        <v>193</v>
      </c>
      <c r="E2065" s="67" t="s">
        <v>206</v>
      </c>
      <c r="F2065" s="12">
        <v>823</v>
      </c>
      <c r="G2065" s="12">
        <v>551</v>
      </c>
      <c r="H2065" s="12">
        <v>272</v>
      </c>
      <c r="J2065" s="2"/>
      <c r="K2065" s="2"/>
      <c r="L2065" s="2"/>
      <c r="M2065" s="2"/>
      <c r="N2065" s="2"/>
      <c r="O2065" s="2"/>
      <c r="P2065" s="2"/>
    </row>
    <row r="2066" spans="1:16" x14ac:dyDescent="0.4">
      <c r="A2066">
        <v>2011</v>
      </c>
      <c r="B2066" s="2" t="s">
        <v>547</v>
      </c>
      <c r="C2066" s="2" t="s">
        <v>720</v>
      </c>
      <c r="D2066" s="2" t="s">
        <v>193</v>
      </c>
      <c r="E2066" s="67" t="s">
        <v>25</v>
      </c>
      <c r="F2066" s="12">
        <v>170</v>
      </c>
      <c r="G2066" s="12">
        <v>121</v>
      </c>
      <c r="H2066" s="12">
        <v>49</v>
      </c>
      <c r="J2066" s="2"/>
      <c r="K2066" s="2"/>
      <c r="L2066" s="2"/>
      <c r="M2066" s="2"/>
      <c r="N2066" s="2"/>
      <c r="O2066" s="2"/>
      <c r="P2066" s="2"/>
    </row>
    <row r="2067" spans="1:16" x14ac:dyDescent="0.4">
      <c r="A2067">
        <v>2011</v>
      </c>
      <c r="B2067" s="2" t="s">
        <v>548</v>
      </c>
      <c r="C2067" s="2" t="s">
        <v>720</v>
      </c>
      <c r="D2067" s="2" t="s">
        <v>193</v>
      </c>
      <c r="E2067" s="67" t="s">
        <v>51</v>
      </c>
      <c r="F2067" s="12">
        <v>3938</v>
      </c>
      <c r="G2067" s="12">
        <v>2491</v>
      </c>
      <c r="H2067" s="12">
        <v>1447</v>
      </c>
      <c r="J2067" s="2"/>
      <c r="K2067" s="2"/>
      <c r="L2067" s="2"/>
      <c r="M2067" s="2"/>
      <c r="N2067" s="2"/>
      <c r="O2067" s="2"/>
      <c r="P2067" s="2"/>
    </row>
    <row r="2068" spans="1:16" x14ac:dyDescent="0.4">
      <c r="A2068">
        <v>2011</v>
      </c>
      <c r="B2068" s="2" t="s">
        <v>549</v>
      </c>
      <c r="C2068" s="2" t="s">
        <v>720</v>
      </c>
      <c r="D2068" s="2" t="s">
        <v>193</v>
      </c>
      <c r="E2068" s="67" t="s">
        <v>53</v>
      </c>
      <c r="F2068" s="12">
        <v>510</v>
      </c>
      <c r="G2068" s="12">
        <v>332</v>
      </c>
      <c r="H2068" s="12">
        <v>178</v>
      </c>
      <c r="J2068" s="2"/>
      <c r="K2068" s="2"/>
      <c r="L2068" s="2"/>
      <c r="M2068" s="2"/>
      <c r="N2068" s="2"/>
      <c r="O2068" s="2"/>
      <c r="P2068" s="2"/>
    </row>
    <row r="2069" spans="1:16" x14ac:dyDescent="0.4">
      <c r="A2069">
        <v>2011</v>
      </c>
      <c r="B2069" s="2" t="s">
        <v>550</v>
      </c>
      <c r="C2069" s="2" t="s">
        <v>720</v>
      </c>
      <c r="D2069" s="2" t="s">
        <v>193</v>
      </c>
      <c r="E2069" s="67" t="s">
        <v>54</v>
      </c>
      <c r="F2069" s="12">
        <v>744</v>
      </c>
      <c r="G2069" s="12">
        <v>464</v>
      </c>
      <c r="H2069" s="12">
        <v>280</v>
      </c>
      <c r="J2069" s="2"/>
      <c r="K2069" s="2"/>
      <c r="L2069" s="2"/>
      <c r="M2069" s="2"/>
      <c r="N2069" s="2"/>
      <c r="O2069" s="2"/>
      <c r="P2069" s="2"/>
    </row>
    <row r="2070" spans="1:16" x14ac:dyDescent="0.4">
      <c r="A2070">
        <v>2011</v>
      </c>
      <c r="B2070" s="2" t="s">
        <v>551</v>
      </c>
      <c r="C2070" s="2" t="s">
        <v>721</v>
      </c>
      <c r="D2070" s="2" t="s">
        <v>207</v>
      </c>
      <c r="E2070" s="67" t="s">
        <v>128</v>
      </c>
      <c r="F2070" s="12">
        <v>54</v>
      </c>
      <c r="G2070" s="12">
        <v>35</v>
      </c>
      <c r="H2070" s="12">
        <v>19</v>
      </c>
      <c r="J2070" s="2"/>
      <c r="K2070" s="2"/>
      <c r="L2070" s="2"/>
      <c r="M2070" s="2"/>
      <c r="N2070" s="2"/>
      <c r="O2070" s="2"/>
      <c r="P2070" s="2"/>
    </row>
    <row r="2071" spans="1:16" x14ac:dyDescent="0.4">
      <c r="A2071">
        <v>2011</v>
      </c>
      <c r="B2071" s="2" t="s">
        <v>552</v>
      </c>
      <c r="C2071" s="2" t="s">
        <v>721</v>
      </c>
      <c r="D2071" s="2" t="s">
        <v>207</v>
      </c>
      <c r="E2071" s="67" t="s">
        <v>208</v>
      </c>
      <c r="F2071" s="12">
        <v>26</v>
      </c>
      <c r="G2071" s="12">
        <v>13</v>
      </c>
      <c r="H2071" s="12">
        <v>13</v>
      </c>
      <c r="J2071" s="2"/>
      <c r="K2071" s="2"/>
      <c r="L2071" s="2"/>
      <c r="M2071" s="2"/>
      <c r="N2071" s="2"/>
      <c r="O2071" s="2"/>
      <c r="P2071" s="2"/>
    </row>
    <row r="2072" spans="1:16" x14ac:dyDescent="0.4">
      <c r="A2072">
        <v>2011</v>
      </c>
      <c r="B2072" s="2" t="s">
        <v>553</v>
      </c>
      <c r="C2072" s="2" t="s">
        <v>721</v>
      </c>
      <c r="D2072" s="2" t="s">
        <v>207</v>
      </c>
      <c r="E2072" s="67" t="s">
        <v>36</v>
      </c>
      <c r="F2072" s="12">
        <v>160</v>
      </c>
      <c r="G2072" s="12">
        <v>92</v>
      </c>
      <c r="H2072" s="12">
        <v>68</v>
      </c>
      <c r="J2072" s="2"/>
      <c r="K2072" s="2"/>
      <c r="L2072" s="2"/>
      <c r="M2072" s="2"/>
      <c r="N2072" s="2"/>
      <c r="O2072" s="2"/>
      <c r="P2072" s="2"/>
    </row>
    <row r="2073" spans="1:16" x14ac:dyDescent="0.4">
      <c r="A2073">
        <v>2011</v>
      </c>
      <c r="B2073" s="2" t="s">
        <v>554</v>
      </c>
      <c r="C2073" s="2" t="s">
        <v>721</v>
      </c>
      <c r="D2073" s="2" t="s">
        <v>207</v>
      </c>
      <c r="E2073" s="67" t="s">
        <v>209</v>
      </c>
      <c r="F2073" s="12">
        <v>112</v>
      </c>
      <c r="G2073" s="12">
        <v>61</v>
      </c>
      <c r="H2073" s="12">
        <v>51</v>
      </c>
      <c r="J2073" s="2"/>
      <c r="K2073" s="2"/>
      <c r="L2073" s="2"/>
      <c r="M2073" s="2"/>
      <c r="N2073" s="2"/>
      <c r="O2073" s="2"/>
      <c r="P2073" s="2"/>
    </row>
    <row r="2074" spans="1:16" x14ac:dyDescent="0.4">
      <c r="A2074">
        <v>2011</v>
      </c>
      <c r="B2074" s="2" t="s">
        <v>555</v>
      </c>
      <c r="C2074" s="2" t="s">
        <v>721</v>
      </c>
      <c r="D2074" s="2" t="s">
        <v>207</v>
      </c>
      <c r="E2074" s="67" t="s">
        <v>69</v>
      </c>
      <c r="F2074" s="12">
        <v>86</v>
      </c>
      <c r="G2074" s="12">
        <v>61</v>
      </c>
      <c r="H2074" s="12">
        <v>25</v>
      </c>
      <c r="J2074" s="2"/>
      <c r="K2074" s="2"/>
      <c r="L2074" s="2"/>
      <c r="M2074" s="2"/>
      <c r="N2074" s="2"/>
      <c r="O2074" s="2"/>
      <c r="P2074" s="2"/>
    </row>
    <row r="2075" spans="1:16" x14ac:dyDescent="0.4">
      <c r="A2075">
        <v>2011</v>
      </c>
      <c r="B2075" s="2" t="s">
        <v>556</v>
      </c>
      <c r="C2075" s="2" t="s">
        <v>721</v>
      </c>
      <c r="D2075" s="2" t="s">
        <v>207</v>
      </c>
      <c r="E2075" s="67" t="s">
        <v>62</v>
      </c>
      <c r="F2075" s="12">
        <v>189</v>
      </c>
      <c r="G2075" s="12">
        <v>111</v>
      </c>
      <c r="H2075" s="12">
        <v>78</v>
      </c>
      <c r="J2075" s="2"/>
      <c r="K2075" s="2"/>
      <c r="L2075" s="2"/>
      <c r="M2075" s="2"/>
      <c r="N2075" s="2"/>
      <c r="O2075" s="2"/>
      <c r="P2075" s="2"/>
    </row>
    <row r="2076" spans="1:16" x14ac:dyDescent="0.4">
      <c r="A2076">
        <v>2011</v>
      </c>
      <c r="B2076" s="2" t="s">
        <v>557</v>
      </c>
      <c r="C2076" s="2" t="s">
        <v>721</v>
      </c>
      <c r="D2076" s="2" t="s">
        <v>207</v>
      </c>
      <c r="E2076" s="67" t="s">
        <v>44</v>
      </c>
      <c r="F2076" s="12">
        <v>75</v>
      </c>
      <c r="G2076" s="12">
        <v>60</v>
      </c>
      <c r="H2076" s="12">
        <v>15</v>
      </c>
      <c r="J2076" s="2"/>
      <c r="K2076" s="2"/>
      <c r="L2076" s="2"/>
      <c r="M2076" s="2"/>
      <c r="N2076" s="2"/>
      <c r="O2076" s="2"/>
      <c r="P2076" s="2"/>
    </row>
    <row r="2077" spans="1:16" x14ac:dyDescent="0.4">
      <c r="A2077">
        <v>2011</v>
      </c>
      <c r="B2077" s="2" t="s">
        <v>558</v>
      </c>
      <c r="C2077" s="2" t="s">
        <v>721</v>
      </c>
      <c r="D2077" s="2" t="s">
        <v>207</v>
      </c>
      <c r="E2077" s="67" t="s">
        <v>210</v>
      </c>
      <c r="F2077" s="12">
        <v>2954</v>
      </c>
      <c r="G2077" s="12">
        <v>1793</v>
      </c>
      <c r="H2077" s="12">
        <v>1161</v>
      </c>
      <c r="J2077" s="2"/>
      <c r="K2077" s="2"/>
      <c r="L2077" s="2"/>
      <c r="M2077" s="2"/>
      <c r="N2077" s="2"/>
      <c r="O2077" s="2"/>
      <c r="P2077" s="2"/>
    </row>
    <row r="2078" spans="1:16" x14ac:dyDescent="0.4">
      <c r="A2078">
        <v>2011</v>
      </c>
      <c r="B2078" s="2" t="s">
        <v>559</v>
      </c>
      <c r="C2078" s="2" t="s">
        <v>721</v>
      </c>
      <c r="D2078" s="2" t="s">
        <v>207</v>
      </c>
      <c r="E2078" s="67" t="s">
        <v>74</v>
      </c>
      <c r="F2078" s="12">
        <v>129</v>
      </c>
      <c r="G2078" s="12">
        <v>86</v>
      </c>
      <c r="H2078" s="12">
        <v>43</v>
      </c>
      <c r="J2078" s="2"/>
      <c r="K2078" s="2"/>
      <c r="L2078" s="2"/>
      <c r="M2078" s="2"/>
      <c r="N2078" s="2"/>
      <c r="O2078" s="2"/>
      <c r="P2078" s="2"/>
    </row>
    <row r="2079" spans="1:16" x14ac:dyDescent="0.4">
      <c r="A2079">
        <v>2011</v>
      </c>
      <c r="B2079" s="2" t="s">
        <v>560</v>
      </c>
      <c r="C2079" s="2" t="s">
        <v>721</v>
      </c>
      <c r="D2079" s="2" t="s">
        <v>207</v>
      </c>
      <c r="E2079" s="67" t="s">
        <v>211</v>
      </c>
      <c r="F2079" s="12">
        <v>80</v>
      </c>
      <c r="G2079" s="12">
        <v>51</v>
      </c>
      <c r="H2079" s="12">
        <v>29</v>
      </c>
      <c r="J2079" s="2"/>
      <c r="K2079" s="2"/>
      <c r="L2079" s="2"/>
      <c r="M2079" s="2"/>
      <c r="N2079" s="2"/>
      <c r="O2079" s="2"/>
      <c r="P2079" s="2"/>
    </row>
    <row r="2080" spans="1:16" x14ac:dyDescent="0.4">
      <c r="A2080">
        <v>2011</v>
      </c>
      <c r="B2080" s="2" t="s">
        <v>561</v>
      </c>
      <c r="C2080" s="2" t="s">
        <v>721</v>
      </c>
      <c r="D2080" s="2" t="s">
        <v>207</v>
      </c>
      <c r="E2080" s="67" t="s">
        <v>212</v>
      </c>
      <c r="F2080" s="12">
        <v>26</v>
      </c>
      <c r="G2080" s="12">
        <v>20</v>
      </c>
      <c r="H2080" s="12">
        <v>6</v>
      </c>
      <c r="J2080" s="2"/>
      <c r="K2080" s="2"/>
      <c r="L2080" s="2"/>
      <c r="M2080" s="2"/>
      <c r="N2080" s="2"/>
      <c r="O2080" s="2"/>
      <c r="P2080" s="2"/>
    </row>
    <row r="2081" spans="1:16" x14ac:dyDescent="0.4">
      <c r="A2081">
        <v>2011</v>
      </c>
      <c r="B2081" s="2" t="s">
        <v>562</v>
      </c>
      <c r="C2081" s="2" t="s">
        <v>721</v>
      </c>
      <c r="D2081" s="2" t="s">
        <v>207</v>
      </c>
      <c r="E2081" s="67" t="s">
        <v>213</v>
      </c>
      <c r="F2081" s="12">
        <v>83</v>
      </c>
      <c r="G2081" s="12">
        <v>58</v>
      </c>
      <c r="H2081" s="12">
        <v>25</v>
      </c>
      <c r="J2081" s="2"/>
      <c r="K2081" s="2"/>
      <c r="L2081" s="2"/>
      <c r="M2081" s="2"/>
      <c r="N2081" s="2"/>
      <c r="O2081" s="2"/>
      <c r="P2081" s="2"/>
    </row>
    <row r="2082" spans="1:16" x14ac:dyDescent="0.4">
      <c r="A2082">
        <v>2011</v>
      </c>
      <c r="B2082" s="2" t="s">
        <v>563</v>
      </c>
      <c r="C2082" s="2" t="s">
        <v>721</v>
      </c>
      <c r="D2082" s="2" t="s">
        <v>207</v>
      </c>
      <c r="E2082" s="67" t="s">
        <v>214</v>
      </c>
      <c r="F2082" s="12">
        <v>20</v>
      </c>
      <c r="G2082" s="12">
        <v>14</v>
      </c>
      <c r="H2082" s="12">
        <v>6</v>
      </c>
      <c r="J2082" s="2"/>
      <c r="K2082" s="2"/>
      <c r="L2082" s="2"/>
      <c r="M2082" s="2"/>
      <c r="N2082" s="2"/>
      <c r="O2082" s="2"/>
      <c r="P2082" s="2"/>
    </row>
    <row r="2083" spans="1:16" x14ac:dyDescent="0.4">
      <c r="A2083">
        <v>2011</v>
      </c>
      <c r="B2083" s="2" t="s">
        <v>564</v>
      </c>
      <c r="C2083" s="2" t="s">
        <v>722</v>
      </c>
      <c r="D2083" s="2" t="s">
        <v>216</v>
      </c>
      <c r="E2083" s="67" t="s">
        <v>215</v>
      </c>
      <c r="F2083" s="12">
        <v>77</v>
      </c>
      <c r="G2083" s="12">
        <v>43</v>
      </c>
      <c r="H2083" s="12">
        <v>34</v>
      </c>
      <c r="J2083" s="2"/>
      <c r="K2083" s="2"/>
      <c r="L2083" s="2"/>
      <c r="M2083" s="2"/>
      <c r="N2083" s="2"/>
      <c r="O2083" s="2"/>
      <c r="P2083" s="2"/>
    </row>
    <row r="2084" spans="1:16" x14ac:dyDescent="0.4">
      <c r="A2084">
        <v>2011</v>
      </c>
      <c r="B2084" s="2" t="s">
        <v>565</v>
      </c>
      <c r="C2084" s="2" t="s">
        <v>722</v>
      </c>
      <c r="D2084" s="2" t="s">
        <v>216</v>
      </c>
      <c r="E2084" s="67" t="s">
        <v>59</v>
      </c>
      <c r="F2084" s="12">
        <v>115</v>
      </c>
      <c r="G2084" s="12">
        <v>66</v>
      </c>
      <c r="H2084" s="12">
        <v>49</v>
      </c>
      <c r="J2084" s="2"/>
      <c r="K2084" s="2"/>
      <c r="L2084" s="2"/>
      <c r="M2084" s="2"/>
      <c r="N2084" s="2"/>
      <c r="O2084" s="2"/>
      <c r="P2084" s="2"/>
    </row>
    <row r="2085" spans="1:16" x14ac:dyDescent="0.4">
      <c r="A2085">
        <v>2011</v>
      </c>
      <c r="B2085" s="2" t="s">
        <v>566</v>
      </c>
      <c r="C2085" s="2" t="s">
        <v>722</v>
      </c>
      <c r="D2085" s="2" t="s">
        <v>216</v>
      </c>
      <c r="E2085" s="67" t="s">
        <v>217</v>
      </c>
      <c r="F2085" s="12">
        <v>157</v>
      </c>
      <c r="G2085" s="12">
        <v>104</v>
      </c>
      <c r="H2085" s="12">
        <v>53</v>
      </c>
      <c r="J2085" s="2"/>
      <c r="K2085" s="2"/>
      <c r="L2085" s="2"/>
      <c r="M2085" s="2"/>
      <c r="N2085" s="2"/>
      <c r="O2085" s="2"/>
      <c r="P2085" s="2"/>
    </row>
    <row r="2086" spans="1:16" x14ac:dyDescent="0.4">
      <c r="A2086">
        <v>2011</v>
      </c>
      <c r="B2086" s="2" t="s">
        <v>567</v>
      </c>
      <c r="C2086" s="2" t="s">
        <v>722</v>
      </c>
      <c r="D2086" s="2" t="s">
        <v>216</v>
      </c>
      <c r="E2086" s="67" t="s">
        <v>218</v>
      </c>
      <c r="F2086" s="12">
        <v>192</v>
      </c>
      <c r="G2086" s="12">
        <v>109</v>
      </c>
      <c r="H2086" s="12">
        <v>83</v>
      </c>
      <c r="J2086" s="2"/>
      <c r="K2086" s="2"/>
      <c r="L2086" s="2"/>
      <c r="M2086" s="2"/>
      <c r="N2086" s="2"/>
      <c r="O2086" s="2"/>
      <c r="P2086" s="2"/>
    </row>
    <row r="2087" spans="1:16" x14ac:dyDescent="0.4">
      <c r="A2087">
        <v>2011</v>
      </c>
      <c r="B2087" s="2" t="s">
        <v>568</v>
      </c>
      <c r="C2087" s="2" t="s">
        <v>722</v>
      </c>
      <c r="D2087" s="2" t="s">
        <v>216</v>
      </c>
      <c r="E2087" s="67" t="s">
        <v>219</v>
      </c>
      <c r="F2087" s="12">
        <v>92</v>
      </c>
      <c r="G2087" s="12">
        <v>54</v>
      </c>
      <c r="H2087" s="12">
        <v>38</v>
      </c>
      <c r="J2087" s="2"/>
      <c r="K2087" s="2"/>
      <c r="L2087" s="2"/>
      <c r="M2087" s="2"/>
      <c r="N2087" s="2"/>
      <c r="O2087" s="2"/>
      <c r="P2087" s="2"/>
    </row>
    <row r="2088" spans="1:16" x14ac:dyDescent="0.4">
      <c r="A2088">
        <v>2011</v>
      </c>
      <c r="B2088" s="2" t="s">
        <v>569</v>
      </c>
      <c r="C2088" s="2" t="s">
        <v>722</v>
      </c>
      <c r="D2088" s="2" t="s">
        <v>216</v>
      </c>
      <c r="E2088" s="67" t="s">
        <v>220</v>
      </c>
      <c r="F2088" s="12">
        <v>150</v>
      </c>
      <c r="G2088" s="12">
        <v>86</v>
      </c>
      <c r="H2088" s="12">
        <v>64</v>
      </c>
      <c r="J2088" s="2"/>
      <c r="K2088" s="2"/>
      <c r="L2088" s="2"/>
      <c r="M2088" s="2"/>
      <c r="N2088" s="2"/>
      <c r="O2088" s="2"/>
      <c r="P2088" s="2"/>
    </row>
    <row r="2089" spans="1:16" x14ac:dyDescent="0.4">
      <c r="A2089">
        <v>2011</v>
      </c>
      <c r="B2089" s="2" t="s">
        <v>570</v>
      </c>
      <c r="C2089" s="2" t="s">
        <v>722</v>
      </c>
      <c r="D2089" s="2" t="s">
        <v>216</v>
      </c>
      <c r="E2089" s="67" t="s">
        <v>221</v>
      </c>
      <c r="F2089" s="12">
        <v>157</v>
      </c>
      <c r="G2089" s="12">
        <v>90</v>
      </c>
      <c r="H2089" s="12">
        <v>67</v>
      </c>
      <c r="J2089" s="2"/>
      <c r="K2089" s="2"/>
      <c r="L2089" s="2"/>
      <c r="M2089" s="2"/>
      <c r="N2089" s="2"/>
      <c r="O2089" s="2"/>
      <c r="P2089" s="2"/>
    </row>
    <row r="2090" spans="1:16" x14ac:dyDescent="0.4">
      <c r="A2090">
        <v>2011</v>
      </c>
      <c r="B2090" s="2" t="s">
        <v>571</v>
      </c>
      <c r="C2090" s="2" t="s">
        <v>722</v>
      </c>
      <c r="D2090" s="2" t="s">
        <v>216</v>
      </c>
      <c r="E2090" s="67" t="s">
        <v>222</v>
      </c>
      <c r="F2090" s="12">
        <v>1260</v>
      </c>
      <c r="G2090" s="12">
        <v>774</v>
      </c>
      <c r="H2090" s="12">
        <v>486</v>
      </c>
      <c r="J2090" s="2"/>
      <c r="K2090" s="2"/>
      <c r="L2090" s="2"/>
      <c r="M2090" s="2"/>
      <c r="N2090" s="2"/>
      <c r="O2090" s="2"/>
      <c r="P2090" s="2"/>
    </row>
    <row r="2091" spans="1:16" x14ac:dyDescent="0.4">
      <c r="A2091">
        <v>2011</v>
      </c>
      <c r="B2091" s="2" t="s">
        <v>572</v>
      </c>
      <c r="C2091" s="2" t="s">
        <v>722</v>
      </c>
      <c r="D2091" s="2" t="s">
        <v>216</v>
      </c>
      <c r="E2091" s="67" t="s">
        <v>223</v>
      </c>
      <c r="F2091" s="12">
        <v>73</v>
      </c>
      <c r="G2091" s="12">
        <v>43</v>
      </c>
      <c r="H2091" s="12">
        <v>30</v>
      </c>
      <c r="J2091" s="2"/>
      <c r="K2091" s="2"/>
      <c r="L2091" s="2"/>
      <c r="M2091" s="2"/>
      <c r="N2091" s="2"/>
      <c r="O2091" s="2"/>
      <c r="P2091" s="2"/>
    </row>
    <row r="2092" spans="1:16" x14ac:dyDescent="0.4">
      <c r="A2092">
        <v>2011</v>
      </c>
      <c r="B2092" s="2" t="s">
        <v>573</v>
      </c>
      <c r="C2092" s="2" t="s">
        <v>722</v>
      </c>
      <c r="D2092" s="2" t="s">
        <v>216</v>
      </c>
      <c r="E2092" s="67" t="s">
        <v>224</v>
      </c>
      <c r="F2092" s="12">
        <v>103</v>
      </c>
      <c r="G2092" s="12">
        <v>55</v>
      </c>
      <c r="H2092" s="12">
        <v>48</v>
      </c>
      <c r="J2092" s="2"/>
      <c r="K2092" s="2"/>
      <c r="L2092" s="2"/>
      <c r="M2092" s="2"/>
      <c r="N2092" s="2"/>
      <c r="O2092" s="2"/>
      <c r="P2092" s="2"/>
    </row>
    <row r="2093" spans="1:16" x14ac:dyDescent="0.4">
      <c r="A2093">
        <v>2011</v>
      </c>
      <c r="B2093" s="2" t="s">
        <v>574</v>
      </c>
      <c r="C2093" s="2" t="s">
        <v>722</v>
      </c>
      <c r="D2093" s="2" t="s">
        <v>216</v>
      </c>
      <c r="E2093" s="67" t="s">
        <v>225</v>
      </c>
      <c r="F2093" s="12">
        <v>32</v>
      </c>
      <c r="G2093" s="12">
        <v>16</v>
      </c>
      <c r="H2093" s="12">
        <v>16</v>
      </c>
      <c r="J2093" s="2"/>
      <c r="K2093" s="2"/>
      <c r="L2093" s="2"/>
      <c r="M2093" s="2"/>
      <c r="N2093" s="2"/>
      <c r="O2093" s="2"/>
      <c r="P2093" s="2"/>
    </row>
    <row r="2094" spans="1:16" x14ac:dyDescent="0.4">
      <c r="A2094">
        <v>2011</v>
      </c>
      <c r="B2094" s="2" t="s">
        <v>575</v>
      </c>
      <c r="C2094" s="2" t="s">
        <v>723</v>
      </c>
      <c r="D2094" s="2" t="s">
        <v>227</v>
      </c>
      <c r="E2094" s="67" t="s">
        <v>226</v>
      </c>
      <c r="F2094" s="12">
        <v>52</v>
      </c>
      <c r="G2094" s="12">
        <v>38</v>
      </c>
      <c r="H2094" s="12">
        <v>14</v>
      </c>
      <c r="J2094" s="2"/>
      <c r="K2094" s="2"/>
      <c r="L2094" s="2"/>
      <c r="M2094" s="2"/>
      <c r="N2094" s="2"/>
      <c r="O2094" s="2"/>
      <c r="P2094" s="2"/>
    </row>
    <row r="2095" spans="1:16" x14ac:dyDescent="0.4">
      <c r="A2095">
        <v>2011</v>
      </c>
      <c r="B2095" s="2" t="s">
        <v>576</v>
      </c>
      <c r="C2095" s="2" t="s">
        <v>723</v>
      </c>
      <c r="D2095" s="2" t="s">
        <v>227</v>
      </c>
      <c r="E2095" s="67" t="s">
        <v>228</v>
      </c>
      <c r="F2095" s="12">
        <v>1274</v>
      </c>
      <c r="G2095" s="12">
        <v>788</v>
      </c>
      <c r="H2095" s="12">
        <v>486</v>
      </c>
      <c r="J2095" s="2"/>
      <c r="K2095" s="2"/>
      <c r="L2095" s="2"/>
      <c r="M2095" s="2"/>
      <c r="N2095" s="2"/>
      <c r="O2095" s="2"/>
      <c r="P2095" s="2"/>
    </row>
    <row r="2096" spans="1:16" x14ac:dyDescent="0.4">
      <c r="A2096">
        <v>2011</v>
      </c>
      <c r="B2096" s="2" t="s">
        <v>577</v>
      </c>
      <c r="C2096" s="2" t="s">
        <v>723</v>
      </c>
      <c r="D2096" s="2" t="s">
        <v>227</v>
      </c>
      <c r="E2096" s="67" t="s">
        <v>229</v>
      </c>
      <c r="F2096" s="12">
        <v>114</v>
      </c>
      <c r="G2096" s="12">
        <v>76</v>
      </c>
      <c r="H2096" s="12">
        <v>38</v>
      </c>
      <c r="J2096" s="2"/>
      <c r="K2096" s="2"/>
      <c r="L2096" s="2"/>
      <c r="M2096" s="2"/>
      <c r="N2096" s="2"/>
      <c r="O2096" s="2"/>
      <c r="P2096" s="2"/>
    </row>
    <row r="2097" spans="1:16" x14ac:dyDescent="0.4">
      <c r="A2097">
        <v>2011</v>
      </c>
      <c r="B2097" s="2" t="s">
        <v>578</v>
      </c>
      <c r="C2097" s="2" t="s">
        <v>723</v>
      </c>
      <c r="D2097" s="2" t="s">
        <v>227</v>
      </c>
      <c r="E2097" s="67" t="s">
        <v>230</v>
      </c>
      <c r="F2097" s="12">
        <v>1104</v>
      </c>
      <c r="G2097" s="12">
        <v>684</v>
      </c>
      <c r="H2097" s="12">
        <v>420</v>
      </c>
      <c r="J2097" s="2"/>
      <c r="K2097" s="2"/>
      <c r="L2097" s="2"/>
      <c r="M2097" s="2"/>
      <c r="N2097" s="2"/>
      <c r="O2097" s="2"/>
      <c r="P2097" s="2"/>
    </row>
    <row r="2098" spans="1:16" x14ac:dyDescent="0.4">
      <c r="A2098">
        <v>2011</v>
      </c>
      <c r="B2098" s="2" t="s">
        <v>579</v>
      </c>
      <c r="C2098" s="2" t="s">
        <v>723</v>
      </c>
      <c r="D2098" s="2" t="s">
        <v>227</v>
      </c>
      <c r="E2098" s="67" t="s">
        <v>231</v>
      </c>
      <c r="F2098" s="12">
        <v>83</v>
      </c>
      <c r="G2098" s="12">
        <v>54</v>
      </c>
      <c r="H2098" s="12">
        <v>29</v>
      </c>
      <c r="J2098" s="2"/>
      <c r="K2098" s="2"/>
      <c r="L2098" s="2"/>
      <c r="M2098" s="2"/>
      <c r="N2098" s="2"/>
      <c r="O2098" s="2"/>
      <c r="P2098" s="2"/>
    </row>
    <row r="2099" spans="1:16" ht="23.15" x14ac:dyDescent="0.4">
      <c r="A2099">
        <v>2011</v>
      </c>
      <c r="B2099" s="2" t="s">
        <v>580</v>
      </c>
      <c r="C2099" s="2" t="s">
        <v>723</v>
      </c>
      <c r="D2099" s="2" t="s">
        <v>227</v>
      </c>
      <c r="E2099" s="67" t="s">
        <v>232</v>
      </c>
      <c r="F2099" s="12">
        <v>60</v>
      </c>
      <c r="G2099" s="12">
        <v>35</v>
      </c>
      <c r="H2099" s="12">
        <v>25</v>
      </c>
      <c r="J2099" s="2"/>
      <c r="K2099" s="2"/>
      <c r="L2099" s="2"/>
      <c r="M2099" s="2"/>
      <c r="N2099" s="2"/>
      <c r="O2099" s="2"/>
      <c r="P2099" s="2"/>
    </row>
    <row r="2100" spans="1:16" x14ac:dyDescent="0.4">
      <c r="A2100">
        <v>2011</v>
      </c>
      <c r="B2100" s="2" t="s">
        <v>581</v>
      </c>
      <c r="C2100" s="2" t="s">
        <v>723</v>
      </c>
      <c r="D2100" s="2" t="s">
        <v>227</v>
      </c>
      <c r="E2100" s="67" t="s">
        <v>233</v>
      </c>
      <c r="F2100" s="12">
        <v>89</v>
      </c>
      <c r="G2100" s="12">
        <v>64</v>
      </c>
      <c r="H2100" s="12">
        <v>25</v>
      </c>
      <c r="J2100" s="2"/>
      <c r="K2100" s="2"/>
      <c r="L2100" s="2"/>
      <c r="M2100" s="2"/>
      <c r="N2100" s="2"/>
      <c r="O2100" s="2"/>
      <c r="P2100" s="2"/>
    </row>
    <row r="2101" spans="1:16" x14ac:dyDescent="0.4">
      <c r="A2101">
        <v>2011</v>
      </c>
      <c r="B2101" s="2" t="s">
        <v>582</v>
      </c>
      <c r="C2101" s="2" t="s">
        <v>723</v>
      </c>
      <c r="D2101" s="2" t="s">
        <v>227</v>
      </c>
      <c r="E2101" s="67" t="s">
        <v>32</v>
      </c>
      <c r="F2101" s="12">
        <v>564</v>
      </c>
      <c r="G2101" s="12">
        <v>357</v>
      </c>
      <c r="H2101" s="12">
        <v>207</v>
      </c>
      <c r="J2101" s="2"/>
      <c r="K2101" s="2"/>
      <c r="L2101" s="2"/>
      <c r="M2101" s="2"/>
      <c r="N2101" s="2"/>
      <c r="O2101" s="2"/>
      <c r="P2101" s="2"/>
    </row>
    <row r="2102" spans="1:16" x14ac:dyDescent="0.4">
      <c r="A2102">
        <v>2011</v>
      </c>
      <c r="B2102" s="2" t="s">
        <v>583</v>
      </c>
      <c r="C2102" s="2" t="s">
        <v>723</v>
      </c>
      <c r="D2102" s="2" t="s">
        <v>227</v>
      </c>
      <c r="E2102" s="67" t="s">
        <v>234</v>
      </c>
      <c r="F2102" s="12">
        <v>22</v>
      </c>
      <c r="G2102" s="12">
        <v>10</v>
      </c>
      <c r="H2102" s="12">
        <v>12</v>
      </c>
      <c r="J2102" s="2"/>
      <c r="K2102" s="2"/>
      <c r="L2102" s="2"/>
      <c r="M2102" s="2"/>
      <c r="N2102" s="2"/>
      <c r="O2102" s="2"/>
      <c r="P2102" s="2"/>
    </row>
    <row r="2103" spans="1:16" x14ac:dyDescent="0.4">
      <c r="A2103">
        <v>2011</v>
      </c>
      <c r="B2103" s="2" t="s">
        <v>584</v>
      </c>
      <c r="C2103" s="2" t="s">
        <v>723</v>
      </c>
      <c r="D2103" s="2" t="s">
        <v>227</v>
      </c>
      <c r="E2103" s="67" t="s">
        <v>235</v>
      </c>
      <c r="F2103" s="12">
        <v>70</v>
      </c>
      <c r="G2103" s="12">
        <v>44</v>
      </c>
      <c r="H2103" s="12">
        <v>26</v>
      </c>
      <c r="J2103" s="2"/>
      <c r="K2103" s="2"/>
      <c r="L2103" s="2"/>
      <c r="M2103" s="2"/>
      <c r="N2103" s="2"/>
      <c r="O2103" s="2"/>
      <c r="P2103" s="2"/>
    </row>
    <row r="2104" spans="1:16" x14ac:dyDescent="0.4">
      <c r="A2104">
        <v>2011</v>
      </c>
      <c r="B2104" s="2" t="s">
        <v>585</v>
      </c>
      <c r="C2104" s="2" t="s">
        <v>723</v>
      </c>
      <c r="D2104" s="2" t="s">
        <v>227</v>
      </c>
      <c r="E2104" s="67" t="s">
        <v>236</v>
      </c>
      <c r="F2104" s="12">
        <v>51</v>
      </c>
      <c r="G2104" s="12">
        <v>35</v>
      </c>
      <c r="H2104" s="12">
        <v>16</v>
      </c>
      <c r="J2104" s="2"/>
      <c r="K2104" s="2"/>
      <c r="L2104" s="2"/>
      <c r="M2104" s="2"/>
      <c r="N2104" s="2"/>
      <c r="O2104" s="2"/>
      <c r="P2104" s="2"/>
    </row>
    <row r="2105" spans="1:16" x14ac:dyDescent="0.4">
      <c r="A2105">
        <v>2011</v>
      </c>
      <c r="B2105" s="2" t="s">
        <v>586</v>
      </c>
      <c r="C2105" s="2" t="s">
        <v>723</v>
      </c>
      <c r="D2105" s="2" t="s">
        <v>227</v>
      </c>
      <c r="E2105" s="67" t="s">
        <v>237</v>
      </c>
      <c r="F2105" s="12">
        <v>43</v>
      </c>
      <c r="G2105" s="12">
        <v>29</v>
      </c>
      <c r="H2105" s="12">
        <v>14</v>
      </c>
      <c r="J2105" s="2"/>
      <c r="K2105" s="2"/>
      <c r="L2105" s="2"/>
      <c r="M2105" s="2"/>
      <c r="N2105" s="2"/>
      <c r="O2105" s="2"/>
      <c r="P2105" s="2"/>
    </row>
    <row r="2106" spans="1:16" x14ac:dyDescent="0.4">
      <c r="A2106">
        <v>2011</v>
      </c>
      <c r="B2106" s="2" t="s">
        <v>587</v>
      </c>
      <c r="C2106" s="2" t="s">
        <v>723</v>
      </c>
      <c r="D2106" s="2" t="s">
        <v>227</v>
      </c>
      <c r="E2106" s="67" t="s">
        <v>51</v>
      </c>
      <c r="F2106" s="12">
        <v>112</v>
      </c>
      <c r="G2106" s="12">
        <v>63</v>
      </c>
      <c r="H2106" s="12">
        <v>49</v>
      </c>
      <c r="J2106" s="2"/>
      <c r="K2106" s="2"/>
      <c r="L2106" s="2"/>
      <c r="M2106" s="2"/>
      <c r="N2106" s="2"/>
      <c r="O2106" s="2"/>
      <c r="P2106" s="2"/>
    </row>
    <row r="2107" spans="1:16" x14ac:dyDescent="0.4">
      <c r="A2107">
        <v>2011</v>
      </c>
      <c r="B2107" s="2" t="s">
        <v>588</v>
      </c>
      <c r="C2107" s="2" t="s">
        <v>723</v>
      </c>
      <c r="D2107" s="2" t="s">
        <v>227</v>
      </c>
      <c r="E2107" s="67" t="s">
        <v>238</v>
      </c>
      <c r="F2107" s="12">
        <v>197</v>
      </c>
      <c r="G2107" s="12">
        <v>130</v>
      </c>
      <c r="H2107" s="12">
        <v>67</v>
      </c>
      <c r="J2107" s="2"/>
      <c r="K2107" s="2"/>
      <c r="L2107" s="2"/>
      <c r="M2107" s="2"/>
      <c r="N2107" s="2"/>
      <c r="O2107" s="2"/>
      <c r="P2107" s="2"/>
    </row>
    <row r="2108" spans="1:16" x14ac:dyDescent="0.4">
      <c r="A2108">
        <v>2011</v>
      </c>
      <c r="B2108" s="2" t="s">
        <v>589</v>
      </c>
      <c r="C2108" s="2" t="s">
        <v>724</v>
      </c>
      <c r="D2108" s="2" t="s">
        <v>239</v>
      </c>
      <c r="E2108" s="67" t="s">
        <v>163</v>
      </c>
      <c r="F2108" s="12">
        <v>102</v>
      </c>
      <c r="G2108" s="12">
        <v>64</v>
      </c>
      <c r="H2108" s="12">
        <v>38</v>
      </c>
      <c r="J2108" s="2"/>
      <c r="K2108" s="2"/>
      <c r="L2108" s="2"/>
      <c r="M2108" s="2"/>
      <c r="N2108" s="2"/>
      <c r="O2108" s="2"/>
      <c r="P2108" s="2"/>
    </row>
    <row r="2109" spans="1:16" x14ac:dyDescent="0.4">
      <c r="A2109">
        <v>2011</v>
      </c>
      <c r="B2109" s="2" t="s">
        <v>590</v>
      </c>
      <c r="C2109" s="2" t="s">
        <v>724</v>
      </c>
      <c r="D2109" s="2" t="s">
        <v>239</v>
      </c>
      <c r="E2109" s="67" t="s">
        <v>240</v>
      </c>
      <c r="F2109" s="12">
        <v>43</v>
      </c>
      <c r="G2109" s="12">
        <v>24</v>
      </c>
      <c r="H2109" s="12">
        <v>19</v>
      </c>
      <c r="J2109" s="2"/>
      <c r="K2109" s="2"/>
      <c r="L2109" s="2"/>
      <c r="M2109" s="2"/>
      <c r="N2109" s="2"/>
      <c r="O2109" s="2"/>
      <c r="P2109" s="2"/>
    </row>
    <row r="2110" spans="1:16" x14ac:dyDescent="0.4">
      <c r="A2110">
        <v>2011</v>
      </c>
      <c r="B2110" s="2" t="s">
        <v>591</v>
      </c>
      <c r="C2110" s="2" t="s">
        <v>724</v>
      </c>
      <c r="D2110" s="2" t="s">
        <v>239</v>
      </c>
      <c r="E2110" s="67" t="s">
        <v>59</v>
      </c>
      <c r="F2110" s="12">
        <v>145</v>
      </c>
      <c r="G2110" s="12">
        <v>85</v>
      </c>
      <c r="H2110" s="12">
        <v>60</v>
      </c>
      <c r="J2110" s="2"/>
      <c r="K2110" s="2"/>
      <c r="L2110" s="2"/>
      <c r="M2110" s="2"/>
      <c r="N2110" s="2"/>
      <c r="O2110" s="2"/>
      <c r="P2110" s="2"/>
    </row>
    <row r="2111" spans="1:16" x14ac:dyDescent="0.4">
      <c r="A2111">
        <v>2011</v>
      </c>
      <c r="B2111" s="2" t="s">
        <v>592</v>
      </c>
      <c r="C2111" s="2" t="s">
        <v>724</v>
      </c>
      <c r="D2111" s="2" t="s">
        <v>239</v>
      </c>
      <c r="E2111" s="67" t="s">
        <v>241</v>
      </c>
      <c r="F2111" s="12">
        <v>86</v>
      </c>
      <c r="G2111" s="12">
        <v>56</v>
      </c>
      <c r="H2111" s="12">
        <v>30</v>
      </c>
      <c r="J2111" s="2"/>
      <c r="K2111" s="2"/>
      <c r="L2111" s="2"/>
      <c r="M2111" s="2"/>
      <c r="N2111" s="2"/>
      <c r="O2111" s="2"/>
      <c r="P2111" s="2"/>
    </row>
    <row r="2112" spans="1:16" x14ac:dyDescent="0.4">
      <c r="A2112">
        <v>2011</v>
      </c>
      <c r="B2112" s="2" t="s">
        <v>593</v>
      </c>
      <c r="C2112" s="2" t="s">
        <v>724</v>
      </c>
      <c r="D2112" s="2" t="s">
        <v>239</v>
      </c>
      <c r="E2112" s="67" t="s">
        <v>242</v>
      </c>
      <c r="F2112" s="12">
        <v>1127</v>
      </c>
      <c r="G2112" s="12">
        <v>666</v>
      </c>
      <c r="H2112" s="12">
        <v>461</v>
      </c>
      <c r="J2112" s="2"/>
      <c r="K2112" s="2"/>
      <c r="L2112" s="2"/>
      <c r="M2112" s="2"/>
      <c r="N2112" s="2"/>
      <c r="O2112" s="2"/>
      <c r="P2112" s="2"/>
    </row>
    <row r="2113" spans="1:16" x14ac:dyDescent="0.4">
      <c r="A2113">
        <v>2011</v>
      </c>
      <c r="B2113" s="2" t="s">
        <v>594</v>
      </c>
      <c r="C2113" s="2" t="s">
        <v>724</v>
      </c>
      <c r="D2113" s="2" t="s">
        <v>239</v>
      </c>
      <c r="E2113" s="67" t="s">
        <v>36</v>
      </c>
      <c r="F2113" s="12">
        <v>40</v>
      </c>
      <c r="G2113" s="12">
        <v>22</v>
      </c>
      <c r="H2113" s="12">
        <v>18</v>
      </c>
      <c r="J2113" s="2"/>
      <c r="K2113" s="2"/>
      <c r="L2113" s="2"/>
      <c r="M2113" s="2"/>
      <c r="N2113" s="2"/>
      <c r="O2113" s="2"/>
      <c r="P2113" s="2"/>
    </row>
    <row r="2114" spans="1:16" x14ac:dyDescent="0.4">
      <c r="A2114">
        <v>2011</v>
      </c>
      <c r="B2114" s="2" t="s">
        <v>595</v>
      </c>
      <c r="C2114" s="2" t="s">
        <v>724</v>
      </c>
      <c r="D2114" s="2" t="s">
        <v>239</v>
      </c>
      <c r="E2114" s="67" t="s">
        <v>243</v>
      </c>
      <c r="F2114" s="12">
        <v>68</v>
      </c>
      <c r="G2114" s="12">
        <v>38</v>
      </c>
      <c r="H2114" s="12">
        <v>30</v>
      </c>
      <c r="J2114" s="2"/>
      <c r="K2114" s="2"/>
      <c r="L2114" s="2"/>
      <c r="M2114" s="2"/>
      <c r="N2114" s="2"/>
      <c r="O2114" s="2"/>
      <c r="P2114" s="2"/>
    </row>
    <row r="2115" spans="1:16" x14ac:dyDescent="0.4">
      <c r="A2115">
        <v>2011</v>
      </c>
      <c r="B2115" s="2" t="s">
        <v>596</v>
      </c>
      <c r="C2115" s="2" t="s">
        <v>724</v>
      </c>
      <c r="D2115" s="2" t="s">
        <v>239</v>
      </c>
      <c r="E2115" s="67" t="s">
        <v>244</v>
      </c>
      <c r="F2115" s="12">
        <v>90</v>
      </c>
      <c r="G2115" s="12">
        <v>48</v>
      </c>
      <c r="H2115" s="12">
        <v>42</v>
      </c>
      <c r="J2115" s="2"/>
      <c r="K2115" s="2"/>
      <c r="L2115" s="2"/>
      <c r="M2115" s="2"/>
      <c r="N2115" s="2"/>
      <c r="O2115" s="2"/>
      <c r="P2115" s="2"/>
    </row>
    <row r="2116" spans="1:16" x14ac:dyDescent="0.4">
      <c r="A2116">
        <v>2011</v>
      </c>
      <c r="B2116" s="2" t="s">
        <v>597</v>
      </c>
      <c r="C2116" s="2" t="s">
        <v>724</v>
      </c>
      <c r="D2116" s="2" t="s">
        <v>239</v>
      </c>
      <c r="E2116" s="67" t="s">
        <v>44</v>
      </c>
      <c r="F2116" s="12">
        <v>36</v>
      </c>
      <c r="G2116" s="12">
        <v>24</v>
      </c>
      <c r="H2116" s="12">
        <v>12</v>
      </c>
      <c r="J2116" s="2"/>
      <c r="K2116" s="2"/>
      <c r="L2116" s="2"/>
      <c r="M2116" s="2"/>
      <c r="N2116" s="2"/>
      <c r="O2116" s="2"/>
      <c r="P2116" s="2"/>
    </row>
    <row r="2117" spans="1:16" x14ac:dyDescent="0.4">
      <c r="A2117">
        <v>2011</v>
      </c>
      <c r="B2117" s="2" t="s">
        <v>598</v>
      </c>
      <c r="C2117" s="2" t="s">
        <v>724</v>
      </c>
      <c r="D2117" s="2" t="s">
        <v>239</v>
      </c>
      <c r="E2117" s="67" t="s">
        <v>222</v>
      </c>
      <c r="F2117" s="12">
        <v>108</v>
      </c>
      <c r="G2117" s="12">
        <v>65</v>
      </c>
      <c r="H2117" s="12">
        <v>43</v>
      </c>
      <c r="J2117" s="2"/>
      <c r="K2117" s="2"/>
      <c r="L2117" s="2"/>
      <c r="M2117" s="2"/>
      <c r="N2117" s="2"/>
      <c r="O2117" s="2"/>
      <c r="P2117" s="2"/>
    </row>
    <row r="2118" spans="1:16" x14ac:dyDescent="0.4">
      <c r="A2118">
        <v>2011</v>
      </c>
      <c r="B2118" s="2" t="s">
        <v>599</v>
      </c>
      <c r="C2118" s="2" t="s">
        <v>724</v>
      </c>
      <c r="D2118" s="2" t="s">
        <v>239</v>
      </c>
      <c r="E2118" s="67" t="s">
        <v>245</v>
      </c>
      <c r="F2118" s="12">
        <v>33</v>
      </c>
      <c r="G2118" s="12">
        <v>17</v>
      </c>
      <c r="H2118" s="12">
        <v>16</v>
      </c>
      <c r="J2118" s="2"/>
      <c r="K2118" s="2"/>
      <c r="L2118" s="2"/>
      <c r="M2118" s="2"/>
      <c r="N2118" s="2"/>
      <c r="O2118" s="2"/>
      <c r="P2118" s="2"/>
    </row>
    <row r="2119" spans="1:16" x14ac:dyDescent="0.4">
      <c r="A2119">
        <v>2011</v>
      </c>
      <c r="B2119" s="2" t="s">
        <v>600</v>
      </c>
      <c r="C2119" s="2" t="s">
        <v>724</v>
      </c>
      <c r="D2119" s="2" t="s">
        <v>239</v>
      </c>
      <c r="E2119" s="67" t="s">
        <v>246</v>
      </c>
      <c r="F2119" s="12">
        <v>162</v>
      </c>
      <c r="G2119" s="12">
        <v>95</v>
      </c>
      <c r="H2119" s="12">
        <v>67</v>
      </c>
      <c r="J2119" s="2"/>
      <c r="K2119" s="2"/>
      <c r="L2119" s="2"/>
      <c r="M2119" s="2"/>
      <c r="N2119" s="2"/>
      <c r="O2119" s="2"/>
      <c r="P2119" s="2"/>
    </row>
    <row r="2120" spans="1:16" x14ac:dyDescent="0.4">
      <c r="A2120">
        <v>2011</v>
      </c>
      <c r="B2120" s="2" t="s">
        <v>601</v>
      </c>
      <c r="C2120" s="2" t="s">
        <v>724</v>
      </c>
      <c r="D2120" s="2" t="s">
        <v>239</v>
      </c>
      <c r="E2120" s="67" t="s">
        <v>247</v>
      </c>
      <c r="F2120" s="12">
        <v>175</v>
      </c>
      <c r="G2120" s="12">
        <v>102</v>
      </c>
      <c r="H2120" s="12">
        <v>73</v>
      </c>
      <c r="J2120" s="2"/>
      <c r="K2120" s="2"/>
      <c r="L2120" s="2"/>
      <c r="M2120" s="2"/>
      <c r="N2120" s="2"/>
      <c r="O2120" s="2"/>
      <c r="P2120" s="2"/>
    </row>
    <row r="2121" spans="1:16" x14ac:dyDescent="0.4">
      <c r="A2121">
        <v>2011</v>
      </c>
      <c r="B2121" s="2" t="s">
        <v>602</v>
      </c>
      <c r="C2121" s="2" t="s">
        <v>724</v>
      </c>
      <c r="D2121" s="2" t="s">
        <v>239</v>
      </c>
      <c r="E2121" s="67" t="s">
        <v>51</v>
      </c>
      <c r="F2121" s="12">
        <v>2311</v>
      </c>
      <c r="G2121" s="12">
        <v>1419</v>
      </c>
      <c r="H2121" s="12">
        <v>892</v>
      </c>
      <c r="J2121" s="2"/>
      <c r="K2121" s="2"/>
      <c r="L2121" s="2"/>
      <c r="M2121" s="2"/>
      <c r="N2121" s="2"/>
      <c r="O2121" s="2"/>
      <c r="P2121" s="2"/>
    </row>
    <row r="2122" spans="1:16" x14ac:dyDescent="0.4">
      <c r="A2122">
        <v>2011</v>
      </c>
      <c r="B2122" s="2" t="s">
        <v>603</v>
      </c>
      <c r="C2122" s="2" t="s">
        <v>724</v>
      </c>
      <c r="D2122" s="2" t="s">
        <v>239</v>
      </c>
      <c r="E2122" s="67" t="s">
        <v>248</v>
      </c>
      <c r="F2122" s="12">
        <v>163</v>
      </c>
      <c r="G2122" s="12">
        <v>107</v>
      </c>
      <c r="H2122" s="12">
        <v>56</v>
      </c>
      <c r="J2122" s="2"/>
      <c r="K2122" s="2"/>
      <c r="L2122" s="2"/>
      <c r="M2122" s="2"/>
      <c r="N2122" s="2"/>
      <c r="O2122" s="2"/>
      <c r="P2122" s="2"/>
    </row>
    <row r="2123" spans="1:16" x14ac:dyDescent="0.4">
      <c r="A2123">
        <v>2011</v>
      </c>
      <c r="B2123" s="2" t="s">
        <v>604</v>
      </c>
      <c r="C2123" s="2" t="s">
        <v>725</v>
      </c>
      <c r="D2123" s="2" t="s">
        <v>249</v>
      </c>
      <c r="E2123" s="67" t="s">
        <v>174</v>
      </c>
      <c r="F2123" s="12">
        <v>85</v>
      </c>
      <c r="G2123" s="12">
        <v>50</v>
      </c>
      <c r="H2123" s="12">
        <v>35</v>
      </c>
      <c r="J2123" s="2"/>
      <c r="K2123" s="2"/>
      <c r="L2123" s="2"/>
      <c r="M2123" s="2"/>
      <c r="N2123" s="2"/>
      <c r="O2123" s="2"/>
      <c r="P2123" s="2"/>
    </row>
    <row r="2124" spans="1:16" x14ac:dyDescent="0.4">
      <c r="A2124">
        <v>2011</v>
      </c>
      <c r="B2124" s="2" t="s">
        <v>605</v>
      </c>
      <c r="C2124" s="2" t="s">
        <v>725</v>
      </c>
      <c r="D2124" s="2" t="s">
        <v>249</v>
      </c>
      <c r="E2124" s="67" t="s">
        <v>250</v>
      </c>
      <c r="F2124" s="12">
        <v>30</v>
      </c>
      <c r="G2124" s="12">
        <v>15</v>
      </c>
      <c r="H2124" s="12">
        <v>15</v>
      </c>
      <c r="J2124" s="2"/>
      <c r="K2124" s="2"/>
      <c r="L2124" s="2"/>
      <c r="M2124" s="2"/>
      <c r="N2124" s="2"/>
      <c r="O2124" s="2"/>
      <c r="P2124" s="2"/>
    </row>
    <row r="2125" spans="1:16" x14ac:dyDescent="0.4">
      <c r="A2125">
        <v>2011</v>
      </c>
      <c r="B2125" s="2" t="s">
        <v>606</v>
      </c>
      <c r="C2125" s="2" t="s">
        <v>725</v>
      </c>
      <c r="D2125" s="2" t="s">
        <v>249</v>
      </c>
      <c r="E2125" s="67" t="s">
        <v>251</v>
      </c>
      <c r="F2125" s="12">
        <v>288</v>
      </c>
      <c r="G2125" s="12">
        <v>177</v>
      </c>
      <c r="H2125" s="12">
        <v>111</v>
      </c>
      <c r="J2125" s="2"/>
      <c r="K2125" s="2"/>
      <c r="L2125" s="2"/>
      <c r="M2125" s="2"/>
      <c r="N2125" s="2"/>
      <c r="O2125" s="2"/>
      <c r="P2125" s="2"/>
    </row>
    <row r="2126" spans="1:16" x14ac:dyDescent="0.4">
      <c r="A2126">
        <v>2011</v>
      </c>
      <c r="B2126" s="2" t="s">
        <v>607</v>
      </c>
      <c r="C2126" s="2" t="s">
        <v>725</v>
      </c>
      <c r="D2126" s="2" t="s">
        <v>249</v>
      </c>
      <c r="E2126" s="67" t="s">
        <v>36</v>
      </c>
      <c r="F2126" s="12">
        <v>232</v>
      </c>
      <c r="G2126" s="12">
        <v>134</v>
      </c>
      <c r="H2126" s="12">
        <v>98</v>
      </c>
      <c r="J2126" s="2"/>
      <c r="K2126" s="2"/>
      <c r="L2126" s="2"/>
      <c r="M2126" s="2"/>
      <c r="N2126" s="2"/>
      <c r="O2126" s="2"/>
      <c r="P2126" s="2"/>
    </row>
    <row r="2127" spans="1:16" x14ac:dyDescent="0.4">
      <c r="A2127">
        <v>2011</v>
      </c>
      <c r="B2127" s="2" t="s">
        <v>608</v>
      </c>
      <c r="C2127" s="2" t="s">
        <v>725</v>
      </c>
      <c r="D2127" s="2" t="s">
        <v>249</v>
      </c>
      <c r="E2127" s="67" t="s">
        <v>252</v>
      </c>
      <c r="F2127" s="12">
        <v>245</v>
      </c>
      <c r="G2127" s="12">
        <v>143</v>
      </c>
      <c r="H2127" s="12">
        <v>102</v>
      </c>
      <c r="J2127" s="2"/>
      <c r="K2127" s="2"/>
      <c r="L2127" s="2"/>
      <c r="M2127" s="2"/>
      <c r="N2127" s="2"/>
      <c r="O2127" s="2"/>
      <c r="P2127" s="2"/>
    </row>
    <row r="2128" spans="1:16" x14ac:dyDescent="0.4">
      <c r="A2128">
        <v>2011</v>
      </c>
      <c r="B2128" s="2" t="s">
        <v>609</v>
      </c>
      <c r="C2128" s="2" t="s">
        <v>725</v>
      </c>
      <c r="D2128" s="2" t="s">
        <v>249</v>
      </c>
      <c r="E2128" s="67" t="s">
        <v>253</v>
      </c>
      <c r="F2128" s="12">
        <v>127</v>
      </c>
      <c r="G2128" s="12">
        <v>97</v>
      </c>
      <c r="H2128" s="12">
        <v>30</v>
      </c>
      <c r="J2128" s="2"/>
      <c r="K2128" s="2"/>
      <c r="L2128" s="2"/>
      <c r="M2128" s="2"/>
      <c r="N2128" s="2"/>
      <c r="O2128" s="2"/>
      <c r="P2128" s="2"/>
    </row>
    <row r="2129" spans="1:16" x14ac:dyDescent="0.4">
      <c r="A2129">
        <v>2011</v>
      </c>
      <c r="B2129" s="2" t="s">
        <v>610</v>
      </c>
      <c r="C2129" s="2" t="s">
        <v>725</v>
      </c>
      <c r="D2129" s="2" t="s">
        <v>249</v>
      </c>
      <c r="E2129" s="67" t="s">
        <v>254</v>
      </c>
      <c r="F2129" s="12">
        <v>169</v>
      </c>
      <c r="G2129" s="12">
        <v>117</v>
      </c>
      <c r="H2129" s="12">
        <v>52</v>
      </c>
      <c r="J2129" s="2"/>
      <c r="K2129" s="2"/>
      <c r="L2129" s="2"/>
      <c r="M2129" s="2"/>
      <c r="N2129" s="2"/>
      <c r="O2129" s="2"/>
      <c r="P2129" s="2"/>
    </row>
    <row r="2130" spans="1:16" x14ac:dyDescent="0.4">
      <c r="A2130">
        <v>2011</v>
      </c>
      <c r="B2130" s="2" t="s">
        <v>611</v>
      </c>
      <c r="C2130" s="2" t="s">
        <v>725</v>
      </c>
      <c r="D2130" s="2" t="s">
        <v>249</v>
      </c>
      <c r="E2130" s="67" t="s">
        <v>11</v>
      </c>
      <c r="F2130" s="12">
        <v>0</v>
      </c>
      <c r="G2130" s="12">
        <v>0</v>
      </c>
      <c r="H2130" s="12">
        <v>0</v>
      </c>
      <c r="J2130" s="2"/>
      <c r="K2130" s="2"/>
      <c r="L2130" s="2"/>
      <c r="M2130" s="2"/>
      <c r="N2130" s="2"/>
      <c r="O2130" s="2"/>
      <c r="P2130" s="2"/>
    </row>
    <row r="2131" spans="1:16" x14ac:dyDescent="0.4">
      <c r="A2131">
        <v>2011</v>
      </c>
      <c r="B2131" s="2" t="s">
        <v>612</v>
      </c>
      <c r="C2131" s="2" t="s">
        <v>725</v>
      </c>
      <c r="D2131" s="2" t="s">
        <v>249</v>
      </c>
      <c r="E2131" s="67" t="s">
        <v>255</v>
      </c>
      <c r="F2131" s="12">
        <v>242</v>
      </c>
      <c r="G2131" s="12">
        <v>148</v>
      </c>
      <c r="H2131" s="12">
        <v>94</v>
      </c>
      <c r="J2131" s="2"/>
      <c r="K2131" s="2"/>
      <c r="L2131" s="2"/>
      <c r="M2131" s="2"/>
      <c r="N2131" s="2"/>
      <c r="O2131" s="2"/>
      <c r="P2131" s="2"/>
    </row>
    <row r="2132" spans="1:16" x14ac:dyDescent="0.4">
      <c r="A2132">
        <v>2011</v>
      </c>
      <c r="B2132" s="2" t="s">
        <v>613</v>
      </c>
      <c r="C2132" s="2" t="s">
        <v>725</v>
      </c>
      <c r="D2132" s="2" t="s">
        <v>249</v>
      </c>
      <c r="E2132" s="67" t="s">
        <v>256</v>
      </c>
      <c r="F2132" s="12">
        <v>82</v>
      </c>
      <c r="G2132" s="12">
        <v>52</v>
      </c>
      <c r="H2132" s="12">
        <v>30</v>
      </c>
      <c r="J2132" s="2"/>
      <c r="K2132" s="2"/>
      <c r="L2132" s="2"/>
      <c r="M2132" s="2"/>
      <c r="N2132" s="2"/>
      <c r="O2132" s="2"/>
      <c r="P2132" s="2"/>
    </row>
    <row r="2133" spans="1:16" x14ac:dyDescent="0.4">
      <c r="A2133">
        <v>2011</v>
      </c>
      <c r="B2133" s="2" t="s">
        <v>614</v>
      </c>
      <c r="C2133" s="2" t="s">
        <v>725</v>
      </c>
      <c r="D2133" s="2" t="s">
        <v>249</v>
      </c>
      <c r="E2133" s="67" t="s">
        <v>14</v>
      </c>
      <c r="F2133" s="12">
        <v>103</v>
      </c>
      <c r="G2133" s="12">
        <v>63</v>
      </c>
      <c r="H2133" s="12">
        <v>40</v>
      </c>
      <c r="J2133" s="2"/>
      <c r="K2133" s="2"/>
      <c r="L2133" s="2"/>
      <c r="M2133" s="2"/>
      <c r="N2133" s="2"/>
      <c r="O2133" s="2"/>
      <c r="P2133" s="2"/>
    </row>
    <row r="2134" spans="1:16" x14ac:dyDescent="0.4">
      <c r="A2134">
        <v>2011</v>
      </c>
      <c r="B2134" s="2" t="s">
        <v>615</v>
      </c>
      <c r="C2134" s="2" t="s">
        <v>725</v>
      </c>
      <c r="D2134" s="2" t="s">
        <v>249</v>
      </c>
      <c r="E2134" s="67" t="s">
        <v>257</v>
      </c>
      <c r="F2134" s="12">
        <v>232</v>
      </c>
      <c r="G2134" s="12">
        <v>139</v>
      </c>
      <c r="H2134" s="12">
        <v>93</v>
      </c>
      <c r="J2134" s="2"/>
      <c r="K2134" s="2"/>
      <c r="L2134" s="2"/>
      <c r="M2134" s="2"/>
      <c r="N2134" s="2"/>
      <c r="O2134" s="2"/>
      <c r="P2134" s="2"/>
    </row>
    <row r="2135" spans="1:16" x14ac:dyDescent="0.4">
      <c r="A2135">
        <v>2011</v>
      </c>
      <c r="B2135" s="2" t="s">
        <v>616</v>
      </c>
      <c r="C2135" s="2" t="s">
        <v>725</v>
      </c>
      <c r="D2135" s="2" t="s">
        <v>249</v>
      </c>
      <c r="E2135" s="67" t="s">
        <v>258</v>
      </c>
      <c r="F2135" s="12">
        <v>31</v>
      </c>
      <c r="G2135" s="12">
        <v>23</v>
      </c>
      <c r="H2135" s="12">
        <v>8</v>
      </c>
      <c r="J2135" s="2"/>
      <c r="K2135" s="2"/>
      <c r="L2135" s="2"/>
      <c r="M2135" s="2"/>
      <c r="N2135" s="2"/>
      <c r="O2135" s="2"/>
      <c r="P2135" s="2"/>
    </row>
    <row r="2136" spans="1:16" x14ac:dyDescent="0.4">
      <c r="A2136">
        <v>2011</v>
      </c>
      <c r="B2136" s="2" t="s">
        <v>617</v>
      </c>
      <c r="C2136" s="2" t="s">
        <v>725</v>
      </c>
      <c r="D2136" s="2" t="s">
        <v>249</v>
      </c>
      <c r="E2136" s="67" t="s">
        <v>259</v>
      </c>
      <c r="F2136" s="12">
        <v>302</v>
      </c>
      <c r="G2136" s="12">
        <v>173</v>
      </c>
      <c r="H2136" s="12">
        <v>129</v>
      </c>
      <c r="J2136" s="2"/>
      <c r="K2136" s="2"/>
      <c r="L2136" s="2"/>
      <c r="M2136" s="2"/>
      <c r="N2136" s="2"/>
      <c r="O2136" s="2"/>
      <c r="P2136" s="2"/>
    </row>
    <row r="2137" spans="1:16" x14ac:dyDescent="0.4">
      <c r="A2137">
        <v>2011</v>
      </c>
      <c r="B2137" s="2" t="s">
        <v>618</v>
      </c>
      <c r="C2137" s="2" t="s">
        <v>725</v>
      </c>
      <c r="D2137" s="2" t="s">
        <v>249</v>
      </c>
      <c r="E2137" s="67" t="s">
        <v>18</v>
      </c>
      <c r="F2137" s="12">
        <v>63</v>
      </c>
      <c r="G2137" s="12">
        <v>39</v>
      </c>
      <c r="H2137" s="12">
        <v>24</v>
      </c>
      <c r="J2137" s="2"/>
      <c r="K2137" s="2"/>
      <c r="L2137" s="2"/>
      <c r="M2137" s="2"/>
      <c r="N2137" s="2"/>
      <c r="O2137" s="2"/>
      <c r="P2137" s="2"/>
    </row>
    <row r="2138" spans="1:16" x14ac:dyDescent="0.4">
      <c r="A2138">
        <v>2011</v>
      </c>
      <c r="B2138" s="2" t="s">
        <v>619</v>
      </c>
      <c r="C2138" s="2" t="s">
        <v>725</v>
      </c>
      <c r="D2138" s="2" t="s">
        <v>249</v>
      </c>
      <c r="E2138" s="67" t="s">
        <v>44</v>
      </c>
      <c r="F2138" s="12">
        <v>102</v>
      </c>
      <c r="G2138" s="12">
        <v>75</v>
      </c>
      <c r="H2138" s="12">
        <v>27</v>
      </c>
      <c r="J2138" s="2"/>
      <c r="K2138" s="2"/>
      <c r="L2138" s="2"/>
      <c r="M2138" s="2"/>
      <c r="N2138" s="2"/>
      <c r="O2138" s="2"/>
      <c r="P2138" s="2"/>
    </row>
    <row r="2139" spans="1:16" x14ac:dyDescent="0.4">
      <c r="A2139">
        <v>2011</v>
      </c>
      <c r="B2139" s="2" t="s">
        <v>620</v>
      </c>
      <c r="C2139" s="2" t="s">
        <v>725</v>
      </c>
      <c r="D2139" s="2" t="s">
        <v>249</v>
      </c>
      <c r="E2139" s="67" t="s">
        <v>260</v>
      </c>
      <c r="F2139" s="12">
        <v>41</v>
      </c>
      <c r="G2139" s="12">
        <v>30</v>
      </c>
      <c r="H2139" s="12">
        <v>11</v>
      </c>
      <c r="J2139" s="2"/>
      <c r="K2139" s="2"/>
      <c r="L2139" s="2"/>
      <c r="M2139" s="2"/>
      <c r="N2139" s="2"/>
      <c r="O2139" s="2"/>
      <c r="P2139" s="2"/>
    </row>
    <row r="2140" spans="1:16" x14ac:dyDescent="0.4">
      <c r="A2140">
        <v>2011</v>
      </c>
      <c r="B2140" s="2" t="s">
        <v>621</v>
      </c>
      <c r="C2140" s="2" t="s">
        <v>725</v>
      </c>
      <c r="D2140" s="2" t="s">
        <v>249</v>
      </c>
      <c r="E2140" s="67" t="s">
        <v>261</v>
      </c>
      <c r="F2140" s="12">
        <v>84</v>
      </c>
      <c r="G2140" s="12">
        <v>58</v>
      </c>
      <c r="H2140" s="12">
        <v>26</v>
      </c>
      <c r="J2140" s="2"/>
      <c r="K2140" s="2"/>
      <c r="L2140" s="2"/>
      <c r="M2140" s="2"/>
      <c r="N2140" s="2"/>
      <c r="O2140" s="2"/>
      <c r="P2140" s="2"/>
    </row>
    <row r="2141" spans="1:16" x14ac:dyDescent="0.4">
      <c r="A2141">
        <v>2011</v>
      </c>
      <c r="B2141" s="2" t="s">
        <v>622</v>
      </c>
      <c r="C2141" s="2" t="s">
        <v>725</v>
      </c>
      <c r="D2141" s="2" t="s">
        <v>249</v>
      </c>
      <c r="E2141" s="67" t="s">
        <v>262</v>
      </c>
      <c r="F2141" s="12">
        <v>138</v>
      </c>
      <c r="G2141" s="12">
        <v>87</v>
      </c>
      <c r="H2141" s="12">
        <v>51</v>
      </c>
      <c r="J2141" s="2"/>
      <c r="K2141" s="2"/>
      <c r="L2141" s="2"/>
      <c r="M2141" s="2"/>
      <c r="N2141" s="2"/>
      <c r="O2141" s="2"/>
      <c r="P2141" s="2"/>
    </row>
    <row r="2142" spans="1:16" x14ac:dyDescent="0.4">
      <c r="A2142">
        <v>2011</v>
      </c>
      <c r="B2142" s="2" t="s">
        <v>623</v>
      </c>
      <c r="C2142" s="2" t="s">
        <v>725</v>
      </c>
      <c r="D2142" s="2" t="s">
        <v>249</v>
      </c>
      <c r="E2142" s="67" t="s">
        <v>263</v>
      </c>
      <c r="F2142" s="12">
        <v>111</v>
      </c>
      <c r="G2142" s="12">
        <v>70</v>
      </c>
      <c r="H2142" s="12">
        <v>41</v>
      </c>
      <c r="J2142" s="2"/>
      <c r="K2142" s="2"/>
      <c r="L2142" s="2"/>
      <c r="M2142" s="2"/>
      <c r="N2142" s="2"/>
      <c r="O2142" s="2"/>
      <c r="P2142" s="2"/>
    </row>
    <row r="2143" spans="1:16" x14ac:dyDescent="0.4">
      <c r="A2143">
        <v>2011</v>
      </c>
      <c r="B2143" s="2" t="s">
        <v>624</v>
      </c>
      <c r="C2143" s="2" t="s">
        <v>725</v>
      </c>
      <c r="D2143" s="2" t="s">
        <v>249</v>
      </c>
      <c r="E2143" s="67" t="s">
        <v>264</v>
      </c>
      <c r="F2143" s="12">
        <v>18</v>
      </c>
      <c r="G2143" s="12">
        <v>11</v>
      </c>
      <c r="H2143" s="12">
        <v>7</v>
      </c>
      <c r="J2143" s="2"/>
      <c r="K2143" s="2"/>
      <c r="L2143" s="2"/>
      <c r="M2143" s="2"/>
      <c r="N2143" s="2"/>
      <c r="O2143" s="2"/>
      <c r="P2143" s="2"/>
    </row>
    <row r="2144" spans="1:16" x14ac:dyDescent="0.4">
      <c r="A2144">
        <v>2011</v>
      </c>
      <c r="B2144" s="2" t="s">
        <v>625</v>
      </c>
      <c r="C2144" s="2" t="s">
        <v>725</v>
      </c>
      <c r="D2144" s="2" t="s">
        <v>249</v>
      </c>
      <c r="E2144" s="67" t="s">
        <v>265</v>
      </c>
      <c r="F2144" s="12">
        <v>76</v>
      </c>
      <c r="G2144" s="12">
        <v>52</v>
      </c>
      <c r="H2144" s="12">
        <v>24</v>
      </c>
      <c r="J2144" s="2"/>
      <c r="K2144" s="2"/>
      <c r="L2144" s="2"/>
      <c r="M2144" s="2"/>
      <c r="N2144" s="2"/>
      <c r="O2144" s="2"/>
      <c r="P2144" s="2"/>
    </row>
    <row r="2145" spans="1:16" x14ac:dyDescent="0.4">
      <c r="A2145">
        <v>2011</v>
      </c>
      <c r="B2145" s="2" t="s">
        <v>626</v>
      </c>
      <c r="C2145" s="2" t="s">
        <v>725</v>
      </c>
      <c r="D2145" s="2" t="s">
        <v>249</v>
      </c>
      <c r="E2145" s="67" t="s">
        <v>266</v>
      </c>
      <c r="F2145" s="12">
        <v>3317</v>
      </c>
      <c r="G2145" s="12">
        <v>1899</v>
      </c>
      <c r="H2145" s="12">
        <v>1418</v>
      </c>
      <c r="J2145" s="2"/>
      <c r="K2145" s="2"/>
      <c r="L2145" s="2"/>
      <c r="M2145" s="2"/>
      <c r="N2145" s="2"/>
      <c r="O2145" s="2"/>
      <c r="P2145" s="2"/>
    </row>
    <row r="2146" spans="1:16" x14ac:dyDescent="0.4">
      <c r="A2146">
        <v>2011</v>
      </c>
      <c r="B2146" s="2" t="s">
        <v>627</v>
      </c>
      <c r="C2146" s="2" t="s">
        <v>725</v>
      </c>
      <c r="D2146" s="2" t="s">
        <v>249</v>
      </c>
      <c r="E2146" s="67" t="s">
        <v>267</v>
      </c>
      <c r="F2146" s="12">
        <v>22</v>
      </c>
      <c r="G2146" s="12">
        <v>13</v>
      </c>
      <c r="H2146" s="12">
        <v>9</v>
      </c>
      <c r="J2146" s="2"/>
      <c r="K2146" s="2"/>
      <c r="L2146" s="2"/>
      <c r="M2146" s="2"/>
      <c r="N2146" s="2"/>
      <c r="O2146" s="2"/>
      <c r="P2146" s="2"/>
    </row>
    <row r="2147" spans="1:16" x14ac:dyDescent="0.4">
      <c r="A2147">
        <v>2011</v>
      </c>
      <c r="B2147" s="2" t="s">
        <v>628</v>
      </c>
      <c r="C2147" s="2" t="s">
        <v>725</v>
      </c>
      <c r="D2147" s="2" t="s">
        <v>249</v>
      </c>
      <c r="E2147" s="67" t="s">
        <v>268</v>
      </c>
      <c r="F2147" s="12">
        <v>35</v>
      </c>
      <c r="G2147" s="12">
        <v>22</v>
      </c>
      <c r="H2147" s="12">
        <v>13</v>
      </c>
      <c r="J2147" s="2"/>
      <c r="K2147" s="2"/>
      <c r="L2147" s="2"/>
      <c r="M2147" s="2"/>
      <c r="N2147" s="2"/>
      <c r="O2147" s="2"/>
      <c r="P2147" s="2"/>
    </row>
    <row r="2148" spans="1:16" x14ac:dyDescent="0.4">
      <c r="A2148">
        <v>2011</v>
      </c>
      <c r="B2148" s="2" t="s">
        <v>629</v>
      </c>
      <c r="C2148" s="2" t="s">
        <v>725</v>
      </c>
      <c r="D2148" s="2" t="s">
        <v>249</v>
      </c>
      <c r="E2148" s="67" t="s">
        <v>26</v>
      </c>
      <c r="F2148" s="12">
        <v>8</v>
      </c>
      <c r="G2148" s="12">
        <v>5</v>
      </c>
      <c r="H2148" s="12">
        <v>3</v>
      </c>
      <c r="J2148" s="2"/>
      <c r="K2148" s="2"/>
      <c r="L2148" s="2"/>
      <c r="M2148" s="2"/>
      <c r="N2148" s="2"/>
      <c r="O2148" s="2"/>
      <c r="P2148" s="2"/>
    </row>
    <row r="2149" spans="1:16" x14ac:dyDescent="0.4">
      <c r="A2149">
        <v>2011</v>
      </c>
      <c r="B2149" s="2" t="s">
        <v>630</v>
      </c>
      <c r="C2149" s="2" t="s">
        <v>725</v>
      </c>
      <c r="D2149" s="2" t="s">
        <v>249</v>
      </c>
      <c r="E2149" s="67" t="s">
        <v>51</v>
      </c>
      <c r="F2149" s="12">
        <v>37</v>
      </c>
      <c r="G2149" s="12">
        <v>24</v>
      </c>
      <c r="H2149" s="12">
        <v>13</v>
      </c>
      <c r="J2149" s="2"/>
      <c r="K2149" s="2"/>
      <c r="L2149" s="2"/>
      <c r="M2149" s="2"/>
      <c r="N2149" s="2"/>
      <c r="O2149" s="2"/>
      <c r="P2149" s="2"/>
    </row>
    <row r="2150" spans="1:16" x14ac:dyDescent="0.4">
      <c r="A2150">
        <v>2011</v>
      </c>
      <c r="B2150" s="2" t="s">
        <v>631</v>
      </c>
      <c r="C2150" s="2" t="s">
        <v>725</v>
      </c>
      <c r="D2150" s="2" t="s">
        <v>249</v>
      </c>
      <c r="E2150" s="67" t="s">
        <v>269</v>
      </c>
      <c r="F2150" s="12">
        <v>111</v>
      </c>
      <c r="G2150" s="12">
        <v>76</v>
      </c>
      <c r="H2150" s="12">
        <v>35</v>
      </c>
      <c r="J2150" s="2"/>
      <c r="K2150" s="2"/>
      <c r="L2150" s="2"/>
      <c r="M2150" s="2"/>
      <c r="N2150" s="2"/>
      <c r="O2150" s="2"/>
      <c r="P2150" s="2"/>
    </row>
    <row r="2151" spans="1:16" x14ac:dyDescent="0.4">
      <c r="A2151">
        <v>2011</v>
      </c>
      <c r="B2151" s="2" t="s">
        <v>632</v>
      </c>
      <c r="C2151" s="2" t="s">
        <v>725</v>
      </c>
      <c r="D2151" s="2" t="s">
        <v>249</v>
      </c>
      <c r="E2151" s="67" t="s">
        <v>270</v>
      </c>
      <c r="F2151" s="12">
        <v>98</v>
      </c>
      <c r="G2151" s="12">
        <v>59</v>
      </c>
      <c r="H2151" s="12">
        <v>39</v>
      </c>
      <c r="J2151" s="2"/>
      <c r="K2151" s="2"/>
      <c r="L2151" s="2"/>
      <c r="M2151" s="2"/>
      <c r="N2151" s="2"/>
      <c r="O2151" s="2"/>
      <c r="P2151" s="2"/>
    </row>
    <row r="2152" spans="1:16" x14ac:dyDescent="0.4">
      <c r="A2152">
        <v>2011</v>
      </c>
      <c r="B2152" s="2" t="s">
        <v>633</v>
      </c>
      <c r="C2152" s="2" t="s">
        <v>726</v>
      </c>
      <c r="D2152" s="2" t="s">
        <v>271</v>
      </c>
      <c r="E2152" s="67" t="s">
        <v>174</v>
      </c>
      <c r="F2152" s="12">
        <v>45</v>
      </c>
      <c r="G2152" s="12">
        <v>32</v>
      </c>
      <c r="H2152" s="12">
        <v>13</v>
      </c>
      <c r="J2152" s="2"/>
      <c r="K2152" s="2"/>
      <c r="L2152" s="2"/>
      <c r="M2152" s="2"/>
      <c r="N2152" s="2"/>
      <c r="O2152" s="2"/>
      <c r="P2152" s="2"/>
    </row>
    <row r="2153" spans="1:16" x14ac:dyDescent="0.4">
      <c r="A2153">
        <v>2011</v>
      </c>
      <c r="B2153" s="2" t="s">
        <v>634</v>
      </c>
      <c r="C2153" s="2" t="s">
        <v>726</v>
      </c>
      <c r="D2153" s="2" t="s">
        <v>271</v>
      </c>
      <c r="E2153" s="67" t="s">
        <v>272</v>
      </c>
      <c r="F2153" s="12">
        <v>573</v>
      </c>
      <c r="G2153" s="12">
        <v>332</v>
      </c>
      <c r="H2153" s="12">
        <v>241</v>
      </c>
      <c r="J2153" s="2"/>
      <c r="K2153" s="2"/>
      <c r="L2153" s="2"/>
      <c r="M2153" s="2"/>
      <c r="N2153" s="2"/>
      <c r="O2153" s="2"/>
      <c r="P2153" s="2"/>
    </row>
    <row r="2154" spans="1:16" x14ac:dyDescent="0.4">
      <c r="A2154">
        <v>2011</v>
      </c>
      <c r="B2154" s="2" t="s">
        <v>635</v>
      </c>
      <c r="C2154" s="2" t="s">
        <v>726</v>
      </c>
      <c r="D2154" s="2" t="s">
        <v>271</v>
      </c>
      <c r="E2154" s="67" t="s">
        <v>36</v>
      </c>
      <c r="F2154" s="12">
        <v>23</v>
      </c>
      <c r="G2154" s="12">
        <v>18</v>
      </c>
      <c r="H2154" s="12">
        <v>5</v>
      </c>
      <c r="J2154" s="2"/>
      <c r="K2154" s="2"/>
      <c r="L2154" s="2"/>
      <c r="M2154" s="2"/>
      <c r="N2154" s="2"/>
      <c r="O2154" s="2"/>
      <c r="P2154" s="2"/>
    </row>
    <row r="2155" spans="1:16" x14ac:dyDescent="0.4">
      <c r="A2155">
        <v>2011</v>
      </c>
      <c r="B2155" s="2" t="s">
        <v>636</v>
      </c>
      <c r="C2155" s="2" t="s">
        <v>726</v>
      </c>
      <c r="D2155" s="2" t="s">
        <v>271</v>
      </c>
      <c r="E2155" s="67" t="s">
        <v>273</v>
      </c>
      <c r="F2155" s="12">
        <v>77</v>
      </c>
      <c r="G2155" s="12">
        <v>45</v>
      </c>
      <c r="H2155" s="12">
        <v>32</v>
      </c>
      <c r="J2155" s="2"/>
      <c r="K2155" s="2"/>
      <c r="L2155" s="2"/>
      <c r="M2155" s="2"/>
      <c r="N2155" s="2"/>
      <c r="O2155" s="2"/>
      <c r="P2155" s="2"/>
    </row>
    <row r="2156" spans="1:16" x14ac:dyDescent="0.4">
      <c r="A2156">
        <v>2011</v>
      </c>
      <c r="B2156" s="2" t="s">
        <v>637</v>
      </c>
      <c r="C2156" s="2" t="s">
        <v>726</v>
      </c>
      <c r="D2156" s="2" t="s">
        <v>271</v>
      </c>
      <c r="E2156" s="67" t="s">
        <v>274</v>
      </c>
      <c r="F2156" s="12">
        <v>133</v>
      </c>
      <c r="G2156" s="12">
        <v>77</v>
      </c>
      <c r="H2156" s="12">
        <v>56</v>
      </c>
      <c r="J2156" s="2"/>
      <c r="K2156" s="2"/>
      <c r="L2156" s="2"/>
      <c r="M2156" s="2"/>
      <c r="N2156" s="2"/>
      <c r="O2156" s="2"/>
      <c r="P2156" s="2"/>
    </row>
    <row r="2157" spans="1:16" x14ac:dyDescent="0.4">
      <c r="A2157">
        <v>2011</v>
      </c>
      <c r="B2157" s="2" t="s">
        <v>638</v>
      </c>
      <c r="C2157" s="2" t="s">
        <v>726</v>
      </c>
      <c r="D2157" s="2" t="s">
        <v>271</v>
      </c>
      <c r="E2157" s="67" t="s">
        <v>275</v>
      </c>
      <c r="F2157" s="12">
        <v>81</v>
      </c>
      <c r="G2157" s="12">
        <v>40</v>
      </c>
      <c r="H2157" s="12">
        <v>41</v>
      </c>
      <c r="J2157" s="2"/>
      <c r="K2157" s="2"/>
      <c r="L2157" s="2"/>
      <c r="M2157" s="2"/>
      <c r="N2157" s="2"/>
      <c r="O2157" s="2"/>
      <c r="P2157" s="2"/>
    </row>
    <row r="2158" spans="1:16" x14ac:dyDescent="0.4">
      <c r="A2158">
        <v>2011</v>
      </c>
      <c r="B2158" s="2" t="s">
        <v>639</v>
      </c>
      <c r="C2158" s="2" t="s">
        <v>726</v>
      </c>
      <c r="D2158" s="2" t="s">
        <v>271</v>
      </c>
      <c r="E2158" s="67" t="s">
        <v>276</v>
      </c>
      <c r="F2158" s="12">
        <v>7</v>
      </c>
      <c r="G2158" s="12">
        <v>3</v>
      </c>
      <c r="H2158" s="12">
        <v>4</v>
      </c>
      <c r="J2158" s="2"/>
      <c r="K2158" s="2"/>
      <c r="L2158" s="2"/>
      <c r="M2158" s="2"/>
      <c r="N2158" s="2"/>
      <c r="O2158" s="2"/>
      <c r="P2158" s="2"/>
    </row>
    <row r="2159" spans="1:16" x14ac:dyDescent="0.4">
      <c r="A2159">
        <v>2011</v>
      </c>
      <c r="B2159" s="2" t="s">
        <v>640</v>
      </c>
      <c r="C2159" s="2" t="s">
        <v>726</v>
      </c>
      <c r="D2159" s="2" t="s">
        <v>271</v>
      </c>
      <c r="E2159" s="67" t="s">
        <v>277</v>
      </c>
      <c r="F2159" s="12">
        <v>22</v>
      </c>
      <c r="G2159" s="12">
        <v>16</v>
      </c>
      <c r="H2159" s="12">
        <v>6</v>
      </c>
      <c r="J2159" s="2"/>
      <c r="K2159" s="2"/>
      <c r="L2159" s="2"/>
      <c r="M2159" s="2"/>
      <c r="N2159" s="2"/>
      <c r="O2159" s="2"/>
      <c r="P2159" s="2"/>
    </row>
    <row r="2160" spans="1:16" x14ac:dyDescent="0.4">
      <c r="A2160">
        <v>2011</v>
      </c>
      <c r="B2160" s="2" t="s">
        <v>641</v>
      </c>
      <c r="C2160" s="2" t="s">
        <v>726</v>
      </c>
      <c r="D2160" s="2" t="s">
        <v>271</v>
      </c>
      <c r="E2160" s="67" t="s">
        <v>278</v>
      </c>
      <c r="F2160" s="12">
        <v>43</v>
      </c>
      <c r="G2160" s="12">
        <v>30</v>
      </c>
      <c r="H2160" s="12">
        <v>13</v>
      </c>
      <c r="J2160" s="2"/>
      <c r="K2160" s="2"/>
      <c r="L2160" s="2"/>
      <c r="M2160" s="2"/>
      <c r="N2160" s="2"/>
      <c r="O2160" s="2"/>
      <c r="P2160" s="2"/>
    </row>
    <row r="2161" spans="1:16" x14ac:dyDescent="0.4">
      <c r="A2161">
        <v>2011</v>
      </c>
      <c r="B2161" s="2" t="s">
        <v>642</v>
      </c>
      <c r="C2161" s="2" t="s">
        <v>726</v>
      </c>
      <c r="D2161" s="2" t="s">
        <v>271</v>
      </c>
      <c r="E2161" s="67" t="s">
        <v>85</v>
      </c>
      <c r="F2161" s="12">
        <v>58</v>
      </c>
      <c r="G2161" s="12">
        <v>39</v>
      </c>
      <c r="H2161" s="12">
        <v>19</v>
      </c>
      <c r="J2161" s="2"/>
      <c r="K2161" s="2"/>
      <c r="L2161" s="2"/>
      <c r="M2161" s="2"/>
      <c r="N2161" s="2"/>
      <c r="O2161" s="2"/>
      <c r="P2161" s="2"/>
    </row>
    <row r="2162" spans="1:16" x14ac:dyDescent="0.4">
      <c r="A2162">
        <v>2011</v>
      </c>
      <c r="B2162" s="2" t="s">
        <v>643</v>
      </c>
      <c r="C2162" s="2" t="s">
        <v>726</v>
      </c>
      <c r="D2162" s="2" t="s">
        <v>271</v>
      </c>
      <c r="E2162" s="67" t="s">
        <v>279</v>
      </c>
      <c r="F2162" s="12">
        <v>41</v>
      </c>
      <c r="G2162" s="12">
        <v>25</v>
      </c>
      <c r="H2162" s="12">
        <v>16</v>
      </c>
      <c r="J2162" s="2"/>
      <c r="K2162" s="2"/>
      <c r="L2162" s="2"/>
      <c r="M2162" s="2"/>
      <c r="N2162" s="2"/>
      <c r="O2162" s="2"/>
      <c r="P2162" s="2"/>
    </row>
    <row r="2163" spans="1:16" x14ac:dyDescent="0.4">
      <c r="A2163">
        <v>2011</v>
      </c>
      <c r="B2163" s="2" t="s">
        <v>644</v>
      </c>
      <c r="C2163" s="2" t="s">
        <v>726</v>
      </c>
      <c r="D2163" s="2" t="s">
        <v>271</v>
      </c>
      <c r="E2163" s="67" t="s">
        <v>280</v>
      </c>
      <c r="F2163" s="12">
        <v>51</v>
      </c>
      <c r="G2163" s="12">
        <v>24</v>
      </c>
      <c r="H2163" s="12">
        <v>27</v>
      </c>
      <c r="J2163" s="2"/>
      <c r="K2163" s="2"/>
      <c r="L2163" s="2"/>
      <c r="M2163" s="2"/>
      <c r="N2163" s="2"/>
      <c r="O2163" s="2"/>
      <c r="P2163" s="2"/>
    </row>
    <row r="2164" spans="1:16" x14ac:dyDescent="0.4">
      <c r="A2164">
        <v>2011</v>
      </c>
      <c r="B2164" s="2" t="s">
        <v>645</v>
      </c>
      <c r="C2164" s="2" t="s">
        <v>726</v>
      </c>
      <c r="D2164" s="2" t="s">
        <v>271</v>
      </c>
      <c r="E2164" s="67" t="s">
        <v>281</v>
      </c>
      <c r="F2164" s="12">
        <v>163</v>
      </c>
      <c r="G2164" s="12">
        <v>101</v>
      </c>
      <c r="H2164" s="12">
        <v>62</v>
      </c>
      <c r="J2164" s="2"/>
      <c r="K2164" s="2"/>
      <c r="L2164" s="2"/>
      <c r="M2164" s="2"/>
      <c r="N2164" s="2"/>
      <c r="O2164" s="2"/>
      <c r="P2164" s="2"/>
    </row>
    <row r="2165" spans="1:16" x14ac:dyDescent="0.4">
      <c r="A2165">
        <v>2011</v>
      </c>
      <c r="B2165" s="2" t="s">
        <v>646</v>
      </c>
      <c r="C2165" s="2" t="s">
        <v>726</v>
      </c>
      <c r="D2165" s="2" t="s">
        <v>271</v>
      </c>
      <c r="E2165" s="67" t="s">
        <v>282</v>
      </c>
      <c r="F2165" s="12">
        <v>53</v>
      </c>
      <c r="G2165" s="12">
        <v>37</v>
      </c>
      <c r="H2165" s="12">
        <v>16</v>
      </c>
      <c r="J2165" s="2"/>
      <c r="K2165" s="2"/>
      <c r="L2165" s="2"/>
      <c r="M2165" s="2"/>
      <c r="N2165" s="2"/>
      <c r="O2165" s="2"/>
      <c r="P2165" s="2"/>
    </row>
    <row r="2166" spans="1:16" x14ac:dyDescent="0.4">
      <c r="A2166">
        <v>2011</v>
      </c>
      <c r="B2166" s="2" t="s">
        <v>647</v>
      </c>
      <c r="C2166" s="2" t="s">
        <v>726</v>
      </c>
      <c r="D2166" s="2" t="s">
        <v>271</v>
      </c>
      <c r="E2166" s="67" t="s">
        <v>283</v>
      </c>
      <c r="F2166" s="12">
        <v>57</v>
      </c>
      <c r="G2166" s="12">
        <v>33</v>
      </c>
      <c r="H2166" s="12">
        <v>24</v>
      </c>
      <c r="J2166" s="2"/>
      <c r="K2166" s="2"/>
      <c r="L2166" s="2"/>
      <c r="M2166" s="2"/>
      <c r="N2166" s="2"/>
      <c r="O2166" s="2"/>
      <c r="P2166" s="2"/>
    </row>
    <row r="2167" spans="1:16" x14ac:dyDescent="0.4">
      <c r="A2167">
        <v>2011</v>
      </c>
      <c r="B2167" s="2" t="s">
        <v>648</v>
      </c>
      <c r="C2167" s="2" t="s">
        <v>726</v>
      </c>
      <c r="D2167" s="2" t="s">
        <v>271</v>
      </c>
      <c r="E2167" s="67" t="s">
        <v>284</v>
      </c>
      <c r="F2167" s="12">
        <v>143</v>
      </c>
      <c r="G2167" s="12">
        <v>88</v>
      </c>
      <c r="H2167" s="12">
        <v>55</v>
      </c>
      <c r="J2167" s="2"/>
      <c r="K2167" s="2"/>
      <c r="L2167" s="2"/>
      <c r="M2167" s="2"/>
      <c r="N2167" s="2"/>
      <c r="O2167" s="2"/>
      <c r="P2167" s="2"/>
    </row>
    <row r="2168" spans="1:16" x14ac:dyDescent="0.4">
      <c r="A2168">
        <v>2011</v>
      </c>
      <c r="B2168" s="2" t="s">
        <v>649</v>
      </c>
      <c r="C2168" s="2" t="s">
        <v>726</v>
      </c>
      <c r="D2168" s="2" t="s">
        <v>271</v>
      </c>
      <c r="E2168" s="67" t="s">
        <v>51</v>
      </c>
      <c r="F2168" s="12">
        <v>114</v>
      </c>
      <c r="G2168" s="12">
        <v>82</v>
      </c>
      <c r="H2168" s="12">
        <v>32</v>
      </c>
      <c r="J2168" s="2"/>
      <c r="K2168" s="2"/>
      <c r="L2168" s="2"/>
      <c r="M2168" s="2"/>
      <c r="N2168" s="2"/>
      <c r="O2168" s="2"/>
      <c r="P2168" s="2"/>
    </row>
    <row r="2169" spans="1:16" x14ac:dyDescent="0.4">
      <c r="A2169">
        <v>2011</v>
      </c>
      <c r="B2169" s="2" t="s">
        <v>650</v>
      </c>
      <c r="C2169" s="2" t="s">
        <v>726</v>
      </c>
      <c r="D2169" s="2" t="s">
        <v>271</v>
      </c>
      <c r="E2169" s="67" t="s">
        <v>285</v>
      </c>
      <c r="F2169" s="12">
        <v>425</v>
      </c>
      <c r="G2169" s="12">
        <v>231</v>
      </c>
      <c r="H2169" s="12">
        <v>194</v>
      </c>
      <c r="J2169" s="2"/>
      <c r="K2169" s="2"/>
      <c r="L2169" s="2"/>
      <c r="M2169" s="2"/>
      <c r="N2169" s="2"/>
      <c r="O2169" s="2"/>
      <c r="P2169" s="2"/>
    </row>
    <row r="2170" spans="1:16" x14ac:dyDescent="0.4">
      <c r="A2170">
        <v>2011</v>
      </c>
      <c r="B2170" s="2" t="s">
        <v>651</v>
      </c>
      <c r="C2170" s="2" t="s">
        <v>726</v>
      </c>
      <c r="D2170" s="2" t="s">
        <v>271</v>
      </c>
      <c r="E2170" s="67" t="s">
        <v>53</v>
      </c>
      <c r="F2170" s="12">
        <v>110</v>
      </c>
      <c r="G2170" s="12">
        <v>69</v>
      </c>
      <c r="H2170" s="12">
        <v>41</v>
      </c>
      <c r="J2170" s="2"/>
      <c r="K2170" s="2"/>
      <c r="L2170" s="2"/>
      <c r="M2170" s="2"/>
      <c r="N2170" s="2"/>
      <c r="O2170" s="2"/>
      <c r="P2170" s="2"/>
    </row>
    <row r="2171" spans="1:16" x14ac:dyDescent="0.4">
      <c r="A2171">
        <v>2011</v>
      </c>
      <c r="B2171" s="2" t="s">
        <v>652</v>
      </c>
      <c r="C2171" s="2" t="s">
        <v>726</v>
      </c>
      <c r="D2171" s="2" t="s">
        <v>271</v>
      </c>
      <c r="E2171" s="67" t="s">
        <v>286</v>
      </c>
      <c r="F2171" s="12">
        <v>1834</v>
      </c>
      <c r="G2171" s="12">
        <v>1109</v>
      </c>
      <c r="H2171" s="12">
        <v>725</v>
      </c>
      <c r="J2171" s="2"/>
      <c r="K2171" s="2"/>
      <c r="L2171" s="2"/>
      <c r="M2171" s="2"/>
      <c r="N2171" s="2"/>
      <c r="O2171" s="2"/>
      <c r="P2171" s="2"/>
    </row>
    <row r="2172" spans="1:16" x14ac:dyDescent="0.4">
      <c r="A2172">
        <v>2011</v>
      </c>
      <c r="B2172" s="2" t="s">
        <v>653</v>
      </c>
      <c r="C2172" s="2" t="s">
        <v>727</v>
      </c>
      <c r="D2172" s="2" t="s">
        <v>288</v>
      </c>
      <c r="E2172" s="67" t="s">
        <v>287</v>
      </c>
      <c r="F2172" s="12">
        <v>144</v>
      </c>
      <c r="G2172" s="12">
        <v>94</v>
      </c>
      <c r="H2172" s="12">
        <v>50</v>
      </c>
      <c r="J2172" s="2"/>
      <c r="K2172" s="2"/>
      <c r="L2172" s="2"/>
      <c r="M2172" s="2"/>
      <c r="N2172" s="2"/>
      <c r="O2172" s="2"/>
      <c r="P2172" s="2"/>
    </row>
    <row r="2173" spans="1:16" x14ac:dyDescent="0.4">
      <c r="A2173">
        <v>2011</v>
      </c>
      <c r="B2173" s="2" t="s">
        <v>654</v>
      </c>
      <c r="C2173" s="2" t="s">
        <v>727</v>
      </c>
      <c r="D2173" s="2" t="s">
        <v>288</v>
      </c>
      <c r="E2173" s="67" t="s">
        <v>289</v>
      </c>
      <c r="F2173" s="12">
        <v>166</v>
      </c>
      <c r="G2173" s="12">
        <v>113</v>
      </c>
      <c r="H2173" s="12">
        <v>53</v>
      </c>
      <c r="J2173" s="2"/>
      <c r="K2173" s="2"/>
      <c r="L2173" s="2"/>
      <c r="M2173" s="2"/>
      <c r="N2173" s="2"/>
      <c r="O2173" s="2"/>
      <c r="P2173" s="2"/>
    </row>
    <row r="2174" spans="1:16" x14ac:dyDescent="0.4">
      <c r="A2174">
        <v>2011</v>
      </c>
      <c r="B2174" s="2" t="s">
        <v>655</v>
      </c>
      <c r="C2174" s="2" t="s">
        <v>727</v>
      </c>
      <c r="D2174" s="2" t="s">
        <v>288</v>
      </c>
      <c r="E2174" s="67" t="s">
        <v>290</v>
      </c>
      <c r="F2174" s="12">
        <v>196</v>
      </c>
      <c r="G2174" s="12">
        <v>134</v>
      </c>
      <c r="H2174" s="12">
        <v>62</v>
      </c>
      <c r="J2174" s="2"/>
      <c r="K2174" s="2"/>
      <c r="L2174" s="2"/>
      <c r="M2174" s="2"/>
      <c r="N2174" s="2"/>
      <c r="O2174" s="2"/>
      <c r="P2174" s="2"/>
    </row>
    <row r="2175" spans="1:16" x14ac:dyDescent="0.4">
      <c r="A2175">
        <v>2011</v>
      </c>
      <c r="B2175" s="2" t="s">
        <v>656</v>
      </c>
      <c r="C2175" s="2" t="s">
        <v>727</v>
      </c>
      <c r="D2175" s="2" t="s">
        <v>288</v>
      </c>
      <c r="E2175" s="67" t="s">
        <v>291</v>
      </c>
      <c r="F2175" s="12">
        <v>19</v>
      </c>
      <c r="G2175" s="12">
        <v>13</v>
      </c>
      <c r="H2175" s="12">
        <v>6</v>
      </c>
      <c r="J2175" s="2"/>
      <c r="K2175" s="2"/>
      <c r="L2175" s="2"/>
      <c r="M2175" s="2"/>
      <c r="N2175" s="2"/>
      <c r="O2175" s="2"/>
      <c r="P2175" s="2"/>
    </row>
    <row r="2176" spans="1:16" x14ac:dyDescent="0.4">
      <c r="A2176">
        <v>2011</v>
      </c>
      <c r="B2176" s="2" t="s">
        <v>657</v>
      </c>
      <c r="C2176" s="2" t="s">
        <v>727</v>
      </c>
      <c r="D2176" s="2" t="s">
        <v>288</v>
      </c>
      <c r="E2176" s="67" t="s">
        <v>292</v>
      </c>
      <c r="F2176" s="12">
        <v>276</v>
      </c>
      <c r="G2176" s="12">
        <v>195</v>
      </c>
      <c r="H2176" s="12">
        <v>81</v>
      </c>
      <c r="J2176" s="2"/>
      <c r="K2176" s="2"/>
      <c r="L2176" s="2"/>
      <c r="M2176" s="2"/>
      <c r="N2176" s="2"/>
      <c r="O2176" s="2"/>
      <c r="P2176" s="2"/>
    </row>
    <row r="2177" spans="1:16" x14ac:dyDescent="0.4">
      <c r="A2177">
        <v>2011</v>
      </c>
      <c r="B2177" s="2" t="s">
        <v>658</v>
      </c>
      <c r="C2177" s="2" t="s">
        <v>727</v>
      </c>
      <c r="D2177" s="2" t="s">
        <v>288</v>
      </c>
      <c r="E2177" s="67" t="s">
        <v>293</v>
      </c>
      <c r="F2177" s="12">
        <v>17</v>
      </c>
      <c r="G2177" s="12">
        <v>14</v>
      </c>
      <c r="H2177" s="12">
        <v>3</v>
      </c>
      <c r="J2177" s="2"/>
      <c r="K2177" s="2"/>
      <c r="L2177" s="2"/>
      <c r="M2177" s="2"/>
      <c r="N2177" s="2"/>
      <c r="O2177" s="2"/>
      <c r="P2177" s="2"/>
    </row>
    <row r="2178" spans="1:16" x14ac:dyDescent="0.4">
      <c r="A2178">
        <v>2011</v>
      </c>
      <c r="B2178" s="2" t="s">
        <v>659</v>
      </c>
      <c r="C2178" s="2" t="s">
        <v>727</v>
      </c>
      <c r="D2178" s="2" t="s">
        <v>288</v>
      </c>
      <c r="E2178" s="67" t="s">
        <v>294</v>
      </c>
      <c r="F2178" s="12">
        <v>582</v>
      </c>
      <c r="G2178" s="12">
        <v>336</v>
      </c>
      <c r="H2178" s="12">
        <v>246</v>
      </c>
      <c r="J2178" s="2"/>
      <c r="K2178" s="2"/>
      <c r="L2178" s="2"/>
      <c r="M2178" s="2"/>
      <c r="N2178" s="2"/>
      <c r="O2178" s="2"/>
      <c r="P2178" s="2"/>
    </row>
    <row r="2179" spans="1:16" x14ac:dyDescent="0.4">
      <c r="A2179">
        <v>2011</v>
      </c>
      <c r="B2179" s="2" t="s">
        <v>660</v>
      </c>
      <c r="C2179" s="2" t="s">
        <v>727</v>
      </c>
      <c r="D2179" s="2" t="s">
        <v>288</v>
      </c>
      <c r="E2179" s="67" t="s">
        <v>295</v>
      </c>
      <c r="F2179" s="12">
        <v>109</v>
      </c>
      <c r="G2179" s="12">
        <v>62</v>
      </c>
      <c r="H2179" s="12">
        <v>47</v>
      </c>
      <c r="J2179" s="2"/>
      <c r="K2179" s="2"/>
      <c r="L2179" s="2"/>
      <c r="M2179" s="2"/>
      <c r="N2179" s="2"/>
      <c r="O2179" s="2"/>
      <c r="P2179" s="2"/>
    </row>
    <row r="2180" spans="1:16" x14ac:dyDescent="0.4">
      <c r="A2180">
        <v>2011</v>
      </c>
      <c r="B2180" s="2" t="s">
        <v>661</v>
      </c>
      <c r="C2180" s="2" t="s">
        <v>727</v>
      </c>
      <c r="D2180" s="2" t="s">
        <v>288</v>
      </c>
      <c r="E2180" s="67" t="s">
        <v>296</v>
      </c>
      <c r="F2180" s="12">
        <v>467</v>
      </c>
      <c r="G2180" s="12">
        <v>280</v>
      </c>
      <c r="H2180" s="12">
        <v>187</v>
      </c>
      <c r="J2180" s="2"/>
      <c r="K2180" s="2"/>
      <c r="L2180" s="2"/>
      <c r="M2180" s="2"/>
      <c r="N2180" s="2"/>
      <c r="O2180" s="2"/>
      <c r="P2180" s="2"/>
    </row>
    <row r="2181" spans="1:16" x14ac:dyDescent="0.4">
      <c r="A2181">
        <v>2011</v>
      </c>
      <c r="B2181" s="2" t="s">
        <v>662</v>
      </c>
      <c r="C2181" s="2" t="s">
        <v>727</v>
      </c>
      <c r="D2181" s="2" t="s">
        <v>288</v>
      </c>
      <c r="E2181" s="67" t="s">
        <v>297</v>
      </c>
      <c r="F2181" s="12">
        <v>103</v>
      </c>
      <c r="G2181" s="12">
        <v>76</v>
      </c>
      <c r="H2181" s="12">
        <v>27</v>
      </c>
      <c r="J2181" s="2"/>
      <c r="K2181" s="2"/>
      <c r="L2181" s="2"/>
      <c r="M2181" s="2"/>
      <c r="N2181" s="2"/>
      <c r="O2181" s="2"/>
      <c r="P2181" s="2"/>
    </row>
    <row r="2182" spans="1:16" x14ac:dyDescent="0.4">
      <c r="A2182">
        <v>2011</v>
      </c>
      <c r="B2182" s="2" t="s">
        <v>663</v>
      </c>
      <c r="C2182" s="2" t="s">
        <v>727</v>
      </c>
      <c r="D2182" s="2" t="s">
        <v>288</v>
      </c>
      <c r="E2182" s="67" t="s">
        <v>298</v>
      </c>
      <c r="F2182" s="12">
        <v>116</v>
      </c>
      <c r="G2182" s="12">
        <v>72</v>
      </c>
      <c r="H2182" s="12">
        <v>44</v>
      </c>
      <c r="J2182" s="2"/>
      <c r="K2182" s="2"/>
      <c r="L2182" s="2"/>
      <c r="M2182" s="2"/>
      <c r="N2182" s="2"/>
      <c r="O2182" s="2"/>
      <c r="P2182" s="2"/>
    </row>
    <row r="2183" spans="1:16" x14ac:dyDescent="0.4">
      <c r="A2183">
        <v>2011</v>
      </c>
      <c r="B2183" s="2" t="s">
        <v>664</v>
      </c>
      <c r="C2183" s="2" t="s">
        <v>728</v>
      </c>
      <c r="D2183" s="2" t="s">
        <v>300</v>
      </c>
      <c r="E2183" s="67" t="s">
        <v>299</v>
      </c>
      <c r="F2183" s="12">
        <v>52</v>
      </c>
      <c r="G2183" s="12">
        <v>37</v>
      </c>
      <c r="H2183" s="12">
        <v>15</v>
      </c>
      <c r="J2183" s="2"/>
      <c r="K2183" s="2"/>
      <c r="L2183" s="2"/>
      <c r="M2183" s="2"/>
      <c r="N2183" s="2"/>
      <c r="O2183" s="2"/>
      <c r="P2183" s="2"/>
    </row>
    <row r="2184" spans="1:16" x14ac:dyDescent="0.4">
      <c r="A2184">
        <v>2011</v>
      </c>
      <c r="B2184" s="2" t="s">
        <v>665</v>
      </c>
      <c r="C2184" s="2" t="s">
        <v>728</v>
      </c>
      <c r="D2184" s="2" t="s">
        <v>300</v>
      </c>
      <c r="E2184" s="67" t="s">
        <v>36</v>
      </c>
      <c r="F2184" s="12">
        <v>94</v>
      </c>
      <c r="G2184" s="12">
        <v>55</v>
      </c>
      <c r="H2184" s="12">
        <v>39</v>
      </c>
      <c r="J2184" s="2"/>
      <c r="K2184" s="2"/>
      <c r="L2184" s="2"/>
      <c r="M2184" s="2"/>
      <c r="N2184" s="2"/>
      <c r="O2184" s="2"/>
      <c r="P2184" s="2"/>
    </row>
    <row r="2185" spans="1:16" x14ac:dyDescent="0.4">
      <c r="A2185">
        <v>2011</v>
      </c>
      <c r="B2185" s="2" t="s">
        <v>666</v>
      </c>
      <c r="C2185" s="2" t="s">
        <v>728</v>
      </c>
      <c r="D2185" s="2" t="s">
        <v>300</v>
      </c>
      <c r="E2185" s="67" t="s">
        <v>301</v>
      </c>
      <c r="F2185" s="12">
        <v>202</v>
      </c>
      <c r="G2185" s="12">
        <v>128</v>
      </c>
      <c r="H2185" s="12">
        <v>74</v>
      </c>
      <c r="J2185" s="2"/>
      <c r="K2185" s="2"/>
      <c r="L2185" s="2"/>
      <c r="M2185" s="2"/>
      <c r="N2185" s="2"/>
      <c r="O2185" s="2"/>
      <c r="P2185" s="2"/>
    </row>
    <row r="2186" spans="1:16" x14ac:dyDescent="0.4">
      <c r="A2186">
        <v>2011</v>
      </c>
      <c r="B2186" s="2" t="s">
        <v>667</v>
      </c>
      <c r="C2186" s="2" t="s">
        <v>728</v>
      </c>
      <c r="D2186" s="14" t="s">
        <v>300</v>
      </c>
      <c r="E2186" s="69" t="s">
        <v>302</v>
      </c>
      <c r="F2186" s="11">
        <v>76</v>
      </c>
      <c r="G2186" s="11">
        <v>52</v>
      </c>
      <c r="H2186" s="12">
        <v>24</v>
      </c>
      <c r="J2186" s="2"/>
      <c r="K2186" s="2"/>
      <c r="L2186" s="2"/>
      <c r="M2186" s="2"/>
      <c r="N2186" s="2"/>
      <c r="O2186" s="2"/>
      <c r="P2186" s="2"/>
    </row>
    <row r="2187" spans="1:16" x14ac:dyDescent="0.4">
      <c r="A2187">
        <v>2011</v>
      </c>
      <c r="B2187" s="2" t="s">
        <v>668</v>
      </c>
      <c r="C2187" s="2" t="s">
        <v>728</v>
      </c>
      <c r="D2187" s="2" t="s">
        <v>300</v>
      </c>
      <c r="E2187" s="67" t="s">
        <v>14</v>
      </c>
      <c r="F2187" s="12">
        <v>134</v>
      </c>
      <c r="G2187" s="12">
        <v>83</v>
      </c>
      <c r="H2187" s="12">
        <v>51</v>
      </c>
      <c r="J2187" s="2"/>
      <c r="K2187" s="2"/>
      <c r="L2187" s="2"/>
      <c r="M2187" s="2"/>
      <c r="N2187" s="2"/>
      <c r="O2187" s="2"/>
      <c r="P2187" s="2"/>
    </row>
    <row r="2188" spans="1:16" x14ac:dyDescent="0.4">
      <c r="A2188">
        <v>2011</v>
      </c>
      <c r="B2188" s="2" t="s">
        <v>669</v>
      </c>
      <c r="C2188" s="2" t="s">
        <v>728</v>
      </c>
      <c r="D2188" s="2" t="s">
        <v>300</v>
      </c>
      <c r="E2188" s="67" t="s">
        <v>303</v>
      </c>
      <c r="F2188" s="12">
        <v>39</v>
      </c>
      <c r="G2188" s="12">
        <v>23</v>
      </c>
      <c r="H2188" s="12">
        <v>16</v>
      </c>
      <c r="J2188" s="2"/>
      <c r="K2188" s="2"/>
      <c r="L2188" s="2"/>
      <c r="M2188" s="2"/>
      <c r="N2188" s="2"/>
      <c r="O2188" s="2"/>
      <c r="P2188" s="2"/>
    </row>
    <row r="2189" spans="1:16" x14ac:dyDescent="0.4">
      <c r="A2189">
        <v>2011</v>
      </c>
      <c r="B2189" s="2" t="s">
        <v>670</v>
      </c>
      <c r="C2189" s="2" t="s">
        <v>728</v>
      </c>
      <c r="D2189" s="2" t="s">
        <v>300</v>
      </c>
      <c r="E2189" s="67" t="s">
        <v>304</v>
      </c>
      <c r="F2189" s="12">
        <v>29</v>
      </c>
      <c r="G2189" s="12">
        <v>20</v>
      </c>
      <c r="H2189" s="12">
        <v>9</v>
      </c>
      <c r="J2189" s="2"/>
      <c r="K2189" s="2"/>
      <c r="L2189" s="2"/>
      <c r="M2189" s="2"/>
      <c r="N2189" s="2"/>
      <c r="O2189" s="2"/>
      <c r="P2189" s="2"/>
    </row>
    <row r="2190" spans="1:16" x14ac:dyDescent="0.4">
      <c r="A2190">
        <v>2011</v>
      </c>
      <c r="B2190" s="2" t="s">
        <v>671</v>
      </c>
      <c r="C2190" s="2" t="s">
        <v>728</v>
      </c>
      <c r="D2190" s="2" t="s">
        <v>300</v>
      </c>
      <c r="E2190" s="67" t="s">
        <v>305</v>
      </c>
      <c r="F2190" s="12">
        <v>34</v>
      </c>
      <c r="G2190" s="12">
        <v>19</v>
      </c>
      <c r="H2190" s="12">
        <v>15</v>
      </c>
      <c r="J2190" s="2"/>
      <c r="K2190" s="2"/>
      <c r="L2190" s="2"/>
      <c r="M2190" s="2"/>
      <c r="N2190" s="2"/>
      <c r="O2190" s="2"/>
      <c r="P2190" s="2"/>
    </row>
    <row r="2191" spans="1:16" x14ac:dyDescent="0.4">
      <c r="A2191">
        <v>2011</v>
      </c>
      <c r="B2191" s="2" t="s">
        <v>672</v>
      </c>
      <c r="C2191" s="2" t="s">
        <v>728</v>
      </c>
      <c r="D2191" s="2" t="s">
        <v>300</v>
      </c>
      <c r="E2191" s="67" t="s">
        <v>306</v>
      </c>
      <c r="F2191" s="12">
        <v>242</v>
      </c>
      <c r="G2191" s="12">
        <v>160</v>
      </c>
      <c r="H2191" s="12">
        <v>82</v>
      </c>
      <c r="J2191" s="2"/>
      <c r="K2191" s="2"/>
      <c r="L2191" s="2"/>
      <c r="M2191" s="2"/>
      <c r="N2191" s="2"/>
      <c r="O2191" s="2"/>
      <c r="P2191" s="2"/>
    </row>
    <row r="2192" spans="1:16" x14ac:dyDescent="0.4">
      <c r="A2192">
        <v>2011</v>
      </c>
      <c r="B2192" s="2" t="s">
        <v>673</v>
      </c>
      <c r="C2192" s="2" t="s">
        <v>728</v>
      </c>
      <c r="D2192" s="2" t="s">
        <v>300</v>
      </c>
      <c r="E2192" s="67" t="s">
        <v>307</v>
      </c>
      <c r="F2192" s="12">
        <v>248</v>
      </c>
      <c r="G2192" s="12">
        <v>156</v>
      </c>
      <c r="H2192" s="12">
        <v>92</v>
      </c>
      <c r="J2192" s="2"/>
      <c r="K2192" s="2"/>
      <c r="L2192" s="2"/>
      <c r="M2192" s="2"/>
      <c r="N2192" s="2"/>
      <c r="O2192" s="2"/>
      <c r="P2192" s="2"/>
    </row>
    <row r="2193" spans="1:16" x14ac:dyDescent="0.4">
      <c r="A2193">
        <v>2011</v>
      </c>
      <c r="B2193" s="2" t="s">
        <v>674</v>
      </c>
      <c r="C2193" s="2" t="s">
        <v>728</v>
      </c>
      <c r="D2193" s="2" t="s">
        <v>300</v>
      </c>
      <c r="E2193" s="67" t="s">
        <v>308</v>
      </c>
      <c r="F2193" s="12">
        <v>1335</v>
      </c>
      <c r="G2193" s="12">
        <v>788</v>
      </c>
      <c r="H2193" s="12">
        <v>547</v>
      </c>
      <c r="J2193" s="2"/>
      <c r="K2193" s="2"/>
      <c r="L2193" s="2"/>
      <c r="M2193" s="2"/>
      <c r="N2193" s="2"/>
      <c r="O2193" s="2"/>
      <c r="P2193" s="2"/>
    </row>
    <row r="2194" spans="1:16" x14ac:dyDescent="0.4">
      <c r="A2194">
        <v>2011</v>
      </c>
      <c r="B2194" s="2" t="s">
        <v>675</v>
      </c>
      <c r="C2194" s="2" t="s">
        <v>728</v>
      </c>
      <c r="D2194" s="2" t="s">
        <v>300</v>
      </c>
      <c r="E2194" s="67" t="s">
        <v>51</v>
      </c>
      <c r="F2194" s="12">
        <v>45</v>
      </c>
      <c r="G2194" s="12">
        <v>29</v>
      </c>
      <c r="H2194" s="12">
        <v>16</v>
      </c>
      <c r="J2194" s="2"/>
      <c r="K2194" s="2"/>
      <c r="L2194" s="2"/>
      <c r="M2194" s="2"/>
      <c r="N2194" s="2"/>
      <c r="O2194" s="2"/>
      <c r="P2194" s="2"/>
    </row>
    <row r="2195" spans="1:16" x14ac:dyDescent="0.4">
      <c r="A2195">
        <v>2011</v>
      </c>
      <c r="B2195" s="2" t="s">
        <v>676</v>
      </c>
      <c r="C2195" s="2" t="s">
        <v>728</v>
      </c>
      <c r="D2195" s="2" t="s">
        <v>300</v>
      </c>
      <c r="E2195" s="67" t="s">
        <v>309</v>
      </c>
      <c r="F2195" s="12">
        <v>59</v>
      </c>
      <c r="G2195" s="12">
        <v>44</v>
      </c>
      <c r="H2195" s="12">
        <v>15</v>
      </c>
      <c r="J2195" s="2"/>
      <c r="K2195" s="2"/>
      <c r="L2195" s="2"/>
      <c r="M2195" s="2"/>
      <c r="N2195" s="2"/>
      <c r="O2195" s="2"/>
      <c r="P2195" s="2"/>
    </row>
    <row r="2196" spans="1:16" x14ac:dyDescent="0.4">
      <c r="A2196">
        <v>2011</v>
      </c>
      <c r="B2196" s="2" t="s">
        <v>677</v>
      </c>
      <c r="C2196" s="2" t="s">
        <v>728</v>
      </c>
      <c r="D2196" s="2" t="s">
        <v>300</v>
      </c>
      <c r="E2196" s="67" t="s">
        <v>310</v>
      </c>
      <c r="F2196" s="12">
        <v>45</v>
      </c>
      <c r="G2196" s="12">
        <v>34</v>
      </c>
      <c r="H2196" s="12">
        <v>11</v>
      </c>
      <c r="J2196" s="2"/>
      <c r="K2196" s="2"/>
      <c r="L2196" s="2"/>
      <c r="M2196" s="2"/>
      <c r="N2196" s="2"/>
      <c r="O2196" s="2"/>
      <c r="P2196" s="2"/>
    </row>
    <row r="2197" spans="1:16" x14ac:dyDescent="0.4">
      <c r="A2197">
        <v>2011</v>
      </c>
      <c r="B2197" s="2" t="s">
        <v>678</v>
      </c>
      <c r="C2197" s="2" t="s">
        <v>729</v>
      </c>
      <c r="D2197" s="2" t="s">
        <v>312</v>
      </c>
      <c r="E2197" s="67" t="s">
        <v>311</v>
      </c>
      <c r="F2197" s="12">
        <v>30</v>
      </c>
      <c r="G2197" s="12">
        <v>16</v>
      </c>
      <c r="H2197" s="12">
        <v>14</v>
      </c>
      <c r="J2197" s="2"/>
      <c r="K2197" s="2"/>
      <c r="L2197" s="2"/>
      <c r="M2197" s="2"/>
      <c r="N2197" s="2"/>
      <c r="O2197" s="2"/>
      <c r="P2197" s="2"/>
    </row>
    <row r="2198" spans="1:16" x14ac:dyDescent="0.4">
      <c r="A2198">
        <v>2011</v>
      </c>
      <c r="B2198" s="2" t="s">
        <v>679</v>
      </c>
      <c r="C2198" s="2" t="s">
        <v>729</v>
      </c>
      <c r="D2198" s="2" t="s">
        <v>312</v>
      </c>
      <c r="E2198" s="67" t="s">
        <v>313</v>
      </c>
      <c r="F2198" s="12">
        <v>255</v>
      </c>
      <c r="G2198" s="12">
        <v>166</v>
      </c>
      <c r="H2198" s="12">
        <v>89</v>
      </c>
      <c r="J2198" s="2"/>
      <c r="K2198" s="2"/>
      <c r="L2198" s="2"/>
      <c r="M2198" s="2"/>
      <c r="N2198" s="2"/>
      <c r="O2198" s="2"/>
      <c r="P2198" s="2"/>
    </row>
    <row r="2199" spans="1:16" x14ac:dyDescent="0.4">
      <c r="A2199">
        <v>2011</v>
      </c>
      <c r="B2199" s="2" t="s">
        <v>680</v>
      </c>
      <c r="C2199" s="2" t="s">
        <v>729</v>
      </c>
      <c r="D2199" s="2" t="s">
        <v>312</v>
      </c>
      <c r="E2199" s="67" t="s">
        <v>314</v>
      </c>
      <c r="F2199" s="12">
        <v>1471</v>
      </c>
      <c r="G2199" s="12">
        <v>845</v>
      </c>
      <c r="H2199" s="12">
        <v>626</v>
      </c>
      <c r="J2199" s="2"/>
      <c r="K2199" s="2"/>
      <c r="L2199" s="2"/>
      <c r="M2199" s="2"/>
      <c r="N2199" s="2"/>
      <c r="O2199" s="2"/>
      <c r="P2199" s="2"/>
    </row>
    <row r="2200" spans="1:16" x14ac:dyDescent="0.4">
      <c r="A2200">
        <v>2011</v>
      </c>
      <c r="B2200" s="2" t="s">
        <v>681</v>
      </c>
      <c r="C2200" s="2" t="s">
        <v>729</v>
      </c>
      <c r="D2200" s="2" t="s">
        <v>312</v>
      </c>
      <c r="E2200" s="67" t="s">
        <v>315</v>
      </c>
      <c r="F2200" s="12">
        <v>100</v>
      </c>
      <c r="G2200" s="12">
        <v>74</v>
      </c>
      <c r="H2200" s="12">
        <v>26</v>
      </c>
      <c r="J2200" s="2"/>
      <c r="K2200" s="2"/>
      <c r="L2200" s="2"/>
      <c r="M2200" s="2"/>
      <c r="N2200" s="2"/>
      <c r="O2200" s="2"/>
      <c r="P2200" s="2"/>
    </row>
    <row r="2201" spans="1:16" x14ac:dyDescent="0.4">
      <c r="A2201">
        <v>2011</v>
      </c>
      <c r="B2201" s="2" t="s">
        <v>682</v>
      </c>
      <c r="C2201" s="2" t="s">
        <v>729</v>
      </c>
      <c r="D2201" s="2" t="s">
        <v>312</v>
      </c>
      <c r="E2201" s="67" t="s">
        <v>316</v>
      </c>
      <c r="F2201" s="12">
        <v>568</v>
      </c>
      <c r="G2201" s="12">
        <v>360</v>
      </c>
      <c r="H2201" s="12">
        <v>208</v>
      </c>
      <c r="J2201" s="2"/>
      <c r="K2201" s="2"/>
      <c r="L2201" s="2"/>
      <c r="M2201" s="2"/>
      <c r="N2201" s="2"/>
      <c r="O2201" s="2"/>
      <c r="P2201" s="2"/>
    </row>
    <row r="2202" spans="1:16" x14ac:dyDescent="0.4">
      <c r="A2202">
        <v>2011</v>
      </c>
      <c r="B2202" s="2" t="s">
        <v>683</v>
      </c>
      <c r="C2202" s="2" t="s">
        <v>729</v>
      </c>
      <c r="D2202" s="2" t="s">
        <v>312</v>
      </c>
      <c r="E2202" s="67" t="s">
        <v>317</v>
      </c>
      <c r="F2202" s="12">
        <v>64</v>
      </c>
      <c r="G2202" s="12">
        <v>48</v>
      </c>
      <c r="H2202" s="12">
        <v>16</v>
      </c>
      <c r="J2202" s="2"/>
      <c r="K2202" s="2"/>
      <c r="L2202" s="2"/>
      <c r="M2202" s="2"/>
      <c r="N2202" s="2"/>
      <c r="O2202" s="2"/>
      <c r="P2202" s="2"/>
    </row>
    <row r="2203" spans="1:16" x14ac:dyDescent="0.4">
      <c r="A2203">
        <v>2011</v>
      </c>
      <c r="B2203" s="2" t="s">
        <v>684</v>
      </c>
      <c r="C2203" s="2" t="s">
        <v>729</v>
      </c>
      <c r="D2203" s="2" t="s">
        <v>312</v>
      </c>
      <c r="E2203" s="67" t="s">
        <v>318</v>
      </c>
      <c r="F2203" s="12">
        <v>372</v>
      </c>
      <c r="G2203" s="12">
        <v>255</v>
      </c>
      <c r="H2203" s="12">
        <v>117</v>
      </c>
      <c r="J2203" s="2"/>
      <c r="K2203" s="2"/>
      <c r="L2203" s="2"/>
      <c r="M2203" s="2"/>
      <c r="N2203" s="2"/>
      <c r="O2203" s="2"/>
      <c r="P2203" s="2"/>
    </row>
    <row r="2204" spans="1:16" x14ac:dyDescent="0.4">
      <c r="A2204">
        <v>2011</v>
      </c>
      <c r="B2204" s="2" t="s">
        <v>685</v>
      </c>
      <c r="C2204" s="2" t="s">
        <v>729</v>
      </c>
      <c r="D2204" s="2" t="s">
        <v>312</v>
      </c>
      <c r="E2204" s="67" t="s">
        <v>319</v>
      </c>
      <c r="F2204" s="12">
        <v>84</v>
      </c>
      <c r="G2204" s="12">
        <v>63</v>
      </c>
      <c r="H2204" s="12">
        <v>21</v>
      </c>
      <c r="J2204" s="2"/>
      <c r="K2204" s="2"/>
      <c r="L2204" s="2"/>
      <c r="M2204" s="2"/>
      <c r="N2204" s="2"/>
      <c r="O2204" s="2"/>
      <c r="P2204" s="2"/>
    </row>
    <row r="2205" spans="1:16" x14ac:dyDescent="0.4">
      <c r="A2205">
        <v>2011</v>
      </c>
      <c r="B2205" s="2" t="s">
        <v>686</v>
      </c>
      <c r="C2205" s="2" t="s">
        <v>729</v>
      </c>
      <c r="D2205" s="2" t="s">
        <v>312</v>
      </c>
      <c r="E2205" s="67" t="s">
        <v>320</v>
      </c>
      <c r="F2205" s="12">
        <v>278</v>
      </c>
      <c r="G2205" s="12">
        <v>168</v>
      </c>
      <c r="H2205" s="12">
        <v>110</v>
      </c>
      <c r="J2205" s="2"/>
      <c r="K2205" s="2"/>
      <c r="L2205" s="2"/>
      <c r="M2205" s="2"/>
      <c r="N2205" s="2"/>
      <c r="O2205" s="2"/>
      <c r="P2205" s="2"/>
    </row>
    <row r="2206" spans="1:16" x14ac:dyDescent="0.4">
      <c r="A2206">
        <v>2011</v>
      </c>
      <c r="B2206" s="2" t="s">
        <v>687</v>
      </c>
      <c r="C2206" s="2" t="s">
        <v>729</v>
      </c>
      <c r="D2206" s="2" t="s">
        <v>312</v>
      </c>
      <c r="E2206" s="67" t="s">
        <v>321</v>
      </c>
      <c r="F2206" s="12">
        <v>1229</v>
      </c>
      <c r="G2206" s="12">
        <v>688</v>
      </c>
      <c r="H2206" s="12">
        <v>541</v>
      </c>
      <c r="J2206" s="2"/>
      <c r="K2206" s="2"/>
      <c r="L2206" s="2"/>
      <c r="M2206" s="2"/>
      <c r="N2206" s="2"/>
      <c r="O2206" s="2"/>
      <c r="P2206" s="2"/>
    </row>
    <row r="2207" spans="1:16" x14ac:dyDescent="0.4">
      <c r="A2207">
        <v>2011</v>
      </c>
      <c r="B2207" s="2" t="s">
        <v>688</v>
      </c>
      <c r="C2207" s="2" t="s">
        <v>729</v>
      </c>
      <c r="D2207" s="2" t="s">
        <v>312</v>
      </c>
      <c r="E2207" s="67" t="s">
        <v>322</v>
      </c>
      <c r="F2207" s="12">
        <v>384</v>
      </c>
      <c r="G2207" s="12">
        <v>241</v>
      </c>
      <c r="H2207" s="12">
        <v>143</v>
      </c>
      <c r="J2207" s="2"/>
      <c r="K2207" s="2"/>
      <c r="L2207" s="2"/>
      <c r="M2207" s="2"/>
      <c r="N2207" s="2"/>
      <c r="O2207" s="2"/>
      <c r="P2207" s="2"/>
    </row>
    <row r="2208" spans="1:16" x14ac:dyDescent="0.4">
      <c r="A2208">
        <v>2011</v>
      </c>
      <c r="B2208" s="2" t="s">
        <v>689</v>
      </c>
      <c r="C2208" s="2" t="s">
        <v>729</v>
      </c>
      <c r="D2208" s="2" t="s">
        <v>312</v>
      </c>
      <c r="E2208" s="67" t="s">
        <v>323</v>
      </c>
      <c r="F2208" s="12">
        <v>748</v>
      </c>
      <c r="G2208" s="12">
        <v>479</v>
      </c>
      <c r="H2208" s="12">
        <v>269</v>
      </c>
      <c r="J2208" s="2"/>
      <c r="K2208" s="2"/>
      <c r="L2208" s="2"/>
      <c r="M2208" s="2"/>
      <c r="N2208" s="2"/>
      <c r="O2208" s="2"/>
      <c r="P2208" s="2"/>
    </row>
    <row r="2209" spans="1:16" x14ac:dyDescent="0.4">
      <c r="A2209">
        <v>2011</v>
      </c>
      <c r="B2209" s="2" t="s">
        <v>690</v>
      </c>
      <c r="C2209" s="2" t="s">
        <v>729</v>
      </c>
      <c r="D2209" s="2" t="s">
        <v>312</v>
      </c>
      <c r="E2209" s="67" t="s">
        <v>324</v>
      </c>
      <c r="F2209" s="12">
        <v>10553</v>
      </c>
      <c r="G2209" s="12">
        <v>6030</v>
      </c>
      <c r="H2209" s="12">
        <v>4523</v>
      </c>
      <c r="J2209" s="2"/>
      <c r="K2209" s="2"/>
      <c r="L2209" s="2"/>
      <c r="M2209" s="2"/>
      <c r="N2209" s="2"/>
      <c r="O2209" s="2"/>
      <c r="P2209" s="2"/>
    </row>
    <row r="2210" spans="1:16" x14ac:dyDescent="0.4">
      <c r="A2210">
        <v>2011</v>
      </c>
      <c r="B2210" s="2" t="s">
        <v>691</v>
      </c>
      <c r="C2210" s="2" t="s">
        <v>729</v>
      </c>
      <c r="D2210" s="2" t="s">
        <v>312</v>
      </c>
      <c r="E2210" s="67" t="s">
        <v>85</v>
      </c>
      <c r="F2210" s="12">
        <v>289</v>
      </c>
      <c r="G2210" s="12">
        <v>182</v>
      </c>
      <c r="H2210" s="12">
        <v>107</v>
      </c>
      <c r="J2210" s="2"/>
      <c r="K2210" s="2"/>
      <c r="L2210" s="2"/>
      <c r="M2210" s="2"/>
      <c r="N2210" s="2"/>
      <c r="O2210" s="2"/>
      <c r="P2210" s="2"/>
    </row>
    <row r="2211" spans="1:16" x14ac:dyDescent="0.4">
      <c r="A2211">
        <v>2011</v>
      </c>
      <c r="B2211" s="2" t="s">
        <v>692</v>
      </c>
      <c r="C2211" s="2" t="s">
        <v>729</v>
      </c>
      <c r="D2211" s="2" t="s">
        <v>312</v>
      </c>
      <c r="E2211" s="67" t="s">
        <v>32</v>
      </c>
      <c r="F2211" s="12">
        <v>223</v>
      </c>
      <c r="G2211" s="12">
        <v>139</v>
      </c>
      <c r="H2211" s="12">
        <v>84</v>
      </c>
      <c r="J2211" s="2"/>
      <c r="K2211" s="2"/>
      <c r="L2211" s="2"/>
      <c r="M2211" s="2"/>
      <c r="N2211" s="2"/>
      <c r="O2211" s="2"/>
      <c r="P2211" s="2"/>
    </row>
    <row r="2212" spans="1:16" x14ac:dyDescent="0.4">
      <c r="A2212">
        <v>2011</v>
      </c>
      <c r="B2212" s="2" t="s">
        <v>693</v>
      </c>
      <c r="C2212" s="2" t="s">
        <v>729</v>
      </c>
      <c r="D2212" s="2" t="s">
        <v>312</v>
      </c>
      <c r="E2212" s="67" t="s">
        <v>325</v>
      </c>
      <c r="F2212" s="12">
        <v>334</v>
      </c>
      <c r="G2212" s="12">
        <v>214</v>
      </c>
      <c r="H2212" s="12">
        <v>120</v>
      </c>
      <c r="J2212" s="2"/>
      <c r="K2212" s="2"/>
      <c r="L2212" s="2"/>
      <c r="M2212" s="2"/>
      <c r="N2212" s="2"/>
      <c r="O2212" s="2"/>
      <c r="P2212" s="2"/>
    </row>
    <row r="2213" spans="1:16" x14ac:dyDescent="0.4">
      <c r="A2213">
        <v>2011</v>
      </c>
      <c r="B2213" s="2" t="s">
        <v>694</v>
      </c>
      <c r="C2213" s="2" t="s">
        <v>729</v>
      </c>
      <c r="D2213" s="2" t="s">
        <v>312</v>
      </c>
      <c r="E2213" s="67" t="s">
        <v>144</v>
      </c>
      <c r="F2213" s="12">
        <v>1575</v>
      </c>
      <c r="G2213" s="12">
        <v>889</v>
      </c>
      <c r="H2213" s="12">
        <v>686</v>
      </c>
      <c r="J2213" s="2"/>
      <c r="K2213" s="2"/>
      <c r="L2213" s="2"/>
      <c r="M2213" s="2"/>
      <c r="N2213" s="2"/>
      <c r="O2213" s="2"/>
      <c r="P2213" s="2"/>
    </row>
    <row r="2214" spans="1:16" x14ac:dyDescent="0.4">
      <c r="A2214">
        <v>2011</v>
      </c>
      <c r="B2214" s="2" t="s">
        <v>695</v>
      </c>
      <c r="C2214" s="2" t="s">
        <v>729</v>
      </c>
      <c r="D2214" s="2" t="s">
        <v>312</v>
      </c>
      <c r="E2214" s="67" t="s">
        <v>326</v>
      </c>
      <c r="F2214" s="12">
        <v>189</v>
      </c>
      <c r="G2214" s="12">
        <v>125</v>
      </c>
      <c r="H2214" s="12">
        <v>64</v>
      </c>
      <c r="J2214" s="2"/>
      <c r="K2214" s="2"/>
      <c r="L2214" s="2"/>
      <c r="M2214" s="2"/>
      <c r="N2214" s="2"/>
      <c r="O2214" s="2"/>
      <c r="P2214" s="2"/>
    </row>
    <row r="2215" spans="1:16" x14ac:dyDescent="0.4">
      <c r="A2215">
        <v>2011</v>
      </c>
      <c r="B2215" s="2" t="s">
        <v>696</v>
      </c>
      <c r="C2215" s="2" t="s">
        <v>729</v>
      </c>
      <c r="D2215" s="2" t="s">
        <v>312</v>
      </c>
      <c r="E2215" s="67" t="s">
        <v>25</v>
      </c>
      <c r="F2215" s="12">
        <v>89</v>
      </c>
      <c r="G2215" s="12">
        <v>60</v>
      </c>
      <c r="H2215" s="12">
        <v>29</v>
      </c>
      <c r="J2215" s="2"/>
      <c r="K2215" s="2"/>
      <c r="L2215" s="2"/>
      <c r="M2215" s="2"/>
      <c r="N2215" s="2"/>
      <c r="O2215" s="2"/>
      <c r="P2215" s="2"/>
    </row>
    <row r="2216" spans="1:16" x14ac:dyDescent="0.4">
      <c r="A2216">
        <v>2011</v>
      </c>
      <c r="B2216" s="2" t="s">
        <v>697</v>
      </c>
      <c r="C2216" s="2" t="s">
        <v>729</v>
      </c>
      <c r="D2216" s="2" t="s">
        <v>312</v>
      </c>
      <c r="E2216" s="67" t="s">
        <v>51</v>
      </c>
      <c r="F2216" s="12">
        <v>180</v>
      </c>
      <c r="G2216" s="12">
        <v>125</v>
      </c>
      <c r="H2216" s="12">
        <v>55</v>
      </c>
      <c r="J2216" s="2"/>
      <c r="K2216" s="2"/>
      <c r="L2216" s="2"/>
      <c r="M2216" s="2"/>
      <c r="N2216" s="2"/>
      <c r="O2216" s="2"/>
      <c r="P2216" s="2"/>
    </row>
    <row r="2217" spans="1:16" x14ac:dyDescent="0.4">
      <c r="A2217">
        <v>2011</v>
      </c>
      <c r="B2217" s="2" t="s">
        <v>698</v>
      </c>
      <c r="C2217" s="2" t="s">
        <v>729</v>
      </c>
      <c r="D2217" s="2" t="s">
        <v>312</v>
      </c>
      <c r="E2217" s="67" t="s">
        <v>327</v>
      </c>
      <c r="F2217" s="12">
        <v>147</v>
      </c>
      <c r="G2217" s="12">
        <v>96</v>
      </c>
      <c r="H2217" s="12">
        <v>51</v>
      </c>
      <c r="J2217" s="2"/>
      <c r="K2217" s="2"/>
      <c r="L2217" s="2"/>
      <c r="M2217" s="2"/>
      <c r="N2217" s="2"/>
      <c r="O2217" s="2"/>
      <c r="P2217" s="2"/>
    </row>
    <row r="2218" spans="1:16" x14ac:dyDescent="0.4">
      <c r="A2218">
        <v>2011</v>
      </c>
      <c r="B2218" s="2" t="s">
        <v>733</v>
      </c>
      <c r="C2218" s="2" t="s">
        <v>715</v>
      </c>
      <c r="D2218" s="2" t="s">
        <v>734</v>
      </c>
      <c r="E2218" s="67" t="s">
        <v>735</v>
      </c>
      <c r="F2218" s="12">
        <v>0</v>
      </c>
      <c r="G2218" s="12">
        <v>0</v>
      </c>
      <c r="H2218" s="12">
        <v>0</v>
      </c>
      <c r="J2218" s="2"/>
      <c r="K2218" s="2"/>
      <c r="L2218" s="2"/>
      <c r="M2218" s="2"/>
      <c r="N2218" s="2"/>
      <c r="O2218" s="2"/>
      <c r="P2218" s="2"/>
    </row>
    <row r="2219" spans="1:16" x14ac:dyDescent="0.4">
      <c r="A2219">
        <v>2010</v>
      </c>
      <c r="B2219" s="5" t="str">
        <f>+C2219&amp;"-"&amp;E2219</f>
        <v>VA-Municipio Autónomo Vargas</v>
      </c>
      <c r="C2219" s="5" t="str">
        <f>+MID(D2219,1,2)</f>
        <v>VA</v>
      </c>
      <c r="D2219" s="25" t="s">
        <v>288</v>
      </c>
      <c r="E2219" s="64" t="s">
        <v>757</v>
      </c>
      <c r="F2219" s="2">
        <v>0</v>
      </c>
      <c r="G2219" s="2">
        <v>0</v>
      </c>
      <c r="H2219" s="2">
        <v>0</v>
      </c>
      <c r="J2219" s="2"/>
      <c r="K2219" s="2"/>
      <c r="L2219" s="2"/>
      <c r="M2219" s="2"/>
      <c r="N2219" s="2"/>
      <c r="O2219" s="2"/>
      <c r="P2219" s="2"/>
    </row>
    <row r="2220" spans="1:16" x14ac:dyDescent="0.4">
      <c r="A2220">
        <v>2010</v>
      </c>
      <c r="B2220" s="5" t="str">
        <f>+C2220&amp;"-"&amp;E2220</f>
        <v>DI-Municipio Autónomo Libertador</v>
      </c>
      <c r="C2220" s="5" t="str">
        <f>+MID(D2220,1,2)</f>
        <v>DI</v>
      </c>
      <c r="D2220" s="25" t="s">
        <v>106</v>
      </c>
      <c r="E2220" s="64" t="s">
        <v>756</v>
      </c>
      <c r="F2220" s="2">
        <v>0</v>
      </c>
      <c r="G2220" s="2">
        <v>0</v>
      </c>
      <c r="H2220" s="2">
        <v>0</v>
      </c>
      <c r="J2220" s="2"/>
      <c r="K2220" s="2"/>
      <c r="L2220" s="2"/>
      <c r="M2220" s="2"/>
      <c r="N2220" s="2"/>
      <c r="O2220" s="2"/>
      <c r="P2220" s="2"/>
    </row>
    <row r="2221" spans="1:16" x14ac:dyDescent="0.4">
      <c r="A2221">
        <v>2010</v>
      </c>
      <c r="B2221" s="2" t="s">
        <v>335</v>
      </c>
      <c r="C2221" s="2" t="s">
        <v>706</v>
      </c>
      <c r="D2221" s="2" t="s">
        <v>106</v>
      </c>
      <c r="E2221" s="67" t="s">
        <v>105</v>
      </c>
      <c r="F2221" s="12">
        <v>94</v>
      </c>
      <c r="G2221" s="12">
        <v>57</v>
      </c>
      <c r="H2221" s="12">
        <v>37</v>
      </c>
      <c r="J2221" s="2"/>
      <c r="K2221" s="2"/>
      <c r="L2221" s="2"/>
      <c r="M2221" s="2"/>
      <c r="N2221" s="2"/>
      <c r="O2221" s="2"/>
      <c r="P2221" s="2"/>
    </row>
    <row r="2222" spans="1:16" x14ac:dyDescent="0.4">
      <c r="A2222">
        <v>2010</v>
      </c>
      <c r="B2222" s="2" t="s">
        <v>336</v>
      </c>
      <c r="C2222" s="2" t="s">
        <v>706</v>
      </c>
      <c r="D2222" s="2" t="s">
        <v>106</v>
      </c>
      <c r="E2222" s="67" t="s">
        <v>107</v>
      </c>
      <c r="F2222" s="12">
        <v>453</v>
      </c>
      <c r="G2222" s="12">
        <v>278</v>
      </c>
      <c r="H2222" s="12">
        <v>175</v>
      </c>
      <c r="J2222" s="2"/>
      <c r="K2222" s="2"/>
      <c r="L2222" s="2"/>
      <c r="M2222" s="2"/>
      <c r="N2222" s="2"/>
      <c r="O2222" s="2"/>
      <c r="P2222" s="2"/>
    </row>
    <row r="2223" spans="1:16" x14ac:dyDescent="0.4">
      <c r="A2223">
        <v>2010</v>
      </c>
      <c r="B2223" s="2" t="s">
        <v>337</v>
      </c>
      <c r="C2223" s="2" t="s">
        <v>706</v>
      </c>
      <c r="D2223" s="2" t="s">
        <v>106</v>
      </c>
      <c r="E2223" s="67" t="s">
        <v>108</v>
      </c>
      <c r="F2223" s="12">
        <v>249</v>
      </c>
      <c r="G2223" s="12">
        <v>139</v>
      </c>
      <c r="H2223" s="12">
        <v>110</v>
      </c>
      <c r="J2223" s="2"/>
      <c r="K2223" s="2"/>
      <c r="L2223" s="2"/>
      <c r="M2223" s="2"/>
      <c r="N2223" s="2"/>
      <c r="O2223" s="2"/>
      <c r="P2223" s="2"/>
    </row>
    <row r="2224" spans="1:16" x14ac:dyDescent="0.4">
      <c r="A2224">
        <v>2010</v>
      </c>
      <c r="B2224" s="2" t="s">
        <v>338</v>
      </c>
      <c r="C2224" s="2" t="s">
        <v>706</v>
      </c>
      <c r="D2224" s="2" t="s">
        <v>106</v>
      </c>
      <c r="E2224" s="67" t="s">
        <v>109</v>
      </c>
      <c r="F2224" s="12">
        <v>363</v>
      </c>
      <c r="G2224" s="12">
        <v>230</v>
      </c>
      <c r="H2224" s="12">
        <v>133</v>
      </c>
      <c r="J2224" s="2"/>
      <c r="K2224" s="2"/>
      <c r="L2224" s="2"/>
      <c r="M2224" s="2"/>
      <c r="N2224" s="2"/>
      <c r="O2224" s="2"/>
      <c r="P2224" s="2"/>
    </row>
    <row r="2225" spans="1:16" x14ac:dyDescent="0.4">
      <c r="A2225">
        <v>2010</v>
      </c>
      <c r="B2225" s="2" t="s">
        <v>339</v>
      </c>
      <c r="C2225" s="2" t="s">
        <v>706</v>
      </c>
      <c r="D2225" s="2" t="s">
        <v>106</v>
      </c>
      <c r="E2225" s="67" t="s">
        <v>110</v>
      </c>
      <c r="F2225" s="12">
        <v>20</v>
      </c>
      <c r="G2225" s="12">
        <v>12</v>
      </c>
      <c r="H2225" s="12">
        <v>8</v>
      </c>
      <c r="J2225" s="2"/>
      <c r="K2225" s="2"/>
      <c r="L2225" s="2"/>
      <c r="M2225" s="2"/>
      <c r="N2225" s="2"/>
      <c r="O2225" s="2"/>
      <c r="P2225" s="2"/>
    </row>
    <row r="2226" spans="1:16" x14ac:dyDescent="0.4">
      <c r="A2226">
        <v>2010</v>
      </c>
      <c r="B2226" s="2" t="s">
        <v>340</v>
      </c>
      <c r="C2226" s="2" t="s">
        <v>706</v>
      </c>
      <c r="D2226" s="2" t="s">
        <v>106</v>
      </c>
      <c r="E2226" s="67" t="s">
        <v>111</v>
      </c>
      <c r="F2226" s="12">
        <v>353</v>
      </c>
      <c r="G2226" s="12">
        <v>259</v>
      </c>
      <c r="H2226" s="12">
        <v>94</v>
      </c>
      <c r="J2226" s="2"/>
      <c r="K2226" s="2"/>
      <c r="L2226" s="2"/>
      <c r="M2226" s="2"/>
      <c r="N2226" s="2"/>
      <c r="O2226" s="2"/>
      <c r="P2226" s="2"/>
    </row>
    <row r="2227" spans="1:16" x14ac:dyDescent="0.4">
      <c r="A2227">
        <v>2010</v>
      </c>
      <c r="B2227" s="2" t="s">
        <v>341</v>
      </c>
      <c r="C2227" s="2" t="s">
        <v>706</v>
      </c>
      <c r="D2227" s="2" t="s">
        <v>106</v>
      </c>
      <c r="E2227" s="67" t="s">
        <v>112</v>
      </c>
      <c r="F2227" s="12">
        <v>129</v>
      </c>
      <c r="G2227" s="12">
        <v>84</v>
      </c>
      <c r="H2227" s="12">
        <v>45</v>
      </c>
      <c r="J2227" s="2"/>
      <c r="K2227" s="2"/>
      <c r="L2227" s="2"/>
      <c r="M2227" s="2"/>
      <c r="N2227" s="2"/>
      <c r="O2227" s="2"/>
      <c r="P2227" s="2"/>
    </row>
    <row r="2228" spans="1:16" x14ac:dyDescent="0.4">
      <c r="A2228">
        <v>2010</v>
      </c>
      <c r="B2228" s="2" t="s">
        <v>342</v>
      </c>
      <c r="C2228" s="2" t="s">
        <v>706</v>
      </c>
      <c r="D2228" s="2" t="s">
        <v>106</v>
      </c>
      <c r="E2228" s="67" t="s">
        <v>113</v>
      </c>
      <c r="F2228" s="12">
        <v>2701</v>
      </c>
      <c r="G2228" s="12">
        <v>1727</v>
      </c>
      <c r="H2228" s="12">
        <v>974</v>
      </c>
      <c r="J2228" s="2"/>
      <c r="K2228" s="2"/>
      <c r="L2228" s="2"/>
      <c r="M2228" s="2"/>
      <c r="N2228" s="2"/>
      <c r="O2228" s="2"/>
      <c r="P2228" s="2"/>
    </row>
    <row r="2229" spans="1:16" x14ac:dyDescent="0.4">
      <c r="A2229">
        <v>2010</v>
      </c>
      <c r="B2229" s="2" t="s">
        <v>343</v>
      </c>
      <c r="C2229" s="2" t="s">
        <v>706</v>
      </c>
      <c r="D2229" s="2" t="s">
        <v>106</v>
      </c>
      <c r="E2229" s="67" t="s">
        <v>114</v>
      </c>
      <c r="F2229" s="12">
        <v>656</v>
      </c>
      <c r="G2229" s="12">
        <v>315</v>
      </c>
      <c r="H2229" s="12">
        <v>341</v>
      </c>
      <c r="J2229" s="2"/>
      <c r="K2229" s="2"/>
      <c r="L2229" s="2"/>
      <c r="M2229" s="2"/>
      <c r="N2229" s="2"/>
      <c r="O2229" s="2"/>
      <c r="P2229" s="2"/>
    </row>
    <row r="2230" spans="1:16" x14ac:dyDescent="0.4">
      <c r="A2230">
        <v>2010</v>
      </c>
      <c r="B2230" s="2" t="s">
        <v>344</v>
      </c>
      <c r="C2230" s="2" t="s">
        <v>706</v>
      </c>
      <c r="D2230" s="2" t="s">
        <v>106</v>
      </c>
      <c r="E2230" s="67" t="s">
        <v>115</v>
      </c>
      <c r="F2230" s="12">
        <v>363</v>
      </c>
      <c r="G2230" s="12">
        <v>224</v>
      </c>
      <c r="H2230" s="12">
        <v>139</v>
      </c>
      <c r="J2230" s="2"/>
      <c r="K2230" s="2"/>
      <c r="L2230" s="2"/>
      <c r="M2230" s="2"/>
      <c r="N2230" s="2"/>
      <c r="O2230" s="2"/>
      <c r="P2230" s="2"/>
    </row>
    <row r="2231" spans="1:16" x14ac:dyDescent="0.4">
      <c r="A2231">
        <v>2010</v>
      </c>
      <c r="B2231" s="2" t="s">
        <v>345</v>
      </c>
      <c r="C2231" s="2" t="s">
        <v>706</v>
      </c>
      <c r="D2231" s="2" t="s">
        <v>106</v>
      </c>
      <c r="E2231" s="67" t="s">
        <v>116</v>
      </c>
      <c r="F2231" s="12">
        <v>566</v>
      </c>
      <c r="G2231" s="12">
        <v>368</v>
      </c>
      <c r="H2231" s="12">
        <v>198</v>
      </c>
      <c r="J2231" s="2"/>
      <c r="K2231" s="2"/>
      <c r="L2231" s="2"/>
      <c r="M2231" s="2"/>
      <c r="N2231" s="2"/>
      <c r="O2231" s="2"/>
      <c r="P2231" s="2"/>
    </row>
    <row r="2232" spans="1:16" x14ac:dyDescent="0.4">
      <c r="A2232">
        <v>2010</v>
      </c>
      <c r="B2232" s="2" t="s">
        <v>346</v>
      </c>
      <c r="C2232" s="2" t="s">
        <v>706</v>
      </c>
      <c r="D2232" s="2" t="s">
        <v>106</v>
      </c>
      <c r="E2232" s="67" t="s">
        <v>117</v>
      </c>
      <c r="F2232" s="12">
        <v>452</v>
      </c>
      <c r="G2232" s="12">
        <v>255</v>
      </c>
      <c r="H2232" s="12">
        <v>197</v>
      </c>
      <c r="J2232" s="2"/>
      <c r="K2232" s="2"/>
      <c r="L2232" s="2"/>
      <c r="M2232" s="2"/>
      <c r="N2232" s="2"/>
      <c r="O2232" s="2"/>
      <c r="P2232" s="2"/>
    </row>
    <row r="2233" spans="1:16" x14ac:dyDescent="0.4">
      <c r="A2233">
        <v>2010</v>
      </c>
      <c r="B2233" s="2" t="s">
        <v>347</v>
      </c>
      <c r="C2233" s="2" t="s">
        <v>706</v>
      </c>
      <c r="D2233" s="2" t="s">
        <v>106</v>
      </c>
      <c r="E2233" s="67" t="s">
        <v>118</v>
      </c>
      <c r="F2233" s="12">
        <v>145</v>
      </c>
      <c r="G2233" s="12">
        <v>98</v>
      </c>
      <c r="H2233" s="12">
        <v>47</v>
      </c>
      <c r="J2233" s="2"/>
      <c r="K2233" s="2"/>
      <c r="L2233" s="2"/>
      <c r="M2233" s="2"/>
      <c r="N2233" s="2"/>
      <c r="O2233" s="2"/>
      <c r="P2233" s="2"/>
    </row>
    <row r="2234" spans="1:16" x14ac:dyDescent="0.4">
      <c r="A2234">
        <v>2010</v>
      </c>
      <c r="B2234" s="2" t="s">
        <v>348</v>
      </c>
      <c r="C2234" s="2" t="s">
        <v>706</v>
      </c>
      <c r="D2234" s="2" t="s">
        <v>106</v>
      </c>
      <c r="E2234" s="67" t="s">
        <v>119</v>
      </c>
      <c r="F2234" s="12">
        <v>154</v>
      </c>
      <c r="G2234" s="12">
        <v>108</v>
      </c>
      <c r="H2234" s="12">
        <v>46</v>
      </c>
      <c r="J2234" s="2"/>
      <c r="K2234" s="2"/>
      <c r="L2234" s="2"/>
      <c r="M2234" s="2"/>
      <c r="N2234" s="2"/>
      <c r="O2234" s="2"/>
      <c r="P2234" s="2"/>
    </row>
    <row r="2235" spans="1:16" x14ac:dyDescent="0.4">
      <c r="A2235">
        <v>2010</v>
      </c>
      <c r="B2235" s="2" t="s">
        <v>349</v>
      </c>
      <c r="C2235" s="2" t="s">
        <v>706</v>
      </c>
      <c r="D2235" s="2" t="s">
        <v>106</v>
      </c>
      <c r="E2235" s="70" t="s">
        <v>120</v>
      </c>
      <c r="F2235" s="29">
        <v>1183</v>
      </c>
      <c r="G2235" s="29">
        <v>624</v>
      </c>
      <c r="H2235" s="12">
        <v>559</v>
      </c>
      <c r="J2235" s="2"/>
      <c r="K2235" s="2"/>
      <c r="L2235" s="2"/>
      <c r="M2235" s="2"/>
      <c r="N2235" s="2"/>
      <c r="O2235" s="2"/>
      <c r="P2235" s="2"/>
    </row>
    <row r="2236" spans="1:16" x14ac:dyDescent="0.4">
      <c r="A2236">
        <v>2010</v>
      </c>
      <c r="B2236" s="2" t="s">
        <v>350</v>
      </c>
      <c r="C2236" s="2" t="s">
        <v>706</v>
      </c>
      <c r="D2236" s="2" t="s">
        <v>106</v>
      </c>
      <c r="E2236" s="70" t="s">
        <v>121</v>
      </c>
      <c r="F2236" s="29">
        <v>1048</v>
      </c>
      <c r="G2236" s="29">
        <v>541</v>
      </c>
      <c r="H2236" s="12">
        <v>507</v>
      </c>
      <c r="J2236" s="2"/>
      <c r="K2236" s="2"/>
      <c r="L2236" s="2"/>
      <c r="M2236" s="2"/>
      <c r="N2236" s="2"/>
      <c r="O2236" s="2"/>
      <c r="P2236" s="2"/>
    </row>
    <row r="2237" spans="1:16" x14ac:dyDescent="0.4">
      <c r="A2237">
        <v>2010</v>
      </c>
      <c r="B2237" s="2" t="s">
        <v>351</v>
      </c>
      <c r="C2237" s="2" t="s">
        <v>706</v>
      </c>
      <c r="D2237" s="2" t="s">
        <v>106</v>
      </c>
      <c r="E2237" s="70" t="s">
        <v>122</v>
      </c>
      <c r="F2237" s="29">
        <v>2089</v>
      </c>
      <c r="G2237" s="29">
        <v>1196</v>
      </c>
      <c r="H2237" s="12">
        <v>893</v>
      </c>
      <c r="J2237" s="2"/>
      <c r="K2237" s="2"/>
      <c r="L2237" s="2"/>
      <c r="M2237" s="2"/>
      <c r="N2237" s="2"/>
      <c r="O2237" s="2"/>
      <c r="P2237" s="2"/>
    </row>
    <row r="2238" spans="1:16" x14ac:dyDescent="0.4">
      <c r="A2238">
        <v>2010</v>
      </c>
      <c r="B2238" s="2" t="s">
        <v>352</v>
      </c>
      <c r="C2238" s="2" t="s">
        <v>706</v>
      </c>
      <c r="D2238" s="2" t="s">
        <v>106</v>
      </c>
      <c r="E2238" s="70" t="s">
        <v>123</v>
      </c>
      <c r="F2238" s="29">
        <v>2211</v>
      </c>
      <c r="G2238" s="29">
        <v>1263</v>
      </c>
      <c r="H2238" s="12">
        <v>948</v>
      </c>
      <c r="J2238" s="2"/>
      <c r="K2238" s="2"/>
      <c r="L2238" s="2"/>
      <c r="M2238" s="2"/>
      <c r="N2238" s="2"/>
      <c r="O2238" s="2"/>
      <c r="P2238" s="2"/>
    </row>
    <row r="2239" spans="1:16" x14ac:dyDescent="0.4">
      <c r="A2239">
        <v>2010</v>
      </c>
      <c r="B2239" s="2" t="s">
        <v>353</v>
      </c>
      <c r="C2239" s="2" t="s">
        <v>706</v>
      </c>
      <c r="D2239" s="2" t="s">
        <v>106</v>
      </c>
      <c r="E2239" s="70" t="s">
        <v>124</v>
      </c>
      <c r="F2239" s="29">
        <v>633</v>
      </c>
      <c r="G2239" s="29">
        <v>360</v>
      </c>
      <c r="H2239" s="12">
        <v>273</v>
      </c>
      <c r="J2239" s="2"/>
      <c r="K2239" s="2"/>
      <c r="L2239" s="2"/>
      <c r="M2239" s="2"/>
      <c r="N2239" s="2"/>
      <c r="O2239" s="2"/>
      <c r="P2239" s="2"/>
    </row>
    <row r="2240" spans="1:16" x14ac:dyDescent="0.4">
      <c r="A2240">
        <v>2010</v>
      </c>
      <c r="B2240" s="7" t="s">
        <v>354</v>
      </c>
      <c r="C2240" s="7" t="s">
        <v>706</v>
      </c>
      <c r="D2240" s="7" t="s">
        <v>106</v>
      </c>
      <c r="E2240" s="69" t="s">
        <v>125</v>
      </c>
      <c r="F2240" s="11">
        <v>55</v>
      </c>
      <c r="G2240" s="11">
        <v>30</v>
      </c>
      <c r="H2240" s="12">
        <v>25</v>
      </c>
      <c r="J2240" s="2"/>
      <c r="K2240" s="2"/>
      <c r="L2240" s="2"/>
      <c r="M2240" s="2"/>
      <c r="N2240" s="2"/>
      <c r="O2240" s="2"/>
      <c r="P2240" s="2"/>
    </row>
    <row r="2241" spans="1:16" x14ac:dyDescent="0.4">
      <c r="A2241">
        <v>2010</v>
      </c>
      <c r="B2241" s="2" t="s">
        <v>355</v>
      </c>
      <c r="C2241" s="2" t="s">
        <v>706</v>
      </c>
      <c r="D2241" s="2" t="s">
        <v>106</v>
      </c>
      <c r="E2241" s="70" t="s">
        <v>126</v>
      </c>
      <c r="F2241" s="29">
        <v>1475</v>
      </c>
      <c r="G2241" s="29">
        <v>979</v>
      </c>
      <c r="H2241" s="12">
        <v>496</v>
      </c>
      <c r="J2241" s="2"/>
      <c r="K2241" s="2"/>
      <c r="L2241" s="2"/>
      <c r="M2241" s="2"/>
      <c r="N2241" s="2"/>
      <c r="O2241" s="2"/>
      <c r="P2241" s="2"/>
    </row>
    <row r="2242" spans="1:16" x14ac:dyDescent="0.4">
      <c r="A2242">
        <v>2010</v>
      </c>
      <c r="B2242" s="2" t="s">
        <v>356</v>
      </c>
      <c r="C2242" s="2" t="s">
        <v>706</v>
      </c>
      <c r="D2242" s="2" t="s">
        <v>106</v>
      </c>
      <c r="E2242" s="70" t="s">
        <v>127</v>
      </c>
      <c r="F2242" s="29">
        <v>310</v>
      </c>
      <c r="G2242" s="29">
        <v>200</v>
      </c>
      <c r="H2242" s="12">
        <v>110</v>
      </c>
      <c r="J2242" s="2"/>
      <c r="K2242" s="2"/>
      <c r="L2242" s="2"/>
      <c r="M2242" s="2"/>
      <c r="N2242" s="2"/>
      <c r="O2242" s="2"/>
      <c r="P2242" s="2"/>
    </row>
    <row r="2243" spans="1:16" x14ac:dyDescent="0.4">
      <c r="A2243">
        <v>2010</v>
      </c>
      <c r="B2243" s="2" t="s">
        <v>357</v>
      </c>
      <c r="C2243" s="2" t="s">
        <v>707</v>
      </c>
      <c r="D2243" s="2" t="s">
        <v>1</v>
      </c>
      <c r="E2243" s="70" t="s">
        <v>0</v>
      </c>
      <c r="F2243" s="29">
        <v>10</v>
      </c>
      <c r="G2243" s="29">
        <v>8</v>
      </c>
      <c r="H2243" s="12">
        <v>2</v>
      </c>
      <c r="J2243" s="2"/>
      <c r="K2243" s="2"/>
      <c r="L2243" s="2"/>
      <c r="M2243" s="2"/>
      <c r="N2243" s="2"/>
      <c r="O2243" s="2"/>
      <c r="P2243" s="2"/>
    </row>
    <row r="2244" spans="1:16" x14ac:dyDescent="0.4">
      <c r="A2244">
        <v>2010</v>
      </c>
      <c r="B2244" s="2" t="s">
        <v>358</v>
      </c>
      <c r="C2244" s="2" t="s">
        <v>707</v>
      </c>
      <c r="D2244" s="2" t="s">
        <v>1</v>
      </c>
      <c r="E2244" s="70" t="s">
        <v>2</v>
      </c>
      <c r="F2244" s="29">
        <v>8</v>
      </c>
      <c r="G2244" s="29">
        <v>6</v>
      </c>
      <c r="H2244" s="12">
        <v>2</v>
      </c>
      <c r="J2244" s="2"/>
      <c r="K2244" s="2"/>
      <c r="L2244" s="2"/>
      <c r="M2244" s="2"/>
      <c r="N2244" s="2"/>
      <c r="O2244" s="2"/>
      <c r="P2244" s="2"/>
    </row>
    <row r="2245" spans="1:16" x14ac:dyDescent="0.4">
      <c r="A2245">
        <v>2010</v>
      </c>
      <c r="B2245" s="2" t="s">
        <v>359</v>
      </c>
      <c r="C2245" s="2" t="s">
        <v>707</v>
      </c>
      <c r="D2245" s="2" t="s">
        <v>1</v>
      </c>
      <c r="E2245" s="70" t="s">
        <v>3</v>
      </c>
      <c r="F2245" s="29">
        <v>353</v>
      </c>
      <c r="G2245" s="29">
        <v>219</v>
      </c>
      <c r="H2245" s="12">
        <v>134</v>
      </c>
      <c r="J2245" s="2"/>
      <c r="K2245" s="2"/>
      <c r="L2245" s="2"/>
      <c r="M2245" s="2"/>
      <c r="N2245" s="2"/>
      <c r="O2245" s="2"/>
      <c r="P2245" s="2"/>
    </row>
    <row r="2246" spans="1:16" x14ac:dyDescent="0.4">
      <c r="A2246">
        <v>2010</v>
      </c>
      <c r="B2246" s="2" t="s">
        <v>360</v>
      </c>
      <c r="C2246" s="2" t="s">
        <v>707</v>
      </c>
      <c r="D2246" s="2" t="s">
        <v>1</v>
      </c>
      <c r="E2246" s="70" t="s">
        <v>4</v>
      </c>
      <c r="F2246" s="29">
        <v>2</v>
      </c>
      <c r="G2246" s="29">
        <v>2</v>
      </c>
      <c r="H2246" s="12" t="s">
        <v>142</v>
      </c>
      <c r="J2246" s="2"/>
      <c r="K2246" s="2"/>
      <c r="L2246" s="2"/>
      <c r="M2246" s="2"/>
      <c r="N2246" s="2"/>
      <c r="O2246" s="2"/>
      <c r="P2246" s="2"/>
    </row>
    <row r="2247" spans="1:16" x14ac:dyDescent="0.4">
      <c r="A2247">
        <v>2010</v>
      </c>
      <c r="B2247" s="2" t="s">
        <v>361</v>
      </c>
      <c r="C2247" s="2" t="s">
        <v>707</v>
      </c>
      <c r="D2247" s="2" t="s">
        <v>1</v>
      </c>
      <c r="E2247" s="70" t="s">
        <v>5</v>
      </c>
      <c r="F2247" s="29">
        <v>1</v>
      </c>
      <c r="G2247" s="29">
        <v>1</v>
      </c>
      <c r="H2247" s="12" t="s">
        <v>142</v>
      </c>
      <c r="J2247" s="2"/>
      <c r="K2247" s="2"/>
      <c r="L2247" s="2"/>
      <c r="M2247" s="2"/>
      <c r="N2247" s="2"/>
      <c r="O2247" s="2"/>
      <c r="P2247" s="2"/>
    </row>
    <row r="2248" spans="1:16" x14ac:dyDescent="0.4">
      <c r="A2248">
        <v>2010</v>
      </c>
      <c r="B2248" s="2" t="s">
        <v>732</v>
      </c>
      <c r="C2248" s="2" t="s">
        <v>707</v>
      </c>
      <c r="D2248" s="2" t="s">
        <v>1</v>
      </c>
      <c r="E2248" s="70" t="s">
        <v>330</v>
      </c>
      <c r="F2248" s="29">
        <v>2</v>
      </c>
      <c r="G2248" s="29" t="s">
        <v>142</v>
      </c>
      <c r="H2248" s="12">
        <v>2</v>
      </c>
      <c r="J2248" s="2"/>
      <c r="K2248" s="2"/>
      <c r="L2248" s="2"/>
      <c r="M2248" s="2"/>
      <c r="N2248" s="2"/>
      <c r="O2248" s="2"/>
      <c r="P2248" s="2"/>
    </row>
    <row r="2249" spans="1:16" x14ac:dyDescent="0.4">
      <c r="A2249">
        <v>2010</v>
      </c>
      <c r="B2249" s="2" t="s">
        <v>730</v>
      </c>
      <c r="C2249" s="2" t="s">
        <v>707</v>
      </c>
      <c r="D2249" s="2" t="s">
        <v>1</v>
      </c>
      <c r="E2249" s="70" t="s">
        <v>328</v>
      </c>
      <c r="F2249" s="29">
        <v>3</v>
      </c>
      <c r="G2249" s="29">
        <v>2</v>
      </c>
      <c r="H2249" s="12">
        <v>1</v>
      </c>
      <c r="J2249" s="2"/>
      <c r="K2249" s="2"/>
      <c r="L2249" s="2"/>
      <c r="M2249" s="2"/>
      <c r="N2249" s="2"/>
      <c r="O2249" s="2"/>
      <c r="P2249" s="2"/>
    </row>
    <row r="2250" spans="1:16" x14ac:dyDescent="0.4">
      <c r="A2250">
        <v>2010</v>
      </c>
      <c r="B2250" s="2" t="s">
        <v>362</v>
      </c>
      <c r="C2250" s="2" t="s">
        <v>708</v>
      </c>
      <c r="D2250" s="2" t="s">
        <v>7</v>
      </c>
      <c r="E2250" s="70" t="s">
        <v>6</v>
      </c>
      <c r="F2250" s="29">
        <v>415</v>
      </c>
      <c r="G2250" s="29">
        <v>257</v>
      </c>
      <c r="H2250" s="12">
        <v>158</v>
      </c>
      <c r="J2250" s="2"/>
      <c r="K2250" s="2"/>
      <c r="L2250" s="2"/>
      <c r="M2250" s="2"/>
      <c r="N2250" s="2"/>
      <c r="O2250" s="2"/>
      <c r="P2250" s="2"/>
    </row>
    <row r="2251" spans="1:16" x14ac:dyDescent="0.4">
      <c r="A2251">
        <v>2010</v>
      </c>
      <c r="B2251" s="2" t="s">
        <v>363</v>
      </c>
      <c r="C2251" s="2" t="s">
        <v>708</v>
      </c>
      <c r="D2251" s="2" t="s">
        <v>7</v>
      </c>
      <c r="E2251" s="70" t="s">
        <v>8</v>
      </c>
      <c r="F2251" s="29">
        <v>104</v>
      </c>
      <c r="G2251" s="29">
        <v>76</v>
      </c>
      <c r="H2251" s="12">
        <v>28</v>
      </c>
      <c r="J2251" s="2"/>
      <c r="K2251" s="2"/>
      <c r="L2251" s="2"/>
      <c r="M2251" s="2"/>
      <c r="N2251" s="2"/>
      <c r="O2251" s="2"/>
      <c r="P2251" s="2"/>
    </row>
    <row r="2252" spans="1:16" x14ac:dyDescent="0.4">
      <c r="A2252">
        <v>2010</v>
      </c>
      <c r="B2252" s="2" t="s">
        <v>364</v>
      </c>
      <c r="C2252" s="2" t="s">
        <v>708</v>
      </c>
      <c r="D2252" s="2" t="s">
        <v>7</v>
      </c>
      <c r="E2252" s="70" t="s">
        <v>9</v>
      </c>
      <c r="F2252" s="29">
        <v>186</v>
      </c>
      <c r="G2252" s="29">
        <v>105</v>
      </c>
      <c r="H2252" s="12">
        <v>81</v>
      </c>
      <c r="J2252" s="2"/>
      <c r="K2252" s="2"/>
      <c r="L2252" s="2"/>
      <c r="M2252" s="2"/>
      <c r="N2252" s="2"/>
      <c r="O2252" s="2"/>
      <c r="P2252" s="2"/>
    </row>
    <row r="2253" spans="1:16" x14ac:dyDescent="0.4">
      <c r="A2253">
        <v>2010</v>
      </c>
      <c r="B2253" s="2" t="s">
        <v>365</v>
      </c>
      <c r="C2253" s="2" t="s">
        <v>708</v>
      </c>
      <c r="D2253" s="2" t="s">
        <v>7</v>
      </c>
      <c r="E2253" s="70" t="s">
        <v>10</v>
      </c>
      <c r="F2253" s="29">
        <v>66</v>
      </c>
      <c r="G2253" s="29">
        <v>50</v>
      </c>
      <c r="H2253" s="12">
        <v>16</v>
      </c>
      <c r="J2253" s="2"/>
      <c r="K2253" s="2"/>
      <c r="L2253" s="2"/>
      <c r="M2253" s="2"/>
      <c r="N2253" s="2"/>
      <c r="O2253" s="2"/>
      <c r="P2253" s="2"/>
    </row>
    <row r="2254" spans="1:16" x14ac:dyDescent="0.4">
      <c r="A2254">
        <v>2010</v>
      </c>
      <c r="B2254" s="2" t="s">
        <v>366</v>
      </c>
      <c r="C2254" s="2" t="s">
        <v>708</v>
      </c>
      <c r="D2254" s="2" t="s">
        <v>7</v>
      </c>
      <c r="E2254" s="70" t="s">
        <v>11</v>
      </c>
      <c r="F2254" s="29">
        <v>122</v>
      </c>
      <c r="G2254" s="29">
        <v>68</v>
      </c>
      <c r="H2254" s="12">
        <v>54</v>
      </c>
      <c r="J2254" s="2"/>
      <c r="K2254" s="2"/>
      <c r="L2254" s="2"/>
      <c r="M2254" s="2"/>
      <c r="N2254" s="2"/>
      <c r="O2254" s="2"/>
      <c r="P2254" s="2"/>
    </row>
    <row r="2255" spans="1:16" x14ac:dyDescent="0.4">
      <c r="A2255">
        <v>2010</v>
      </c>
      <c r="B2255" s="2" t="s">
        <v>367</v>
      </c>
      <c r="C2255" s="2" t="s">
        <v>708</v>
      </c>
      <c r="D2255" s="2" t="s">
        <v>7</v>
      </c>
      <c r="E2255" s="70" t="s">
        <v>12</v>
      </c>
      <c r="F2255" s="29">
        <v>49</v>
      </c>
      <c r="G2255" s="29">
        <v>26</v>
      </c>
      <c r="H2255" s="12">
        <v>23</v>
      </c>
      <c r="J2255" s="2"/>
      <c r="K2255" s="2"/>
      <c r="L2255" s="2"/>
      <c r="M2255" s="2"/>
      <c r="N2255" s="2"/>
      <c r="O2255" s="2"/>
      <c r="P2255" s="2"/>
    </row>
    <row r="2256" spans="1:16" x14ac:dyDescent="0.4">
      <c r="A2256">
        <v>2010</v>
      </c>
      <c r="B2256" s="2" t="s">
        <v>368</v>
      </c>
      <c r="C2256" s="2" t="s">
        <v>708</v>
      </c>
      <c r="D2256" s="2" t="s">
        <v>7</v>
      </c>
      <c r="E2256" s="70" t="s">
        <v>13</v>
      </c>
      <c r="F2256" s="29">
        <v>59</v>
      </c>
      <c r="G2256" s="29">
        <v>37</v>
      </c>
      <c r="H2256" s="12">
        <v>22</v>
      </c>
      <c r="J2256" s="2"/>
      <c r="K2256" s="2"/>
      <c r="L2256" s="2"/>
      <c r="M2256" s="2"/>
      <c r="N2256" s="2"/>
      <c r="O2256" s="2"/>
      <c r="P2256" s="2"/>
    </row>
    <row r="2257" spans="1:16" x14ac:dyDescent="0.4">
      <c r="A2257">
        <v>2010</v>
      </c>
      <c r="B2257" s="2" t="s">
        <v>369</v>
      </c>
      <c r="C2257" s="2" t="s">
        <v>708</v>
      </c>
      <c r="D2257" s="2" t="s">
        <v>7</v>
      </c>
      <c r="E2257" s="70" t="s">
        <v>14</v>
      </c>
      <c r="F2257" s="29">
        <v>82</v>
      </c>
      <c r="G2257" s="29">
        <v>64</v>
      </c>
      <c r="H2257" s="12">
        <v>18</v>
      </c>
      <c r="J2257" s="2"/>
      <c r="K2257" s="2"/>
      <c r="L2257" s="2"/>
      <c r="M2257" s="2"/>
      <c r="N2257" s="2"/>
      <c r="O2257" s="2"/>
      <c r="P2257" s="2"/>
    </row>
    <row r="2258" spans="1:16" x14ac:dyDescent="0.4">
      <c r="A2258">
        <v>2010</v>
      </c>
      <c r="B2258" s="2" t="s">
        <v>370</v>
      </c>
      <c r="C2258" s="2" t="s">
        <v>708</v>
      </c>
      <c r="D2258" s="2" t="s">
        <v>7</v>
      </c>
      <c r="E2258" s="70" t="s">
        <v>15</v>
      </c>
      <c r="F2258" s="29">
        <v>34</v>
      </c>
      <c r="G2258" s="29">
        <v>20</v>
      </c>
      <c r="H2258" s="12">
        <v>14</v>
      </c>
      <c r="J2258" s="2"/>
      <c r="K2258" s="2"/>
      <c r="L2258" s="2"/>
      <c r="M2258" s="2"/>
      <c r="N2258" s="2"/>
      <c r="O2258" s="2"/>
      <c r="P2258" s="2"/>
    </row>
    <row r="2259" spans="1:16" x14ac:dyDescent="0.4">
      <c r="A2259">
        <v>2010</v>
      </c>
      <c r="B2259" s="2" t="s">
        <v>371</v>
      </c>
      <c r="C2259" s="2" t="s">
        <v>708</v>
      </c>
      <c r="D2259" s="2" t="s">
        <v>7</v>
      </c>
      <c r="E2259" s="70" t="s">
        <v>16</v>
      </c>
      <c r="F2259" s="29">
        <v>731</v>
      </c>
      <c r="G2259" s="29">
        <v>456</v>
      </c>
      <c r="H2259" s="12">
        <v>275</v>
      </c>
      <c r="J2259" s="2"/>
      <c r="K2259" s="2"/>
      <c r="L2259" s="2"/>
      <c r="M2259" s="2"/>
      <c r="N2259" s="2"/>
      <c r="O2259" s="2"/>
      <c r="P2259" s="2"/>
    </row>
    <row r="2260" spans="1:16" x14ac:dyDescent="0.4">
      <c r="A2260">
        <v>2010</v>
      </c>
      <c r="B2260" s="2" t="s">
        <v>372</v>
      </c>
      <c r="C2260" s="2" t="s">
        <v>708</v>
      </c>
      <c r="D2260" s="2" t="s">
        <v>7</v>
      </c>
      <c r="E2260" s="70" t="s">
        <v>17</v>
      </c>
      <c r="F2260" s="29">
        <v>32</v>
      </c>
      <c r="G2260" s="29">
        <v>22</v>
      </c>
      <c r="H2260" s="12">
        <v>10</v>
      </c>
      <c r="J2260" s="2"/>
      <c r="K2260" s="2"/>
      <c r="L2260" s="2"/>
      <c r="M2260" s="2"/>
      <c r="N2260" s="2"/>
      <c r="O2260" s="2"/>
      <c r="P2260" s="2"/>
    </row>
    <row r="2261" spans="1:16" x14ac:dyDescent="0.4">
      <c r="A2261">
        <v>2010</v>
      </c>
      <c r="B2261" s="2" t="s">
        <v>373</v>
      </c>
      <c r="C2261" s="2" t="s">
        <v>708</v>
      </c>
      <c r="D2261" s="2" t="s">
        <v>7</v>
      </c>
      <c r="E2261" s="70" t="s">
        <v>18</v>
      </c>
      <c r="F2261" s="29">
        <v>49</v>
      </c>
      <c r="G2261" s="29">
        <v>27</v>
      </c>
      <c r="H2261" s="12">
        <v>22</v>
      </c>
      <c r="J2261" s="2"/>
      <c r="K2261" s="2"/>
      <c r="L2261" s="2"/>
      <c r="M2261" s="2"/>
      <c r="N2261" s="2"/>
      <c r="O2261" s="2"/>
      <c r="P2261" s="2"/>
    </row>
    <row r="2262" spans="1:16" x14ac:dyDescent="0.4">
      <c r="A2262">
        <v>2010</v>
      </c>
      <c r="B2262" s="2" t="s">
        <v>374</v>
      </c>
      <c r="C2262" s="2" t="s">
        <v>708</v>
      </c>
      <c r="D2262" s="2" t="s">
        <v>7</v>
      </c>
      <c r="E2262" s="70" t="s">
        <v>19</v>
      </c>
      <c r="F2262" s="29">
        <v>75</v>
      </c>
      <c r="G2262" s="29">
        <v>51</v>
      </c>
      <c r="H2262" s="12">
        <v>24</v>
      </c>
      <c r="J2262" s="2"/>
      <c r="K2262" s="2"/>
      <c r="L2262" s="2"/>
      <c r="M2262" s="2"/>
      <c r="N2262" s="2"/>
      <c r="O2262" s="2"/>
      <c r="P2262" s="2"/>
    </row>
    <row r="2263" spans="1:16" x14ac:dyDescent="0.4">
      <c r="A2263">
        <v>2010</v>
      </c>
      <c r="B2263" s="2" t="s">
        <v>375</v>
      </c>
      <c r="C2263" s="2" t="s">
        <v>708</v>
      </c>
      <c r="D2263" s="2" t="s">
        <v>7</v>
      </c>
      <c r="E2263" s="70" t="s">
        <v>20</v>
      </c>
      <c r="F2263" s="29">
        <v>258</v>
      </c>
      <c r="G2263" s="29">
        <v>150</v>
      </c>
      <c r="H2263" s="12">
        <v>108</v>
      </c>
      <c r="J2263" s="2"/>
      <c r="K2263" s="2"/>
      <c r="L2263" s="2"/>
      <c r="M2263" s="2"/>
      <c r="N2263" s="2"/>
      <c r="O2263" s="2"/>
      <c r="P2263" s="2"/>
    </row>
    <row r="2264" spans="1:16" x14ac:dyDescent="0.4">
      <c r="A2264">
        <v>2010</v>
      </c>
      <c r="B2264" s="2" t="s">
        <v>376</v>
      </c>
      <c r="C2264" s="2" t="s">
        <v>708</v>
      </c>
      <c r="D2264" s="2" t="s">
        <v>7</v>
      </c>
      <c r="E2264" s="70" t="s">
        <v>21</v>
      </c>
      <c r="F2264" s="29">
        <v>77</v>
      </c>
      <c r="G2264" s="29">
        <v>42</v>
      </c>
      <c r="H2264" s="12">
        <v>35</v>
      </c>
      <c r="J2264" s="2"/>
      <c r="K2264" s="2"/>
      <c r="L2264" s="2"/>
      <c r="M2264" s="2"/>
      <c r="N2264" s="2"/>
      <c r="O2264" s="2"/>
      <c r="P2264" s="2"/>
    </row>
    <row r="2265" spans="1:16" x14ac:dyDescent="0.4">
      <c r="A2265">
        <v>2010</v>
      </c>
      <c r="B2265" s="2" t="s">
        <v>377</v>
      </c>
      <c r="C2265" s="2" t="s">
        <v>708</v>
      </c>
      <c r="D2265" s="2" t="s">
        <v>7</v>
      </c>
      <c r="E2265" s="70" t="s">
        <v>22</v>
      </c>
      <c r="F2265" s="29">
        <v>168</v>
      </c>
      <c r="G2265" s="29">
        <v>100</v>
      </c>
      <c r="H2265" s="12">
        <v>68</v>
      </c>
      <c r="J2265" s="2"/>
      <c r="K2265" s="2"/>
      <c r="L2265" s="2"/>
      <c r="M2265" s="2"/>
      <c r="N2265" s="2"/>
      <c r="O2265" s="2"/>
      <c r="P2265" s="2"/>
    </row>
    <row r="2266" spans="1:16" x14ac:dyDescent="0.4">
      <c r="A2266">
        <v>2010</v>
      </c>
      <c r="B2266" s="2" t="s">
        <v>378</v>
      </c>
      <c r="C2266" s="2" t="s">
        <v>708</v>
      </c>
      <c r="D2266" s="2" t="s">
        <v>7</v>
      </c>
      <c r="E2266" s="70" t="s">
        <v>23</v>
      </c>
      <c r="F2266" s="29">
        <v>35</v>
      </c>
      <c r="G2266" s="29">
        <v>20</v>
      </c>
      <c r="H2266" s="12">
        <v>15</v>
      </c>
      <c r="J2266" s="2"/>
      <c r="K2266" s="2"/>
      <c r="L2266" s="2"/>
      <c r="M2266" s="2"/>
      <c r="N2266" s="2"/>
      <c r="O2266" s="2"/>
      <c r="P2266" s="2"/>
    </row>
    <row r="2267" spans="1:16" x14ac:dyDescent="0.4">
      <c r="A2267">
        <v>2010</v>
      </c>
      <c r="B2267" s="2" t="s">
        <v>379</v>
      </c>
      <c r="C2267" s="2" t="s">
        <v>708</v>
      </c>
      <c r="D2267" s="2" t="s">
        <v>7</v>
      </c>
      <c r="E2267" s="70" t="s">
        <v>24</v>
      </c>
      <c r="F2267" s="29">
        <v>32</v>
      </c>
      <c r="G2267" s="29">
        <v>24</v>
      </c>
      <c r="H2267" s="12">
        <v>8</v>
      </c>
      <c r="J2267" s="2"/>
      <c r="K2267" s="2"/>
      <c r="L2267" s="2"/>
      <c r="M2267" s="2"/>
      <c r="N2267" s="2"/>
      <c r="O2267" s="2"/>
      <c r="P2267" s="2"/>
    </row>
    <row r="2268" spans="1:16" x14ac:dyDescent="0.4">
      <c r="A2268">
        <v>2010</v>
      </c>
      <c r="B2268" s="2" t="s">
        <v>380</v>
      </c>
      <c r="C2268" s="2" t="s">
        <v>708</v>
      </c>
      <c r="D2268" s="2" t="s">
        <v>7</v>
      </c>
      <c r="E2268" s="70" t="s">
        <v>25</v>
      </c>
      <c r="F2268" s="29">
        <v>2373</v>
      </c>
      <c r="G2268" s="29" t="s">
        <v>736</v>
      </c>
      <c r="H2268" s="12">
        <v>973</v>
      </c>
      <c r="J2268" s="2"/>
      <c r="K2268" s="2"/>
      <c r="L2268" s="2"/>
      <c r="M2268" s="2"/>
      <c r="N2268" s="2"/>
      <c r="O2268" s="2"/>
      <c r="P2268" s="2"/>
    </row>
    <row r="2269" spans="1:16" x14ac:dyDescent="0.4">
      <c r="A2269">
        <v>2010</v>
      </c>
      <c r="B2269" s="2" t="s">
        <v>381</v>
      </c>
      <c r="C2269" s="2" t="s">
        <v>708</v>
      </c>
      <c r="D2269" s="2" t="s">
        <v>7</v>
      </c>
      <c r="E2269" s="70" t="s">
        <v>26</v>
      </c>
      <c r="F2269" s="29">
        <v>907</v>
      </c>
      <c r="G2269" s="29">
        <v>562</v>
      </c>
      <c r="H2269" s="12">
        <v>345</v>
      </c>
      <c r="J2269" s="2"/>
      <c r="K2269" s="2"/>
      <c r="L2269" s="2"/>
      <c r="M2269" s="2"/>
      <c r="N2269" s="2"/>
      <c r="O2269" s="2"/>
      <c r="P2269" s="2"/>
    </row>
    <row r="2270" spans="1:16" x14ac:dyDescent="0.4">
      <c r="A2270">
        <v>2010</v>
      </c>
      <c r="B2270" s="2" t="s">
        <v>382</v>
      </c>
      <c r="C2270" s="2" t="s">
        <v>708</v>
      </c>
      <c r="D2270" s="2" t="s">
        <v>7</v>
      </c>
      <c r="E2270" s="70" t="s">
        <v>27</v>
      </c>
      <c r="F2270" s="29">
        <v>12</v>
      </c>
      <c r="G2270" s="29">
        <v>8</v>
      </c>
      <c r="H2270" s="12">
        <v>4</v>
      </c>
      <c r="J2270" s="2"/>
      <c r="K2270" s="2"/>
      <c r="L2270" s="2"/>
      <c r="M2270" s="2"/>
      <c r="N2270" s="2"/>
      <c r="O2270" s="2"/>
      <c r="P2270" s="2"/>
    </row>
    <row r="2271" spans="1:16" x14ac:dyDescent="0.4">
      <c r="A2271">
        <v>2010</v>
      </c>
      <c r="B2271" s="2" t="s">
        <v>383</v>
      </c>
      <c r="C2271" s="2" t="s">
        <v>709</v>
      </c>
      <c r="D2271" s="2" t="s">
        <v>29</v>
      </c>
      <c r="E2271" s="70" t="s">
        <v>28</v>
      </c>
      <c r="F2271" s="29">
        <v>204</v>
      </c>
      <c r="G2271" s="29">
        <v>121</v>
      </c>
      <c r="H2271" s="12">
        <v>83</v>
      </c>
      <c r="J2271" s="2"/>
      <c r="K2271" s="2"/>
      <c r="L2271" s="2"/>
      <c r="M2271" s="2"/>
      <c r="N2271" s="2"/>
      <c r="O2271" s="2"/>
      <c r="P2271" s="2"/>
    </row>
    <row r="2272" spans="1:16" x14ac:dyDescent="0.4">
      <c r="A2272">
        <v>2010</v>
      </c>
      <c r="B2272" s="2" t="s">
        <v>384</v>
      </c>
      <c r="C2272" s="2" t="s">
        <v>709</v>
      </c>
      <c r="D2272" s="2" t="s">
        <v>29</v>
      </c>
      <c r="E2272" s="70" t="s">
        <v>30</v>
      </c>
      <c r="F2272" s="29">
        <v>55</v>
      </c>
      <c r="G2272" s="29">
        <v>37</v>
      </c>
      <c r="H2272" s="12">
        <v>18</v>
      </c>
      <c r="J2272" s="2"/>
      <c r="K2272" s="2"/>
      <c r="L2272" s="2"/>
      <c r="M2272" s="2"/>
      <c r="N2272" s="2"/>
      <c r="O2272" s="2"/>
      <c r="P2272" s="2"/>
    </row>
    <row r="2273" spans="1:16" x14ac:dyDescent="0.4">
      <c r="A2273">
        <v>2010</v>
      </c>
      <c r="B2273" s="2" t="s">
        <v>385</v>
      </c>
      <c r="C2273" s="2" t="s">
        <v>709</v>
      </c>
      <c r="D2273" s="2" t="s">
        <v>29</v>
      </c>
      <c r="E2273" s="70" t="s">
        <v>31</v>
      </c>
      <c r="F2273" s="29">
        <v>40</v>
      </c>
      <c r="G2273" s="29">
        <v>29</v>
      </c>
      <c r="H2273" s="12">
        <v>11</v>
      </c>
      <c r="J2273" s="2"/>
      <c r="K2273" s="2"/>
      <c r="L2273" s="2"/>
      <c r="M2273" s="2"/>
      <c r="N2273" s="2"/>
      <c r="O2273" s="2"/>
      <c r="P2273" s="2"/>
    </row>
    <row r="2274" spans="1:16" x14ac:dyDescent="0.4">
      <c r="A2274">
        <v>2010</v>
      </c>
      <c r="B2274" s="2" t="s">
        <v>386</v>
      </c>
      <c r="C2274" s="2" t="s">
        <v>709</v>
      </c>
      <c r="D2274" s="2" t="s">
        <v>29</v>
      </c>
      <c r="E2274" s="70" t="s">
        <v>32</v>
      </c>
      <c r="F2274" s="29">
        <v>228</v>
      </c>
      <c r="G2274" s="29">
        <v>148</v>
      </c>
      <c r="H2274" s="12">
        <v>80</v>
      </c>
      <c r="J2274" s="2"/>
      <c r="K2274" s="2"/>
      <c r="L2274" s="2"/>
      <c r="M2274" s="2"/>
      <c r="N2274" s="2"/>
      <c r="O2274" s="2"/>
      <c r="P2274" s="2"/>
    </row>
    <row r="2275" spans="1:16" x14ac:dyDescent="0.4">
      <c r="A2275">
        <v>2010</v>
      </c>
      <c r="B2275" s="2" t="s">
        <v>387</v>
      </c>
      <c r="C2275" s="2" t="s">
        <v>709</v>
      </c>
      <c r="D2275" s="2" t="s">
        <v>29</v>
      </c>
      <c r="E2275" s="70" t="s">
        <v>33</v>
      </c>
      <c r="F2275" s="29">
        <v>45</v>
      </c>
      <c r="G2275" s="29">
        <v>33</v>
      </c>
      <c r="H2275" s="12">
        <v>12</v>
      </c>
      <c r="J2275" s="2"/>
      <c r="K2275" s="2"/>
      <c r="L2275" s="2"/>
      <c r="M2275" s="2"/>
      <c r="N2275" s="2"/>
      <c r="O2275" s="2"/>
      <c r="P2275" s="2"/>
    </row>
    <row r="2276" spans="1:16" x14ac:dyDescent="0.4">
      <c r="A2276">
        <v>2010</v>
      </c>
      <c r="B2276" s="2" t="s">
        <v>388</v>
      </c>
      <c r="C2276" s="2" t="s">
        <v>709</v>
      </c>
      <c r="D2276" s="2" t="s">
        <v>29</v>
      </c>
      <c r="E2276" s="70" t="s">
        <v>34</v>
      </c>
      <c r="F2276" s="29">
        <v>62</v>
      </c>
      <c r="G2276" s="29">
        <v>37</v>
      </c>
      <c r="H2276" s="12">
        <v>25</v>
      </c>
      <c r="J2276" s="2"/>
      <c r="K2276" s="2"/>
      <c r="L2276" s="2"/>
      <c r="M2276" s="2"/>
      <c r="N2276" s="2"/>
      <c r="O2276" s="2"/>
      <c r="P2276" s="2"/>
    </row>
    <row r="2277" spans="1:16" x14ac:dyDescent="0.4">
      <c r="A2277">
        <v>2010</v>
      </c>
      <c r="B2277" s="2" t="s">
        <v>389</v>
      </c>
      <c r="C2277" s="2" t="s">
        <v>709</v>
      </c>
      <c r="D2277" s="2" t="s">
        <v>29</v>
      </c>
      <c r="E2277" s="70" t="s">
        <v>35</v>
      </c>
      <c r="F2277" s="29">
        <v>1131</v>
      </c>
      <c r="G2277" s="29">
        <v>684</v>
      </c>
      <c r="H2277" s="12">
        <v>447</v>
      </c>
      <c r="J2277" s="2"/>
      <c r="K2277" s="2"/>
      <c r="L2277" s="2"/>
      <c r="M2277" s="2"/>
      <c r="N2277" s="2"/>
      <c r="O2277" s="2"/>
      <c r="P2277" s="2"/>
    </row>
    <row r="2278" spans="1:16" x14ac:dyDescent="0.4">
      <c r="A2278">
        <v>2010</v>
      </c>
      <c r="B2278" s="2" t="s">
        <v>390</v>
      </c>
      <c r="C2278" s="2" t="s">
        <v>710</v>
      </c>
      <c r="D2278" s="2" t="s">
        <v>37</v>
      </c>
      <c r="E2278" s="70" t="s">
        <v>36</v>
      </c>
      <c r="F2278" s="29">
        <v>191</v>
      </c>
      <c r="G2278" s="29">
        <v>112</v>
      </c>
      <c r="H2278" s="12">
        <v>79</v>
      </c>
      <c r="J2278" s="2"/>
      <c r="K2278" s="2"/>
      <c r="L2278" s="2"/>
      <c r="M2278" s="2"/>
      <c r="N2278" s="2"/>
      <c r="O2278" s="2"/>
      <c r="P2278" s="2"/>
    </row>
    <row r="2279" spans="1:16" x14ac:dyDescent="0.4">
      <c r="A2279">
        <v>2010</v>
      </c>
      <c r="B2279" s="2" t="s">
        <v>391</v>
      </c>
      <c r="C2279" s="2" t="s">
        <v>710</v>
      </c>
      <c r="D2279" s="2" t="s">
        <v>37</v>
      </c>
      <c r="E2279" s="70" t="s">
        <v>38</v>
      </c>
      <c r="F2279" s="29">
        <v>65</v>
      </c>
      <c r="G2279" s="29">
        <v>40</v>
      </c>
      <c r="H2279" s="12">
        <v>25</v>
      </c>
      <c r="J2279" s="2"/>
      <c r="K2279" s="2"/>
      <c r="L2279" s="2"/>
      <c r="M2279" s="2"/>
      <c r="N2279" s="2"/>
      <c r="O2279" s="2"/>
      <c r="P2279" s="2"/>
    </row>
    <row r="2280" spans="1:16" x14ac:dyDescent="0.4">
      <c r="A2280">
        <v>2010</v>
      </c>
      <c r="B2280" s="2" t="s">
        <v>392</v>
      </c>
      <c r="C2280" s="2" t="s">
        <v>710</v>
      </c>
      <c r="D2280" s="2" t="s">
        <v>37</v>
      </c>
      <c r="E2280" s="70" t="s">
        <v>39</v>
      </c>
      <c r="F2280" s="29">
        <v>251</v>
      </c>
      <c r="G2280" s="29">
        <v>177</v>
      </c>
      <c r="H2280" s="12">
        <v>74</v>
      </c>
      <c r="J2280" s="2"/>
      <c r="K2280" s="2"/>
      <c r="L2280" s="2"/>
      <c r="M2280" s="2"/>
      <c r="N2280" s="2"/>
      <c r="O2280" s="2"/>
      <c r="P2280" s="2"/>
    </row>
    <row r="2281" spans="1:16" x14ac:dyDescent="0.4">
      <c r="A2281">
        <v>2010</v>
      </c>
      <c r="B2281" s="2" t="s">
        <v>393</v>
      </c>
      <c r="C2281" s="2" t="s">
        <v>710</v>
      </c>
      <c r="D2281" s="2" t="s">
        <v>37</v>
      </c>
      <c r="E2281" s="70" t="s">
        <v>40</v>
      </c>
      <c r="F2281" s="29">
        <v>4527</v>
      </c>
      <c r="G2281" s="29">
        <v>2651</v>
      </c>
      <c r="H2281" s="12">
        <v>1876</v>
      </c>
      <c r="J2281" s="2"/>
      <c r="K2281" s="2"/>
      <c r="L2281" s="2"/>
      <c r="M2281" s="2"/>
      <c r="N2281" s="2"/>
      <c r="O2281" s="2"/>
      <c r="P2281" s="2"/>
    </row>
    <row r="2282" spans="1:16" x14ac:dyDescent="0.4">
      <c r="A2282">
        <v>2010</v>
      </c>
      <c r="B2282" s="2" t="s">
        <v>394</v>
      </c>
      <c r="C2282" s="2" t="s">
        <v>710</v>
      </c>
      <c r="D2282" s="2" t="s">
        <v>37</v>
      </c>
      <c r="E2282" s="70" t="s">
        <v>41</v>
      </c>
      <c r="F2282" s="29">
        <v>116</v>
      </c>
      <c r="G2282" s="29">
        <v>83</v>
      </c>
      <c r="H2282" s="12">
        <v>33</v>
      </c>
      <c r="J2282" s="2"/>
      <c r="K2282" s="2"/>
      <c r="L2282" s="2"/>
      <c r="M2282" s="2"/>
      <c r="N2282" s="2"/>
      <c r="O2282" s="2"/>
      <c r="P2282" s="2"/>
    </row>
    <row r="2283" spans="1:16" x14ac:dyDescent="0.4">
      <c r="A2283">
        <v>2010</v>
      </c>
      <c r="B2283" s="2" t="s">
        <v>395</v>
      </c>
      <c r="C2283" s="2" t="s">
        <v>710</v>
      </c>
      <c r="D2283" s="2" t="s">
        <v>37</v>
      </c>
      <c r="E2283" s="70" t="s">
        <v>42</v>
      </c>
      <c r="F2283" s="29">
        <v>917</v>
      </c>
      <c r="G2283" s="29">
        <v>563</v>
      </c>
      <c r="H2283" s="12">
        <v>354</v>
      </c>
      <c r="J2283" s="2"/>
      <c r="K2283" s="2"/>
      <c r="L2283" s="2"/>
      <c r="M2283" s="2"/>
      <c r="N2283" s="2"/>
      <c r="O2283" s="2"/>
      <c r="P2283" s="2"/>
    </row>
    <row r="2284" spans="1:16" x14ac:dyDescent="0.4">
      <c r="A2284">
        <v>2010</v>
      </c>
      <c r="B2284" s="2" t="s">
        <v>396</v>
      </c>
      <c r="C2284" s="2" t="s">
        <v>710</v>
      </c>
      <c r="D2284" s="2" t="s">
        <v>37</v>
      </c>
      <c r="E2284" s="70" t="s">
        <v>43</v>
      </c>
      <c r="F2284" s="29">
        <v>153</v>
      </c>
      <c r="G2284" s="29">
        <v>94</v>
      </c>
      <c r="H2284" s="12">
        <v>59</v>
      </c>
      <c r="J2284" s="2"/>
      <c r="K2284" s="2"/>
      <c r="L2284" s="2"/>
      <c r="M2284" s="2"/>
      <c r="N2284" s="2"/>
      <c r="O2284" s="2"/>
      <c r="P2284" s="2"/>
    </row>
    <row r="2285" spans="1:16" x14ac:dyDescent="0.4">
      <c r="A2285">
        <v>2010</v>
      </c>
      <c r="B2285" s="2" t="s">
        <v>397</v>
      </c>
      <c r="C2285" s="2" t="s">
        <v>710</v>
      </c>
      <c r="D2285" s="2" t="s">
        <v>37</v>
      </c>
      <c r="E2285" s="70" t="s">
        <v>44</v>
      </c>
      <c r="F2285" s="29">
        <v>383</v>
      </c>
      <c r="G2285" s="29">
        <v>245</v>
      </c>
      <c r="H2285" s="12">
        <v>138</v>
      </c>
      <c r="J2285" s="2"/>
      <c r="K2285" s="2"/>
      <c r="L2285" s="2"/>
      <c r="M2285" s="2"/>
      <c r="N2285" s="2"/>
      <c r="O2285" s="2"/>
      <c r="P2285" s="2"/>
    </row>
    <row r="2286" spans="1:16" x14ac:dyDescent="0.4">
      <c r="A2286">
        <v>2010</v>
      </c>
      <c r="B2286" s="2" t="s">
        <v>398</v>
      </c>
      <c r="C2286" s="2" t="s">
        <v>710</v>
      </c>
      <c r="D2286" s="2" t="s">
        <v>37</v>
      </c>
      <c r="E2286" s="70" t="s">
        <v>45</v>
      </c>
      <c r="F2286" s="29">
        <v>322</v>
      </c>
      <c r="G2286" s="29">
        <v>191</v>
      </c>
      <c r="H2286" s="12">
        <v>131</v>
      </c>
      <c r="J2286" s="2"/>
      <c r="K2286" s="2"/>
      <c r="L2286" s="2"/>
      <c r="M2286" s="2"/>
      <c r="N2286" s="2"/>
      <c r="O2286" s="2"/>
      <c r="P2286" s="2"/>
    </row>
    <row r="2287" spans="1:16" x14ac:dyDescent="0.4">
      <c r="A2287">
        <v>2010</v>
      </c>
      <c r="B2287" s="2" t="s">
        <v>399</v>
      </c>
      <c r="C2287" s="2" t="s">
        <v>710</v>
      </c>
      <c r="D2287" s="2" t="s">
        <v>37</v>
      </c>
      <c r="E2287" s="70" t="s">
        <v>46</v>
      </c>
      <c r="F2287" s="29">
        <v>32</v>
      </c>
      <c r="G2287" s="29">
        <v>23</v>
      </c>
      <c r="H2287" s="12">
        <v>9</v>
      </c>
      <c r="J2287" s="2"/>
      <c r="K2287" s="2"/>
      <c r="L2287" s="2"/>
      <c r="M2287" s="2"/>
      <c r="N2287" s="2"/>
      <c r="O2287" s="2"/>
      <c r="P2287" s="2"/>
    </row>
    <row r="2288" spans="1:16" x14ac:dyDescent="0.4">
      <c r="A2288">
        <v>2010</v>
      </c>
      <c r="B2288" s="2" t="s">
        <v>400</v>
      </c>
      <c r="C2288" s="2" t="s">
        <v>710</v>
      </c>
      <c r="D2288" s="2" t="s">
        <v>37</v>
      </c>
      <c r="E2288" s="70" t="s">
        <v>47</v>
      </c>
      <c r="F2288" s="29">
        <v>76</v>
      </c>
      <c r="G2288" s="29">
        <v>47</v>
      </c>
      <c r="H2288" s="12">
        <v>29</v>
      </c>
      <c r="J2288" s="2"/>
      <c r="K2288" s="2"/>
      <c r="L2288" s="2"/>
      <c r="M2288" s="2"/>
      <c r="N2288" s="2"/>
      <c r="O2288" s="2"/>
      <c r="P2288" s="2"/>
    </row>
    <row r="2289" spans="1:16" x14ac:dyDescent="0.4">
      <c r="A2289">
        <v>2010</v>
      </c>
      <c r="B2289" s="2" t="s">
        <v>401</v>
      </c>
      <c r="C2289" s="2" t="s">
        <v>710</v>
      </c>
      <c r="D2289" s="2" t="s">
        <v>37</v>
      </c>
      <c r="E2289" s="70" t="s">
        <v>48</v>
      </c>
      <c r="F2289" s="29">
        <v>88</v>
      </c>
      <c r="G2289" s="29">
        <v>61</v>
      </c>
      <c r="H2289" s="12">
        <v>27</v>
      </c>
      <c r="J2289" s="2"/>
      <c r="K2289" s="2"/>
      <c r="L2289" s="2"/>
      <c r="M2289" s="2"/>
      <c r="N2289" s="2"/>
      <c r="O2289" s="2"/>
      <c r="P2289" s="2"/>
    </row>
    <row r="2290" spans="1:16" x14ac:dyDescent="0.4">
      <c r="A2290">
        <v>2010</v>
      </c>
      <c r="B2290" s="2" t="s">
        <v>402</v>
      </c>
      <c r="C2290" s="2" t="s">
        <v>710</v>
      </c>
      <c r="D2290" s="2" t="s">
        <v>37</v>
      </c>
      <c r="E2290" s="70" t="s">
        <v>49</v>
      </c>
      <c r="F2290" s="29">
        <v>618</v>
      </c>
      <c r="G2290" s="29">
        <v>380</v>
      </c>
      <c r="H2290" s="12">
        <v>238</v>
      </c>
      <c r="J2290" s="2"/>
      <c r="K2290" s="2"/>
      <c r="L2290" s="2"/>
      <c r="M2290" s="2"/>
      <c r="N2290" s="2"/>
      <c r="O2290" s="2"/>
      <c r="P2290" s="2"/>
    </row>
    <row r="2291" spans="1:16" x14ac:dyDescent="0.4">
      <c r="A2291">
        <v>2010</v>
      </c>
      <c r="B2291" s="2" t="s">
        <v>403</v>
      </c>
      <c r="C2291" s="2" t="s">
        <v>710</v>
      </c>
      <c r="D2291" s="2" t="s">
        <v>37</v>
      </c>
      <c r="E2291" s="70" t="s">
        <v>50</v>
      </c>
      <c r="F2291" s="29">
        <v>139</v>
      </c>
      <c r="G2291" s="29">
        <v>95</v>
      </c>
      <c r="H2291" s="12">
        <v>44</v>
      </c>
      <c r="J2291" s="2"/>
      <c r="K2291" s="2"/>
      <c r="L2291" s="2"/>
      <c r="M2291" s="2"/>
      <c r="N2291" s="2"/>
      <c r="O2291" s="2"/>
      <c r="P2291" s="2"/>
    </row>
    <row r="2292" spans="1:16" x14ac:dyDescent="0.4">
      <c r="A2292">
        <v>2010</v>
      </c>
      <c r="B2292" s="2" t="s">
        <v>404</v>
      </c>
      <c r="C2292" s="2" t="s">
        <v>710</v>
      </c>
      <c r="D2292" s="2" t="s">
        <v>37</v>
      </c>
      <c r="E2292" s="70" t="s">
        <v>51</v>
      </c>
      <c r="F2292" s="29">
        <v>422</v>
      </c>
      <c r="G2292" s="29">
        <v>276</v>
      </c>
      <c r="H2292" s="12">
        <v>146</v>
      </c>
      <c r="J2292" s="2"/>
      <c r="K2292" s="2"/>
      <c r="L2292" s="2"/>
      <c r="M2292" s="2"/>
      <c r="N2292" s="2"/>
      <c r="O2292" s="2"/>
      <c r="P2292" s="2"/>
    </row>
    <row r="2293" spans="1:16" x14ac:dyDescent="0.4">
      <c r="A2293">
        <v>2010</v>
      </c>
      <c r="B2293" s="2" t="s">
        <v>405</v>
      </c>
      <c r="C2293" s="2" t="s">
        <v>710</v>
      </c>
      <c r="D2293" s="2" t="s">
        <v>37</v>
      </c>
      <c r="E2293" s="70" t="s">
        <v>52</v>
      </c>
      <c r="F2293" s="29">
        <v>31</v>
      </c>
      <c r="G2293" s="29">
        <v>22</v>
      </c>
      <c r="H2293" s="12">
        <v>9</v>
      </c>
      <c r="J2293" s="2"/>
      <c r="K2293" s="2"/>
      <c r="L2293" s="2"/>
      <c r="M2293" s="2"/>
      <c r="N2293" s="2"/>
      <c r="O2293" s="2"/>
      <c r="P2293" s="2"/>
    </row>
    <row r="2294" spans="1:16" x14ac:dyDescent="0.4">
      <c r="A2294">
        <v>2010</v>
      </c>
      <c r="B2294" s="2" t="s">
        <v>406</v>
      </c>
      <c r="C2294" s="2" t="s">
        <v>710</v>
      </c>
      <c r="D2294" s="2" t="s">
        <v>37</v>
      </c>
      <c r="E2294" s="70" t="s">
        <v>53</v>
      </c>
      <c r="F2294" s="29">
        <v>58</v>
      </c>
      <c r="G2294" s="29">
        <v>39</v>
      </c>
      <c r="H2294" s="12">
        <v>19</v>
      </c>
      <c r="J2294" s="2"/>
      <c r="K2294" s="2"/>
      <c r="L2294" s="2"/>
      <c r="M2294" s="2"/>
      <c r="N2294" s="2"/>
      <c r="O2294" s="2"/>
      <c r="P2294" s="2"/>
    </row>
    <row r="2295" spans="1:16" x14ac:dyDescent="0.4">
      <c r="A2295">
        <v>2010</v>
      </c>
      <c r="B2295" s="2" t="s">
        <v>407</v>
      </c>
      <c r="C2295" s="2" t="s">
        <v>710</v>
      </c>
      <c r="D2295" s="2" t="s">
        <v>37</v>
      </c>
      <c r="E2295" s="70" t="s">
        <v>54</v>
      </c>
      <c r="F2295" s="29">
        <v>536</v>
      </c>
      <c r="G2295" s="29">
        <v>360</v>
      </c>
      <c r="H2295" s="12">
        <v>176</v>
      </c>
      <c r="J2295" s="2"/>
      <c r="K2295" s="2"/>
      <c r="L2295" s="2"/>
      <c r="M2295" s="2"/>
      <c r="N2295" s="2"/>
      <c r="O2295" s="2"/>
      <c r="P2295" s="2"/>
    </row>
    <row r="2296" spans="1:16" x14ac:dyDescent="0.4">
      <c r="A2296">
        <v>2010</v>
      </c>
      <c r="B2296" s="2" t="s">
        <v>408</v>
      </c>
      <c r="C2296" s="2" t="s">
        <v>711</v>
      </c>
      <c r="D2296" s="2" t="s">
        <v>56</v>
      </c>
      <c r="E2296" s="70" t="s">
        <v>55</v>
      </c>
      <c r="F2296" s="29">
        <v>119</v>
      </c>
      <c r="G2296" s="29">
        <v>86</v>
      </c>
      <c r="H2296" s="12">
        <v>33</v>
      </c>
      <c r="J2296" s="2"/>
      <c r="K2296" s="2"/>
      <c r="L2296" s="2"/>
      <c r="M2296" s="2"/>
      <c r="N2296" s="2"/>
      <c r="O2296" s="2"/>
      <c r="P2296" s="2"/>
    </row>
    <row r="2297" spans="1:16" x14ac:dyDescent="0.4">
      <c r="A2297">
        <v>2010</v>
      </c>
      <c r="B2297" s="2" t="s">
        <v>409</v>
      </c>
      <c r="C2297" s="2" t="s">
        <v>711</v>
      </c>
      <c r="D2297" s="2" t="s">
        <v>56</v>
      </c>
      <c r="E2297" s="70" t="s">
        <v>57</v>
      </c>
      <c r="F2297" s="29">
        <v>47</v>
      </c>
      <c r="G2297" s="29">
        <v>34</v>
      </c>
      <c r="H2297" s="12">
        <v>13</v>
      </c>
      <c r="J2297" s="2"/>
      <c r="K2297" s="2"/>
      <c r="L2297" s="2"/>
      <c r="M2297" s="2"/>
      <c r="N2297" s="2"/>
      <c r="O2297" s="2"/>
      <c r="P2297" s="2"/>
    </row>
    <row r="2298" spans="1:16" x14ac:dyDescent="0.4">
      <c r="A2298">
        <v>2010</v>
      </c>
      <c r="B2298" s="2" t="s">
        <v>410</v>
      </c>
      <c r="C2298" s="2" t="s">
        <v>711</v>
      </c>
      <c r="D2298" s="2" t="s">
        <v>56</v>
      </c>
      <c r="E2298" s="70" t="s">
        <v>58</v>
      </c>
      <c r="F2298" s="29">
        <v>265</v>
      </c>
      <c r="G2298" s="29">
        <v>191</v>
      </c>
      <c r="H2298" s="12">
        <v>74</v>
      </c>
      <c r="J2298" s="2"/>
      <c r="K2298" s="2"/>
      <c r="L2298" s="2"/>
      <c r="M2298" s="2"/>
      <c r="N2298" s="2"/>
      <c r="O2298" s="2"/>
      <c r="P2298" s="2"/>
    </row>
    <row r="2299" spans="1:16" x14ac:dyDescent="0.4">
      <c r="A2299">
        <v>2010</v>
      </c>
      <c r="B2299" s="2" t="s">
        <v>411</v>
      </c>
      <c r="C2299" s="2" t="s">
        <v>711</v>
      </c>
      <c r="D2299" s="2" t="s">
        <v>56</v>
      </c>
      <c r="E2299" s="70" t="s">
        <v>59</v>
      </c>
      <c r="F2299" s="29">
        <v>46</v>
      </c>
      <c r="G2299" s="29">
        <v>31</v>
      </c>
      <c r="H2299" s="12">
        <v>15</v>
      </c>
      <c r="J2299" s="2"/>
      <c r="K2299" s="2"/>
      <c r="L2299" s="2"/>
      <c r="M2299" s="2"/>
      <c r="N2299" s="2"/>
      <c r="O2299" s="2"/>
      <c r="P2299" s="2"/>
    </row>
    <row r="2300" spans="1:16" x14ac:dyDescent="0.4">
      <c r="A2300">
        <v>2010</v>
      </c>
      <c r="B2300" s="2" t="s">
        <v>412</v>
      </c>
      <c r="C2300" s="2" t="s">
        <v>711</v>
      </c>
      <c r="D2300" s="2" t="s">
        <v>56</v>
      </c>
      <c r="E2300" s="70" t="s">
        <v>60</v>
      </c>
      <c r="F2300" s="29">
        <v>2180</v>
      </c>
      <c r="G2300" s="29">
        <v>1349</v>
      </c>
      <c r="H2300" s="12">
        <v>831</v>
      </c>
      <c r="J2300" s="2"/>
      <c r="K2300" s="2"/>
      <c r="L2300" s="2"/>
      <c r="M2300" s="2"/>
      <c r="N2300" s="2"/>
      <c r="O2300" s="2"/>
      <c r="P2300" s="2"/>
    </row>
    <row r="2301" spans="1:16" x14ac:dyDescent="0.4">
      <c r="A2301">
        <v>2010</v>
      </c>
      <c r="B2301" s="2" t="s">
        <v>413</v>
      </c>
      <c r="C2301" s="2" t="s">
        <v>711</v>
      </c>
      <c r="D2301" s="2" t="s">
        <v>56</v>
      </c>
      <c r="E2301" s="70" t="s">
        <v>36</v>
      </c>
      <c r="F2301" s="29">
        <v>156</v>
      </c>
      <c r="G2301" s="29">
        <v>97</v>
      </c>
      <c r="H2301" s="12">
        <v>59</v>
      </c>
      <c r="J2301" s="2"/>
      <c r="K2301" s="2"/>
      <c r="L2301" s="2"/>
      <c r="M2301" s="2"/>
      <c r="N2301" s="2"/>
      <c r="O2301" s="2"/>
      <c r="P2301" s="2"/>
    </row>
    <row r="2302" spans="1:16" x14ac:dyDescent="0.4">
      <c r="A2302">
        <v>2010</v>
      </c>
      <c r="B2302" s="2" t="s">
        <v>414</v>
      </c>
      <c r="C2302" s="2" t="s">
        <v>711</v>
      </c>
      <c r="D2302" s="2" t="s">
        <v>56</v>
      </c>
      <c r="E2302" s="70" t="s">
        <v>61</v>
      </c>
      <c r="F2302" s="29">
        <v>78</v>
      </c>
      <c r="G2302" s="29">
        <v>62</v>
      </c>
      <c r="H2302" s="12">
        <v>16</v>
      </c>
      <c r="J2302" s="2"/>
      <c r="K2302" s="2"/>
      <c r="L2302" s="2"/>
      <c r="M2302" s="2"/>
      <c r="N2302" s="2"/>
      <c r="O2302" s="2"/>
      <c r="P2302" s="2"/>
    </row>
    <row r="2303" spans="1:16" x14ac:dyDescent="0.4">
      <c r="A2303">
        <v>2010</v>
      </c>
      <c r="B2303" s="2" t="s">
        <v>415</v>
      </c>
      <c r="C2303" s="2" t="s">
        <v>711</v>
      </c>
      <c r="D2303" s="2" t="s">
        <v>56</v>
      </c>
      <c r="E2303" s="70" t="s">
        <v>62</v>
      </c>
      <c r="F2303" s="29">
        <v>189</v>
      </c>
      <c r="G2303" s="29">
        <v>112</v>
      </c>
      <c r="H2303" s="12">
        <v>77</v>
      </c>
      <c r="J2303" s="2"/>
      <c r="K2303" s="2"/>
      <c r="L2303" s="2"/>
      <c r="M2303" s="2"/>
      <c r="N2303" s="2"/>
      <c r="O2303" s="2"/>
      <c r="P2303" s="2"/>
    </row>
    <row r="2304" spans="1:16" x14ac:dyDescent="0.4">
      <c r="A2304">
        <v>2010</v>
      </c>
      <c r="B2304" s="2" t="s">
        <v>416</v>
      </c>
      <c r="C2304" s="2" t="s">
        <v>711</v>
      </c>
      <c r="D2304" s="2" t="s">
        <v>56</v>
      </c>
      <c r="E2304" s="70" t="s">
        <v>63</v>
      </c>
      <c r="F2304" s="29">
        <v>98</v>
      </c>
      <c r="G2304" s="29">
        <v>68</v>
      </c>
      <c r="H2304" s="12">
        <v>30</v>
      </c>
      <c r="J2304" s="2"/>
      <c r="K2304" s="2"/>
      <c r="L2304" s="2"/>
      <c r="M2304" s="2"/>
      <c r="N2304" s="2"/>
      <c r="O2304" s="2"/>
      <c r="P2304" s="2"/>
    </row>
    <row r="2305" spans="1:16" x14ac:dyDescent="0.4">
      <c r="A2305">
        <v>2010</v>
      </c>
      <c r="B2305" s="2" t="s">
        <v>417</v>
      </c>
      <c r="C2305" s="2" t="s">
        <v>711</v>
      </c>
      <c r="D2305" s="2" t="s">
        <v>56</v>
      </c>
      <c r="E2305" s="70" t="s">
        <v>64</v>
      </c>
      <c r="F2305" s="29">
        <v>181</v>
      </c>
      <c r="G2305" s="29">
        <v>116</v>
      </c>
      <c r="H2305" s="12">
        <v>65</v>
      </c>
      <c r="J2305" s="2"/>
      <c r="K2305" s="2"/>
      <c r="L2305" s="2"/>
      <c r="M2305" s="2"/>
      <c r="N2305" s="2"/>
      <c r="O2305" s="2"/>
      <c r="P2305" s="2"/>
    </row>
    <row r="2306" spans="1:16" x14ac:dyDescent="0.4">
      <c r="A2306">
        <v>2010</v>
      </c>
      <c r="B2306" s="2" t="s">
        <v>418</v>
      </c>
      <c r="C2306" s="2" t="s">
        <v>711</v>
      </c>
      <c r="D2306" s="2" t="s">
        <v>56</v>
      </c>
      <c r="E2306" s="70" t="s">
        <v>65</v>
      </c>
      <c r="F2306" s="29">
        <v>120</v>
      </c>
      <c r="G2306" s="29">
        <v>84</v>
      </c>
      <c r="H2306" s="12">
        <v>36</v>
      </c>
      <c r="J2306" s="2"/>
      <c r="K2306" s="2"/>
      <c r="L2306" s="2"/>
      <c r="M2306" s="2"/>
      <c r="N2306" s="2"/>
      <c r="O2306" s="2"/>
      <c r="P2306" s="2"/>
    </row>
    <row r="2307" spans="1:16" x14ac:dyDescent="0.4">
      <c r="A2307">
        <v>2010</v>
      </c>
      <c r="B2307" s="2" t="s">
        <v>419</v>
      </c>
      <c r="C2307" s="2" t="s">
        <v>711</v>
      </c>
      <c r="D2307" s="2" t="s">
        <v>56</v>
      </c>
      <c r="E2307" s="70" t="s">
        <v>66</v>
      </c>
      <c r="F2307" s="29">
        <v>26</v>
      </c>
      <c r="G2307" s="29">
        <v>22</v>
      </c>
      <c r="H2307" s="12">
        <v>4</v>
      </c>
      <c r="J2307" s="2"/>
      <c r="K2307" s="2"/>
      <c r="L2307" s="2"/>
      <c r="M2307" s="2"/>
      <c r="N2307" s="2"/>
      <c r="O2307" s="2"/>
      <c r="P2307" s="2"/>
    </row>
    <row r="2308" spans="1:16" x14ac:dyDescent="0.4">
      <c r="A2308">
        <v>2010</v>
      </c>
      <c r="B2308" s="2" t="s">
        <v>420</v>
      </c>
      <c r="C2308" s="2" t="s">
        <v>712</v>
      </c>
      <c r="D2308" s="2" t="s">
        <v>68</v>
      </c>
      <c r="E2308" s="70" t="s">
        <v>67</v>
      </c>
      <c r="F2308" s="29">
        <v>3860</v>
      </c>
      <c r="G2308" s="29">
        <v>2455</v>
      </c>
      <c r="H2308" s="12">
        <v>1405</v>
      </c>
      <c r="J2308" s="2"/>
      <c r="K2308" s="2"/>
      <c r="L2308" s="2"/>
      <c r="M2308" s="2"/>
      <c r="N2308" s="2"/>
      <c r="O2308" s="2"/>
      <c r="P2308" s="2"/>
    </row>
    <row r="2309" spans="1:16" x14ac:dyDescent="0.4">
      <c r="A2309">
        <v>2010</v>
      </c>
      <c r="B2309" s="2" t="s">
        <v>421</v>
      </c>
      <c r="C2309" s="2" t="s">
        <v>712</v>
      </c>
      <c r="D2309" s="2" t="s">
        <v>68</v>
      </c>
      <c r="E2309" s="70" t="s">
        <v>69</v>
      </c>
      <c r="F2309" s="29">
        <v>185</v>
      </c>
      <c r="G2309" s="29">
        <v>121</v>
      </c>
      <c r="H2309" s="12">
        <v>64</v>
      </c>
      <c r="J2309" s="2"/>
      <c r="K2309" s="2"/>
      <c r="L2309" s="2"/>
      <c r="M2309" s="2"/>
      <c r="N2309" s="2"/>
      <c r="O2309" s="2"/>
      <c r="P2309" s="2"/>
    </row>
    <row r="2310" spans="1:16" x14ac:dyDescent="0.4">
      <c r="A2310">
        <v>2010</v>
      </c>
      <c r="B2310" s="2" t="s">
        <v>422</v>
      </c>
      <c r="C2310" s="2" t="s">
        <v>712</v>
      </c>
      <c r="D2310" s="2" t="s">
        <v>68</v>
      </c>
      <c r="E2310" s="70" t="s">
        <v>70</v>
      </c>
      <c r="F2310" s="29">
        <v>65</v>
      </c>
      <c r="G2310" s="29">
        <v>47</v>
      </c>
      <c r="H2310" s="12">
        <v>18</v>
      </c>
      <c r="J2310" s="2"/>
      <c r="K2310" s="2"/>
      <c r="L2310" s="2"/>
      <c r="M2310" s="2"/>
      <c r="N2310" s="2"/>
      <c r="O2310" s="2"/>
      <c r="P2310" s="2"/>
    </row>
    <row r="2311" spans="1:16" x14ac:dyDescent="0.4">
      <c r="A2311">
        <v>2010</v>
      </c>
      <c r="B2311" s="2" t="s">
        <v>423</v>
      </c>
      <c r="C2311" s="2" t="s">
        <v>712</v>
      </c>
      <c r="D2311" s="2" t="s">
        <v>68</v>
      </c>
      <c r="E2311" s="70" t="s">
        <v>71</v>
      </c>
      <c r="F2311" s="29">
        <v>45</v>
      </c>
      <c r="G2311" s="29">
        <v>26</v>
      </c>
      <c r="H2311" s="12">
        <v>19</v>
      </c>
      <c r="J2311" s="2"/>
      <c r="K2311" s="2"/>
      <c r="L2311" s="2"/>
      <c r="M2311" s="2"/>
      <c r="N2311" s="2"/>
      <c r="O2311" s="2"/>
      <c r="P2311" s="2"/>
    </row>
    <row r="2312" spans="1:16" x14ac:dyDescent="0.4">
      <c r="A2312">
        <v>2010</v>
      </c>
      <c r="B2312" s="2" t="s">
        <v>424</v>
      </c>
      <c r="C2312" s="2" t="s">
        <v>712</v>
      </c>
      <c r="D2312" s="2" t="s">
        <v>68</v>
      </c>
      <c r="E2312" s="70" t="s">
        <v>72</v>
      </c>
      <c r="F2312" s="29">
        <v>2523</v>
      </c>
      <c r="G2312" s="29">
        <v>1555</v>
      </c>
      <c r="H2312" s="12">
        <v>968</v>
      </c>
      <c r="J2312" s="2"/>
      <c r="K2312" s="2"/>
      <c r="L2312" s="2"/>
      <c r="M2312" s="2"/>
      <c r="N2312" s="2"/>
      <c r="O2312" s="2"/>
      <c r="P2312" s="2"/>
    </row>
    <row r="2313" spans="1:16" x14ac:dyDescent="0.4">
      <c r="A2313">
        <v>2010</v>
      </c>
      <c r="B2313" s="2" t="s">
        <v>425</v>
      </c>
      <c r="C2313" s="2" t="s">
        <v>712</v>
      </c>
      <c r="D2313" s="2" t="s">
        <v>68</v>
      </c>
      <c r="E2313" s="70" t="s">
        <v>73</v>
      </c>
      <c r="F2313" s="29">
        <v>41</v>
      </c>
      <c r="G2313" s="29">
        <v>27</v>
      </c>
      <c r="H2313" s="12">
        <v>14</v>
      </c>
      <c r="J2313" s="2"/>
      <c r="K2313" s="2"/>
      <c r="L2313" s="2"/>
      <c r="M2313" s="2"/>
      <c r="N2313" s="2"/>
      <c r="O2313" s="2"/>
      <c r="P2313" s="2"/>
    </row>
    <row r="2314" spans="1:16" x14ac:dyDescent="0.4">
      <c r="A2314">
        <v>2010</v>
      </c>
      <c r="B2314" s="2" t="s">
        <v>426</v>
      </c>
      <c r="C2314" s="2" t="s">
        <v>712</v>
      </c>
      <c r="D2314" s="2" t="s">
        <v>68</v>
      </c>
      <c r="E2314" s="70" t="s">
        <v>74</v>
      </c>
      <c r="F2314" s="29">
        <v>345</v>
      </c>
      <c r="G2314" s="29">
        <v>208</v>
      </c>
      <c r="H2314" s="12">
        <v>137</v>
      </c>
      <c r="J2314" s="2"/>
      <c r="K2314" s="2"/>
      <c r="L2314" s="2"/>
      <c r="M2314" s="2"/>
      <c r="N2314" s="2"/>
      <c r="O2314" s="2"/>
      <c r="P2314" s="2"/>
    </row>
    <row r="2315" spans="1:16" x14ac:dyDescent="0.4">
      <c r="A2315">
        <v>2010</v>
      </c>
      <c r="B2315" s="2" t="s">
        <v>427</v>
      </c>
      <c r="C2315" s="2" t="s">
        <v>712</v>
      </c>
      <c r="D2315" s="2" t="s">
        <v>68</v>
      </c>
      <c r="E2315" s="70" t="s">
        <v>75</v>
      </c>
      <c r="F2315" s="29">
        <v>36</v>
      </c>
      <c r="G2315" s="29">
        <v>25</v>
      </c>
      <c r="H2315" s="12">
        <v>11</v>
      </c>
      <c r="J2315" s="2"/>
      <c r="K2315" s="2"/>
      <c r="L2315" s="2"/>
      <c r="M2315" s="2"/>
      <c r="N2315" s="2"/>
      <c r="O2315" s="2"/>
      <c r="P2315" s="2"/>
    </row>
    <row r="2316" spans="1:16" x14ac:dyDescent="0.4">
      <c r="A2316">
        <v>2010</v>
      </c>
      <c r="B2316" s="2" t="s">
        <v>428</v>
      </c>
      <c r="C2316" s="2" t="s">
        <v>712</v>
      </c>
      <c r="D2316" s="2" t="s">
        <v>68</v>
      </c>
      <c r="E2316" s="70" t="s">
        <v>76</v>
      </c>
      <c r="F2316" s="29">
        <v>69</v>
      </c>
      <c r="G2316" s="29">
        <v>42</v>
      </c>
      <c r="H2316" s="12">
        <v>27</v>
      </c>
      <c r="J2316" s="2"/>
      <c r="K2316" s="2"/>
      <c r="L2316" s="2"/>
      <c r="M2316" s="2"/>
      <c r="N2316" s="2"/>
      <c r="O2316" s="2"/>
      <c r="P2316" s="2"/>
    </row>
    <row r="2317" spans="1:16" x14ac:dyDescent="0.4">
      <c r="A2317">
        <v>2010</v>
      </c>
      <c r="B2317" s="2" t="s">
        <v>429</v>
      </c>
      <c r="C2317" s="2" t="s">
        <v>712</v>
      </c>
      <c r="D2317" s="2" t="s">
        <v>68</v>
      </c>
      <c r="E2317" s="70" t="s">
        <v>77</v>
      </c>
      <c r="F2317" s="29">
        <v>156</v>
      </c>
      <c r="G2317" s="29">
        <v>109</v>
      </c>
      <c r="H2317" s="12">
        <v>47</v>
      </c>
      <c r="J2317" s="2"/>
      <c r="K2317" s="2"/>
      <c r="L2317" s="2"/>
      <c r="M2317" s="2"/>
      <c r="N2317" s="2"/>
      <c r="O2317" s="2"/>
      <c r="P2317" s="2"/>
    </row>
    <row r="2318" spans="1:16" x14ac:dyDescent="0.4">
      <c r="A2318">
        <v>2010</v>
      </c>
      <c r="B2318" s="2" t="s">
        <v>430</v>
      </c>
      <c r="C2318" s="2" t="s">
        <v>712</v>
      </c>
      <c r="D2318" s="2" t="s">
        <v>68</v>
      </c>
      <c r="E2318" s="70" t="s">
        <v>51</v>
      </c>
      <c r="F2318" s="29">
        <v>9</v>
      </c>
      <c r="G2318" s="29">
        <v>7</v>
      </c>
      <c r="H2318" s="12">
        <v>2</v>
      </c>
      <c r="J2318" s="2"/>
      <c r="K2318" s="2"/>
      <c r="L2318" s="2"/>
      <c r="M2318" s="2"/>
      <c r="N2318" s="2"/>
      <c r="O2318" s="2"/>
      <c r="P2318" s="2"/>
    </row>
    <row r="2319" spans="1:16" x14ac:dyDescent="0.4">
      <c r="A2319">
        <v>2010</v>
      </c>
      <c r="B2319" s="2" t="s">
        <v>431</v>
      </c>
      <c r="C2319" s="2" t="s">
        <v>713</v>
      </c>
      <c r="D2319" s="2" t="s">
        <v>79</v>
      </c>
      <c r="E2319" s="70" t="s">
        <v>78</v>
      </c>
      <c r="F2319" s="29">
        <v>241</v>
      </c>
      <c r="G2319" s="29">
        <v>152</v>
      </c>
      <c r="H2319" s="12">
        <v>89</v>
      </c>
      <c r="J2319" s="2"/>
      <c r="K2319" s="2"/>
      <c r="L2319" s="2"/>
      <c r="M2319" s="2"/>
      <c r="N2319" s="2"/>
      <c r="O2319" s="2"/>
      <c r="P2319" s="2"/>
    </row>
    <row r="2320" spans="1:16" x14ac:dyDescent="0.4">
      <c r="A2320">
        <v>2010</v>
      </c>
      <c r="B2320" s="2" t="s">
        <v>432</v>
      </c>
      <c r="C2320" s="2" t="s">
        <v>713</v>
      </c>
      <c r="D2320" s="2" t="s">
        <v>79</v>
      </c>
      <c r="E2320" s="70" t="s">
        <v>80</v>
      </c>
      <c r="F2320" s="29">
        <v>448</v>
      </c>
      <c r="G2320" s="29">
        <v>309</v>
      </c>
      <c r="H2320" s="12">
        <v>139</v>
      </c>
      <c r="J2320" s="2"/>
      <c r="K2320" s="2"/>
      <c r="L2320" s="2"/>
      <c r="M2320" s="2"/>
      <c r="N2320" s="2"/>
      <c r="O2320" s="2"/>
      <c r="P2320" s="2"/>
    </row>
    <row r="2321" spans="1:16" x14ac:dyDescent="0.4">
      <c r="A2321">
        <v>2010</v>
      </c>
      <c r="B2321" s="2" t="s">
        <v>433</v>
      </c>
      <c r="C2321" s="2" t="s">
        <v>713</v>
      </c>
      <c r="D2321" s="2" t="s">
        <v>79</v>
      </c>
      <c r="E2321" s="70" t="s">
        <v>81</v>
      </c>
      <c r="F2321" s="29">
        <v>454</v>
      </c>
      <c r="G2321" s="29">
        <v>308</v>
      </c>
      <c r="H2321" s="12">
        <v>146</v>
      </c>
      <c r="J2321" s="2"/>
      <c r="K2321" s="2"/>
      <c r="L2321" s="2"/>
      <c r="M2321" s="2"/>
      <c r="N2321" s="2"/>
      <c r="O2321" s="2"/>
      <c r="P2321" s="2"/>
    </row>
    <row r="2322" spans="1:16" x14ac:dyDescent="0.4">
      <c r="A2322">
        <v>2010</v>
      </c>
      <c r="B2322" s="2" t="s">
        <v>434</v>
      </c>
      <c r="C2322" s="2" t="s">
        <v>713</v>
      </c>
      <c r="D2322" s="2" t="s">
        <v>79</v>
      </c>
      <c r="E2322" s="70" t="s">
        <v>82</v>
      </c>
      <c r="F2322" s="29">
        <v>532</v>
      </c>
      <c r="G2322" s="29">
        <v>342</v>
      </c>
      <c r="H2322" s="12">
        <v>190</v>
      </c>
      <c r="J2322" s="2"/>
      <c r="K2322" s="2"/>
      <c r="L2322" s="2"/>
      <c r="M2322" s="2"/>
      <c r="N2322" s="2"/>
      <c r="O2322" s="2"/>
      <c r="P2322" s="2"/>
    </row>
    <row r="2323" spans="1:16" x14ac:dyDescent="0.4">
      <c r="A2323">
        <v>2010</v>
      </c>
      <c r="B2323" s="2" t="s">
        <v>435</v>
      </c>
      <c r="C2323" s="2" t="s">
        <v>713</v>
      </c>
      <c r="D2323" s="2" t="s">
        <v>79</v>
      </c>
      <c r="E2323" s="70" t="s">
        <v>83</v>
      </c>
      <c r="F2323" s="29">
        <v>231</v>
      </c>
      <c r="G2323" s="29">
        <v>160</v>
      </c>
      <c r="H2323" s="12">
        <v>71</v>
      </c>
      <c r="J2323" s="2"/>
      <c r="K2323" s="2"/>
      <c r="L2323" s="2"/>
      <c r="M2323" s="2"/>
      <c r="N2323" s="2"/>
      <c r="O2323" s="2"/>
      <c r="P2323" s="2"/>
    </row>
    <row r="2324" spans="1:16" x14ac:dyDescent="0.4">
      <c r="A2324">
        <v>2010</v>
      </c>
      <c r="B2324" s="2" t="s">
        <v>436</v>
      </c>
      <c r="C2324" s="2" t="s">
        <v>713</v>
      </c>
      <c r="D2324" s="2" t="s">
        <v>79</v>
      </c>
      <c r="E2324" s="70" t="s">
        <v>44</v>
      </c>
      <c r="F2324" s="29">
        <v>539</v>
      </c>
      <c r="G2324" s="29">
        <v>377</v>
      </c>
      <c r="H2324" s="12">
        <v>162</v>
      </c>
      <c r="J2324" s="2"/>
      <c r="K2324" s="2"/>
      <c r="L2324" s="2"/>
      <c r="M2324" s="2"/>
      <c r="N2324" s="2"/>
      <c r="O2324" s="2"/>
      <c r="P2324" s="2"/>
    </row>
    <row r="2325" spans="1:16" x14ac:dyDescent="0.4">
      <c r="A2325">
        <v>2010</v>
      </c>
      <c r="B2325" s="2" t="s">
        <v>437</v>
      </c>
      <c r="C2325" s="2" t="s">
        <v>713</v>
      </c>
      <c r="D2325" s="2" t="s">
        <v>79</v>
      </c>
      <c r="E2325" s="70" t="s">
        <v>84</v>
      </c>
      <c r="F2325" s="29">
        <v>334</v>
      </c>
      <c r="G2325" s="29">
        <v>232</v>
      </c>
      <c r="H2325" s="12">
        <v>102</v>
      </c>
      <c r="J2325" s="2"/>
      <c r="K2325" s="2"/>
      <c r="L2325" s="2"/>
      <c r="M2325" s="2"/>
      <c r="N2325" s="2"/>
      <c r="O2325" s="2"/>
      <c r="P2325" s="2"/>
    </row>
    <row r="2326" spans="1:16" x14ac:dyDescent="0.4">
      <c r="A2326">
        <v>2010</v>
      </c>
      <c r="B2326" s="2" t="s">
        <v>438</v>
      </c>
      <c r="C2326" s="2" t="s">
        <v>713</v>
      </c>
      <c r="D2326" s="2" t="s">
        <v>79</v>
      </c>
      <c r="E2326" s="70" t="s">
        <v>85</v>
      </c>
      <c r="F2326" s="29">
        <v>79</v>
      </c>
      <c r="G2326" s="29">
        <v>56</v>
      </c>
      <c r="H2326" s="12">
        <v>23</v>
      </c>
      <c r="J2326" s="2"/>
      <c r="K2326" s="2"/>
      <c r="L2326" s="2"/>
      <c r="M2326" s="2"/>
      <c r="N2326" s="2"/>
      <c r="O2326" s="2"/>
      <c r="P2326" s="2"/>
    </row>
    <row r="2327" spans="1:16" x14ac:dyDescent="0.4">
      <c r="A2327">
        <v>2010</v>
      </c>
      <c r="B2327" s="2" t="s">
        <v>439</v>
      </c>
      <c r="C2327" s="2" t="s">
        <v>713</v>
      </c>
      <c r="D2327" s="2" t="s">
        <v>79</v>
      </c>
      <c r="E2327" s="70" t="s">
        <v>86</v>
      </c>
      <c r="F2327" s="29">
        <v>49</v>
      </c>
      <c r="G2327" s="29">
        <v>34</v>
      </c>
      <c r="H2327" s="12">
        <v>15</v>
      </c>
      <c r="J2327" s="2"/>
      <c r="K2327" s="2"/>
      <c r="L2327" s="2"/>
      <c r="M2327" s="2"/>
      <c r="N2327" s="2"/>
      <c r="O2327" s="2"/>
      <c r="P2327" s="2"/>
    </row>
    <row r="2328" spans="1:16" x14ac:dyDescent="0.4">
      <c r="A2328">
        <v>2010</v>
      </c>
      <c r="B2328" s="2" t="s">
        <v>440</v>
      </c>
      <c r="C2328" s="2" t="s">
        <v>713</v>
      </c>
      <c r="D2328" s="2" t="s">
        <v>79</v>
      </c>
      <c r="E2328" s="70" t="s">
        <v>87</v>
      </c>
      <c r="F2328" s="29">
        <v>1670</v>
      </c>
      <c r="G2328" s="29">
        <v>906</v>
      </c>
      <c r="H2328" s="12">
        <v>764</v>
      </c>
      <c r="J2328" s="2"/>
      <c r="K2328" s="2"/>
      <c r="L2328" s="2"/>
      <c r="M2328" s="2"/>
      <c r="N2328" s="2"/>
      <c r="O2328" s="2"/>
      <c r="P2328" s="2"/>
    </row>
    <row r="2329" spans="1:16" x14ac:dyDescent="0.4">
      <c r="A2329">
        <v>2010</v>
      </c>
      <c r="B2329" s="2" t="s">
        <v>441</v>
      </c>
      <c r="C2329" s="2" t="s">
        <v>713</v>
      </c>
      <c r="D2329" s="2" t="s">
        <v>79</v>
      </c>
      <c r="E2329" s="70" t="s">
        <v>88</v>
      </c>
      <c r="F2329" s="29">
        <v>1186</v>
      </c>
      <c r="G2329" s="29">
        <v>703</v>
      </c>
      <c r="H2329" s="12">
        <v>483</v>
      </c>
      <c r="J2329" s="2"/>
      <c r="K2329" s="2"/>
      <c r="L2329" s="2"/>
      <c r="M2329" s="2"/>
      <c r="N2329" s="2"/>
      <c r="O2329" s="2"/>
      <c r="P2329" s="2"/>
    </row>
    <row r="2330" spans="1:16" x14ac:dyDescent="0.4">
      <c r="A2330">
        <v>2010</v>
      </c>
      <c r="B2330" s="2" t="s">
        <v>442</v>
      </c>
      <c r="C2330" s="2" t="s">
        <v>713</v>
      </c>
      <c r="D2330" s="2" t="s">
        <v>79</v>
      </c>
      <c r="E2330" s="70" t="s">
        <v>89</v>
      </c>
      <c r="F2330" s="29">
        <v>273</v>
      </c>
      <c r="G2330" s="29">
        <v>146</v>
      </c>
      <c r="H2330" s="12">
        <v>127</v>
      </c>
      <c r="J2330" s="2"/>
      <c r="K2330" s="2"/>
      <c r="L2330" s="2"/>
      <c r="M2330" s="2"/>
      <c r="N2330" s="2"/>
      <c r="O2330" s="2"/>
      <c r="P2330" s="2"/>
    </row>
    <row r="2331" spans="1:16" x14ac:dyDescent="0.4">
      <c r="A2331">
        <v>2010</v>
      </c>
      <c r="B2331" s="2" t="s">
        <v>443</v>
      </c>
      <c r="C2331" s="2" t="s">
        <v>713</v>
      </c>
      <c r="D2331" s="2" t="s">
        <v>79</v>
      </c>
      <c r="E2331" s="70" t="s">
        <v>90</v>
      </c>
      <c r="F2331" s="29">
        <v>191</v>
      </c>
      <c r="G2331" s="29">
        <v>128</v>
      </c>
      <c r="H2331" s="12">
        <v>63</v>
      </c>
      <c r="J2331" s="2"/>
      <c r="K2331" s="2"/>
      <c r="L2331" s="2"/>
      <c r="M2331" s="2"/>
      <c r="N2331" s="2"/>
      <c r="O2331" s="2"/>
      <c r="P2331" s="2"/>
    </row>
    <row r="2332" spans="1:16" x14ac:dyDescent="0.4">
      <c r="A2332">
        <v>2010</v>
      </c>
      <c r="B2332" s="2" t="s">
        <v>444</v>
      </c>
      <c r="C2332" s="2" t="s">
        <v>713</v>
      </c>
      <c r="D2332" s="2" t="s">
        <v>79</v>
      </c>
      <c r="E2332" s="70" t="s">
        <v>91</v>
      </c>
      <c r="F2332" s="29">
        <v>5153</v>
      </c>
      <c r="G2332" s="29">
        <v>3212</v>
      </c>
      <c r="H2332" s="12">
        <v>1941</v>
      </c>
      <c r="J2332" s="2"/>
      <c r="K2332" s="2"/>
      <c r="L2332" s="2"/>
      <c r="M2332" s="2"/>
      <c r="N2332" s="2"/>
      <c r="O2332" s="2"/>
      <c r="P2332" s="2"/>
    </row>
    <row r="2333" spans="1:16" x14ac:dyDescent="0.4">
      <c r="A2333">
        <v>2010</v>
      </c>
      <c r="B2333" s="2" t="s">
        <v>445</v>
      </c>
      <c r="C2333" s="2" t="s">
        <v>714</v>
      </c>
      <c r="D2333" s="2" t="s">
        <v>93</v>
      </c>
      <c r="E2333" s="70" t="s">
        <v>92</v>
      </c>
      <c r="F2333" s="29">
        <v>42</v>
      </c>
      <c r="G2333" s="29">
        <v>33</v>
      </c>
      <c r="H2333" s="12">
        <v>9</v>
      </c>
      <c r="J2333" s="2"/>
      <c r="K2333" s="2"/>
      <c r="L2333" s="2"/>
      <c r="M2333" s="2"/>
      <c r="N2333" s="2"/>
      <c r="O2333" s="2"/>
      <c r="P2333" s="2"/>
    </row>
    <row r="2334" spans="1:16" x14ac:dyDescent="0.4">
      <c r="A2334">
        <v>2010</v>
      </c>
      <c r="B2334" s="2" t="s">
        <v>446</v>
      </c>
      <c r="C2334" s="2" t="s">
        <v>714</v>
      </c>
      <c r="D2334" s="2" t="s">
        <v>93</v>
      </c>
      <c r="E2334" s="70" t="s">
        <v>94</v>
      </c>
      <c r="F2334" s="29">
        <v>376</v>
      </c>
      <c r="G2334" s="29">
        <v>247</v>
      </c>
      <c r="H2334" s="12">
        <v>129</v>
      </c>
      <c r="J2334" s="2"/>
      <c r="K2334" s="2"/>
      <c r="L2334" s="2"/>
      <c r="M2334" s="2"/>
      <c r="N2334" s="2"/>
      <c r="O2334" s="2"/>
      <c r="P2334" s="2"/>
    </row>
    <row r="2335" spans="1:16" x14ac:dyDescent="0.4">
      <c r="A2335">
        <v>2010</v>
      </c>
      <c r="B2335" s="2" t="s">
        <v>447</v>
      </c>
      <c r="C2335" s="2" t="s">
        <v>714</v>
      </c>
      <c r="D2335" s="2" t="s">
        <v>93</v>
      </c>
      <c r="E2335" s="70" t="s">
        <v>40</v>
      </c>
      <c r="F2335" s="29">
        <v>45</v>
      </c>
      <c r="G2335" s="29">
        <v>31</v>
      </c>
      <c r="H2335" s="12">
        <v>14</v>
      </c>
      <c r="J2335" s="2"/>
      <c r="K2335" s="2"/>
      <c r="L2335" s="2"/>
      <c r="M2335" s="2"/>
      <c r="N2335" s="2"/>
      <c r="O2335" s="2"/>
      <c r="P2335" s="2"/>
    </row>
    <row r="2336" spans="1:16" x14ac:dyDescent="0.4">
      <c r="A2336">
        <v>2010</v>
      </c>
      <c r="B2336" s="2" t="s">
        <v>448</v>
      </c>
      <c r="C2336" s="2" t="s">
        <v>714</v>
      </c>
      <c r="D2336" s="2" t="s">
        <v>93</v>
      </c>
      <c r="E2336" s="70" t="s">
        <v>95</v>
      </c>
      <c r="F2336" s="29">
        <v>31</v>
      </c>
      <c r="G2336" s="29">
        <v>23</v>
      </c>
      <c r="H2336" s="12">
        <v>8</v>
      </c>
      <c r="J2336" s="2"/>
      <c r="K2336" s="2"/>
      <c r="L2336" s="2"/>
      <c r="M2336" s="2"/>
      <c r="N2336" s="2"/>
      <c r="O2336" s="2"/>
      <c r="P2336" s="2"/>
    </row>
    <row r="2337" spans="1:16" x14ac:dyDescent="0.4">
      <c r="A2337">
        <v>2010</v>
      </c>
      <c r="B2337" s="2" t="s">
        <v>449</v>
      </c>
      <c r="C2337" s="2" t="s">
        <v>714</v>
      </c>
      <c r="D2337" s="2" t="s">
        <v>93</v>
      </c>
      <c r="E2337" s="70" t="s">
        <v>96</v>
      </c>
      <c r="F2337" s="29">
        <v>48</v>
      </c>
      <c r="G2337" s="29">
        <v>31</v>
      </c>
      <c r="H2337" s="12">
        <v>17</v>
      </c>
      <c r="J2337" s="2"/>
      <c r="K2337" s="2"/>
      <c r="L2337" s="2"/>
      <c r="M2337" s="2"/>
      <c r="N2337" s="2"/>
      <c r="O2337" s="2"/>
      <c r="P2337" s="2"/>
    </row>
    <row r="2338" spans="1:16" x14ac:dyDescent="0.4">
      <c r="A2338">
        <v>2010</v>
      </c>
      <c r="B2338" s="2" t="s">
        <v>450</v>
      </c>
      <c r="C2338" s="2" t="s">
        <v>714</v>
      </c>
      <c r="D2338" s="14" t="s">
        <v>93</v>
      </c>
      <c r="E2338" s="69" t="s">
        <v>97</v>
      </c>
      <c r="F2338" s="11">
        <v>31</v>
      </c>
      <c r="G2338" s="11">
        <v>23</v>
      </c>
      <c r="H2338" s="12">
        <v>8</v>
      </c>
      <c r="J2338" s="2"/>
      <c r="K2338" s="2"/>
      <c r="L2338" s="2"/>
      <c r="M2338" s="2"/>
      <c r="N2338" s="2"/>
      <c r="O2338" s="2"/>
      <c r="P2338" s="2"/>
    </row>
    <row r="2339" spans="1:16" x14ac:dyDescent="0.4">
      <c r="A2339">
        <v>2010</v>
      </c>
      <c r="B2339" s="2" t="s">
        <v>451</v>
      </c>
      <c r="C2339" s="2" t="s">
        <v>714</v>
      </c>
      <c r="D2339" s="2" t="s">
        <v>93</v>
      </c>
      <c r="E2339" s="70" t="s">
        <v>34</v>
      </c>
      <c r="F2339" s="29">
        <v>29</v>
      </c>
      <c r="G2339" s="29">
        <v>19</v>
      </c>
      <c r="H2339" s="12">
        <v>10</v>
      </c>
      <c r="J2339" s="2"/>
      <c r="K2339" s="2"/>
      <c r="L2339" s="2"/>
      <c r="M2339" s="2"/>
      <c r="N2339" s="2"/>
      <c r="O2339" s="2"/>
      <c r="P2339" s="2"/>
    </row>
    <row r="2340" spans="1:16" x14ac:dyDescent="0.4">
      <c r="A2340">
        <v>2010</v>
      </c>
      <c r="B2340" s="2" t="s">
        <v>452</v>
      </c>
      <c r="C2340" s="2" t="s">
        <v>714</v>
      </c>
      <c r="D2340" s="2" t="s">
        <v>93</v>
      </c>
      <c r="E2340" s="70" t="s">
        <v>98</v>
      </c>
      <c r="F2340" s="29">
        <v>789</v>
      </c>
      <c r="G2340" s="29">
        <v>494</v>
      </c>
      <c r="H2340" s="12">
        <v>295</v>
      </c>
      <c r="J2340" s="2"/>
      <c r="K2340" s="2"/>
      <c r="L2340" s="2"/>
      <c r="M2340" s="2"/>
      <c r="N2340" s="2"/>
      <c r="O2340" s="2"/>
      <c r="P2340" s="2"/>
    </row>
    <row r="2341" spans="1:16" x14ac:dyDescent="0.4">
      <c r="A2341">
        <v>2010</v>
      </c>
      <c r="B2341" s="2" t="s">
        <v>453</v>
      </c>
      <c r="C2341" s="2" t="s">
        <v>714</v>
      </c>
      <c r="D2341" s="2" t="s">
        <v>93</v>
      </c>
      <c r="E2341" s="70" t="s">
        <v>99</v>
      </c>
      <c r="F2341" s="29">
        <v>85</v>
      </c>
      <c r="G2341" s="29">
        <v>52</v>
      </c>
      <c r="H2341" s="12">
        <v>33</v>
      </c>
      <c r="J2341" s="2"/>
      <c r="K2341" s="2"/>
      <c r="L2341" s="2"/>
      <c r="M2341" s="2"/>
      <c r="N2341" s="2"/>
      <c r="O2341" s="2"/>
      <c r="P2341" s="2"/>
    </row>
    <row r="2342" spans="1:16" x14ac:dyDescent="0.4">
      <c r="A2342">
        <v>2010</v>
      </c>
      <c r="B2342" s="2" t="s">
        <v>454</v>
      </c>
      <c r="C2342" s="2" t="s">
        <v>715</v>
      </c>
      <c r="D2342" s="2" t="s">
        <v>101</v>
      </c>
      <c r="E2342" s="70" t="s">
        <v>100</v>
      </c>
      <c r="F2342" s="29">
        <v>47</v>
      </c>
      <c r="G2342" s="29">
        <v>26</v>
      </c>
      <c r="H2342" s="12">
        <v>21</v>
      </c>
      <c r="J2342" s="2"/>
      <c r="K2342" s="2"/>
      <c r="L2342" s="2"/>
      <c r="M2342" s="2"/>
      <c r="N2342" s="2"/>
      <c r="O2342" s="2"/>
      <c r="P2342" s="2"/>
    </row>
    <row r="2343" spans="1:16" x14ac:dyDescent="0.4">
      <c r="A2343">
        <v>2010</v>
      </c>
      <c r="B2343" s="2" t="s">
        <v>455</v>
      </c>
      <c r="C2343" s="2" t="s">
        <v>715</v>
      </c>
      <c r="D2343" s="2" t="s">
        <v>101</v>
      </c>
      <c r="E2343" s="70" t="s">
        <v>102</v>
      </c>
      <c r="F2343" s="29">
        <v>36</v>
      </c>
      <c r="G2343" s="29">
        <v>26</v>
      </c>
      <c r="H2343" s="12">
        <v>10</v>
      </c>
      <c r="J2343" s="2"/>
      <c r="K2343" s="2"/>
      <c r="L2343" s="2"/>
      <c r="M2343" s="2"/>
      <c r="N2343" s="2"/>
      <c r="O2343" s="2"/>
      <c r="P2343" s="2"/>
    </row>
    <row r="2344" spans="1:16" x14ac:dyDescent="0.4">
      <c r="A2344">
        <v>2010</v>
      </c>
      <c r="B2344" s="2" t="s">
        <v>456</v>
      </c>
      <c r="C2344" s="2" t="s">
        <v>715</v>
      </c>
      <c r="D2344" s="2" t="s">
        <v>101</v>
      </c>
      <c r="E2344" s="70" t="s">
        <v>103</v>
      </c>
      <c r="F2344" s="29">
        <v>31</v>
      </c>
      <c r="G2344" s="29">
        <v>18</v>
      </c>
      <c r="H2344" s="12">
        <v>13</v>
      </c>
      <c r="J2344" s="2"/>
      <c r="K2344" s="2"/>
      <c r="L2344" s="2"/>
      <c r="M2344" s="2"/>
      <c r="N2344" s="2"/>
      <c r="O2344" s="2"/>
      <c r="P2344" s="2"/>
    </row>
    <row r="2345" spans="1:16" x14ac:dyDescent="0.4">
      <c r="A2345">
        <v>2010</v>
      </c>
      <c r="B2345" s="2" t="s">
        <v>457</v>
      </c>
      <c r="C2345" s="2" t="s">
        <v>715</v>
      </c>
      <c r="D2345" s="2" t="s">
        <v>101</v>
      </c>
      <c r="E2345" s="70" t="s">
        <v>104</v>
      </c>
      <c r="F2345" s="29">
        <v>474</v>
      </c>
      <c r="G2345" s="29">
        <v>296</v>
      </c>
      <c r="H2345" s="12">
        <v>178</v>
      </c>
      <c r="J2345" s="2"/>
      <c r="K2345" s="2"/>
      <c r="L2345" s="2"/>
      <c r="M2345" s="2"/>
      <c r="N2345" s="2"/>
      <c r="O2345" s="2"/>
      <c r="P2345" s="2"/>
    </row>
    <row r="2346" spans="1:16" x14ac:dyDescent="0.4">
      <c r="A2346">
        <v>2010</v>
      </c>
      <c r="B2346" s="2" t="s">
        <v>458</v>
      </c>
      <c r="C2346" s="2" t="s">
        <v>716</v>
      </c>
      <c r="D2346" s="2" t="s">
        <v>129</v>
      </c>
      <c r="E2346" s="70" t="s">
        <v>128</v>
      </c>
      <c r="F2346" s="29">
        <v>32</v>
      </c>
      <c r="G2346" s="29">
        <v>15</v>
      </c>
      <c r="H2346" s="12">
        <v>17</v>
      </c>
      <c r="J2346" s="2"/>
      <c r="K2346" s="2"/>
      <c r="L2346" s="2"/>
      <c r="M2346" s="2"/>
      <c r="N2346" s="2"/>
      <c r="O2346" s="2"/>
      <c r="P2346" s="2"/>
    </row>
    <row r="2347" spans="1:16" x14ac:dyDescent="0.4">
      <c r="A2347">
        <v>2010</v>
      </c>
      <c r="B2347" s="2" t="s">
        <v>459</v>
      </c>
      <c r="C2347" s="2" t="s">
        <v>716</v>
      </c>
      <c r="D2347" s="2" t="s">
        <v>129</v>
      </c>
      <c r="E2347" s="70" t="s">
        <v>36</v>
      </c>
      <c r="F2347" s="29">
        <v>22</v>
      </c>
      <c r="G2347" s="29">
        <v>12</v>
      </c>
      <c r="H2347" s="12">
        <v>10</v>
      </c>
      <c r="J2347" s="2"/>
      <c r="K2347" s="2"/>
      <c r="L2347" s="2"/>
      <c r="M2347" s="2"/>
      <c r="N2347" s="2"/>
      <c r="O2347" s="2"/>
      <c r="P2347" s="2"/>
    </row>
    <row r="2348" spans="1:16" x14ac:dyDescent="0.4">
      <c r="A2348">
        <v>2010</v>
      </c>
      <c r="B2348" s="2" t="s">
        <v>460</v>
      </c>
      <c r="C2348" s="2" t="s">
        <v>716</v>
      </c>
      <c r="D2348" s="2" t="s">
        <v>129</v>
      </c>
      <c r="E2348" s="70" t="s">
        <v>130</v>
      </c>
      <c r="F2348" s="29">
        <v>46</v>
      </c>
      <c r="G2348" s="29">
        <v>28</v>
      </c>
      <c r="H2348" s="12">
        <v>18</v>
      </c>
      <c r="J2348" s="2"/>
      <c r="K2348" s="2"/>
      <c r="L2348" s="2"/>
      <c r="M2348" s="2"/>
      <c r="N2348" s="2"/>
      <c r="O2348" s="2"/>
      <c r="P2348" s="2"/>
    </row>
    <row r="2349" spans="1:16" x14ac:dyDescent="0.4">
      <c r="A2349">
        <v>2010</v>
      </c>
      <c r="B2349" s="2" t="s">
        <v>461</v>
      </c>
      <c r="C2349" s="2" t="s">
        <v>716</v>
      </c>
      <c r="D2349" s="2" t="s">
        <v>129</v>
      </c>
      <c r="E2349" s="70" t="s">
        <v>131</v>
      </c>
      <c r="F2349" s="29">
        <v>23</v>
      </c>
      <c r="G2349" s="29">
        <v>18</v>
      </c>
      <c r="H2349" s="12">
        <v>5</v>
      </c>
      <c r="J2349" s="2"/>
      <c r="K2349" s="2"/>
      <c r="L2349" s="2"/>
      <c r="M2349" s="2"/>
      <c r="N2349" s="2"/>
      <c r="O2349" s="2"/>
      <c r="P2349" s="2"/>
    </row>
    <row r="2350" spans="1:16" x14ac:dyDescent="0.4">
      <c r="A2350">
        <v>2010</v>
      </c>
      <c r="B2350" s="2" t="s">
        <v>462</v>
      </c>
      <c r="C2350" s="2" t="s">
        <v>716</v>
      </c>
      <c r="D2350" s="2" t="s">
        <v>129</v>
      </c>
      <c r="E2350" s="70" t="s">
        <v>132</v>
      </c>
      <c r="F2350" s="29">
        <v>1156</v>
      </c>
      <c r="G2350" s="29">
        <v>638</v>
      </c>
      <c r="H2350" s="12">
        <v>518</v>
      </c>
      <c r="J2350" s="2"/>
      <c r="K2350" s="2"/>
      <c r="L2350" s="2"/>
      <c r="M2350" s="2"/>
      <c r="N2350" s="2"/>
      <c r="O2350" s="2"/>
      <c r="P2350" s="2"/>
    </row>
    <row r="2351" spans="1:16" x14ac:dyDescent="0.4">
      <c r="A2351">
        <v>2010</v>
      </c>
      <c r="B2351" s="2" t="s">
        <v>463</v>
      </c>
      <c r="C2351" s="2" t="s">
        <v>716</v>
      </c>
      <c r="D2351" s="2" t="s">
        <v>129</v>
      </c>
      <c r="E2351" s="70" t="s">
        <v>133</v>
      </c>
      <c r="F2351" s="29">
        <v>65</v>
      </c>
      <c r="G2351" s="29">
        <v>38</v>
      </c>
      <c r="H2351" s="12">
        <v>27</v>
      </c>
      <c r="J2351" s="2"/>
      <c r="K2351" s="2"/>
      <c r="L2351" s="2"/>
      <c r="M2351" s="2"/>
      <c r="N2351" s="2"/>
      <c r="O2351" s="2"/>
      <c r="P2351" s="2"/>
    </row>
    <row r="2352" spans="1:16" x14ac:dyDescent="0.4">
      <c r="A2352">
        <v>2010</v>
      </c>
      <c r="B2352" s="2" t="s">
        <v>464</v>
      </c>
      <c r="C2352" s="2" t="s">
        <v>716</v>
      </c>
      <c r="D2352" s="2" t="s">
        <v>129</v>
      </c>
      <c r="E2352" s="70" t="s">
        <v>134</v>
      </c>
      <c r="F2352" s="29">
        <v>77</v>
      </c>
      <c r="G2352" s="29">
        <v>39</v>
      </c>
      <c r="H2352" s="12">
        <v>38</v>
      </c>
      <c r="J2352" s="2"/>
      <c r="K2352" s="2"/>
      <c r="L2352" s="2"/>
      <c r="M2352" s="2"/>
      <c r="N2352" s="2"/>
      <c r="O2352" s="2"/>
      <c r="P2352" s="2"/>
    </row>
    <row r="2353" spans="1:16" x14ac:dyDescent="0.4">
      <c r="A2353">
        <v>2010</v>
      </c>
      <c r="B2353" s="2" t="s">
        <v>465</v>
      </c>
      <c r="C2353" s="2" t="s">
        <v>716</v>
      </c>
      <c r="D2353" s="2" t="s">
        <v>129</v>
      </c>
      <c r="E2353" s="70" t="s">
        <v>135</v>
      </c>
      <c r="F2353" s="29">
        <v>21</v>
      </c>
      <c r="G2353" s="29">
        <v>10</v>
      </c>
      <c r="H2353" s="12">
        <v>11</v>
      </c>
      <c r="J2353" s="2"/>
      <c r="K2353" s="2"/>
      <c r="L2353" s="2"/>
      <c r="M2353" s="2"/>
      <c r="N2353" s="2"/>
      <c r="O2353" s="2"/>
      <c r="P2353" s="2"/>
    </row>
    <row r="2354" spans="1:16" x14ac:dyDescent="0.4">
      <c r="A2354">
        <v>2010</v>
      </c>
      <c r="B2354" s="2" t="s">
        <v>466</v>
      </c>
      <c r="C2354" s="2" t="s">
        <v>716</v>
      </c>
      <c r="D2354" s="2" t="s">
        <v>129</v>
      </c>
      <c r="E2354" s="70" t="s">
        <v>94</v>
      </c>
      <c r="F2354" s="29">
        <v>106</v>
      </c>
      <c r="G2354" s="29">
        <v>61</v>
      </c>
      <c r="H2354" s="12">
        <v>45</v>
      </c>
      <c r="J2354" s="2"/>
      <c r="K2354" s="2"/>
      <c r="L2354" s="2"/>
      <c r="M2354" s="2"/>
      <c r="N2354" s="2"/>
      <c r="O2354" s="2"/>
      <c r="P2354" s="2"/>
    </row>
    <row r="2355" spans="1:16" x14ac:dyDescent="0.4">
      <c r="A2355">
        <v>2010</v>
      </c>
      <c r="B2355" s="2" t="s">
        <v>467</v>
      </c>
      <c r="C2355" s="2" t="s">
        <v>716</v>
      </c>
      <c r="D2355" s="2" t="s">
        <v>129</v>
      </c>
      <c r="E2355" s="70" t="s">
        <v>136</v>
      </c>
      <c r="F2355" s="29">
        <v>95</v>
      </c>
      <c r="G2355" s="29">
        <v>53</v>
      </c>
      <c r="H2355" s="12">
        <v>42</v>
      </c>
      <c r="J2355" s="2"/>
      <c r="K2355" s="2"/>
      <c r="L2355" s="2"/>
      <c r="M2355" s="2"/>
      <c r="N2355" s="2"/>
      <c r="O2355" s="2"/>
      <c r="P2355" s="2"/>
    </row>
    <row r="2356" spans="1:16" x14ac:dyDescent="0.4">
      <c r="A2356">
        <v>2010</v>
      </c>
      <c r="B2356" s="2" t="s">
        <v>468</v>
      </c>
      <c r="C2356" s="2" t="s">
        <v>716</v>
      </c>
      <c r="D2356" s="2" t="s">
        <v>129</v>
      </c>
      <c r="E2356" s="70" t="s">
        <v>137</v>
      </c>
      <c r="F2356" s="29">
        <v>24</v>
      </c>
      <c r="G2356" s="29">
        <v>15</v>
      </c>
      <c r="H2356" s="12">
        <v>9</v>
      </c>
      <c r="J2356" s="2"/>
      <c r="K2356" s="2"/>
      <c r="L2356" s="2"/>
      <c r="M2356" s="2"/>
      <c r="N2356" s="2"/>
      <c r="O2356" s="2"/>
      <c r="P2356" s="2"/>
    </row>
    <row r="2357" spans="1:16" x14ac:dyDescent="0.4">
      <c r="A2357">
        <v>2010</v>
      </c>
      <c r="B2357" s="2" t="s">
        <v>469</v>
      </c>
      <c r="C2357" s="2" t="s">
        <v>716</v>
      </c>
      <c r="D2357" s="2" t="s">
        <v>129</v>
      </c>
      <c r="E2357" s="70" t="s">
        <v>138</v>
      </c>
      <c r="F2357" s="29">
        <v>115</v>
      </c>
      <c r="G2357" s="29">
        <v>73</v>
      </c>
      <c r="H2357" s="12">
        <v>42</v>
      </c>
      <c r="J2357" s="2"/>
      <c r="K2357" s="2"/>
      <c r="L2357" s="2"/>
      <c r="M2357" s="2"/>
      <c r="N2357" s="2"/>
      <c r="O2357" s="2"/>
      <c r="P2357" s="2"/>
    </row>
    <row r="2358" spans="1:16" x14ac:dyDescent="0.4">
      <c r="A2358">
        <v>2010</v>
      </c>
      <c r="B2358" s="2" t="s">
        <v>470</v>
      </c>
      <c r="C2358" s="2" t="s">
        <v>716</v>
      </c>
      <c r="D2358" s="2" t="s">
        <v>129</v>
      </c>
      <c r="E2358" s="70" t="s">
        <v>139</v>
      </c>
      <c r="F2358" s="29">
        <v>74</v>
      </c>
      <c r="G2358" s="29">
        <v>49</v>
      </c>
      <c r="H2358" s="12">
        <v>25</v>
      </c>
      <c r="J2358" s="2"/>
      <c r="K2358" s="2"/>
      <c r="L2358" s="2"/>
      <c r="M2358" s="2"/>
      <c r="N2358" s="2"/>
      <c r="O2358" s="2"/>
      <c r="P2358" s="2"/>
    </row>
    <row r="2359" spans="1:16" x14ac:dyDescent="0.4">
      <c r="A2359">
        <v>2010</v>
      </c>
      <c r="B2359" s="2" t="s">
        <v>471</v>
      </c>
      <c r="C2359" s="2" t="s">
        <v>716</v>
      </c>
      <c r="D2359" s="2" t="s">
        <v>129</v>
      </c>
      <c r="E2359" s="70" t="s">
        <v>85</v>
      </c>
      <c r="F2359" s="29">
        <v>1387</v>
      </c>
      <c r="G2359" s="29">
        <v>765</v>
      </c>
      <c r="H2359" s="12">
        <v>622</v>
      </c>
      <c r="J2359" s="2"/>
      <c r="K2359" s="2"/>
      <c r="L2359" s="2"/>
      <c r="M2359" s="2"/>
      <c r="N2359" s="2"/>
      <c r="O2359" s="2"/>
      <c r="P2359" s="2"/>
    </row>
    <row r="2360" spans="1:16" x14ac:dyDescent="0.4">
      <c r="A2360">
        <v>2010</v>
      </c>
      <c r="B2360" s="2" t="s">
        <v>472</v>
      </c>
      <c r="C2360" s="2" t="s">
        <v>716</v>
      </c>
      <c r="D2360" s="2" t="s">
        <v>129</v>
      </c>
      <c r="E2360" s="70" t="s">
        <v>140</v>
      </c>
      <c r="F2360" s="29">
        <v>52</v>
      </c>
      <c r="G2360" s="29">
        <v>31</v>
      </c>
      <c r="H2360" s="12">
        <v>21</v>
      </c>
      <c r="J2360" s="2"/>
      <c r="K2360" s="2"/>
      <c r="L2360" s="2"/>
      <c r="M2360" s="2"/>
      <c r="N2360" s="2"/>
      <c r="O2360" s="2"/>
      <c r="P2360" s="2"/>
    </row>
    <row r="2361" spans="1:16" x14ac:dyDescent="0.4">
      <c r="A2361">
        <v>2010</v>
      </c>
      <c r="B2361" s="2" t="s">
        <v>473</v>
      </c>
      <c r="C2361" s="2" t="s">
        <v>716</v>
      </c>
      <c r="D2361" s="2" t="s">
        <v>129</v>
      </c>
      <c r="E2361" s="70" t="s">
        <v>141</v>
      </c>
      <c r="F2361" s="29">
        <v>2</v>
      </c>
      <c r="G2361" s="29" t="s">
        <v>142</v>
      </c>
      <c r="H2361" s="12">
        <v>2</v>
      </c>
      <c r="J2361" s="2"/>
      <c r="K2361" s="2"/>
      <c r="L2361" s="2"/>
      <c r="M2361" s="2"/>
      <c r="N2361" s="2"/>
      <c r="O2361" s="2"/>
      <c r="P2361" s="2"/>
    </row>
    <row r="2362" spans="1:16" x14ac:dyDescent="0.4">
      <c r="A2362">
        <v>2010</v>
      </c>
      <c r="B2362" s="2" t="s">
        <v>474</v>
      </c>
      <c r="C2362" s="2" t="s">
        <v>716</v>
      </c>
      <c r="D2362" s="2" t="s">
        <v>129</v>
      </c>
      <c r="E2362" s="70" t="s">
        <v>143</v>
      </c>
      <c r="F2362" s="29">
        <v>26</v>
      </c>
      <c r="G2362" s="29">
        <v>21</v>
      </c>
      <c r="H2362" s="12">
        <v>5</v>
      </c>
      <c r="J2362" s="2"/>
      <c r="K2362" s="2"/>
      <c r="L2362" s="2"/>
      <c r="M2362" s="2"/>
      <c r="N2362" s="2"/>
      <c r="O2362" s="2"/>
      <c r="P2362" s="2"/>
    </row>
    <row r="2363" spans="1:16" x14ac:dyDescent="0.4">
      <c r="A2363">
        <v>2010</v>
      </c>
      <c r="B2363" s="2" t="s">
        <v>475</v>
      </c>
      <c r="C2363" s="2" t="s">
        <v>716</v>
      </c>
      <c r="D2363" s="2" t="s">
        <v>129</v>
      </c>
      <c r="E2363" s="70" t="s">
        <v>21</v>
      </c>
      <c r="F2363" s="29">
        <v>43</v>
      </c>
      <c r="G2363" s="29">
        <v>25</v>
      </c>
      <c r="H2363" s="12">
        <v>18</v>
      </c>
      <c r="J2363" s="2"/>
      <c r="K2363" s="2"/>
      <c r="L2363" s="2"/>
      <c r="M2363" s="2"/>
      <c r="N2363" s="2"/>
      <c r="O2363" s="2"/>
      <c r="P2363" s="2"/>
    </row>
    <row r="2364" spans="1:16" x14ac:dyDescent="0.4">
      <c r="A2364">
        <v>2010</v>
      </c>
      <c r="B2364" s="2" t="s">
        <v>476</v>
      </c>
      <c r="C2364" s="2" t="s">
        <v>716</v>
      </c>
      <c r="D2364" s="2" t="s">
        <v>129</v>
      </c>
      <c r="E2364" s="70" t="s">
        <v>144</v>
      </c>
      <c r="F2364" s="29">
        <v>41</v>
      </c>
      <c r="G2364" s="29">
        <v>22</v>
      </c>
      <c r="H2364" s="12">
        <v>19</v>
      </c>
      <c r="J2364" s="2"/>
      <c r="K2364" s="2"/>
      <c r="L2364" s="2"/>
      <c r="M2364" s="2"/>
      <c r="N2364" s="2"/>
      <c r="O2364" s="2"/>
      <c r="P2364" s="2"/>
    </row>
    <row r="2365" spans="1:16" x14ac:dyDescent="0.4">
      <c r="A2365">
        <v>2010</v>
      </c>
      <c r="B2365" s="2" t="s">
        <v>477</v>
      </c>
      <c r="C2365" s="2" t="s">
        <v>716</v>
      </c>
      <c r="D2365" s="2" t="s">
        <v>129</v>
      </c>
      <c r="E2365" s="70" t="s">
        <v>145</v>
      </c>
      <c r="F2365" s="29">
        <v>191</v>
      </c>
      <c r="G2365" s="29">
        <v>133</v>
      </c>
      <c r="H2365" s="12">
        <v>58</v>
      </c>
      <c r="J2365" s="2"/>
      <c r="K2365" s="2"/>
      <c r="L2365" s="2"/>
      <c r="M2365" s="2"/>
      <c r="N2365" s="2"/>
      <c r="O2365" s="2"/>
      <c r="P2365" s="2"/>
    </row>
    <row r="2366" spans="1:16" x14ac:dyDescent="0.4">
      <c r="A2366">
        <v>2010</v>
      </c>
      <c r="B2366" s="2" t="s">
        <v>478</v>
      </c>
      <c r="C2366" s="2" t="s">
        <v>716</v>
      </c>
      <c r="D2366" s="2" t="s">
        <v>129</v>
      </c>
      <c r="E2366" s="70" t="s">
        <v>51</v>
      </c>
      <c r="F2366" s="29">
        <v>27</v>
      </c>
      <c r="G2366" s="29">
        <v>16</v>
      </c>
      <c r="H2366" s="12">
        <v>11</v>
      </c>
      <c r="J2366" s="2"/>
      <c r="K2366" s="2"/>
      <c r="L2366" s="2"/>
      <c r="M2366" s="2"/>
      <c r="N2366" s="2"/>
      <c r="O2366" s="2"/>
      <c r="P2366" s="2"/>
    </row>
    <row r="2367" spans="1:16" x14ac:dyDescent="0.4">
      <c r="A2367">
        <v>2010</v>
      </c>
      <c r="B2367" s="2" t="s">
        <v>479</v>
      </c>
      <c r="C2367" s="2" t="s">
        <v>716</v>
      </c>
      <c r="D2367" s="2" t="s">
        <v>129</v>
      </c>
      <c r="E2367" s="70" t="s">
        <v>146</v>
      </c>
      <c r="F2367" s="29">
        <v>10</v>
      </c>
      <c r="G2367" s="29">
        <v>7</v>
      </c>
      <c r="H2367" s="12">
        <v>3</v>
      </c>
      <c r="J2367" s="2"/>
      <c r="K2367" s="2"/>
      <c r="L2367" s="2"/>
      <c r="M2367" s="2"/>
      <c r="N2367" s="2"/>
      <c r="O2367" s="2"/>
      <c r="P2367" s="2"/>
    </row>
    <row r="2368" spans="1:16" x14ac:dyDescent="0.4">
      <c r="A2368">
        <v>2010</v>
      </c>
      <c r="B2368" s="2" t="s">
        <v>480</v>
      </c>
      <c r="C2368" s="2" t="s">
        <v>716</v>
      </c>
      <c r="D2368" s="2" t="s">
        <v>129</v>
      </c>
      <c r="E2368" s="70" t="s">
        <v>147</v>
      </c>
      <c r="F2368" s="29">
        <v>36</v>
      </c>
      <c r="G2368" s="29">
        <v>19</v>
      </c>
      <c r="H2368" s="12">
        <v>17</v>
      </c>
      <c r="J2368" s="2"/>
      <c r="K2368" s="2"/>
      <c r="L2368" s="2"/>
      <c r="M2368" s="2"/>
      <c r="N2368" s="2"/>
      <c r="O2368" s="2"/>
      <c r="P2368" s="2"/>
    </row>
    <row r="2369" spans="1:16" x14ac:dyDescent="0.4">
      <c r="A2369">
        <v>2010</v>
      </c>
      <c r="B2369" s="2" t="s">
        <v>481</v>
      </c>
      <c r="C2369" s="2" t="s">
        <v>716</v>
      </c>
      <c r="D2369" s="2" t="s">
        <v>129</v>
      </c>
      <c r="E2369" s="70" t="s">
        <v>148</v>
      </c>
      <c r="F2369" s="29">
        <v>27</v>
      </c>
      <c r="G2369" s="29">
        <v>15</v>
      </c>
      <c r="H2369" s="12">
        <v>12</v>
      </c>
      <c r="J2369" s="2"/>
      <c r="K2369" s="2"/>
      <c r="L2369" s="2"/>
      <c r="M2369" s="2"/>
      <c r="N2369" s="2"/>
      <c r="O2369" s="2"/>
      <c r="P2369" s="2"/>
    </row>
    <row r="2370" spans="1:16" x14ac:dyDescent="0.4">
      <c r="A2370">
        <v>2010</v>
      </c>
      <c r="B2370" s="2" t="s">
        <v>482</v>
      </c>
      <c r="C2370" s="2" t="s">
        <v>716</v>
      </c>
      <c r="D2370" s="2" t="s">
        <v>129</v>
      </c>
      <c r="E2370" s="70" t="s">
        <v>54</v>
      </c>
      <c r="F2370" s="29">
        <v>73</v>
      </c>
      <c r="G2370" s="29">
        <v>42</v>
      </c>
      <c r="H2370" s="12">
        <v>31</v>
      </c>
      <c r="J2370" s="2"/>
      <c r="K2370" s="2"/>
      <c r="L2370" s="2"/>
      <c r="M2370" s="2"/>
      <c r="N2370" s="2"/>
      <c r="O2370" s="2"/>
      <c r="P2370" s="2"/>
    </row>
    <row r="2371" spans="1:16" x14ac:dyDescent="0.4">
      <c r="A2371">
        <v>2010</v>
      </c>
      <c r="B2371" s="2" t="s">
        <v>483</v>
      </c>
      <c r="C2371" s="2" t="s">
        <v>717</v>
      </c>
      <c r="D2371" s="2" t="s">
        <v>150</v>
      </c>
      <c r="E2371" s="70" t="s">
        <v>149</v>
      </c>
      <c r="F2371" s="29">
        <v>70</v>
      </c>
      <c r="G2371" s="29">
        <v>42</v>
      </c>
      <c r="H2371" s="12">
        <v>28</v>
      </c>
      <c r="J2371" s="2"/>
      <c r="K2371" s="2"/>
      <c r="L2371" s="2"/>
      <c r="M2371" s="2"/>
      <c r="N2371" s="2"/>
      <c r="O2371" s="2"/>
      <c r="P2371" s="2"/>
    </row>
    <row r="2372" spans="1:16" x14ac:dyDescent="0.4">
      <c r="A2372">
        <v>2010</v>
      </c>
      <c r="B2372" s="2" t="s">
        <v>484</v>
      </c>
      <c r="C2372" s="2" t="s">
        <v>717</v>
      </c>
      <c r="D2372" s="2" t="s">
        <v>150</v>
      </c>
      <c r="E2372" s="70" t="s">
        <v>151</v>
      </c>
      <c r="F2372" s="29">
        <v>47</v>
      </c>
      <c r="G2372" s="29">
        <v>31</v>
      </c>
      <c r="H2372" s="12">
        <v>16</v>
      </c>
      <c r="J2372" s="2"/>
      <c r="K2372" s="2"/>
      <c r="L2372" s="2"/>
      <c r="M2372" s="2"/>
      <c r="N2372" s="2"/>
      <c r="O2372" s="2"/>
      <c r="P2372" s="2"/>
    </row>
    <row r="2373" spans="1:16" x14ac:dyDescent="0.4">
      <c r="A2373">
        <v>2010</v>
      </c>
      <c r="B2373" s="2" t="s">
        <v>485</v>
      </c>
      <c r="C2373" s="2" t="s">
        <v>717</v>
      </c>
      <c r="D2373" s="2" t="s">
        <v>150</v>
      </c>
      <c r="E2373" s="70" t="s">
        <v>152</v>
      </c>
      <c r="F2373" s="29">
        <v>57</v>
      </c>
      <c r="G2373" s="29">
        <v>32</v>
      </c>
      <c r="H2373" s="12">
        <v>25</v>
      </c>
      <c r="J2373" s="2"/>
      <c r="K2373" s="2"/>
      <c r="L2373" s="2"/>
      <c r="M2373" s="2"/>
      <c r="N2373" s="2"/>
      <c r="O2373" s="2"/>
      <c r="P2373" s="2"/>
    </row>
    <row r="2374" spans="1:16" x14ac:dyDescent="0.4">
      <c r="A2374">
        <v>2010</v>
      </c>
      <c r="B2374" s="2" t="s">
        <v>486</v>
      </c>
      <c r="C2374" s="2" t="s">
        <v>717</v>
      </c>
      <c r="D2374" s="2" t="s">
        <v>150</v>
      </c>
      <c r="E2374" s="70" t="s">
        <v>153</v>
      </c>
      <c r="F2374" s="29">
        <v>32</v>
      </c>
      <c r="G2374" s="29">
        <v>23</v>
      </c>
      <c r="H2374" s="12">
        <v>9</v>
      </c>
      <c r="J2374" s="2"/>
      <c r="K2374" s="2"/>
      <c r="L2374" s="2"/>
      <c r="M2374" s="2"/>
      <c r="N2374" s="2"/>
      <c r="O2374" s="2"/>
      <c r="P2374" s="2"/>
    </row>
    <row r="2375" spans="1:16" x14ac:dyDescent="0.4">
      <c r="A2375">
        <v>2010</v>
      </c>
      <c r="B2375" s="2" t="s">
        <v>487</v>
      </c>
      <c r="C2375" s="2" t="s">
        <v>717</v>
      </c>
      <c r="D2375" s="2" t="s">
        <v>150</v>
      </c>
      <c r="E2375" s="70" t="s">
        <v>154</v>
      </c>
      <c r="F2375" s="29">
        <v>710</v>
      </c>
      <c r="G2375" s="29">
        <v>435</v>
      </c>
      <c r="H2375" s="12">
        <v>275</v>
      </c>
      <c r="J2375" s="2"/>
      <c r="K2375" s="2"/>
      <c r="L2375" s="2"/>
      <c r="M2375" s="2"/>
      <c r="N2375" s="2"/>
      <c r="O2375" s="2"/>
      <c r="P2375" s="2"/>
    </row>
    <row r="2376" spans="1:16" x14ac:dyDescent="0.4">
      <c r="A2376">
        <v>2010</v>
      </c>
      <c r="B2376" s="2" t="s">
        <v>488</v>
      </c>
      <c r="C2376" s="2" t="s">
        <v>717</v>
      </c>
      <c r="D2376" s="2" t="s">
        <v>150</v>
      </c>
      <c r="E2376" s="70" t="s">
        <v>155</v>
      </c>
      <c r="F2376" s="29">
        <v>101</v>
      </c>
      <c r="G2376" s="29">
        <v>61</v>
      </c>
      <c r="H2376" s="12">
        <v>40</v>
      </c>
      <c r="J2376" s="2"/>
      <c r="K2376" s="2"/>
      <c r="L2376" s="2"/>
      <c r="M2376" s="2"/>
      <c r="N2376" s="2"/>
      <c r="O2376" s="2"/>
      <c r="P2376" s="2"/>
    </row>
    <row r="2377" spans="1:16" x14ac:dyDescent="0.4">
      <c r="A2377">
        <v>2010</v>
      </c>
      <c r="B2377" s="2" t="s">
        <v>489</v>
      </c>
      <c r="C2377" s="2" t="s">
        <v>717</v>
      </c>
      <c r="D2377" s="2" t="s">
        <v>150</v>
      </c>
      <c r="E2377" s="70" t="s">
        <v>156</v>
      </c>
      <c r="F2377" s="29">
        <v>106</v>
      </c>
      <c r="G2377" s="29">
        <v>73</v>
      </c>
      <c r="H2377" s="12">
        <v>33</v>
      </c>
      <c r="J2377" s="2"/>
      <c r="K2377" s="2"/>
      <c r="L2377" s="2"/>
      <c r="M2377" s="2"/>
      <c r="N2377" s="2"/>
      <c r="O2377" s="2"/>
      <c r="P2377" s="2"/>
    </row>
    <row r="2378" spans="1:16" x14ac:dyDescent="0.4">
      <c r="A2378">
        <v>2010</v>
      </c>
      <c r="B2378" s="2" t="s">
        <v>490</v>
      </c>
      <c r="C2378" s="2" t="s">
        <v>717</v>
      </c>
      <c r="D2378" s="2" t="s">
        <v>150</v>
      </c>
      <c r="E2378" s="70" t="s">
        <v>85</v>
      </c>
      <c r="F2378" s="29">
        <v>622</v>
      </c>
      <c r="G2378" s="29">
        <v>401</v>
      </c>
      <c r="H2378" s="12">
        <v>221</v>
      </c>
      <c r="J2378" s="2"/>
      <c r="K2378" s="2"/>
      <c r="L2378" s="2"/>
      <c r="M2378" s="2"/>
      <c r="N2378" s="2"/>
      <c r="O2378" s="2"/>
      <c r="P2378" s="2"/>
    </row>
    <row r="2379" spans="1:16" x14ac:dyDescent="0.4">
      <c r="A2379">
        <v>2010</v>
      </c>
      <c r="B2379" s="2" t="s">
        <v>491</v>
      </c>
      <c r="C2379" s="2" t="s">
        <v>717</v>
      </c>
      <c r="D2379" s="2" t="s">
        <v>150</v>
      </c>
      <c r="E2379" s="70" t="s">
        <v>157</v>
      </c>
      <c r="F2379" s="29">
        <v>356</v>
      </c>
      <c r="G2379" s="29">
        <v>228</v>
      </c>
      <c r="H2379" s="12">
        <v>128</v>
      </c>
      <c r="J2379" s="2"/>
      <c r="K2379" s="2"/>
      <c r="L2379" s="2"/>
      <c r="M2379" s="2"/>
      <c r="N2379" s="2"/>
      <c r="O2379" s="2"/>
      <c r="P2379" s="2"/>
    </row>
    <row r="2380" spans="1:16" x14ac:dyDescent="0.4">
      <c r="A2380">
        <v>2010</v>
      </c>
      <c r="B2380" s="2" t="s">
        <v>492</v>
      </c>
      <c r="C2380" s="2" t="s">
        <v>717</v>
      </c>
      <c r="D2380" s="2" t="s">
        <v>150</v>
      </c>
      <c r="E2380" s="70" t="s">
        <v>158</v>
      </c>
      <c r="F2380" s="29">
        <v>66</v>
      </c>
      <c r="G2380" s="29">
        <v>48</v>
      </c>
      <c r="H2380" s="12">
        <v>18</v>
      </c>
      <c r="J2380" s="2"/>
      <c r="K2380" s="2"/>
      <c r="L2380" s="2"/>
      <c r="M2380" s="2"/>
      <c r="N2380" s="2"/>
      <c r="O2380" s="2"/>
      <c r="P2380" s="2"/>
    </row>
    <row r="2381" spans="1:16" x14ac:dyDescent="0.4">
      <c r="A2381">
        <v>2010</v>
      </c>
      <c r="B2381" s="2" t="s">
        <v>493</v>
      </c>
      <c r="C2381" s="2" t="s">
        <v>717</v>
      </c>
      <c r="D2381" s="2" t="s">
        <v>150</v>
      </c>
      <c r="E2381" s="70" t="s">
        <v>159</v>
      </c>
      <c r="F2381" s="29">
        <v>119</v>
      </c>
      <c r="G2381" s="29">
        <v>70</v>
      </c>
      <c r="H2381" s="12">
        <v>49</v>
      </c>
      <c r="J2381" s="2"/>
      <c r="K2381" s="2"/>
      <c r="L2381" s="2"/>
      <c r="M2381" s="2"/>
      <c r="N2381" s="2"/>
      <c r="O2381" s="2"/>
      <c r="P2381" s="2"/>
    </row>
    <row r="2382" spans="1:16" x14ac:dyDescent="0.4">
      <c r="A2382">
        <v>2010</v>
      </c>
      <c r="B2382" s="2" t="s">
        <v>494</v>
      </c>
      <c r="C2382" s="2" t="s">
        <v>717</v>
      </c>
      <c r="D2382" s="2" t="s">
        <v>150</v>
      </c>
      <c r="E2382" s="70" t="s">
        <v>76</v>
      </c>
      <c r="F2382" s="29">
        <v>1066</v>
      </c>
      <c r="G2382" s="29">
        <v>664</v>
      </c>
      <c r="H2382" s="12">
        <v>402</v>
      </c>
      <c r="J2382" s="2"/>
      <c r="K2382" s="2"/>
      <c r="L2382" s="2"/>
      <c r="M2382" s="2"/>
      <c r="N2382" s="2"/>
      <c r="O2382" s="2"/>
      <c r="P2382" s="2"/>
    </row>
    <row r="2383" spans="1:16" x14ac:dyDescent="0.4">
      <c r="A2383">
        <v>2010</v>
      </c>
      <c r="B2383" s="2" t="s">
        <v>495</v>
      </c>
      <c r="C2383" s="2" t="s">
        <v>717</v>
      </c>
      <c r="D2383" s="2" t="s">
        <v>150</v>
      </c>
      <c r="E2383" s="70" t="s">
        <v>160</v>
      </c>
      <c r="F2383" s="29">
        <v>38</v>
      </c>
      <c r="G2383" s="29">
        <v>27</v>
      </c>
      <c r="H2383" s="12">
        <v>11</v>
      </c>
      <c r="J2383" s="2"/>
      <c r="K2383" s="2"/>
      <c r="L2383" s="2"/>
      <c r="M2383" s="2"/>
      <c r="N2383" s="2"/>
      <c r="O2383" s="2"/>
      <c r="P2383" s="2"/>
    </row>
    <row r="2384" spans="1:16" x14ac:dyDescent="0.4">
      <c r="A2384">
        <v>2010</v>
      </c>
      <c r="B2384" s="2" t="s">
        <v>496</v>
      </c>
      <c r="C2384" s="2" t="s">
        <v>717</v>
      </c>
      <c r="D2384" s="2" t="s">
        <v>150</v>
      </c>
      <c r="E2384" s="70" t="s">
        <v>161</v>
      </c>
      <c r="F2384" s="29">
        <v>42</v>
      </c>
      <c r="G2384" s="29">
        <v>26</v>
      </c>
      <c r="H2384" s="12">
        <v>16</v>
      </c>
      <c r="J2384" s="2"/>
      <c r="K2384" s="2"/>
      <c r="L2384" s="2"/>
      <c r="M2384" s="2"/>
      <c r="N2384" s="2"/>
      <c r="O2384" s="2"/>
      <c r="P2384" s="2"/>
    </row>
    <row r="2385" spans="1:16" x14ac:dyDescent="0.4">
      <c r="A2385">
        <v>2010</v>
      </c>
      <c r="B2385" s="2" t="s">
        <v>497</v>
      </c>
      <c r="C2385" s="2" t="s">
        <v>717</v>
      </c>
      <c r="D2385" s="2" t="s">
        <v>150</v>
      </c>
      <c r="E2385" s="70" t="s">
        <v>162</v>
      </c>
      <c r="F2385" s="29">
        <v>264</v>
      </c>
      <c r="G2385" s="29">
        <v>160</v>
      </c>
      <c r="H2385" s="12">
        <v>104</v>
      </c>
      <c r="J2385" s="2"/>
      <c r="K2385" s="2"/>
      <c r="L2385" s="2"/>
      <c r="M2385" s="2"/>
      <c r="N2385" s="2"/>
      <c r="O2385" s="2"/>
      <c r="P2385" s="2"/>
    </row>
    <row r="2386" spans="1:16" x14ac:dyDescent="0.4">
      <c r="A2386">
        <v>2010</v>
      </c>
      <c r="B2386" s="2" t="s">
        <v>498</v>
      </c>
      <c r="C2386" s="2" t="s">
        <v>718</v>
      </c>
      <c r="D2386" s="2" t="s">
        <v>164</v>
      </c>
      <c r="E2386" s="70" t="s">
        <v>163</v>
      </c>
      <c r="F2386" s="29">
        <v>94</v>
      </c>
      <c r="G2386" s="29">
        <v>54</v>
      </c>
      <c r="H2386" s="12">
        <v>40</v>
      </c>
      <c r="J2386" s="2"/>
      <c r="K2386" s="2"/>
      <c r="L2386" s="2"/>
      <c r="M2386" s="2"/>
      <c r="N2386" s="2"/>
      <c r="O2386" s="2"/>
      <c r="P2386" s="2"/>
    </row>
    <row r="2387" spans="1:16" x14ac:dyDescent="0.4">
      <c r="A2387">
        <v>2010</v>
      </c>
      <c r="B2387" s="2" t="s">
        <v>499</v>
      </c>
      <c r="C2387" s="2" t="s">
        <v>718</v>
      </c>
      <c r="D2387" s="2" t="s">
        <v>164</v>
      </c>
      <c r="E2387" s="70" t="s">
        <v>165</v>
      </c>
      <c r="F2387" s="29">
        <v>122</v>
      </c>
      <c r="G2387" s="29">
        <v>74</v>
      </c>
      <c r="H2387" s="12">
        <v>48</v>
      </c>
      <c r="J2387" s="2"/>
      <c r="K2387" s="2"/>
      <c r="L2387" s="2"/>
      <c r="M2387" s="2"/>
      <c r="N2387" s="2"/>
      <c r="O2387" s="2"/>
      <c r="P2387" s="2"/>
    </row>
    <row r="2388" spans="1:16" x14ac:dyDescent="0.4">
      <c r="A2388">
        <v>2010</v>
      </c>
      <c r="B2388" s="2" t="s">
        <v>500</v>
      </c>
      <c r="C2388" s="2" t="s">
        <v>718</v>
      </c>
      <c r="D2388" s="2" t="s">
        <v>164</v>
      </c>
      <c r="E2388" s="70" t="s">
        <v>166</v>
      </c>
      <c r="F2388" s="29">
        <v>6434</v>
      </c>
      <c r="G2388" s="29">
        <v>3683</v>
      </c>
      <c r="H2388" s="12">
        <v>2751</v>
      </c>
      <c r="J2388" s="2"/>
      <c r="K2388" s="2"/>
      <c r="L2388" s="2"/>
      <c r="M2388" s="2"/>
      <c r="N2388" s="2"/>
      <c r="O2388" s="2"/>
      <c r="P2388" s="2"/>
    </row>
    <row r="2389" spans="1:16" x14ac:dyDescent="0.4">
      <c r="A2389">
        <v>2010</v>
      </c>
      <c r="B2389" s="2" t="s">
        <v>501</v>
      </c>
      <c r="C2389" s="2" t="s">
        <v>718</v>
      </c>
      <c r="D2389" s="2" t="s">
        <v>164</v>
      </c>
      <c r="E2389" s="70" t="s">
        <v>167</v>
      </c>
      <c r="F2389" s="29">
        <v>267</v>
      </c>
      <c r="G2389" s="29">
        <v>167</v>
      </c>
      <c r="H2389" s="12">
        <v>100</v>
      </c>
      <c r="J2389" s="2"/>
      <c r="K2389" s="2"/>
      <c r="L2389" s="2"/>
      <c r="M2389" s="2"/>
      <c r="N2389" s="2"/>
      <c r="O2389" s="2"/>
      <c r="P2389" s="2"/>
    </row>
    <row r="2390" spans="1:16" x14ac:dyDescent="0.4">
      <c r="A2390">
        <v>2010</v>
      </c>
      <c r="B2390" s="2" t="s">
        <v>502</v>
      </c>
      <c r="C2390" s="2" t="s">
        <v>718</v>
      </c>
      <c r="D2390" s="2" t="s">
        <v>164</v>
      </c>
      <c r="E2390" s="70" t="s">
        <v>168</v>
      </c>
      <c r="F2390" s="29">
        <v>466</v>
      </c>
      <c r="G2390" s="29">
        <v>300</v>
      </c>
      <c r="H2390" s="12">
        <v>166</v>
      </c>
      <c r="J2390" s="2"/>
      <c r="K2390" s="2"/>
      <c r="L2390" s="2"/>
      <c r="M2390" s="2"/>
      <c r="N2390" s="2"/>
      <c r="O2390" s="2"/>
      <c r="P2390" s="2"/>
    </row>
    <row r="2391" spans="1:16" x14ac:dyDescent="0.4">
      <c r="A2391">
        <v>2010</v>
      </c>
      <c r="B2391" s="2" t="s">
        <v>503</v>
      </c>
      <c r="C2391" s="2" t="s">
        <v>718</v>
      </c>
      <c r="D2391" s="2" t="s">
        <v>164</v>
      </c>
      <c r="E2391" s="70" t="s">
        <v>169</v>
      </c>
      <c r="F2391" s="29">
        <v>316</v>
      </c>
      <c r="G2391" s="29">
        <v>187</v>
      </c>
      <c r="H2391" s="12">
        <v>129</v>
      </c>
      <c r="J2391" s="2"/>
      <c r="K2391" s="2"/>
      <c r="L2391" s="2"/>
      <c r="M2391" s="2"/>
      <c r="N2391" s="2"/>
      <c r="O2391" s="2"/>
      <c r="P2391" s="2"/>
    </row>
    <row r="2392" spans="1:16" x14ac:dyDescent="0.4">
      <c r="A2392">
        <v>2010</v>
      </c>
      <c r="B2392" s="2" t="s">
        <v>504</v>
      </c>
      <c r="C2392" s="2" t="s">
        <v>718</v>
      </c>
      <c r="D2392" s="2" t="s">
        <v>164</v>
      </c>
      <c r="E2392" s="70" t="s">
        <v>170</v>
      </c>
      <c r="F2392" s="29">
        <v>91</v>
      </c>
      <c r="G2392" s="29">
        <v>60</v>
      </c>
      <c r="H2392" s="12">
        <v>31</v>
      </c>
      <c r="J2392" s="2"/>
      <c r="K2392" s="2"/>
      <c r="L2392" s="2"/>
      <c r="M2392" s="2"/>
      <c r="N2392" s="2"/>
      <c r="O2392" s="2"/>
      <c r="P2392" s="2"/>
    </row>
    <row r="2393" spans="1:16" x14ac:dyDescent="0.4">
      <c r="A2393">
        <v>2010</v>
      </c>
      <c r="B2393" s="2" t="s">
        <v>505</v>
      </c>
      <c r="C2393" s="2" t="s">
        <v>718</v>
      </c>
      <c r="D2393" s="2" t="s">
        <v>164</v>
      </c>
      <c r="E2393" s="70" t="s">
        <v>171</v>
      </c>
      <c r="F2393" s="29">
        <v>634</v>
      </c>
      <c r="G2393" s="29">
        <v>378</v>
      </c>
      <c r="H2393" s="12">
        <v>256</v>
      </c>
      <c r="J2393" s="2"/>
      <c r="K2393" s="2"/>
      <c r="L2393" s="2"/>
      <c r="M2393" s="2"/>
      <c r="N2393" s="2"/>
      <c r="O2393" s="2"/>
      <c r="P2393" s="2"/>
    </row>
    <row r="2394" spans="1:16" x14ac:dyDescent="0.4">
      <c r="A2394">
        <v>2010</v>
      </c>
      <c r="B2394" s="2" t="s">
        <v>506</v>
      </c>
      <c r="C2394" s="2" t="s">
        <v>718</v>
      </c>
      <c r="D2394" s="2" t="s">
        <v>164</v>
      </c>
      <c r="E2394" s="70" t="s">
        <v>53</v>
      </c>
      <c r="F2394" s="29">
        <v>166</v>
      </c>
      <c r="G2394" s="29">
        <v>97</v>
      </c>
      <c r="H2394" s="12">
        <v>69</v>
      </c>
      <c r="J2394" s="2"/>
      <c r="K2394" s="2"/>
      <c r="L2394" s="2"/>
      <c r="M2394" s="2"/>
      <c r="N2394" s="2"/>
      <c r="O2394" s="2"/>
      <c r="P2394" s="2"/>
    </row>
    <row r="2395" spans="1:16" x14ac:dyDescent="0.4">
      <c r="A2395">
        <v>2010</v>
      </c>
      <c r="B2395" s="2" t="s">
        <v>507</v>
      </c>
      <c r="C2395" s="2" t="s">
        <v>719</v>
      </c>
      <c r="D2395" s="2" t="s">
        <v>173</v>
      </c>
      <c r="E2395" s="70" t="s">
        <v>172</v>
      </c>
      <c r="F2395" s="29">
        <v>567</v>
      </c>
      <c r="G2395" s="29">
        <v>353</v>
      </c>
      <c r="H2395" s="12">
        <v>214</v>
      </c>
      <c r="J2395" s="2"/>
      <c r="K2395" s="2"/>
      <c r="L2395" s="2"/>
      <c r="M2395" s="2"/>
      <c r="N2395" s="2"/>
      <c r="O2395" s="2"/>
      <c r="P2395" s="2"/>
    </row>
    <row r="2396" spans="1:16" x14ac:dyDescent="0.4">
      <c r="A2396">
        <v>2010</v>
      </c>
      <c r="B2396" s="2" t="s">
        <v>508</v>
      </c>
      <c r="C2396" s="2" t="s">
        <v>719</v>
      </c>
      <c r="D2396" s="2" t="s">
        <v>173</v>
      </c>
      <c r="E2396" s="70" t="s">
        <v>174</v>
      </c>
      <c r="F2396" s="29">
        <v>46</v>
      </c>
      <c r="G2396" s="29">
        <v>29</v>
      </c>
      <c r="H2396" s="12">
        <v>17</v>
      </c>
      <c r="J2396" s="2"/>
      <c r="K2396" s="2"/>
      <c r="L2396" s="2"/>
      <c r="M2396" s="2"/>
      <c r="N2396" s="2"/>
      <c r="O2396" s="2"/>
      <c r="P2396" s="2"/>
    </row>
    <row r="2397" spans="1:16" x14ac:dyDescent="0.4">
      <c r="A2397">
        <v>2010</v>
      </c>
      <c r="B2397" s="2" t="s">
        <v>509</v>
      </c>
      <c r="C2397" s="2" t="s">
        <v>719</v>
      </c>
      <c r="D2397" s="2" t="s">
        <v>173</v>
      </c>
      <c r="E2397" s="70" t="s">
        <v>175</v>
      </c>
      <c r="F2397" s="29">
        <v>76</v>
      </c>
      <c r="G2397" s="29">
        <v>50</v>
      </c>
      <c r="H2397" s="12">
        <v>26</v>
      </c>
      <c r="J2397" s="2"/>
      <c r="K2397" s="2"/>
      <c r="L2397" s="2"/>
      <c r="M2397" s="2"/>
      <c r="N2397" s="2"/>
      <c r="O2397" s="2"/>
      <c r="P2397" s="2"/>
    </row>
    <row r="2398" spans="1:16" x14ac:dyDescent="0.4">
      <c r="A2398">
        <v>2010</v>
      </c>
      <c r="B2398" s="2" t="s">
        <v>510</v>
      </c>
      <c r="C2398" s="2" t="s">
        <v>719</v>
      </c>
      <c r="D2398" s="2" t="s">
        <v>173</v>
      </c>
      <c r="E2398" s="70" t="s">
        <v>176</v>
      </c>
      <c r="F2398" s="29">
        <v>14</v>
      </c>
      <c r="G2398" s="29">
        <v>12</v>
      </c>
      <c r="H2398" s="12">
        <v>2</v>
      </c>
      <c r="J2398" s="2"/>
      <c r="K2398" s="2"/>
      <c r="L2398" s="2"/>
      <c r="M2398" s="2"/>
      <c r="N2398" s="2"/>
      <c r="O2398" s="2"/>
      <c r="P2398" s="2"/>
    </row>
    <row r="2399" spans="1:16" x14ac:dyDescent="0.4">
      <c r="A2399">
        <v>2010</v>
      </c>
      <c r="B2399" s="2" t="s">
        <v>511</v>
      </c>
      <c r="C2399" s="2" t="s">
        <v>719</v>
      </c>
      <c r="D2399" s="2" t="s">
        <v>173</v>
      </c>
      <c r="E2399" s="70" t="s">
        <v>177</v>
      </c>
      <c r="F2399" s="29">
        <v>23</v>
      </c>
      <c r="G2399" s="29">
        <v>14</v>
      </c>
      <c r="H2399" s="12">
        <v>9</v>
      </c>
      <c r="J2399" s="2"/>
      <c r="K2399" s="2"/>
      <c r="L2399" s="2"/>
      <c r="M2399" s="2"/>
      <c r="N2399" s="2"/>
      <c r="O2399" s="2"/>
      <c r="P2399" s="2"/>
    </row>
    <row r="2400" spans="1:16" x14ac:dyDescent="0.4">
      <c r="A2400">
        <v>2010</v>
      </c>
      <c r="B2400" s="2" t="s">
        <v>512</v>
      </c>
      <c r="C2400" s="2" t="s">
        <v>719</v>
      </c>
      <c r="D2400" s="2" t="s">
        <v>173</v>
      </c>
      <c r="E2400" s="70" t="s">
        <v>178</v>
      </c>
      <c r="F2400" s="29">
        <v>296</v>
      </c>
      <c r="G2400" s="29">
        <v>197</v>
      </c>
      <c r="H2400" s="12">
        <v>99</v>
      </c>
      <c r="J2400" s="2"/>
      <c r="K2400" s="2"/>
      <c r="L2400" s="2"/>
      <c r="M2400" s="2"/>
      <c r="N2400" s="2"/>
      <c r="O2400" s="2"/>
      <c r="P2400" s="2"/>
    </row>
    <row r="2401" spans="1:16" x14ac:dyDescent="0.4">
      <c r="A2401">
        <v>2010</v>
      </c>
      <c r="B2401" s="2" t="s">
        <v>513</v>
      </c>
      <c r="C2401" s="2" t="s">
        <v>719</v>
      </c>
      <c r="D2401" s="2" t="s">
        <v>173</v>
      </c>
      <c r="E2401" s="70" t="s">
        <v>179</v>
      </c>
      <c r="F2401" s="29">
        <v>40</v>
      </c>
      <c r="G2401" s="29">
        <v>27</v>
      </c>
      <c r="H2401" s="12">
        <v>13</v>
      </c>
      <c r="J2401" s="2"/>
      <c r="K2401" s="2"/>
      <c r="L2401" s="2"/>
      <c r="M2401" s="2"/>
      <c r="N2401" s="2"/>
      <c r="O2401" s="2"/>
      <c r="P2401" s="2"/>
    </row>
    <row r="2402" spans="1:16" x14ac:dyDescent="0.4">
      <c r="A2402">
        <v>2010</v>
      </c>
      <c r="B2402" s="2" t="s">
        <v>514</v>
      </c>
      <c r="C2402" s="2" t="s">
        <v>719</v>
      </c>
      <c r="D2402" s="2" t="s">
        <v>173</v>
      </c>
      <c r="E2402" s="70" t="s">
        <v>180</v>
      </c>
      <c r="F2402" s="29">
        <v>116</v>
      </c>
      <c r="G2402" s="29">
        <v>69</v>
      </c>
      <c r="H2402" s="12">
        <v>47</v>
      </c>
      <c r="J2402" s="2"/>
      <c r="K2402" s="2"/>
      <c r="L2402" s="2"/>
      <c r="M2402" s="2"/>
      <c r="N2402" s="2"/>
      <c r="O2402" s="2"/>
      <c r="P2402" s="2"/>
    </row>
    <row r="2403" spans="1:16" x14ac:dyDescent="0.4">
      <c r="A2403">
        <v>2010</v>
      </c>
      <c r="B2403" s="2" t="s">
        <v>515</v>
      </c>
      <c r="C2403" s="2" t="s">
        <v>719</v>
      </c>
      <c r="D2403" s="2" t="s">
        <v>173</v>
      </c>
      <c r="E2403" s="70" t="s">
        <v>181</v>
      </c>
      <c r="F2403" s="29">
        <v>36</v>
      </c>
      <c r="G2403" s="29">
        <v>23</v>
      </c>
      <c r="H2403" s="12">
        <v>13</v>
      </c>
      <c r="J2403" s="2"/>
      <c r="K2403" s="2"/>
      <c r="L2403" s="2"/>
      <c r="M2403" s="2"/>
      <c r="N2403" s="2"/>
      <c r="O2403" s="2"/>
      <c r="P2403" s="2"/>
    </row>
    <row r="2404" spans="1:16" x14ac:dyDescent="0.4">
      <c r="A2404">
        <v>2010</v>
      </c>
      <c r="B2404" s="2" t="s">
        <v>516</v>
      </c>
      <c r="C2404" s="2" t="s">
        <v>719</v>
      </c>
      <c r="D2404" s="2" t="s">
        <v>173</v>
      </c>
      <c r="E2404" s="70" t="s">
        <v>182</v>
      </c>
      <c r="F2404" s="29">
        <v>66</v>
      </c>
      <c r="G2404" s="29">
        <v>42</v>
      </c>
      <c r="H2404" s="12">
        <v>24</v>
      </c>
      <c r="J2404" s="2"/>
      <c r="K2404" s="2"/>
      <c r="L2404" s="2"/>
      <c r="M2404" s="2"/>
      <c r="N2404" s="2"/>
      <c r="O2404" s="2"/>
      <c r="P2404" s="2"/>
    </row>
    <row r="2405" spans="1:16" x14ac:dyDescent="0.4">
      <c r="A2405">
        <v>2010</v>
      </c>
      <c r="B2405" s="2" t="s">
        <v>517</v>
      </c>
      <c r="C2405" s="2" t="s">
        <v>719</v>
      </c>
      <c r="D2405" s="2" t="s">
        <v>173</v>
      </c>
      <c r="E2405" s="70" t="s">
        <v>183</v>
      </c>
      <c r="F2405" s="29">
        <v>18</v>
      </c>
      <c r="G2405" s="29">
        <v>15</v>
      </c>
      <c r="H2405" s="12">
        <v>3</v>
      </c>
      <c r="J2405" s="2"/>
      <c r="K2405" s="2"/>
      <c r="L2405" s="2"/>
      <c r="M2405" s="2"/>
      <c r="N2405" s="2"/>
      <c r="O2405" s="2"/>
      <c r="P2405" s="2"/>
    </row>
    <row r="2406" spans="1:16" x14ac:dyDescent="0.4">
      <c r="A2406">
        <v>2010</v>
      </c>
      <c r="B2406" s="2" t="s">
        <v>518</v>
      </c>
      <c r="C2406" s="2" t="s">
        <v>719</v>
      </c>
      <c r="D2406" s="2" t="s">
        <v>173</v>
      </c>
      <c r="E2406" s="70" t="s">
        <v>44</v>
      </c>
      <c r="F2406" s="29">
        <v>2197</v>
      </c>
      <c r="G2406" s="29">
        <v>1265</v>
      </c>
      <c r="H2406" s="12">
        <v>932</v>
      </c>
      <c r="J2406" s="2"/>
      <c r="K2406" s="2"/>
      <c r="L2406" s="2"/>
      <c r="M2406" s="2"/>
      <c r="N2406" s="2"/>
      <c r="O2406" s="2"/>
      <c r="P2406" s="2"/>
    </row>
    <row r="2407" spans="1:16" x14ac:dyDescent="0.4">
      <c r="A2407">
        <v>2010</v>
      </c>
      <c r="B2407" s="2" t="s">
        <v>519</v>
      </c>
      <c r="C2407" s="2" t="s">
        <v>719</v>
      </c>
      <c r="D2407" s="2" t="s">
        <v>173</v>
      </c>
      <c r="E2407" s="70" t="s">
        <v>85</v>
      </c>
      <c r="F2407" s="29">
        <v>104</v>
      </c>
      <c r="G2407" s="29">
        <v>59</v>
      </c>
      <c r="H2407" s="12">
        <v>45</v>
      </c>
      <c r="J2407" s="2"/>
      <c r="K2407" s="2"/>
      <c r="L2407" s="2"/>
      <c r="M2407" s="2"/>
      <c r="N2407" s="2"/>
      <c r="O2407" s="2"/>
      <c r="P2407" s="2"/>
    </row>
    <row r="2408" spans="1:16" x14ac:dyDescent="0.4">
      <c r="A2408">
        <v>2010</v>
      </c>
      <c r="B2408" s="2" t="s">
        <v>520</v>
      </c>
      <c r="C2408" s="2" t="s">
        <v>719</v>
      </c>
      <c r="D2408" s="2" t="s">
        <v>173</v>
      </c>
      <c r="E2408" s="70" t="s">
        <v>184</v>
      </c>
      <c r="F2408" s="29">
        <v>84</v>
      </c>
      <c r="G2408" s="29">
        <v>63</v>
      </c>
      <c r="H2408" s="12">
        <v>21</v>
      </c>
      <c r="J2408" s="2"/>
      <c r="K2408" s="2"/>
      <c r="L2408" s="2"/>
      <c r="M2408" s="2"/>
      <c r="N2408" s="2"/>
      <c r="O2408" s="2"/>
      <c r="P2408" s="2"/>
    </row>
    <row r="2409" spans="1:16" x14ac:dyDescent="0.4">
      <c r="A2409">
        <v>2010</v>
      </c>
      <c r="B2409" s="2" t="s">
        <v>521</v>
      </c>
      <c r="C2409" s="2" t="s">
        <v>719</v>
      </c>
      <c r="D2409" s="2" t="s">
        <v>173</v>
      </c>
      <c r="E2409" s="70" t="s">
        <v>185</v>
      </c>
      <c r="F2409" s="29">
        <v>8</v>
      </c>
      <c r="G2409" s="29">
        <v>4</v>
      </c>
      <c r="H2409" s="12">
        <v>4</v>
      </c>
      <c r="J2409" s="2"/>
      <c r="K2409" s="2"/>
      <c r="L2409" s="2"/>
      <c r="M2409" s="2"/>
      <c r="N2409" s="2"/>
      <c r="O2409" s="2"/>
      <c r="P2409" s="2"/>
    </row>
    <row r="2410" spans="1:16" x14ac:dyDescent="0.4">
      <c r="A2410">
        <v>2010</v>
      </c>
      <c r="B2410" s="2" t="s">
        <v>522</v>
      </c>
      <c r="C2410" s="2" t="s">
        <v>719</v>
      </c>
      <c r="D2410" s="2" t="s">
        <v>173</v>
      </c>
      <c r="E2410" s="70" t="s">
        <v>186</v>
      </c>
      <c r="F2410" s="29">
        <v>45</v>
      </c>
      <c r="G2410" s="29">
        <v>32</v>
      </c>
      <c r="H2410" s="12">
        <v>13</v>
      </c>
      <c r="J2410" s="2"/>
      <c r="K2410" s="2"/>
      <c r="L2410" s="2"/>
      <c r="M2410" s="2"/>
      <c r="N2410" s="2"/>
      <c r="O2410" s="2"/>
      <c r="P2410" s="2"/>
    </row>
    <row r="2411" spans="1:16" x14ac:dyDescent="0.4">
      <c r="A2411">
        <v>2010</v>
      </c>
      <c r="B2411" s="2" t="s">
        <v>523</v>
      </c>
      <c r="C2411" s="2" t="s">
        <v>719</v>
      </c>
      <c r="D2411" s="2" t="s">
        <v>173</v>
      </c>
      <c r="E2411" s="70" t="s">
        <v>187</v>
      </c>
      <c r="F2411" s="29">
        <v>61</v>
      </c>
      <c r="G2411" s="29">
        <v>39</v>
      </c>
      <c r="H2411" s="12">
        <v>22</v>
      </c>
      <c r="J2411" s="2"/>
      <c r="K2411" s="2"/>
      <c r="L2411" s="2"/>
      <c r="M2411" s="2"/>
      <c r="N2411" s="2"/>
      <c r="O2411" s="2"/>
      <c r="P2411" s="2"/>
    </row>
    <row r="2412" spans="1:16" x14ac:dyDescent="0.4">
      <c r="A2412">
        <v>2010</v>
      </c>
      <c r="B2412" s="2" t="s">
        <v>524</v>
      </c>
      <c r="C2412" s="2" t="s">
        <v>719</v>
      </c>
      <c r="D2412" s="2" t="s">
        <v>173</v>
      </c>
      <c r="E2412" s="70" t="s">
        <v>188</v>
      </c>
      <c r="F2412" s="29">
        <v>60</v>
      </c>
      <c r="G2412" s="29">
        <v>35</v>
      </c>
      <c r="H2412" s="12">
        <v>25</v>
      </c>
      <c r="J2412" s="2"/>
      <c r="K2412" s="2"/>
      <c r="L2412" s="2"/>
      <c r="M2412" s="2"/>
      <c r="N2412" s="2"/>
      <c r="O2412" s="2"/>
      <c r="P2412" s="2"/>
    </row>
    <row r="2413" spans="1:16" x14ac:dyDescent="0.4">
      <c r="A2413">
        <v>2010</v>
      </c>
      <c r="B2413" s="2" t="s">
        <v>525</v>
      </c>
      <c r="C2413" s="2" t="s">
        <v>719</v>
      </c>
      <c r="D2413" s="2" t="s">
        <v>173</v>
      </c>
      <c r="E2413" s="70" t="s">
        <v>189</v>
      </c>
      <c r="F2413" s="29">
        <v>37</v>
      </c>
      <c r="G2413" s="29">
        <v>25</v>
      </c>
      <c r="H2413" s="12">
        <v>12</v>
      </c>
      <c r="J2413" s="2"/>
      <c r="K2413" s="2"/>
      <c r="L2413" s="2"/>
      <c r="M2413" s="2"/>
      <c r="N2413" s="2"/>
      <c r="O2413" s="2"/>
      <c r="P2413" s="2"/>
    </row>
    <row r="2414" spans="1:16" x14ac:dyDescent="0.4">
      <c r="A2414">
        <v>2010</v>
      </c>
      <c r="B2414" s="2" t="s">
        <v>526</v>
      </c>
      <c r="C2414" s="2" t="s">
        <v>719</v>
      </c>
      <c r="D2414" s="2" t="s">
        <v>173</v>
      </c>
      <c r="E2414" s="70" t="s">
        <v>51</v>
      </c>
      <c r="F2414" s="29">
        <v>179</v>
      </c>
      <c r="G2414" s="29">
        <v>113</v>
      </c>
      <c r="H2414" s="12">
        <v>66</v>
      </c>
      <c r="J2414" s="2"/>
      <c r="K2414" s="2"/>
      <c r="L2414" s="2"/>
      <c r="M2414" s="2"/>
      <c r="N2414" s="2"/>
      <c r="O2414" s="2"/>
      <c r="P2414" s="2"/>
    </row>
    <row r="2415" spans="1:16" x14ac:dyDescent="0.4">
      <c r="A2415">
        <v>2010</v>
      </c>
      <c r="B2415" s="2" t="s">
        <v>527</v>
      </c>
      <c r="C2415" s="2" t="s">
        <v>719</v>
      </c>
      <c r="D2415" s="2" t="s">
        <v>173</v>
      </c>
      <c r="E2415" s="70" t="s">
        <v>52</v>
      </c>
      <c r="F2415" s="29">
        <v>177</v>
      </c>
      <c r="G2415" s="29">
        <v>96</v>
      </c>
      <c r="H2415" s="12">
        <v>81</v>
      </c>
      <c r="J2415" s="2"/>
      <c r="K2415" s="2"/>
      <c r="L2415" s="2"/>
      <c r="M2415" s="2"/>
      <c r="N2415" s="2"/>
      <c r="O2415" s="2"/>
      <c r="P2415" s="2"/>
    </row>
    <row r="2416" spans="1:16" x14ac:dyDescent="0.4">
      <c r="A2416">
        <v>2010</v>
      </c>
      <c r="B2416" s="2" t="s">
        <v>528</v>
      </c>
      <c r="C2416" s="2" t="s">
        <v>719</v>
      </c>
      <c r="D2416" s="2" t="s">
        <v>173</v>
      </c>
      <c r="E2416" s="70" t="s">
        <v>190</v>
      </c>
      <c r="F2416" s="29">
        <v>105</v>
      </c>
      <c r="G2416" s="29">
        <v>59</v>
      </c>
      <c r="H2416" s="12">
        <v>46</v>
      </c>
      <c r="J2416" s="2"/>
      <c r="K2416" s="2"/>
      <c r="L2416" s="2"/>
      <c r="M2416" s="2"/>
      <c r="N2416" s="2"/>
      <c r="O2416" s="2"/>
      <c r="P2416" s="2"/>
    </row>
    <row r="2417" spans="1:16" x14ac:dyDescent="0.4">
      <c r="A2417">
        <v>2010</v>
      </c>
      <c r="B2417" s="2" t="s">
        <v>529</v>
      </c>
      <c r="C2417" s="2" t="s">
        <v>719</v>
      </c>
      <c r="D2417" s="2" t="s">
        <v>173</v>
      </c>
      <c r="E2417" s="70" t="s">
        <v>191</v>
      </c>
      <c r="F2417" s="29">
        <v>51</v>
      </c>
      <c r="G2417" s="29">
        <v>29</v>
      </c>
      <c r="H2417" s="12">
        <v>22</v>
      </c>
      <c r="J2417" s="2"/>
      <c r="K2417" s="2"/>
      <c r="L2417" s="2"/>
      <c r="M2417" s="2"/>
      <c r="N2417" s="2"/>
      <c r="O2417" s="2"/>
      <c r="P2417" s="2"/>
    </row>
    <row r="2418" spans="1:16" x14ac:dyDescent="0.4">
      <c r="A2418">
        <v>2010</v>
      </c>
      <c r="B2418" s="2" t="s">
        <v>530</v>
      </c>
      <c r="C2418" s="2" t="s">
        <v>720</v>
      </c>
      <c r="D2418" s="2" t="s">
        <v>193</v>
      </c>
      <c r="E2418" s="70" t="s">
        <v>192</v>
      </c>
      <c r="F2418" s="29">
        <v>391</v>
      </c>
      <c r="G2418" s="29">
        <v>274</v>
      </c>
      <c r="H2418" s="12">
        <v>117</v>
      </c>
      <c r="J2418" s="2"/>
      <c r="K2418" s="2"/>
      <c r="L2418" s="2"/>
      <c r="M2418" s="2"/>
      <c r="N2418" s="2"/>
      <c r="O2418" s="2"/>
      <c r="P2418" s="2"/>
    </row>
    <row r="2419" spans="1:16" x14ac:dyDescent="0.4">
      <c r="A2419">
        <v>2010</v>
      </c>
      <c r="B2419" s="2" t="s">
        <v>531</v>
      </c>
      <c r="C2419" s="2" t="s">
        <v>720</v>
      </c>
      <c r="D2419" s="2" t="s">
        <v>193</v>
      </c>
      <c r="E2419" s="70" t="s">
        <v>174</v>
      </c>
      <c r="F2419" s="29">
        <v>123</v>
      </c>
      <c r="G2419" s="29">
        <v>75</v>
      </c>
      <c r="H2419" s="12">
        <v>48</v>
      </c>
      <c r="J2419" s="2"/>
      <c r="K2419" s="2"/>
      <c r="L2419" s="2"/>
      <c r="M2419" s="2"/>
      <c r="N2419" s="2"/>
      <c r="O2419" s="2"/>
      <c r="P2419" s="2"/>
    </row>
    <row r="2420" spans="1:16" x14ac:dyDescent="0.4">
      <c r="A2420">
        <v>2010</v>
      </c>
      <c r="B2420" s="2" t="s">
        <v>532</v>
      </c>
      <c r="C2420" s="2" t="s">
        <v>720</v>
      </c>
      <c r="D2420" s="2" t="s">
        <v>193</v>
      </c>
      <c r="E2420" s="70" t="s">
        <v>194</v>
      </c>
      <c r="F2420" s="29">
        <v>1865</v>
      </c>
      <c r="G2420" s="29">
        <v>937</v>
      </c>
      <c r="H2420" s="12">
        <v>928</v>
      </c>
      <c r="J2420" s="2"/>
      <c r="K2420" s="2"/>
      <c r="L2420" s="2"/>
      <c r="M2420" s="2"/>
      <c r="N2420" s="2"/>
      <c r="O2420" s="2"/>
      <c r="P2420" s="2"/>
    </row>
    <row r="2421" spans="1:16" x14ac:dyDescent="0.4">
      <c r="A2421">
        <v>2010</v>
      </c>
      <c r="B2421" s="2" t="s">
        <v>533</v>
      </c>
      <c r="C2421" s="2" t="s">
        <v>720</v>
      </c>
      <c r="D2421" s="2" t="s">
        <v>193</v>
      </c>
      <c r="E2421" s="70" t="s">
        <v>195</v>
      </c>
      <c r="F2421" s="29">
        <v>267</v>
      </c>
      <c r="G2421" s="29">
        <v>175</v>
      </c>
      <c r="H2421" s="12">
        <v>92</v>
      </c>
      <c r="J2421" s="2"/>
      <c r="K2421" s="2"/>
      <c r="L2421" s="2"/>
      <c r="M2421" s="2"/>
      <c r="N2421" s="2"/>
      <c r="O2421" s="2"/>
      <c r="P2421" s="2"/>
    </row>
    <row r="2422" spans="1:16" x14ac:dyDescent="0.4">
      <c r="A2422">
        <v>2010</v>
      </c>
      <c r="B2422" s="2" t="s">
        <v>534</v>
      </c>
      <c r="C2422" s="2" t="s">
        <v>720</v>
      </c>
      <c r="D2422" s="2" t="s">
        <v>193</v>
      </c>
      <c r="E2422" s="70" t="s">
        <v>196</v>
      </c>
      <c r="F2422" s="29">
        <v>90</v>
      </c>
      <c r="G2422" s="29">
        <v>60</v>
      </c>
      <c r="H2422" s="12">
        <v>30</v>
      </c>
      <c r="J2422" s="2"/>
      <c r="K2422" s="2"/>
      <c r="L2422" s="2"/>
      <c r="M2422" s="2"/>
      <c r="N2422" s="2"/>
      <c r="O2422" s="2"/>
      <c r="P2422" s="2"/>
    </row>
    <row r="2423" spans="1:16" x14ac:dyDescent="0.4">
      <c r="A2423">
        <v>2010</v>
      </c>
      <c r="B2423" s="2" t="s">
        <v>535</v>
      </c>
      <c r="C2423" s="2" t="s">
        <v>720</v>
      </c>
      <c r="D2423" s="2" t="s">
        <v>193</v>
      </c>
      <c r="E2423" s="70" t="s">
        <v>197</v>
      </c>
      <c r="F2423" s="29">
        <v>199</v>
      </c>
      <c r="G2423" s="29">
        <v>113</v>
      </c>
      <c r="H2423" s="12">
        <v>86</v>
      </c>
      <c r="J2423" s="2"/>
      <c r="K2423" s="2"/>
      <c r="L2423" s="2"/>
      <c r="M2423" s="2"/>
      <c r="N2423" s="2"/>
      <c r="O2423" s="2"/>
      <c r="P2423" s="2"/>
    </row>
    <row r="2424" spans="1:16" x14ac:dyDescent="0.4">
      <c r="A2424">
        <v>2010</v>
      </c>
      <c r="B2424" s="2" t="s">
        <v>536</v>
      </c>
      <c r="C2424" s="2" t="s">
        <v>720</v>
      </c>
      <c r="D2424" s="2" t="s">
        <v>193</v>
      </c>
      <c r="E2424" s="70" t="s">
        <v>198</v>
      </c>
      <c r="F2424" s="29">
        <v>815</v>
      </c>
      <c r="G2424" s="29">
        <v>415</v>
      </c>
      <c r="H2424" s="12">
        <v>400</v>
      </c>
      <c r="J2424" s="2"/>
      <c r="K2424" s="2"/>
      <c r="L2424" s="2"/>
      <c r="M2424" s="2"/>
      <c r="N2424" s="2"/>
      <c r="O2424" s="2"/>
      <c r="P2424" s="2"/>
    </row>
    <row r="2425" spans="1:16" x14ac:dyDescent="0.4">
      <c r="A2425">
        <v>2010</v>
      </c>
      <c r="B2425" s="2" t="s">
        <v>537</v>
      </c>
      <c r="C2425" s="2" t="s">
        <v>720</v>
      </c>
      <c r="D2425" s="2" t="s">
        <v>193</v>
      </c>
      <c r="E2425" s="70" t="s">
        <v>199</v>
      </c>
      <c r="F2425" s="29">
        <v>412</v>
      </c>
      <c r="G2425" s="29">
        <v>281</v>
      </c>
      <c r="H2425" s="12">
        <v>131</v>
      </c>
      <c r="J2425" s="2"/>
      <c r="K2425" s="2"/>
      <c r="L2425" s="2"/>
      <c r="M2425" s="2"/>
      <c r="N2425" s="2"/>
      <c r="O2425" s="2"/>
      <c r="P2425" s="2"/>
    </row>
    <row r="2426" spans="1:16" x14ac:dyDescent="0.4">
      <c r="A2426">
        <v>2010</v>
      </c>
      <c r="B2426" s="2" t="s">
        <v>538</v>
      </c>
      <c r="C2426" s="2" t="s">
        <v>720</v>
      </c>
      <c r="D2426" s="2" t="s">
        <v>193</v>
      </c>
      <c r="E2426" s="70" t="s">
        <v>200</v>
      </c>
      <c r="F2426" s="29">
        <v>165</v>
      </c>
      <c r="G2426" s="29">
        <v>104</v>
      </c>
      <c r="H2426" s="12">
        <v>61</v>
      </c>
      <c r="J2426" s="2"/>
      <c r="K2426" s="2"/>
      <c r="L2426" s="2"/>
      <c r="M2426" s="2"/>
      <c r="N2426" s="2"/>
      <c r="O2426" s="2"/>
      <c r="P2426" s="2"/>
    </row>
    <row r="2427" spans="1:16" x14ac:dyDescent="0.4">
      <c r="A2427">
        <v>2010</v>
      </c>
      <c r="B2427" s="2" t="s">
        <v>539</v>
      </c>
      <c r="C2427" s="2" t="s">
        <v>720</v>
      </c>
      <c r="D2427" s="2" t="s">
        <v>193</v>
      </c>
      <c r="E2427" s="70" t="s">
        <v>201</v>
      </c>
      <c r="F2427" s="29">
        <v>1342</v>
      </c>
      <c r="G2427" s="29">
        <v>836</v>
      </c>
      <c r="H2427" s="12">
        <v>506</v>
      </c>
      <c r="J2427" s="2"/>
      <c r="K2427" s="2"/>
      <c r="L2427" s="2"/>
      <c r="M2427" s="2"/>
      <c r="N2427" s="2"/>
      <c r="O2427" s="2"/>
      <c r="P2427" s="2"/>
    </row>
    <row r="2428" spans="1:16" x14ac:dyDescent="0.4">
      <c r="A2428">
        <v>2010</v>
      </c>
      <c r="B2428" s="2" t="s">
        <v>540</v>
      </c>
      <c r="C2428" s="2" t="s">
        <v>720</v>
      </c>
      <c r="D2428" s="2" t="s">
        <v>193</v>
      </c>
      <c r="E2428" s="70" t="s">
        <v>14</v>
      </c>
      <c r="F2428" s="29">
        <v>618</v>
      </c>
      <c r="G2428" s="29">
        <v>424</v>
      </c>
      <c r="H2428" s="12">
        <v>194</v>
      </c>
      <c r="J2428" s="2"/>
      <c r="K2428" s="2"/>
      <c r="L2428" s="2"/>
      <c r="M2428" s="2"/>
      <c r="N2428" s="2"/>
      <c r="O2428" s="2"/>
      <c r="P2428" s="2"/>
    </row>
    <row r="2429" spans="1:16" x14ac:dyDescent="0.4">
      <c r="A2429">
        <v>2010</v>
      </c>
      <c r="B2429" s="2" t="s">
        <v>541</v>
      </c>
      <c r="C2429" s="2" t="s">
        <v>720</v>
      </c>
      <c r="D2429" s="2" t="s">
        <v>193</v>
      </c>
      <c r="E2429" s="70" t="s">
        <v>202</v>
      </c>
      <c r="F2429" s="29">
        <v>591</v>
      </c>
      <c r="G2429" s="29">
        <v>411</v>
      </c>
      <c r="H2429" s="12">
        <v>180</v>
      </c>
      <c r="J2429" s="2"/>
      <c r="K2429" s="2"/>
      <c r="L2429" s="2"/>
      <c r="M2429" s="2"/>
      <c r="N2429" s="2"/>
      <c r="O2429" s="2"/>
      <c r="P2429" s="2"/>
    </row>
    <row r="2430" spans="1:16" x14ac:dyDescent="0.4">
      <c r="A2430">
        <v>2010</v>
      </c>
      <c r="B2430" s="2" t="s">
        <v>542</v>
      </c>
      <c r="C2430" s="2" t="s">
        <v>720</v>
      </c>
      <c r="D2430" s="2" t="s">
        <v>193</v>
      </c>
      <c r="E2430" s="70" t="s">
        <v>203</v>
      </c>
      <c r="F2430" s="29">
        <v>231</v>
      </c>
      <c r="G2430" s="29">
        <v>114</v>
      </c>
      <c r="H2430" s="12">
        <v>117</v>
      </c>
      <c r="J2430" s="2"/>
      <c r="K2430" s="2"/>
      <c r="L2430" s="2"/>
      <c r="M2430" s="2"/>
      <c r="N2430" s="2"/>
      <c r="O2430" s="2"/>
      <c r="P2430" s="2"/>
    </row>
    <row r="2431" spans="1:16" x14ac:dyDescent="0.4">
      <c r="A2431">
        <v>2010</v>
      </c>
      <c r="B2431" s="2" t="s">
        <v>543</v>
      </c>
      <c r="C2431" s="2" t="s">
        <v>720</v>
      </c>
      <c r="D2431" s="2" t="s">
        <v>193</v>
      </c>
      <c r="E2431" s="70" t="s">
        <v>32</v>
      </c>
      <c r="F2431" s="29">
        <v>185</v>
      </c>
      <c r="G2431" s="29">
        <v>117</v>
      </c>
      <c r="H2431" s="12">
        <v>68</v>
      </c>
      <c r="J2431" s="2"/>
      <c r="K2431" s="2"/>
      <c r="L2431" s="2"/>
      <c r="M2431" s="2"/>
      <c r="N2431" s="2"/>
      <c r="O2431" s="2"/>
      <c r="P2431" s="2"/>
    </row>
    <row r="2432" spans="1:16" x14ac:dyDescent="0.4">
      <c r="A2432">
        <v>2010</v>
      </c>
      <c r="B2432" s="2" t="s">
        <v>544</v>
      </c>
      <c r="C2432" s="2" t="s">
        <v>720</v>
      </c>
      <c r="D2432" s="2" t="s">
        <v>193</v>
      </c>
      <c r="E2432" s="70" t="s">
        <v>204</v>
      </c>
      <c r="F2432" s="29">
        <v>343</v>
      </c>
      <c r="G2432" s="29">
        <v>229</v>
      </c>
      <c r="H2432" s="12">
        <v>114</v>
      </c>
      <c r="J2432" s="2"/>
      <c r="K2432" s="2"/>
      <c r="L2432" s="2"/>
      <c r="M2432" s="2"/>
      <c r="N2432" s="2"/>
      <c r="O2432" s="2"/>
      <c r="P2432" s="2"/>
    </row>
    <row r="2433" spans="1:16" x14ac:dyDescent="0.4">
      <c r="A2433">
        <v>2010</v>
      </c>
      <c r="B2433" s="2" t="s">
        <v>545</v>
      </c>
      <c r="C2433" s="2" t="s">
        <v>720</v>
      </c>
      <c r="D2433" s="2" t="s">
        <v>193</v>
      </c>
      <c r="E2433" s="70" t="s">
        <v>205</v>
      </c>
      <c r="F2433" s="29">
        <v>54</v>
      </c>
      <c r="G2433" s="29">
        <v>32</v>
      </c>
      <c r="H2433" s="12">
        <v>22</v>
      </c>
      <c r="J2433" s="2"/>
      <c r="K2433" s="2"/>
      <c r="L2433" s="2"/>
      <c r="M2433" s="2"/>
      <c r="N2433" s="2"/>
      <c r="O2433" s="2"/>
      <c r="P2433" s="2"/>
    </row>
    <row r="2434" spans="1:16" x14ac:dyDescent="0.4">
      <c r="A2434">
        <v>2010</v>
      </c>
      <c r="B2434" s="2" t="s">
        <v>546</v>
      </c>
      <c r="C2434" s="2" t="s">
        <v>720</v>
      </c>
      <c r="D2434" s="2" t="s">
        <v>193</v>
      </c>
      <c r="E2434" s="70" t="s">
        <v>206</v>
      </c>
      <c r="F2434" s="29">
        <v>819</v>
      </c>
      <c r="G2434" s="29">
        <v>528</v>
      </c>
      <c r="H2434" s="12">
        <v>291</v>
      </c>
      <c r="J2434" s="2"/>
      <c r="K2434" s="2"/>
      <c r="L2434" s="2"/>
      <c r="M2434" s="2"/>
      <c r="N2434" s="2"/>
      <c r="O2434" s="2"/>
      <c r="P2434" s="2"/>
    </row>
    <row r="2435" spans="1:16" x14ac:dyDescent="0.4">
      <c r="A2435">
        <v>2010</v>
      </c>
      <c r="B2435" s="2" t="s">
        <v>547</v>
      </c>
      <c r="C2435" s="2" t="s">
        <v>720</v>
      </c>
      <c r="D2435" s="2" t="s">
        <v>193</v>
      </c>
      <c r="E2435" s="70" t="s">
        <v>25</v>
      </c>
      <c r="F2435" s="29">
        <v>107</v>
      </c>
      <c r="G2435" s="29">
        <v>79</v>
      </c>
      <c r="H2435" s="12">
        <v>28</v>
      </c>
      <c r="J2435" s="2"/>
      <c r="K2435" s="2"/>
      <c r="L2435" s="2"/>
      <c r="M2435" s="2"/>
      <c r="N2435" s="2"/>
      <c r="O2435" s="2"/>
      <c r="P2435" s="2"/>
    </row>
    <row r="2436" spans="1:16" x14ac:dyDescent="0.4">
      <c r="A2436">
        <v>2010</v>
      </c>
      <c r="B2436" s="2" t="s">
        <v>548</v>
      </c>
      <c r="C2436" s="2" t="s">
        <v>720</v>
      </c>
      <c r="D2436" s="2" t="s">
        <v>193</v>
      </c>
      <c r="E2436" s="70" t="s">
        <v>51</v>
      </c>
      <c r="F2436" s="29">
        <v>3773</v>
      </c>
      <c r="G2436" s="29">
        <v>2454</v>
      </c>
      <c r="H2436" s="12">
        <v>1319</v>
      </c>
      <c r="J2436" s="2"/>
      <c r="K2436" s="2"/>
      <c r="L2436" s="2"/>
      <c r="M2436" s="2"/>
      <c r="N2436" s="2"/>
      <c r="O2436" s="2"/>
      <c r="P2436" s="2"/>
    </row>
    <row r="2437" spans="1:16" x14ac:dyDescent="0.4">
      <c r="A2437">
        <v>2010</v>
      </c>
      <c r="B2437" s="2" t="s">
        <v>549</v>
      </c>
      <c r="C2437" s="2" t="s">
        <v>720</v>
      </c>
      <c r="D2437" s="2" t="s">
        <v>193</v>
      </c>
      <c r="E2437" s="70" t="s">
        <v>53</v>
      </c>
      <c r="F2437" s="29">
        <v>548</v>
      </c>
      <c r="G2437" s="29">
        <v>354</v>
      </c>
      <c r="H2437" s="12">
        <v>194</v>
      </c>
      <c r="J2437" s="2"/>
      <c r="K2437" s="2"/>
      <c r="L2437" s="2"/>
      <c r="M2437" s="2"/>
      <c r="N2437" s="2"/>
      <c r="O2437" s="2"/>
      <c r="P2437" s="2"/>
    </row>
    <row r="2438" spans="1:16" x14ac:dyDescent="0.4">
      <c r="A2438">
        <v>2010</v>
      </c>
      <c r="B2438" s="2" t="s">
        <v>550</v>
      </c>
      <c r="C2438" s="2" t="s">
        <v>720</v>
      </c>
      <c r="D2438" s="2" t="s">
        <v>193</v>
      </c>
      <c r="E2438" s="70" t="s">
        <v>54</v>
      </c>
      <c r="F2438" s="29">
        <v>616</v>
      </c>
      <c r="G2438" s="29">
        <v>398</v>
      </c>
      <c r="H2438" s="12">
        <v>218</v>
      </c>
      <c r="J2438" s="2"/>
      <c r="K2438" s="2"/>
      <c r="L2438" s="2"/>
      <c r="M2438" s="2"/>
      <c r="N2438" s="2"/>
      <c r="O2438" s="2"/>
      <c r="P2438" s="2"/>
    </row>
    <row r="2439" spans="1:16" x14ac:dyDescent="0.4">
      <c r="A2439">
        <v>2010</v>
      </c>
      <c r="B2439" s="2" t="s">
        <v>551</v>
      </c>
      <c r="C2439" s="2" t="s">
        <v>721</v>
      </c>
      <c r="D2439" s="2" t="s">
        <v>207</v>
      </c>
      <c r="E2439" s="70" t="s">
        <v>128</v>
      </c>
      <c r="F2439" s="29">
        <v>47</v>
      </c>
      <c r="G2439" s="29">
        <v>25</v>
      </c>
      <c r="H2439" s="12">
        <v>22</v>
      </c>
      <c r="J2439" s="2"/>
      <c r="K2439" s="2"/>
      <c r="L2439" s="2"/>
      <c r="M2439" s="2"/>
      <c r="N2439" s="2"/>
      <c r="O2439" s="2"/>
      <c r="P2439" s="2"/>
    </row>
    <row r="2440" spans="1:16" x14ac:dyDescent="0.4">
      <c r="A2440">
        <v>2010</v>
      </c>
      <c r="B2440" s="2" t="s">
        <v>552</v>
      </c>
      <c r="C2440" s="2" t="s">
        <v>721</v>
      </c>
      <c r="D2440" s="2" t="s">
        <v>207</v>
      </c>
      <c r="E2440" s="70" t="s">
        <v>208</v>
      </c>
      <c r="F2440" s="29">
        <v>26</v>
      </c>
      <c r="G2440" s="29">
        <v>20</v>
      </c>
      <c r="H2440" s="12">
        <v>6</v>
      </c>
      <c r="J2440" s="2"/>
      <c r="K2440" s="2"/>
      <c r="L2440" s="2"/>
      <c r="M2440" s="2"/>
      <c r="N2440" s="2"/>
      <c r="O2440" s="2"/>
      <c r="P2440" s="2"/>
    </row>
    <row r="2441" spans="1:16" x14ac:dyDescent="0.4">
      <c r="A2441">
        <v>2010</v>
      </c>
      <c r="B2441" s="2" t="s">
        <v>553</v>
      </c>
      <c r="C2441" s="2" t="s">
        <v>721</v>
      </c>
      <c r="D2441" s="2" t="s">
        <v>207</v>
      </c>
      <c r="E2441" s="70" t="s">
        <v>36</v>
      </c>
      <c r="F2441" s="29">
        <v>146</v>
      </c>
      <c r="G2441" s="29">
        <v>89</v>
      </c>
      <c r="H2441" s="12">
        <v>57</v>
      </c>
      <c r="J2441" s="2"/>
      <c r="K2441" s="2"/>
      <c r="L2441" s="2"/>
      <c r="M2441" s="2"/>
      <c r="N2441" s="2"/>
      <c r="O2441" s="2"/>
      <c r="P2441" s="2"/>
    </row>
    <row r="2442" spans="1:16" x14ac:dyDescent="0.4">
      <c r="A2442">
        <v>2010</v>
      </c>
      <c r="B2442" s="2" t="s">
        <v>554</v>
      </c>
      <c r="C2442" s="2" t="s">
        <v>721</v>
      </c>
      <c r="D2442" s="2" t="s">
        <v>207</v>
      </c>
      <c r="E2442" s="70" t="s">
        <v>209</v>
      </c>
      <c r="F2442" s="29">
        <v>132</v>
      </c>
      <c r="G2442" s="29">
        <v>79</v>
      </c>
      <c r="H2442" s="12">
        <v>53</v>
      </c>
      <c r="J2442" s="2"/>
      <c r="K2442" s="2"/>
      <c r="L2442" s="2"/>
      <c r="M2442" s="2"/>
      <c r="N2442" s="2"/>
      <c r="O2442" s="2"/>
      <c r="P2442" s="2"/>
    </row>
    <row r="2443" spans="1:16" x14ac:dyDescent="0.4">
      <c r="A2443">
        <v>2010</v>
      </c>
      <c r="B2443" s="2" t="s">
        <v>555</v>
      </c>
      <c r="C2443" s="2" t="s">
        <v>721</v>
      </c>
      <c r="D2443" s="2" t="s">
        <v>207</v>
      </c>
      <c r="E2443" s="70" t="s">
        <v>69</v>
      </c>
      <c r="F2443" s="29">
        <v>79</v>
      </c>
      <c r="G2443" s="29">
        <v>54</v>
      </c>
      <c r="H2443" s="12">
        <v>25</v>
      </c>
      <c r="J2443" s="2"/>
      <c r="K2443" s="2"/>
      <c r="L2443" s="2"/>
      <c r="M2443" s="2"/>
      <c r="N2443" s="2"/>
      <c r="O2443" s="2"/>
      <c r="P2443" s="2"/>
    </row>
    <row r="2444" spans="1:16" x14ac:dyDescent="0.4">
      <c r="A2444">
        <v>2010</v>
      </c>
      <c r="B2444" s="2" t="s">
        <v>556</v>
      </c>
      <c r="C2444" s="2" t="s">
        <v>721</v>
      </c>
      <c r="D2444" s="2" t="s">
        <v>207</v>
      </c>
      <c r="E2444" s="70" t="s">
        <v>62</v>
      </c>
      <c r="F2444" s="29">
        <v>185</v>
      </c>
      <c r="G2444" s="29">
        <v>116</v>
      </c>
      <c r="H2444" s="12">
        <v>69</v>
      </c>
      <c r="J2444" s="2"/>
      <c r="K2444" s="2"/>
      <c r="L2444" s="2"/>
      <c r="M2444" s="2"/>
      <c r="N2444" s="2"/>
      <c r="O2444" s="2"/>
      <c r="P2444" s="2"/>
    </row>
    <row r="2445" spans="1:16" x14ac:dyDescent="0.4">
      <c r="A2445">
        <v>2010</v>
      </c>
      <c r="B2445" s="2" t="s">
        <v>557</v>
      </c>
      <c r="C2445" s="2" t="s">
        <v>721</v>
      </c>
      <c r="D2445" s="2" t="s">
        <v>207</v>
      </c>
      <c r="E2445" s="70" t="s">
        <v>44</v>
      </c>
      <c r="F2445" s="29">
        <v>32</v>
      </c>
      <c r="G2445" s="29">
        <v>25</v>
      </c>
      <c r="H2445" s="12">
        <v>7</v>
      </c>
      <c r="J2445" s="2"/>
      <c r="K2445" s="2"/>
      <c r="L2445" s="2"/>
      <c r="M2445" s="2"/>
      <c r="N2445" s="2"/>
      <c r="O2445" s="2"/>
      <c r="P2445" s="2"/>
    </row>
    <row r="2446" spans="1:16" x14ac:dyDescent="0.4">
      <c r="A2446">
        <v>2010</v>
      </c>
      <c r="B2446" s="2" t="s">
        <v>558</v>
      </c>
      <c r="C2446" s="2" t="s">
        <v>721</v>
      </c>
      <c r="D2446" s="2" t="s">
        <v>207</v>
      </c>
      <c r="E2446" s="70" t="s">
        <v>210</v>
      </c>
      <c r="F2446" s="29">
        <v>2915</v>
      </c>
      <c r="G2446" s="29">
        <v>1709</v>
      </c>
      <c r="H2446" s="12">
        <v>1206</v>
      </c>
      <c r="J2446" s="2"/>
      <c r="K2446" s="2"/>
      <c r="L2446" s="2"/>
      <c r="M2446" s="2"/>
      <c r="N2446" s="2"/>
      <c r="O2446" s="2"/>
      <c r="P2446" s="2"/>
    </row>
    <row r="2447" spans="1:16" x14ac:dyDescent="0.4">
      <c r="A2447">
        <v>2010</v>
      </c>
      <c r="B2447" s="2" t="s">
        <v>559</v>
      </c>
      <c r="C2447" s="2" t="s">
        <v>721</v>
      </c>
      <c r="D2447" s="2" t="s">
        <v>207</v>
      </c>
      <c r="E2447" s="70" t="s">
        <v>74</v>
      </c>
      <c r="F2447" s="29">
        <v>93</v>
      </c>
      <c r="G2447" s="29">
        <v>59</v>
      </c>
      <c r="H2447" s="12">
        <v>34</v>
      </c>
      <c r="J2447" s="2"/>
      <c r="K2447" s="2"/>
      <c r="L2447" s="2"/>
      <c r="M2447" s="2"/>
      <c r="N2447" s="2"/>
      <c r="O2447" s="2"/>
      <c r="P2447" s="2"/>
    </row>
    <row r="2448" spans="1:16" x14ac:dyDescent="0.4">
      <c r="A2448">
        <v>2010</v>
      </c>
      <c r="B2448" s="2" t="s">
        <v>560</v>
      </c>
      <c r="C2448" s="2" t="s">
        <v>721</v>
      </c>
      <c r="D2448" s="2" t="s">
        <v>207</v>
      </c>
      <c r="E2448" s="70" t="s">
        <v>211</v>
      </c>
      <c r="F2448" s="29">
        <v>90</v>
      </c>
      <c r="G2448" s="29">
        <v>60</v>
      </c>
      <c r="H2448" s="12">
        <v>30</v>
      </c>
      <c r="J2448" s="2"/>
      <c r="K2448" s="2"/>
      <c r="L2448" s="2"/>
      <c r="M2448" s="2"/>
      <c r="N2448" s="2"/>
      <c r="O2448" s="2"/>
      <c r="P2448" s="2"/>
    </row>
    <row r="2449" spans="1:16" x14ac:dyDescent="0.4">
      <c r="A2449">
        <v>2010</v>
      </c>
      <c r="B2449" s="2" t="s">
        <v>561</v>
      </c>
      <c r="C2449" s="2" t="s">
        <v>721</v>
      </c>
      <c r="D2449" s="2" t="s">
        <v>207</v>
      </c>
      <c r="E2449" s="70" t="s">
        <v>212</v>
      </c>
      <c r="F2449" s="29">
        <v>34</v>
      </c>
      <c r="G2449" s="29">
        <v>23</v>
      </c>
      <c r="H2449" s="12">
        <v>11</v>
      </c>
      <c r="J2449" s="2"/>
      <c r="K2449" s="2"/>
      <c r="L2449" s="2"/>
      <c r="M2449" s="2"/>
      <c r="N2449" s="2"/>
      <c r="O2449" s="2"/>
      <c r="P2449" s="2"/>
    </row>
    <row r="2450" spans="1:16" x14ac:dyDescent="0.4">
      <c r="A2450">
        <v>2010</v>
      </c>
      <c r="B2450" s="2" t="s">
        <v>562</v>
      </c>
      <c r="C2450" s="2" t="s">
        <v>721</v>
      </c>
      <c r="D2450" s="2" t="s">
        <v>207</v>
      </c>
      <c r="E2450" s="70" t="s">
        <v>213</v>
      </c>
      <c r="F2450" s="29">
        <v>69</v>
      </c>
      <c r="G2450" s="29">
        <v>39</v>
      </c>
      <c r="H2450" s="12">
        <v>30</v>
      </c>
      <c r="J2450" s="2"/>
      <c r="K2450" s="2"/>
      <c r="L2450" s="2"/>
      <c r="M2450" s="2"/>
      <c r="N2450" s="2"/>
      <c r="O2450" s="2"/>
      <c r="P2450" s="2"/>
    </row>
    <row r="2451" spans="1:16" x14ac:dyDescent="0.4">
      <c r="A2451">
        <v>2010</v>
      </c>
      <c r="B2451" s="2" t="s">
        <v>563</v>
      </c>
      <c r="C2451" s="2" t="s">
        <v>721</v>
      </c>
      <c r="D2451" s="2" t="s">
        <v>207</v>
      </c>
      <c r="E2451" s="70" t="s">
        <v>214</v>
      </c>
      <c r="F2451" s="29">
        <v>21</v>
      </c>
      <c r="G2451" s="29">
        <v>14</v>
      </c>
      <c r="H2451" s="12">
        <v>7</v>
      </c>
      <c r="J2451" s="2"/>
      <c r="K2451" s="2"/>
      <c r="L2451" s="2"/>
      <c r="M2451" s="2"/>
      <c r="N2451" s="2"/>
      <c r="O2451" s="2"/>
      <c r="P2451" s="2"/>
    </row>
    <row r="2452" spans="1:16" x14ac:dyDescent="0.4">
      <c r="A2452">
        <v>2010</v>
      </c>
      <c r="B2452" s="2" t="s">
        <v>564</v>
      </c>
      <c r="C2452" s="2" t="s">
        <v>722</v>
      </c>
      <c r="D2452" s="2" t="s">
        <v>216</v>
      </c>
      <c r="E2452" s="70" t="s">
        <v>215</v>
      </c>
      <c r="F2452" s="29">
        <v>83</v>
      </c>
      <c r="G2452" s="29">
        <v>55</v>
      </c>
      <c r="H2452" s="12">
        <v>28</v>
      </c>
      <c r="J2452" s="2"/>
      <c r="K2452" s="2"/>
      <c r="L2452" s="2"/>
      <c r="M2452" s="2"/>
      <c r="N2452" s="2"/>
      <c r="O2452" s="2"/>
      <c r="P2452" s="2"/>
    </row>
    <row r="2453" spans="1:16" x14ac:dyDescent="0.4">
      <c r="A2453">
        <v>2010</v>
      </c>
      <c r="B2453" s="2" t="s">
        <v>565</v>
      </c>
      <c r="C2453" s="2" t="s">
        <v>722</v>
      </c>
      <c r="D2453" s="2" t="s">
        <v>216</v>
      </c>
      <c r="E2453" s="70" t="s">
        <v>59</v>
      </c>
      <c r="F2453" s="29">
        <v>133</v>
      </c>
      <c r="G2453" s="29">
        <v>78</v>
      </c>
      <c r="H2453" s="12">
        <v>55</v>
      </c>
      <c r="J2453" s="2"/>
      <c r="K2453" s="2"/>
      <c r="L2453" s="2"/>
      <c r="M2453" s="2"/>
      <c r="N2453" s="2"/>
      <c r="O2453" s="2"/>
      <c r="P2453" s="2"/>
    </row>
    <row r="2454" spans="1:16" x14ac:dyDescent="0.4">
      <c r="A2454">
        <v>2010</v>
      </c>
      <c r="B2454" s="2" t="s">
        <v>566</v>
      </c>
      <c r="C2454" s="2" t="s">
        <v>722</v>
      </c>
      <c r="D2454" s="2" t="s">
        <v>216</v>
      </c>
      <c r="E2454" s="70" t="s">
        <v>217</v>
      </c>
      <c r="F2454" s="29">
        <v>176</v>
      </c>
      <c r="G2454" s="29">
        <v>117</v>
      </c>
      <c r="H2454" s="12">
        <v>59</v>
      </c>
      <c r="J2454" s="2"/>
      <c r="K2454" s="2"/>
      <c r="L2454" s="2"/>
      <c r="M2454" s="2"/>
      <c r="N2454" s="2"/>
      <c r="O2454" s="2"/>
      <c r="P2454" s="2"/>
    </row>
    <row r="2455" spans="1:16" x14ac:dyDescent="0.4">
      <c r="A2455">
        <v>2010</v>
      </c>
      <c r="B2455" s="2" t="s">
        <v>567</v>
      </c>
      <c r="C2455" s="2" t="s">
        <v>722</v>
      </c>
      <c r="D2455" s="2" t="s">
        <v>216</v>
      </c>
      <c r="E2455" s="70" t="s">
        <v>218</v>
      </c>
      <c r="F2455" s="29">
        <v>244</v>
      </c>
      <c r="G2455" s="29">
        <v>151</v>
      </c>
      <c r="H2455" s="12">
        <v>93</v>
      </c>
      <c r="J2455" s="2"/>
      <c r="K2455" s="2"/>
      <c r="L2455" s="2"/>
      <c r="M2455" s="2"/>
      <c r="N2455" s="2"/>
      <c r="O2455" s="2"/>
      <c r="P2455" s="2"/>
    </row>
    <row r="2456" spans="1:16" x14ac:dyDescent="0.4">
      <c r="A2456">
        <v>2010</v>
      </c>
      <c r="B2456" s="2" t="s">
        <v>568</v>
      </c>
      <c r="C2456" s="2" t="s">
        <v>722</v>
      </c>
      <c r="D2456" s="2" t="s">
        <v>216</v>
      </c>
      <c r="E2456" s="70" t="s">
        <v>219</v>
      </c>
      <c r="F2456" s="29">
        <v>102</v>
      </c>
      <c r="G2456" s="29">
        <v>56</v>
      </c>
      <c r="H2456" s="12">
        <v>46</v>
      </c>
      <c r="J2456" s="2"/>
      <c r="K2456" s="2"/>
      <c r="L2456" s="2"/>
      <c r="M2456" s="2"/>
      <c r="N2456" s="2"/>
      <c r="O2456" s="2"/>
      <c r="P2456" s="2"/>
    </row>
    <row r="2457" spans="1:16" x14ac:dyDescent="0.4">
      <c r="A2457">
        <v>2010</v>
      </c>
      <c r="B2457" s="2" t="s">
        <v>569</v>
      </c>
      <c r="C2457" s="2" t="s">
        <v>722</v>
      </c>
      <c r="D2457" s="2" t="s">
        <v>216</v>
      </c>
      <c r="E2457" s="70" t="s">
        <v>220</v>
      </c>
      <c r="F2457" s="29">
        <v>165</v>
      </c>
      <c r="G2457" s="29">
        <v>100</v>
      </c>
      <c r="H2457" s="12">
        <v>65</v>
      </c>
      <c r="J2457" s="2"/>
      <c r="K2457" s="2"/>
      <c r="L2457" s="2"/>
      <c r="M2457" s="2"/>
      <c r="N2457" s="2"/>
      <c r="O2457" s="2"/>
      <c r="P2457" s="2"/>
    </row>
    <row r="2458" spans="1:16" x14ac:dyDescent="0.4">
      <c r="A2458">
        <v>2010</v>
      </c>
      <c r="B2458" s="2" t="s">
        <v>570</v>
      </c>
      <c r="C2458" s="2" t="s">
        <v>722</v>
      </c>
      <c r="D2458" s="2" t="s">
        <v>216</v>
      </c>
      <c r="E2458" s="70" t="s">
        <v>221</v>
      </c>
      <c r="F2458" s="29">
        <v>168</v>
      </c>
      <c r="G2458" s="29">
        <v>90</v>
      </c>
      <c r="H2458" s="12">
        <v>78</v>
      </c>
      <c r="J2458" s="2"/>
      <c r="K2458" s="2"/>
      <c r="L2458" s="2"/>
      <c r="M2458" s="2"/>
      <c r="N2458" s="2"/>
      <c r="O2458" s="2"/>
      <c r="P2458" s="2"/>
    </row>
    <row r="2459" spans="1:16" x14ac:dyDescent="0.4">
      <c r="A2459">
        <v>2010</v>
      </c>
      <c r="B2459" s="2" t="s">
        <v>571</v>
      </c>
      <c r="C2459" s="2" t="s">
        <v>722</v>
      </c>
      <c r="D2459" s="2" t="s">
        <v>216</v>
      </c>
      <c r="E2459" s="70" t="s">
        <v>222</v>
      </c>
      <c r="F2459" s="29">
        <v>1293</v>
      </c>
      <c r="G2459" s="29">
        <v>798</v>
      </c>
      <c r="H2459" s="12">
        <v>495</v>
      </c>
      <c r="J2459" s="2"/>
      <c r="K2459" s="2"/>
      <c r="L2459" s="2"/>
      <c r="M2459" s="2"/>
      <c r="N2459" s="2"/>
      <c r="O2459" s="2"/>
      <c r="P2459" s="2"/>
    </row>
    <row r="2460" spans="1:16" x14ac:dyDescent="0.4">
      <c r="A2460">
        <v>2010</v>
      </c>
      <c r="B2460" s="2" t="s">
        <v>572</v>
      </c>
      <c r="C2460" s="2" t="s">
        <v>722</v>
      </c>
      <c r="D2460" s="2" t="s">
        <v>216</v>
      </c>
      <c r="E2460" s="70" t="s">
        <v>223</v>
      </c>
      <c r="F2460" s="29">
        <v>85</v>
      </c>
      <c r="G2460" s="29">
        <v>51</v>
      </c>
      <c r="H2460" s="12">
        <v>34</v>
      </c>
      <c r="J2460" s="2"/>
      <c r="K2460" s="2"/>
      <c r="L2460" s="2"/>
      <c r="M2460" s="2"/>
      <c r="N2460" s="2"/>
      <c r="O2460" s="2"/>
      <c r="P2460" s="2"/>
    </row>
    <row r="2461" spans="1:16" x14ac:dyDescent="0.4">
      <c r="A2461">
        <v>2010</v>
      </c>
      <c r="B2461" s="2" t="s">
        <v>573</v>
      </c>
      <c r="C2461" s="2" t="s">
        <v>722</v>
      </c>
      <c r="D2461" s="2" t="s">
        <v>216</v>
      </c>
      <c r="E2461" s="70" t="s">
        <v>224</v>
      </c>
      <c r="F2461" s="29">
        <v>95</v>
      </c>
      <c r="G2461" s="29">
        <v>62</v>
      </c>
      <c r="H2461" s="12">
        <v>33</v>
      </c>
      <c r="J2461" s="2"/>
      <c r="K2461" s="2"/>
      <c r="L2461" s="2"/>
      <c r="M2461" s="2"/>
      <c r="N2461" s="2"/>
      <c r="O2461" s="2"/>
      <c r="P2461" s="2"/>
    </row>
    <row r="2462" spans="1:16" x14ac:dyDescent="0.4">
      <c r="A2462">
        <v>2010</v>
      </c>
      <c r="B2462" s="2" t="s">
        <v>574</v>
      </c>
      <c r="C2462" s="2" t="s">
        <v>722</v>
      </c>
      <c r="D2462" s="2" t="s">
        <v>216</v>
      </c>
      <c r="E2462" s="70" t="s">
        <v>225</v>
      </c>
      <c r="F2462" s="29">
        <v>41</v>
      </c>
      <c r="G2462" s="29">
        <v>23</v>
      </c>
      <c r="H2462" s="12">
        <v>18</v>
      </c>
      <c r="J2462" s="2"/>
      <c r="K2462" s="2"/>
      <c r="L2462" s="2"/>
      <c r="M2462" s="2"/>
      <c r="N2462" s="2"/>
      <c r="O2462" s="2"/>
      <c r="P2462" s="2"/>
    </row>
    <row r="2463" spans="1:16" x14ac:dyDescent="0.4">
      <c r="A2463">
        <v>2010</v>
      </c>
      <c r="B2463" s="2" t="s">
        <v>575</v>
      </c>
      <c r="C2463" s="2" t="s">
        <v>723</v>
      </c>
      <c r="D2463" s="2" t="s">
        <v>227</v>
      </c>
      <c r="E2463" s="70" t="s">
        <v>226</v>
      </c>
      <c r="F2463" s="29">
        <v>32</v>
      </c>
      <c r="G2463" s="29">
        <v>19</v>
      </c>
      <c r="H2463" s="12">
        <v>13</v>
      </c>
      <c r="J2463" s="2"/>
      <c r="K2463" s="2"/>
      <c r="L2463" s="2"/>
      <c r="M2463" s="2"/>
      <c r="N2463" s="2"/>
      <c r="O2463" s="2"/>
      <c r="P2463" s="2"/>
    </row>
    <row r="2464" spans="1:16" x14ac:dyDescent="0.4">
      <c r="A2464">
        <v>2010</v>
      </c>
      <c r="B2464" s="2" t="s">
        <v>576</v>
      </c>
      <c r="C2464" s="2" t="s">
        <v>723</v>
      </c>
      <c r="D2464" s="2" t="s">
        <v>227</v>
      </c>
      <c r="E2464" s="70" t="s">
        <v>228</v>
      </c>
      <c r="F2464" s="29">
        <v>1213</v>
      </c>
      <c r="G2464" s="29">
        <v>715</v>
      </c>
      <c r="H2464" s="12">
        <v>498</v>
      </c>
      <c r="J2464" s="2"/>
      <c r="K2464" s="2"/>
      <c r="L2464" s="2"/>
      <c r="M2464" s="2"/>
      <c r="N2464" s="2"/>
      <c r="O2464" s="2"/>
      <c r="P2464" s="2"/>
    </row>
    <row r="2465" spans="1:16" x14ac:dyDescent="0.4">
      <c r="A2465">
        <v>2010</v>
      </c>
      <c r="B2465" s="2" t="s">
        <v>577</v>
      </c>
      <c r="C2465" s="2" t="s">
        <v>723</v>
      </c>
      <c r="D2465" s="2" t="s">
        <v>227</v>
      </c>
      <c r="E2465" s="70" t="s">
        <v>229</v>
      </c>
      <c r="F2465" s="29">
        <v>130</v>
      </c>
      <c r="G2465" s="29">
        <v>83</v>
      </c>
      <c r="H2465" s="12">
        <v>47</v>
      </c>
      <c r="J2465" s="2"/>
      <c r="K2465" s="2"/>
      <c r="L2465" s="2"/>
      <c r="M2465" s="2"/>
      <c r="N2465" s="2"/>
      <c r="O2465" s="2"/>
      <c r="P2465" s="2"/>
    </row>
    <row r="2466" spans="1:16" x14ac:dyDescent="0.4">
      <c r="A2466">
        <v>2010</v>
      </c>
      <c r="B2466" s="2" t="s">
        <v>578</v>
      </c>
      <c r="C2466" s="2" t="s">
        <v>723</v>
      </c>
      <c r="D2466" s="2" t="s">
        <v>227</v>
      </c>
      <c r="E2466" s="70" t="s">
        <v>230</v>
      </c>
      <c r="F2466" s="29">
        <v>1095</v>
      </c>
      <c r="G2466" s="29">
        <v>696</v>
      </c>
      <c r="H2466" s="12">
        <v>399</v>
      </c>
      <c r="J2466" s="2"/>
      <c r="K2466" s="2"/>
      <c r="L2466" s="2"/>
      <c r="M2466" s="2"/>
      <c r="N2466" s="2"/>
      <c r="O2466" s="2"/>
      <c r="P2466" s="2"/>
    </row>
    <row r="2467" spans="1:16" x14ac:dyDescent="0.4">
      <c r="A2467">
        <v>2010</v>
      </c>
      <c r="B2467" s="2" t="s">
        <v>579</v>
      </c>
      <c r="C2467" s="2" t="s">
        <v>723</v>
      </c>
      <c r="D2467" s="2" t="s">
        <v>227</v>
      </c>
      <c r="E2467" s="70" t="s">
        <v>231</v>
      </c>
      <c r="F2467" s="29">
        <v>87</v>
      </c>
      <c r="G2467" s="29">
        <v>58</v>
      </c>
      <c r="H2467" s="12">
        <v>29</v>
      </c>
      <c r="J2467" s="2"/>
      <c r="K2467" s="2"/>
      <c r="L2467" s="2"/>
      <c r="M2467" s="2"/>
      <c r="N2467" s="2"/>
      <c r="O2467" s="2"/>
      <c r="P2467" s="2"/>
    </row>
    <row r="2468" spans="1:16" x14ac:dyDescent="0.4">
      <c r="A2468">
        <v>2010</v>
      </c>
      <c r="B2468" s="2" t="s">
        <v>580</v>
      </c>
      <c r="C2468" s="2" t="s">
        <v>723</v>
      </c>
      <c r="D2468" s="2" t="s">
        <v>227</v>
      </c>
      <c r="E2468" s="70" t="s">
        <v>232</v>
      </c>
      <c r="F2468" s="29">
        <v>77</v>
      </c>
      <c r="G2468" s="29">
        <v>37</v>
      </c>
      <c r="H2468" s="12">
        <v>40</v>
      </c>
      <c r="J2468" s="2"/>
      <c r="K2468" s="2"/>
      <c r="L2468" s="2"/>
      <c r="M2468" s="2"/>
      <c r="N2468" s="2"/>
      <c r="O2468" s="2"/>
      <c r="P2468" s="2"/>
    </row>
    <row r="2469" spans="1:16" x14ac:dyDescent="0.4">
      <c r="A2469">
        <v>2010</v>
      </c>
      <c r="B2469" s="2" t="s">
        <v>581</v>
      </c>
      <c r="C2469" s="2" t="s">
        <v>723</v>
      </c>
      <c r="D2469" s="2" t="s">
        <v>227</v>
      </c>
      <c r="E2469" s="70" t="s">
        <v>233</v>
      </c>
      <c r="F2469" s="29">
        <v>116</v>
      </c>
      <c r="G2469" s="29">
        <v>75</v>
      </c>
      <c r="H2469" s="12">
        <v>41</v>
      </c>
      <c r="J2469" s="2"/>
      <c r="K2469" s="2"/>
      <c r="L2469" s="2"/>
      <c r="M2469" s="2"/>
      <c r="N2469" s="2"/>
      <c r="O2469" s="2"/>
      <c r="P2469" s="2"/>
    </row>
    <row r="2470" spans="1:16" x14ac:dyDescent="0.4">
      <c r="A2470">
        <v>2010</v>
      </c>
      <c r="B2470" s="2" t="s">
        <v>582</v>
      </c>
      <c r="C2470" s="2" t="s">
        <v>723</v>
      </c>
      <c r="D2470" s="2" t="s">
        <v>227</v>
      </c>
      <c r="E2470" s="70" t="s">
        <v>32</v>
      </c>
      <c r="F2470" s="29">
        <v>622</v>
      </c>
      <c r="G2470" s="29">
        <v>426</v>
      </c>
      <c r="H2470" s="12">
        <v>196</v>
      </c>
      <c r="J2470" s="2"/>
      <c r="K2470" s="2"/>
      <c r="L2470" s="2"/>
      <c r="M2470" s="2"/>
      <c r="N2470" s="2"/>
      <c r="O2470" s="2"/>
      <c r="P2470" s="2"/>
    </row>
    <row r="2471" spans="1:16" x14ac:dyDescent="0.4">
      <c r="A2471">
        <v>2010</v>
      </c>
      <c r="B2471" s="2" t="s">
        <v>583</v>
      </c>
      <c r="C2471" s="2" t="s">
        <v>723</v>
      </c>
      <c r="D2471" s="2" t="s">
        <v>227</v>
      </c>
      <c r="E2471" s="70" t="s">
        <v>234</v>
      </c>
      <c r="F2471" s="29">
        <v>22</v>
      </c>
      <c r="G2471" s="29">
        <v>16</v>
      </c>
      <c r="H2471" s="12">
        <v>6</v>
      </c>
      <c r="J2471" s="2"/>
      <c r="K2471" s="2"/>
      <c r="L2471" s="2"/>
      <c r="M2471" s="2"/>
      <c r="N2471" s="2"/>
      <c r="O2471" s="2"/>
      <c r="P2471" s="2"/>
    </row>
    <row r="2472" spans="1:16" x14ac:dyDescent="0.4">
      <c r="A2472">
        <v>2010</v>
      </c>
      <c r="B2472" s="2" t="s">
        <v>584</v>
      </c>
      <c r="C2472" s="2" t="s">
        <v>723</v>
      </c>
      <c r="D2472" s="2" t="s">
        <v>227</v>
      </c>
      <c r="E2472" s="70" t="s">
        <v>235</v>
      </c>
      <c r="F2472" s="29">
        <v>53</v>
      </c>
      <c r="G2472" s="29">
        <v>33</v>
      </c>
      <c r="H2472" s="12">
        <v>20</v>
      </c>
      <c r="J2472" s="2"/>
      <c r="K2472" s="2"/>
      <c r="L2472" s="2"/>
      <c r="M2472" s="2"/>
      <c r="N2472" s="2"/>
      <c r="O2472" s="2"/>
      <c r="P2472" s="2"/>
    </row>
    <row r="2473" spans="1:16" x14ac:dyDescent="0.4">
      <c r="A2473">
        <v>2010</v>
      </c>
      <c r="B2473" s="2" t="s">
        <v>585</v>
      </c>
      <c r="C2473" s="2" t="s">
        <v>723</v>
      </c>
      <c r="D2473" s="2" t="s">
        <v>227</v>
      </c>
      <c r="E2473" s="70" t="s">
        <v>236</v>
      </c>
      <c r="F2473" s="29">
        <v>29</v>
      </c>
      <c r="G2473" s="29">
        <v>20</v>
      </c>
      <c r="H2473" s="12">
        <v>9</v>
      </c>
      <c r="J2473" s="2"/>
      <c r="K2473" s="2"/>
      <c r="L2473" s="2"/>
      <c r="M2473" s="2"/>
      <c r="N2473" s="2"/>
      <c r="O2473" s="2"/>
      <c r="P2473" s="2"/>
    </row>
    <row r="2474" spans="1:16" x14ac:dyDescent="0.4">
      <c r="A2474">
        <v>2010</v>
      </c>
      <c r="B2474" s="2" t="s">
        <v>586</v>
      </c>
      <c r="C2474" s="2" t="s">
        <v>723</v>
      </c>
      <c r="D2474" s="2" t="s">
        <v>227</v>
      </c>
      <c r="E2474" s="70" t="s">
        <v>237</v>
      </c>
      <c r="F2474" s="29">
        <v>42</v>
      </c>
      <c r="G2474" s="29">
        <v>26</v>
      </c>
      <c r="H2474" s="12">
        <v>16</v>
      </c>
      <c r="J2474" s="2"/>
      <c r="K2474" s="2"/>
      <c r="L2474" s="2"/>
      <c r="M2474" s="2"/>
      <c r="N2474" s="2"/>
      <c r="O2474" s="2"/>
      <c r="P2474" s="2"/>
    </row>
    <row r="2475" spans="1:16" x14ac:dyDescent="0.4">
      <c r="A2475">
        <v>2010</v>
      </c>
      <c r="B2475" s="2" t="s">
        <v>587</v>
      </c>
      <c r="C2475" s="2" t="s">
        <v>723</v>
      </c>
      <c r="D2475" s="2" t="s">
        <v>227</v>
      </c>
      <c r="E2475" s="70" t="s">
        <v>51</v>
      </c>
      <c r="F2475" s="29">
        <v>137</v>
      </c>
      <c r="G2475" s="29">
        <v>75</v>
      </c>
      <c r="H2475" s="12">
        <v>62</v>
      </c>
      <c r="J2475" s="2"/>
      <c r="K2475" s="2"/>
      <c r="L2475" s="2"/>
      <c r="M2475" s="2"/>
      <c r="N2475" s="2"/>
      <c r="O2475" s="2"/>
      <c r="P2475" s="2"/>
    </row>
    <row r="2476" spans="1:16" x14ac:dyDescent="0.4">
      <c r="A2476">
        <v>2010</v>
      </c>
      <c r="B2476" s="2" t="s">
        <v>588</v>
      </c>
      <c r="C2476" s="2" t="s">
        <v>723</v>
      </c>
      <c r="D2476" s="2" t="s">
        <v>227</v>
      </c>
      <c r="E2476" s="70" t="s">
        <v>238</v>
      </c>
      <c r="F2476" s="29">
        <v>213</v>
      </c>
      <c r="G2476" s="29">
        <v>147</v>
      </c>
      <c r="H2476" s="12">
        <v>66</v>
      </c>
      <c r="J2476" s="2"/>
      <c r="K2476" s="2"/>
      <c r="L2476" s="2"/>
      <c r="M2476" s="2"/>
      <c r="N2476" s="2"/>
      <c r="O2476" s="2"/>
      <c r="P2476" s="2"/>
    </row>
    <row r="2477" spans="1:16" x14ac:dyDescent="0.4">
      <c r="A2477">
        <v>2010</v>
      </c>
      <c r="B2477" s="2" t="s">
        <v>589</v>
      </c>
      <c r="C2477" s="2" t="s">
        <v>724</v>
      </c>
      <c r="D2477" s="2" t="s">
        <v>239</v>
      </c>
      <c r="E2477" s="70" t="s">
        <v>163</v>
      </c>
      <c r="F2477" s="29">
        <v>105</v>
      </c>
      <c r="G2477" s="29">
        <v>74</v>
      </c>
      <c r="H2477" s="12">
        <v>31</v>
      </c>
      <c r="J2477" s="2"/>
      <c r="K2477" s="2"/>
      <c r="L2477" s="2"/>
      <c r="M2477" s="2"/>
      <c r="N2477" s="2"/>
      <c r="O2477" s="2"/>
      <c r="P2477" s="2"/>
    </row>
    <row r="2478" spans="1:16" x14ac:dyDescent="0.4">
      <c r="A2478">
        <v>2010</v>
      </c>
      <c r="B2478" s="2" t="s">
        <v>590</v>
      </c>
      <c r="C2478" s="2" t="s">
        <v>724</v>
      </c>
      <c r="D2478" s="2" t="s">
        <v>239</v>
      </c>
      <c r="E2478" s="70" t="s">
        <v>240</v>
      </c>
      <c r="F2478" s="29">
        <v>68</v>
      </c>
      <c r="G2478" s="29">
        <v>40</v>
      </c>
      <c r="H2478" s="12">
        <v>28</v>
      </c>
      <c r="J2478" s="2"/>
      <c r="K2478" s="2"/>
      <c r="L2478" s="2"/>
      <c r="M2478" s="2"/>
      <c r="N2478" s="2"/>
      <c r="O2478" s="2"/>
      <c r="P2478" s="2"/>
    </row>
    <row r="2479" spans="1:16" x14ac:dyDescent="0.4">
      <c r="A2479">
        <v>2010</v>
      </c>
      <c r="B2479" s="2" t="s">
        <v>591</v>
      </c>
      <c r="C2479" s="2" t="s">
        <v>724</v>
      </c>
      <c r="D2479" s="2" t="s">
        <v>239</v>
      </c>
      <c r="E2479" s="70" t="s">
        <v>59</v>
      </c>
      <c r="F2479" s="29">
        <v>53</v>
      </c>
      <c r="G2479" s="29">
        <v>39</v>
      </c>
      <c r="H2479" s="12">
        <v>14</v>
      </c>
      <c r="J2479" s="2"/>
      <c r="K2479" s="2"/>
      <c r="L2479" s="2"/>
      <c r="M2479" s="2"/>
      <c r="N2479" s="2"/>
      <c r="O2479" s="2"/>
      <c r="P2479" s="2"/>
    </row>
    <row r="2480" spans="1:16" x14ac:dyDescent="0.4">
      <c r="A2480">
        <v>2010</v>
      </c>
      <c r="B2480" s="2" t="s">
        <v>592</v>
      </c>
      <c r="C2480" s="2" t="s">
        <v>724</v>
      </c>
      <c r="D2480" s="2" t="s">
        <v>239</v>
      </c>
      <c r="E2480" s="70" t="s">
        <v>241</v>
      </c>
      <c r="F2480" s="29">
        <v>77</v>
      </c>
      <c r="G2480" s="29">
        <v>43</v>
      </c>
      <c r="H2480" s="12">
        <v>34</v>
      </c>
      <c r="J2480" s="2"/>
      <c r="K2480" s="2"/>
      <c r="L2480" s="2"/>
      <c r="M2480" s="2"/>
      <c r="N2480" s="2"/>
      <c r="O2480" s="2"/>
      <c r="P2480" s="2"/>
    </row>
    <row r="2481" spans="1:16" x14ac:dyDescent="0.4">
      <c r="A2481">
        <v>2010</v>
      </c>
      <c r="B2481" s="2" t="s">
        <v>593</v>
      </c>
      <c r="C2481" s="2" t="s">
        <v>724</v>
      </c>
      <c r="D2481" s="2" t="s">
        <v>239</v>
      </c>
      <c r="E2481" s="70" t="s">
        <v>242</v>
      </c>
      <c r="F2481" s="29">
        <v>943</v>
      </c>
      <c r="G2481" s="29">
        <v>572</v>
      </c>
      <c r="H2481" s="12">
        <v>371</v>
      </c>
      <c r="J2481" s="2"/>
      <c r="K2481" s="2"/>
      <c r="L2481" s="2"/>
      <c r="M2481" s="2"/>
      <c r="N2481" s="2"/>
      <c r="O2481" s="2"/>
      <c r="P2481" s="2"/>
    </row>
    <row r="2482" spans="1:16" x14ac:dyDescent="0.4">
      <c r="A2482">
        <v>2010</v>
      </c>
      <c r="B2482" s="2" t="s">
        <v>594</v>
      </c>
      <c r="C2482" s="2" t="s">
        <v>724</v>
      </c>
      <c r="D2482" s="2" t="s">
        <v>239</v>
      </c>
      <c r="E2482" s="70" t="s">
        <v>36</v>
      </c>
      <c r="F2482" s="29">
        <v>63</v>
      </c>
      <c r="G2482" s="29">
        <v>31</v>
      </c>
      <c r="H2482" s="12">
        <v>32</v>
      </c>
      <c r="J2482" s="2"/>
      <c r="K2482" s="2"/>
      <c r="L2482" s="2"/>
      <c r="M2482" s="2"/>
      <c r="N2482" s="2"/>
      <c r="O2482" s="2"/>
      <c r="P2482" s="2"/>
    </row>
    <row r="2483" spans="1:16" x14ac:dyDescent="0.4">
      <c r="A2483">
        <v>2010</v>
      </c>
      <c r="B2483" s="2" t="s">
        <v>595</v>
      </c>
      <c r="C2483" s="2" t="s">
        <v>724</v>
      </c>
      <c r="D2483" s="2" t="s">
        <v>239</v>
      </c>
      <c r="E2483" s="70" t="s">
        <v>243</v>
      </c>
      <c r="F2483" s="29">
        <v>60</v>
      </c>
      <c r="G2483" s="29">
        <v>34</v>
      </c>
      <c r="H2483" s="12">
        <v>26</v>
      </c>
      <c r="J2483" s="2"/>
      <c r="K2483" s="2"/>
      <c r="L2483" s="2"/>
      <c r="M2483" s="2"/>
      <c r="N2483" s="2"/>
      <c r="O2483" s="2"/>
      <c r="P2483" s="2"/>
    </row>
    <row r="2484" spans="1:16" x14ac:dyDescent="0.4">
      <c r="A2484">
        <v>2010</v>
      </c>
      <c r="B2484" s="2" t="s">
        <v>596</v>
      </c>
      <c r="C2484" s="2" t="s">
        <v>724</v>
      </c>
      <c r="D2484" s="2" t="s">
        <v>239</v>
      </c>
      <c r="E2484" s="70" t="s">
        <v>244</v>
      </c>
      <c r="F2484" s="29">
        <v>78</v>
      </c>
      <c r="G2484" s="29">
        <v>47</v>
      </c>
      <c r="H2484" s="12">
        <v>31</v>
      </c>
      <c r="J2484" s="2"/>
      <c r="K2484" s="2"/>
      <c r="L2484" s="2"/>
      <c r="M2484" s="2"/>
      <c r="N2484" s="2"/>
      <c r="O2484" s="2"/>
      <c r="P2484" s="2"/>
    </row>
    <row r="2485" spans="1:16" x14ac:dyDescent="0.4">
      <c r="A2485">
        <v>2010</v>
      </c>
      <c r="B2485" s="2" t="s">
        <v>597</v>
      </c>
      <c r="C2485" s="2" t="s">
        <v>724</v>
      </c>
      <c r="D2485" s="2" t="s">
        <v>239</v>
      </c>
      <c r="E2485" s="70" t="s">
        <v>44</v>
      </c>
      <c r="F2485" s="29">
        <v>30</v>
      </c>
      <c r="G2485" s="29">
        <v>18</v>
      </c>
      <c r="H2485" s="12">
        <v>12</v>
      </c>
      <c r="J2485" s="2"/>
      <c r="K2485" s="2"/>
      <c r="L2485" s="2"/>
      <c r="M2485" s="2"/>
      <c r="N2485" s="2"/>
      <c r="O2485" s="2"/>
      <c r="P2485" s="2"/>
    </row>
    <row r="2486" spans="1:16" x14ac:dyDescent="0.4">
      <c r="A2486">
        <v>2010</v>
      </c>
      <c r="B2486" s="2" t="s">
        <v>598</v>
      </c>
      <c r="C2486" s="2" t="s">
        <v>724</v>
      </c>
      <c r="D2486" s="2" t="s">
        <v>239</v>
      </c>
      <c r="E2486" s="70" t="s">
        <v>222</v>
      </c>
      <c r="F2486" s="29">
        <v>80</v>
      </c>
      <c r="G2486" s="29">
        <v>41</v>
      </c>
      <c r="H2486" s="12">
        <v>39</v>
      </c>
      <c r="J2486" s="2"/>
      <c r="K2486" s="2"/>
      <c r="L2486" s="2"/>
      <c r="M2486" s="2"/>
      <c r="N2486" s="2"/>
      <c r="O2486" s="2"/>
      <c r="P2486" s="2"/>
    </row>
    <row r="2487" spans="1:16" x14ac:dyDescent="0.4">
      <c r="A2487">
        <v>2010</v>
      </c>
      <c r="B2487" s="2" t="s">
        <v>599</v>
      </c>
      <c r="C2487" s="2" t="s">
        <v>724</v>
      </c>
      <c r="D2487" s="2" t="s">
        <v>239</v>
      </c>
      <c r="E2487" s="70" t="s">
        <v>245</v>
      </c>
      <c r="F2487" s="29">
        <v>39</v>
      </c>
      <c r="G2487" s="29">
        <v>22</v>
      </c>
      <c r="H2487" s="12">
        <v>17</v>
      </c>
      <c r="J2487" s="2"/>
      <c r="K2487" s="2"/>
      <c r="L2487" s="2"/>
      <c r="M2487" s="2"/>
      <c r="N2487" s="2"/>
      <c r="O2487" s="2"/>
      <c r="P2487" s="2"/>
    </row>
    <row r="2488" spans="1:16" x14ac:dyDescent="0.4">
      <c r="A2488">
        <v>2010</v>
      </c>
      <c r="B2488" s="2" t="s">
        <v>600</v>
      </c>
      <c r="C2488" s="2" t="s">
        <v>724</v>
      </c>
      <c r="D2488" s="2" t="s">
        <v>239</v>
      </c>
      <c r="E2488" s="70" t="s">
        <v>246</v>
      </c>
      <c r="F2488" s="29">
        <v>183</v>
      </c>
      <c r="G2488" s="29">
        <v>106</v>
      </c>
      <c r="H2488" s="12">
        <v>77</v>
      </c>
      <c r="J2488" s="2"/>
      <c r="K2488" s="2"/>
      <c r="L2488" s="2"/>
      <c r="M2488" s="2"/>
      <c r="N2488" s="2"/>
      <c r="O2488" s="2"/>
      <c r="P2488" s="2"/>
    </row>
    <row r="2489" spans="1:16" x14ac:dyDescent="0.4">
      <c r="A2489">
        <v>2010</v>
      </c>
      <c r="B2489" s="2" t="s">
        <v>601</v>
      </c>
      <c r="C2489" s="2" t="s">
        <v>724</v>
      </c>
      <c r="D2489" s="2" t="s">
        <v>239</v>
      </c>
      <c r="E2489" s="70" t="s">
        <v>247</v>
      </c>
      <c r="F2489" s="29">
        <v>171</v>
      </c>
      <c r="G2489" s="29">
        <v>107</v>
      </c>
      <c r="H2489" s="12">
        <v>64</v>
      </c>
      <c r="J2489" s="2"/>
      <c r="K2489" s="2"/>
      <c r="L2489" s="2"/>
      <c r="M2489" s="2"/>
      <c r="N2489" s="2"/>
      <c r="O2489" s="2"/>
      <c r="P2489" s="2"/>
    </row>
    <row r="2490" spans="1:16" x14ac:dyDescent="0.4">
      <c r="A2490">
        <v>2010</v>
      </c>
      <c r="B2490" s="2" t="s">
        <v>602</v>
      </c>
      <c r="C2490" s="2" t="s">
        <v>724</v>
      </c>
      <c r="D2490" s="2" t="s">
        <v>239</v>
      </c>
      <c r="E2490" s="70" t="s">
        <v>51</v>
      </c>
      <c r="F2490" s="29">
        <v>2085</v>
      </c>
      <c r="G2490" s="29" t="s">
        <v>737</v>
      </c>
      <c r="H2490" s="12">
        <v>805</v>
      </c>
      <c r="J2490" s="2"/>
      <c r="K2490" s="2"/>
      <c r="L2490" s="2"/>
      <c r="M2490" s="2"/>
      <c r="N2490" s="2"/>
      <c r="O2490" s="2"/>
      <c r="P2490" s="2"/>
    </row>
    <row r="2491" spans="1:16" x14ac:dyDescent="0.4">
      <c r="A2491">
        <v>2010</v>
      </c>
      <c r="B2491" s="2" t="s">
        <v>603</v>
      </c>
      <c r="C2491" s="2" t="s">
        <v>724</v>
      </c>
      <c r="D2491" s="2" t="s">
        <v>239</v>
      </c>
      <c r="E2491" s="70" t="s">
        <v>248</v>
      </c>
      <c r="F2491" s="29">
        <v>148</v>
      </c>
      <c r="G2491" s="29">
        <v>87</v>
      </c>
      <c r="H2491" s="12">
        <v>61</v>
      </c>
      <c r="J2491" s="2"/>
      <c r="K2491" s="2"/>
      <c r="L2491" s="2"/>
      <c r="M2491" s="2"/>
      <c r="N2491" s="2"/>
      <c r="O2491" s="2"/>
      <c r="P2491" s="2"/>
    </row>
    <row r="2492" spans="1:16" x14ac:dyDescent="0.4">
      <c r="A2492">
        <v>2010</v>
      </c>
      <c r="B2492" s="2" t="s">
        <v>604</v>
      </c>
      <c r="C2492" s="2" t="s">
        <v>725</v>
      </c>
      <c r="D2492" s="2" t="s">
        <v>249</v>
      </c>
      <c r="E2492" s="70" t="s">
        <v>174</v>
      </c>
      <c r="F2492" s="29">
        <v>75</v>
      </c>
      <c r="G2492" s="29">
        <v>51</v>
      </c>
      <c r="H2492" s="12">
        <v>24</v>
      </c>
      <c r="J2492" s="2"/>
      <c r="K2492" s="2"/>
      <c r="L2492" s="2"/>
      <c r="M2492" s="2"/>
      <c r="N2492" s="2"/>
      <c r="O2492" s="2"/>
      <c r="P2492" s="2"/>
    </row>
    <row r="2493" spans="1:16" x14ac:dyDescent="0.4">
      <c r="A2493">
        <v>2010</v>
      </c>
      <c r="B2493" s="2" t="s">
        <v>605</v>
      </c>
      <c r="C2493" s="2" t="s">
        <v>725</v>
      </c>
      <c r="D2493" s="2" t="s">
        <v>249</v>
      </c>
      <c r="E2493" s="70" t="s">
        <v>250</v>
      </c>
      <c r="F2493" s="29">
        <v>32</v>
      </c>
      <c r="G2493" s="29">
        <v>21</v>
      </c>
      <c r="H2493" s="12">
        <v>11</v>
      </c>
      <c r="J2493" s="2"/>
      <c r="K2493" s="2"/>
      <c r="L2493" s="2"/>
      <c r="M2493" s="2"/>
      <c r="N2493" s="2"/>
      <c r="O2493" s="2"/>
      <c r="P2493" s="2"/>
    </row>
    <row r="2494" spans="1:16" x14ac:dyDescent="0.4">
      <c r="A2494">
        <v>2010</v>
      </c>
      <c r="B2494" s="2" t="s">
        <v>606</v>
      </c>
      <c r="C2494" s="2" t="s">
        <v>725</v>
      </c>
      <c r="D2494" s="2" t="s">
        <v>249</v>
      </c>
      <c r="E2494" s="70" t="s">
        <v>251</v>
      </c>
      <c r="F2494" s="29">
        <v>289</v>
      </c>
      <c r="G2494" s="29">
        <v>176</v>
      </c>
      <c r="H2494" s="12">
        <v>113</v>
      </c>
      <c r="J2494" s="2"/>
      <c r="K2494" s="2"/>
      <c r="L2494" s="2"/>
      <c r="M2494" s="2"/>
      <c r="N2494" s="2"/>
      <c r="O2494" s="2"/>
      <c r="P2494" s="2"/>
    </row>
    <row r="2495" spans="1:16" x14ac:dyDescent="0.4">
      <c r="A2495">
        <v>2010</v>
      </c>
      <c r="B2495" s="2" t="s">
        <v>607</v>
      </c>
      <c r="C2495" s="2" t="s">
        <v>725</v>
      </c>
      <c r="D2495" s="2" t="s">
        <v>249</v>
      </c>
      <c r="E2495" s="70" t="s">
        <v>36</v>
      </c>
      <c r="F2495" s="29">
        <v>219</v>
      </c>
      <c r="G2495" s="29">
        <v>137</v>
      </c>
      <c r="H2495" s="12">
        <v>82</v>
      </c>
      <c r="J2495" s="2"/>
      <c r="K2495" s="2"/>
      <c r="L2495" s="2"/>
      <c r="M2495" s="2"/>
      <c r="N2495" s="2"/>
      <c r="O2495" s="2"/>
      <c r="P2495" s="2"/>
    </row>
    <row r="2496" spans="1:16" x14ac:dyDescent="0.4">
      <c r="A2496">
        <v>2010</v>
      </c>
      <c r="B2496" s="2" t="s">
        <v>608</v>
      </c>
      <c r="C2496" s="2" t="s">
        <v>725</v>
      </c>
      <c r="D2496" s="2" t="s">
        <v>249</v>
      </c>
      <c r="E2496" s="70" t="s">
        <v>252</v>
      </c>
      <c r="F2496" s="29">
        <v>293</v>
      </c>
      <c r="G2496" s="29">
        <v>172</v>
      </c>
      <c r="H2496" s="12">
        <v>121</v>
      </c>
      <c r="J2496" s="2"/>
      <c r="K2496" s="2"/>
      <c r="L2496" s="2"/>
      <c r="M2496" s="2"/>
      <c r="N2496" s="2"/>
      <c r="O2496" s="2"/>
      <c r="P2496" s="2"/>
    </row>
    <row r="2497" spans="1:16" x14ac:dyDescent="0.4">
      <c r="A2497">
        <v>2010</v>
      </c>
      <c r="B2497" s="2" t="s">
        <v>609</v>
      </c>
      <c r="C2497" s="2" t="s">
        <v>725</v>
      </c>
      <c r="D2497" s="2" t="s">
        <v>249</v>
      </c>
      <c r="E2497" s="70" t="s">
        <v>253</v>
      </c>
      <c r="F2497" s="29">
        <v>104</v>
      </c>
      <c r="G2497" s="29">
        <v>69</v>
      </c>
      <c r="H2497" s="12">
        <v>35</v>
      </c>
      <c r="J2497" s="2"/>
      <c r="K2497" s="2"/>
      <c r="L2497" s="2"/>
      <c r="M2497" s="2"/>
      <c r="N2497" s="2"/>
      <c r="O2497" s="2"/>
      <c r="P2497" s="2"/>
    </row>
    <row r="2498" spans="1:16" x14ac:dyDescent="0.4">
      <c r="A2498">
        <v>2010</v>
      </c>
      <c r="B2498" s="2" t="s">
        <v>610</v>
      </c>
      <c r="C2498" s="2" t="s">
        <v>725</v>
      </c>
      <c r="D2498" s="2" t="s">
        <v>249</v>
      </c>
      <c r="E2498" s="70" t="s">
        <v>254</v>
      </c>
      <c r="F2498" s="29">
        <v>190</v>
      </c>
      <c r="G2498" s="29">
        <v>143</v>
      </c>
      <c r="H2498" s="12">
        <v>47</v>
      </c>
      <c r="J2498" s="2"/>
      <c r="K2498" s="2"/>
      <c r="L2498" s="2"/>
      <c r="M2498" s="2"/>
      <c r="N2498" s="2"/>
      <c r="O2498" s="2"/>
      <c r="P2498" s="2"/>
    </row>
    <row r="2499" spans="1:16" x14ac:dyDescent="0.4">
      <c r="A2499">
        <v>2010</v>
      </c>
      <c r="B2499" s="2" t="s">
        <v>611</v>
      </c>
      <c r="C2499" s="2" t="s">
        <v>725</v>
      </c>
      <c r="D2499" s="2" t="s">
        <v>249</v>
      </c>
      <c r="E2499" s="70" t="s">
        <v>11</v>
      </c>
      <c r="F2499" s="29">
        <v>8</v>
      </c>
      <c r="G2499" s="29">
        <v>2</v>
      </c>
      <c r="H2499" s="12">
        <v>6</v>
      </c>
      <c r="J2499" s="2"/>
      <c r="K2499" s="2"/>
      <c r="L2499" s="2"/>
      <c r="M2499" s="2"/>
      <c r="N2499" s="2"/>
      <c r="O2499" s="2"/>
      <c r="P2499" s="2"/>
    </row>
    <row r="2500" spans="1:16" x14ac:dyDescent="0.4">
      <c r="A2500">
        <v>2010</v>
      </c>
      <c r="B2500" s="2" t="s">
        <v>612</v>
      </c>
      <c r="C2500" s="2" t="s">
        <v>725</v>
      </c>
      <c r="D2500" s="2" t="s">
        <v>249</v>
      </c>
      <c r="E2500" s="70" t="s">
        <v>255</v>
      </c>
      <c r="F2500" s="29">
        <v>238</v>
      </c>
      <c r="G2500" s="29">
        <v>154</v>
      </c>
      <c r="H2500" s="12">
        <v>84</v>
      </c>
      <c r="J2500" s="2"/>
      <c r="K2500" s="2"/>
      <c r="L2500" s="2"/>
      <c r="M2500" s="2"/>
      <c r="N2500" s="2"/>
      <c r="O2500" s="2"/>
      <c r="P2500" s="2"/>
    </row>
    <row r="2501" spans="1:16" x14ac:dyDescent="0.4">
      <c r="A2501">
        <v>2010</v>
      </c>
      <c r="B2501" s="2" t="s">
        <v>613</v>
      </c>
      <c r="C2501" s="2" t="s">
        <v>725</v>
      </c>
      <c r="D2501" s="2" t="s">
        <v>249</v>
      </c>
      <c r="E2501" s="70" t="s">
        <v>256</v>
      </c>
      <c r="F2501" s="29">
        <v>90</v>
      </c>
      <c r="G2501" s="29">
        <v>49</v>
      </c>
      <c r="H2501" s="12">
        <v>41</v>
      </c>
      <c r="J2501" s="2"/>
      <c r="K2501" s="2"/>
      <c r="L2501" s="2"/>
      <c r="M2501" s="2"/>
      <c r="N2501" s="2"/>
      <c r="O2501" s="2"/>
      <c r="P2501" s="2"/>
    </row>
    <row r="2502" spans="1:16" x14ac:dyDescent="0.4">
      <c r="A2502">
        <v>2010</v>
      </c>
      <c r="B2502" s="2" t="s">
        <v>614</v>
      </c>
      <c r="C2502" s="2" t="s">
        <v>725</v>
      </c>
      <c r="D2502" s="2" t="s">
        <v>249</v>
      </c>
      <c r="E2502" s="70" t="s">
        <v>14</v>
      </c>
      <c r="F2502" s="29">
        <v>86</v>
      </c>
      <c r="G2502" s="29">
        <v>50</v>
      </c>
      <c r="H2502" s="12">
        <v>36</v>
      </c>
      <c r="J2502" s="2"/>
      <c r="K2502" s="2"/>
      <c r="L2502" s="2"/>
      <c r="M2502" s="2"/>
      <c r="N2502" s="2"/>
      <c r="O2502" s="2"/>
      <c r="P2502" s="2"/>
    </row>
    <row r="2503" spans="1:16" x14ac:dyDescent="0.4">
      <c r="A2503">
        <v>2010</v>
      </c>
      <c r="B2503" s="2" t="s">
        <v>615</v>
      </c>
      <c r="C2503" s="2" t="s">
        <v>725</v>
      </c>
      <c r="D2503" s="2" t="s">
        <v>249</v>
      </c>
      <c r="E2503" s="70" t="s">
        <v>257</v>
      </c>
      <c r="F2503" s="29">
        <v>231</v>
      </c>
      <c r="G2503" s="29">
        <v>146</v>
      </c>
      <c r="H2503" s="12">
        <v>85</v>
      </c>
      <c r="J2503" s="2"/>
      <c r="K2503" s="2"/>
      <c r="L2503" s="2"/>
      <c r="M2503" s="2"/>
      <c r="N2503" s="2"/>
      <c r="O2503" s="2"/>
      <c r="P2503" s="2"/>
    </row>
    <row r="2504" spans="1:16" x14ac:dyDescent="0.4">
      <c r="A2504">
        <v>2010</v>
      </c>
      <c r="B2504" s="2" t="s">
        <v>616</v>
      </c>
      <c r="C2504" s="2" t="s">
        <v>725</v>
      </c>
      <c r="D2504" s="2" t="s">
        <v>249</v>
      </c>
      <c r="E2504" s="70" t="s">
        <v>258</v>
      </c>
      <c r="F2504" s="29">
        <v>35</v>
      </c>
      <c r="G2504" s="29">
        <v>24</v>
      </c>
      <c r="H2504" s="12">
        <v>11</v>
      </c>
      <c r="J2504" s="2"/>
      <c r="K2504" s="2"/>
      <c r="L2504" s="2"/>
      <c r="M2504" s="2"/>
      <c r="N2504" s="2"/>
      <c r="O2504" s="2"/>
      <c r="P2504" s="2"/>
    </row>
    <row r="2505" spans="1:16" x14ac:dyDescent="0.4">
      <c r="A2505">
        <v>2010</v>
      </c>
      <c r="B2505" s="2" t="s">
        <v>617</v>
      </c>
      <c r="C2505" s="2" t="s">
        <v>725</v>
      </c>
      <c r="D2505" s="2" t="s">
        <v>249</v>
      </c>
      <c r="E2505" s="70" t="s">
        <v>259</v>
      </c>
      <c r="F2505" s="29">
        <v>295</v>
      </c>
      <c r="G2505" s="29">
        <v>160</v>
      </c>
      <c r="H2505" s="12">
        <v>135</v>
      </c>
      <c r="J2505" s="2"/>
      <c r="K2505" s="2"/>
      <c r="L2505" s="2"/>
      <c r="M2505" s="2"/>
      <c r="N2505" s="2"/>
      <c r="O2505" s="2"/>
      <c r="P2505" s="2"/>
    </row>
    <row r="2506" spans="1:16" x14ac:dyDescent="0.4">
      <c r="A2506">
        <v>2010</v>
      </c>
      <c r="B2506" s="2" t="s">
        <v>618</v>
      </c>
      <c r="C2506" s="2" t="s">
        <v>725</v>
      </c>
      <c r="D2506" s="2" t="s">
        <v>249</v>
      </c>
      <c r="E2506" s="70" t="s">
        <v>18</v>
      </c>
      <c r="F2506" s="29">
        <v>73</v>
      </c>
      <c r="G2506" s="29">
        <v>41</v>
      </c>
      <c r="H2506" s="12">
        <v>32</v>
      </c>
      <c r="J2506" s="2"/>
      <c r="K2506" s="2"/>
      <c r="L2506" s="2"/>
      <c r="M2506" s="2"/>
      <c r="N2506" s="2"/>
      <c r="O2506" s="2"/>
      <c r="P2506" s="2"/>
    </row>
    <row r="2507" spans="1:16" x14ac:dyDescent="0.4">
      <c r="A2507">
        <v>2010</v>
      </c>
      <c r="B2507" s="2" t="s">
        <v>619</v>
      </c>
      <c r="C2507" s="2" t="s">
        <v>725</v>
      </c>
      <c r="D2507" s="2" t="s">
        <v>249</v>
      </c>
      <c r="E2507" s="70" t="s">
        <v>44</v>
      </c>
      <c r="F2507" s="29">
        <v>96</v>
      </c>
      <c r="G2507" s="29">
        <v>64</v>
      </c>
      <c r="H2507" s="12">
        <v>32</v>
      </c>
      <c r="J2507" s="2"/>
      <c r="K2507" s="2"/>
      <c r="L2507" s="2"/>
      <c r="M2507" s="2"/>
      <c r="N2507" s="2"/>
      <c r="O2507" s="2"/>
      <c r="P2507" s="2"/>
    </row>
    <row r="2508" spans="1:16" x14ac:dyDescent="0.4">
      <c r="A2508">
        <v>2010</v>
      </c>
      <c r="B2508" s="2" t="s">
        <v>620</v>
      </c>
      <c r="C2508" s="2" t="s">
        <v>725</v>
      </c>
      <c r="D2508" s="2" t="s">
        <v>249</v>
      </c>
      <c r="E2508" s="70" t="s">
        <v>260</v>
      </c>
      <c r="F2508" s="29">
        <v>40</v>
      </c>
      <c r="G2508" s="29">
        <v>23</v>
      </c>
      <c r="H2508" s="12">
        <v>17</v>
      </c>
      <c r="J2508" s="2"/>
      <c r="K2508" s="2"/>
      <c r="L2508" s="2"/>
      <c r="M2508" s="2"/>
      <c r="N2508" s="2"/>
      <c r="O2508" s="2"/>
      <c r="P2508" s="2"/>
    </row>
    <row r="2509" spans="1:16" x14ac:dyDescent="0.4">
      <c r="A2509">
        <v>2010</v>
      </c>
      <c r="B2509" s="2" t="s">
        <v>621</v>
      </c>
      <c r="C2509" s="2" t="s">
        <v>725</v>
      </c>
      <c r="D2509" s="2" t="s">
        <v>249</v>
      </c>
      <c r="E2509" s="70" t="s">
        <v>261</v>
      </c>
      <c r="F2509" s="29">
        <v>68</v>
      </c>
      <c r="G2509" s="29">
        <v>43</v>
      </c>
      <c r="H2509" s="12">
        <v>25</v>
      </c>
      <c r="J2509" s="2"/>
      <c r="K2509" s="2"/>
      <c r="L2509" s="2"/>
      <c r="M2509" s="2"/>
      <c r="N2509" s="2"/>
      <c r="O2509" s="2"/>
      <c r="P2509" s="2"/>
    </row>
    <row r="2510" spans="1:16" x14ac:dyDescent="0.4">
      <c r="A2510">
        <v>2010</v>
      </c>
      <c r="B2510" s="2" t="s">
        <v>622</v>
      </c>
      <c r="C2510" s="2" t="s">
        <v>725</v>
      </c>
      <c r="D2510" s="2" t="s">
        <v>249</v>
      </c>
      <c r="E2510" s="70" t="s">
        <v>262</v>
      </c>
      <c r="F2510" s="29">
        <v>176</v>
      </c>
      <c r="G2510" s="29">
        <v>120</v>
      </c>
      <c r="H2510" s="12">
        <v>56</v>
      </c>
      <c r="J2510" s="2"/>
      <c r="K2510" s="2"/>
      <c r="L2510" s="2"/>
      <c r="M2510" s="2"/>
      <c r="N2510" s="2"/>
      <c r="O2510" s="2"/>
      <c r="P2510" s="2"/>
    </row>
    <row r="2511" spans="1:16" x14ac:dyDescent="0.4">
      <c r="A2511">
        <v>2010</v>
      </c>
      <c r="B2511" s="2" t="s">
        <v>623</v>
      </c>
      <c r="C2511" s="2" t="s">
        <v>725</v>
      </c>
      <c r="D2511" s="2" t="s">
        <v>249</v>
      </c>
      <c r="E2511" s="70" t="s">
        <v>263</v>
      </c>
      <c r="F2511" s="29">
        <v>90</v>
      </c>
      <c r="G2511" s="29">
        <v>64</v>
      </c>
      <c r="H2511" s="12">
        <v>26</v>
      </c>
      <c r="J2511" s="2"/>
      <c r="K2511" s="2"/>
      <c r="L2511" s="2"/>
      <c r="M2511" s="2"/>
      <c r="N2511" s="2"/>
      <c r="O2511" s="2"/>
      <c r="P2511" s="2"/>
    </row>
    <row r="2512" spans="1:16" x14ac:dyDescent="0.4">
      <c r="A2512">
        <v>2010</v>
      </c>
      <c r="B2512" s="2" t="s">
        <v>624</v>
      </c>
      <c r="C2512" s="2" t="s">
        <v>725</v>
      </c>
      <c r="D2512" s="2" t="s">
        <v>249</v>
      </c>
      <c r="E2512" s="70" t="s">
        <v>264</v>
      </c>
      <c r="F2512" s="29">
        <v>22</v>
      </c>
      <c r="G2512" s="29">
        <v>13</v>
      </c>
      <c r="H2512" s="12">
        <v>9</v>
      </c>
      <c r="J2512" s="2"/>
      <c r="K2512" s="2"/>
      <c r="L2512" s="2"/>
      <c r="M2512" s="2"/>
      <c r="N2512" s="2"/>
      <c r="O2512" s="2"/>
      <c r="P2512" s="2"/>
    </row>
    <row r="2513" spans="1:16" x14ac:dyDescent="0.4">
      <c r="A2513">
        <v>2010</v>
      </c>
      <c r="B2513" s="2" t="s">
        <v>625</v>
      </c>
      <c r="C2513" s="2" t="s">
        <v>725</v>
      </c>
      <c r="D2513" s="2" t="s">
        <v>249</v>
      </c>
      <c r="E2513" s="70" t="s">
        <v>265</v>
      </c>
      <c r="F2513" s="29">
        <v>71</v>
      </c>
      <c r="G2513" s="29">
        <v>54</v>
      </c>
      <c r="H2513" s="12">
        <v>17</v>
      </c>
      <c r="J2513" s="2"/>
      <c r="K2513" s="2"/>
      <c r="L2513" s="2"/>
      <c r="M2513" s="2"/>
      <c r="N2513" s="2"/>
      <c r="O2513" s="2"/>
      <c r="P2513" s="2"/>
    </row>
    <row r="2514" spans="1:16" x14ac:dyDescent="0.4">
      <c r="A2514">
        <v>2010</v>
      </c>
      <c r="B2514" s="2" t="s">
        <v>626</v>
      </c>
      <c r="C2514" s="2" t="s">
        <v>725</v>
      </c>
      <c r="D2514" s="2" t="s">
        <v>249</v>
      </c>
      <c r="E2514" s="70" t="s">
        <v>266</v>
      </c>
      <c r="F2514" s="29">
        <v>3215</v>
      </c>
      <c r="G2514" s="29">
        <v>1869</v>
      </c>
      <c r="H2514" s="12">
        <v>1346</v>
      </c>
      <c r="J2514" s="2"/>
      <c r="K2514" s="2"/>
      <c r="L2514" s="2"/>
      <c r="M2514" s="2"/>
      <c r="N2514" s="2"/>
      <c r="O2514" s="2"/>
      <c r="P2514" s="2"/>
    </row>
    <row r="2515" spans="1:16" x14ac:dyDescent="0.4">
      <c r="A2515">
        <v>2010</v>
      </c>
      <c r="B2515" s="2" t="s">
        <v>627</v>
      </c>
      <c r="C2515" s="2" t="s">
        <v>725</v>
      </c>
      <c r="D2515" s="2" t="s">
        <v>249</v>
      </c>
      <c r="E2515" s="70" t="s">
        <v>267</v>
      </c>
      <c r="F2515" s="29">
        <v>18</v>
      </c>
      <c r="G2515" s="29">
        <v>10</v>
      </c>
      <c r="H2515" s="12">
        <v>8</v>
      </c>
      <c r="J2515" s="2"/>
      <c r="K2515" s="2"/>
      <c r="L2515" s="2"/>
      <c r="M2515" s="2"/>
      <c r="N2515" s="2"/>
      <c r="O2515" s="2"/>
      <c r="P2515" s="2"/>
    </row>
    <row r="2516" spans="1:16" x14ac:dyDescent="0.4">
      <c r="A2516">
        <v>2010</v>
      </c>
      <c r="B2516" s="2" t="s">
        <v>628</v>
      </c>
      <c r="C2516" s="2" t="s">
        <v>725</v>
      </c>
      <c r="D2516" s="2" t="s">
        <v>249</v>
      </c>
      <c r="E2516" s="70" t="s">
        <v>268</v>
      </c>
      <c r="F2516" s="29">
        <v>34</v>
      </c>
      <c r="G2516" s="29">
        <v>26</v>
      </c>
      <c r="H2516" s="12">
        <v>8</v>
      </c>
      <c r="J2516" s="2"/>
      <c r="K2516" s="2"/>
      <c r="L2516" s="2"/>
      <c r="M2516" s="2"/>
      <c r="N2516" s="2"/>
      <c r="O2516" s="2"/>
      <c r="P2516" s="2"/>
    </row>
    <row r="2517" spans="1:16" x14ac:dyDescent="0.4">
      <c r="A2517">
        <v>2010</v>
      </c>
      <c r="B2517" s="2" t="s">
        <v>629</v>
      </c>
      <c r="C2517" s="2" t="s">
        <v>725</v>
      </c>
      <c r="D2517" s="2" t="s">
        <v>249</v>
      </c>
      <c r="E2517" s="70" t="s">
        <v>26</v>
      </c>
      <c r="F2517" s="29">
        <v>8</v>
      </c>
      <c r="G2517" s="29">
        <v>3</v>
      </c>
      <c r="H2517" s="12">
        <v>5</v>
      </c>
      <c r="J2517" s="2"/>
      <c r="K2517" s="2"/>
      <c r="L2517" s="2"/>
      <c r="M2517" s="2"/>
      <c r="N2517" s="2"/>
      <c r="O2517" s="2"/>
      <c r="P2517" s="2"/>
    </row>
    <row r="2518" spans="1:16" x14ac:dyDescent="0.4">
      <c r="A2518">
        <v>2010</v>
      </c>
      <c r="B2518" s="2" t="s">
        <v>630</v>
      </c>
      <c r="C2518" s="2" t="s">
        <v>725</v>
      </c>
      <c r="D2518" s="2" t="s">
        <v>249</v>
      </c>
      <c r="E2518" s="70" t="s">
        <v>51</v>
      </c>
      <c r="F2518" s="29">
        <v>29</v>
      </c>
      <c r="G2518" s="29">
        <v>22</v>
      </c>
      <c r="H2518" s="12">
        <v>7</v>
      </c>
      <c r="J2518" s="2"/>
      <c r="K2518" s="2"/>
      <c r="L2518" s="2"/>
      <c r="M2518" s="2"/>
      <c r="N2518" s="2"/>
      <c r="O2518" s="2"/>
      <c r="P2518" s="2"/>
    </row>
    <row r="2519" spans="1:16" x14ac:dyDescent="0.4">
      <c r="A2519">
        <v>2010</v>
      </c>
      <c r="B2519" s="2" t="s">
        <v>631</v>
      </c>
      <c r="C2519" s="2" t="s">
        <v>725</v>
      </c>
      <c r="D2519" s="2" t="s">
        <v>249</v>
      </c>
      <c r="E2519" s="70" t="s">
        <v>269</v>
      </c>
      <c r="F2519" s="29">
        <v>127</v>
      </c>
      <c r="G2519" s="29">
        <v>96</v>
      </c>
      <c r="H2519" s="12">
        <v>31</v>
      </c>
      <c r="J2519" s="2"/>
      <c r="K2519" s="2"/>
      <c r="L2519" s="2"/>
      <c r="M2519" s="2"/>
      <c r="N2519" s="2"/>
      <c r="O2519" s="2"/>
      <c r="P2519" s="2"/>
    </row>
    <row r="2520" spans="1:16" x14ac:dyDescent="0.4">
      <c r="A2520">
        <v>2010</v>
      </c>
      <c r="B2520" s="2" t="s">
        <v>632</v>
      </c>
      <c r="C2520" s="2" t="s">
        <v>725</v>
      </c>
      <c r="D2520" s="2" t="s">
        <v>249</v>
      </c>
      <c r="E2520" s="70" t="s">
        <v>270</v>
      </c>
      <c r="F2520" s="29">
        <v>78</v>
      </c>
      <c r="G2520" s="29">
        <v>52</v>
      </c>
      <c r="H2520" s="12">
        <v>26</v>
      </c>
      <c r="J2520" s="2"/>
      <c r="K2520" s="2"/>
      <c r="L2520" s="2"/>
      <c r="M2520" s="2"/>
      <c r="N2520" s="2"/>
      <c r="O2520" s="2"/>
      <c r="P2520" s="2"/>
    </row>
    <row r="2521" spans="1:16" x14ac:dyDescent="0.4">
      <c r="A2521">
        <v>2010</v>
      </c>
      <c r="B2521" s="2" t="s">
        <v>633</v>
      </c>
      <c r="C2521" s="2" t="s">
        <v>726</v>
      </c>
      <c r="D2521" s="2" t="s">
        <v>271</v>
      </c>
      <c r="E2521" s="70" t="s">
        <v>174</v>
      </c>
      <c r="F2521" s="29">
        <v>46</v>
      </c>
      <c r="G2521" s="29">
        <v>34</v>
      </c>
      <c r="H2521" s="12">
        <v>12</v>
      </c>
      <c r="J2521" s="2"/>
      <c r="K2521" s="2"/>
      <c r="L2521" s="2"/>
      <c r="M2521" s="2"/>
      <c r="N2521" s="2"/>
      <c r="O2521" s="2"/>
      <c r="P2521" s="2"/>
    </row>
    <row r="2522" spans="1:16" x14ac:dyDescent="0.4">
      <c r="A2522">
        <v>2010</v>
      </c>
      <c r="B2522" s="2" t="s">
        <v>634</v>
      </c>
      <c r="C2522" s="2" t="s">
        <v>726</v>
      </c>
      <c r="D2522" s="2" t="s">
        <v>271</v>
      </c>
      <c r="E2522" s="70" t="s">
        <v>272</v>
      </c>
      <c r="F2522" s="29">
        <v>480</v>
      </c>
      <c r="G2522" s="29">
        <v>265</v>
      </c>
      <c r="H2522" s="12">
        <v>215</v>
      </c>
      <c r="J2522" s="2"/>
      <c r="K2522" s="2"/>
      <c r="L2522" s="2"/>
      <c r="M2522" s="2"/>
      <c r="N2522" s="2"/>
      <c r="O2522" s="2"/>
      <c r="P2522" s="2"/>
    </row>
    <row r="2523" spans="1:16" x14ac:dyDescent="0.4">
      <c r="A2523">
        <v>2010</v>
      </c>
      <c r="B2523" s="2" t="s">
        <v>635</v>
      </c>
      <c r="C2523" s="2" t="s">
        <v>726</v>
      </c>
      <c r="D2523" s="2" t="s">
        <v>271</v>
      </c>
      <c r="E2523" s="70" t="s">
        <v>36</v>
      </c>
      <c r="F2523" s="29">
        <v>31</v>
      </c>
      <c r="G2523" s="29">
        <v>20</v>
      </c>
      <c r="H2523" s="12">
        <v>11</v>
      </c>
      <c r="J2523" s="2"/>
      <c r="K2523" s="2"/>
      <c r="L2523" s="2"/>
      <c r="M2523" s="2"/>
      <c r="N2523" s="2"/>
      <c r="O2523" s="2"/>
      <c r="P2523" s="2"/>
    </row>
    <row r="2524" spans="1:16" x14ac:dyDescent="0.4">
      <c r="A2524">
        <v>2010</v>
      </c>
      <c r="B2524" s="2" t="s">
        <v>636</v>
      </c>
      <c r="C2524" s="2" t="s">
        <v>726</v>
      </c>
      <c r="D2524" s="2" t="s">
        <v>271</v>
      </c>
      <c r="E2524" s="70" t="s">
        <v>273</v>
      </c>
      <c r="F2524" s="29">
        <v>97</v>
      </c>
      <c r="G2524" s="29">
        <v>63</v>
      </c>
      <c r="H2524" s="12">
        <v>34</v>
      </c>
      <c r="J2524" s="2"/>
      <c r="K2524" s="2"/>
      <c r="L2524" s="2"/>
      <c r="M2524" s="2"/>
      <c r="N2524" s="2"/>
      <c r="O2524" s="2"/>
      <c r="P2524" s="2"/>
    </row>
    <row r="2525" spans="1:16" x14ac:dyDescent="0.4">
      <c r="A2525">
        <v>2010</v>
      </c>
      <c r="B2525" s="2" t="s">
        <v>637</v>
      </c>
      <c r="C2525" s="2" t="s">
        <v>726</v>
      </c>
      <c r="D2525" s="2" t="s">
        <v>271</v>
      </c>
      <c r="E2525" s="70" t="s">
        <v>274</v>
      </c>
      <c r="F2525" s="29">
        <v>148</v>
      </c>
      <c r="G2525" s="29">
        <v>97</v>
      </c>
      <c r="H2525" s="12">
        <v>51</v>
      </c>
      <c r="J2525" s="2"/>
      <c r="K2525" s="2"/>
      <c r="L2525" s="2"/>
      <c r="M2525" s="2"/>
      <c r="N2525" s="2"/>
      <c r="O2525" s="2"/>
      <c r="P2525" s="2"/>
    </row>
    <row r="2526" spans="1:16" x14ac:dyDescent="0.4">
      <c r="A2526">
        <v>2010</v>
      </c>
      <c r="B2526" s="2" t="s">
        <v>638</v>
      </c>
      <c r="C2526" s="2" t="s">
        <v>726</v>
      </c>
      <c r="D2526" s="2" t="s">
        <v>271</v>
      </c>
      <c r="E2526" s="70" t="s">
        <v>275</v>
      </c>
      <c r="F2526" s="29">
        <v>64</v>
      </c>
      <c r="G2526" s="29">
        <v>32</v>
      </c>
      <c r="H2526" s="12">
        <v>32</v>
      </c>
      <c r="J2526" s="2"/>
      <c r="K2526" s="2"/>
      <c r="L2526" s="2"/>
      <c r="M2526" s="2"/>
      <c r="N2526" s="2"/>
      <c r="O2526" s="2"/>
      <c r="P2526" s="2"/>
    </row>
    <row r="2527" spans="1:16" x14ac:dyDescent="0.4">
      <c r="A2527">
        <v>2010</v>
      </c>
      <c r="B2527" s="2" t="s">
        <v>639</v>
      </c>
      <c r="C2527" s="2" t="s">
        <v>726</v>
      </c>
      <c r="D2527" s="2" t="s">
        <v>271</v>
      </c>
      <c r="E2527" s="70" t="s">
        <v>276</v>
      </c>
      <c r="F2527" s="29">
        <v>8</v>
      </c>
      <c r="G2527" s="29">
        <v>4</v>
      </c>
      <c r="H2527" s="12">
        <v>4</v>
      </c>
      <c r="J2527" s="2"/>
      <c r="K2527" s="2"/>
      <c r="L2527" s="2"/>
      <c r="M2527" s="2"/>
      <c r="N2527" s="2"/>
      <c r="O2527" s="2"/>
      <c r="P2527" s="2"/>
    </row>
    <row r="2528" spans="1:16" x14ac:dyDescent="0.4">
      <c r="A2528">
        <v>2010</v>
      </c>
      <c r="B2528" s="2" t="s">
        <v>640</v>
      </c>
      <c r="C2528" s="2" t="s">
        <v>726</v>
      </c>
      <c r="D2528" s="2" t="s">
        <v>271</v>
      </c>
      <c r="E2528" s="70" t="s">
        <v>277</v>
      </c>
      <c r="F2528" s="29">
        <v>25</v>
      </c>
      <c r="G2528" s="29">
        <v>14</v>
      </c>
      <c r="H2528" s="12">
        <v>11</v>
      </c>
      <c r="J2528" s="2"/>
      <c r="K2528" s="2"/>
      <c r="L2528" s="2"/>
      <c r="M2528" s="2"/>
      <c r="N2528" s="2"/>
      <c r="O2528" s="2"/>
      <c r="P2528" s="2"/>
    </row>
    <row r="2529" spans="1:16" x14ac:dyDescent="0.4">
      <c r="A2529">
        <v>2010</v>
      </c>
      <c r="B2529" s="2" t="s">
        <v>641</v>
      </c>
      <c r="C2529" s="2" t="s">
        <v>726</v>
      </c>
      <c r="D2529" s="2" t="s">
        <v>271</v>
      </c>
      <c r="E2529" s="70" t="s">
        <v>278</v>
      </c>
      <c r="F2529" s="29">
        <v>52</v>
      </c>
      <c r="G2529" s="29">
        <v>38</v>
      </c>
      <c r="H2529" s="12">
        <v>14</v>
      </c>
      <c r="J2529" s="2"/>
      <c r="K2529" s="2"/>
      <c r="L2529" s="2"/>
      <c r="M2529" s="2"/>
      <c r="N2529" s="2"/>
      <c r="O2529" s="2"/>
      <c r="P2529" s="2"/>
    </row>
    <row r="2530" spans="1:16" x14ac:dyDescent="0.4">
      <c r="A2530">
        <v>2010</v>
      </c>
      <c r="B2530" s="2" t="s">
        <v>642</v>
      </c>
      <c r="C2530" s="2" t="s">
        <v>726</v>
      </c>
      <c r="D2530" s="2" t="s">
        <v>271</v>
      </c>
      <c r="E2530" s="70" t="s">
        <v>85</v>
      </c>
      <c r="F2530" s="29">
        <v>27</v>
      </c>
      <c r="G2530" s="29">
        <v>16</v>
      </c>
      <c r="H2530" s="12">
        <v>11</v>
      </c>
      <c r="J2530" s="2"/>
      <c r="K2530" s="2"/>
      <c r="L2530" s="2"/>
      <c r="M2530" s="2"/>
      <c r="N2530" s="2"/>
      <c r="O2530" s="2"/>
      <c r="P2530" s="2"/>
    </row>
    <row r="2531" spans="1:16" x14ac:dyDescent="0.4">
      <c r="A2531">
        <v>2010</v>
      </c>
      <c r="B2531" s="2" t="s">
        <v>643</v>
      </c>
      <c r="C2531" s="2" t="s">
        <v>726</v>
      </c>
      <c r="D2531" s="2" t="s">
        <v>271</v>
      </c>
      <c r="E2531" s="70" t="s">
        <v>279</v>
      </c>
      <c r="F2531" s="29">
        <v>48</v>
      </c>
      <c r="G2531" s="29">
        <v>31</v>
      </c>
      <c r="H2531" s="12">
        <v>17</v>
      </c>
      <c r="J2531" s="2"/>
      <c r="K2531" s="2"/>
      <c r="L2531" s="2"/>
      <c r="M2531" s="2"/>
      <c r="N2531" s="2"/>
      <c r="O2531" s="2"/>
      <c r="P2531" s="2"/>
    </row>
    <row r="2532" spans="1:16" x14ac:dyDescent="0.4">
      <c r="A2532">
        <v>2010</v>
      </c>
      <c r="B2532" s="2" t="s">
        <v>644</v>
      </c>
      <c r="C2532" s="2" t="s">
        <v>726</v>
      </c>
      <c r="D2532" s="2" t="s">
        <v>271</v>
      </c>
      <c r="E2532" s="70" t="s">
        <v>280</v>
      </c>
      <c r="F2532" s="29">
        <v>31</v>
      </c>
      <c r="G2532" s="29">
        <v>17</v>
      </c>
      <c r="H2532" s="12">
        <v>14</v>
      </c>
      <c r="J2532" s="2"/>
      <c r="K2532" s="2"/>
      <c r="L2532" s="2"/>
      <c r="M2532" s="2"/>
      <c r="N2532" s="2"/>
      <c r="O2532" s="2"/>
      <c r="P2532" s="2"/>
    </row>
    <row r="2533" spans="1:16" x14ac:dyDescent="0.4">
      <c r="A2533">
        <v>2010</v>
      </c>
      <c r="B2533" s="2" t="s">
        <v>645</v>
      </c>
      <c r="C2533" s="2" t="s">
        <v>726</v>
      </c>
      <c r="D2533" s="2" t="s">
        <v>271</v>
      </c>
      <c r="E2533" s="70" t="s">
        <v>281</v>
      </c>
      <c r="F2533" s="29">
        <v>178</v>
      </c>
      <c r="G2533" s="29">
        <v>109</v>
      </c>
      <c r="H2533" s="12">
        <v>69</v>
      </c>
      <c r="J2533" s="2"/>
      <c r="K2533" s="2"/>
      <c r="L2533" s="2"/>
      <c r="M2533" s="2"/>
      <c r="N2533" s="2"/>
      <c r="O2533" s="2"/>
      <c r="P2533" s="2"/>
    </row>
    <row r="2534" spans="1:16" x14ac:dyDescent="0.4">
      <c r="A2534">
        <v>2010</v>
      </c>
      <c r="B2534" s="2" t="s">
        <v>646</v>
      </c>
      <c r="C2534" s="2" t="s">
        <v>726</v>
      </c>
      <c r="D2534" s="2" t="s">
        <v>271</v>
      </c>
      <c r="E2534" s="70" t="s">
        <v>282</v>
      </c>
      <c r="F2534" s="29">
        <v>54</v>
      </c>
      <c r="G2534" s="29">
        <v>32</v>
      </c>
      <c r="H2534" s="12">
        <v>22</v>
      </c>
      <c r="J2534" s="2"/>
      <c r="K2534" s="2"/>
      <c r="L2534" s="2"/>
      <c r="M2534" s="2"/>
      <c r="N2534" s="2"/>
      <c r="O2534" s="2"/>
      <c r="P2534" s="2"/>
    </row>
    <row r="2535" spans="1:16" x14ac:dyDescent="0.4">
      <c r="A2535">
        <v>2010</v>
      </c>
      <c r="B2535" s="2" t="s">
        <v>647</v>
      </c>
      <c r="C2535" s="2" t="s">
        <v>726</v>
      </c>
      <c r="D2535" s="2" t="s">
        <v>271</v>
      </c>
      <c r="E2535" s="70" t="s">
        <v>283</v>
      </c>
      <c r="F2535" s="29">
        <v>57</v>
      </c>
      <c r="G2535" s="29">
        <v>33</v>
      </c>
      <c r="H2535" s="12">
        <v>24</v>
      </c>
      <c r="J2535" s="2"/>
      <c r="K2535" s="2"/>
      <c r="L2535" s="2"/>
      <c r="M2535" s="2"/>
      <c r="N2535" s="2"/>
      <c r="O2535" s="2"/>
      <c r="P2535" s="2"/>
    </row>
    <row r="2536" spans="1:16" x14ac:dyDescent="0.4">
      <c r="A2536">
        <v>2010</v>
      </c>
      <c r="B2536" s="2" t="s">
        <v>648</v>
      </c>
      <c r="C2536" s="2" t="s">
        <v>726</v>
      </c>
      <c r="D2536" s="2" t="s">
        <v>271</v>
      </c>
      <c r="E2536" s="70" t="s">
        <v>284</v>
      </c>
      <c r="F2536" s="29">
        <v>124</v>
      </c>
      <c r="G2536" s="29">
        <v>76</v>
      </c>
      <c r="H2536" s="12">
        <v>48</v>
      </c>
      <c r="J2536" s="2"/>
      <c r="K2536" s="2"/>
      <c r="L2536" s="2"/>
      <c r="M2536" s="2"/>
      <c r="N2536" s="2"/>
      <c r="O2536" s="2"/>
      <c r="P2536" s="2"/>
    </row>
    <row r="2537" spans="1:16" x14ac:dyDescent="0.4">
      <c r="A2537">
        <v>2010</v>
      </c>
      <c r="B2537" s="2" t="s">
        <v>649</v>
      </c>
      <c r="C2537" s="2" t="s">
        <v>726</v>
      </c>
      <c r="D2537" s="2" t="s">
        <v>271</v>
      </c>
      <c r="E2537" s="70" t="s">
        <v>51</v>
      </c>
      <c r="F2537" s="29">
        <v>114</v>
      </c>
      <c r="G2537" s="29">
        <v>73</v>
      </c>
      <c r="H2537" s="12">
        <v>41</v>
      </c>
      <c r="J2537" s="2"/>
      <c r="K2537" s="2"/>
      <c r="L2537" s="2"/>
      <c r="M2537" s="2"/>
      <c r="N2537" s="2"/>
      <c r="O2537" s="2"/>
      <c r="P2537" s="2"/>
    </row>
    <row r="2538" spans="1:16" x14ac:dyDescent="0.4">
      <c r="A2538">
        <v>2010</v>
      </c>
      <c r="B2538" s="2" t="s">
        <v>650</v>
      </c>
      <c r="C2538" s="2" t="s">
        <v>726</v>
      </c>
      <c r="D2538" s="2" t="s">
        <v>271</v>
      </c>
      <c r="E2538" s="70" t="s">
        <v>285</v>
      </c>
      <c r="F2538" s="29">
        <v>424</v>
      </c>
      <c r="G2538" s="29">
        <v>253</v>
      </c>
      <c r="H2538" s="12">
        <v>171</v>
      </c>
      <c r="J2538" s="2"/>
      <c r="K2538" s="2"/>
      <c r="L2538" s="2"/>
      <c r="M2538" s="2"/>
      <c r="N2538" s="2"/>
      <c r="O2538" s="2"/>
      <c r="P2538" s="2"/>
    </row>
    <row r="2539" spans="1:16" x14ac:dyDescent="0.4">
      <c r="A2539">
        <v>2010</v>
      </c>
      <c r="B2539" s="2" t="s">
        <v>651</v>
      </c>
      <c r="C2539" s="2" t="s">
        <v>726</v>
      </c>
      <c r="D2539" s="2" t="s">
        <v>271</v>
      </c>
      <c r="E2539" s="70" t="s">
        <v>53</v>
      </c>
      <c r="F2539" s="29">
        <v>110</v>
      </c>
      <c r="G2539" s="29">
        <v>64</v>
      </c>
      <c r="H2539" s="12">
        <v>46</v>
      </c>
      <c r="J2539" s="2"/>
      <c r="K2539" s="2"/>
      <c r="L2539" s="2"/>
      <c r="M2539" s="2"/>
      <c r="N2539" s="2"/>
      <c r="O2539" s="2"/>
      <c r="P2539" s="2"/>
    </row>
    <row r="2540" spans="1:16" x14ac:dyDescent="0.4">
      <c r="A2540">
        <v>2010</v>
      </c>
      <c r="B2540" s="2" t="s">
        <v>652</v>
      </c>
      <c r="C2540" s="2" t="s">
        <v>726</v>
      </c>
      <c r="D2540" s="2" t="s">
        <v>271</v>
      </c>
      <c r="E2540" s="70" t="s">
        <v>286</v>
      </c>
      <c r="F2540" s="29">
        <v>1692</v>
      </c>
      <c r="G2540" s="29">
        <v>1001</v>
      </c>
      <c r="H2540" s="12">
        <v>691</v>
      </c>
      <c r="J2540" s="2"/>
      <c r="K2540" s="2"/>
      <c r="L2540" s="2"/>
      <c r="M2540" s="2"/>
      <c r="N2540" s="2"/>
      <c r="O2540" s="2"/>
      <c r="P2540" s="2"/>
    </row>
    <row r="2541" spans="1:16" x14ac:dyDescent="0.4">
      <c r="A2541">
        <v>2010</v>
      </c>
      <c r="B2541" s="2" t="s">
        <v>653</v>
      </c>
      <c r="C2541" s="2" t="s">
        <v>727</v>
      </c>
      <c r="D2541" s="2" t="s">
        <v>288</v>
      </c>
      <c r="E2541" s="70" t="s">
        <v>287</v>
      </c>
      <c r="F2541" s="29">
        <v>155</v>
      </c>
      <c r="G2541" s="29">
        <v>101</v>
      </c>
      <c r="H2541" s="12">
        <v>54</v>
      </c>
      <c r="J2541" s="2"/>
      <c r="K2541" s="2"/>
      <c r="L2541" s="2"/>
      <c r="M2541" s="2"/>
      <c r="N2541" s="2"/>
      <c r="O2541" s="2"/>
      <c r="P2541" s="2"/>
    </row>
    <row r="2542" spans="1:16" x14ac:dyDescent="0.4">
      <c r="A2542">
        <v>2010</v>
      </c>
      <c r="B2542" s="2" t="s">
        <v>654</v>
      </c>
      <c r="C2542" s="2" t="s">
        <v>727</v>
      </c>
      <c r="D2542" s="2" t="s">
        <v>288</v>
      </c>
      <c r="E2542" s="70" t="s">
        <v>289</v>
      </c>
      <c r="F2542" s="29">
        <v>90</v>
      </c>
      <c r="G2542" s="29">
        <v>61</v>
      </c>
      <c r="H2542" s="12">
        <v>29</v>
      </c>
      <c r="J2542" s="2"/>
      <c r="K2542" s="2"/>
      <c r="L2542" s="2"/>
      <c r="M2542" s="2"/>
      <c r="N2542" s="2"/>
      <c r="O2542" s="2"/>
      <c r="P2542" s="2"/>
    </row>
    <row r="2543" spans="1:16" x14ac:dyDescent="0.4">
      <c r="A2543">
        <v>2010</v>
      </c>
      <c r="B2543" s="2" t="s">
        <v>655</v>
      </c>
      <c r="C2543" s="2" t="s">
        <v>727</v>
      </c>
      <c r="D2543" s="2" t="s">
        <v>288</v>
      </c>
      <c r="E2543" s="70" t="s">
        <v>290</v>
      </c>
      <c r="F2543" s="29">
        <v>194</v>
      </c>
      <c r="G2543" s="29">
        <v>114</v>
      </c>
      <c r="H2543" s="12">
        <v>80</v>
      </c>
      <c r="J2543" s="2"/>
      <c r="K2543" s="2"/>
      <c r="L2543" s="2"/>
      <c r="M2543" s="2"/>
      <c r="N2543" s="2"/>
      <c r="O2543" s="2"/>
      <c r="P2543" s="2"/>
    </row>
    <row r="2544" spans="1:16" x14ac:dyDescent="0.4">
      <c r="A2544">
        <v>2010</v>
      </c>
      <c r="B2544" s="2" t="s">
        <v>656</v>
      </c>
      <c r="C2544" s="2" t="s">
        <v>727</v>
      </c>
      <c r="D2544" s="2" t="s">
        <v>288</v>
      </c>
      <c r="E2544" s="70" t="s">
        <v>291</v>
      </c>
      <c r="F2544" s="29">
        <v>23</v>
      </c>
      <c r="G2544" s="29">
        <v>17</v>
      </c>
      <c r="H2544" s="12">
        <v>6</v>
      </c>
      <c r="J2544" s="2"/>
      <c r="K2544" s="2"/>
      <c r="L2544" s="2"/>
      <c r="M2544" s="2"/>
      <c r="N2544" s="2"/>
      <c r="O2544" s="2"/>
      <c r="P2544" s="2"/>
    </row>
    <row r="2545" spans="1:16" x14ac:dyDescent="0.4">
      <c r="A2545">
        <v>2010</v>
      </c>
      <c r="B2545" s="2" t="s">
        <v>657</v>
      </c>
      <c r="C2545" s="2" t="s">
        <v>727</v>
      </c>
      <c r="D2545" s="2" t="s">
        <v>288</v>
      </c>
      <c r="E2545" s="70" t="s">
        <v>292</v>
      </c>
      <c r="F2545" s="29">
        <v>264</v>
      </c>
      <c r="G2545" s="29">
        <v>174</v>
      </c>
      <c r="H2545" s="12">
        <v>90</v>
      </c>
      <c r="J2545" s="2"/>
      <c r="K2545" s="2"/>
      <c r="L2545" s="2"/>
      <c r="M2545" s="2"/>
      <c r="N2545" s="2"/>
      <c r="O2545" s="2"/>
      <c r="P2545" s="2"/>
    </row>
    <row r="2546" spans="1:16" x14ac:dyDescent="0.4">
      <c r="A2546">
        <v>2010</v>
      </c>
      <c r="B2546" s="2" t="s">
        <v>658</v>
      </c>
      <c r="C2546" s="2" t="s">
        <v>727</v>
      </c>
      <c r="D2546" s="2" t="s">
        <v>288</v>
      </c>
      <c r="E2546" s="70" t="s">
        <v>293</v>
      </c>
      <c r="F2546" s="29">
        <v>4</v>
      </c>
      <c r="G2546" s="29">
        <v>4</v>
      </c>
      <c r="H2546" s="12" t="s">
        <v>142</v>
      </c>
      <c r="J2546" s="2"/>
      <c r="K2546" s="2"/>
      <c r="L2546" s="2"/>
      <c r="M2546" s="2"/>
      <c r="N2546" s="2"/>
      <c r="O2546" s="2"/>
      <c r="P2546" s="2"/>
    </row>
    <row r="2547" spans="1:16" x14ac:dyDescent="0.4">
      <c r="A2547">
        <v>2010</v>
      </c>
      <c r="B2547" s="2" t="s">
        <v>659</v>
      </c>
      <c r="C2547" s="2" t="s">
        <v>727</v>
      </c>
      <c r="D2547" s="2" t="s">
        <v>288</v>
      </c>
      <c r="E2547" s="70" t="s">
        <v>294</v>
      </c>
      <c r="F2547" s="29">
        <v>564</v>
      </c>
      <c r="G2547" s="29">
        <v>359</v>
      </c>
      <c r="H2547" s="12">
        <v>205</v>
      </c>
      <c r="J2547" s="2"/>
      <c r="K2547" s="2"/>
      <c r="L2547" s="2"/>
      <c r="M2547" s="2"/>
      <c r="N2547" s="2"/>
      <c r="O2547" s="2"/>
      <c r="P2547" s="2"/>
    </row>
    <row r="2548" spans="1:16" x14ac:dyDescent="0.4">
      <c r="A2548">
        <v>2010</v>
      </c>
      <c r="B2548" s="2" t="s">
        <v>660</v>
      </c>
      <c r="C2548" s="2" t="s">
        <v>727</v>
      </c>
      <c r="D2548" s="2" t="s">
        <v>288</v>
      </c>
      <c r="E2548" s="70" t="s">
        <v>295</v>
      </c>
      <c r="F2548" s="29">
        <v>98</v>
      </c>
      <c r="G2548" s="29">
        <v>67</v>
      </c>
      <c r="H2548" s="12">
        <v>31</v>
      </c>
      <c r="J2548" s="2"/>
      <c r="K2548" s="2"/>
      <c r="L2548" s="2"/>
      <c r="M2548" s="2"/>
      <c r="N2548" s="2"/>
      <c r="O2548" s="2"/>
      <c r="P2548" s="2"/>
    </row>
    <row r="2549" spans="1:16" x14ac:dyDescent="0.4">
      <c r="A2549">
        <v>2010</v>
      </c>
      <c r="B2549" s="2" t="s">
        <v>661</v>
      </c>
      <c r="C2549" s="2" t="s">
        <v>727</v>
      </c>
      <c r="D2549" s="2" t="s">
        <v>288</v>
      </c>
      <c r="E2549" s="70" t="s">
        <v>296</v>
      </c>
      <c r="F2549" s="29">
        <v>366</v>
      </c>
      <c r="G2549" s="29">
        <v>214</v>
      </c>
      <c r="H2549" s="12">
        <v>152</v>
      </c>
      <c r="J2549" s="2"/>
      <c r="K2549" s="2"/>
      <c r="L2549" s="2"/>
      <c r="M2549" s="2"/>
      <c r="N2549" s="2"/>
      <c r="O2549" s="2"/>
      <c r="P2549" s="2"/>
    </row>
    <row r="2550" spans="1:16" x14ac:dyDescent="0.4">
      <c r="A2550">
        <v>2010</v>
      </c>
      <c r="B2550" s="2" t="s">
        <v>662</v>
      </c>
      <c r="C2550" s="2" t="s">
        <v>727</v>
      </c>
      <c r="D2550" s="2" t="s">
        <v>288</v>
      </c>
      <c r="E2550" s="70" t="s">
        <v>297</v>
      </c>
      <c r="F2550" s="29">
        <v>68</v>
      </c>
      <c r="G2550" s="29">
        <v>54</v>
      </c>
      <c r="H2550" s="12">
        <v>14</v>
      </c>
      <c r="J2550" s="2"/>
      <c r="K2550" s="2"/>
      <c r="L2550" s="2"/>
      <c r="M2550" s="2"/>
      <c r="N2550" s="2"/>
      <c r="O2550" s="2"/>
      <c r="P2550" s="2"/>
    </row>
    <row r="2551" spans="1:16" x14ac:dyDescent="0.4">
      <c r="A2551">
        <v>2010</v>
      </c>
      <c r="B2551" s="2" t="s">
        <v>663</v>
      </c>
      <c r="C2551" s="2" t="s">
        <v>727</v>
      </c>
      <c r="D2551" s="2" t="s">
        <v>288</v>
      </c>
      <c r="E2551" s="70" t="s">
        <v>298</v>
      </c>
      <c r="F2551" s="29">
        <v>107</v>
      </c>
      <c r="G2551" s="29">
        <v>72</v>
      </c>
      <c r="H2551" s="12">
        <v>35</v>
      </c>
      <c r="J2551" s="2"/>
      <c r="K2551" s="2"/>
      <c r="L2551" s="2"/>
      <c r="M2551" s="2"/>
      <c r="N2551" s="2"/>
      <c r="O2551" s="2"/>
      <c r="P2551" s="2"/>
    </row>
    <row r="2552" spans="1:16" x14ac:dyDescent="0.4">
      <c r="A2552">
        <v>2010</v>
      </c>
      <c r="B2552" s="2" t="s">
        <v>664</v>
      </c>
      <c r="C2552" s="2" t="s">
        <v>728</v>
      </c>
      <c r="D2552" s="2" t="s">
        <v>300</v>
      </c>
      <c r="E2552" s="70" t="s">
        <v>299</v>
      </c>
      <c r="F2552" s="29">
        <v>43</v>
      </c>
      <c r="G2552" s="29">
        <v>25</v>
      </c>
      <c r="H2552" s="12">
        <v>18</v>
      </c>
      <c r="J2552" s="2"/>
      <c r="K2552" s="2"/>
      <c r="L2552" s="2"/>
      <c r="M2552" s="2"/>
      <c r="N2552" s="2"/>
      <c r="O2552" s="2"/>
      <c r="P2552" s="2"/>
    </row>
    <row r="2553" spans="1:16" x14ac:dyDescent="0.4">
      <c r="A2553">
        <v>2010</v>
      </c>
      <c r="B2553" s="2" t="s">
        <v>665</v>
      </c>
      <c r="C2553" s="2" t="s">
        <v>728</v>
      </c>
      <c r="D2553" s="2" t="s">
        <v>300</v>
      </c>
      <c r="E2553" s="70" t="s">
        <v>36</v>
      </c>
      <c r="F2553" s="29">
        <v>83</v>
      </c>
      <c r="G2553" s="29">
        <v>57</v>
      </c>
      <c r="H2553" s="12">
        <v>26</v>
      </c>
      <c r="J2553" s="2"/>
      <c r="K2553" s="2"/>
      <c r="L2553" s="2"/>
      <c r="M2553" s="2"/>
      <c r="N2553" s="2"/>
      <c r="O2553" s="2"/>
      <c r="P2553" s="2"/>
    </row>
    <row r="2554" spans="1:16" x14ac:dyDescent="0.4">
      <c r="A2554">
        <v>2010</v>
      </c>
      <c r="B2554" s="2" t="s">
        <v>666</v>
      </c>
      <c r="C2554" s="2" t="s">
        <v>728</v>
      </c>
      <c r="D2554" s="2" t="s">
        <v>300</v>
      </c>
      <c r="E2554" s="70" t="s">
        <v>301</v>
      </c>
      <c r="F2554" s="29">
        <v>212</v>
      </c>
      <c r="G2554" s="29">
        <v>134</v>
      </c>
      <c r="H2554" s="12">
        <v>78</v>
      </c>
      <c r="J2554" s="2"/>
      <c r="K2554" s="2"/>
      <c r="L2554" s="2"/>
      <c r="M2554" s="2"/>
      <c r="N2554" s="2"/>
      <c r="O2554" s="2"/>
      <c r="P2554" s="2"/>
    </row>
    <row r="2555" spans="1:16" x14ac:dyDescent="0.4">
      <c r="A2555">
        <v>2010</v>
      </c>
      <c r="B2555" s="2" t="s">
        <v>667</v>
      </c>
      <c r="C2555" s="2" t="s">
        <v>728</v>
      </c>
      <c r="D2555" s="2" t="s">
        <v>300</v>
      </c>
      <c r="E2555" s="70" t="s">
        <v>302</v>
      </c>
      <c r="F2555" s="29">
        <v>81</v>
      </c>
      <c r="G2555" s="29">
        <v>49</v>
      </c>
      <c r="H2555" s="12">
        <v>32</v>
      </c>
      <c r="J2555" s="2"/>
      <c r="K2555" s="2"/>
      <c r="L2555" s="2"/>
      <c r="M2555" s="2"/>
      <c r="N2555" s="2"/>
      <c r="O2555" s="2"/>
      <c r="P2555" s="2"/>
    </row>
    <row r="2556" spans="1:16" x14ac:dyDescent="0.4">
      <c r="A2556">
        <v>2010</v>
      </c>
      <c r="B2556" s="2" t="s">
        <v>668</v>
      </c>
      <c r="C2556" s="2" t="s">
        <v>728</v>
      </c>
      <c r="D2556" s="14" t="s">
        <v>300</v>
      </c>
      <c r="E2556" s="69" t="s">
        <v>14</v>
      </c>
      <c r="F2556" s="11">
        <v>111</v>
      </c>
      <c r="G2556" s="11">
        <v>63</v>
      </c>
      <c r="H2556" s="12">
        <v>48</v>
      </c>
      <c r="J2556" s="2"/>
      <c r="K2556" s="2"/>
      <c r="L2556" s="2"/>
      <c r="M2556" s="2"/>
      <c r="N2556" s="2"/>
      <c r="O2556" s="2"/>
      <c r="P2556" s="2"/>
    </row>
    <row r="2557" spans="1:16" x14ac:dyDescent="0.4">
      <c r="A2557">
        <v>2010</v>
      </c>
      <c r="B2557" s="2" t="s">
        <v>669</v>
      </c>
      <c r="C2557" s="2" t="s">
        <v>728</v>
      </c>
      <c r="D2557" s="2" t="s">
        <v>300</v>
      </c>
      <c r="E2557" s="70" t="s">
        <v>303</v>
      </c>
      <c r="F2557" s="29">
        <v>44</v>
      </c>
      <c r="G2557" s="29">
        <v>27</v>
      </c>
      <c r="H2557" s="12">
        <v>17</v>
      </c>
      <c r="J2557" s="2"/>
      <c r="K2557" s="2"/>
      <c r="L2557" s="2"/>
      <c r="M2557" s="2"/>
      <c r="N2557" s="2"/>
      <c r="O2557" s="2"/>
      <c r="P2557" s="2"/>
    </row>
    <row r="2558" spans="1:16" x14ac:dyDescent="0.4">
      <c r="A2558">
        <v>2010</v>
      </c>
      <c r="B2558" s="2" t="s">
        <v>670</v>
      </c>
      <c r="C2558" s="2" t="s">
        <v>728</v>
      </c>
      <c r="D2558" s="2" t="s">
        <v>300</v>
      </c>
      <c r="E2558" s="70" t="s">
        <v>304</v>
      </c>
      <c r="F2558" s="29">
        <v>35</v>
      </c>
      <c r="G2558" s="29">
        <v>23</v>
      </c>
      <c r="H2558" s="12">
        <v>12</v>
      </c>
      <c r="J2558" s="2"/>
      <c r="K2558" s="2"/>
      <c r="L2558" s="2"/>
      <c r="M2558" s="2"/>
      <c r="N2558" s="2"/>
      <c r="O2558" s="2"/>
      <c r="P2558" s="2"/>
    </row>
    <row r="2559" spans="1:16" x14ac:dyDescent="0.4">
      <c r="A2559">
        <v>2010</v>
      </c>
      <c r="B2559" s="2" t="s">
        <v>671</v>
      </c>
      <c r="C2559" s="2" t="s">
        <v>728</v>
      </c>
      <c r="D2559" s="2" t="s">
        <v>300</v>
      </c>
      <c r="E2559" s="70" t="s">
        <v>305</v>
      </c>
      <c r="F2559" s="29">
        <v>18</v>
      </c>
      <c r="G2559" s="29">
        <v>7</v>
      </c>
      <c r="H2559" s="12">
        <v>11</v>
      </c>
      <c r="J2559" s="2"/>
      <c r="K2559" s="2"/>
      <c r="L2559" s="2"/>
      <c r="M2559" s="2"/>
      <c r="N2559" s="2"/>
      <c r="O2559" s="2"/>
      <c r="P2559" s="2"/>
    </row>
    <row r="2560" spans="1:16" x14ac:dyDescent="0.4">
      <c r="A2560">
        <v>2010</v>
      </c>
      <c r="B2560" s="2" t="s">
        <v>672</v>
      </c>
      <c r="C2560" s="2" t="s">
        <v>728</v>
      </c>
      <c r="D2560" s="2" t="s">
        <v>300</v>
      </c>
      <c r="E2560" s="70" t="s">
        <v>306</v>
      </c>
      <c r="F2560" s="29">
        <v>209</v>
      </c>
      <c r="G2560" s="29">
        <v>143</v>
      </c>
      <c r="H2560" s="12">
        <v>66</v>
      </c>
      <c r="J2560" s="2"/>
      <c r="K2560" s="2"/>
      <c r="L2560" s="2"/>
      <c r="M2560" s="2"/>
      <c r="N2560" s="2"/>
      <c r="O2560" s="2"/>
      <c r="P2560" s="2"/>
    </row>
    <row r="2561" spans="1:16" x14ac:dyDescent="0.4">
      <c r="A2561">
        <v>2010</v>
      </c>
      <c r="B2561" s="2" t="s">
        <v>673</v>
      </c>
      <c r="C2561" s="2" t="s">
        <v>728</v>
      </c>
      <c r="D2561" s="2" t="s">
        <v>300</v>
      </c>
      <c r="E2561" s="70" t="s">
        <v>307</v>
      </c>
      <c r="F2561" s="29">
        <v>251</v>
      </c>
      <c r="G2561" s="29">
        <v>149</v>
      </c>
      <c r="H2561" s="12">
        <v>102</v>
      </c>
      <c r="J2561" s="2"/>
      <c r="K2561" s="2"/>
      <c r="L2561" s="2"/>
      <c r="M2561" s="2"/>
      <c r="N2561" s="2"/>
      <c r="O2561" s="2"/>
      <c r="P2561" s="2"/>
    </row>
    <row r="2562" spans="1:16" x14ac:dyDescent="0.4">
      <c r="A2562">
        <v>2010</v>
      </c>
      <c r="B2562" s="2" t="s">
        <v>674</v>
      </c>
      <c r="C2562" s="2" t="s">
        <v>728</v>
      </c>
      <c r="D2562" s="2" t="s">
        <v>300</v>
      </c>
      <c r="E2562" s="70" t="s">
        <v>308</v>
      </c>
      <c r="F2562" s="29">
        <v>1233</v>
      </c>
      <c r="G2562" s="29">
        <v>734</v>
      </c>
      <c r="H2562" s="12">
        <v>499</v>
      </c>
      <c r="J2562" s="2"/>
      <c r="K2562" s="2"/>
      <c r="L2562" s="2"/>
      <c r="M2562" s="2"/>
      <c r="N2562" s="2"/>
      <c r="O2562" s="2"/>
      <c r="P2562" s="2"/>
    </row>
    <row r="2563" spans="1:16" x14ac:dyDescent="0.4">
      <c r="A2563">
        <v>2010</v>
      </c>
      <c r="B2563" s="2" t="s">
        <v>675</v>
      </c>
      <c r="C2563" s="2" t="s">
        <v>728</v>
      </c>
      <c r="D2563" s="2" t="s">
        <v>300</v>
      </c>
      <c r="E2563" s="70" t="s">
        <v>51</v>
      </c>
      <c r="F2563" s="29">
        <v>40</v>
      </c>
      <c r="G2563" s="29">
        <v>28</v>
      </c>
      <c r="H2563" s="12">
        <v>12</v>
      </c>
      <c r="J2563" s="2"/>
      <c r="K2563" s="2"/>
      <c r="L2563" s="2"/>
      <c r="M2563" s="2"/>
      <c r="N2563" s="2"/>
      <c r="O2563" s="2"/>
      <c r="P2563" s="2"/>
    </row>
    <row r="2564" spans="1:16" x14ac:dyDescent="0.4">
      <c r="A2564">
        <v>2010</v>
      </c>
      <c r="B2564" s="2" t="s">
        <v>676</v>
      </c>
      <c r="C2564" s="2" t="s">
        <v>728</v>
      </c>
      <c r="D2564" s="2" t="s">
        <v>300</v>
      </c>
      <c r="E2564" s="70" t="s">
        <v>309</v>
      </c>
      <c r="F2564" s="29">
        <v>51</v>
      </c>
      <c r="G2564" s="29">
        <v>39</v>
      </c>
      <c r="H2564" s="12">
        <v>12</v>
      </c>
      <c r="J2564" s="2"/>
      <c r="K2564" s="2"/>
      <c r="L2564" s="2"/>
      <c r="M2564" s="2"/>
      <c r="N2564" s="2"/>
      <c r="O2564" s="2"/>
      <c r="P2564" s="2"/>
    </row>
    <row r="2565" spans="1:16" x14ac:dyDescent="0.4">
      <c r="A2565">
        <v>2010</v>
      </c>
      <c r="B2565" s="2" t="s">
        <v>677</v>
      </c>
      <c r="C2565" s="2" t="s">
        <v>728</v>
      </c>
      <c r="D2565" s="2" t="s">
        <v>300</v>
      </c>
      <c r="E2565" s="70" t="s">
        <v>310</v>
      </c>
      <c r="F2565" s="29">
        <v>67</v>
      </c>
      <c r="G2565" s="29">
        <v>48</v>
      </c>
      <c r="H2565" s="12">
        <v>19</v>
      </c>
      <c r="J2565" s="2"/>
      <c r="K2565" s="2"/>
      <c r="L2565" s="2"/>
      <c r="M2565" s="2"/>
      <c r="N2565" s="2"/>
      <c r="O2565" s="2"/>
      <c r="P2565" s="2"/>
    </row>
    <row r="2566" spans="1:16" x14ac:dyDescent="0.4">
      <c r="A2566">
        <v>2010</v>
      </c>
      <c r="B2566" s="2" t="s">
        <v>678</v>
      </c>
      <c r="C2566" s="2" t="s">
        <v>729</v>
      </c>
      <c r="D2566" s="2" t="s">
        <v>312</v>
      </c>
      <c r="E2566" s="70" t="s">
        <v>311</v>
      </c>
      <c r="F2566" s="29">
        <v>26</v>
      </c>
      <c r="G2566" s="29">
        <v>18</v>
      </c>
      <c r="H2566" s="12">
        <v>8</v>
      </c>
      <c r="J2566" s="2"/>
      <c r="K2566" s="2"/>
      <c r="L2566" s="2"/>
      <c r="M2566" s="2"/>
      <c r="N2566" s="2"/>
      <c r="O2566" s="2"/>
      <c r="P2566" s="2"/>
    </row>
    <row r="2567" spans="1:16" x14ac:dyDescent="0.4">
      <c r="A2567">
        <v>2010</v>
      </c>
      <c r="B2567" s="2" t="s">
        <v>679</v>
      </c>
      <c r="C2567" s="2" t="s">
        <v>729</v>
      </c>
      <c r="D2567" s="2" t="s">
        <v>312</v>
      </c>
      <c r="E2567" s="70" t="s">
        <v>313</v>
      </c>
      <c r="F2567" s="29">
        <v>249</v>
      </c>
      <c r="G2567" s="29">
        <v>150</v>
      </c>
      <c r="H2567" s="12">
        <v>99</v>
      </c>
      <c r="J2567" s="2"/>
      <c r="K2567" s="2"/>
      <c r="L2567" s="2"/>
      <c r="M2567" s="2"/>
      <c r="N2567" s="2"/>
      <c r="O2567" s="2"/>
      <c r="P2567" s="2"/>
    </row>
    <row r="2568" spans="1:16" x14ac:dyDescent="0.4">
      <c r="A2568">
        <v>2010</v>
      </c>
      <c r="B2568" s="2" t="s">
        <v>680</v>
      </c>
      <c r="C2568" s="2" t="s">
        <v>729</v>
      </c>
      <c r="D2568" s="2" t="s">
        <v>312</v>
      </c>
      <c r="E2568" s="70" t="s">
        <v>314</v>
      </c>
      <c r="F2568" s="29">
        <v>1453</v>
      </c>
      <c r="G2568" s="29">
        <v>838</v>
      </c>
      <c r="H2568" s="12">
        <v>615</v>
      </c>
      <c r="J2568" s="2"/>
      <c r="K2568" s="2"/>
      <c r="L2568" s="2"/>
      <c r="M2568" s="2"/>
      <c r="N2568" s="2"/>
      <c r="O2568" s="2"/>
      <c r="P2568" s="2"/>
    </row>
    <row r="2569" spans="1:16" x14ac:dyDescent="0.4">
      <c r="A2569">
        <v>2010</v>
      </c>
      <c r="B2569" s="2" t="s">
        <v>681</v>
      </c>
      <c r="C2569" s="2" t="s">
        <v>729</v>
      </c>
      <c r="D2569" s="2" t="s">
        <v>312</v>
      </c>
      <c r="E2569" s="70" t="s">
        <v>315</v>
      </c>
      <c r="F2569" s="29">
        <v>111</v>
      </c>
      <c r="G2569" s="29">
        <v>74</v>
      </c>
      <c r="H2569" s="12">
        <v>37</v>
      </c>
      <c r="J2569" s="2"/>
      <c r="K2569" s="2"/>
      <c r="L2569" s="2"/>
      <c r="M2569" s="2"/>
      <c r="N2569" s="2"/>
      <c r="O2569" s="2"/>
      <c r="P2569" s="2"/>
    </row>
    <row r="2570" spans="1:16" x14ac:dyDescent="0.4">
      <c r="A2570">
        <v>2010</v>
      </c>
      <c r="B2570" s="2" t="s">
        <v>682</v>
      </c>
      <c r="C2570" s="2" t="s">
        <v>729</v>
      </c>
      <c r="D2570" s="2" t="s">
        <v>312</v>
      </c>
      <c r="E2570" s="70" t="s">
        <v>316</v>
      </c>
      <c r="F2570" s="29">
        <v>559</v>
      </c>
      <c r="G2570" s="29">
        <v>342</v>
      </c>
      <c r="H2570" s="12">
        <v>217</v>
      </c>
      <c r="J2570" s="2"/>
      <c r="K2570" s="2"/>
      <c r="L2570" s="2"/>
      <c r="M2570" s="2"/>
      <c r="N2570" s="2"/>
      <c r="O2570" s="2"/>
      <c r="P2570" s="2"/>
    </row>
    <row r="2571" spans="1:16" x14ac:dyDescent="0.4">
      <c r="A2571">
        <v>2010</v>
      </c>
      <c r="B2571" s="2" t="s">
        <v>683</v>
      </c>
      <c r="C2571" s="2" t="s">
        <v>729</v>
      </c>
      <c r="D2571" s="2" t="s">
        <v>312</v>
      </c>
      <c r="E2571" s="70" t="s">
        <v>317</v>
      </c>
      <c r="F2571" s="29">
        <v>80</v>
      </c>
      <c r="G2571" s="29">
        <v>52</v>
      </c>
      <c r="H2571" s="12">
        <v>28</v>
      </c>
      <c r="J2571" s="2"/>
      <c r="K2571" s="2"/>
      <c r="L2571" s="2"/>
      <c r="M2571" s="2"/>
      <c r="N2571" s="2"/>
      <c r="O2571" s="2"/>
      <c r="P2571" s="2"/>
    </row>
    <row r="2572" spans="1:16" x14ac:dyDescent="0.4">
      <c r="A2572">
        <v>2010</v>
      </c>
      <c r="B2572" s="2" t="s">
        <v>684</v>
      </c>
      <c r="C2572" s="2" t="s">
        <v>729</v>
      </c>
      <c r="D2572" s="2" t="s">
        <v>312</v>
      </c>
      <c r="E2572" s="70" t="s">
        <v>318</v>
      </c>
      <c r="F2572" s="29">
        <v>360</v>
      </c>
      <c r="G2572" s="29">
        <v>241</v>
      </c>
      <c r="H2572" s="12">
        <v>119</v>
      </c>
      <c r="J2572" s="2"/>
      <c r="K2572" s="2"/>
      <c r="L2572" s="2"/>
      <c r="M2572" s="2"/>
      <c r="N2572" s="2"/>
      <c r="O2572" s="2"/>
      <c r="P2572" s="2"/>
    </row>
    <row r="2573" spans="1:16" x14ac:dyDescent="0.4">
      <c r="A2573">
        <v>2010</v>
      </c>
      <c r="B2573" s="2" t="s">
        <v>685</v>
      </c>
      <c r="C2573" s="2" t="s">
        <v>729</v>
      </c>
      <c r="D2573" s="2" t="s">
        <v>312</v>
      </c>
      <c r="E2573" s="70" t="s">
        <v>319</v>
      </c>
      <c r="F2573" s="29">
        <v>112</v>
      </c>
      <c r="G2573" s="29">
        <v>79</v>
      </c>
      <c r="H2573" s="12">
        <v>33</v>
      </c>
      <c r="J2573" s="2"/>
      <c r="K2573" s="2"/>
      <c r="L2573" s="2"/>
      <c r="M2573" s="2"/>
      <c r="N2573" s="2"/>
      <c r="O2573" s="2"/>
      <c r="P2573" s="2"/>
    </row>
    <row r="2574" spans="1:16" x14ac:dyDescent="0.4">
      <c r="A2574">
        <v>2010</v>
      </c>
      <c r="B2574" s="2" t="s">
        <v>686</v>
      </c>
      <c r="C2574" s="2" t="s">
        <v>729</v>
      </c>
      <c r="D2574" s="2" t="s">
        <v>312</v>
      </c>
      <c r="E2574" s="70" t="s">
        <v>320</v>
      </c>
      <c r="F2574" s="29">
        <v>237</v>
      </c>
      <c r="G2574" s="29">
        <v>147</v>
      </c>
      <c r="H2574" s="12">
        <v>90</v>
      </c>
      <c r="J2574" s="2"/>
      <c r="K2574" s="2"/>
      <c r="L2574" s="2"/>
      <c r="M2574" s="2"/>
      <c r="N2574" s="2"/>
      <c r="O2574" s="2"/>
      <c r="P2574" s="2"/>
    </row>
    <row r="2575" spans="1:16" x14ac:dyDescent="0.4">
      <c r="A2575">
        <v>2010</v>
      </c>
      <c r="B2575" s="2" t="s">
        <v>687</v>
      </c>
      <c r="C2575" s="2" t="s">
        <v>729</v>
      </c>
      <c r="D2575" s="2" t="s">
        <v>312</v>
      </c>
      <c r="E2575" s="70" t="s">
        <v>321</v>
      </c>
      <c r="F2575" s="29">
        <v>1240</v>
      </c>
      <c r="G2575" s="29">
        <v>723</v>
      </c>
      <c r="H2575" s="12">
        <v>517</v>
      </c>
      <c r="J2575" s="2"/>
      <c r="K2575" s="2"/>
      <c r="L2575" s="2"/>
      <c r="M2575" s="2"/>
      <c r="N2575" s="2"/>
      <c r="O2575" s="2"/>
      <c r="P2575" s="2"/>
    </row>
    <row r="2576" spans="1:16" x14ac:dyDescent="0.4">
      <c r="A2576">
        <v>2010</v>
      </c>
      <c r="B2576" s="2" t="s">
        <v>688</v>
      </c>
      <c r="C2576" s="2" t="s">
        <v>729</v>
      </c>
      <c r="D2576" s="2" t="s">
        <v>312</v>
      </c>
      <c r="E2576" s="70" t="s">
        <v>322</v>
      </c>
      <c r="F2576" s="29">
        <v>419</v>
      </c>
      <c r="G2576" s="29">
        <v>259</v>
      </c>
      <c r="H2576" s="12">
        <v>160</v>
      </c>
      <c r="J2576" s="2"/>
      <c r="K2576" s="2"/>
      <c r="L2576" s="2"/>
      <c r="M2576" s="2"/>
      <c r="N2576" s="2"/>
      <c r="O2576" s="2"/>
      <c r="P2576" s="2"/>
    </row>
    <row r="2577" spans="1:16" x14ac:dyDescent="0.4">
      <c r="A2577">
        <v>2010</v>
      </c>
      <c r="B2577" s="2" t="s">
        <v>689</v>
      </c>
      <c r="C2577" s="2" t="s">
        <v>729</v>
      </c>
      <c r="D2577" s="2" t="s">
        <v>312</v>
      </c>
      <c r="E2577" s="70" t="s">
        <v>323</v>
      </c>
      <c r="F2577" s="29">
        <v>749</v>
      </c>
      <c r="G2577" s="29">
        <v>469</v>
      </c>
      <c r="H2577" s="12">
        <v>280</v>
      </c>
      <c r="J2577" s="2"/>
      <c r="K2577" s="2"/>
      <c r="L2577" s="2"/>
      <c r="M2577" s="2"/>
      <c r="N2577" s="2"/>
      <c r="O2577" s="2"/>
      <c r="P2577" s="2"/>
    </row>
    <row r="2578" spans="1:16" x14ac:dyDescent="0.4">
      <c r="A2578">
        <v>2010</v>
      </c>
      <c r="B2578" s="2" t="s">
        <v>690</v>
      </c>
      <c r="C2578" s="2" t="s">
        <v>729</v>
      </c>
      <c r="D2578" s="2" t="s">
        <v>312</v>
      </c>
      <c r="E2578" s="70" t="s">
        <v>324</v>
      </c>
      <c r="F2578" s="29">
        <v>9843</v>
      </c>
      <c r="G2578" s="29">
        <v>5683</v>
      </c>
      <c r="H2578" s="12" t="s">
        <v>738</v>
      </c>
      <c r="J2578" s="2"/>
      <c r="K2578" s="2"/>
      <c r="L2578" s="2"/>
      <c r="M2578" s="2"/>
      <c r="N2578" s="2"/>
      <c r="O2578" s="2"/>
      <c r="P2578" s="2"/>
    </row>
    <row r="2579" spans="1:16" x14ac:dyDescent="0.4">
      <c r="A2579">
        <v>2010</v>
      </c>
      <c r="B2579" s="2" t="s">
        <v>691</v>
      </c>
      <c r="C2579" s="2" t="s">
        <v>729</v>
      </c>
      <c r="D2579" s="2" t="s">
        <v>312</v>
      </c>
      <c r="E2579" s="70" t="s">
        <v>85</v>
      </c>
      <c r="F2579" s="29">
        <v>279</v>
      </c>
      <c r="G2579" s="29">
        <v>174</v>
      </c>
      <c r="H2579" s="12">
        <v>105</v>
      </c>
      <c r="J2579" s="2"/>
      <c r="K2579" s="2"/>
      <c r="L2579" s="2"/>
      <c r="M2579" s="2"/>
      <c r="N2579" s="2"/>
      <c r="O2579" s="2"/>
      <c r="P2579" s="2"/>
    </row>
    <row r="2580" spans="1:16" x14ac:dyDescent="0.4">
      <c r="A2580">
        <v>2010</v>
      </c>
      <c r="B2580" s="2" t="s">
        <v>692</v>
      </c>
      <c r="C2580" s="2" t="s">
        <v>729</v>
      </c>
      <c r="D2580" s="2" t="s">
        <v>312</v>
      </c>
      <c r="E2580" s="70" t="s">
        <v>32</v>
      </c>
      <c r="F2580" s="29">
        <v>205</v>
      </c>
      <c r="G2580" s="29">
        <v>125</v>
      </c>
      <c r="H2580" s="12">
        <v>80</v>
      </c>
      <c r="J2580" s="2"/>
      <c r="K2580" s="2"/>
      <c r="L2580" s="2"/>
      <c r="M2580" s="2"/>
      <c r="N2580" s="2"/>
      <c r="O2580" s="2"/>
      <c r="P2580" s="2"/>
    </row>
    <row r="2581" spans="1:16" x14ac:dyDescent="0.4">
      <c r="A2581">
        <v>2010</v>
      </c>
      <c r="B2581" s="2" t="s">
        <v>693</v>
      </c>
      <c r="C2581" s="2" t="s">
        <v>729</v>
      </c>
      <c r="D2581" s="2" t="s">
        <v>312</v>
      </c>
      <c r="E2581" s="70" t="s">
        <v>325</v>
      </c>
      <c r="F2581" s="29">
        <v>302</v>
      </c>
      <c r="G2581" s="29">
        <v>179</v>
      </c>
      <c r="H2581" s="12">
        <v>123</v>
      </c>
      <c r="J2581" s="2"/>
      <c r="K2581" s="2"/>
      <c r="L2581" s="2"/>
      <c r="M2581" s="2"/>
      <c r="N2581" s="2"/>
      <c r="O2581" s="2"/>
      <c r="P2581" s="2"/>
    </row>
    <row r="2582" spans="1:16" x14ac:dyDescent="0.4">
      <c r="A2582">
        <v>2010</v>
      </c>
      <c r="B2582" s="2" t="s">
        <v>694</v>
      </c>
      <c r="C2582" s="2" t="s">
        <v>729</v>
      </c>
      <c r="D2582" s="2" t="s">
        <v>312</v>
      </c>
      <c r="E2582" s="70" t="s">
        <v>144</v>
      </c>
      <c r="F2582" s="29">
        <v>1678</v>
      </c>
      <c r="G2582" s="29">
        <v>1009</v>
      </c>
      <c r="H2582" s="12">
        <v>669</v>
      </c>
      <c r="J2582" s="2"/>
      <c r="K2582" s="2"/>
      <c r="L2582" s="2"/>
      <c r="M2582" s="2"/>
      <c r="N2582" s="2"/>
      <c r="O2582" s="2"/>
      <c r="P2582" s="2"/>
    </row>
    <row r="2583" spans="1:16" x14ac:dyDescent="0.4">
      <c r="A2583">
        <v>2010</v>
      </c>
      <c r="B2583" s="2" t="s">
        <v>695</v>
      </c>
      <c r="C2583" s="2" t="s">
        <v>729</v>
      </c>
      <c r="D2583" s="2" t="s">
        <v>312</v>
      </c>
      <c r="E2583" s="70" t="s">
        <v>326</v>
      </c>
      <c r="F2583" s="29">
        <v>148</v>
      </c>
      <c r="G2583" s="29">
        <v>97</v>
      </c>
      <c r="H2583" s="12">
        <v>51</v>
      </c>
      <c r="J2583" s="2"/>
      <c r="K2583" s="2"/>
      <c r="L2583" s="2"/>
      <c r="M2583" s="2"/>
      <c r="N2583" s="2"/>
      <c r="O2583" s="2"/>
      <c r="P2583" s="2"/>
    </row>
    <row r="2584" spans="1:16" x14ac:dyDescent="0.4">
      <c r="A2584">
        <v>2010</v>
      </c>
      <c r="B2584" s="2" t="s">
        <v>696</v>
      </c>
      <c r="C2584" s="2" t="s">
        <v>729</v>
      </c>
      <c r="D2584" s="2" t="s">
        <v>312</v>
      </c>
      <c r="E2584" s="70" t="s">
        <v>25</v>
      </c>
      <c r="F2584" s="29">
        <v>110</v>
      </c>
      <c r="G2584" s="29">
        <v>71</v>
      </c>
      <c r="H2584" s="12">
        <v>39</v>
      </c>
      <c r="J2584" s="2"/>
      <c r="K2584" s="2"/>
      <c r="L2584" s="2"/>
      <c r="M2584" s="2"/>
      <c r="N2584" s="2"/>
      <c r="O2584" s="2"/>
      <c r="P2584" s="2"/>
    </row>
    <row r="2585" spans="1:16" x14ac:dyDescent="0.4">
      <c r="A2585">
        <v>2010</v>
      </c>
      <c r="B2585" s="2" t="s">
        <v>697</v>
      </c>
      <c r="C2585" s="2" t="s">
        <v>729</v>
      </c>
      <c r="D2585" s="2" t="s">
        <v>312</v>
      </c>
      <c r="E2585" s="70" t="s">
        <v>51</v>
      </c>
      <c r="F2585" s="29">
        <v>210</v>
      </c>
      <c r="G2585" s="29">
        <v>148</v>
      </c>
      <c r="H2585" s="12">
        <v>62</v>
      </c>
      <c r="J2585" s="2"/>
      <c r="K2585" s="2"/>
      <c r="L2585" s="2"/>
      <c r="M2585" s="2"/>
      <c r="N2585" s="2"/>
      <c r="O2585" s="2"/>
      <c r="P2585" s="2"/>
    </row>
    <row r="2586" spans="1:16" x14ac:dyDescent="0.4">
      <c r="A2586">
        <v>2010</v>
      </c>
      <c r="B2586" s="2" t="s">
        <v>698</v>
      </c>
      <c r="C2586" s="2" t="s">
        <v>729</v>
      </c>
      <c r="D2586" s="2" t="s">
        <v>312</v>
      </c>
      <c r="E2586" s="70" t="s">
        <v>327</v>
      </c>
      <c r="F2586" s="29">
        <v>141</v>
      </c>
      <c r="G2586" s="29">
        <v>87</v>
      </c>
      <c r="H2586" s="12">
        <v>54</v>
      </c>
      <c r="J2586" s="2"/>
      <c r="K2586" s="2"/>
      <c r="L2586" s="2"/>
      <c r="M2586" s="2"/>
      <c r="N2586" s="2"/>
      <c r="O2586" s="2"/>
      <c r="P2586" s="2"/>
    </row>
    <row r="2587" spans="1:16" x14ac:dyDescent="0.4">
      <c r="A2587">
        <v>2010</v>
      </c>
      <c r="B2587" s="2" t="s">
        <v>733</v>
      </c>
      <c r="C2587" s="2" t="s">
        <v>715</v>
      </c>
      <c r="D2587" s="2" t="s">
        <v>734</v>
      </c>
      <c r="E2587" s="70" t="s">
        <v>735</v>
      </c>
      <c r="F2587" s="29">
        <v>0</v>
      </c>
      <c r="G2587" s="29">
        <v>0</v>
      </c>
      <c r="H2587" s="12">
        <v>0</v>
      </c>
      <c r="J2587" s="2"/>
      <c r="K2587" s="2"/>
      <c r="L2587" s="2"/>
      <c r="M2587" s="2"/>
      <c r="N2587" s="2"/>
      <c r="O2587" s="2"/>
      <c r="P2587" s="2"/>
    </row>
    <row r="2588" spans="1:16" x14ac:dyDescent="0.4">
      <c r="A2588">
        <v>2009</v>
      </c>
      <c r="B2588" s="5" t="str">
        <f>+C2588&amp;"-"&amp;E2588</f>
        <v>VA-Municipio Autónomo Vargas</v>
      </c>
      <c r="C2588" s="5" t="str">
        <f>+MID(D2588,1,2)</f>
        <v>VA</v>
      </c>
      <c r="D2588" s="25" t="s">
        <v>288</v>
      </c>
      <c r="E2588" s="64" t="s">
        <v>757</v>
      </c>
      <c r="F2588" s="2">
        <v>0</v>
      </c>
      <c r="G2588" s="2">
        <v>0</v>
      </c>
      <c r="H2588" s="2">
        <v>0</v>
      </c>
      <c r="J2588" s="2"/>
      <c r="K2588" s="2"/>
      <c r="L2588" s="2"/>
      <c r="M2588" s="2"/>
      <c r="N2588" s="2"/>
      <c r="O2588" s="2"/>
      <c r="P2588" s="2"/>
    </row>
    <row r="2589" spans="1:16" x14ac:dyDescent="0.4">
      <c r="A2589">
        <v>2009</v>
      </c>
      <c r="B2589" s="5" t="str">
        <f>+C2589&amp;"-"&amp;E2589</f>
        <v>DI-Municipio Autónomo Libertador</v>
      </c>
      <c r="C2589" s="5" t="str">
        <f>+MID(D2589,1,2)</f>
        <v>DI</v>
      </c>
      <c r="D2589" s="25" t="s">
        <v>106</v>
      </c>
      <c r="E2589" s="64" t="s">
        <v>756</v>
      </c>
      <c r="F2589" s="2">
        <v>0</v>
      </c>
      <c r="G2589" s="2">
        <v>0</v>
      </c>
      <c r="H2589" s="2">
        <v>0</v>
      </c>
      <c r="J2589" s="2"/>
      <c r="K2589" s="2"/>
      <c r="L2589" s="2"/>
      <c r="M2589" s="2"/>
      <c r="N2589" s="2"/>
      <c r="O2589" s="2"/>
      <c r="P2589" s="2"/>
    </row>
    <row r="2590" spans="1:16" x14ac:dyDescent="0.4">
      <c r="A2590">
        <v>2009</v>
      </c>
      <c r="B2590" s="2" t="s">
        <v>335</v>
      </c>
      <c r="C2590" s="2" t="s">
        <v>706</v>
      </c>
      <c r="D2590" s="2" t="s">
        <v>106</v>
      </c>
      <c r="E2590" s="70" t="s">
        <v>105</v>
      </c>
      <c r="F2590" s="29">
        <v>96</v>
      </c>
      <c r="G2590" s="29">
        <v>55</v>
      </c>
      <c r="H2590" s="12">
        <v>41</v>
      </c>
      <c r="J2590" s="2"/>
      <c r="K2590" s="2"/>
      <c r="L2590" s="2"/>
      <c r="M2590" s="2"/>
      <c r="N2590" s="2"/>
      <c r="O2590" s="2"/>
      <c r="P2590" s="2"/>
    </row>
    <row r="2591" spans="1:16" x14ac:dyDescent="0.4">
      <c r="A2591">
        <v>2009</v>
      </c>
      <c r="B2591" s="2" t="s">
        <v>336</v>
      </c>
      <c r="C2591" s="2" t="s">
        <v>706</v>
      </c>
      <c r="D2591" s="2" t="s">
        <v>106</v>
      </c>
      <c r="E2591" s="70" t="s">
        <v>107</v>
      </c>
      <c r="F2591" s="29">
        <v>437</v>
      </c>
      <c r="G2591" s="29">
        <v>304</v>
      </c>
      <c r="H2591" s="12">
        <v>133</v>
      </c>
      <c r="J2591" s="2"/>
      <c r="K2591" s="2"/>
      <c r="L2591" s="2"/>
      <c r="M2591" s="2"/>
      <c r="N2591" s="2"/>
      <c r="O2591" s="2"/>
      <c r="P2591" s="2"/>
    </row>
    <row r="2592" spans="1:16" x14ac:dyDescent="0.4">
      <c r="A2592">
        <v>2009</v>
      </c>
      <c r="B2592" s="2" t="s">
        <v>337</v>
      </c>
      <c r="C2592" s="2" t="s">
        <v>706</v>
      </c>
      <c r="D2592" s="2" t="s">
        <v>106</v>
      </c>
      <c r="E2592" s="70" t="s">
        <v>108</v>
      </c>
      <c r="F2592" s="29">
        <v>242</v>
      </c>
      <c r="G2592" s="29">
        <v>127</v>
      </c>
      <c r="H2592" s="12">
        <v>115</v>
      </c>
      <c r="J2592" s="2"/>
      <c r="K2592" s="2"/>
      <c r="L2592" s="2"/>
      <c r="M2592" s="2"/>
      <c r="N2592" s="2"/>
      <c r="O2592" s="2"/>
      <c r="P2592" s="2"/>
    </row>
    <row r="2593" spans="1:16" x14ac:dyDescent="0.4">
      <c r="A2593">
        <v>2009</v>
      </c>
      <c r="B2593" s="2" t="s">
        <v>338</v>
      </c>
      <c r="C2593" s="2" t="s">
        <v>706</v>
      </c>
      <c r="D2593" s="2" t="s">
        <v>106</v>
      </c>
      <c r="E2593" s="70" t="s">
        <v>109</v>
      </c>
      <c r="F2593" s="29">
        <v>433</v>
      </c>
      <c r="G2593" s="29">
        <v>248</v>
      </c>
      <c r="H2593" s="12">
        <v>185</v>
      </c>
      <c r="J2593" s="2"/>
      <c r="K2593" s="2"/>
      <c r="L2593" s="2"/>
      <c r="M2593" s="2"/>
      <c r="N2593" s="2"/>
      <c r="O2593" s="2"/>
      <c r="P2593" s="2"/>
    </row>
    <row r="2594" spans="1:16" x14ac:dyDescent="0.4">
      <c r="A2594">
        <v>2009</v>
      </c>
      <c r="B2594" s="2" t="s">
        <v>339</v>
      </c>
      <c r="C2594" s="2" t="s">
        <v>706</v>
      </c>
      <c r="D2594" s="2" t="s">
        <v>106</v>
      </c>
      <c r="E2594" s="70" t="s">
        <v>110</v>
      </c>
      <c r="F2594" s="29">
        <v>12</v>
      </c>
      <c r="G2594" s="29">
        <v>9</v>
      </c>
      <c r="H2594" s="12">
        <v>3</v>
      </c>
      <c r="J2594" s="2"/>
      <c r="K2594" s="2"/>
      <c r="L2594" s="2"/>
      <c r="M2594" s="2"/>
      <c r="N2594" s="2"/>
      <c r="O2594" s="2"/>
      <c r="P2594" s="2"/>
    </row>
    <row r="2595" spans="1:16" x14ac:dyDescent="0.4">
      <c r="A2595">
        <v>2009</v>
      </c>
      <c r="B2595" s="2" t="s">
        <v>340</v>
      </c>
      <c r="C2595" s="2" t="s">
        <v>706</v>
      </c>
      <c r="D2595" s="2" t="s">
        <v>106</v>
      </c>
      <c r="E2595" s="70" t="s">
        <v>111</v>
      </c>
      <c r="F2595" s="29">
        <v>385</v>
      </c>
      <c r="G2595" s="29">
        <v>295</v>
      </c>
      <c r="H2595" s="12">
        <v>90</v>
      </c>
      <c r="J2595" s="2"/>
      <c r="K2595" s="2"/>
      <c r="L2595" s="2"/>
      <c r="M2595" s="2"/>
      <c r="N2595" s="2"/>
      <c r="O2595" s="2"/>
      <c r="P2595" s="2"/>
    </row>
    <row r="2596" spans="1:16" x14ac:dyDescent="0.4">
      <c r="A2596">
        <v>2009</v>
      </c>
      <c r="B2596" s="2" t="s">
        <v>341</v>
      </c>
      <c r="C2596" s="2" t="s">
        <v>706</v>
      </c>
      <c r="D2596" s="2" t="s">
        <v>106</v>
      </c>
      <c r="E2596" s="70" t="s">
        <v>112</v>
      </c>
      <c r="F2596" s="29">
        <v>149</v>
      </c>
      <c r="G2596" s="29">
        <v>89</v>
      </c>
      <c r="H2596" s="12">
        <v>60</v>
      </c>
      <c r="J2596" s="2"/>
      <c r="K2596" s="2"/>
      <c r="L2596" s="2"/>
      <c r="M2596" s="2"/>
      <c r="N2596" s="2"/>
      <c r="O2596" s="2"/>
      <c r="P2596" s="2"/>
    </row>
    <row r="2597" spans="1:16" x14ac:dyDescent="0.4">
      <c r="A2597">
        <v>2009</v>
      </c>
      <c r="B2597" s="2" t="s">
        <v>342</v>
      </c>
      <c r="C2597" s="2" t="s">
        <v>706</v>
      </c>
      <c r="D2597" s="2" t="s">
        <v>106</v>
      </c>
      <c r="E2597" s="70" t="s">
        <v>113</v>
      </c>
      <c r="F2597" s="29">
        <v>2474</v>
      </c>
      <c r="G2597" s="29">
        <v>1623</v>
      </c>
      <c r="H2597" s="12">
        <v>851</v>
      </c>
      <c r="J2597" s="2"/>
      <c r="K2597" s="2"/>
      <c r="L2597" s="2"/>
      <c r="M2597" s="2"/>
      <c r="N2597" s="2"/>
      <c r="O2597" s="2"/>
      <c r="P2597" s="2"/>
    </row>
    <row r="2598" spans="1:16" x14ac:dyDescent="0.4">
      <c r="A2598">
        <v>2009</v>
      </c>
      <c r="B2598" s="2" t="s">
        <v>343</v>
      </c>
      <c r="C2598" s="2" t="s">
        <v>706</v>
      </c>
      <c r="D2598" s="2" t="s">
        <v>106</v>
      </c>
      <c r="E2598" s="70" t="s">
        <v>114</v>
      </c>
      <c r="F2598" s="29">
        <v>803</v>
      </c>
      <c r="G2598" s="29">
        <v>411</v>
      </c>
      <c r="H2598" s="12">
        <v>392</v>
      </c>
      <c r="J2598" s="2"/>
      <c r="K2598" s="2"/>
      <c r="L2598" s="2"/>
      <c r="M2598" s="2"/>
      <c r="N2598" s="2"/>
      <c r="O2598" s="2"/>
      <c r="P2598" s="2"/>
    </row>
    <row r="2599" spans="1:16" x14ac:dyDescent="0.4">
      <c r="A2599">
        <v>2009</v>
      </c>
      <c r="B2599" s="2" t="s">
        <v>344</v>
      </c>
      <c r="C2599" s="2" t="s">
        <v>706</v>
      </c>
      <c r="D2599" s="2" t="s">
        <v>106</v>
      </c>
      <c r="E2599" s="70" t="s">
        <v>115</v>
      </c>
      <c r="F2599" s="29">
        <v>383</v>
      </c>
      <c r="G2599" s="29">
        <v>268</v>
      </c>
      <c r="H2599" s="12">
        <v>115</v>
      </c>
      <c r="J2599" s="2"/>
      <c r="K2599" s="2"/>
      <c r="L2599" s="2"/>
      <c r="M2599" s="2"/>
      <c r="N2599" s="2"/>
      <c r="O2599" s="2"/>
      <c r="P2599" s="2"/>
    </row>
    <row r="2600" spans="1:16" x14ac:dyDescent="0.4">
      <c r="A2600">
        <v>2009</v>
      </c>
      <c r="B2600" s="2" t="s">
        <v>345</v>
      </c>
      <c r="C2600" s="2" t="s">
        <v>706</v>
      </c>
      <c r="D2600" s="2" t="s">
        <v>106</v>
      </c>
      <c r="E2600" s="70" t="s">
        <v>116</v>
      </c>
      <c r="F2600" s="29">
        <v>480</v>
      </c>
      <c r="G2600" s="29">
        <v>323</v>
      </c>
      <c r="H2600" s="12">
        <v>157</v>
      </c>
      <c r="J2600" s="2"/>
      <c r="K2600" s="2"/>
      <c r="L2600" s="2"/>
      <c r="M2600" s="2"/>
      <c r="N2600" s="2"/>
      <c r="O2600" s="2"/>
      <c r="P2600" s="2"/>
    </row>
    <row r="2601" spans="1:16" x14ac:dyDescent="0.4">
      <c r="A2601">
        <v>2009</v>
      </c>
      <c r="B2601" s="2" t="s">
        <v>346</v>
      </c>
      <c r="C2601" s="2" t="s">
        <v>706</v>
      </c>
      <c r="D2601" s="2" t="s">
        <v>106</v>
      </c>
      <c r="E2601" s="70" t="s">
        <v>117</v>
      </c>
      <c r="F2601" s="29">
        <v>385</v>
      </c>
      <c r="G2601" s="29">
        <v>238</v>
      </c>
      <c r="H2601" s="12">
        <v>147</v>
      </c>
      <c r="J2601" s="2"/>
      <c r="K2601" s="2"/>
      <c r="L2601" s="2"/>
      <c r="M2601" s="2"/>
      <c r="N2601" s="2"/>
      <c r="O2601" s="2"/>
      <c r="P2601" s="2"/>
    </row>
    <row r="2602" spans="1:16" x14ac:dyDescent="0.4">
      <c r="A2602">
        <v>2009</v>
      </c>
      <c r="B2602" s="2" t="s">
        <v>347</v>
      </c>
      <c r="C2602" s="2" t="s">
        <v>706</v>
      </c>
      <c r="D2602" s="2" t="s">
        <v>106</v>
      </c>
      <c r="E2602" s="70" t="s">
        <v>118</v>
      </c>
      <c r="F2602" s="29">
        <v>114</v>
      </c>
      <c r="G2602" s="29">
        <v>78</v>
      </c>
      <c r="H2602" s="12">
        <v>36</v>
      </c>
      <c r="J2602" s="2"/>
      <c r="K2602" s="2"/>
      <c r="L2602" s="2"/>
      <c r="M2602" s="2"/>
      <c r="N2602" s="2"/>
      <c r="O2602" s="2"/>
      <c r="P2602" s="2"/>
    </row>
    <row r="2603" spans="1:16" x14ac:dyDescent="0.4">
      <c r="A2603">
        <v>2009</v>
      </c>
      <c r="B2603" s="2" t="s">
        <v>348</v>
      </c>
      <c r="C2603" s="2" t="s">
        <v>706</v>
      </c>
      <c r="D2603" s="2" t="s">
        <v>106</v>
      </c>
      <c r="E2603" s="70" t="s">
        <v>119</v>
      </c>
      <c r="F2603" s="29">
        <v>159</v>
      </c>
      <c r="G2603" s="29">
        <v>115</v>
      </c>
      <c r="H2603" s="12">
        <v>44</v>
      </c>
      <c r="J2603" s="2"/>
      <c r="K2603" s="2"/>
      <c r="L2603" s="2"/>
      <c r="M2603" s="2"/>
      <c r="N2603" s="2"/>
      <c r="O2603" s="2"/>
      <c r="P2603" s="2"/>
    </row>
    <row r="2604" spans="1:16" x14ac:dyDescent="0.4">
      <c r="A2604">
        <v>2009</v>
      </c>
      <c r="B2604" s="2" t="s">
        <v>349</v>
      </c>
      <c r="C2604" s="2" t="s">
        <v>706</v>
      </c>
      <c r="D2604" s="2" t="s">
        <v>106</v>
      </c>
      <c r="E2604" s="70" t="s">
        <v>120</v>
      </c>
      <c r="F2604" s="29">
        <v>1107</v>
      </c>
      <c r="G2604" s="29">
        <v>605</v>
      </c>
      <c r="H2604" s="12">
        <v>502</v>
      </c>
      <c r="J2604" s="2"/>
      <c r="K2604" s="2"/>
      <c r="L2604" s="2"/>
      <c r="M2604" s="2"/>
      <c r="N2604" s="2"/>
      <c r="O2604" s="2"/>
      <c r="P2604" s="2"/>
    </row>
    <row r="2605" spans="1:16" x14ac:dyDescent="0.4">
      <c r="A2605">
        <v>2009</v>
      </c>
      <c r="B2605" s="2" t="s">
        <v>350</v>
      </c>
      <c r="C2605" s="2" t="s">
        <v>706</v>
      </c>
      <c r="D2605" s="2" t="s">
        <v>106</v>
      </c>
      <c r="E2605" s="70" t="s">
        <v>121</v>
      </c>
      <c r="F2605" s="29">
        <v>1003</v>
      </c>
      <c r="G2605" s="29">
        <v>503</v>
      </c>
      <c r="H2605" s="12">
        <v>500</v>
      </c>
      <c r="J2605" s="2"/>
      <c r="K2605" s="2"/>
      <c r="L2605" s="2"/>
      <c r="M2605" s="2"/>
      <c r="N2605" s="2"/>
      <c r="O2605" s="2"/>
      <c r="P2605" s="2"/>
    </row>
    <row r="2606" spans="1:16" x14ac:dyDescent="0.4">
      <c r="A2606">
        <v>2009</v>
      </c>
      <c r="B2606" s="2" t="s">
        <v>351</v>
      </c>
      <c r="C2606" s="2" t="s">
        <v>706</v>
      </c>
      <c r="D2606" s="2" t="s">
        <v>106</v>
      </c>
      <c r="E2606" s="70" t="s">
        <v>122</v>
      </c>
      <c r="F2606" s="29">
        <v>1845</v>
      </c>
      <c r="G2606" s="29">
        <v>1038</v>
      </c>
      <c r="H2606" s="12">
        <v>807</v>
      </c>
      <c r="J2606" s="2"/>
      <c r="K2606" s="2"/>
      <c r="L2606" s="2"/>
      <c r="M2606" s="2"/>
      <c r="N2606" s="2"/>
      <c r="O2606" s="2"/>
      <c r="P2606" s="2"/>
    </row>
    <row r="2607" spans="1:16" x14ac:dyDescent="0.4">
      <c r="A2607">
        <v>2009</v>
      </c>
      <c r="B2607" s="2" t="s">
        <v>352</v>
      </c>
      <c r="C2607" s="2" t="s">
        <v>706</v>
      </c>
      <c r="D2607" s="2" t="s">
        <v>106</v>
      </c>
      <c r="E2607" s="70" t="s">
        <v>123</v>
      </c>
      <c r="F2607" s="29">
        <v>2501</v>
      </c>
      <c r="G2607" s="29">
        <v>1432</v>
      </c>
      <c r="H2607" s="12">
        <v>1069</v>
      </c>
      <c r="J2607" s="2"/>
      <c r="K2607" s="2"/>
      <c r="L2607" s="2"/>
      <c r="M2607" s="2"/>
      <c r="N2607" s="2"/>
      <c r="O2607" s="2"/>
      <c r="P2607" s="2"/>
    </row>
    <row r="2608" spans="1:16" x14ac:dyDescent="0.4">
      <c r="A2608">
        <v>2009</v>
      </c>
      <c r="B2608" s="2" t="s">
        <v>353</v>
      </c>
      <c r="C2608" s="2" t="s">
        <v>706</v>
      </c>
      <c r="D2608" s="2" t="s">
        <v>106</v>
      </c>
      <c r="E2608" s="70" t="s">
        <v>124</v>
      </c>
      <c r="F2608" s="29">
        <v>606</v>
      </c>
      <c r="G2608" s="29">
        <v>326</v>
      </c>
      <c r="H2608" s="12">
        <v>280</v>
      </c>
      <c r="J2608" s="2"/>
      <c r="K2608" s="2"/>
      <c r="L2608" s="2"/>
      <c r="M2608" s="2"/>
      <c r="N2608" s="2"/>
      <c r="O2608" s="2"/>
      <c r="P2608" s="2"/>
    </row>
    <row r="2609" spans="1:16" x14ac:dyDescent="0.4">
      <c r="A2609">
        <v>2009</v>
      </c>
      <c r="B2609" s="2" t="s">
        <v>354</v>
      </c>
      <c r="C2609" s="2" t="s">
        <v>706</v>
      </c>
      <c r="D2609" s="2" t="s">
        <v>106</v>
      </c>
      <c r="E2609" s="70" t="s">
        <v>125</v>
      </c>
      <c r="F2609" s="29">
        <v>53</v>
      </c>
      <c r="G2609" s="29">
        <v>28</v>
      </c>
      <c r="H2609" s="12">
        <v>25</v>
      </c>
      <c r="J2609" s="2"/>
      <c r="K2609" s="2"/>
      <c r="L2609" s="2"/>
      <c r="M2609" s="2"/>
      <c r="N2609" s="2"/>
      <c r="O2609" s="2"/>
      <c r="P2609" s="2"/>
    </row>
    <row r="2610" spans="1:16" x14ac:dyDescent="0.4">
      <c r="A2610">
        <v>2009</v>
      </c>
      <c r="B2610" s="7" t="s">
        <v>355</v>
      </c>
      <c r="C2610" s="7" t="s">
        <v>706</v>
      </c>
      <c r="D2610" s="7" t="s">
        <v>106</v>
      </c>
      <c r="E2610" s="69" t="s">
        <v>126</v>
      </c>
      <c r="F2610" s="11">
        <v>1779</v>
      </c>
      <c r="G2610" s="11">
        <v>1197</v>
      </c>
      <c r="H2610" s="12">
        <v>582</v>
      </c>
      <c r="J2610" s="2"/>
      <c r="K2610" s="2"/>
      <c r="L2610" s="2"/>
      <c r="M2610" s="2"/>
      <c r="N2610" s="2"/>
      <c r="O2610" s="2"/>
      <c r="P2610" s="2"/>
    </row>
    <row r="2611" spans="1:16" x14ac:dyDescent="0.4">
      <c r="A2611">
        <v>2009</v>
      </c>
      <c r="B2611" s="2" t="s">
        <v>356</v>
      </c>
      <c r="C2611" s="2" t="s">
        <v>706</v>
      </c>
      <c r="D2611" s="2" t="s">
        <v>106</v>
      </c>
      <c r="E2611" s="70" t="s">
        <v>127</v>
      </c>
      <c r="F2611" s="29">
        <v>254</v>
      </c>
      <c r="G2611" s="29">
        <v>162</v>
      </c>
      <c r="H2611" s="12">
        <v>92</v>
      </c>
      <c r="J2611" s="2"/>
      <c r="K2611" s="2"/>
      <c r="L2611" s="2"/>
      <c r="M2611" s="2"/>
      <c r="N2611" s="2"/>
      <c r="O2611" s="2"/>
      <c r="P2611" s="2"/>
    </row>
    <row r="2612" spans="1:16" x14ac:dyDescent="0.4">
      <c r="A2612">
        <v>2009</v>
      </c>
      <c r="B2612" s="2" t="s">
        <v>357</v>
      </c>
      <c r="C2612" s="2" t="s">
        <v>707</v>
      </c>
      <c r="D2612" s="2" t="s">
        <v>1</v>
      </c>
      <c r="E2612" s="70" t="s">
        <v>0</v>
      </c>
      <c r="F2612" s="29">
        <v>0</v>
      </c>
      <c r="G2612" s="29">
        <v>0</v>
      </c>
      <c r="H2612" s="12">
        <v>0</v>
      </c>
      <c r="J2612" s="2"/>
      <c r="K2612" s="2"/>
      <c r="L2612" s="2"/>
      <c r="M2612" s="2"/>
      <c r="N2612" s="2"/>
      <c r="O2612" s="2"/>
      <c r="P2612" s="2"/>
    </row>
    <row r="2613" spans="1:16" x14ac:dyDescent="0.4">
      <c r="A2613">
        <v>2009</v>
      </c>
      <c r="B2613" s="2" t="s">
        <v>358</v>
      </c>
      <c r="C2613" s="2" t="s">
        <v>707</v>
      </c>
      <c r="D2613" s="2" t="s">
        <v>1</v>
      </c>
      <c r="E2613" s="70" t="s">
        <v>2</v>
      </c>
      <c r="F2613" s="29">
        <v>8</v>
      </c>
      <c r="G2613" s="29">
        <v>5</v>
      </c>
      <c r="H2613" s="12">
        <v>3</v>
      </c>
      <c r="J2613" s="2"/>
      <c r="K2613" s="2"/>
      <c r="L2613" s="2"/>
      <c r="M2613" s="2"/>
      <c r="N2613" s="2"/>
      <c r="O2613" s="2"/>
      <c r="P2613" s="2"/>
    </row>
    <row r="2614" spans="1:16" x14ac:dyDescent="0.4">
      <c r="A2614">
        <v>2009</v>
      </c>
      <c r="B2614" s="2" t="s">
        <v>359</v>
      </c>
      <c r="C2614" s="2" t="s">
        <v>707</v>
      </c>
      <c r="D2614" s="2" t="s">
        <v>1</v>
      </c>
      <c r="E2614" s="70" t="s">
        <v>3</v>
      </c>
      <c r="F2614" s="29">
        <v>297</v>
      </c>
      <c r="G2614" s="29">
        <v>184</v>
      </c>
      <c r="H2614" s="12">
        <v>113</v>
      </c>
      <c r="J2614" s="2"/>
      <c r="K2614" s="2"/>
      <c r="L2614" s="2"/>
      <c r="M2614" s="2"/>
      <c r="N2614" s="2"/>
      <c r="O2614" s="2"/>
      <c r="P2614" s="2"/>
    </row>
    <row r="2615" spans="1:16" x14ac:dyDescent="0.4">
      <c r="A2615">
        <v>2009</v>
      </c>
      <c r="B2615" s="2" t="s">
        <v>360</v>
      </c>
      <c r="C2615" s="2" t="s">
        <v>707</v>
      </c>
      <c r="D2615" s="2" t="s">
        <v>1</v>
      </c>
      <c r="E2615" s="70" t="s">
        <v>4</v>
      </c>
      <c r="F2615" s="29">
        <v>3</v>
      </c>
      <c r="G2615" s="29">
        <v>2</v>
      </c>
      <c r="H2615" s="12">
        <v>1</v>
      </c>
      <c r="J2615" s="2"/>
      <c r="K2615" s="2"/>
      <c r="L2615" s="2"/>
      <c r="M2615" s="2"/>
      <c r="N2615" s="2"/>
      <c r="O2615" s="2"/>
      <c r="P2615" s="2"/>
    </row>
    <row r="2616" spans="1:16" x14ac:dyDescent="0.4">
      <c r="A2616">
        <v>2009</v>
      </c>
      <c r="B2616" s="2" t="s">
        <v>361</v>
      </c>
      <c r="C2616" s="2" t="s">
        <v>707</v>
      </c>
      <c r="D2616" s="2" t="s">
        <v>1</v>
      </c>
      <c r="E2616" s="70" t="s">
        <v>5</v>
      </c>
      <c r="F2616" s="29">
        <v>2</v>
      </c>
      <c r="G2616" s="29">
        <v>2</v>
      </c>
      <c r="H2616" s="12">
        <v>0</v>
      </c>
      <c r="J2616" s="2"/>
      <c r="K2616" s="2"/>
      <c r="L2616" s="2"/>
      <c r="M2616" s="2"/>
      <c r="N2616" s="2"/>
      <c r="O2616" s="2"/>
      <c r="P2616" s="2"/>
    </row>
    <row r="2617" spans="1:16" x14ac:dyDescent="0.4">
      <c r="A2617">
        <v>2009</v>
      </c>
      <c r="B2617" s="2" t="s">
        <v>732</v>
      </c>
      <c r="C2617" s="2" t="s">
        <v>707</v>
      </c>
      <c r="D2617" s="2" t="s">
        <v>1</v>
      </c>
      <c r="E2617" s="70" t="s">
        <v>330</v>
      </c>
      <c r="F2617" s="29">
        <v>0</v>
      </c>
      <c r="G2617" s="29">
        <v>0</v>
      </c>
      <c r="H2617" s="12">
        <v>0</v>
      </c>
      <c r="J2617" s="2"/>
      <c r="K2617" s="2"/>
      <c r="L2617" s="2"/>
      <c r="M2617" s="2"/>
      <c r="N2617" s="2"/>
      <c r="O2617" s="2"/>
      <c r="P2617" s="2"/>
    </row>
    <row r="2618" spans="1:16" x14ac:dyDescent="0.4">
      <c r="A2618">
        <v>2009</v>
      </c>
      <c r="B2618" s="2" t="s">
        <v>730</v>
      </c>
      <c r="C2618" s="2" t="s">
        <v>707</v>
      </c>
      <c r="D2618" s="2" t="s">
        <v>1</v>
      </c>
      <c r="E2618" s="70" t="s">
        <v>328</v>
      </c>
      <c r="F2618" s="29">
        <v>5</v>
      </c>
      <c r="G2618" s="29">
        <v>4</v>
      </c>
      <c r="H2618" s="12">
        <v>1</v>
      </c>
      <c r="J2618" s="2"/>
      <c r="K2618" s="2"/>
      <c r="L2618" s="2"/>
      <c r="M2618" s="2"/>
      <c r="N2618" s="2"/>
      <c r="O2618" s="2"/>
      <c r="P2618" s="2"/>
    </row>
    <row r="2619" spans="1:16" x14ac:dyDescent="0.4">
      <c r="A2619">
        <v>2009</v>
      </c>
      <c r="B2619" s="2" t="s">
        <v>362</v>
      </c>
      <c r="C2619" s="2" t="s">
        <v>708</v>
      </c>
      <c r="D2619" s="2" t="s">
        <v>7</v>
      </c>
      <c r="E2619" s="70" t="s">
        <v>6</v>
      </c>
      <c r="F2619" s="29">
        <v>407</v>
      </c>
      <c r="G2619" s="29">
        <v>274</v>
      </c>
      <c r="H2619" s="12">
        <v>133</v>
      </c>
      <c r="J2619" s="2"/>
      <c r="K2619" s="2"/>
      <c r="L2619" s="2"/>
      <c r="M2619" s="2"/>
      <c r="N2619" s="2"/>
      <c r="O2619" s="2"/>
      <c r="P2619" s="2"/>
    </row>
    <row r="2620" spans="1:16" x14ac:dyDescent="0.4">
      <c r="A2620">
        <v>2009</v>
      </c>
      <c r="B2620" s="2" t="s">
        <v>363</v>
      </c>
      <c r="C2620" s="2" t="s">
        <v>708</v>
      </c>
      <c r="D2620" s="2" t="s">
        <v>7</v>
      </c>
      <c r="E2620" s="70" t="s">
        <v>8</v>
      </c>
      <c r="F2620" s="29">
        <v>77</v>
      </c>
      <c r="G2620" s="29">
        <v>56</v>
      </c>
      <c r="H2620" s="12">
        <v>21</v>
      </c>
      <c r="J2620" s="2"/>
      <c r="K2620" s="2"/>
      <c r="L2620" s="2"/>
      <c r="M2620" s="2"/>
      <c r="N2620" s="2"/>
      <c r="O2620" s="2"/>
      <c r="P2620" s="2"/>
    </row>
    <row r="2621" spans="1:16" x14ac:dyDescent="0.4">
      <c r="A2621">
        <v>2009</v>
      </c>
      <c r="B2621" s="2" t="s">
        <v>364</v>
      </c>
      <c r="C2621" s="2" t="s">
        <v>708</v>
      </c>
      <c r="D2621" s="2" t="s">
        <v>7</v>
      </c>
      <c r="E2621" s="70" t="s">
        <v>9</v>
      </c>
      <c r="F2621" s="29">
        <v>186</v>
      </c>
      <c r="G2621" s="29">
        <v>100</v>
      </c>
      <c r="H2621" s="12">
        <v>86</v>
      </c>
      <c r="J2621" s="2"/>
      <c r="K2621" s="2"/>
      <c r="L2621" s="2"/>
      <c r="M2621" s="2"/>
      <c r="N2621" s="2"/>
      <c r="O2621" s="2"/>
      <c r="P2621" s="2"/>
    </row>
    <row r="2622" spans="1:16" x14ac:dyDescent="0.4">
      <c r="A2622">
        <v>2009</v>
      </c>
      <c r="B2622" s="2" t="s">
        <v>365</v>
      </c>
      <c r="C2622" s="2" t="s">
        <v>708</v>
      </c>
      <c r="D2622" s="2" t="s">
        <v>7</v>
      </c>
      <c r="E2622" s="70" t="s">
        <v>10</v>
      </c>
      <c r="F2622" s="29">
        <v>72</v>
      </c>
      <c r="G2622" s="29">
        <v>54</v>
      </c>
      <c r="H2622" s="12">
        <v>18</v>
      </c>
      <c r="J2622" s="2"/>
      <c r="K2622" s="2"/>
      <c r="L2622" s="2"/>
      <c r="M2622" s="2"/>
      <c r="N2622" s="2"/>
      <c r="O2622" s="2"/>
      <c r="P2622" s="2"/>
    </row>
    <row r="2623" spans="1:16" x14ac:dyDescent="0.4">
      <c r="A2623">
        <v>2009</v>
      </c>
      <c r="B2623" s="2" t="s">
        <v>366</v>
      </c>
      <c r="C2623" s="2" t="s">
        <v>708</v>
      </c>
      <c r="D2623" s="2" t="s">
        <v>7</v>
      </c>
      <c r="E2623" s="70" t="s">
        <v>11</v>
      </c>
      <c r="F2623" s="29">
        <v>82</v>
      </c>
      <c r="G2623" s="29">
        <v>48</v>
      </c>
      <c r="H2623" s="12">
        <v>34</v>
      </c>
      <c r="J2623" s="2"/>
      <c r="K2623" s="2"/>
      <c r="L2623" s="2"/>
      <c r="M2623" s="2"/>
      <c r="N2623" s="2"/>
      <c r="O2623" s="2"/>
      <c r="P2623" s="2"/>
    </row>
    <row r="2624" spans="1:16" x14ac:dyDescent="0.4">
      <c r="A2624">
        <v>2009</v>
      </c>
      <c r="B2624" s="2" t="s">
        <v>367</v>
      </c>
      <c r="C2624" s="2" t="s">
        <v>708</v>
      </c>
      <c r="D2624" s="2" t="s">
        <v>7</v>
      </c>
      <c r="E2624" s="70" t="s">
        <v>12</v>
      </c>
      <c r="F2624" s="29">
        <v>43</v>
      </c>
      <c r="G2624" s="29">
        <v>24</v>
      </c>
      <c r="H2624" s="12">
        <v>19</v>
      </c>
      <c r="J2624" s="2"/>
      <c r="K2624" s="2"/>
      <c r="L2624" s="2"/>
      <c r="M2624" s="2"/>
      <c r="N2624" s="2"/>
      <c r="O2624" s="2"/>
      <c r="P2624" s="2"/>
    </row>
    <row r="2625" spans="1:16" x14ac:dyDescent="0.4">
      <c r="A2625">
        <v>2009</v>
      </c>
      <c r="B2625" s="2" t="s">
        <v>368</v>
      </c>
      <c r="C2625" s="2" t="s">
        <v>708</v>
      </c>
      <c r="D2625" s="2" t="s">
        <v>7</v>
      </c>
      <c r="E2625" s="70" t="s">
        <v>13</v>
      </c>
      <c r="F2625" s="29">
        <v>73</v>
      </c>
      <c r="G2625" s="29">
        <v>44</v>
      </c>
      <c r="H2625" s="12">
        <v>29</v>
      </c>
      <c r="J2625" s="2"/>
      <c r="K2625" s="2"/>
      <c r="L2625" s="2"/>
      <c r="M2625" s="2"/>
      <c r="N2625" s="2"/>
      <c r="O2625" s="2"/>
      <c r="P2625" s="2"/>
    </row>
    <row r="2626" spans="1:16" x14ac:dyDescent="0.4">
      <c r="A2626">
        <v>2009</v>
      </c>
      <c r="B2626" s="2" t="s">
        <v>369</v>
      </c>
      <c r="C2626" s="2" t="s">
        <v>708</v>
      </c>
      <c r="D2626" s="2" t="s">
        <v>7</v>
      </c>
      <c r="E2626" s="70" t="s">
        <v>14</v>
      </c>
      <c r="F2626" s="29">
        <v>95</v>
      </c>
      <c r="G2626" s="29">
        <v>68</v>
      </c>
      <c r="H2626" s="12">
        <v>27</v>
      </c>
      <c r="J2626" s="2"/>
      <c r="K2626" s="2"/>
      <c r="L2626" s="2"/>
      <c r="M2626" s="2"/>
      <c r="N2626" s="2"/>
      <c r="O2626" s="2"/>
      <c r="P2626" s="2"/>
    </row>
    <row r="2627" spans="1:16" x14ac:dyDescent="0.4">
      <c r="A2627">
        <v>2009</v>
      </c>
      <c r="B2627" s="2" t="s">
        <v>370</v>
      </c>
      <c r="C2627" s="2" t="s">
        <v>708</v>
      </c>
      <c r="D2627" s="2" t="s">
        <v>7</v>
      </c>
      <c r="E2627" s="70" t="s">
        <v>15</v>
      </c>
      <c r="F2627" s="29">
        <v>43</v>
      </c>
      <c r="G2627" s="29">
        <v>28</v>
      </c>
      <c r="H2627" s="12">
        <v>15</v>
      </c>
      <c r="J2627" s="2"/>
      <c r="K2627" s="2"/>
      <c r="L2627" s="2"/>
      <c r="M2627" s="2"/>
      <c r="N2627" s="2"/>
      <c r="O2627" s="2"/>
      <c r="P2627" s="2"/>
    </row>
    <row r="2628" spans="1:16" x14ac:dyDescent="0.4">
      <c r="A2628">
        <v>2009</v>
      </c>
      <c r="B2628" s="2" t="s">
        <v>371</v>
      </c>
      <c r="C2628" s="2" t="s">
        <v>708</v>
      </c>
      <c r="D2628" s="2" t="s">
        <v>7</v>
      </c>
      <c r="E2628" s="70" t="s">
        <v>16</v>
      </c>
      <c r="F2628" s="29">
        <v>631</v>
      </c>
      <c r="G2628" s="29">
        <v>385</v>
      </c>
      <c r="H2628" s="12">
        <v>246</v>
      </c>
      <c r="J2628" s="2"/>
      <c r="K2628" s="2"/>
      <c r="L2628" s="2"/>
      <c r="M2628" s="2"/>
      <c r="N2628" s="2"/>
      <c r="O2628" s="2"/>
      <c r="P2628" s="2"/>
    </row>
    <row r="2629" spans="1:16" x14ac:dyDescent="0.4">
      <c r="A2629">
        <v>2009</v>
      </c>
      <c r="B2629" s="2" t="s">
        <v>372</v>
      </c>
      <c r="C2629" s="2" t="s">
        <v>708</v>
      </c>
      <c r="D2629" s="2" t="s">
        <v>7</v>
      </c>
      <c r="E2629" s="70" t="s">
        <v>17</v>
      </c>
      <c r="F2629" s="29">
        <v>29</v>
      </c>
      <c r="G2629" s="29">
        <v>19</v>
      </c>
      <c r="H2629" s="12">
        <v>10</v>
      </c>
      <c r="J2629" s="2"/>
      <c r="K2629" s="2"/>
      <c r="L2629" s="2"/>
      <c r="M2629" s="2"/>
      <c r="N2629" s="2"/>
      <c r="O2629" s="2"/>
      <c r="P2629" s="2"/>
    </row>
    <row r="2630" spans="1:16" x14ac:dyDescent="0.4">
      <c r="A2630">
        <v>2009</v>
      </c>
      <c r="B2630" s="2" t="s">
        <v>373</v>
      </c>
      <c r="C2630" s="2" t="s">
        <v>708</v>
      </c>
      <c r="D2630" s="2" t="s">
        <v>7</v>
      </c>
      <c r="E2630" s="70" t="s">
        <v>18</v>
      </c>
      <c r="F2630" s="29">
        <v>32</v>
      </c>
      <c r="G2630" s="29">
        <v>22</v>
      </c>
      <c r="H2630" s="12">
        <v>10</v>
      </c>
      <c r="J2630" s="2"/>
      <c r="K2630" s="2"/>
      <c r="L2630" s="2"/>
      <c r="M2630" s="2"/>
      <c r="N2630" s="2"/>
      <c r="O2630" s="2"/>
      <c r="P2630" s="2"/>
    </row>
    <row r="2631" spans="1:16" x14ac:dyDescent="0.4">
      <c r="A2631">
        <v>2009</v>
      </c>
      <c r="B2631" s="2" t="s">
        <v>374</v>
      </c>
      <c r="C2631" s="2" t="s">
        <v>708</v>
      </c>
      <c r="D2631" s="2" t="s">
        <v>7</v>
      </c>
      <c r="E2631" s="70" t="s">
        <v>19</v>
      </c>
      <c r="F2631" s="29">
        <v>93</v>
      </c>
      <c r="G2631" s="29">
        <v>54</v>
      </c>
      <c r="H2631" s="12">
        <v>39</v>
      </c>
      <c r="J2631" s="2"/>
      <c r="K2631" s="2"/>
      <c r="L2631" s="2"/>
      <c r="M2631" s="2"/>
      <c r="N2631" s="2"/>
      <c r="O2631" s="2"/>
      <c r="P2631" s="2"/>
    </row>
    <row r="2632" spans="1:16" x14ac:dyDescent="0.4">
      <c r="A2632">
        <v>2009</v>
      </c>
      <c r="B2632" s="2" t="s">
        <v>375</v>
      </c>
      <c r="C2632" s="2" t="s">
        <v>708</v>
      </c>
      <c r="D2632" s="2" t="s">
        <v>7</v>
      </c>
      <c r="E2632" s="70" t="s">
        <v>20</v>
      </c>
      <c r="F2632" s="29">
        <v>250</v>
      </c>
      <c r="G2632" s="29">
        <v>147</v>
      </c>
      <c r="H2632" s="12">
        <v>103</v>
      </c>
      <c r="J2632" s="2"/>
      <c r="K2632" s="2"/>
      <c r="L2632" s="2"/>
      <c r="M2632" s="2"/>
      <c r="N2632" s="2"/>
      <c r="O2632" s="2"/>
      <c r="P2632" s="2"/>
    </row>
    <row r="2633" spans="1:16" x14ac:dyDescent="0.4">
      <c r="A2633">
        <v>2009</v>
      </c>
      <c r="B2633" s="2" t="s">
        <v>376</v>
      </c>
      <c r="C2633" s="2" t="s">
        <v>708</v>
      </c>
      <c r="D2633" s="2" t="s">
        <v>7</v>
      </c>
      <c r="E2633" s="70" t="s">
        <v>21</v>
      </c>
      <c r="F2633" s="29">
        <v>68</v>
      </c>
      <c r="G2633" s="29">
        <v>39</v>
      </c>
      <c r="H2633" s="12">
        <v>29</v>
      </c>
      <c r="J2633" s="2"/>
      <c r="K2633" s="2"/>
      <c r="L2633" s="2"/>
      <c r="M2633" s="2"/>
      <c r="N2633" s="2"/>
      <c r="O2633" s="2"/>
      <c r="P2633" s="2"/>
    </row>
    <row r="2634" spans="1:16" x14ac:dyDescent="0.4">
      <c r="A2634">
        <v>2009</v>
      </c>
      <c r="B2634" s="2" t="s">
        <v>377</v>
      </c>
      <c r="C2634" s="2" t="s">
        <v>708</v>
      </c>
      <c r="D2634" s="2" t="s">
        <v>7</v>
      </c>
      <c r="E2634" s="70" t="s">
        <v>22</v>
      </c>
      <c r="F2634" s="29">
        <v>183</v>
      </c>
      <c r="G2634" s="29">
        <v>105</v>
      </c>
      <c r="H2634" s="12">
        <v>78</v>
      </c>
      <c r="J2634" s="2"/>
      <c r="K2634" s="2"/>
      <c r="L2634" s="2"/>
      <c r="M2634" s="2"/>
      <c r="N2634" s="2"/>
      <c r="O2634" s="2"/>
      <c r="P2634" s="2"/>
    </row>
    <row r="2635" spans="1:16" x14ac:dyDescent="0.4">
      <c r="A2635">
        <v>2009</v>
      </c>
      <c r="B2635" s="2" t="s">
        <v>378</v>
      </c>
      <c r="C2635" s="2" t="s">
        <v>708</v>
      </c>
      <c r="D2635" s="2" t="s">
        <v>7</v>
      </c>
      <c r="E2635" s="70" t="s">
        <v>23</v>
      </c>
      <c r="F2635" s="29">
        <v>40</v>
      </c>
      <c r="G2635" s="29">
        <v>25</v>
      </c>
      <c r="H2635" s="12">
        <v>15</v>
      </c>
      <c r="J2635" s="2"/>
      <c r="K2635" s="2"/>
      <c r="L2635" s="2"/>
      <c r="M2635" s="2"/>
      <c r="N2635" s="2"/>
      <c r="O2635" s="2"/>
      <c r="P2635" s="2"/>
    </row>
    <row r="2636" spans="1:16" x14ac:dyDescent="0.4">
      <c r="A2636">
        <v>2009</v>
      </c>
      <c r="B2636" s="2" t="s">
        <v>379</v>
      </c>
      <c r="C2636" s="2" t="s">
        <v>708</v>
      </c>
      <c r="D2636" s="2" t="s">
        <v>7</v>
      </c>
      <c r="E2636" s="70" t="s">
        <v>24</v>
      </c>
      <c r="F2636" s="29">
        <v>28</v>
      </c>
      <c r="G2636" s="29">
        <v>16</v>
      </c>
      <c r="H2636" s="12">
        <v>12</v>
      </c>
      <c r="J2636" s="2"/>
      <c r="K2636" s="2"/>
      <c r="L2636" s="2"/>
      <c r="M2636" s="2"/>
      <c r="N2636" s="2"/>
      <c r="O2636" s="2"/>
      <c r="P2636" s="2"/>
    </row>
    <row r="2637" spans="1:16" x14ac:dyDescent="0.4">
      <c r="A2637">
        <v>2009</v>
      </c>
      <c r="B2637" s="2" t="s">
        <v>380</v>
      </c>
      <c r="C2637" s="2" t="s">
        <v>708</v>
      </c>
      <c r="D2637" s="2" t="s">
        <v>7</v>
      </c>
      <c r="E2637" s="70" t="s">
        <v>25</v>
      </c>
      <c r="F2637" s="29">
        <v>2219</v>
      </c>
      <c r="G2637" s="29">
        <v>1399</v>
      </c>
      <c r="H2637" s="12">
        <v>820</v>
      </c>
      <c r="J2637" s="2"/>
      <c r="K2637" s="2"/>
      <c r="L2637" s="2"/>
      <c r="M2637" s="2"/>
      <c r="N2637" s="2"/>
      <c r="O2637" s="2"/>
      <c r="P2637" s="2"/>
    </row>
    <row r="2638" spans="1:16" x14ac:dyDescent="0.4">
      <c r="A2638">
        <v>2009</v>
      </c>
      <c r="B2638" s="2" t="s">
        <v>381</v>
      </c>
      <c r="C2638" s="2" t="s">
        <v>708</v>
      </c>
      <c r="D2638" s="2" t="s">
        <v>7</v>
      </c>
      <c r="E2638" s="70" t="s">
        <v>26</v>
      </c>
      <c r="F2638" s="29">
        <v>954</v>
      </c>
      <c r="G2638" s="29">
        <v>594</v>
      </c>
      <c r="H2638" s="12">
        <v>360</v>
      </c>
      <c r="J2638" s="2"/>
      <c r="K2638" s="2"/>
      <c r="L2638" s="2"/>
      <c r="M2638" s="2"/>
      <c r="N2638" s="2"/>
      <c r="O2638" s="2"/>
      <c r="P2638" s="2"/>
    </row>
    <row r="2639" spans="1:16" x14ac:dyDescent="0.4">
      <c r="A2639">
        <v>2009</v>
      </c>
      <c r="B2639" s="2" t="s">
        <v>382</v>
      </c>
      <c r="C2639" s="2" t="s">
        <v>708</v>
      </c>
      <c r="D2639" s="2" t="s">
        <v>7</v>
      </c>
      <c r="E2639" s="70" t="s">
        <v>27</v>
      </c>
      <c r="F2639" s="29">
        <v>22</v>
      </c>
      <c r="G2639" s="29">
        <v>14</v>
      </c>
      <c r="H2639" s="12">
        <v>8</v>
      </c>
      <c r="J2639" s="2"/>
      <c r="K2639" s="2"/>
      <c r="L2639" s="2"/>
      <c r="M2639" s="2"/>
      <c r="N2639" s="2"/>
      <c r="O2639" s="2"/>
      <c r="P2639" s="2"/>
    </row>
    <row r="2640" spans="1:16" x14ac:dyDescent="0.4">
      <c r="A2640">
        <v>2009</v>
      </c>
      <c r="B2640" s="2" t="s">
        <v>383</v>
      </c>
      <c r="C2640" s="2" t="s">
        <v>709</v>
      </c>
      <c r="D2640" s="2" t="s">
        <v>29</v>
      </c>
      <c r="E2640" s="70" t="s">
        <v>28</v>
      </c>
      <c r="F2640" s="29">
        <v>154</v>
      </c>
      <c r="G2640" s="29">
        <v>100</v>
      </c>
      <c r="H2640" s="12">
        <v>54</v>
      </c>
      <c r="J2640" s="2"/>
      <c r="K2640" s="2"/>
      <c r="L2640" s="2"/>
      <c r="M2640" s="2"/>
      <c r="N2640" s="2"/>
      <c r="O2640" s="2"/>
      <c r="P2640" s="2"/>
    </row>
    <row r="2641" spans="1:16" x14ac:dyDescent="0.4">
      <c r="A2641">
        <v>2009</v>
      </c>
      <c r="B2641" s="2" t="s">
        <v>384</v>
      </c>
      <c r="C2641" s="2" t="s">
        <v>709</v>
      </c>
      <c r="D2641" s="2" t="s">
        <v>29</v>
      </c>
      <c r="E2641" s="70" t="s">
        <v>30</v>
      </c>
      <c r="F2641" s="29">
        <v>83</v>
      </c>
      <c r="G2641" s="29">
        <v>55</v>
      </c>
      <c r="H2641" s="12">
        <v>28</v>
      </c>
      <c r="J2641" s="2"/>
      <c r="K2641" s="2"/>
      <c r="L2641" s="2"/>
      <c r="M2641" s="2"/>
      <c r="N2641" s="2"/>
      <c r="O2641" s="2"/>
      <c r="P2641" s="2"/>
    </row>
    <row r="2642" spans="1:16" x14ac:dyDescent="0.4">
      <c r="A2642">
        <v>2009</v>
      </c>
      <c r="B2642" s="2" t="s">
        <v>385</v>
      </c>
      <c r="C2642" s="2" t="s">
        <v>709</v>
      </c>
      <c r="D2642" s="2" t="s">
        <v>29</v>
      </c>
      <c r="E2642" s="70" t="s">
        <v>31</v>
      </c>
      <c r="F2642" s="29">
        <v>55</v>
      </c>
      <c r="G2642" s="29">
        <v>41</v>
      </c>
      <c r="H2642" s="12">
        <v>14</v>
      </c>
      <c r="J2642" s="2"/>
      <c r="K2642" s="2"/>
      <c r="L2642" s="2"/>
      <c r="M2642" s="2"/>
      <c r="N2642" s="2"/>
      <c r="O2642" s="2"/>
      <c r="P2642" s="2"/>
    </row>
    <row r="2643" spans="1:16" x14ac:dyDescent="0.4">
      <c r="A2643">
        <v>2009</v>
      </c>
      <c r="B2643" s="2" t="s">
        <v>386</v>
      </c>
      <c r="C2643" s="2" t="s">
        <v>709</v>
      </c>
      <c r="D2643" s="2" t="s">
        <v>29</v>
      </c>
      <c r="E2643" s="70" t="s">
        <v>32</v>
      </c>
      <c r="F2643" s="29">
        <v>314</v>
      </c>
      <c r="G2643" s="29">
        <v>211</v>
      </c>
      <c r="H2643" s="12">
        <v>103</v>
      </c>
      <c r="J2643" s="2"/>
      <c r="K2643" s="2"/>
      <c r="L2643" s="2"/>
      <c r="M2643" s="2"/>
      <c r="N2643" s="2"/>
      <c r="O2643" s="2"/>
      <c r="P2643" s="2"/>
    </row>
    <row r="2644" spans="1:16" x14ac:dyDescent="0.4">
      <c r="A2644">
        <v>2009</v>
      </c>
      <c r="B2644" s="2" t="s">
        <v>387</v>
      </c>
      <c r="C2644" s="2" t="s">
        <v>709</v>
      </c>
      <c r="D2644" s="2" t="s">
        <v>29</v>
      </c>
      <c r="E2644" s="70" t="s">
        <v>33</v>
      </c>
      <c r="F2644" s="29">
        <v>42</v>
      </c>
      <c r="G2644" s="29">
        <v>24</v>
      </c>
      <c r="H2644" s="12">
        <v>18</v>
      </c>
      <c r="J2644" s="2"/>
      <c r="K2644" s="2"/>
      <c r="L2644" s="2"/>
      <c r="M2644" s="2"/>
      <c r="N2644" s="2"/>
      <c r="O2644" s="2"/>
      <c r="P2644" s="2"/>
    </row>
    <row r="2645" spans="1:16" x14ac:dyDescent="0.4">
      <c r="A2645">
        <v>2009</v>
      </c>
      <c r="B2645" s="2" t="s">
        <v>388</v>
      </c>
      <c r="C2645" s="2" t="s">
        <v>709</v>
      </c>
      <c r="D2645" s="2" t="s">
        <v>29</v>
      </c>
      <c r="E2645" s="70" t="s">
        <v>34</v>
      </c>
      <c r="F2645" s="29">
        <v>51</v>
      </c>
      <c r="G2645" s="29">
        <v>31</v>
      </c>
      <c r="H2645" s="12">
        <v>20</v>
      </c>
      <c r="J2645" s="2"/>
      <c r="K2645" s="2"/>
      <c r="L2645" s="2"/>
      <c r="M2645" s="2"/>
      <c r="N2645" s="2"/>
      <c r="O2645" s="2"/>
      <c r="P2645" s="2"/>
    </row>
    <row r="2646" spans="1:16" x14ac:dyDescent="0.4">
      <c r="A2646">
        <v>2009</v>
      </c>
      <c r="B2646" s="2" t="s">
        <v>389</v>
      </c>
      <c r="C2646" s="2" t="s">
        <v>709</v>
      </c>
      <c r="D2646" s="2" t="s">
        <v>29</v>
      </c>
      <c r="E2646" s="70" t="s">
        <v>35</v>
      </c>
      <c r="F2646" s="29">
        <v>1060</v>
      </c>
      <c r="G2646" s="29">
        <v>618</v>
      </c>
      <c r="H2646" s="12">
        <v>442</v>
      </c>
      <c r="J2646" s="2"/>
      <c r="K2646" s="2"/>
      <c r="L2646" s="2"/>
      <c r="M2646" s="2"/>
      <c r="N2646" s="2"/>
      <c r="O2646" s="2"/>
      <c r="P2646" s="2"/>
    </row>
    <row r="2647" spans="1:16" x14ac:dyDescent="0.4">
      <c r="A2647">
        <v>2009</v>
      </c>
      <c r="B2647" s="2" t="s">
        <v>390</v>
      </c>
      <c r="C2647" s="2" t="s">
        <v>710</v>
      </c>
      <c r="D2647" s="2" t="s">
        <v>37</v>
      </c>
      <c r="E2647" s="70" t="s">
        <v>36</v>
      </c>
      <c r="F2647" s="29">
        <v>175</v>
      </c>
      <c r="G2647" s="29">
        <v>119</v>
      </c>
      <c r="H2647" s="12">
        <v>56</v>
      </c>
      <c r="J2647" s="2"/>
      <c r="K2647" s="2"/>
      <c r="L2647" s="2"/>
      <c r="M2647" s="2"/>
      <c r="N2647" s="2"/>
      <c r="O2647" s="2"/>
      <c r="P2647" s="2"/>
    </row>
    <row r="2648" spans="1:16" x14ac:dyDescent="0.4">
      <c r="A2648">
        <v>2009</v>
      </c>
      <c r="B2648" s="2" t="s">
        <v>391</v>
      </c>
      <c r="C2648" s="2" t="s">
        <v>710</v>
      </c>
      <c r="D2648" s="2" t="s">
        <v>37</v>
      </c>
      <c r="E2648" s="70" t="s">
        <v>38</v>
      </c>
      <c r="F2648" s="29">
        <v>70</v>
      </c>
      <c r="G2648" s="29">
        <v>47</v>
      </c>
      <c r="H2648" s="12">
        <v>23</v>
      </c>
      <c r="J2648" s="2"/>
      <c r="K2648" s="2"/>
      <c r="L2648" s="2"/>
      <c r="M2648" s="2"/>
      <c r="N2648" s="2"/>
      <c r="O2648" s="2"/>
      <c r="P2648" s="2"/>
    </row>
    <row r="2649" spans="1:16" x14ac:dyDescent="0.4">
      <c r="A2649">
        <v>2009</v>
      </c>
      <c r="B2649" s="2" t="s">
        <v>392</v>
      </c>
      <c r="C2649" s="2" t="s">
        <v>710</v>
      </c>
      <c r="D2649" s="2" t="s">
        <v>37</v>
      </c>
      <c r="E2649" s="70" t="s">
        <v>39</v>
      </c>
      <c r="F2649" s="29">
        <v>228</v>
      </c>
      <c r="G2649" s="29">
        <v>147</v>
      </c>
      <c r="H2649" s="12">
        <v>81</v>
      </c>
      <c r="J2649" s="2"/>
      <c r="K2649" s="2"/>
      <c r="L2649" s="2"/>
      <c r="M2649" s="2"/>
      <c r="N2649" s="2"/>
      <c r="O2649" s="2"/>
      <c r="P2649" s="2"/>
    </row>
    <row r="2650" spans="1:16" x14ac:dyDescent="0.4">
      <c r="A2650">
        <v>2009</v>
      </c>
      <c r="B2650" s="2" t="s">
        <v>393</v>
      </c>
      <c r="C2650" s="2" t="s">
        <v>710</v>
      </c>
      <c r="D2650" s="2" t="s">
        <v>37</v>
      </c>
      <c r="E2650" s="70" t="s">
        <v>40</v>
      </c>
      <c r="F2650" s="29">
        <v>4301</v>
      </c>
      <c r="G2650" s="29">
        <v>2470</v>
      </c>
      <c r="H2650" s="12">
        <v>1831</v>
      </c>
      <c r="J2650" s="2"/>
      <c r="K2650" s="2"/>
      <c r="L2650" s="2"/>
      <c r="M2650" s="2"/>
      <c r="N2650" s="2"/>
      <c r="O2650" s="2"/>
      <c r="P2650" s="2"/>
    </row>
    <row r="2651" spans="1:16" x14ac:dyDescent="0.4">
      <c r="A2651">
        <v>2009</v>
      </c>
      <c r="B2651" s="2" t="s">
        <v>394</v>
      </c>
      <c r="C2651" s="2" t="s">
        <v>710</v>
      </c>
      <c r="D2651" s="2" t="s">
        <v>37</v>
      </c>
      <c r="E2651" s="70" t="s">
        <v>41</v>
      </c>
      <c r="F2651" s="29">
        <v>100</v>
      </c>
      <c r="G2651" s="29">
        <v>71</v>
      </c>
      <c r="H2651" s="12">
        <v>29</v>
      </c>
      <c r="J2651" s="2"/>
      <c r="K2651" s="2"/>
      <c r="L2651" s="2"/>
      <c r="M2651" s="2"/>
      <c r="N2651" s="2"/>
      <c r="O2651" s="2"/>
      <c r="P2651" s="2"/>
    </row>
    <row r="2652" spans="1:16" x14ac:dyDescent="0.4">
      <c r="A2652">
        <v>2009</v>
      </c>
      <c r="B2652" s="2" t="s">
        <v>395</v>
      </c>
      <c r="C2652" s="2" t="s">
        <v>710</v>
      </c>
      <c r="D2652" s="2" t="s">
        <v>37</v>
      </c>
      <c r="E2652" s="70" t="s">
        <v>42</v>
      </c>
      <c r="F2652" s="29">
        <v>905</v>
      </c>
      <c r="G2652" s="29">
        <v>562</v>
      </c>
      <c r="H2652" s="12">
        <v>343</v>
      </c>
      <c r="J2652" s="2"/>
      <c r="K2652" s="2"/>
      <c r="L2652" s="2"/>
      <c r="M2652" s="2"/>
      <c r="N2652" s="2"/>
      <c r="O2652" s="2"/>
      <c r="P2652" s="2"/>
    </row>
    <row r="2653" spans="1:16" x14ac:dyDescent="0.4">
      <c r="A2653">
        <v>2009</v>
      </c>
      <c r="B2653" s="2" t="s">
        <v>396</v>
      </c>
      <c r="C2653" s="2" t="s">
        <v>710</v>
      </c>
      <c r="D2653" s="2" t="s">
        <v>37</v>
      </c>
      <c r="E2653" s="70" t="s">
        <v>43</v>
      </c>
      <c r="F2653" s="29">
        <v>143</v>
      </c>
      <c r="G2653" s="29">
        <v>100</v>
      </c>
      <c r="H2653" s="12">
        <v>43</v>
      </c>
      <c r="J2653" s="2"/>
      <c r="K2653" s="2"/>
      <c r="L2653" s="2"/>
      <c r="M2653" s="2"/>
      <c r="N2653" s="2"/>
      <c r="O2653" s="2"/>
      <c r="P2653" s="2"/>
    </row>
    <row r="2654" spans="1:16" x14ac:dyDescent="0.4">
      <c r="A2654">
        <v>2009</v>
      </c>
      <c r="B2654" s="2" t="s">
        <v>397</v>
      </c>
      <c r="C2654" s="2" t="s">
        <v>710</v>
      </c>
      <c r="D2654" s="2" t="s">
        <v>37</v>
      </c>
      <c r="E2654" s="70" t="s">
        <v>44</v>
      </c>
      <c r="F2654" s="29">
        <v>511</v>
      </c>
      <c r="G2654" s="29">
        <v>319</v>
      </c>
      <c r="H2654" s="12">
        <v>192</v>
      </c>
      <c r="J2654" s="2"/>
      <c r="K2654" s="2"/>
      <c r="L2654" s="2"/>
      <c r="M2654" s="2"/>
      <c r="N2654" s="2"/>
      <c r="O2654" s="2"/>
      <c r="P2654" s="2"/>
    </row>
    <row r="2655" spans="1:16" x14ac:dyDescent="0.4">
      <c r="A2655">
        <v>2009</v>
      </c>
      <c r="B2655" s="2" t="s">
        <v>398</v>
      </c>
      <c r="C2655" s="2" t="s">
        <v>710</v>
      </c>
      <c r="D2655" s="2" t="s">
        <v>37</v>
      </c>
      <c r="E2655" s="70" t="s">
        <v>45</v>
      </c>
      <c r="F2655" s="29">
        <v>283</v>
      </c>
      <c r="G2655" s="29">
        <v>152</v>
      </c>
      <c r="H2655" s="12">
        <v>131</v>
      </c>
      <c r="J2655" s="2"/>
      <c r="K2655" s="2"/>
      <c r="L2655" s="2"/>
      <c r="M2655" s="2"/>
      <c r="N2655" s="2"/>
      <c r="O2655" s="2"/>
      <c r="P2655" s="2"/>
    </row>
    <row r="2656" spans="1:16" x14ac:dyDescent="0.4">
      <c r="A2656">
        <v>2009</v>
      </c>
      <c r="B2656" s="2" t="s">
        <v>399</v>
      </c>
      <c r="C2656" s="2" t="s">
        <v>710</v>
      </c>
      <c r="D2656" s="2" t="s">
        <v>37</v>
      </c>
      <c r="E2656" s="70" t="s">
        <v>46</v>
      </c>
      <c r="F2656" s="29">
        <v>37</v>
      </c>
      <c r="G2656" s="29">
        <v>27</v>
      </c>
      <c r="H2656" s="12">
        <v>10</v>
      </c>
      <c r="J2656" s="2"/>
      <c r="K2656" s="2"/>
      <c r="L2656" s="2"/>
      <c r="M2656" s="2"/>
      <c r="N2656" s="2"/>
      <c r="O2656" s="2"/>
      <c r="P2656" s="2"/>
    </row>
    <row r="2657" spans="1:16" x14ac:dyDescent="0.4">
      <c r="A2657">
        <v>2009</v>
      </c>
      <c r="B2657" s="2" t="s">
        <v>400</v>
      </c>
      <c r="C2657" s="2" t="s">
        <v>710</v>
      </c>
      <c r="D2657" s="2" t="s">
        <v>37</v>
      </c>
      <c r="E2657" s="70" t="s">
        <v>47</v>
      </c>
      <c r="F2657" s="29">
        <v>104</v>
      </c>
      <c r="G2657" s="29">
        <v>66</v>
      </c>
      <c r="H2657" s="12">
        <v>38</v>
      </c>
      <c r="J2657" s="2"/>
      <c r="K2657" s="2"/>
      <c r="L2657" s="2"/>
      <c r="M2657" s="2"/>
      <c r="N2657" s="2"/>
      <c r="O2657" s="2"/>
      <c r="P2657" s="2"/>
    </row>
    <row r="2658" spans="1:16" x14ac:dyDescent="0.4">
      <c r="A2658">
        <v>2009</v>
      </c>
      <c r="B2658" s="2" t="s">
        <v>401</v>
      </c>
      <c r="C2658" s="2" t="s">
        <v>710</v>
      </c>
      <c r="D2658" s="2" t="s">
        <v>37</v>
      </c>
      <c r="E2658" s="70" t="s">
        <v>48</v>
      </c>
      <c r="F2658" s="29">
        <v>73</v>
      </c>
      <c r="G2658" s="29">
        <v>49</v>
      </c>
      <c r="H2658" s="12">
        <v>24</v>
      </c>
      <c r="J2658" s="2"/>
      <c r="K2658" s="2"/>
      <c r="L2658" s="2"/>
      <c r="M2658" s="2"/>
      <c r="N2658" s="2"/>
      <c r="O2658" s="2"/>
      <c r="P2658" s="2"/>
    </row>
    <row r="2659" spans="1:16" x14ac:dyDescent="0.4">
      <c r="A2659">
        <v>2009</v>
      </c>
      <c r="B2659" s="2" t="s">
        <v>402</v>
      </c>
      <c r="C2659" s="2" t="s">
        <v>710</v>
      </c>
      <c r="D2659" s="2" t="s">
        <v>37</v>
      </c>
      <c r="E2659" s="70" t="s">
        <v>49</v>
      </c>
      <c r="F2659" s="29">
        <v>543</v>
      </c>
      <c r="G2659" s="29">
        <v>369</v>
      </c>
      <c r="H2659" s="12">
        <v>174</v>
      </c>
      <c r="J2659" s="2"/>
      <c r="K2659" s="2"/>
      <c r="L2659" s="2"/>
      <c r="M2659" s="2"/>
      <c r="N2659" s="2"/>
      <c r="O2659" s="2"/>
      <c r="P2659" s="2"/>
    </row>
    <row r="2660" spans="1:16" x14ac:dyDescent="0.4">
      <c r="A2660">
        <v>2009</v>
      </c>
      <c r="B2660" s="2" t="s">
        <v>403</v>
      </c>
      <c r="C2660" s="2" t="s">
        <v>710</v>
      </c>
      <c r="D2660" s="2" t="s">
        <v>37</v>
      </c>
      <c r="E2660" s="70" t="s">
        <v>50</v>
      </c>
      <c r="F2660" s="29">
        <v>141</v>
      </c>
      <c r="G2660" s="29">
        <v>105</v>
      </c>
      <c r="H2660" s="12">
        <v>36</v>
      </c>
      <c r="J2660" s="2"/>
      <c r="K2660" s="2"/>
      <c r="L2660" s="2"/>
      <c r="M2660" s="2"/>
      <c r="N2660" s="2"/>
      <c r="O2660" s="2"/>
      <c r="P2660" s="2"/>
    </row>
    <row r="2661" spans="1:16" x14ac:dyDescent="0.4">
      <c r="A2661">
        <v>2009</v>
      </c>
      <c r="B2661" s="2" t="s">
        <v>404</v>
      </c>
      <c r="C2661" s="2" t="s">
        <v>710</v>
      </c>
      <c r="D2661" s="2" t="s">
        <v>37</v>
      </c>
      <c r="E2661" s="70" t="s">
        <v>51</v>
      </c>
      <c r="F2661" s="29">
        <v>447</v>
      </c>
      <c r="G2661" s="29">
        <v>305</v>
      </c>
      <c r="H2661" s="12">
        <v>142</v>
      </c>
      <c r="J2661" s="2"/>
      <c r="K2661" s="2"/>
      <c r="L2661" s="2"/>
      <c r="M2661" s="2"/>
      <c r="N2661" s="2"/>
      <c r="O2661" s="2"/>
      <c r="P2661" s="2"/>
    </row>
    <row r="2662" spans="1:16" x14ac:dyDescent="0.4">
      <c r="A2662">
        <v>2009</v>
      </c>
      <c r="B2662" s="2" t="s">
        <v>405</v>
      </c>
      <c r="C2662" s="2" t="s">
        <v>710</v>
      </c>
      <c r="D2662" s="2" t="s">
        <v>37</v>
      </c>
      <c r="E2662" s="70" t="s">
        <v>52</v>
      </c>
      <c r="F2662" s="29">
        <v>53</v>
      </c>
      <c r="G2662" s="29">
        <v>37</v>
      </c>
      <c r="H2662" s="12">
        <v>16</v>
      </c>
      <c r="J2662" s="2"/>
      <c r="K2662" s="2"/>
      <c r="L2662" s="2"/>
      <c r="M2662" s="2"/>
      <c r="N2662" s="2"/>
      <c r="O2662" s="2"/>
      <c r="P2662" s="2"/>
    </row>
    <row r="2663" spans="1:16" x14ac:dyDescent="0.4">
      <c r="A2663">
        <v>2009</v>
      </c>
      <c r="B2663" s="2" t="s">
        <v>406</v>
      </c>
      <c r="C2663" s="2" t="s">
        <v>710</v>
      </c>
      <c r="D2663" s="2" t="s">
        <v>37</v>
      </c>
      <c r="E2663" s="70" t="s">
        <v>53</v>
      </c>
      <c r="F2663" s="29">
        <v>53</v>
      </c>
      <c r="G2663" s="29">
        <v>29</v>
      </c>
      <c r="H2663" s="12">
        <v>24</v>
      </c>
      <c r="J2663" s="2"/>
      <c r="K2663" s="2"/>
      <c r="L2663" s="2"/>
      <c r="M2663" s="2"/>
      <c r="N2663" s="2"/>
      <c r="O2663" s="2"/>
      <c r="P2663" s="2"/>
    </row>
    <row r="2664" spans="1:16" x14ac:dyDescent="0.4">
      <c r="A2664">
        <v>2009</v>
      </c>
      <c r="B2664" s="2" t="s">
        <v>407</v>
      </c>
      <c r="C2664" s="2" t="s">
        <v>710</v>
      </c>
      <c r="D2664" s="2" t="s">
        <v>37</v>
      </c>
      <c r="E2664" s="70" t="s">
        <v>54</v>
      </c>
      <c r="F2664" s="29">
        <v>462</v>
      </c>
      <c r="G2664" s="29">
        <v>298</v>
      </c>
      <c r="H2664" s="12">
        <v>164</v>
      </c>
      <c r="J2664" s="2"/>
      <c r="K2664" s="2"/>
      <c r="L2664" s="2"/>
      <c r="M2664" s="2"/>
      <c r="N2664" s="2"/>
      <c r="O2664" s="2"/>
      <c r="P2664" s="2"/>
    </row>
    <row r="2665" spans="1:16" x14ac:dyDescent="0.4">
      <c r="A2665">
        <v>2009</v>
      </c>
      <c r="B2665" s="2" t="s">
        <v>408</v>
      </c>
      <c r="C2665" s="2" t="s">
        <v>711</v>
      </c>
      <c r="D2665" s="2" t="s">
        <v>56</v>
      </c>
      <c r="E2665" s="70" t="s">
        <v>55</v>
      </c>
      <c r="F2665" s="29">
        <v>128</v>
      </c>
      <c r="G2665" s="29">
        <v>85</v>
      </c>
      <c r="H2665" s="12">
        <v>43</v>
      </c>
      <c r="J2665" s="2"/>
      <c r="K2665" s="2"/>
      <c r="L2665" s="2"/>
      <c r="M2665" s="2"/>
      <c r="N2665" s="2"/>
      <c r="O2665" s="2"/>
      <c r="P2665" s="2"/>
    </row>
    <row r="2666" spans="1:16" x14ac:dyDescent="0.4">
      <c r="A2666">
        <v>2009</v>
      </c>
      <c r="B2666" s="2" t="s">
        <v>409</v>
      </c>
      <c r="C2666" s="2" t="s">
        <v>711</v>
      </c>
      <c r="D2666" s="2" t="s">
        <v>56</v>
      </c>
      <c r="E2666" s="70" t="s">
        <v>57</v>
      </c>
      <c r="F2666" s="29">
        <v>42</v>
      </c>
      <c r="G2666" s="29">
        <v>38</v>
      </c>
      <c r="H2666" s="12">
        <v>4</v>
      </c>
      <c r="J2666" s="2"/>
      <c r="K2666" s="2"/>
      <c r="L2666" s="2"/>
      <c r="M2666" s="2"/>
      <c r="N2666" s="2"/>
      <c r="O2666" s="2"/>
      <c r="P2666" s="2"/>
    </row>
    <row r="2667" spans="1:16" x14ac:dyDescent="0.4">
      <c r="A2667">
        <v>2009</v>
      </c>
      <c r="B2667" s="2" t="s">
        <v>410</v>
      </c>
      <c r="C2667" s="2" t="s">
        <v>711</v>
      </c>
      <c r="D2667" s="2" t="s">
        <v>56</v>
      </c>
      <c r="E2667" s="70" t="s">
        <v>58</v>
      </c>
      <c r="F2667" s="29">
        <v>260</v>
      </c>
      <c r="G2667" s="29">
        <v>198</v>
      </c>
      <c r="H2667" s="12">
        <v>62</v>
      </c>
      <c r="J2667" s="2"/>
      <c r="K2667" s="2"/>
      <c r="L2667" s="2"/>
      <c r="M2667" s="2"/>
      <c r="N2667" s="2"/>
      <c r="O2667" s="2"/>
      <c r="P2667" s="2"/>
    </row>
    <row r="2668" spans="1:16" x14ac:dyDescent="0.4">
      <c r="A2668">
        <v>2009</v>
      </c>
      <c r="B2668" s="2" t="s">
        <v>411</v>
      </c>
      <c r="C2668" s="2" t="s">
        <v>711</v>
      </c>
      <c r="D2668" s="2" t="s">
        <v>56</v>
      </c>
      <c r="E2668" s="70" t="s">
        <v>59</v>
      </c>
      <c r="F2668" s="29">
        <v>39</v>
      </c>
      <c r="G2668" s="29">
        <v>24</v>
      </c>
      <c r="H2668" s="12">
        <v>15</v>
      </c>
      <c r="J2668" s="2"/>
      <c r="K2668" s="2"/>
      <c r="L2668" s="2"/>
      <c r="M2668" s="2"/>
      <c r="N2668" s="2"/>
      <c r="O2668" s="2"/>
      <c r="P2668" s="2"/>
    </row>
    <row r="2669" spans="1:16" x14ac:dyDescent="0.4">
      <c r="A2669">
        <v>2009</v>
      </c>
      <c r="B2669" s="2" t="s">
        <v>412</v>
      </c>
      <c r="C2669" s="2" t="s">
        <v>711</v>
      </c>
      <c r="D2669" s="2" t="s">
        <v>56</v>
      </c>
      <c r="E2669" s="70" t="s">
        <v>60</v>
      </c>
      <c r="F2669" s="29">
        <v>2047</v>
      </c>
      <c r="G2669" s="29">
        <v>1324</v>
      </c>
      <c r="H2669" s="12">
        <v>723</v>
      </c>
      <c r="J2669" s="2"/>
      <c r="K2669" s="2"/>
      <c r="L2669" s="2"/>
      <c r="M2669" s="2"/>
      <c r="N2669" s="2"/>
      <c r="O2669" s="2"/>
      <c r="P2669" s="2"/>
    </row>
    <row r="2670" spans="1:16" x14ac:dyDescent="0.4">
      <c r="A2670">
        <v>2009</v>
      </c>
      <c r="B2670" s="2" t="s">
        <v>413</v>
      </c>
      <c r="C2670" s="2" t="s">
        <v>711</v>
      </c>
      <c r="D2670" s="2" t="s">
        <v>56</v>
      </c>
      <c r="E2670" s="70" t="s">
        <v>36</v>
      </c>
      <c r="F2670" s="29">
        <v>171</v>
      </c>
      <c r="G2670" s="29">
        <v>107</v>
      </c>
      <c r="H2670" s="12">
        <v>64</v>
      </c>
      <c r="J2670" s="2"/>
      <c r="K2670" s="2"/>
      <c r="L2670" s="2"/>
      <c r="M2670" s="2"/>
      <c r="N2670" s="2"/>
      <c r="O2670" s="2"/>
      <c r="P2670" s="2"/>
    </row>
    <row r="2671" spans="1:16" x14ac:dyDescent="0.4">
      <c r="A2671">
        <v>2009</v>
      </c>
      <c r="B2671" s="2" t="s">
        <v>414</v>
      </c>
      <c r="C2671" s="2" t="s">
        <v>711</v>
      </c>
      <c r="D2671" s="2" t="s">
        <v>56</v>
      </c>
      <c r="E2671" s="70" t="s">
        <v>61</v>
      </c>
      <c r="F2671" s="29">
        <v>92</v>
      </c>
      <c r="G2671" s="29">
        <v>65</v>
      </c>
      <c r="H2671" s="12">
        <v>27</v>
      </c>
      <c r="J2671" s="2"/>
      <c r="K2671" s="2"/>
      <c r="L2671" s="2"/>
      <c r="M2671" s="2"/>
      <c r="N2671" s="2"/>
      <c r="O2671" s="2"/>
      <c r="P2671" s="2"/>
    </row>
    <row r="2672" spans="1:16" x14ac:dyDescent="0.4">
      <c r="A2672">
        <v>2009</v>
      </c>
      <c r="B2672" s="2" t="s">
        <v>415</v>
      </c>
      <c r="C2672" s="2" t="s">
        <v>711</v>
      </c>
      <c r="D2672" s="2" t="s">
        <v>56</v>
      </c>
      <c r="E2672" s="70" t="s">
        <v>62</v>
      </c>
      <c r="F2672" s="29">
        <v>227</v>
      </c>
      <c r="G2672" s="29">
        <v>144</v>
      </c>
      <c r="H2672" s="12">
        <v>83</v>
      </c>
      <c r="J2672" s="2"/>
      <c r="K2672" s="2"/>
      <c r="L2672" s="2"/>
      <c r="M2672" s="2"/>
      <c r="N2672" s="2"/>
      <c r="O2672" s="2"/>
      <c r="P2672" s="2"/>
    </row>
    <row r="2673" spans="1:16" x14ac:dyDescent="0.4">
      <c r="A2673">
        <v>2009</v>
      </c>
      <c r="B2673" s="2" t="s">
        <v>416</v>
      </c>
      <c r="C2673" s="2" t="s">
        <v>711</v>
      </c>
      <c r="D2673" s="2" t="s">
        <v>56</v>
      </c>
      <c r="E2673" s="70" t="s">
        <v>63</v>
      </c>
      <c r="F2673" s="29">
        <v>82</v>
      </c>
      <c r="G2673" s="29">
        <v>61</v>
      </c>
      <c r="H2673" s="12">
        <v>21</v>
      </c>
      <c r="J2673" s="2"/>
      <c r="K2673" s="2"/>
      <c r="L2673" s="2"/>
      <c r="M2673" s="2"/>
      <c r="N2673" s="2"/>
      <c r="O2673" s="2"/>
      <c r="P2673" s="2"/>
    </row>
    <row r="2674" spans="1:16" x14ac:dyDescent="0.4">
      <c r="A2674">
        <v>2009</v>
      </c>
      <c r="B2674" s="2" t="s">
        <v>417</v>
      </c>
      <c r="C2674" s="2" t="s">
        <v>711</v>
      </c>
      <c r="D2674" s="2" t="s">
        <v>56</v>
      </c>
      <c r="E2674" s="70" t="s">
        <v>64</v>
      </c>
      <c r="F2674" s="29">
        <v>181</v>
      </c>
      <c r="G2674" s="29">
        <v>119</v>
      </c>
      <c r="H2674" s="12">
        <v>62</v>
      </c>
      <c r="J2674" s="2"/>
      <c r="K2674" s="2"/>
      <c r="L2674" s="2"/>
      <c r="M2674" s="2"/>
      <c r="N2674" s="2"/>
      <c r="O2674" s="2"/>
      <c r="P2674" s="2"/>
    </row>
    <row r="2675" spans="1:16" x14ac:dyDescent="0.4">
      <c r="A2675">
        <v>2009</v>
      </c>
      <c r="B2675" s="2" t="s">
        <v>418</v>
      </c>
      <c r="C2675" s="2" t="s">
        <v>711</v>
      </c>
      <c r="D2675" s="2" t="s">
        <v>56</v>
      </c>
      <c r="E2675" s="70" t="s">
        <v>65</v>
      </c>
      <c r="F2675" s="29">
        <v>131</v>
      </c>
      <c r="G2675" s="29">
        <v>84</v>
      </c>
      <c r="H2675" s="12">
        <v>47</v>
      </c>
      <c r="J2675" s="2"/>
      <c r="K2675" s="2"/>
      <c r="L2675" s="2"/>
      <c r="M2675" s="2"/>
      <c r="N2675" s="2"/>
      <c r="O2675" s="2"/>
      <c r="P2675" s="2"/>
    </row>
    <row r="2676" spans="1:16" x14ac:dyDescent="0.4">
      <c r="A2676">
        <v>2009</v>
      </c>
      <c r="B2676" s="2" t="s">
        <v>419</v>
      </c>
      <c r="C2676" s="2" t="s">
        <v>711</v>
      </c>
      <c r="D2676" s="2" t="s">
        <v>56</v>
      </c>
      <c r="E2676" s="70" t="s">
        <v>66</v>
      </c>
      <c r="F2676" s="29">
        <v>37</v>
      </c>
      <c r="G2676" s="29">
        <v>24</v>
      </c>
      <c r="H2676" s="12">
        <v>13</v>
      </c>
      <c r="J2676" s="2"/>
      <c r="K2676" s="2"/>
      <c r="L2676" s="2"/>
      <c r="M2676" s="2"/>
      <c r="N2676" s="2"/>
      <c r="O2676" s="2"/>
      <c r="P2676" s="2"/>
    </row>
    <row r="2677" spans="1:16" x14ac:dyDescent="0.4">
      <c r="A2677">
        <v>2009</v>
      </c>
      <c r="B2677" s="2" t="s">
        <v>420</v>
      </c>
      <c r="C2677" s="2" t="s">
        <v>712</v>
      </c>
      <c r="D2677" s="2" t="s">
        <v>68</v>
      </c>
      <c r="E2677" s="70" t="s">
        <v>67</v>
      </c>
      <c r="F2677" s="29">
        <v>3714</v>
      </c>
      <c r="G2677" s="29">
        <v>2394</v>
      </c>
      <c r="H2677" s="12">
        <v>1320</v>
      </c>
      <c r="J2677" s="2"/>
      <c r="K2677" s="2"/>
      <c r="L2677" s="2"/>
      <c r="M2677" s="2"/>
      <c r="N2677" s="2"/>
      <c r="O2677" s="2"/>
      <c r="P2677" s="2"/>
    </row>
    <row r="2678" spans="1:16" x14ac:dyDescent="0.4">
      <c r="A2678">
        <v>2009</v>
      </c>
      <c r="B2678" s="2" t="s">
        <v>421</v>
      </c>
      <c r="C2678" s="2" t="s">
        <v>712</v>
      </c>
      <c r="D2678" s="2" t="s">
        <v>68</v>
      </c>
      <c r="E2678" s="70" t="s">
        <v>69</v>
      </c>
      <c r="F2678" s="29">
        <v>181</v>
      </c>
      <c r="G2678" s="29">
        <v>118</v>
      </c>
      <c r="H2678" s="12">
        <v>63</v>
      </c>
      <c r="J2678" s="2"/>
      <c r="K2678" s="2"/>
      <c r="L2678" s="2"/>
      <c r="M2678" s="2"/>
      <c r="N2678" s="2"/>
      <c r="O2678" s="2"/>
      <c r="P2678" s="2"/>
    </row>
    <row r="2679" spans="1:16" x14ac:dyDescent="0.4">
      <c r="A2679">
        <v>2009</v>
      </c>
      <c r="B2679" s="2" t="s">
        <v>422</v>
      </c>
      <c r="C2679" s="2" t="s">
        <v>712</v>
      </c>
      <c r="D2679" s="2" t="s">
        <v>68</v>
      </c>
      <c r="E2679" s="70" t="s">
        <v>70</v>
      </c>
      <c r="F2679" s="29">
        <v>61</v>
      </c>
      <c r="G2679" s="29">
        <v>39</v>
      </c>
      <c r="H2679" s="12">
        <v>22</v>
      </c>
      <c r="J2679" s="2"/>
      <c r="K2679" s="2"/>
      <c r="L2679" s="2"/>
      <c r="M2679" s="2"/>
      <c r="N2679" s="2"/>
      <c r="O2679" s="2"/>
      <c r="P2679" s="2"/>
    </row>
    <row r="2680" spans="1:16" x14ac:dyDescent="0.4">
      <c r="A2680">
        <v>2009</v>
      </c>
      <c r="B2680" s="2" t="s">
        <v>423</v>
      </c>
      <c r="C2680" s="2" t="s">
        <v>712</v>
      </c>
      <c r="D2680" s="2" t="s">
        <v>68</v>
      </c>
      <c r="E2680" s="70" t="s">
        <v>71</v>
      </c>
      <c r="F2680" s="29">
        <v>79</v>
      </c>
      <c r="G2680" s="29">
        <v>51</v>
      </c>
      <c r="H2680" s="12">
        <v>28</v>
      </c>
      <c r="J2680" s="2"/>
      <c r="K2680" s="2"/>
      <c r="L2680" s="2"/>
      <c r="M2680" s="2"/>
      <c r="N2680" s="2"/>
      <c r="O2680" s="2"/>
      <c r="P2680" s="2"/>
    </row>
    <row r="2681" spans="1:16" x14ac:dyDescent="0.4">
      <c r="A2681">
        <v>2009</v>
      </c>
      <c r="B2681" s="2" t="s">
        <v>424</v>
      </c>
      <c r="C2681" s="2" t="s">
        <v>712</v>
      </c>
      <c r="D2681" s="2" t="s">
        <v>68</v>
      </c>
      <c r="E2681" s="70" t="s">
        <v>72</v>
      </c>
      <c r="F2681" s="29">
        <v>2211</v>
      </c>
      <c r="G2681" s="29">
        <v>1398</v>
      </c>
      <c r="H2681" s="12">
        <v>813</v>
      </c>
      <c r="J2681" s="2"/>
      <c r="K2681" s="2"/>
      <c r="L2681" s="2"/>
      <c r="M2681" s="2"/>
      <c r="N2681" s="2"/>
      <c r="O2681" s="2"/>
      <c r="P2681" s="2"/>
    </row>
    <row r="2682" spans="1:16" x14ac:dyDescent="0.4">
      <c r="A2682">
        <v>2009</v>
      </c>
      <c r="B2682" s="2" t="s">
        <v>425</v>
      </c>
      <c r="C2682" s="2" t="s">
        <v>712</v>
      </c>
      <c r="D2682" s="2" t="s">
        <v>68</v>
      </c>
      <c r="E2682" s="70" t="s">
        <v>73</v>
      </c>
      <c r="F2682" s="29">
        <v>33</v>
      </c>
      <c r="G2682" s="29">
        <v>19</v>
      </c>
      <c r="H2682" s="12">
        <v>14</v>
      </c>
      <c r="J2682" s="2"/>
      <c r="K2682" s="2"/>
      <c r="L2682" s="2"/>
      <c r="M2682" s="2"/>
      <c r="N2682" s="2"/>
      <c r="O2682" s="2"/>
      <c r="P2682" s="2"/>
    </row>
    <row r="2683" spans="1:16" x14ac:dyDescent="0.4">
      <c r="A2683">
        <v>2009</v>
      </c>
      <c r="B2683" s="2" t="s">
        <v>426</v>
      </c>
      <c r="C2683" s="2" t="s">
        <v>712</v>
      </c>
      <c r="D2683" s="2" t="s">
        <v>68</v>
      </c>
      <c r="E2683" s="70" t="s">
        <v>74</v>
      </c>
      <c r="F2683" s="29">
        <v>364</v>
      </c>
      <c r="G2683" s="29">
        <v>235</v>
      </c>
      <c r="H2683" s="12">
        <v>129</v>
      </c>
      <c r="J2683" s="2"/>
      <c r="K2683" s="2"/>
      <c r="L2683" s="2"/>
      <c r="M2683" s="2"/>
      <c r="N2683" s="2"/>
      <c r="O2683" s="2"/>
      <c r="P2683" s="2"/>
    </row>
    <row r="2684" spans="1:16" x14ac:dyDescent="0.4">
      <c r="A2684">
        <v>2009</v>
      </c>
      <c r="B2684" s="2" t="s">
        <v>427</v>
      </c>
      <c r="C2684" s="2" t="s">
        <v>712</v>
      </c>
      <c r="D2684" s="2" t="s">
        <v>68</v>
      </c>
      <c r="E2684" s="70" t="s">
        <v>75</v>
      </c>
      <c r="F2684" s="29">
        <v>44</v>
      </c>
      <c r="G2684" s="29">
        <v>30</v>
      </c>
      <c r="H2684" s="12">
        <v>14</v>
      </c>
      <c r="J2684" s="2"/>
      <c r="K2684" s="2"/>
      <c r="L2684" s="2"/>
      <c r="M2684" s="2"/>
      <c r="N2684" s="2"/>
      <c r="O2684" s="2"/>
      <c r="P2684" s="2"/>
    </row>
    <row r="2685" spans="1:16" x14ac:dyDescent="0.4">
      <c r="A2685">
        <v>2009</v>
      </c>
      <c r="B2685" s="2" t="s">
        <v>428</v>
      </c>
      <c r="C2685" s="2" t="s">
        <v>712</v>
      </c>
      <c r="D2685" s="2" t="s">
        <v>68</v>
      </c>
      <c r="E2685" s="70" t="s">
        <v>76</v>
      </c>
      <c r="F2685" s="29">
        <v>88</v>
      </c>
      <c r="G2685" s="29">
        <v>63</v>
      </c>
      <c r="H2685" s="12">
        <v>25</v>
      </c>
      <c r="J2685" s="2"/>
      <c r="K2685" s="2"/>
      <c r="L2685" s="2"/>
      <c r="M2685" s="2"/>
      <c r="N2685" s="2"/>
      <c r="O2685" s="2"/>
      <c r="P2685" s="2"/>
    </row>
    <row r="2686" spans="1:16" x14ac:dyDescent="0.4">
      <c r="A2686">
        <v>2009</v>
      </c>
      <c r="B2686" s="2" t="s">
        <v>429</v>
      </c>
      <c r="C2686" s="2" t="s">
        <v>712</v>
      </c>
      <c r="D2686" s="2" t="s">
        <v>68</v>
      </c>
      <c r="E2686" s="70" t="s">
        <v>77</v>
      </c>
      <c r="F2686" s="29">
        <v>139</v>
      </c>
      <c r="G2686" s="29">
        <v>104</v>
      </c>
      <c r="H2686" s="12">
        <v>35</v>
      </c>
      <c r="J2686" s="2"/>
      <c r="K2686" s="2"/>
      <c r="L2686" s="2"/>
      <c r="M2686" s="2"/>
      <c r="N2686" s="2"/>
      <c r="O2686" s="2"/>
      <c r="P2686" s="2"/>
    </row>
    <row r="2687" spans="1:16" x14ac:dyDescent="0.4">
      <c r="A2687">
        <v>2009</v>
      </c>
      <c r="B2687" s="2" t="s">
        <v>430</v>
      </c>
      <c r="C2687" s="2" t="s">
        <v>712</v>
      </c>
      <c r="D2687" s="2" t="s">
        <v>68</v>
      </c>
      <c r="E2687" s="70" t="s">
        <v>51</v>
      </c>
      <c r="F2687" s="29">
        <v>16</v>
      </c>
      <c r="G2687" s="29">
        <v>12</v>
      </c>
      <c r="H2687" s="12">
        <v>4</v>
      </c>
      <c r="J2687" s="2"/>
      <c r="K2687" s="2"/>
      <c r="L2687" s="2"/>
      <c r="M2687" s="2"/>
      <c r="N2687" s="2"/>
      <c r="O2687" s="2"/>
      <c r="P2687" s="2"/>
    </row>
    <row r="2688" spans="1:16" x14ac:dyDescent="0.4">
      <c r="A2688">
        <v>2009</v>
      </c>
      <c r="B2688" s="2" t="s">
        <v>431</v>
      </c>
      <c r="C2688" s="2" t="s">
        <v>713</v>
      </c>
      <c r="D2688" s="2" t="s">
        <v>79</v>
      </c>
      <c r="E2688" s="70" t="s">
        <v>78</v>
      </c>
      <c r="F2688" s="29">
        <v>242</v>
      </c>
      <c r="G2688" s="29">
        <v>147</v>
      </c>
      <c r="H2688" s="12">
        <v>95</v>
      </c>
      <c r="J2688" s="2"/>
      <c r="K2688" s="2"/>
      <c r="L2688" s="2"/>
      <c r="M2688" s="2"/>
      <c r="N2688" s="2"/>
      <c r="O2688" s="2"/>
      <c r="P2688" s="2"/>
    </row>
    <row r="2689" spans="1:16" x14ac:dyDescent="0.4">
      <c r="A2689">
        <v>2009</v>
      </c>
      <c r="B2689" s="2" t="s">
        <v>432</v>
      </c>
      <c r="C2689" s="2" t="s">
        <v>713</v>
      </c>
      <c r="D2689" s="2" t="s">
        <v>79</v>
      </c>
      <c r="E2689" s="70" t="s">
        <v>80</v>
      </c>
      <c r="F2689" s="29">
        <v>453</v>
      </c>
      <c r="G2689" s="29">
        <v>305</v>
      </c>
      <c r="H2689" s="12">
        <v>148</v>
      </c>
      <c r="J2689" s="2"/>
      <c r="K2689" s="2"/>
      <c r="L2689" s="2"/>
      <c r="M2689" s="2"/>
      <c r="N2689" s="2"/>
      <c r="O2689" s="2"/>
      <c r="P2689" s="2"/>
    </row>
    <row r="2690" spans="1:16" x14ac:dyDescent="0.4">
      <c r="A2690">
        <v>2009</v>
      </c>
      <c r="B2690" s="2" t="s">
        <v>433</v>
      </c>
      <c r="C2690" s="2" t="s">
        <v>713</v>
      </c>
      <c r="D2690" s="2" t="s">
        <v>79</v>
      </c>
      <c r="E2690" s="70" t="s">
        <v>81</v>
      </c>
      <c r="F2690" s="29">
        <v>464</v>
      </c>
      <c r="G2690" s="29">
        <v>325</v>
      </c>
      <c r="H2690" s="12">
        <v>139</v>
      </c>
      <c r="J2690" s="2"/>
      <c r="K2690" s="2"/>
      <c r="L2690" s="2"/>
      <c r="M2690" s="2"/>
      <c r="N2690" s="2"/>
      <c r="O2690" s="2"/>
      <c r="P2690" s="2"/>
    </row>
    <row r="2691" spans="1:16" x14ac:dyDescent="0.4">
      <c r="A2691">
        <v>2009</v>
      </c>
      <c r="B2691" s="2" t="s">
        <v>434</v>
      </c>
      <c r="C2691" s="2" t="s">
        <v>713</v>
      </c>
      <c r="D2691" s="2" t="s">
        <v>79</v>
      </c>
      <c r="E2691" s="70" t="s">
        <v>82</v>
      </c>
      <c r="F2691" s="29">
        <v>535</v>
      </c>
      <c r="G2691" s="29">
        <v>351</v>
      </c>
      <c r="H2691" s="12">
        <v>184</v>
      </c>
      <c r="J2691" s="2"/>
      <c r="K2691" s="2"/>
      <c r="L2691" s="2"/>
      <c r="M2691" s="2"/>
      <c r="N2691" s="2"/>
      <c r="O2691" s="2"/>
      <c r="P2691" s="2"/>
    </row>
    <row r="2692" spans="1:16" x14ac:dyDescent="0.4">
      <c r="A2692">
        <v>2009</v>
      </c>
      <c r="B2692" s="2" t="s">
        <v>435</v>
      </c>
      <c r="C2692" s="2" t="s">
        <v>713</v>
      </c>
      <c r="D2692" s="2" t="s">
        <v>79</v>
      </c>
      <c r="E2692" s="70" t="s">
        <v>83</v>
      </c>
      <c r="F2692" s="29">
        <v>241</v>
      </c>
      <c r="G2692" s="29">
        <v>161</v>
      </c>
      <c r="H2692" s="12">
        <v>80</v>
      </c>
      <c r="J2692" s="2"/>
      <c r="K2692" s="2"/>
      <c r="L2692" s="2"/>
      <c r="M2692" s="2"/>
      <c r="N2692" s="2"/>
      <c r="O2692" s="2"/>
      <c r="P2692" s="2"/>
    </row>
    <row r="2693" spans="1:16" x14ac:dyDescent="0.4">
      <c r="A2693">
        <v>2009</v>
      </c>
      <c r="B2693" s="2" t="s">
        <v>436</v>
      </c>
      <c r="C2693" s="2" t="s">
        <v>713</v>
      </c>
      <c r="D2693" s="2" t="s">
        <v>79</v>
      </c>
      <c r="E2693" s="70" t="s">
        <v>44</v>
      </c>
      <c r="F2693" s="29">
        <v>563</v>
      </c>
      <c r="G2693" s="29">
        <v>429</v>
      </c>
      <c r="H2693" s="12">
        <v>134</v>
      </c>
      <c r="J2693" s="2"/>
      <c r="K2693" s="2"/>
      <c r="L2693" s="2"/>
      <c r="M2693" s="2"/>
      <c r="N2693" s="2"/>
      <c r="O2693" s="2"/>
      <c r="P2693" s="2"/>
    </row>
    <row r="2694" spans="1:16" x14ac:dyDescent="0.4">
      <c r="A2694">
        <v>2009</v>
      </c>
      <c r="B2694" s="2" t="s">
        <v>437</v>
      </c>
      <c r="C2694" s="2" t="s">
        <v>713</v>
      </c>
      <c r="D2694" s="2" t="s">
        <v>79</v>
      </c>
      <c r="E2694" s="70" t="s">
        <v>84</v>
      </c>
      <c r="F2694" s="29">
        <v>341</v>
      </c>
      <c r="G2694" s="29">
        <v>238</v>
      </c>
      <c r="H2694" s="12">
        <v>103</v>
      </c>
      <c r="J2694" s="2"/>
      <c r="K2694" s="2"/>
      <c r="L2694" s="2"/>
      <c r="M2694" s="2"/>
      <c r="N2694" s="2"/>
      <c r="O2694" s="2"/>
      <c r="P2694" s="2"/>
    </row>
    <row r="2695" spans="1:16" x14ac:dyDescent="0.4">
      <c r="A2695">
        <v>2009</v>
      </c>
      <c r="B2695" s="2" t="s">
        <v>438</v>
      </c>
      <c r="C2695" s="2" t="s">
        <v>713</v>
      </c>
      <c r="D2695" s="2" t="s">
        <v>79</v>
      </c>
      <c r="E2695" s="70" t="s">
        <v>85</v>
      </c>
      <c r="F2695" s="29">
        <v>93</v>
      </c>
      <c r="G2695" s="29">
        <v>57</v>
      </c>
      <c r="H2695" s="12">
        <v>36</v>
      </c>
      <c r="J2695" s="2"/>
      <c r="K2695" s="2"/>
      <c r="L2695" s="2"/>
      <c r="M2695" s="2"/>
      <c r="N2695" s="2"/>
      <c r="O2695" s="2"/>
      <c r="P2695" s="2"/>
    </row>
    <row r="2696" spans="1:16" x14ac:dyDescent="0.4">
      <c r="A2696">
        <v>2009</v>
      </c>
      <c r="B2696" s="2" t="s">
        <v>439</v>
      </c>
      <c r="C2696" s="2" t="s">
        <v>713</v>
      </c>
      <c r="D2696" s="2" t="s">
        <v>79</v>
      </c>
      <c r="E2696" s="70" t="s">
        <v>86</v>
      </c>
      <c r="F2696" s="29">
        <v>39</v>
      </c>
      <c r="G2696" s="29">
        <v>23</v>
      </c>
      <c r="H2696" s="12">
        <v>16</v>
      </c>
      <c r="J2696" s="2"/>
      <c r="K2696" s="2"/>
      <c r="L2696" s="2"/>
      <c r="M2696" s="2"/>
      <c r="N2696" s="2"/>
      <c r="O2696" s="2"/>
      <c r="P2696" s="2"/>
    </row>
    <row r="2697" spans="1:16" x14ac:dyDescent="0.4">
      <c r="A2697">
        <v>2009</v>
      </c>
      <c r="B2697" s="2" t="s">
        <v>440</v>
      </c>
      <c r="C2697" s="2" t="s">
        <v>713</v>
      </c>
      <c r="D2697" s="2" t="s">
        <v>79</v>
      </c>
      <c r="E2697" s="70" t="s">
        <v>87</v>
      </c>
      <c r="F2697" s="29">
        <v>1663</v>
      </c>
      <c r="G2697" s="29">
        <v>953</v>
      </c>
      <c r="H2697" s="12">
        <v>710</v>
      </c>
      <c r="J2697" s="2"/>
      <c r="K2697" s="2"/>
      <c r="L2697" s="2"/>
      <c r="M2697" s="2"/>
      <c r="N2697" s="2"/>
      <c r="O2697" s="2"/>
      <c r="P2697" s="2"/>
    </row>
    <row r="2698" spans="1:16" x14ac:dyDescent="0.4">
      <c r="A2698">
        <v>2009</v>
      </c>
      <c r="B2698" s="2" t="s">
        <v>441</v>
      </c>
      <c r="C2698" s="2" t="s">
        <v>713</v>
      </c>
      <c r="D2698" s="2" t="s">
        <v>79</v>
      </c>
      <c r="E2698" s="70" t="s">
        <v>88</v>
      </c>
      <c r="F2698" s="29">
        <v>1222</v>
      </c>
      <c r="G2698" s="29">
        <v>783</v>
      </c>
      <c r="H2698" s="12">
        <v>439</v>
      </c>
      <c r="J2698" s="2"/>
      <c r="K2698" s="2"/>
      <c r="L2698" s="2"/>
      <c r="M2698" s="2"/>
      <c r="N2698" s="2"/>
      <c r="O2698" s="2"/>
      <c r="P2698" s="2"/>
    </row>
    <row r="2699" spans="1:16" x14ac:dyDescent="0.4">
      <c r="A2699">
        <v>2009</v>
      </c>
      <c r="B2699" s="2" t="s">
        <v>442</v>
      </c>
      <c r="C2699" s="2" t="s">
        <v>713</v>
      </c>
      <c r="D2699" s="2" t="s">
        <v>79</v>
      </c>
      <c r="E2699" s="70" t="s">
        <v>89</v>
      </c>
      <c r="F2699" s="29">
        <v>267</v>
      </c>
      <c r="G2699" s="29">
        <v>149</v>
      </c>
      <c r="H2699" s="12">
        <v>118</v>
      </c>
      <c r="J2699" s="2"/>
      <c r="K2699" s="2"/>
      <c r="L2699" s="2"/>
      <c r="M2699" s="2"/>
      <c r="N2699" s="2"/>
      <c r="O2699" s="2"/>
      <c r="P2699" s="2"/>
    </row>
    <row r="2700" spans="1:16" x14ac:dyDescent="0.4">
      <c r="A2700">
        <v>2009</v>
      </c>
      <c r="B2700" s="2" t="s">
        <v>443</v>
      </c>
      <c r="C2700" s="2" t="s">
        <v>713</v>
      </c>
      <c r="D2700" s="2" t="s">
        <v>79</v>
      </c>
      <c r="E2700" s="70" t="s">
        <v>90</v>
      </c>
      <c r="F2700" s="29">
        <v>141</v>
      </c>
      <c r="G2700" s="29">
        <v>98</v>
      </c>
      <c r="H2700" s="12">
        <v>43</v>
      </c>
      <c r="J2700" s="2"/>
      <c r="K2700" s="2"/>
      <c r="L2700" s="2"/>
      <c r="M2700" s="2"/>
      <c r="N2700" s="2"/>
      <c r="O2700" s="2"/>
      <c r="P2700" s="2"/>
    </row>
    <row r="2701" spans="1:16" x14ac:dyDescent="0.4">
      <c r="A2701">
        <v>2009</v>
      </c>
      <c r="B2701" s="2" t="s">
        <v>444</v>
      </c>
      <c r="C2701" s="2" t="s">
        <v>713</v>
      </c>
      <c r="D2701" s="2" t="s">
        <v>79</v>
      </c>
      <c r="E2701" s="70" t="s">
        <v>91</v>
      </c>
      <c r="F2701" s="29">
        <v>5263</v>
      </c>
      <c r="G2701" s="29">
        <v>3297</v>
      </c>
      <c r="H2701" s="12">
        <v>1966</v>
      </c>
      <c r="J2701" s="2"/>
      <c r="K2701" s="2"/>
      <c r="L2701" s="2"/>
      <c r="M2701" s="2"/>
      <c r="N2701" s="2"/>
      <c r="O2701" s="2"/>
      <c r="P2701" s="2"/>
    </row>
    <row r="2702" spans="1:16" x14ac:dyDescent="0.4">
      <c r="A2702">
        <v>2009</v>
      </c>
      <c r="B2702" s="2" t="s">
        <v>445</v>
      </c>
      <c r="C2702" s="2" t="s">
        <v>714</v>
      </c>
      <c r="D2702" s="2" t="s">
        <v>93</v>
      </c>
      <c r="E2702" s="70" t="s">
        <v>92</v>
      </c>
      <c r="F2702" s="29">
        <v>30</v>
      </c>
      <c r="G2702" s="29">
        <v>24</v>
      </c>
      <c r="H2702" s="12">
        <v>6</v>
      </c>
      <c r="J2702" s="2"/>
      <c r="K2702" s="2"/>
      <c r="L2702" s="2"/>
      <c r="M2702" s="2"/>
      <c r="N2702" s="2"/>
      <c r="O2702" s="2"/>
      <c r="P2702" s="2"/>
    </row>
    <row r="2703" spans="1:16" x14ac:dyDescent="0.4">
      <c r="A2703">
        <v>2009</v>
      </c>
      <c r="B2703" s="2" t="s">
        <v>446</v>
      </c>
      <c r="C2703" s="2" t="s">
        <v>714</v>
      </c>
      <c r="D2703" s="2" t="s">
        <v>93</v>
      </c>
      <c r="E2703" s="70" t="s">
        <v>94</v>
      </c>
      <c r="F2703" s="29">
        <v>338</v>
      </c>
      <c r="G2703" s="29">
        <v>213</v>
      </c>
      <c r="H2703" s="12">
        <v>125</v>
      </c>
      <c r="J2703" s="2"/>
      <c r="K2703" s="2"/>
      <c r="L2703" s="2"/>
      <c r="M2703" s="2"/>
      <c r="N2703" s="2"/>
      <c r="O2703" s="2"/>
      <c r="P2703" s="2"/>
    </row>
    <row r="2704" spans="1:16" x14ac:dyDescent="0.4">
      <c r="A2704">
        <v>2009</v>
      </c>
      <c r="B2704" s="2" t="s">
        <v>447</v>
      </c>
      <c r="C2704" s="2" t="s">
        <v>714</v>
      </c>
      <c r="D2704" s="2" t="s">
        <v>93</v>
      </c>
      <c r="E2704" s="70" t="s">
        <v>40</v>
      </c>
      <c r="F2704" s="29">
        <v>32</v>
      </c>
      <c r="G2704" s="29">
        <v>20</v>
      </c>
      <c r="H2704" s="12">
        <v>12</v>
      </c>
      <c r="J2704" s="2"/>
      <c r="K2704" s="2"/>
      <c r="L2704" s="2"/>
      <c r="M2704" s="2"/>
      <c r="N2704" s="2"/>
      <c r="O2704" s="2"/>
      <c r="P2704" s="2"/>
    </row>
    <row r="2705" spans="1:16" x14ac:dyDescent="0.4">
      <c r="A2705">
        <v>2009</v>
      </c>
      <c r="B2705" s="2" t="s">
        <v>448</v>
      </c>
      <c r="C2705" s="2" t="s">
        <v>714</v>
      </c>
      <c r="D2705" s="2" t="s">
        <v>93</v>
      </c>
      <c r="E2705" s="70" t="s">
        <v>95</v>
      </c>
      <c r="F2705" s="29">
        <v>19</v>
      </c>
      <c r="G2705" s="29">
        <v>12</v>
      </c>
      <c r="H2705" s="12">
        <v>7</v>
      </c>
      <c r="J2705" s="2"/>
      <c r="K2705" s="2"/>
      <c r="L2705" s="2"/>
      <c r="M2705" s="2"/>
      <c r="N2705" s="2"/>
      <c r="O2705" s="2"/>
      <c r="P2705" s="2"/>
    </row>
    <row r="2706" spans="1:16" x14ac:dyDescent="0.4">
      <c r="A2706">
        <v>2009</v>
      </c>
      <c r="B2706" s="2" t="s">
        <v>449</v>
      </c>
      <c r="C2706" s="2" t="s">
        <v>714</v>
      </c>
      <c r="D2706" s="2" t="s">
        <v>93</v>
      </c>
      <c r="E2706" s="70" t="s">
        <v>96</v>
      </c>
      <c r="F2706" s="29">
        <v>43</v>
      </c>
      <c r="G2706" s="29">
        <v>31</v>
      </c>
      <c r="H2706" s="12">
        <v>12</v>
      </c>
      <c r="J2706" s="2"/>
      <c r="K2706" s="2"/>
      <c r="L2706" s="2"/>
      <c r="M2706" s="2"/>
      <c r="N2706" s="2"/>
      <c r="O2706" s="2"/>
      <c r="P2706" s="2"/>
    </row>
    <row r="2707" spans="1:16" x14ac:dyDescent="0.4">
      <c r="A2707">
        <v>2009</v>
      </c>
      <c r="B2707" s="2" t="s">
        <v>450</v>
      </c>
      <c r="C2707" s="2" t="s">
        <v>714</v>
      </c>
      <c r="D2707" s="2" t="s">
        <v>93</v>
      </c>
      <c r="E2707" s="70" t="s">
        <v>97</v>
      </c>
      <c r="F2707" s="29">
        <v>49</v>
      </c>
      <c r="G2707" s="29">
        <v>34</v>
      </c>
      <c r="H2707" s="12">
        <v>15</v>
      </c>
      <c r="J2707" s="2"/>
      <c r="K2707" s="2"/>
      <c r="L2707" s="2"/>
      <c r="M2707" s="2"/>
      <c r="N2707" s="2"/>
      <c r="O2707" s="2"/>
      <c r="P2707" s="2"/>
    </row>
    <row r="2708" spans="1:16" x14ac:dyDescent="0.4">
      <c r="A2708">
        <v>2009</v>
      </c>
      <c r="B2708" s="2" t="s">
        <v>451</v>
      </c>
      <c r="C2708" s="2" t="s">
        <v>714</v>
      </c>
      <c r="D2708" s="14" t="s">
        <v>93</v>
      </c>
      <c r="E2708" s="69" t="s">
        <v>34</v>
      </c>
      <c r="F2708" s="11">
        <v>36</v>
      </c>
      <c r="G2708" s="11">
        <v>21</v>
      </c>
      <c r="H2708" s="12">
        <v>15</v>
      </c>
      <c r="J2708" s="2"/>
      <c r="K2708" s="2"/>
      <c r="L2708" s="2"/>
      <c r="M2708" s="2"/>
      <c r="N2708" s="2"/>
      <c r="O2708" s="2"/>
      <c r="P2708" s="2"/>
    </row>
    <row r="2709" spans="1:16" x14ac:dyDescent="0.4">
      <c r="A2709">
        <v>2009</v>
      </c>
      <c r="B2709" s="2" t="s">
        <v>452</v>
      </c>
      <c r="C2709" s="2" t="s">
        <v>714</v>
      </c>
      <c r="D2709" s="2" t="s">
        <v>93</v>
      </c>
      <c r="E2709" s="70" t="s">
        <v>98</v>
      </c>
      <c r="F2709" s="29">
        <v>665</v>
      </c>
      <c r="G2709" s="29">
        <v>413</v>
      </c>
      <c r="H2709" s="12">
        <v>252</v>
      </c>
      <c r="J2709" s="2"/>
      <c r="K2709" s="2"/>
      <c r="L2709" s="2"/>
      <c r="M2709" s="2"/>
      <c r="N2709" s="2"/>
      <c r="O2709" s="2"/>
      <c r="P2709" s="2"/>
    </row>
    <row r="2710" spans="1:16" x14ac:dyDescent="0.4">
      <c r="A2710">
        <v>2009</v>
      </c>
      <c r="B2710" s="2" t="s">
        <v>453</v>
      </c>
      <c r="C2710" s="2" t="s">
        <v>714</v>
      </c>
      <c r="D2710" s="2" t="s">
        <v>93</v>
      </c>
      <c r="E2710" s="70" t="s">
        <v>99</v>
      </c>
      <c r="F2710" s="29">
        <v>110</v>
      </c>
      <c r="G2710" s="29">
        <v>82</v>
      </c>
      <c r="H2710" s="12">
        <v>28</v>
      </c>
      <c r="J2710" s="2"/>
      <c r="K2710" s="2"/>
      <c r="L2710" s="2"/>
      <c r="M2710" s="2"/>
      <c r="N2710" s="2"/>
      <c r="O2710" s="2"/>
      <c r="P2710" s="2"/>
    </row>
    <row r="2711" spans="1:16" x14ac:dyDescent="0.4">
      <c r="A2711">
        <v>2009</v>
      </c>
      <c r="B2711" s="2" t="s">
        <v>454</v>
      </c>
      <c r="C2711" s="2" t="s">
        <v>715</v>
      </c>
      <c r="D2711" s="2" t="s">
        <v>101</v>
      </c>
      <c r="E2711" s="70" t="s">
        <v>100</v>
      </c>
      <c r="F2711" s="29">
        <v>39</v>
      </c>
      <c r="G2711" s="29">
        <v>28</v>
      </c>
      <c r="H2711" s="12">
        <v>11</v>
      </c>
      <c r="J2711" s="2"/>
      <c r="K2711" s="2"/>
      <c r="L2711" s="2"/>
      <c r="M2711" s="2"/>
      <c r="N2711" s="2"/>
      <c r="O2711" s="2"/>
      <c r="P2711" s="2"/>
    </row>
    <row r="2712" spans="1:16" x14ac:dyDescent="0.4">
      <c r="A2712">
        <v>2009</v>
      </c>
      <c r="B2712" s="2" t="s">
        <v>455</v>
      </c>
      <c r="C2712" s="2" t="s">
        <v>715</v>
      </c>
      <c r="D2712" s="2" t="s">
        <v>101</v>
      </c>
      <c r="E2712" s="70" t="s">
        <v>102</v>
      </c>
      <c r="F2712" s="29">
        <v>58</v>
      </c>
      <c r="G2712" s="29">
        <v>39</v>
      </c>
      <c r="H2712" s="12">
        <v>19</v>
      </c>
      <c r="J2712" s="2"/>
      <c r="K2712" s="2"/>
      <c r="L2712" s="2"/>
      <c r="M2712" s="2"/>
      <c r="N2712" s="2"/>
      <c r="O2712" s="2"/>
      <c r="P2712" s="2"/>
    </row>
    <row r="2713" spans="1:16" x14ac:dyDescent="0.4">
      <c r="A2713">
        <v>2009</v>
      </c>
      <c r="B2713" s="2" t="s">
        <v>456</v>
      </c>
      <c r="C2713" s="2" t="s">
        <v>715</v>
      </c>
      <c r="D2713" s="2" t="s">
        <v>101</v>
      </c>
      <c r="E2713" s="70" t="s">
        <v>103</v>
      </c>
      <c r="F2713" s="29">
        <v>39</v>
      </c>
      <c r="G2713" s="29">
        <v>21</v>
      </c>
      <c r="H2713" s="12">
        <v>18</v>
      </c>
      <c r="J2713" s="2"/>
      <c r="K2713" s="2"/>
      <c r="L2713" s="2"/>
      <c r="M2713" s="2"/>
      <c r="N2713" s="2"/>
      <c r="O2713" s="2"/>
      <c r="P2713" s="2"/>
    </row>
    <row r="2714" spans="1:16" x14ac:dyDescent="0.4">
      <c r="A2714">
        <v>2009</v>
      </c>
      <c r="B2714" s="2" t="s">
        <v>457</v>
      </c>
      <c r="C2714" s="2" t="s">
        <v>715</v>
      </c>
      <c r="D2714" s="2" t="s">
        <v>101</v>
      </c>
      <c r="E2714" s="70" t="s">
        <v>104</v>
      </c>
      <c r="F2714" s="29">
        <v>405</v>
      </c>
      <c r="G2714" s="29">
        <v>259</v>
      </c>
      <c r="H2714" s="12">
        <v>146</v>
      </c>
      <c r="J2714" s="2"/>
      <c r="K2714" s="2"/>
      <c r="L2714" s="2"/>
      <c r="M2714" s="2"/>
      <c r="N2714" s="2"/>
      <c r="O2714" s="2"/>
      <c r="P2714" s="2"/>
    </row>
    <row r="2715" spans="1:16" x14ac:dyDescent="0.4">
      <c r="A2715">
        <v>2009</v>
      </c>
      <c r="B2715" s="2" t="s">
        <v>458</v>
      </c>
      <c r="C2715" s="2" t="s">
        <v>716</v>
      </c>
      <c r="D2715" s="2" t="s">
        <v>129</v>
      </c>
      <c r="E2715" s="70" t="s">
        <v>128</v>
      </c>
      <c r="F2715" s="29">
        <v>28</v>
      </c>
      <c r="G2715" s="29">
        <v>13</v>
      </c>
      <c r="H2715" s="12">
        <v>15</v>
      </c>
      <c r="J2715" s="2"/>
      <c r="K2715" s="2"/>
      <c r="L2715" s="2"/>
      <c r="M2715" s="2"/>
      <c r="N2715" s="2"/>
      <c r="O2715" s="2"/>
      <c r="P2715" s="2"/>
    </row>
    <row r="2716" spans="1:16" x14ac:dyDescent="0.4">
      <c r="A2716">
        <v>2009</v>
      </c>
      <c r="B2716" s="2" t="s">
        <v>459</v>
      </c>
      <c r="C2716" s="2" t="s">
        <v>716</v>
      </c>
      <c r="D2716" s="2" t="s">
        <v>129</v>
      </c>
      <c r="E2716" s="70" t="s">
        <v>36</v>
      </c>
      <c r="F2716" s="29">
        <v>16</v>
      </c>
      <c r="G2716" s="29">
        <v>8</v>
      </c>
      <c r="H2716" s="12">
        <v>8</v>
      </c>
      <c r="J2716" s="2"/>
      <c r="K2716" s="2"/>
      <c r="L2716" s="2"/>
      <c r="M2716" s="2"/>
      <c r="N2716" s="2"/>
      <c r="O2716" s="2"/>
      <c r="P2716" s="2"/>
    </row>
    <row r="2717" spans="1:16" x14ac:dyDescent="0.4">
      <c r="A2717">
        <v>2009</v>
      </c>
      <c r="B2717" s="2" t="s">
        <v>460</v>
      </c>
      <c r="C2717" s="2" t="s">
        <v>716</v>
      </c>
      <c r="D2717" s="2" t="s">
        <v>129</v>
      </c>
      <c r="E2717" s="70" t="s">
        <v>130</v>
      </c>
      <c r="F2717" s="29">
        <v>52</v>
      </c>
      <c r="G2717" s="29">
        <v>35</v>
      </c>
      <c r="H2717" s="12">
        <v>17</v>
      </c>
      <c r="J2717" s="2"/>
      <c r="K2717" s="2"/>
      <c r="L2717" s="2"/>
      <c r="M2717" s="2"/>
      <c r="N2717" s="2"/>
      <c r="O2717" s="2"/>
      <c r="P2717" s="2"/>
    </row>
    <row r="2718" spans="1:16" x14ac:dyDescent="0.4">
      <c r="A2718">
        <v>2009</v>
      </c>
      <c r="B2718" s="2" t="s">
        <v>461</v>
      </c>
      <c r="C2718" s="2" t="s">
        <v>716</v>
      </c>
      <c r="D2718" s="2" t="s">
        <v>129</v>
      </c>
      <c r="E2718" s="70" t="s">
        <v>131</v>
      </c>
      <c r="F2718" s="29">
        <v>28</v>
      </c>
      <c r="G2718" s="29">
        <v>21</v>
      </c>
      <c r="H2718" s="12">
        <v>7</v>
      </c>
      <c r="J2718" s="2"/>
      <c r="K2718" s="2"/>
      <c r="L2718" s="2"/>
      <c r="M2718" s="2"/>
      <c r="N2718" s="2"/>
      <c r="O2718" s="2"/>
      <c r="P2718" s="2"/>
    </row>
    <row r="2719" spans="1:16" x14ac:dyDescent="0.4">
      <c r="A2719">
        <v>2009</v>
      </c>
      <c r="B2719" s="2" t="s">
        <v>462</v>
      </c>
      <c r="C2719" s="2" t="s">
        <v>716</v>
      </c>
      <c r="D2719" s="2" t="s">
        <v>129</v>
      </c>
      <c r="E2719" s="70" t="s">
        <v>132</v>
      </c>
      <c r="F2719" s="29">
        <v>980</v>
      </c>
      <c r="G2719" s="29">
        <v>585</v>
      </c>
      <c r="H2719" s="12">
        <v>395</v>
      </c>
      <c r="J2719" s="2"/>
      <c r="K2719" s="2"/>
      <c r="L2719" s="2"/>
      <c r="M2719" s="2"/>
      <c r="N2719" s="2"/>
      <c r="O2719" s="2"/>
      <c r="P2719" s="2"/>
    </row>
    <row r="2720" spans="1:16" x14ac:dyDescent="0.4">
      <c r="A2720">
        <v>2009</v>
      </c>
      <c r="B2720" s="2" t="s">
        <v>463</v>
      </c>
      <c r="C2720" s="2" t="s">
        <v>716</v>
      </c>
      <c r="D2720" s="2" t="s">
        <v>129</v>
      </c>
      <c r="E2720" s="70" t="s">
        <v>133</v>
      </c>
      <c r="F2720" s="29">
        <v>52</v>
      </c>
      <c r="G2720" s="29">
        <v>32</v>
      </c>
      <c r="H2720" s="12">
        <v>20</v>
      </c>
      <c r="J2720" s="2"/>
      <c r="K2720" s="2"/>
      <c r="L2720" s="2"/>
      <c r="M2720" s="2"/>
      <c r="N2720" s="2"/>
      <c r="O2720" s="2"/>
      <c r="P2720" s="2"/>
    </row>
    <row r="2721" spans="1:16" x14ac:dyDescent="0.4">
      <c r="A2721">
        <v>2009</v>
      </c>
      <c r="B2721" s="2" t="s">
        <v>464</v>
      </c>
      <c r="C2721" s="2" t="s">
        <v>716</v>
      </c>
      <c r="D2721" s="2" t="s">
        <v>129</v>
      </c>
      <c r="E2721" s="70" t="s">
        <v>134</v>
      </c>
      <c r="F2721" s="29">
        <v>66</v>
      </c>
      <c r="G2721" s="29">
        <v>39</v>
      </c>
      <c r="H2721" s="12">
        <v>27</v>
      </c>
      <c r="J2721" s="2"/>
      <c r="K2721" s="2"/>
      <c r="L2721" s="2"/>
      <c r="M2721" s="2"/>
      <c r="N2721" s="2"/>
      <c r="O2721" s="2"/>
      <c r="P2721" s="2"/>
    </row>
    <row r="2722" spans="1:16" x14ac:dyDescent="0.4">
      <c r="A2722">
        <v>2009</v>
      </c>
      <c r="B2722" s="2" t="s">
        <v>465</v>
      </c>
      <c r="C2722" s="2" t="s">
        <v>716</v>
      </c>
      <c r="D2722" s="2" t="s">
        <v>129</v>
      </c>
      <c r="E2722" s="70" t="s">
        <v>135</v>
      </c>
      <c r="F2722" s="29">
        <v>24</v>
      </c>
      <c r="G2722" s="29">
        <v>16</v>
      </c>
      <c r="H2722" s="12">
        <v>8</v>
      </c>
      <c r="J2722" s="2"/>
      <c r="K2722" s="2"/>
      <c r="L2722" s="2"/>
      <c r="M2722" s="2"/>
      <c r="N2722" s="2"/>
      <c r="O2722" s="2"/>
      <c r="P2722" s="2"/>
    </row>
    <row r="2723" spans="1:16" x14ac:dyDescent="0.4">
      <c r="A2723">
        <v>2009</v>
      </c>
      <c r="B2723" s="2" t="s">
        <v>466</v>
      </c>
      <c r="C2723" s="2" t="s">
        <v>716</v>
      </c>
      <c r="D2723" s="2" t="s">
        <v>129</v>
      </c>
      <c r="E2723" s="70" t="s">
        <v>94</v>
      </c>
      <c r="F2723" s="29">
        <v>97</v>
      </c>
      <c r="G2723" s="29">
        <v>65</v>
      </c>
      <c r="H2723" s="12">
        <v>32</v>
      </c>
      <c r="J2723" s="2"/>
      <c r="K2723" s="2"/>
      <c r="L2723" s="2"/>
      <c r="M2723" s="2"/>
      <c r="N2723" s="2"/>
      <c r="O2723" s="2"/>
      <c r="P2723" s="2"/>
    </row>
    <row r="2724" spans="1:16" x14ac:dyDescent="0.4">
      <c r="A2724">
        <v>2009</v>
      </c>
      <c r="B2724" s="2" t="s">
        <v>467</v>
      </c>
      <c r="C2724" s="2" t="s">
        <v>716</v>
      </c>
      <c r="D2724" s="2" t="s">
        <v>129</v>
      </c>
      <c r="E2724" s="70" t="s">
        <v>136</v>
      </c>
      <c r="F2724" s="29">
        <v>93</v>
      </c>
      <c r="G2724" s="29">
        <v>62</v>
      </c>
      <c r="H2724" s="12">
        <v>31</v>
      </c>
      <c r="J2724" s="2"/>
      <c r="K2724" s="2"/>
      <c r="L2724" s="2"/>
      <c r="M2724" s="2"/>
      <c r="N2724" s="2"/>
      <c r="O2724" s="2"/>
      <c r="P2724" s="2"/>
    </row>
    <row r="2725" spans="1:16" x14ac:dyDescent="0.4">
      <c r="A2725">
        <v>2009</v>
      </c>
      <c r="B2725" s="2" t="s">
        <v>468</v>
      </c>
      <c r="C2725" s="2" t="s">
        <v>716</v>
      </c>
      <c r="D2725" s="2" t="s">
        <v>129</v>
      </c>
      <c r="E2725" s="70" t="s">
        <v>137</v>
      </c>
      <c r="F2725" s="29">
        <v>13</v>
      </c>
      <c r="G2725" s="29">
        <v>6</v>
      </c>
      <c r="H2725" s="12">
        <v>7</v>
      </c>
      <c r="J2725" s="2"/>
      <c r="K2725" s="2"/>
      <c r="L2725" s="2"/>
      <c r="M2725" s="2"/>
      <c r="N2725" s="2"/>
      <c r="O2725" s="2"/>
      <c r="P2725" s="2"/>
    </row>
    <row r="2726" spans="1:16" x14ac:dyDescent="0.4">
      <c r="A2726">
        <v>2009</v>
      </c>
      <c r="B2726" s="2" t="s">
        <v>469</v>
      </c>
      <c r="C2726" s="2" t="s">
        <v>716</v>
      </c>
      <c r="D2726" s="2" t="s">
        <v>129</v>
      </c>
      <c r="E2726" s="70" t="s">
        <v>138</v>
      </c>
      <c r="F2726" s="29">
        <v>89</v>
      </c>
      <c r="G2726" s="29">
        <v>51</v>
      </c>
      <c r="H2726" s="12">
        <v>38</v>
      </c>
      <c r="J2726" s="2"/>
      <c r="K2726" s="2"/>
      <c r="L2726" s="2"/>
      <c r="M2726" s="2"/>
      <c r="N2726" s="2"/>
      <c r="O2726" s="2"/>
      <c r="P2726" s="2"/>
    </row>
    <row r="2727" spans="1:16" x14ac:dyDescent="0.4">
      <c r="A2727">
        <v>2009</v>
      </c>
      <c r="B2727" s="2" t="s">
        <v>470</v>
      </c>
      <c r="C2727" s="2" t="s">
        <v>716</v>
      </c>
      <c r="D2727" s="2" t="s">
        <v>129</v>
      </c>
      <c r="E2727" s="70" t="s">
        <v>139</v>
      </c>
      <c r="F2727" s="29">
        <v>75</v>
      </c>
      <c r="G2727" s="29">
        <v>45</v>
      </c>
      <c r="H2727" s="12">
        <v>30</v>
      </c>
      <c r="J2727" s="2"/>
      <c r="K2727" s="2"/>
      <c r="L2727" s="2"/>
      <c r="M2727" s="2"/>
      <c r="N2727" s="2"/>
      <c r="O2727" s="2"/>
      <c r="P2727" s="2"/>
    </row>
    <row r="2728" spans="1:16" x14ac:dyDescent="0.4">
      <c r="A2728">
        <v>2009</v>
      </c>
      <c r="B2728" s="2" t="s">
        <v>471</v>
      </c>
      <c r="C2728" s="2" t="s">
        <v>716</v>
      </c>
      <c r="D2728" s="2" t="s">
        <v>129</v>
      </c>
      <c r="E2728" s="70" t="s">
        <v>85</v>
      </c>
      <c r="F2728" s="29">
        <v>1175</v>
      </c>
      <c r="G2728" s="29">
        <v>688</v>
      </c>
      <c r="H2728" s="12">
        <v>487</v>
      </c>
      <c r="J2728" s="2"/>
      <c r="K2728" s="2"/>
      <c r="L2728" s="2"/>
      <c r="M2728" s="2"/>
      <c r="N2728" s="2"/>
      <c r="O2728" s="2"/>
      <c r="P2728" s="2"/>
    </row>
    <row r="2729" spans="1:16" x14ac:dyDescent="0.4">
      <c r="A2729">
        <v>2009</v>
      </c>
      <c r="B2729" s="2" t="s">
        <v>472</v>
      </c>
      <c r="C2729" s="2" t="s">
        <v>716</v>
      </c>
      <c r="D2729" s="2" t="s">
        <v>129</v>
      </c>
      <c r="E2729" s="70" t="s">
        <v>140</v>
      </c>
      <c r="F2729" s="29">
        <v>66</v>
      </c>
      <c r="G2729" s="29">
        <v>39</v>
      </c>
      <c r="H2729" s="12">
        <v>27</v>
      </c>
      <c r="J2729" s="2"/>
      <c r="K2729" s="2"/>
      <c r="L2729" s="2"/>
      <c r="M2729" s="2"/>
      <c r="N2729" s="2"/>
      <c r="O2729" s="2"/>
      <c r="P2729" s="2"/>
    </row>
    <row r="2730" spans="1:16" x14ac:dyDescent="0.4">
      <c r="A2730">
        <v>2009</v>
      </c>
      <c r="B2730" s="2" t="s">
        <v>473</v>
      </c>
      <c r="C2730" s="2" t="s">
        <v>716</v>
      </c>
      <c r="D2730" s="2" t="s">
        <v>129</v>
      </c>
      <c r="E2730" s="70" t="s">
        <v>141</v>
      </c>
      <c r="F2730" s="29">
        <v>4</v>
      </c>
      <c r="G2730" s="29">
        <v>4</v>
      </c>
      <c r="H2730" s="12">
        <v>0</v>
      </c>
      <c r="J2730" s="2"/>
      <c r="K2730" s="2"/>
      <c r="L2730" s="2"/>
      <c r="M2730" s="2"/>
      <c r="N2730" s="2"/>
      <c r="O2730" s="2"/>
      <c r="P2730" s="2"/>
    </row>
    <row r="2731" spans="1:16" x14ac:dyDescent="0.4">
      <c r="A2731">
        <v>2009</v>
      </c>
      <c r="B2731" s="2" t="s">
        <v>474</v>
      </c>
      <c r="C2731" s="2" t="s">
        <v>716</v>
      </c>
      <c r="D2731" s="2" t="s">
        <v>129</v>
      </c>
      <c r="E2731" s="70" t="s">
        <v>143</v>
      </c>
      <c r="F2731" s="29">
        <v>11</v>
      </c>
      <c r="G2731" s="29">
        <v>9</v>
      </c>
      <c r="H2731" s="12">
        <v>2</v>
      </c>
      <c r="J2731" s="2"/>
      <c r="K2731" s="2"/>
      <c r="L2731" s="2"/>
      <c r="M2731" s="2"/>
      <c r="N2731" s="2"/>
      <c r="O2731" s="2"/>
      <c r="P2731" s="2"/>
    </row>
    <row r="2732" spans="1:16" x14ac:dyDescent="0.4">
      <c r="A2732">
        <v>2009</v>
      </c>
      <c r="B2732" s="2" t="s">
        <v>475</v>
      </c>
      <c r="C2732" s="2" t="s">
        <v>716</v>
      </c>
      <c r="D2732" s="2" t="s">
        <v>129</v>
      </c>
      <c r="E2732" s="70" t="s">
        <v>21</v>
      </c>
      <c r="F2732" s="29">
        <v>40</v>
      </c>
      <c r="G2732" s="29">
        <v>26</v>
      </c>
      <c r="H2732" s="12">
        <v>14</v>
      </c>
      <c r="J2732" s="2"/>
      <c r="K2732" s="2"/>
      <c r="L2732" s="2"/>
      <c r="M2732" s="2"/>
      <c r="N2732" s="2"/>
      <c r="O2732" s="2"/>
      <c r="P2732" s="2"/>
    </row>
    <row r="2733" spans="1:16" x14ac:dyDescent="0.4">
      <c r="A2733">
        <v>2009</v>
      </c>
      <c r="B2733" s="2" t="s">
        <v>476</v>
      </c>
      <c r="C2733" s="2" t="s">
        <v>716</v>
      </c>
      <c r="D2733" s="2" t="s">
        <v>129</v>
      </c>
      <c r="E2733" s="70" t="s">
        <v>144</v>
      </c>
      <c r="F2733" s="29">
        <v>32</v>
      </c>
      <c r="G2733" s="29">
        <v>19</v>
      </c>
      <c r="H2733" s="12">
        <v>13</v>
      </c>
      <c r="J2733" s="2"/>
      <c r="K2733" s="2"/>
      <c r="L2733" s="2"/>
      <c r="M2733" s="2"/>
      <c r="N2733" s="2"/>
      <c r="O2733" s="2"/>
      <c r="P2733" s="2"/>
    </row>
    <row r="2734" spans="1:16" x14ac:dyDescent="0.4">
      <c r="A2734">
        <v>2009</v>
      </c>
      <c r="B2734" s="2" t="s">
        <v>477</v>
      </c>
      <c r="C2734" s="2" t="s">
        <v>716</v>
      </c>
      <c r="D2734" s="2" t="s">
        <v>129</v>
      </c>
      <c r="E2734" s="70" t="s">
        <v>145</v>
      </c>
      <c r="F2734" s="29">
        <v>190</v>
      </c>
      <c r="G2734" s="29">
        <v>131</v>
      </c>
      <c r="H2734" s="12">
        <v>59</v>
      </c>
      <c r="J2734" s="2"/>
      <c r="K2734" s="2"/>
      <c r="L2734" s="2"/>
      <c r="M2734" s="2"/>
      <c r="N2734" s="2"/>
      <c r="O2734" s="2"/>
      <c r="P2734" s="2"/>
    </row>
    <row r="2735" spans="1:16" x14ac:dyDescent="0.4">
      <c r="A2735">
        <v>2009</v>
      </c>
      <c r="B2735" s="2" t="s">
        <v>478</v>
      </c>
      <c r="C2735" s="2" t="s">
        <v>716</v>
      </c>
      <c r="D2735" s="2" t="s">
        <v>129</v>
      </c>
      <c r="E2735" s="70" t="s">
        <v>51</v>
      </c>
      <c r="F2735" s="29">
        <v>18</v>
      </c>
      <c r="G2735" s="29">
        <v>7</v>
      </c>
      <c r="H2735" s="12">
        <v>11</v>
      </c>
      <c r="J2735" s="2"/>
      <c r="K2735" s="2"/>
      <c r="L2735" s="2"/>
      <c r="M2735" s="2"/>
      <c r="N2735" s="2"/>
      <c r="O2735" s="2"/>
      <c r="P2735" s="2"/>
    </row>
    <row r="2736" spans="1:16" x14ac:dyDescent="0.4">
      <c r="A2736">
        <v>2009</v>
      </c>
      <c r="B2736" s="2" t="s">
        <v>479</v>
      </c>
      <c r="C2736" s="2" t="s">
        <v>716</v>
      </c>
      <c r="D2736" s="2" t="s">
        <v>129</v>
      </c>
      <c r="E2736" s="70" t="s">
        <v>146</v>
      </c>
      <c r="F2736" s="29">
        <v>19</v>
      </c>
      <c r="G2736" s="29">
        <v>12</v>
      </c>
      <c r="H2736" s="12">
        <v>7</v>
      </c>
      <c r="J2736" s="2"/>
      <c r="K2736" s="2"/>
      <c r="L2736" s="2"/>
      <c r="M2736" s="2"/>
      <c r="N2736" s="2"/>
      <c r="O2736" s="2"/>
      <c r="P2736" s="2"/>
    </row>
    <row r="2737" spans="1:16" x14ac:dyDescent="0.4">
      <c r="A2737">
        <v>2009</v>
      </c>
      <c r="B2737" s="2" t="s">
        <v>480</v>
      </c>
      <c r="C2737" s="2" t="s">
        <v>716</v>
      </c>
      <c r="D2737" s="2" t="s">
        <v>129</v>
      </c>
      <c r="E2737" s="70" t="s">
        <v>147</v>
      </c>
      <c r="F2737" s="29">
        <v>28</v>
      </c>
      <c r="G2737" s="29">
        <v>17</v>
      </c>
      <c r="H2737" s="12">
        <v>11</v>
      </c>
      <c r="J2737" s="2"/>
      <c r="K2737" s="2"/>
      <c r="L2737" s="2"/>
      <c r="M2737" s="2"/>
      <c r="N2737" s="2"/>
      <c r="O2737" s="2"/>
      <c r="P2737" s="2"/>
    </row>
    <row r="2738" spans="1:16" x14ac:dyDescent="0.4">
      <c r="A2738">
        <v>2009</v>
      </c>
      <c r="B2738" s="2" t="s">
        <v>481</v>
      </c>
      <c r="C2738" s="2" t="s">
        <v>716</v>
      </c>
      <c r="D2738" s="2" t="s">
        <v>129</v>
      </c>
      <c r="E2738" s="70" t="s">
        <v>148</v>
      </c>
      <c r="F2738" s="29">
        <v>27</v>
      </c>
      <c r="G2738" s="29">
        <v>13</v>
      </c>
      <c r="H2738" s="12">
        <v>14</v>
      </c>
      <c r="J2738" s="2"/>
      <c r="K2738" s="2"/>
      <c r="L2738" s="2"/>
      <c r="M2738" s="2"/>
      <c r="N2738" s="2"/>
      <c r="O2738" s="2"/>
      <c r="P2738" s="2"/>
    </row>
    <row r="2739" spans="1:16" x14ac:dyDescent="0.4">
      <c r="A2739">
        <v>2009</v>
      </c>
      <c r="B2739" s="2" t="s">
        <v>482</v>
      </c>
      <c r="C2739" s="2" t="s">
        <v>716</v>
      </c>
      <c r="D2739" s="2" t="s">
        <v>129</v>
      </c>
      <c r="E2739" s="70" t="s">
        <v>54</v>
      </c>
      <c r="F2739" s="29">
        <v>88</v>
      </c>
      <c r="G2739" s="29">
        <v>50</v>
      </c>
      <c r="H2739" s="12">
        <v>38</v>
      </c>
      <c r="J2739" s="2"/>
      <c r="K2739" s="2"/>
      <c r="L2739" s="2"/>
      <c r="M2739" s="2"/>
      <c r="N2739" s="2"/>
      <c r="O2739" s="2"/>
      <c r="P2739" s="2"/>
    </row>
    <row r="2740" spans="1:16" x14ac:dyDescent="0.4">
      <c r="A2740">
        <v>2009</v>
      </c>
      <c r="B2740" s="2" t="s">
        <v>483</v>
      </c>
      <c r="C2740" s="2" t="s">
        <v>717</v>
      </c>
      <c r="D2740" s="2" t="s">
        <v>150</v>
      </c>
      <c r="E2740" s="70" t="s">
        <v>149</v>
      </c>
      <c r="F2740" s="29">
        <v>54</v>
      </c>
      <c r="G2740" s="29">
        <v>33</v>
      </c>
      <c r="H2740" s="12">
        <v>21</v>
      </c>
      <c r="J2740" s="2"/>
      <c r="K2740" s="2"/>
      <c r="L2740" s="2"/>
      <c r="M2740" s="2"/>
      <c r="N2740" s="2"/>
      <c r="O2740" s="2"/>
      <c r="P2740" s="2"/>
    </row>
    <row r="2741" spans="1:16" x14ac:dyDescent="0.4">
      <c r="A2741">
        <v>2009</v>
      </c>
      <c r="B2741" s="2" t="s">
        <v>484</v>
      </c>
      <c r="C2741" s="2" t="s">
        <v>717</v>
      </c>
      <c r="D2741" s="2" t="s">
        <v>150</v>
      </c>
      <c r="E2741" s="70" t="s">
        <v>151</v>
      </c>
      <c r="F2741" s="29">
        <v>38</v>
      </c>
      <c r="G2741" s="29">
        <v>28</v>
      </c>
      <c r="H2741" s="12">
        <v>10</v>
      </c>
      <c r="J2741" s="2"/>
      <c r="K2741" s="2"/>
      <c r="L2741" s="2"/>
      <c r="M2741" s="2"/>
      <c r="N2741" s="2"/>
      <c r="O2741" s="2"/>
      <c r="P2741" s="2"/>
    </row>
    <row r="2742" spans="1:16" x14ac:dyDescent="0.4">
      <c r="A2742">
        <v>2009</v>
      </c>
      <c r="B2742" s="2" t="s">
        <v>485</v>
      </c>
      <c r="C2742" s="2" t="s">
        <v>717</v>
      </c>
      <c r="D2742" s="2" t="s">
        <v>150</v>
      </c>
      <c r="E2742" s="70" t="s">
        <v>152</v>
      </c>
      <c r="F2742" s="29">
        <v>63</v>
      </c>
      <c r="G2742" s="29">
        <v>45</v>
      </c>
      <c r="H2742" s="12">
        <v>18</v>
      </c>
      <c r="J2742" s="2"/>
      <c r="K2742" s="2"/>
      <c r="L2742" s="2"/>
      <c r="M2742" s="2"/>
      <c r="N2742" s="2"/>
      <c r="O2742" s="2"/>
      <c r="P2742" s="2"/>
    </row>
    <row r="2743" spans="1:16" x14ac:dyDescent="0.4">
      <c r="A2743">
        <v>2009</v>
      </c>
      <c r="B2743" s="2" t="s">
        <v>486</v>
      </c>
      <c r="C2743" s="2" t="s">
        <v>717</v>
      </c>
      <c r="D2743" s="2" t="s">
        <v>150</v>
      </c>
      <c r="E2743" s="70" t="s">
        <v>153</v>
      </c>
      <c r="F2743" s="29">
        <v>31</v>
      </c>
      <c r="G2743" s="29">
        <v>18</v>
      </c>
      <c r="H2743" s="12">
        <v>13</v>
      </c>
      <c r="J2743" s="2"/>
      <c r="K2743" s="2"/>
      <c r="L2743" s="2"/>
      <c r="M2743" s="2"/>
      <c r="N2743" s="2"/>
      <c r="O2743" s="2"/>
      <c r="P2743" s="2"/>
    </row>
    <row r="2744" spans="1:16" x14ac:dyDescent="0.4">
      <c r="A2744">
        <v>2009</v>
      </c>
      <c r="B2744" s="2" t="s">
        <v>487</v>
      </c>
      <c r="C2744" s="2" t="s">
        <v>717</v>
      </c>
      <c r="D2744" s="2" t="s">
        <v>150</v>
      </c>
      <c r="E2744" s="70" t="s">
        <v>154</v>
      </c>
      <c r="F2744" s="29">
        <v>633</v>
      </c>
      <c r="G2744" s="29">
        <v>402</v>
      </c>
      <c r="H2744" s="12">
        <v>231</v>
      </c>
      <c r="J2744" s="2"/>
      <c r="K2744" s="2"/>
      <c r="L2744" s="2"/>
      <c r="M2744" s="2"/>
      <c r="N2744" s="2"/>
      <c r="O2744" s="2"/>
      <c r="P2744" s="2"/>
    </row>
    <row r="2745" spans="1:16" x14ac:dyDescent="0.4">
      <c r="A2745">
        <v>2009</v>
      </c>
      <c r="B2745" s="2" t="s">
        <v>488</v>
      </c>
      <c r="C2745" s="2" t="s">
        <v>717</v>
      </c>
      <c r="D2745" s="2" t="s">
        <v>150</v>
      </c>
      <c r="E2745" s="70" t="s">
        <v>155</v>
      </c>
      <c r="F2745" s="29">
        <v>88</v>
      </c>
      <c r="G2745" s="29">
        <v>56</v>
      </c>
      <c r="H2745" s="12">
        <v>32</v>
      </c>
      <c r="J2745" s="2"/>
      <c r="K2745" s="2"/>
      <c r="L2745" s="2"/>
      <c r="M2745" s="2"/>
      <c r="N2745" s="2"/>
      <c r="O2745" s="2"/>
      <c r="P2745" s="2"/>
    </row>
    <row r="2746" spans="1:16" x14ac:dyDescent="0.4">
      <c r="A2746">
        <v>2009</v>
      </c>
      <c r="B2746" s="2" t="s">
        <v>489</v>
      </c>
      <c r="C2746" s="2" t="s">
        <v>717</v>
      </c>
      <c r="D2746" s="2" t="s">
        <v>150</v>
      </c>
      <c r="E2746" s="70" t="s">
        <v>156</v>
      </c>
      <c r="F2746" s="29">
        <v>124</v>
      </c>
      <c r="G2746" s="29">
        <v>90</v>
      </c>
      <c r="H2746" s="12">
        <v>34</v>
      </c>
      <c r="J2746" s="2"/>
      <c r="K2746" s="2"/>
      <c r="L2746" s="2"/>
      <c r="M2746" s="2"/>
      <c r="N2746" s="2"/>
      <c r="O2746" s="2"/>
      <c r="P2746" s="2"/>
    </row>
    <row r="2747" spans="1:16" x14ac:dyDescent="0.4">
      <c r="A2747">
        <v>2009</v>
      </c>
      <c r="B2747" s="2" t="s">
        <v>490</v>
      </c>
      <c r="C2747" s="2" t="s">
        <v>717</v>
      </c>
      <c r="D2747" s="2" t="s">
        <v>150</v>
      </c>
      <c r="E2747" s="70" t="s">
        <v>85</v>
      </c>
      <c r="F2747" s="29">
        <v>627</v>
      </c>
      <c r="G2747" s="29">
        <v>388</v>
      </c>
      <c r="H2747" s="12">
        <v>239</v>
      </c>
      <c r="J2747" s="2"/>
      <c r="K2747" s="2"/>
      <c r="L2747" s="2"/>
      <c r="M2747" s="2"/>
      <c r="N2747" s="2"/>
      <c r="O2747" s="2"/>
      <c r="P2747" s="2"/>
    </row>
    <row r="2748" spans="1:16" x14ac:dyDescent="0.4">
      <c r="A2748">
        <v>2009</v>
      </c>
      <c r="B2748" s="2" t="s">
        <v>491</v>
      </c>
      <c r="C2748" s="2" t="s">
        <v>717</v>
      </c>
      <c r="D2748" s="2" t="s">
        <v>150</v>
      </c>
      <c r="E2748" s="70" t="s">
        <v>157</v>
      </c>
      <c r="F2748" s="29">
        <v>358</v>
      </c>
      <c r="G2748" s="29">
        <v>235</v>
      </c>
      <c r="H2748" s="12">
        <v>123</v>
      </c>
      <c r="J2748" s="2"/>
      <c r="K2748" s="2"/>
      <c r="L2748" s="2"/>
      <c r="M2748" s="2"/>
      <c r="N2748" s="2"/>
      <c r="O2748" s="2"/>
      <c r="P2748" s="2"/>
    </row>
    <row r="2749" spans="1:16" x14ac:dyDescent="0.4">
      <c r="A2749">
        <v>2009</v>
      </c>
      <c r="B2749" s="2" t="s">
        <v>492</v>
      </c>
      <c r="C2749" s="2" t="s">
        <v>717</v>
      </c>
      <c r="D2749" s="2" t="s">
        <v>150</v>
      </c>
      <c r="E2749" s="70" t="s">
        <v>158</v>
      </c>
      <c r="F2749" s="29">
        <v>51</v>
      </c>
      <c r="G2749" s="29">
        <v>40</v>
      </c>
      <c r="H2749" s="12">
        <v>11</v>
      </c>
      <c r="J2749" s="2"/>
      <c r="K2749" s="2"/>
      <c r="L2749" s="2"/>
      <c r="M2749" s="2"/>
      <c r="N2749" s="2"/>
      <c r="O2749" s="2"/>
      <c r="P2749" s="2"/>
    </row>
    <row r="2750" spans="1:16" x14ac:dyDescent="0.4">
      <c r="A2750">
        <v>2009</v>
      </c>
      <c r="B2750" s="2" t="s">
        <v>493</v>
      </c>
      <c r="C2750" s="2" t="s">
        <v>717</v>
      </c>
      <c r="D2750" s="2" t="s">
        <v>150</v>
      </c>
      <c r="E2750" s="70" t="s">
        <v>159</v>
      </c>
      <c r="F2750" s="29">
        <v>81</v>
      </c>
      <c r="G2750" s="29">
        <v>46</v>
      </c>
      <c r="H2750" s="12">
        <v>35</v>
      </c>
      <c r="J2750" s="2"/>
      <c r="K2750" s="2"/>
      <c r="L2750" s="2"/>
      <c r="M2750" s="2"/>
      <c r="N2750" s="2"/>
      <c r="O2750" s="2"/>
      <c r="P2750" s="2"/>
    </row>
    <row r="2751" spans="1:16" x14ac:dyDescent="0.4">
      <c r="A2751">
        <v>2009</v>
      </c>
      <c r="B2751" s="2" t="s">
        <v>494</v>
      </c>
      <c r="C2751" s="2" t="s">
        <v>717</v>
      </c>
      <c r="D2751" s="2" t="s">
        <v>150</v>
      </c>
      <c r="E2751" s="70" t="s">
        <v>76</v>
      </c>
      <c r="F2751" s="29">
        <v>938</v>
      </c>
      <c r="G2751" s="29">
        <v>582</v>
      </c>
      <c r="H2751" s="12">
        <v>356</v>
      </c>
      <c r="J2751" s="2"/>
      <c r="K2751" s="2"/>
      <c r="L2751" s="2"/>
      <c r="M2751" s="2"/>
      <c r="N2751" s="2"/>
      <c r="O2751" s="2"/>
      <c r="P2751" s="2"/>
    </row>
    <row r="2752" spans="1:16" x14ac:dyDescent="0.4">
      <c r="A2752">
        <v>2009</v>
      </c>
      <c r="B2752" s="2" t="s">
        <v>495</v>
      </c>
      <c r="C2752" s="2" t="s">
        <v>717</v>
      </c>
      <c r="D2752" s="2" t="s">
        <v>150</v>
      </c>
      <c r="E2752" s="70" t="s">
        <v>160</v>
      </c>
      <c r="F2752" s="29">
        <v>31</v>
      </c>
      <c r="G2752" s="29">
        <v>20</v>
      </c>
      <c r="H2752" s="12">
        <v>11</v>
      </c>
      <c r="J2752" s="2"/>
      <c r="K2752" s="2"/>
      <c r="L2752" s="2"/>
      <c r="M2752" s="2"/>
      <c r="N2752" s="2"/>
      <c r="O2752" s="2"/>
      <c r="P2752" s="2"/>
    </row>
    <row r="2753" spans="1:16" x14ac:dyDescent="0.4">
      <c r="A2753">
        <v>2009</v>
      </c>
      <c r="B2753" s="2" t="s">
        <v>496</v>
      </c>
      <c r="C2753" s="2" t="s">
        <v>717</v>
      </c>
      <c r="D2753" s="2" t="s">
        <v>150</v>
      </c>
      <c r="E2753" s="70" t="s">
        <v>161</v>
      </c>
      <c r="F2753" s="29">
        <v>39</v>
      </c>
      <c r="G2753" s="29">
        <v>33</v>
      </c>
      <c r="H2753" s="12">
        <v>6</v>
      </c>
      <c r="J2753" s="2"/>
      <c r="K2753" s="2"/>
      <c r="L2753" s="2"/>
      <c r="M2753" s="2"/>
      <c r="N2753" s="2"/>
      <c r="O2753" s="2"/>
      <c r="P2753" s="2"/>
    </row>
    <row r="2754" spans="1:16" x14ac:dyDescent="0.4">
      <c r="A2754">
        <v>2009</v>
      </c>
      <c r="B2754" s="2" t="s">
        <v>497</v>
      </c>
      <c r="C2754" s="2" t="s">
        <v>717</v>
      </c>
      <c r="D2754" s="2" t="s">
        <v>150</v>
      </c>
      <c r="E2754" s="70" t="s">
        <v>162</v>
      </c>
      <c r="F2754" s="29">
        <v>230</v>
      </c>
      <c r="G2754" s="29">
        <v>116</v>
      </c>
      <c r="H2754" s="12">
        <v>114</v>
      </c>
      <c r="J2754" s="2"/>
      <c r="K2754" s="2"/>
      <c r="L2754" s="2"/>
      <c r="M2754" s="2"/>
      <c r="N2754" s="2"/>
      <c r="O2754" s="2"/>
      <c r="P2754" s="2"/>
    </row>
    <row r="2755" spans="1:16" x14ac:dyDescent="0.4">
      <c r="A2755">
        <v>2009</v>
      </c>
      <c r="B2755" s="2" t="s">
        <v>498</v>
      </c>
      <c r="C2755" s="2" t="s">
        <v>718</v>
      </c>
      <c r="D2755" s="2" t="s">
        <v>164</v>
      </c>
      <c r="E2755" s="70" t="s">
        <v>163</v>
      </c>
      <c r="F2755" s="29">
        <v>111</v>
      </c>
      <c r="G2755" s="29">
        <v>78</v>
      </c>
      <c r="H2755" s="12">
        <v>33</v>
      </c>
      <c r="J2755" s="2"/>
      <c r="K2755" s="2"/>
      <c r="L2755" s="2"/>
      <c r="M2755" s="2"/>
      <c r="N2755" s="2"/>
      <c r="O2755" s="2"/>
      <c r="P2755" s="2"/>
    </row>
    <row r="2756" spans="1:16" x14ac:dyDescent="0.4">
      <c r="A2756">
        <v>2009</v>
      </c>
      <c r="B2756" s="2" t="s">
        <v>499</v>
      </c>
      <c r="C2756" s="2" t="s">
        <v>718</v>
      </c>
      <c r="D2756" s="2" t="s">
        <v>164</v>
      </c>
      <c r="E2756" s="70" t="s">
        <v>165</v>
      </c>
      <c r="F2756" s="29">
        <v>119</v>
      </c>
      <c r="G2756" s="29">
        <v>70</v>
      </c>
      <c r="H2756" s="12">
        <v>49</v>
      </c>
      <c r="J2756" s="2"/>
      <c r="K2756" s="2"/>
      <c r="L2756" s="2"/>
      <c r="M2756" s="2"/>
      <c r="N2756" s="2"/>
      <c r="O2756" s="2"/>
      <c r="P2756" s="2"/>
    </row>
    <row r="2757" spans="1:16" x14ac:dyDescent="0.4">
      <c r="A2757">
        <v>2009</v>
      </c>
      <c r="B2757" s="2" t="s">
        <v>500</v>
      </c>
      <c r="C2757" s="2" t="s">
        <v>718</v>
      </c>
      <c r="D2757" s="2" t="s">
        <v>164</v>
      </c>
      <c r="E2757" s="70" t="s">
        <v>166</v>
      </c>
      <c r="F2757" s="29">
        <v>6513</v>
      </c>
      <c r="G2757" s="29">
        <v>3839</v>
      </c>
      <c r="H2757" s="12">
        <v>2674</v>
      </c>
      <c r="J2757" s="2"/>
      <c r="K2757" s="2"/>
      <c r="L2757" s="2"/>
      <c r="M2757" s="2"/>
      <c r="N2757" s="2"/>
      <c r="O2757" s="2"/>
      <c r="P2757" s="2"/>
    </row>
    <row r="2758" spans="1:16" x14ac:dyDescent="0.4">
      <c r="A2758">
        <v>2009</v>
      </c>
      <c r="B2758" s="2" t="s">
        <v>501</v>
      </c>
      <c r="C2758" s="2" t="s">
        <v>718</v>
      </c>
      <c r="D2758" s="2" t="s">
        <v>164</v>
      </c>
      <c r="E2758" s="70" t="s">
        <v>167</v>
      </c>
      <c r="F2758" s="29">
        <v>265</v>
      </c>
      <c r="G2758" s="29">
        <v>180</v>
      </c>
      <c r="H2758" s="12">
        <v>85</v>
      </c>
      <c r="J2758" s="2"/>
      <c r="K2758" s="2"/>
      <c r="L2758" s="2"/>
      <c r="M2758" s="2"/>
      <c r="N2758" s="2"/>
      <c r="O2758" s="2"/>
      <c r="P2758" s="2"/>
    </row>
    <row r="2759" spans="1:16" x14ac:dyDescent="0.4">
      <c r="A2759">
        <v>2009</v>
      </c>
      <c r="B2759" s="2" t="s">
        <v>502</v>
      </c>
      <c r="C2759" s="2" t="s">
        <v>718</v>
      </c>
      <c r="D2759" s="2" t="s">
        <v>164</v>
      </c>
      <c r="E2759" s="70" t="s">
        <v>168</v>
      </c>
      <c r="F2759" s="29">
        <v>334</v>
      </c>
      <c r="G2759" s="29">
        <v>197</v>
      </c>
      <c r="H2759" s="12">
        <v>137</v>
      </c>
      <c r="J2759" s="2"/>
      <c r="K2759" s="2"/>
      <c r="L2759" s="2"/>
      <c r="M2759" s="2"/>
      <c r="N2759" s="2"/>
      <c r="O2759" s="2"/>
      <c r="P2759" s="2"/>
    </row>
    <row r="2760" spans="1:16" x14ac:dyDescent="0.4">
      <c r="A2760">
        <v>2009</v>
      </c>
      <c r="B2760" s="2" t="s">
        <v>503</v>
      </c>
      <c r="C2760" s="2" t="s">
        <v>718</v>
      </c>
      <c r="D2760" s="2" t="s">
        <v>164</v>
      </c>
      <c r="E2760" s="70" t="s">
        <v>169</v>
      </c>
      <c r="F2760" s="29">
        <v>318</v>
      </c>
      <c r="G2760" s="29">
        <v>168</v>
      </c>
      <c r="H2760" s="12">
        <v>150</v>
      </c>
      <c r="J2760" s="2"/>
      <c r="K2760" s="2"/>
      <c r="L2760" s="2"/>
      <c r="M2760" s="2"/>
      <c r="N2760" s="2"/>
      <c r="O2760" s="2"/>
      <c r="P2760" s="2"/>
    </row>
    <row r="2761" spans="1:16" x14ac:dyDescent="0.4">
      <c r="A2761">
        <v>2009</v>
      </c>
      <c r="B2761" s="2" t="s">
        <v>504</v>
      </c>
      <c r="C2761" s="2" t="s">
        <v>718</v>
      </c>
      <c r="D2761" s="2" t="s">
        <v>164</v>
      </c>
      <c r="E2761" s="70" t="s">
        <v>170</v>
      </c>
      <c r="F2761" s="29">
        <v>67</v>
      </c>
      <c r="G2761" s="29">
        <v>46</v>
      </c>
      <c r="H2761" s="12">
        <v>21</v>
      </c>
      <c r="J2761" s="2"/>
      <c r="K2761" s="2"/>
      <c r="L2761" s="2"/>
      <c r="M2761" s="2"/>
      <c r="N2761" s="2"/>
      <c r="O2761" s="2"/>
      <c r="P2761" s="2"/>
    </row>
    <row r="2762" spans="1:16" x14ac:dyDescent="0.4">
      <c r="A2762">
        <v>2009</v>
      </c>
      <c r="B2762" s="2" t="s">
        <v>505</v>
      </c>
      <c r="C2762" s="2" t="s">
        <v>718</v>
      </c>
      <c r="D2762" s="2" t="s">
        <v>164</v>
      </c>
      <c r="E2762" s="70" t="s">
        <v>171</v>
      </c>
      <c r="F2762" s="29">
        <v>640</v>
      </c>
      <c r="G2762" s="29">
        <v>395</v>
      </c>
      <c r="H2762" s="12">
        <v>245</v>
      </c>
      <c r="J2762" s="2"/>
      <c r="K2762" s="2"/>
      <c r="L2762" s="2"/>
      <c r="M2762" s="2"/>
      <c r="N2762" s="2"/>
      <c r="O2762" s="2"/>
      <c r="P2762" s="2"/>
    </row>
    <row r="2763" spans="1:16" x14ac:dyDescent="0.4">
      <c r="A2763">
        <v>2009</v>
      </c>
      <c r="B2763" s="2" t="s">
        <v>506</v>
      </c>
      <c r="C2763" s="2" t="s">
        <v>718</v>
      </c>
      <c r="D2763" s="2" t="s">
        <v>164</v>
      </c>
      <c r="E2763" s="70" t="s">
        <v>53</v>
      </c>
      <c r="F2763" s="29">
        <v>175</v>
      </c>
      <c r="G2763" s="29">
        <v>95</v>
      </c>
      <c r="H2763" s="12">
        <v>80</v>
      </c>
      <c r="J2763" s="2"/>
      <c r="K2763" s="2"/>
      <c r="L2763" s="2"/>
      <c r="M2763" s="2"/>
      <c r="N2763" s="2"/>
      <c r="O2763" s="2"/>
      <c r="P2763" s="2"/>
    </row>
    <row r="2764" spans="1:16" x14ac:dyDescent="0.4">
      <c r="A2764">
        <v>2009</v>
      </c>
      <c r="B2764" s="2" t="s">
        <v>507</v>
      </c>
      <c r="C2764" s="2" t="s">
        <v>719</v>
      </c>
      <c r="D2764" s="2" t="s">
        <v>173</v>
      </c>
      <c r="E2764" s="70" t="s">
        <v>172</v>
      </c>
      <c r="F2764" s="29">
        <v>554</v>
      </c>
      <c r="G2764" s="29">
        <v>381</v>
      </c>
      <c r="H2764" s="12">
        <v>173</v>
      </c>
      <c r="J2764" s="2"/>
      <c r="K2764" s="2"/>
      <c r="L2764" s="2"/>
      <c r="M2764" s="2"/>
      <c r="N2764" s="2"/>
      <c r="O2764" s="2"/>
      <c r="P2764" s="2"/>
    </row>
    <row r="2765" spans="1:16" x14ac:dyDescent="0.4">
      <c r="A2765">
        <v>2009</v>
      </c>
      <c r="B2765" s="2" t="s">
        <v>508</v>
      </c>
      <c r="C2765" s="2" t="s">
        <v>719</v>
      </c>
      <c r="D2765" s="2" t="s">
        <v>173</v>
      </c>
      <c r="E2765" s="70" t="s">
        <v>174</v>
      </c>
      <c r="F2765" s="29">
        <v>52</v>
      </c>
      <c r="G2765" s="29">
        <v>34</v>
      </c>
      <c r="H2765" s="12">
        <v>18</v>
      </c>
      <c r="J2765" s="2"/>
      <c r="K2765" s="2"/>
      <c r="L2765" s="2"/>
      <c r="M2765" s="2"/>
      <c r="N2765" s="2"/>
      <c r="O2765" s="2"/>
      <c r="P2765" s="2"/>
    </row>
    <row r="2766" spans="1:16" x14ac:dyDescent="0.4">
      <c r="A2766">
        <v>2009</v>
      </c>
      <c r="B2766" s="2" t="s">
        <v>509</v>
      </c>
      <c r="C2766" s="2" t="s">
        <v>719</v>
      </c>
      <c r="D2766" s="2" t="s">
        <v>173</v>
      </c>
      <c r="E2766" s="70" t="s">
        <v>175</v>
      </c>
      <c r="F2766" s="29">
        <v>73</v>
      </c>
      <c r="G2766" s="29">
        <v>49</v>
      </c>
      <c r="H2766" s="12">
        <v>24</v>
      </c>
      <c r="J2766" s="2"/>
      <c r="K2766" s="2"/>
      <c r="L2766" s="2"/>
      <c r="M2766" s="2"/>
      <c r="N2766" s="2"/>
      <c r="O2766" s="2"/>
      <c r="P2766" s="2"/>
    </row>
    <row r="2767" spans="1:16" x14ac:dyDescent="0.4">
      <c r="A2767">
        <v>2009</v>
      </c>
      <c r="B2767" s="2" t="s">
        <v>510</v>
      </c>
      <c r="C2767" s="2" t="s">
        <v>719</v>
      </c>
      <c r="D2767" s="2" t="s">
        <v>173</v>
      </c>
      <c r="E2767" s="70" t="s">
        <v>176</v>
      </c>
      <c r="F2767" s="29">
        <v>20</v>
      </c>
      <c r="G2767" s="29">
        <v>13</v>
      </c>
      <c r="H2767" s="12">
        <v>7</v>
      </c>
      <c r="J2767" s="2"/>
      <c r="K2767" s="2"/>
      <c r="L2767" s="2"/>
      <c r="M2767" s="2"/>
      <c r="N2767" s="2"/>
      <c r="O2767" s="2"/>
      <c r="P2767" s="2"/>
    </row>
    <row r="2768" spans="1:16" x14ac:dyDescent="0.4">
      <c r="A2768">
        <v>2009</v>
      </c>
      <c r="B2768" s="2" t="s">
        <v>511</v>
      </c>
      <c r="C2768" s="2" t="s">
        <v>719</v>
      </c>
      <c r="D2768" s="2" t="s">
        <v>173</v>
      </c>
      <c r="E2768" s="70" t="s">
        <v>177</v>
      </c>
      <c r="F2768" s="29">
        <v>28</v>
      </c>
      <c r="G2768" s="29">
        <v>18</v>
      </c>
      <c r="H2768" s="12">
        <v>10</v>
      </c>
      <c r="J2768" s="2"/>
      <c r="K2768" s="2"/>
      <c r="L2768" s="2"/>
      <c r="M2768" s="2"/>
      <c r="N2768" s="2"/>
      <c r="O2768" s="2"/>
      <c r="P2768" s="2"/>
    </row>
    <row r="2769" spans="1:16" x14ac:dyDescent="0.4">
      <c r="A2769">
        <v>2009</v>
      </c>
      <c r="B2769" s="2" t="s">
        <v>512</v>
      </c>
      <c r="C2769" s="2" t="s">
        <v>719</v>
      </c>
      <c r="D2769" s="2" t="s">
        <v>173</v>
      </c>
      <c r="E2769" s="70" t="s">
        <v>178</v>
      </c>
      <c r="F2769" s="29">
        <v>265</v>
      </c>
      <c r="G2769" s="29">
        <v>174</v>
      </c>
      <c r="H2769" s="12">
        <v>91</v>
      </c>
      <c r="J2769" s="2"/>
      <c r="K2769" s="2"/>
      <c r="L2769" s="2"/>
      <c r="M2769" s="2"/>
      <c r="N2769" s="2"/>
      <c r="O2769" s="2"/>
      <c r="P2769" s="2"/>
    </row>
    <row r="2770" spans="1:16" x14ac:dyDescent="0.4">
      <c r="A2770">
        <v>2009</v>
      </c>
      <c r="B2770" s="2" t="s">
        <v>513</v>
      </c>
      <c r="C2770" s="2" t="s">
        <v>719</v>
      </c>
      <c r="D2770" s="2" t="s">
        <v>173</v>
      </c>
      <c r="E2770" s="70" t="s">
        <v>179</v>
      </c>
      <c r="F2770" s="29">
        <v>36</v>
      </c>
      <c r="G2770" s="29">
        <v>19</v>
      </c>
      <c r="H2770" s="12">
        <v>17</v>
      </c>
      <c r="J2770" s="2"/>
      <c r="K2770" s="2"/>
      <c r="L2770" s="2"/>
      <c r="M2770" s="2"/>
      <c r="N2770" s="2"/>
      <c r="O2770" s="2"/>
      <c r="P2770" s="2"/>
    </row>
    <row r="2771" spans="1:16" x14ac:dyDescent="0.4">
      <c r="A2771">
        <v>2009</v>
      </c>
      <c r="B2771" s="2" t="s">
        <v>514</v>
      </c>
      <c r="C2771" s="2" t="s">
        <v>719</v>
      </c>
      <c r="D2771" s="2" t="s">
        <v>173</v>
      </c>
      <c r="E2771" s="70" t="s">
        <v>180</v>
      </c>
      <c r="F2771" s="29">
        <v>87</v>
      </c>
      <c r="G2771" s="29">
        <v>55</v>
      </c>
      <c r="H2771" s="12">
        <v>32</v>
      </c>
      <c r="J2771" s="2"/>
      <c r="K2771" s="2"/>
      <c r="L2771" s="2"/>
      <c r="M2771" s="2"/>
      <c r="N2771" s="2"/>
      <c r="O2771" s="2"/>
      <c r="P2771" s="2"/>
    </row>
    <row r="2772" spans="1:16" x14ac:dyDescent="0.4">
      <c r="A2772">
        <v>2009</v>
      </c>
      <c r="B2772" s="2" t="s">
        <v>515</v>
      </c>
      <c r="C2772" s="2" t="s">
        <v>719</v>
      </c>
      <c r="D2772" s="2" t="s">
        <v>173</v>
      </c>
      <c r="E2772" s="70" t="s">
        <v>181</v>
      </c>
      <c r="F2772" s="29">
        <v>43</v>
      </c>
      <c r="G2772" s="29">
        <v>26</v>
      </c>
      <c r="H2772" s="12">
        <v>17</v>
      </c>
      <c r="J2772" s="2"/>
      <c r="K2772" s="2"/>
      <c r="L2772" s="2"/>
      <c r="M2772" s="2"/>
      <c r="N2772" s="2"/>
      <c r="O2772" s="2"/>
      <c r="P2772" s="2"/>
    </row>
    <row r="2773" spans="1:16" x14ac:dyDescent="0.4">
      <c r="A2773">
        <v>2009</v>
      </c>
      <c r="B2773" s="2" t="s">
        <v>516</v>
      </c>
      <c r="C2773" s="2" t="s">
        <v>719</v>
      </c>
      <c r="D2773" s="2" t="s">
        <v>173</v>
      </c>
      <c r="E2773" s="70" t="s">
        <v>182</v>
      </c>
      <c r="F2773" s="29">
        <v>48</v>
      </c>
      <c r="G2773" s="29">
        <v>28</v>
      </c>
      <c r="H2773" s="12">
        <v>20</v>
      </c>
      <c r="J2773" s="2"/>
      <c r="K2773" s="2"/>
      <c r="L2773" s="2"/>
      <c r="M2773" s="2"/>
      <c r="N2773" s="2"/>
      <c r="O2773" s="2"/>
      <c r="P2773" s="2"/>
    </row>
    <row r="2774" spans="1:16" x14ac:dyDescent="0.4">
      <c r="A2774">
        <v>2009</v>
      </c>
      <c r="B2774" s="2" t="s">
        <v>517</v>
      </c>
      <c r="C2774" s="2" t="s">
        <v>719</v>
      </c>
      <c r="D2774" s="2" t="s">
        <v>173</v>
      </c>
      <c r="E2774" s="70" t="s">
        <v>183</v>
      </c>
      <c r="F2774" s="29">
        <v>13</v>
      </c>
      <c r="G2774" s="29">
        <v>10</v>
      </c>
      <c r="H2774" s="12">
        <v>3</v>
      </c>
      <c r="J2774" s="2"/>
      <c r="K2774" s="2"/>
      <c r="L2774" s="2"/>
      <c r="M2774" s="2"/>
      <c r="N2774" s="2"/>
      <c r="O2774" s="2"/>
      <c r="P2774" s="2"/>
    </row>
    <row r="2775" spans="1:16" x14ac:dyDescent="0.4">
      <c r="A2775">
        <v>2009</v>
      </c>
      <c r="B2775" s="2" t="s">
        <v>518</v>
      </c>
      <c r="C2775" s="2" t="s">
        <v>719</v>
      </c>
      <c r="D2775" s="2" t="s">
        <v>173</v>
      </c>
      <c r="E2775" s="70" t="s">
        <v>44</v>
      </c>
      <c r="F2775" s="29">
        <v>2192</v>
      </c>
      <c r="G2775" s="29" t="s">
        <v>745</v>
      </c>
      <c r="H2775" s="12">
        <v>942</v>
      </c>
      <c r="J2775" s="2"/>
      <c r="K2775" s="2"/>
      <c r="L2775" s="2"/>
      <c r="M2775" s="2"/>
      <c r="N2775" s="2"/>
      <c r="O2775" s="2"/>
      <c r="P2775" s="2"/>
    </row>
    <row r="2776" spans="1:16" x14ac:dyDescent="0.4">
      <c r="A2776">
        <v>2009</v>
      </c>
      <c r="B2776" s="2" t="s">
        <v>519</v>
      </c>
      <c r="C2776" s="2" t="s">
        <v>719</v>
      </c>
      <c r="D2776" s="2" t="s">
        <v>173</v>
      </c>
      <c r="E2776" s="70" t="s">
        <v>85</v>
      </c>
      <c r="F2776" s="29">
        <v>77</v>
      </c>
      <c r="G2776" s="29">
        <v>49</v>
      </c>
      <c r="H2776" s="12">
        <v>28</v>
      </c>
      <c r="J2776" s="2"/>
      <c r="K2776" s="2"/>
      <c r="L2776" s="2"/>
      <c r="M2776" s="2"/>
      <c r="N2776" s="2"/>
      <c r="O2776" s="2"/>
      <c r="P2776" s="2"/>
    </row>
    <row r="2777" spans="1:16" x14ac:dyDescent="0.4">
      <c r="A2777">
        <v>2009</v>
      </c>
      <c r="B2777" s="2" t="s">
        <v>520</v>
      </c>
      <c r="C2777" s="2" t="s">
        <v>719</v>
      </c>
      <c r="D2777" s="2" t="s">
        <v>173</v>
      </c>
      <c r="E2777" s="70" t="s">
        <v>184</v>
      </c>
      <c r="F2777" s="29">
        <v>109</v>
      </c>
      <c r="G2777" s="29">
        <v>72</v>
      </c>
      <c r="H2777" s="12">
        <v>37</v>
      </c>
      <c r="J2777" s="2"/>
      <c r="K2777" s="2"/>
      <c r="L2777" s="2"/>
      <c r="M2777" s="2"/>
      <c r="N2777" s="2"/>
      <c r="O2777" s="2"/>
      <c r="P2777" s="2"/>
    </row>
    <row r="2778" spans="1:16" x14ac:dyDescent="0.4">
      <c r="A2778">
        <v>2009</v>
      </c>
      <c r="B2778" s="2" t="s">
        <v>521</v>
      </c>
      <c r="C2778" s="2" t="s">
        <v>719</v>
      </c>
      <c r="D2778" s="2" t="s">
        <v>173</v>
      </c>
      <c r="E2778" s="70" t="s">
        <v>185</v>
      </c>
      <c r="F2778" s="29">
        <v>13</v>
      </c>
      <c r="G2778" s="29">
        <v>7</v>
      </c>
      <c r="H2778" s="12">
        <v>6</v>
      </c>
      <c r="J2778" s="2"/>
      <c r="K2778" s="2"/>
      <c r="L2778" s="2"/>
      <c r="M2778" s="2"/>
      <c r="N2778" s="2"/>
      <c r="O2778" s="2"/>
      <c r="P2778" s="2"/>
    </row>
    <row r="2779" spans="1:16" x14ac:dyDescent="0.4">
      <c r="A2779">
        <v>2009</v>
      </c>
      <c r="B2779" s="2" t="s">
        <v>522</v>
      </c>
      <c r="C2779" s="2" t="s">
        <v>719</v>
      </c>
      <c r="D2779" s="2" t="s">
        <v>173</v>
      </c>
      <c r="E2779" s="70" t="s">
        <v>186</v>
      </c>
      <c r="F2779" s="29">
        <v>50</v>
      </c>
      <c r="G2779" s="29">
        <v>32</v>
      </c>
      <c r="H2779" s="12">
        <v>18</v>
      </c>
      <c r="J2779" s="2"/>
      <c r="K2779" s="2"/>
      <c r="L2779" s="2"/>
      <c r="M2779" s="2"/>
      <c r="N2779" s="2"/>
      <c r="O2779" s="2"/>
      <c r="P2779" s="2"/>
    </row>
    <row r="2780" spans="1:16" x14ac:dyDescent="0.4">
      <c r="A2780">
        <v>2009</v>
      </c>
      <c r="B2780" s="2" t="s">
        <v>523</v>
      </c>
      <c r="C2780" s="2" t="s">
        <v>719</v>
      </c>
      <c r="D2780" s="2" t="s">
        <v>173</v>
      </c>
      <c r="E2780" s="70" t="s">
        <v>187</v>
      </c>
      <c r="F2780" s="29">
        <v>56</v>
      </c>
      <c r="G2780" s="29">
        <v>36</v>
      </c>
      <c r="H2780" s="12">
        <v>20</v>
      </c>
      <c r="J2780" s="2"/>
      <c r="K2780" s="2"/>
      <c r="L2780" s="2"/>
      <c r="M2780" s="2"/>
      <c r="N2780" s="2"/>
      <c r="O2780" s="2"/>
      <c r="P2780" s="2"/>
    </row>
    <row r="2781" spans="1:16" x14ac:dyDescent="0.4">
      <c r="A2781">
        <v>2009</v>
      </c>
      <c r="B2781" s="2" t="s">
        <v>524</v>
      </c>
      <c r="C2781" s="2" t="s">
        <v>719</v>
      </c>
      <c r="D2781" s="2" t="s">
        <v>173</v>
      </c>
      <c r="E2781" s="70" t="s">
        <v>188</v>
      </c>
      <c r="F2781" s="29">
        <v>60</v>
      </c>
      <c r="G2781" s="29">
        <v>29</v>
      </c>
      <c r="H2781" s="12">
        <v>31</v>
      </c>
      <c r="J2781" s="2"/>
      <c r="K2781" s="2"/>
      <c r="L2781" s="2"/>
      <c r="M2781" s="2"/>
      <c r="N2781" s="2"/>
      <c r="O2781" s="2"/>
      <c r="P2781" s="2"/>
    </row>
    <row r="2782" spans="1:16" x14ac:dyDescent="0.4">
      <c r="A2782">
        <v>2009</v>
      </c>
      <c r="B2782" s="2" t="s">
        <v>525</v>
      </c>
      <c r="C2782" s="2" t="s">
        <v>719</v>
      </c>
      <c r="D2782" s="2" t="s">
        <v>173</v>
      </c>
      <c r="E2782" s="70" t="s">
        <v>189</v>
      </c>
      <c r="F2782" s="29">
        <v>51</v>
      </c>
      <c r="G2782" s="29">
        <v>34</v>
      </c>
      <c r="H2782" s="12">
        <v>17</v>
      </c>
      <c r="J2782" s="2"/>
      <c r="K2782" s="2"/>
      <c r="L2782" s="2"/>
      <c r="M2782" s="2"/>
      <c r="N2782" s="2"/>
      <c r="O2782" s="2"/>
      <c r="P2782" s="2"/>
    </row>
    <row r="2783" spans="1:16" x14ac:dyDescent="0.4">
      <c r="A2783">
        <v>2009</v>
      </c>
      <c r="B2783" s="2" t="s">
        <v>526</v>
      </c>
      <c r="C2783" s="2" t="s">
        <v>719</v>
      </c>
      <c r="D2783" s="2" t="s">
        <v>173</v>
      </c>
      <c r="E2783" s="70" t="s">
        <v>51</v>
      </c>
      <c r="F2783" s="29">
        <v>174</v>
      </c>
      <c r="G2783" s="29">
        <v>106</v>
      </c>
      <c r="H2783" s="12">
        <v>68</v>
      </c>
      <c r="J2783" s="2"/>
      <c r="K2783" s="2"/>
      <c r="L2783" s="2"/>
      <c r="M2783" s="2"/>
      <c r="N2783" s="2"/>
      <c r="O2783" s="2"/>
      <c r="P2783" s="2"/>
    </row>
    <row r="2784" spans="1:16" x14ac:dyDescent="0.4">
      <c r="A2784">
        <v>2009</v>
      </c>
      <c r="B2784" s="2" t="s">
        <v>527</v>
      </c>
      <c r="C2784" s="2" t="s">
        <v>719</v>
      </c>
      <c r="D2784" s="2" t="s">
        <v>173</v>
      </c>
      <c r="E2784" s="70" t="s">
        <v>52</v>
      </c>
      <c r="F2784" s="29">
        <v>176</v>
      </c>
      <c r="G2784" s="29">
        <v>101</v>
      </c>
      <c r="H2784" s="12">
        <v>75</v>
      </c>
      <c r="J2784" s="2"/>
      <c r="K2784" s="2"/>
      <c r="L2784" s="2"/>
      <c r="M2784" s="2"/>
      <c r="N2784" s="2"/>
      <c r="O2784" s="2"/>
      <c r="P2784" s="2"/>
    </row>
    <row r="2785" spans="1:16" x14ac:dyDescent="0.4">
      <c r="A2785">
        <v>2009</v>
      </c>
      <c r="B2785" s="2" t="s">
        <v>528</v>
      </c>
      <c r="C2785" s="2" t="s">
        <v>719</v>
      </c>
      <c r="D2785" s="2" t="s">
        <v>173</v>
      </c>
      <c r="E2785" s="70" t="s">
        <v>190</v>
      </c>
      <c r="F2785" s="29">
        <v>104</v>
      </c>
      <c r="G2785" s="29">
        <v>65</v>
      </c>
      <c r="H2785" s="12">
        <v>39</v>
      </c>
      <c r="J2785" s="2"/>
      <c r="K2785" s="2"/>
      <c r="L2785" s="2"/>
      <c r="M2785" s="2"/>
      <c r="N2785" s="2"/>
      <c r="O2785" s="2"/>
      <c r="P2785" s="2"/>
    </row>
    <row r="2786" spans="1:16" x14ac:dyDescent="0.4">
      <c r="A2786">
        <v>2009</v>
      </c>
      <c r="B2786" s="2" t="s">
        <v>529</v>
      </c>
      <c r="C2786" s="2" t="s">
        <v>719</v>
      </c>
      <c r="D2786" s="2" t="s">
        <v>173</v>
      </c>
      <c r="E2786" s="70" t="s">
        <v>191</v>
      </c>
      <c r="F2786" s="29">
        <v>38</v>
      </c>
      <c r="G2786" s="29">
        <v>20</v>
      </c>
      <c r="H2786" s="12">
        <v>18</v>
      </c>
      <c r="J2786" s="2"/>
      <c r="K2786" s="2"/>
      <c r="L2786" s="2"/>
      <c r="M2786" s="2"/>
      <c r="N2786" s="2"/>
      <c r="O2786" s="2"/>
      <c r="P2786" s="2"/>
    </row>
    <row r="2787" spans="1:16" x14ac:dyDescent="0.4">
      <c r="A2787">
        <v>2009</v>
      </c>
      <c r="B2787" s="2" t="s">
        <v>530</v>
      </c>
      <c r="C2787" s="2" t="s">
        <v>720</v>
      </c>
      <c r="D2787" s="2" t="s">
        <v>193</v>
      </c>
      <c r="E2787" s="70" t="s">
        <v>192</v>
      </c>
      <c r="F2787" s="29">
        <v>414</v>
      </c>
      <c r="G2787" s="29">
        <v>296</v>
      </c>
      <c r="H2787" s="12">
        <v>118</v>
      </c>
      <c r="J2787" s="2"/>
      <c r="K2787" s="2"/>
      <c r="L2787" s="2"/>
      <c r="M2787" s="2"/>
      <c r="N2787" s="2"/>
      <c r="O2787" s="2"/>
      <c r="P2787" s="2"/>
    </row>
    <row r="2788" spans="1:16" x14ac:dyDescent="0.4">
      <c r="A2788">
        <v>2009</v>
      </c>
      <c r="B2788" s="2" t="s">
        <v>531</v>
      </c>
      <c r="C2788" s="2" t="s">
        <v>720</v>
      </c>
      <c r="D2788" s="2" t="s">
        <v>193</v>
      </c>
      <c r="E2788" s="70" t="s">
        <v>174</v>
      </c>
      <c r="F2788" s="29">
        <v>71</v>
      </c>
      <c r="G2788" s="29">
        <v>51</v>
      </c>
      <c r="H2788" s="12">
        <v>20</v>
      </c>
      <c r="J2788" s="2"/>
      <c r="K2788" s="2"/>
      <c r="L2788" s="2"/>
      <c r="M2788" s="2"/>
      <c r="N2788" s="2"/>
      <c r="O2788" s="2"/>
      <c r="P2788" s="2"/>
    </row>
    <row r="2789" spans="1:16" x14ac:dyDescent="0.4">
      <c r="A2789">
        <v>2009</v>
      </c>
      <c r="B2789" s="2" t="s">
        <v>532</v>
      </c>
      <c r="C2789" s="2" t="s">
        <v>720</v>
      </c>
      <c r="D2789" s="2" t="s">
        <v>193</v>
      </c>
      <c r="E2789" s="70" t="s">
        <v>194</v>
      </c>
      <c r="F2789" s="29">
        <v>1840</v>
      </c>
      <c r="G2789" s="29">
        <v>960</v>
      </c>
      <c r="H2789" s="12">
        <v>880</v>
      </c>
      <c r="J2789" s="2"/>
      <c r="K2789" s="2"/>
      <c r="L2789" s="2"/>
      <c r="M2789" s="2"/>
      <c r="N2789" s="2"/>
      <c r="O2789" s="2"/>
      <c r="P2789" s="2"/>
    </row>
    <row r="2790" spans="1:16" x14ac:dyDescent="0.4">
      <c r="A2790">
        <v>2009</v>
      </c>
      <c r="B2790" s="2" t="s">
        <v>533</v>
      </c>
      <c r="C2790" s="2" t="s">
        <v>720</v>
      </c>
      <c r="D2790" s="2" t="s">
        <v>193</v>
      </c>
      <c r="E2790" s="70" t="s">
        <v>195</v>
      </c>
      <c r="F2790" s="29">
        <v>299</v>
      </c>
      <c r="G2790" s="29">
        <v>209</v>
      </c>
      <c r="H2790" s="12">
        <v>90</v>
      </c>
      <c r="J2790" s="2"/>
      <c r="K2790" s="2"/>
      <c r="L2790" s="2"/>
      <c r="M2790" s="2"/>
      <c r="N2790" s="2"/>
      <c r="O2790" s="2"/>
      <c r="P2790" s="2"/>
    </row>
    <row r="2791" spans="1:16" x14ac:dyDescent="0.4">
      <c r="A2791">
        <v>2009</v>
      </c>
      <c r="B2791" s="2" t="s">
        <v>534</v>
      </c>
      <c r="C2791" s="2" t="s">
        <v>720</v>
      </c>
      <c r="D2791" s="2" t="s">
        <v>193</v>
      </c>
      <c r="E2791" s="70" t="s">
        <v>196</v>
      </c>
      <c r="F2791" s="29">
        <v>93</v>
      </c>
      <c r="G2791" s="29">
        <v>60</v>
      </c>
      <c r="H2791" s="12">
        <v>33</v>
      </c>
      <c r="J2791" s="2"/>
      <c r="K2791" s="2"/>
      <c r="L2791" s="2"/>
      <c r="M2791" s="2"/>
      <c r="N2791" s="2"/>
      <c r="O2791" s="2"/>
      <c r="P2791" s="2"/>
    </row>
    <row r="2792" spans="1:16" x14ac:dyDescent="0.4">
      <c r="A2792">
        <v>2009</v>
      </c>
      <c r="B2792" s="2" t="s">
        <v>535</v>
      </c>
      <c r="C2792" s="2" t="s">
        <v>720</v>
      </c>
      <c r="D2792" s="2" t="s">
        <v>193</v>
      </c>
      <c r="E2792" s="70" t="s">
        <v>197</v>
      </c>
      <c r="F2792" s="29">
        <v>146</v>
      </c>
      <c r="G2792" s="29">
        <v>94</v>
      </c>
      <c r="H2792" s="12">
        <v>52</v>
      </c>
      <c r="J2792" s="2"/>
      <c r="K2792" s="2"/>
      <c r="L2792" s="2"/>
      <c r="M2792" s="2"/>
      <c r="N2792" s="2"/>
      <c r="O2792" s="2"/>
      <c r="P2792" s="2"/>
    </row>
    <row r="2793" spans="1:16" x14ac:dyDescent="0.4">
      <c r="A2793">
        <v>2009</v>
      </c>
      <c r="B2793" s="2" t="s">
        <v>536</v>
      </c>
      <c r="C2793" s="2" t="s">
        <v>720</v>
      </c>
      <c r="D2793" s="2" t="s">
        <v>193</v>
      </c>
      <c r="E2793" s="70" t="s">
        <v>198</v>
      </c>
      <c r="F2793" s="29">
        <v>834</v>
      </c>
      <c r="G2793" s="29">
        <v>425</v>
      </c>
      <c r="H2793" s="12">
        <v>409</v>
      </c>
      <c r="J2793" s="2"/>
      <c r="K2793" s="2"/>
      <c r="L2793" s="2"/>
      <c r="M2793" s="2"/>
      <c r="N2793" s="2"/>
      <c r="O2793" s="2"/>
      <c r="P2793" s="2"/>
    </row>
    <row r="2794" spans="1:16" x14ac:dyDescent="0.4">
      <c r="A2794">
        <v>2009</v>
      </c>
      <c r="B2794" s="2" t="s">
        <v>537</v>
      </c>
      <c r="C2794" s="2" t="s">
        <v>720</v>
      </c>
      <c r="D2794" s="2" t="s">
        <v>193</v>
      </c>
      <c r="E2794" s="70" t="s">
        <v>199</v>
      </c>
      <c r="F2794" s="29">
        <v>461</v>
      </c>
      <c r="G2794" s="29">
        <v>329</v>
      </c>
      <c r="H2794" s="12">
        <v>132</v>
      </c>
      <c r="J2794" s="2"/>
      <c r="K2794" s="2"/>
      <c r="L2794" s="2"/>
      <c r="M2794" s="2"/>
      <c r="N2794" s="2"/>
      <c r="O2794" s="2"/>
      <c r="P2794" s="2"/>
    </row>
    <row r="2795" spans="1:16" x14ac:dyDescent="0.4">
      <c r="A2795">
        <v>2009</v>
      </c>
      <c r="B2795" s="2" t="s">
        <v>538</v>
      </c>
      <c r="C2795" s="2" t="s">
        <v>720</v>
      </c>
      <c r="D2795" s="2" t="s">
        <v>193</v>
      </c>
      <c r="E2795" s="70" t="s">
        <v>200</v>
      </c>
      <c r="F2795" s="29">
        <v>150</v>
      </c>
      <c r="G2795" s="29">
        <v>76</v>
      </c>
      <c r="H2795" s="12">
        <v>74</v>
      </c>
      <c r="J2795" s="2"/>
      <c r="K2795" s="2"/>
      <c r="L2795" s="2"/>
      <c r="M2795" s="2"/>
      <c r="N2795" s="2"/>
      <c r="O2795" s="2"/>
      <c r="P2795" s="2"/>
    </row>
    <row r="2796" spans="1:16" x14ac:dyDescent="0.4">
      <c r="A2796">
        <v>2009</v>
      </c>
      <c r="B2796" s="2" t="s">
        <v>539</v>
      </c>
      <c r="C2796" s="2" t="s">
        <v>720</v>
      </c>
      <c r="D2796" s="2" t="s">
        <v>193</v>
      </c>
      <c r="E2796" s="70" t="s">
        <v>201</v>
      </c>
      <c r="F2796" s="29">
        <v>1385</v>
      </c>
      <c r="G2796" s="29">
        <v>887</v>
      </c>
      <c r="H2796" s="12">
        <v>498</v>
      </c>
      <c r="J2796" s="2"/>
      <c r="K2796" s="2"/>
      <c r="L2796" s="2"/>
      <c r="M2796" s="2"/>
      <c r="N2796" s="2"/>
      <c r="O2796" s="2"/>
      <c r="P2796" s="2"/>
    </row>
    <row r="2797" spans="1:16" x14ac:dyDescent="0.4">
      <c r="A2797">
        <v>2009</v>
      </c>
      <c r="B2797" s="2" t="s">
        <v>540</v>
      </c>
      <c r="C2797" s="2" t="s">
        <v>720</v>
      </c>
      <c r="D2797" s="2" t="s">
        <v>193</v>
      </c>
      <c r="E2797" s="70" t="s">
        <v>14</v>
      </c>
      <c r="F2797" s="29">
        <v>559</v>
      </c>
      <c r="G2797" s="29">
        <v>382</v>
      </c>
      <c r="H2797" s="12">
        <v>177</v>
      </c>
      <c r="J2797" s="2"/>
      <c r="K2797" s="2"/>
      <c r="L2797" s="2"/>
      <c r="M2797" s="2"/>
      <c r="N2797" s="2"/>
      <c r="O2797" s="2"/>
      <c r="P2797" s="2"/>
    </row>
    <row r="2798" spans="1:16" x14ac:dyDescent="0.4">
      <c r="A2798">
        <v>2009</v>
      </c>
      <c r="B2798" s="2" t="s">
        <v>541</v>
      </c>
      <c r="C2798" s="2" t="s">
        <v>720</v>
      </c>
      <c r="D2798" s="2" t="s">
        <v>193</v>
      </c>
      <c r="E2798" s="70" t="s">
        <v>202</v>
      </c>
      <c r="F2798" s="29">
        <v>631</v>
      </c>
      <c r="G2798" s="29">
        <v>435</v>
      </c>
      <c r="H2798" s="12">
        <v>196</v>
      </c>
      <c r="J2798" s="2"/>
      <c r="K2798" s="2"/>
      <c r="L2798" s="2"/>
      <c r="M2798" s="2"/>
      <c r="N2798" s="2"/>
      <c r="O2798" s="2"/>
      <c r="P2798" s="2"/>
    </row>
    <row r="2799" spans="1:16" x14ac:dyDescent="0.4">
      <c r="A2799">
        <v>2009</v>
      </c>
      <c r="B2799" s="2" t="s">
        <v>542</v>
      </c>
      <c r="C2799" s="2" t="s">
        <v>720</v>
      </c>
      <c r="D2799" s="2" t="s">
        <v>193</v>
      </c>
      <c r="E2799" s="70" t="s">
        <v>203</v>
      </c>
      <c r="F2799" s="29">
        <v>211</v>
      </c>
      <c r="G2799" s="29">
        <v>122</v>
      </c>
      <c r="H2799" s="12">
        <v>89</v>
      </c>
      <c r="J2799" s="2"/>
      <c r="K2799" s="2"/>
      <c r="L2799" s="2"/>
      <c r="M2799" s="2"/>
      <c r="N2799" s="2"/>
      <c r="O2799" s="2"/>
      <c r="P2799" s="2"/>
    </row>
    <row r="2800" spans="1:16" x14ac:dyDescent="0.4">
      <c r="A2800">
        <v>2009</v>
      </c>
      <c r="B2800" s="2" t="s">
        <v>543</v>
      </c>
      <c r="C2800" s="2" t="s">
        <v>720</v>
      </c>
      <c r="D2800" s="2" t="s">
        <v>193</v>
      </c>
      <c r="E2800" s="70" t="s">
        <v>32</v>
      </c>
      <c r="F2800" s="29">
        <v>168</v>
      </c>
      <c r="G2800" s="29">
        <v>110</v>
      </c>
      <c r="H2800" s="12">
        <v>58</v>
      </c>
      <c r="J2800" s="2"/>
      <c r="K2800" s="2"/>
      <c r="L2800" s="2"/>
      <c r="M2800" s="2"/>
      <c r="N2800" s="2"/>
      <c r="O2800" s="2"/>
      <c r="P2800" s="2"/>
    </row>
    <row r="2801" spans="1:16" x14ac:dyDescent="0.4">
      <c r="A2801">
        <v>2009</v>
      </c>
      <c r="B2801" s="2" t="s">
        <v>544</v>
      </c>
      <c r="C2801" s="2" t="s">
        <v>720</v>
      </c>
      <c r="D2801" s="2" t="s">
        <v>193</v>
      </c>
      <c r="E2801" s="70" t="s">
        <v>204</v>
      </c>
      <c r="F2801" s="29">
        <v>348</v>
      </c>
      <c r="G2801" s="29">
        <v>260</v>
      </c>
      <c r="H2801" s="12">
        <v>88</v>
      </c>
      <c r="J2801" s="2"/>
      <c r="K2801" s="2"/>
      <c r="L2801" s="2"/>
      <c r="M2801" s="2"/>
      <c r="N2801" s="2"/>
      <c r="O2801" s="2"/>
      <c r="P2801" s="2"/>
    </row>
    <row r="2802" spans="1:16" x14ac:dyDescent="0.4">
      <c r="A2802">
        <v>2009</v>
      </c>
      <c r="B2802" s="2" t="s">
        <v>545</v>
      </c>
      <c r="C2802" s="2" t="s">
        <v>720</v>
      </c>
      <c r="D2802" s="2" t="s">
        <v>193</v>
      </c>
      <c r="E2802" s="70" t="s">
        <v>205</v>
      </c>
      <c r="F2802" s="29">
        <v>58</v>
      </c>
      <c r="G2802" s="29">
        <v>37</v>
      </c>
      <c r="H2802" s="12">
        <v>21</v>
      </c>
      <c r="J2802" s="2"/>
      <c r="K2802" s="2"/>
      <c r="L2802" s="2"/>
      <c r="M2802" s="2"/>
      <c r="N2802" s="2"/>
      <c r="O2802" s="2"/>
      <c r="P2802" s="2"/>
    </row>
    <row r="2803" spans="1:16" x14ac:dyDescent="0.4">
      <c r="A2803">
        <v>2009</v>
      </c>
      <c r="B2803" s="2" t="s">
        <v>546</v>
      </c>
      <c r="C2803" s="2" t="s">
        <v>720</v>
      </c>
      <c r="D2803" s="2" t="s">
        <v>193</v>
      </c>
      <c r="E2803" s="70" t="s">
        <v>206</v>
      </c>
      <c r="F2803" s="29">
        <v>817</v>
      </c>
      <c r="G2803" s="29">
        <v>556</v>
      </c>
      <c r="H2803" s="12">
        <v>261</v>
      </c>
      <c r="J2803" s="2"/>
      <c r="K2803" s="2"/>
      <c r="L2803" s="2"/>
      <c r="M2803" s="2"/>
      <c r="N2803" s="2"/>
      <c r="O2803" s="2"/>
      <c r="P2803" s="2"/>
    </row>
    <row r="2804" spans="1:16" x14ac:dyDescent="0.4">
      <c r="A2804">
        <v>2009</v>
      </c>
      <c r="B2804" s="2" t="s">
        <v>547</v>
      </c>
      <c r="C2804" s="2" t="s">
        <v>720</v>
      </c>
      <c r="D2804" s="2" t="s">
        <v>193</v>
      </c>
      <c r="E2804" s="70" t="s">
        <v>25</v>
      </c>
      <c r="F2804" s="29">
        <v>130</v>
      </c>
      <c r="G2804" s="29">
        <v>96</v>
      </c>
      <c r="H2804" s="12">
        <v>34</v>
      </c>
      <c r="J2804" s="2"/>
      <c r="K2804" s="2"/>
      <c r="L2804" s="2"/>
      <c r="M2804" s="2"/>
      <c r="N2804" s="2"/>
      <c r="O2804" s="2"/>
      <c r="P2804" s="2"/>
    </row>
    <row r="2805" spans="1:16" x14ac:dyDescent="0.4">
      <c r="A2805">
        <v>2009</v>
      </c>
      <c r="B2805" s="2" t="s">
        <v>548</v>
      </c>
      <c r="C2805" s="2" t="s">
        <v>720</v>
      </c>
      <c r="D2805" s="2" t="s">
        <v>193</v>
      </c>
      <c r="E2805" s="70" t="s">
        <v>51</v>
      </c>
      <c r="F2805" s="29">
        <v>3677</v>
      </c>
      <c r="G2805" s="29">
        <v>2414</v>
      </c>
      <c r="H2805" s="12">
        <v>1263</v>
      </c>
      <c r="J2805" s="2"/>
      <c r="K2805" s="2"/>
      <c r="L2805" s="2"/>
      <c r="M2805" s="2"/>
      <c r="N2805" s="2"/>
      <c r="O2805" s="2"/>
      <c r="P2805" s="2"/>
    </row>
    <row r="2806" spans="1:16" x14ac:dyDescent="0.4">
      <c r="A2806">
        <v>2009</v>
      </c>
      <c r="B2806" s="2" t="s">
        <v>549</v>
      </c>
      <c r="C2806" s="2" t="s">
        <v>720</v>
      </c>
      <c r="D2806" s="2" t="s">
        <v>193</v>
      </c>
      <c r="E2806" s="70" t="s">
        <v>53</v>
      </c>
      <c r="F2806" s="29">
        <v>478</v>
      </c>
      <c r="G2806" s="29">
        <v>326</v>
      </c>
      <c r="H2806" s="12">
        <v>152</v>
      </c>
      <c r="J2806" s="2"/>
      <c r="K2806" s="2"/>
      <c r="L2806" s="2"/>
      <c r="M2806" s="2"/>
      <c r="N2806" s="2"/>
      <c r="O2806" s="2"/>
      <c r="P2806" s="2"/>
    </row>
    <row r="2807" spans="1:16" x14ac:dyDescent="0.4">
      <c r="A2807">
        <v>2009</v>
      </c>
      <c r="B2807" s="2" t="s">
        <v>550</v>
      </c>
      <c r="C2807" s="2" t="s">
        <v>720</v>
      </c>
      <c r="D2807" s="2" t="s">
        <v>193</v>
      </c>
      <c r="E2807" s="70" t="s">
        <v>54</v>
      </c>
      <c r="F2807" s="29">
        <v>605</v>
      </c>
      <c r="G2807" s="29">
        <v>403</v>
      </c>
      <c r="H2807" s="12">
        <v>202</v>
      </c>
      <c r="J2807" s="2"/>
      <c r="K2807" s="2"/>
      <c r="L2807" s="2"/>
      <c r="M2807" s="2"/>
      <c r="N2807" s="2"/>
      <c r="O2807" s="2"/>
      <c r="P2807" s="2"/>
    </row>
    <row r="2808" spans="1:16" x14ac:dyDescent="0.4">
      <c r="A2808">
        <v>2009</v>
      </c>
      <c r="B2808" s="2" t="s">
        <v>551</v>
      </c>
      <c r="C2808" s="2" t="s">
        <v>721</v>
      </c>
      <c r="D2808" s="2" t="s">
        <v>207</v>
      </c>
      <c r="E2808" s="70" t="s">
        <v>128</v>
      </c>
      <c r="F2808" s="29">
        <v>51</v>
      </c>
      <c r="G2808" s="29">
        <v>37</v>
      </c>
      <c r="H2808" s="12">
        <v>14</v>
      </c>
      <c r="J2808" s="2"/>
      <c r="K2808" s="2"/>
      <c r="L2808" s="2"/>
      <c r="M2808" s="2"/>
      <c r="N2808" s="2"/>
      <c r="O2808" s="2"/>
      <c r="P2808" s="2"/>
    </row>
    <row r="2809" spans="1:16" x14ac:dyDescent="0.4">
      <c r="A2809">
        <v>2009</v>
      </c>
      <c r="B2809" s="2" t="s">
        <v>552</v>
      </c>
      <c r="C2809" s="2" t="s">
        <v>721</v>
      </c>
      <c r="D2809" s="2" t="s">
        <v>207</v>
      </c>
      <c r="E2809" s="70" t="s">
        <v>208</v>
      </c>
      <c r="F2809" s="29">
        <v>34</v>
      </c>
      <c r="G2809" s="29">
        <v>16</v>
      </c>
      <c r="H2809" s="12">
        <v>18</v>
      </c>
      <c r="J2809" s="2"/>
      <c r="K2809" s="2"/>
      <c r="L2809" s="2"/>
      <c r="M2809" s="2"/>
      <c r="N2809" s="2"/>
      <c r="O2809" s="2"/>
      <c r="P2809" s="2"/>
    </row>
    <row r="2810" spans="1:16" x14ac:dyDescent="0.4">
      <c r="A2810">
        <v>2009</v>
      </c>
      <c r="B2810" s="2" t="s">
        <v>553</v>
      </c>
      <c r="C2810" s="2" t="s">
        <v>721</v>
      </c>
      <c r="D2810" s="2" t="s">
        <v>207</v>
      </c>
      <c r="E2810" s="70" t="s">
        <v>36</v>
      </c>
      <c r="F2810" s="29">
        <v>112</v>
      </c>
      <c r="G2810" s="29">
        <v>60</v>
      </c>
      <c r="H2810" s="12">
        <v>52</v>
      </c>
      <c r="J2810" s="2"/>
      <c r="K2810" s="2"/>
      <c r="L2810" s="2"/>
      <c r="M2810" s="2"/>
      <c r="N2810" s="2"/>
      <c r="O2810" s="2"/>
      <c r="P2810" s="2"/>
    </row>
    <row r="2811" spans="1:16" x14ac:dyDescent="0.4">
      <c r="A2811">
        <v>2009</v>
      </c>
      <c r="B2811" s="2" t="s">
        <v>554</v>
      </c>
      <c r="C2811" s="2" t="s">
        <v>721</v>
      </c>
      <c r="D2811" s="2" t="s">
        <v>207</v>
      </c>
      <c r="E2811" s="70" t="s">
        <v>209</v>
      </c>
      <c r="F2811" s="29">
        <v>90</v>
      </c>
      <c r="G2811" s="29">
        <v>54</v>
      </c>
      <c r="H2811" s="12">
        <v>36</v>
      </c>
      <c r="J2811" s="2"/>
      <c r="K2811" s="2"/>
      <c r="L2811" s="2"/>
      <c r="M2811" s="2"/>
      <c r="N2811" s="2"/>
      <c r="O2811" s="2"/>
      <c r="P2811" s="2"/>
    </row>
    <row r="2812" spans="1:16" x14ac:dyDescent="0.4">
      <c r="A2812">
        <v>2009</v>
      </c>
      <c r="B2812" s="2" t="s">
        <v>555</v>
      </c>
      <c r="C2812" s="2" t="s">
        <v>721</v>
      </c>
      <c r="D2812" s="2" t="s">
        <v>207</v>
      </c>
      <c r="E2812" s="70" t="s">
        <v>69</v>
      </c>
      <c r="F2812" s="29">
        <v>89</v>
      </c>
      <c r="G2812" s="29">
        <v>59</v>
      </c>
      <c r="H2812" s="12">
        <v>30</v>
      </c>
      <c r="J2812" s="2"/>
      <c r="K2812" s="2"/>
      <c r="L2812" s="2"/>
      <c r="M2812" s="2"/>
      <c r="N2812" s="2"/>
      <c r="O2812" s="2"/>
      <c r="P2812" s="2"/>
    </row>
    <row r="2813" spans="1:16" x14ac:dyDescent="0.4">
      <c r="A2813">
        <v>2009</v>
      </c>
      <c r="B2813" s="2" t="s">
        <v>556</v>
      </c>
      <c r="C2813" s="2" t="s">
        <v>721</v>
      </c>
      <c r="D2813" s="2" t="s">
        <v>207</v>
      </c>
      <c r="E2813" s="70" t="s">
        <v>62</v>
      </c>
      <c r="F2813" s="29">
        <v>123</v>
      </c>
      <c r="G2813" s="29">
        <v>76</v>
      </c>
      <c r="H2813" s="12">
        <v>47</v>
      </c>
      <c r="J2813" s="2"/>
      <c r="K2813" s="2"/>
      <c r="L2813" s="2"/>
      <c r="M2813" s="2"/>
      <c r="N2813" s="2"/>
      <c r="O2813" s="2"/>
      <c r="P2813" s="2"/>
    </row>
    <row r="2814" spans="1:16" x14ac:dyDescent="0.4">
      <c r="A2814">
        <v>2009</v>
      </c>
      <c r="B2814" s="2" t="s">
        <v>557</v>
      </c>
      <c r="C2814" s="2" t="s">
        <v>721</v>
      </c>
      <c r="D2814" s="2" t="s">
        <v>207</v>
      </c>
      <c r="E2814" s="70" t="s">
        <v>44</v>
      </c>
      <c r="F2814" s="29">
        <v>74</v>
      </c>
      <c r="G2814" s="29">
        <v>50</v>
      </c>
      <c r="H2814" s="12">
        <v>24</v>
      </c>
      <c r="J2814" s="2"/>
      <c r="K2814" s="2"/>
      <c r="L2814" s="2"/>
      <c r="M2814" s="2"/>
      <c r="N2814" s="2"/>
      <c r="O2814" s="2"/>
      <c r="P2814" s="2"/>
    </row>
    <row r="2815" spans="1:16" x14ac:dyDescent="0.4">
      <c r="A2815">
        <v>2009</v>
      </c>
      <c r="B2815" s="2" t="s">
        <v>558</v>
      </c>
      <c r="C2815" s="2" t="s">
        <v>721</v>
      </c>
      <c r="D2815" s="2" t="s">
        <v>207</v>
      </c>
      <c r="E2815" s="70" t="s">
        <v>210</v>
      </c>
      <c r="F2815" s="29">
        <v>2648</v>
      </c>
      <c r="G2815" s="29">
        <v>1621</v>
      </c>
      <c r="H2815" s="12">
        <v>1027</v>
      </c>
      <c r="J2815" s="2"/>
      <c r="K2815" s="2"/>
      <c r="L2815" s="2"/>
      <c r="M2815" s="2"/>
      <c r="N2815" s="2"/>
      <c r="O2815" s="2"/>
      <c r="P2815" s="2"/>
    </row>
    <row r="2816" spans="1:16" x14ac:dyDescent="0.4">
      <c r="A2816">
        <v>2009</v>
      </c>
      <c r="B2816" s="2" t="s">
        <v>559</v>
      </c>
      <c r="C2816" s="2" t="s">
        <v>721</v>
      </c>
      <c r="D2816" s="2" t="s">
        <v>207</v>
      </c>
      <c r="E2816" s="70" t="s">
        <v>74</v>
      </c>
      <c r="F2816" s="29">
        <v>82</v>
      </c>
      <c r="G2816" s="29">
        <v>54</v>
      </c>
      <c r="H2816" s="12">
        <v>28</v>
      </c>
      <c r="J2816" s="2"/>
      <c r="K2816" s="2"/>
      <c r="L2816" s="2"/>
      <c r="M2816" s="2"/>
      <c r="N2816" s="2"/>
      <c r="O2816" s="2"/>
      <c r="P2816" s="2"/>
    </row>
    <row r="2817" spans="1:16" x14ac:dyDescent="0.4">
      <c r="A2817">
        <v>2009</v>
      </c>
      <c r="B2817" s="2" t="s">
        <v>560</v>
      </c>
      <c r="C2817" s="2" t="s">
        <v>721</v>
      </c>
      <c r="D2817" s="2" t="s">
        <v>207</v>
      </c>
      <c r="E2817" s="70" t="s">
        <v>211</v>
      </c>
      <c r="F2817" s="29">
        <v>65</v>
      </c>
      <c r="G2817" s="29">
        <v>42</v>
      </c>
      <c r="H2817" s="12">
        <v>23</v>
      </c>
      <c r="J2817" s="2"/>
      <c r="K2817" s="2"/>
      <c r="L2817" s="2"/>
      <c r="M2817" s="2"/>
      <c r="N2817" s="2"/>
      <c r="O2817" s="2"/>
      <c r="P2817" s="2"/>
    </row>
    <row r="2818" spans="1:16" x14ac:dyDescent="0.4">
      <c r="A2818">
        <v>2009</v>
      </c>
      <c r="B2818" s="2" t="s">
        <v>561</v>
      </c>
      <c r="C2818" s="2" t="s">
        <v>721</v>
      </c>
      <c r="D2818" s="2" t="s">
        <v>207</v>
      </c>
      <c r="E2818" s="70" t="s">
        <v>212</v>
      </c>
      <c r="F2818" s="29">
        <v>15</v>
      </c>
      <c r="G2818" s="29">
        <v>12</v>
      </c>
      <c r="H2818" s="12">
        <v>3</v>
      </c>
      <c r="J2818" s="2"/>
      <c r="K2818" s="2"/>
      <c r="L2818" s="2"/>
      <c r="M2818" s="2"/>
      <c r="N2818" s="2"/>
      <c r="O2818" s="2"/>
      <c r="P2818" s="2"/>
    </row>
    <row r="2819" spans="1:16" x14ac:dyDescent="0.4">
      <c r="A2819">
        <v>2009</v>
      </c>
      <c r="B2819" s="2" t="s">
        <v>562</v>
      </c>
      <c r="C2819" s="2" t="s">
        <v>721</v>
      </c>
      <c r="D2819" s="2" t="s">
        <v>207</v>
      </c>
      <c r="E2819" s="70" t="s">
        <v>213</v>
      </c>
      <c r="F2819" s="29">
        <v>75</v>
      </c>
      <c r="G2819" s="29">
        <v>50</v>
      </c>
      <c r="H2819" s="12">
        <v>25</v>
      </c>
      <c r="J2819" s="2"/>
      <c r="K2819" s="2"/>
      <c r="L2819" s="2"/>
      <c r="M2819" s="2"/>
      <c r="N2819" s="2"/>
      <c r="O2819" s="2"/>
      <c r="P2819" s="2"/>
    </row>
    <row r="2820" spans="1:16" x14ac:dyDescent="0.4">
      <c r="A2820">
        <v>2009</v>
      </c>
      <c r="B2820" s="2" t="s">
        <v>563</v>
      </c>
      <c r="C2820" s="2" t="s">
        <v>721</v>
      </c>
      <c r="D2820" s="2" t="s">
        <v>207</v>
      </c>
      <c r="E2820" s="70" t="s">
        <v>214</v>
      </c>
      <c r="F2820" s="29">
        <v>14</v>
      </c>
      <c r="G2820" s="29">
        <v>9</v>
      </c>
      <c r="H2820" s="12">
        <v>5</v>
      </c>
      <c r="J2820" s="2"/>
      <c r="K2820" s="2"/>
      <c r="L2820" s="2"/>
      <c r="M2820" s="2"/>
      <c r="N2820" s="2"/>
      <c r="O2820" s="2"/>
      <c r="P2820" s="2"/>
    </row>
    <row r="2821" spans="1:16" x14ac:dyDescent="0.4">
      <c r="A2821">
        <v>2009</v>
      </c>
      <c r="B2821" s="2" t="s">
        <v>564</v>
      </c>
      <c r="C2821" s="2" t="s">
        <v>722</v>
      </c>
      <c r="D2821" s="2" t="s">
        <v>216</v>
      </c>
      <c r="E2821" s="70" t="s">
        <v>215</v>
      </c>
      <c r="F2821" s="29">
        <v>67</v>
      </c>
      <c r="G2821" s="29">
        <v>42</v>
      </c>
      <c r="H2821" s="12">
        <v>25</v>
      </c>
      <c r="J2821" s="2"/>
      <c r="K2821" s="2"/>
      <c r="L2821" s="2"/>
      <c r="M2821" s="2"/>
      <c r="N2821" s="2"/>
      <c r="O2821" s="2"/>
      <c r="P2821" s="2"/>
    </row>
    <row r="2822" spans="1:16" x14ac:dyDescent="0.4">
      <c r="A2822">
        <v>2009</v>
      </c>
      <c r="B2822" s="2" t="s">
        <v>565</v>
      </c>
      <c r="C2822" s="2" t="s">
        <v>722</v>
      </c>
      <c r="D2822" s="2" t="s">
        <v>216</v>
      </c>
      <c r="E2822" s="70" t="s">
        <v>59</v>
      </c>
      <c r="F2822" s="29">
        <v>112</v>
      </c>
      <c r="G2822" s="29">
        <v>59</v>
      </c>
      <c r="H2822" s="12">
        <v>53</v>
      </c>
      <c r="J2822" s="2"/>
      <c r="K2822" s="2"/>
      <c r="L2822" s="2"/>
      <c r="M2822" s="2"/>
      <c r="N2822" s="2"/>
      <c r="O2822" s="2"/>
      <c r="P2822" s="2"/>
    </row>
    <row r="2823" spans="1:16" x14ac:dyDescent="0.4">
      <c r="A2823">
        <v>2009</v>
      </c>
      <c r="B2823" s="2" t="s">
        <v>566</v>
      </c>
      <c r="C2823" s="2" t="s">
        <v>722</v>
      </c>
      <c r="D2823" s="2" t="s">
        <v>216</v>
      </c>
      <c r="E2823" s="70" t="s">
        <v>217</v>
      </c>
      <c r="F2823" s="29">
        <v>159</v>
      </c>
      <c r="G2823" s="29">
        <v>100</v>
      </c>
      <c r="H2823" s="12">
        <v>59</v>
      </c>
      <c r="J2823" s="2"/>
      <c r="K2823" s="2"/>
      <c r="L2823" s="2"/>
      <c r="M2823" s="2"/>
      <c r="N2823" s="2"/>
      <c r="O2823" s="2"/>
      <c r="P2823" s="2"/>
    </row>
    <row r="2824" spans="1:16" x14ac:dyDescent="0.4">
      <c r="A2824">
        <v>2009</v>
      </c>
      <c r="B2824" s="2" t="s">
        <v>567</v>
      </c>
      <c r="C2824" s="2" t="s">
        <v>722</v>
      </c>
      <c r="D2824" s="2" t="s">
        <v>216</v>
      </c>
      <c r="E2824" s="70" t="s">
        <v>218</v>
      </c>
      <c r="F2824" s="29">
        <v>217</v>
      </c>
      <c r="G2824" s="29">
        <v>145</v>
      </c>
      <c r="H2824" s="12">
        <v>72</v>
      </c>
      <c r="J2824" s="2"/>
      <c r="K2824" s="2"/>
      <c r="L2824" s="2"/>
      <c r="M2824" s="2"/>
      <c r="N2824" s="2"/>
      <c r="O2824" s="2"/>
      <c r="P2824" s="2"/>
    </row>
    <row r="2825" spans="1:16" x14ac:dyDescent="0.4">
      <c r="A2825">
        <v>2009</v>
      </c>
      <c r="B2825" s="2" t="s">
        <v>568</v>
      </c>
      <c r="C2825" s="2" t="s">
        <v>722</v>
      </c>
      <c r="D2825" s="2" t="s">
        <v>216</v>
      </c>
      <c r="E2825" s="70" t="s">
        <v>219</v>
      </c>
      <c r="F2825" s="29">
        <v>96</v>
      </c>
      <c r="G2825" s="29">
        <v>63</v>
      </c>
      <c r="H2825" s="12">
        <v>33</v>
      </c>
      <c r="J2825" s="2"/>
      <c r="K2825" s="2"/>
      <c r="L2825" s="2"/>
      <c r="M2825" s="2"/>
      <c r="N2825" s="2"/>
      <c r="O2825" s="2"/>
      <c r="P2825" s="2"/>
    </row>
    <row r="2826" spans="1:16" x14ac:dyDescent="0.4">
      <c r="A2826">
        <v>2009</v>
      </c>
      <c r="B2826" s="2" t="s">
        <v>569</v>
      </c>
      <c r="C2826" s="2" t="s">
        <v>722</v>
      </c>
      <c r="D2826" s="2" t="s">
        <v>216</v>
      </c>
      <c r="E2826" s="70" t="s">
        <v>220</v>
      </c>
      <c r="F2826" s="29">
        <v>128</v>
      </c>
      <c r="G2826" s="29">
        <v>70</v>
      </c>
      <c r="H2826" s="12">
        <v>58</v>
      </c>
      <c r="J2826" s="2"/>
      <c r="K2826" s="2"/>
      <c r="L2826" s="2"/>
      <c r="M2826" s="2"/>
      <c r="N2826" s="2"/>
      <c r="O2826" s="2"/>
      <c r="P2826" s="2"/>
    </row>
    <row r="2827" spans="1:16" x14ac:dyDescent="0.4">
      <c r="A2827">
        <v>2009</v>
      </c>
      <c r="B2827" s="2" t="s">
        <v>570</v>
      </c>
      <c r="C2827" s="2" t="s">
        <v>722</v>
      </c>
      <c r="D2827" s="2" t="s">
        <v>216</v>
      </c>
      <c r="E2827" s="70" t="s">
        <v>221</v>
      </c>
      <c r="F2827" s="29">
        <v>161</v>
      </c>
      <c r="G2827" s="29">
        <v>101</v>
      </c>
      <c r="H2827" s="12">
        <v>60</v>
      </c>
      <c r="J2827" s="2"/>
      <c r="K2827" s="2"/>
      <c r="L2827" s="2"/>
      <c r="M2827" s="2"/>
      <c r="N2827" s="2"/>
      <c r="O2827" s="2"/>
      <c r="P2827" s="2"/>
    </row>
    <row r="2828" spans="1:16" x14ac:dyDescent="0.4">
      <c r="A2828">
        <v>2009</v>
      </c>
      <c r="B2828" s="2" t="s">
        <v>571</v>
      </c>
      <c r="C2828" s="2" t="s">
        <v>722</v>
      </c>
      <c r="D2828" s="2" t="s">
        <v>216</v>
      </c>
      <c r="E2828" s="70" t="s">
        <v>222</v>
      </c>
      <c r="F2828" s="29">
        <v>1255</v>
      </c>
      <c r="G2828" s="29">
        <v>798</v>
      </c>
      <c r="H2828" s="12">
        <v>457</v>
      </c>
      <c r="J2828" s="2"/>
      <c r="K2828" s="2"/>
      <c r="L2828" s="2"/>
      <c r="M2828" s="2"/>
      <c r="N2828" s="2"/>
      <c r="O2828" s="2"/>
      <c r="P2828" s="2"/>
    </row>
    <row r="2829" spans="1:16" x14ac:dyDescent="0.4">
      <c r="A2829">
        <v>2009</v>
      </c>
      <c r="B2829" s="2" t="s">
        <v>572</v>
      </c>
      <c r="C2829" s="2" t="s">
        <v>722</v>
      </c>
      <c r="D2829" s="2" t="s">
        <v>216</v>
      </c>
      <c r="E2829" s="70" t="s">
        <v>223</v>
      </c>
      <c r="F2829" s="29">
        <v>82</v>
      </c>
      <c r="G2829" s="29">
        <v>48</v>
      </c>
      <c r="H2829" s="12">
        <v>34</v>
      </c>
      <c r="J2829" s="2"/>
      <c r="K2829" s="2"/>
      <c r="L2829" s="2"/>
      <c r="M2829" s="2"/>
      <c r="N2829" s="2"/>
      <c r="O2829" s="2"/>
      <c r="P2829" s="2"/>
    </row>
    <row r="2830" spans="1:16" x14ac:dyDescent="0.4">
      <c r="A2830">
        <v>2009</v>
      </c>
      <c r="B2830" s="2" t="s">
        <v>573</v>
      </c>
      <c r="C2830" s="2" t="s">
        <v>722</v>
      </c>
      <c r="D2830" s="2" t="s">
        <v>216</v>
      </c>
      <c r="E2830" s="70" t="s">
        <v>224</v>
      </c>
      <c r="F2830" s="29">
        <v>96</v>
      </c>
      <c r="G2830" s="29">
        <v>62</v>
      </c>
      <c r="H2830" s="12">
        <v>34</v>
      </c>
      <c r="J2830" s="2"/>
      <c r="K2830" s="2"/>
      <c r="L2830" s="2"/>
      <c r="M2830" s="2"/>
      <c r="N2830" s="2"/>
      <c r="O2830" s="2"/>
      <c r="P2830" s="2"/>
    </row>
    <row r="2831" spans="1:16" x14ac:dyDescent="0.4">
      <c r="A2831">
        <v>2009</v>
      </c>
      <c r="B2831" s="2" t="s">
        <v>574</v>
      </c>
      <c r="C2831" s="2" t="s">
        <v>722</v>
      </c>
      <c r="D2831" s="2" t="s">
        <v>216</v>
      </c>
      <c r="E2831" s="70" t="s">
        <v>225</v>
      </c>
      <c r="F2831" s="29">
        <v>29</v>
      </c>
      <c r="G2831" s="29">
        <v>17</v>
      </c>
      <c r="H2831" s="12">
        <v>12</v>
      </c>
      <c r="J2831" s="2"/>
      <c r="K2831" s="2"/>
      <c r="L2831" s="2"/>
      <c r="M2831" s="2"/>
      <c r="N2831" s="2"/>
      <c r="O2831" s="2"/>
      <c r="P2831" s="2"/>
    </row>
    <row r="2832" spans="1:16" x14ac:dyDescent="0.4">
      <c r="A2832">
        <v>2009</v>
      </c>
      <c r="B2832" s="2" t="s">
        <v>575</v>
      </c>
      <c r="C2832" s="2" t="s">
        <v>723</v>
      </c>
      <c r="D2832" s="2" t="s">
        <v>227</v>
      </c>
      <c r="E2832" s="70" t="s">
        <v>226</v>
      </c>
      <c r="F2832" s="29">
        <v>42</v>
      </c>
      <c r="G2832" s="29">
        <v>27</v>
      </c>
      <c r="H2832" s="12">
        <v>15</v>
      </c>
      <c r="J2832" s="2"/>
      <c r="K2832" s="2"/>
      <c r="L2832" s="2"/>
      <c r="M2832" s="2"/>
      <c r="N2832" s="2"/>
      <c r="O2832" s="2"/>
      <c r="P2832" s="2"/>
    </row>
    <row r="2833" spans="1:16" x14ac:dyDescent="0.4">
      <c r="A2833">
        <v>2009</v>
      </c>
      <c r="B2833" s="2" t="s">
        <v>576</v>
      </c>
      <c r="C2833" s="2" t="s">
        <v>723</v>
      </c>
      <c r="D2833" s="2" t="s">
        <v>227</v>
      </c>
      <c r="E2833" s="70" t="s">
        <v>228</v>
      </c>
      <c r="F2833" s="29">
        <v>1165</v>
      </c>
      <c r="G2833" s="29">
        <v>691</v>
      </c>
      <c r="H2833" s="12">
        <v>474</v>
      </c>
      <c r="J2833" s="2"/>
      <c r="K2833" s="2"/>
      <c r="L2833" s="2"/>
      <c r="M2833" s="2"/>
      <c r="N2833" s="2"/>
      <c r="O2833" s="2"/>
      <c r="P2833" s="2"/>
    </row>
    <row r="2834" spans="1:16" x14ac:dyDescent="0.4">
      <c r="A2834">
        <v>2009</v>
      </c>
      <c r="B2834" s="2" t="s">
        <v>577</v>
      </c>
      <c r="C2834" s="2" t="s">
        <v>723</v>
      </c>
      <c r="D2834" s="2" t="s">
        <v>227</v>
      </c>
      <c r="E2834" s="70" t="s">
        <v>229</v>
      </c>
      <c r="F2834" s="29">
        <v>119</v>
      </c>
      <c r="G2834" s="29">
        <v>78</v>
      </c>
      <c r="H2834" s="12">
        <v>41</v>
      </c>
      <c r="J2834" s="2"/>
      <c r="K2834" s="2"/>
      <c r="L2834" s="2"/>
      <c r="M2834" s="2"/>
      <c r="N2834" s="2"/>
      <c r="O2834" s="2"/>
      <c r="P2834" s="2"/>
    </row>
    <row r="2835" spans="1:16" x14ac:dyDescent="0.4">
      <c r="A2835">
        <v>2009</v>
      </c>
      <c r="B2835" s="2" t="s">
        <v>578</v>
      </c>
      <c r="C2835" s="2" t="s">
        <v>723</v>
      </c>
      <c r="D2835" s="2" t="s">
        <v>227</v>
      </c>
      <c r="E2835" s="70" t="s">
        <v>230</v>
      </c>
      <c r="F2835" s="29">
        <v>1026</v>
      </c>
      <c r="G2835" s="29">
        <v>609</v>
      </c>
      <c r="H2835" s="12">
        <v>417</v>
      </c>
      <c r="J2835" s="2"/>
      <c r="K2835" s="2"/>
      <c r="L2835" s="2"/>
      <c r="M2835" s="2"/>
      <c r="N2835" s="2"/>
      <c r="O2835" s="2"/>
      <c r="P2835" s="2"/>
    </row>
    <row r="2836" spans="1:16" x14ac:dyDescent="0.4">
      <c r="A2836">
        <v>2009</v>
      </c>
      <c r="B2836" s="2" t="s">
        <v>579</v>
      </c>
      <c r="C2836" s="2" t="s">
        <v>723</v>
      </c>
      <c r="D2836" s="2" t="s">
        <v>227</v>
      </c>
      <c r="E2836" s="70" t="s">
        <v>231</v>
      </c>
      <c r="F2836" s="29">
        <v>83</v>
      </c>
      <c r="G2836" s="29">
        <v>55</v>
      </c>
      <c r="H2836" s="12">
        <v>28</v>
      </c>
      <c r="J2836" s="2"/>
      <c r="K2836" s="2"/>
      <c r="L2836" s="2"/>
      <c r="M2836" s="2"/>
      <c r="N2836" s="2"/>
      <c r="O2836" s="2"/>
      <c r="P2836" s="2"/>
    </row>
    <row r="2837" spans="1:16" x14ac:dyDescent="0.4">
      <c r="A2837">
        <v>2009</v>
      </c>
      <c r="B2837" s="2" t="s">
        <v>580</v>
      </c>
      <c r="C2837" s="2" t="s">
        <v>723</v>
      </c>
      <c r="D2837" s="2" t="s">
        <v>227</v>
      </c>
      <c r="E2837" s="70" t="s">
        <v>232</v>
      </c>
      <c r="F2837" s="29">
        <v>82</v>
      </c>
      <c r="G2837" s="29">
        <v>48</v>
      </c>
      <c r="H2837" s="12">
        <v>34</v>
      </c>
      <c r="J2837" s="2"/>
      <c r="K2837" s="2"/>
      <c r="L2837" s="2"/>
      <c r="M2837" s="2"/>
      <c r="N2837" s="2"/>
      <c r="O2837" s="2"/>
      <c r="P2837" s="2"/>
    </row>
    <row r="2838" spans="1:16" x14ac:dyDescent="0.4">
      <c r="A2838">
        <v>2009</v>
      </c>
      <c r="B2838" s="2" t="s">
        <v>581</v>
      </c>
      <c r="C2838" s="2" t="s">
        <v>723</v>
      </c>
      <c r="D2838" s="2" t="s">
        <v>227</v>
      </c>
      <c r="E2838" s="70" t="s">
        <v>233</v>
      </c>
      <c r="F2838" s="29">
        <v>98</v>
      </c>
      <c r="G2838" s="29">
        <v>66</v>
      </c>
      <c r="H2838" s="12">
        <v>32</v>
      </c>
      <c r="J2838" s="2"/>
      <c r="K2838" s="2"/>
      <c r="L2838" s="2"/>
      <c r="M2838" s="2"/>
      <c r="N2838" s="2"/>
      <c r="O2838" s="2"/>
      <c r="P2838" s="2"/>
    </row>
    <row r="2839" spans="1:16" x14ac:dyDescent="0.4">
      <c r="A2839">
        <v>2009</v>
      </c>
      <c r="B2839" s="2" t="s">
        <v>582</v>
      </c>
      <c r="C2839" s="2" t="s">
        <v>723</v>
      </c>
      <c r="D2839" s="2" t="s">
        <v>227</v>
      </c>
      <c r="E2839" s="70" t="s">
        <v>32</v>
      </c>
      <c r="F2839" s="29">
        <v>468</v>
      </c>
      <c r="G2839" s="29">
        <v>285</v>
      </c>
      <c r="H2839" s="12">
        <v>183</v>
      </c>
      <c r="J2839" s="2"/>
      <c r="K2839" s="2"/>
      <c r="L2839" s="2"/>
      <c r="M2839" s="2"/>
      <c r="N2839" s="2"/>
      <c r="O2839" s="2"/>
      <c r="P2839" s="2"/>
    </row>
    <row r="2840" spans="1:16" x14ac:dyDescent="0.4">
      <c r="A2840">
        <v>2009</v>
      </c>
      <c r="B2840" s="2" t="s">
        <v>583</v>
      </c>
      <c r="C2840" s="2" t="s">
        <v>723</v>
      </c>
      <c r="D2840" s="2" t="s">
        <v>227</v>
      </c>
      <c r="E2840" s="70" t="s">
        <v>234</v>
      </c>
      <c r="F2840" s="29">
        <v>18</v>
      </c>
      <c r="G2840" s="29">
        <v>13</v>
      </c>
      <c r="H2840" s="12">
        <v>5</v>
      </c>
      <c r="J2840" s="2"/>
      <c r="K2840" s="2"/>
      <c r="L2840" s="2"/>
      <c r="M2840" s="2"/>
      <c r="N2840" s="2"/>
      <c r="O2840" s="2"/>
      <c r="P2840" s="2"/>
    </row>
    <row r="2841" spans="1:16" x14ac:dyDescent="0.4">
      <c r="A2841">
        <v>2009</v>
      </c>
      <c r="B2841" s="2" t="s">
        <v>584</v>
      </c>
      <c r="C2841" s="2" t="s">
        <v>723</v>
      </c>
      <c r="D2841" s="2" t="s">
        <v>227</v>
      </c>
      <c r="E2841" s="70" t="s">
        <v>235</v>
      </c>
      <c r="F2841" s="29">
        <v>43</v>
      </c>
      <c r="G2841" s="29">
        <v>28</v>
      </c>
      <c r="H2841" s="12">
        <v>15</v>
      </c>
      <c r="J2841" s="2"/>
      <c r="K2841" s="2"/>
      <c r="L2841" s="2"/>
      <c r="M2841" s="2"/>
      <c r="N2841" s="2"/>
      <c r="O2841" s="2"/>
      <c r="P2841" s="2"/>
    </row>
    <row r="2842" spans="1:16" x14ac:dyDescent="0.4">
      <c r="A2842">
        <v>2009</v>
      </c>
      <c r="B2842" s="2" t="s">
        <v>585</v>
      </c>
      <c r="C2842" s="2" t="s">
        <v>723</v>
      </c>
      <c r="D2842" s="2" t="s">
        <v>227</v>
      </c>
      <c r="E2842" s="70" t="s">
        <v>236</v>
      </c>
      <c r="F2842" s="29">
        <v>50</v>
      </c>
      <c r="G2842" s="29">
        <v>29</v>
      </c>
      <c r="H2842" s="12">
        <v>21</v>
      </c>
      <c r="J2842" s="2"/>
      <c r="K2842" s="2"/>
      <c r="L2842" s="2"/>
      <c r="M2842" s="2"/>
      <c r="N2842" s="2"/>
      <c r="O2842" s="2"/>
      <c r="P2842" s="2"/>
    </row>
    <row r="2843" spans="1:16" x14ac:dyDescent="0.4">
      <c r="A2843">
        <v>2009</v>
      </c>
      <c r="B2843" s="2" t="s">
        <v>586</v>
      </c>
      <c r="C2843" s="2" t="s">
        <v>723</v>
      </c>
      <c r="D2843" s="2" t="s">
        <v>227</v>
      </c>
      <c r="E2843" s="70" t="s">
        <v>237</v>
      </c>
      <c r="F2843" s="29">
        <v>32</v>
      </c>
      <c r="G2843" s="29">
        <v>19</v>
      </c>
      <c r="H2843" s="12">
        <v>13</v>
      </c>
      <c r="J2843" s="2"/>
      <c r="K2843" s="2"/>
      <c r="L2843" s="2"/>
      <c r="M2843" s="2"/>
      <c r="N2843" s="2"/>
      <c r="O2843" s="2"/>
      <c r="P2843" s="2"/>
    </row>
    <row r="2844" spans="1:16" x14ac:dyDescent="0.4">
      <c r="A2844">
        <v>2009</v>
      </c>
      <c r="B2844" s="2" t="s">
        <v>587</v>
      </c>
      <c r="C2844" s="2" t="s">
        <v>723</v>
      </c>
      <c r="D2844" s="2" t="s">
        <v>227</v>
      </c>
      <c r="E2844" s="70" t="s">
        <v>51</v>
      </c>
      <c r="F2844" s="29">
        <v>129</v>
      </c>
      <c r="G2844" s="29">
        <v>76</v>
      </c>
      <c r="H2844" s="12">
        <v>53</v>
      </c>
      <c r="J2844" s="2"/>
      <c r="K2844" s="2"/>
      <c r="L2844" s="2"/>
      <c r="M2844" s="2"/>
      <c r="N2844" s="2"/>
      <c r="O2844" s="2"/>
      <c r="P2844" s="2"/>
    </row>
    <row r="2845" spans="1:16" x14ac:dyDescent="0.4">
      <c r="A2845">
        <v>2009</v>
      </c>
      <c r="B2845" s="2" t="s">
        <v>588</v>
      </c>
      <c r="C2845" s="2" t="s">
        <v>723</v>
      </c>
      <c r="D2845" s="2" t="s">
        <v>227</v>
      </c>
      <c r="E2845" s="70" t="s">
        <v>238</v>
      </c>
      <c r="F2845" s="29">
        <v>185</v>
      </c>
      <c r="G2845" s="29">
        <v>124</v>
      </c>
      <c r="H2845" s="12">
        <v>61</v>
      </c>
      <c r="J2845" s="2"/>
      <c r="K2845" s="2"/>
      <c r="L2845" s="2"/>
      <c r="M2845" s="2"/>
      <c r="N2845" s="2"/>
      <c r="O2845" s="2"/>
      <c r="P2845" s="2"/>
    </row>
    <row r="2846" spans="1:16" x14ac:dyDescent="0.4">
      <c r="A2846">
        <v>2009</v>
      </c>
      <c r="B2846" s="2" t="s">
        <v>589</v>
      </c>
      <c r="C2846" s="2" t="s">
        <v>724</v>
      </c>
      <c r="D2846" s="2" t="s">
        <v>239</v>
      </c>
      <c r="E2846" s="70" t="s">
        <v>163</v>
      </c>
      <c r="F2846" s="29">
        <v>74</v>
      </c>
      <c r="G2846" s="29">
        <v>40</v>
      </c>
      <c r="H2846" s="12">
        <v>34</v>
      </c>
      <c r="J2846" s="2"/>
      <c r="K2846" s="2"/>
      <c r="L2846" s="2"/>
      <c r="M2846" s="2"/>
      <c r="N2846" s="2"/>
      <c r="O2846" s="2"/>
      <c r="P2846" s="2"/>
    </row>
    <row r="2847" spans="1:16" x14ac:dyDescent="0.4">
      <c r="A2847">
        <v>2009</v>
      </c>
      <c r="B2847" s="2" t="s">
        <v>590</v>
      </c>
      <c r="C2847" s="2" t="s">
        <v>724</v>
      </c>
      <c r="D2847" s="2" t="s">
        <v>239</v>
      </c>
      <c r="E2847" s="70" t="s">
        <v>240</v>
      </c>
      <c r="F2847" s="29">
        <v>47</v>
      </c>
      <c r="G2847" s="29">
        <v>34</v>
      </c>
      <c r="H2847" s="12">
        <v>13</v>
      </c>
      <c r="J2847" s="2"/>
      <c r="K2847" s="2"/>
      <c r="L2847" s="2"/>
      <c r="M2847" s="2"/>
      <c r="N2847" s="2"/>
      <c r="O2847" s="2"/>
      <c r="P2847" s="2"/>
    </row>
    <row r="2848" spans="1:16" x14ac:dyDescent="0.4">
      <c r="A2848">
        <v>2009</v>
      </c>
      <c r="B2848" s="2" t="s">
        <v>591</v>
      </c>
      <c r="C2848" s="2" t="s">
        <v>724</v>
      </c>
      <c r="D2848" s="2" t="s">
        <v>239</v>
      </c>
      <c r="E2848" s="70" t="s">
        <v>59</v>
      </c>
      <c r="F2848" s="29">
        <v>110</v>
      </c>
      <c r="G2848" s="29">
        <v>66</v>
      </c>
      <c r="H2848" s="12">
        <v>44</v>
      </c>
      <c r="J2848" s="2"/>
      <c r="K2848" s="2"/>
      <c r="L2848" s="2"/>
      <c r="M2848" s="2"/>
      <c r="N2848" s="2"/>
      <c r="O2848" s="2"/>
      <c r="P2848" s="2"/>
    </row>
    <row r="2849" spans="1:16" x14ac:dyDescent="0.4">
      <c r="A2849">
        <v>2009</v>
      </c>
      <c r="B2849" s="2" t="s">
        <v>592</v>
      </c>
      <c r="C2849" s="2" t="s">
        <v>724</v>
      </c>
      <c r="D2849" s="2" t="s">
        <v>239</v>
      </c>
      <c r="E2849" s="70" t="s">
        <v>241</v>
      </c>
      <c r="F2849" s="29">
        <v>76</v>
      </c>
      <c r="G2849" s="29">
        <v>42</v>
      </c>
      <c r="H2849" s="12">
        <v>34</v>
      </c>
      <c r="J2849" s="2"/>
      <c r="K2849" s="2"/>
      <c r="L2849" s="2"/>
      <c r="M2849" s="2"/>
      <c r="N2849" s="2"/>
      <c r="O2849" s="2"/>
      <c r="P2849" s="2"/>
    </row>
    <row r="2850" spans="1:16" x14ac:dyDescent="0.4">
      <c r="A2850">
        <v>2009</v>
      </c>
      <c r="B2850" s="2" t="s">
        <v>593</v>
      </c>
      <c r="C2850" s="2" t="s">
        <v>724</v>
      </c>
      <c r="D2850" s="2" t="s">
        <v>239</v>
      </c>
      <c r="E2850" s="70" t="s">
        <v>242</v>
      </c>
      <c r="F2850" s="29">
        <v>1098</v>
      </c>
      <c r="G2850" s="29">
        <v>708</v>
      </c>
      <c r="H2850" s="12">
        <v>390</v>
      </c>
      <c r="J2850" s="2"/>
      <c r="K2850" s="2"/>
      <c r="L2850" s="2"/>
      <c r="M2850" s="2"/>
      <c r="N2850" s="2"/>
      <c r="O2850" s="2"/>
      <c r="P2850" s="2"/>
    </row>
    <row r="2851" spans="1:16" x14ac:dyDescent="0.4">
      <c r="A2851">
        <v>2009</v>
      </c>
      <c r="B2851" s="2" t="s">
        <v>594</v>
      </c>
      <c r="C2851" s="2" t="s">
        <v>724</v>
      </c>
      <c r="D2851" s="2" t="s">
        <v>239</v>
      </c>
      <c r="E2851" s="70" t="s">
        <v>36</v>
      </c>
      <c r="F2851" s="29">
        <v>50</v>
      </c>
      <c r="G2851" s="29">
        <v>30</v>
      </c>
      <c r="H2851" s="12">
        <v>20</v>
      </c>
      <c r="J2851" s="2"/>
      <c r="K2851" s="2"/>
      <c r="L2851" s="2"/>
      <c r="M2851" s="2"/>
      <c r="N2851" s="2"/>
      <c r="O2851" s="2"/>
      <c r="P2851" s="2"/>
    </row>
    <row r="2852" spans="1:16" x14ac:dyDescent="0.4">
      <c r="A2852">
        <v>2009</v>
      </c>
      <c r="B2852" s="2" t="s">
        <v>595</v>
      </c>
      <c r="C2852" s="2" t="s">
        <v>724</v>
      </c>
      <c r="D2852" s="2" t="s">
        <v>239</v>
      </c>
      <c r="E2852" s="70" t="s">
        <v>243</v>
      </c>
      <c r="F2852" s="29">
        <v>82</v>
      </c>
      <c r="G2852" s="29">
        <v>54</v>
      </c>
      <c r="H2852" s="12">
        <v>28</v>
      </c>
      <c r="J2852" s="2"/>
      <c r="K2852" s="2"/>
      <c r="L2852" s="2"/>
      <c r="M2852" s="2"/>
      <c r="N2852" s="2"/>
      <c r="O2852" s="2"/>
      <c r="P2852" s="2"/>
    </row>
    <row r="2853" spans="1:16" x14ac:dyDescent="0.4">
      <c r="A2853">
        <v>2009</v>
      </c>
      <c r="B2853" s="2" t="s">
        <v>596</v>
      </c>
      <c r="C2853" s="2" t="s">
        <v>724</v>
      </c>
      <c r="D2853" s="2" t="s">
        <v>239</v>
      </c>
      <c r="E2853" s="70" t="s">
        <v>244</v>
      </c>
      <c r="F2853" s="29">
        <v>78</v>
      </c>
      <c r="G2853" s="29">
        <v>46</v>
      </c>
      <c r="H2853" s="12">
        <v>32</v>
      </c>
      <c r="J2853" s="2"/>
      <c r="K2853" s="2"/>
      <c r="L2853" s="2"/>
      <c r="M2853" s="2"/>
      <c r="N2853" s="2"/>
      <c r="O2853" s="2"/>
      <c r="P2853" s="2"/>
    </row>
    <row r="2854" spans="1:16" x14ac:dyDescent="0.4">
      <c r="A2854">
        <v>2009</v>
      </c>
      <c r="B2854" s="2" t="s">
        <v>597</v>
      </c>
      <c r="C2854" s="2" t="s">
        <v>724</v>
      </c>
      <c r="D2854" s="2" t="s">
        <v>239</v>
      </c>
      <c r="E2854" s="70" t="s">
        <v>44</v>
      </c>
      <c r="F2854" s="29">
        <v>24</v>
      </c>
      <c r="G2854" s="29">
        <v>18</v>
      </c>
      <c r="H2854" s="12">
        <v>6</v>
      </c>
      <c r="J2854" s="2"/>
      <c r="K2854" s="2"/>
      <c r="L2854" s="2"/>
      <c r="M2854" s="2"/>
      <c r="N2854" s="2"/>
      <c r="O2854" s="2"/>
      <c r="P2854" s="2"/>
    </row>
    <row r="2855" spans="1:16" x14ac:dyDescent="0.4">
      <c r="A2855">
        <v>2009</v>
      </c>
      <c r="B2855" s="2" t="s">
        <v>598</v>
      </c>
      <c r="C2855" s="2" t="s">
        <v>724</v>
      </c>
      <c r="D2855" s="2" t="s">
        <v>239</v>
      </c>
      <c r="E2855" s="70" t="s">
        <v>222</v>
      </c>
      <c r="F2855" s="29">
        <v>94</v>
      </c>
      <c r="G2855" s="29">
        <v>48</v>
      </c>
      <c r="H2855" s="12">
        <v>46</v>
      </c>
      <c r="J2855" s="2"/>
      <c r="K2855" s="2"/>
      <c r="L2855" s="2"/>
      <c r="M2855" s="2"/>
      <c r="N2855" s="2"/>
      <c r="O2855" s="2"/>
      <c r="P2855" s="2"/>
    </row>
    <row r="2856" spans="1:16" x14ac:dyDescent="0.4">
      <c r="A2856">
        <v>2009</v>
      </c>
      <c r="B2856" s="2" t="s">
        <v>599</v>
      </c>
      <c r="C2856" s="2" t="s">
        <v>724</v>
      </c>
      <c r="D2856" s="2" t="s">
        <v>239</v>
      </c>
      <c r="E2856" s="70" t="s">
        <v>245</v>
      </c>
      <c r="F2856" s="29">
        <v>35</v>
      </c>
      <c r="G2856" s="29">
        <v>23</v>
      </c>
      <c r="H2856" s="12">
        <v>12</v>
      </c>
      <c r="J2856" s="2"/>
      <c r="K2856" s="2"/>
      <c r="L2856" s="2"/>
      <c r="M2856" s="2"/>
      <c r="N2856" s="2"/>
      <c r="O2856" s="2"/>
      <c r="P2856" s="2"/>
    </row>
    <row r="2857" spans="1:16" x14ac:dyDescent="0.4">
      <c r="A2857">
        <v>2009</v>
      </c>
      <c r="B2857" s="2" t="s">
        <v>600</v>
      </c>
      <c r="C2857" s="2" t="s">
        <v>724</v>
      </c>
      <c r="D2857" s="2" t="s">
        <v>239</v>
      </c>
      <c r="E2857" s="70" t="s">
        <v>246</v>
      </c>
      <c r="F2857" s="29">
        <v>172</v>
      </c>
      <c r="G2857" s="29">
        <v>107</v>
      </c>
      <c r="H2857" s="12">
        <v>65</v>
      </c>
      <c r="J2857" s="2"/>
      <c r="K2857" s="2"/>
      <c r="L2857" s="2"/>
      <c r="M2857" s="2"/>
      <c r="N2857" s="2"/>
      <c r="O2857" s="2"/>
      <c r="P2857" s="2"/>
    </row>
    <row r="2858" spans="1:16" x14ac:dyDescent="0.4">
      <c r="A2858">
        <v>2009</v>
      </c>
      <c r="B2858" s="2" t="s">
        <v>601</v>
      </c>
      <c r="C2858" s="2" t="s">
        <v>724</v>
      </c>
      <c r="D2858" s="2" t="s">
        <v>239</v>
      </c>
      <c r="E2858" s="70" t="s">
        <v>247</v>
      </c>
      <c r="F2858" s="29">
        <v>164</v>
      </c>
      <c r="G2858" s="29">
        <v>105</v>
      </c>
      <c r="H2858" s="12">
        <v>59</v>
      </c>
      <c r="J2858" s="2"/>
      <c r="K2858" s="2"/>
      <c r="L2858" s="2"/>
      <c r="M2858" s="2"/>
      <c r="N2858" s="2"/>
      <c r="O2858" s="2"/>
      <c r="P2858" s="2"/>
    </row>
    <row r="2859" spans="1:16" x14ac:dyDescent="0.4">
      <c r="A2859">
        <v>2009</v>
      </c>
      <c r="B2859" s="2" t="s">
        <v>602</v>
      </c>
      <c r="C2859" s="2" t="s">
        <v>724</v>
      </c>
      <c r="D2859" s="2" t="s">
        <v>239</v>
      </c>
      <c r="E2859" s="70" t="s">
        <v>51</v>
      </c>
      <c r="F2859" s="29">
        <v>2108</v>
      </c>
      <c r="G2859" s="29">
        <v>1404</v>
      </c>
      <c r="H2859" s="12">
        <v>704</v>
      </c>
      <c r="J2859" s="2"/>
      <c r="K2859" s="2"/>
      <c r="L2859" s="2"/>
      <c r="M2859" s="2"/>
      <c r="N2859" s="2"/>
      <c r="O2859" s="2"/>
      <c r="P2859" s="2"/>
    </row>
    <row r="2860" spans="1:16" x14ac:dyDescent="0.4">
      <c r="A2860">
        <v>2009</v>
      </c>
      <c r="B2860" s="2" t="s">
        <v>603</v>
      </c>
      <c r="C2860" s="2" t="s">
        <v>724</v>
      </c>
      <c r="D2860" s="2" t="s">
        <v>239</v>
      </c>
      <c r="E2860" s="70" t="s">
        <v>248</v>
      </c>
      <c r="F2860" s="29">
        <v>132</v>
      </c>
      <c r="G2860" s="29">
        <v>75</v>
      </c>
      <c r="H2860" s="12">
        <v>57</v>
      </c>
      <c r="J2860" s="2"/>
      <c r="K2860" s="2"/>
      <c r="L2860" s="2"/>
      <c r="M2860" s="2"/>
      <c r="N2860" s="2"/>
      <c r="O2860" s="2"/>
      <c r="P2860" s="2"/>
    </row>
    <row r="2861" spans="1:16" x14ac:dyDescent="0.4">
      <c r="A2861">
        <v>2009</v>
      </c>
      <c r="B2861" s="2" t="s">
        <v>604</v>
      </c>
      <c r="C2861" s="2" t="s">
        <v>725</v>
      </c>
      <c r="D2861" s="2" t="s">
        <v>249</v>
      </c>
      <c r="E2861" s="70" t="s">
        <v>174</v>
      </c>
      <c r="F2861" s="29">
        <v>82</v>
      </c>
      <c r="G2861" s="29">
        <v>51</v>
      </c>
      <c r="H2861" s="12">
        <v>31</v>
      </c>
      <c r="J2861" s="2"/>
      <c r="K2861" s="2"/>
      <c r="L2861" s="2"/>
      <c r="M2861" s="2"/>
      <c r="N2861" s="2"/>
      <c r="O2861" s="2"/>
      <c r="P2861" s="2"/>
    </row>
    <row r="2862" spans="1:16" x14ac:dyDescent="0.4">
      <c r="A2862">
        <v>2009</v>
      </c>
      <c r="B2862" s="2" t="s">
        <v>605</v>
      </c>
      <c r="C2862" s="2" t="s">
        <v>725</v>
      </c>
      <c r="D2862" s="2" t="s">
        <v>249</v>
      </c>
      <c r="E2862" s="70" t="s">
        <v>250</v>
      </c>
      <c r="F2862" s="29">
        <v>29</v>
      </c>
      <c r="G2862" s="29">
        <v>19</v>
      </c>
      <c r="H2862" s="12">
        <v>10</v>
      </c>
      <c r="J2862" s="2"/>
      <c r="K2862" s="2"/>
      <c r="L2862" s="2"/>
      <c r="M2862" s="2"/>
      <c r="N2862" s="2"/>
      <c r="O2862" s="2"/>
      <c r="P2862" s="2"/>
    </row>
    <row r="2863" spans="1:16" x14ac:dyDescent="0.4">
      <c r="A2863">
        <v>2009</v>
      </c>
      <c r="B2863" s="2" t="s">
        <v>606</v>
      </c>
      <c r="C2863" s="2" t="s">
        <v>725</v>
      </c>
      <c r="D2863" s="2" t="s">
        <v>249</v>
      </c>
      <c r="E2863" s="70" t="s">
        <v>251</v>
      </c>
      <c r="F2863" s="29">
        <v>244</v>
      </c>
      <c r="G2863" s="29">
        <v>153</v>
      </c>
      <c r="H2863" s="12">
        <v>91</v>
      </c>
      <c r="J2863" s="2"/>
      <c r="K2863" s="2"/>
      <c r="L2863" s="2"/>
      <c r="M2863" s="2"/>
      <c r="N2863" s="2"/>
      <c r="O2863" s="2"/>
      <c r="P2863" s="2"/>
    </row>
    <row r="2864" spans="1:16" x14ac:dyDescent="0.4">
      <c r="A2864">
        <v>2009</v>
      </c>
      <c r="B2864" s="2" t="s">
        <v>607</v>
      </c>
      <c r="C2864" s="2" t="s">
        <v>725</v>
      </c>
      <c r="D2864" s="2" t="s">
        <v>249</v>
      </c>
      <c r="E2864" s="70" t="s">
        <v>36</v>
      </c>
      <c r="F2864" s="29">
        <v>234</v>
      </c>
      <c r="G2864" s="29">
        <v>143</v>
      </c>
      <c r="H2864" s="12">
        <v>91</v>
      </c>
      <c r="J2864" s="2"/>
      <c r="K2864" s="2"/>
      <c r="L2864" s="2"/>
      <c r="M2864" s="2"/>
      <c r="N2864" s="2"/>
      <c r="O2864" s="2"/>
      <c r="P2864" s="2"/>
    </row>
    <row r="2865" spans="1:16" x14ac:dyDescent="0.4">
      <c r="A2865">
        <v>2009</v>
      </c>
      <c r="B2865" s="2" t="s">
        <v>608</v>
      </c>
      <c r="C2865" s="2" t="s">
        <v>725</v>
      </c>
      <c r="D2865" s="2" t="s">
        <v>249</v>
      </c>
      <c r="E2865" s="70" t="s">
        <v>252</v>
      </c>
      <c r="F2865" s="29">
        <v>295</v>
      </c>
      <c r="G2865" s="29">
        <v>181</v>
      </c>
      <c r="H2865" s="12">
        <v>114</v>
      </c>
      <c r="J2865" s="2"/>
      <c r="K2865" s="2"/>
      <c r="L2865" s="2"/>
      <c r="M2865" s="2"/>
      <c r="N2865" s="2"/>
      <c r="O2865" s="2"/>
      <c r="P2865" s="2"/>
    </row>
    <row r="2866" spans="1:16" x14ac:dyDescent="0.4">
      <c r="A2866">
        <v>2009</v>
      </c>
      <c r="B2866" s="2" t="s">
        <v>609</v>
      </c>
      <c r="C2866" s="2" t="s">
        <v>725</v>
      </c>
      <c r="D2866" s="2" t="s">
        <v>249</v>
      </c>
      <c r="E2866" s="70" t="s">
        <v>253</v>
      </c>
      <c r="F2866" s="29">
        <v>84</v>
      </c>
      <c r="G2866" s="29">
        <v>52</v>
      </c>
      <c r="H2866" s="12">
        <v>32</v>
      </c>
      <c r="J2866" s="2"/>
      <c r="K2866" s="2"/>
      <c r="L2866" s="2"/>
      <c r="M2866" s="2"/>
      <c r="N2866" s="2"/>
      <c r="O2866" s="2"/>
      <c r="P2866" s="2"/>
    </row>
    <row r="2867" spans="1:16" x14ac:dyDescent="0.4">
      <c r="A2867">
        <v>2009</v>
      </c>
      <c r="B2867" s="2" t="s">
        <v>610</v>
      </c>
      <c r="C2867" s="2" t="s">
        <v>725</v>
      </c>
      <c r="D2867" s="2" t="s">
        <v>249</v>
      </c>
      <c r="E2867" s="70" t="s">
        <v>254</v>
      </c>
      <c r="F2867" s="29">
        <v>232</v>
      </c>
      <c r="G2867" s="29">
        <v>168</v>
      </c>
      <c r="H2867" s="12">
        <v>64</v>
      </c>
      <c r="J2867" s="2"/>
      <c r="K2867" s="2"/>
      <c r="L2867" s="2"/>
      <c r="M2867" s="2"/>
      <c r="N2867" s="2"/>
      <c r="O2867" s="2"/>
      <c r="P2867" s="2"/>
    </row>
    <row r="2868" spans="1:16" x14ac:dyDescent="0.4">
      <c r="A2868">
        <v>2009</v>
      </c>
      <c r="B2868" s="2" t="s">
        <v>611</v>
      </c>
      <c r="C2868" s="2" t="s">
        <v>725</v>
      </c>
      <c r="D2868" s="2" t="s">
        <v>249</v>
      </c>
      <c r="E2868" s="70" t="s">
        <v>11</v>
      </c>
      <c r="F2868" s="29">
        <v>11</v>
      </c>
      <c r="G2868" s="29">
        <v>5</v>
      </c>
      <c r="H2868" s="12">
        <v>6</v>
      </c>
      <c r="J2868" s="2"/>
      <c r="K2868" s="2"/>
      <c r="L2868" s="2"/>
      <c r="M2868" s="2"/>
      <c r="N2868" s="2"/>
      <c r="O2868" s="2"/>
      <c r="P2868" s="2"/>
    </row>
    <row r="2869" spans="1:16" x14ac:dyDescent="0.4">
      <c r="A2869">
        <v>2009</v>
      </c>
      <c r="B2869" s="2" t="s">
        <v>612</v>
      </c>
      <c r="C2869" s="2" t="s">
        <v>725</v>
      </c>
      <c r="D2869" s="2" t="s">
        <v>249</v>
      </c>
      <c r="E2869" s="70" t="s">
        <v>255</v>
      </c>
      <c r="F2869" s="29">
        <v>237</v>
      </c>
      <c r="G2869" s="29">
        <v>161</v>
      </c>
      <c r="H2869" s="12">
        <v>76</v>
      </c>
      <c r="J2869" s="2"/>
      <c r="K2869" s="2"/>
      <c r="L2869" s="2"/>
      <c r="M2869" s="2"/>
      <c r="N2869" s="2"/>
      <c r="O2869" s="2"/>
      <c r="P2869" s="2"/>
    </row>
    <row r="2870" spans="1:16" x14ac:dyDescent="0.4">
      <c r="A2870">
        <v>2009</v>
      </c>
      <c r="B2870" s="2" t="s">
        <v>613</v>
      </c>
      <c r="C2870" s="2" t="s">
        <v>725</v>
      </c>
      <c r="D2870" s="2" t="s">
        <v>249</v>
      </c>
      <c r="E2870" s="70" t="s">
        <v>256</v>
      </c>
      <c r="F2870" s="29">
        <v>98</v>
      </c>
      <c r="G2870" s="29">
        <v>55</v>
      </c>
      <c r="H2870" s="12">
        <v>43</v>
      </c>
      <c r="J2870" s="2"/>
      <c r="K2870" s="2"/>
      <c r="L2870" s="2"/>
      <c r="M2870" s="2"/>
      <c r="N2870" s="2"/>
      <c r="O2870" s="2"/>
      <c r="P2870" s="2"/>
    </row>
    <row r="2871" spans="1:16" x14ac:dyDescent="0.4">
      <c r="A2871">
        <v>2009</v>
      </c>
      <c r="B2871" s="2" t="s">
        <v>614</v>
      </c>
      <c r="C2871" s="2" t="s">
        <v>725</v>
      </c>
      <c r="D2871" s="2" t="s">
        <v>249</v>
      </c>
      <c r="E2871" s="70" t="s">
        <v>14</v>
      </c>
      <c r="F2871" s="29">
        <v>108</v>
      </c>
      <c r="G2871" s="29">
        <v>68</v>
      </c>
      <c r="H2871" s="12">
        <v>40</v>
      </c>
      <c r="J2871" s="2"/>
      <c r="K2871" s="2"/>
      <c r="L2871" s="2"/>
      <c r="M2871" s="2"/>
      <c r="N2871" s="2"/>
      <c r="O2871" s="2"/>
      <c r="P2871" s="2"/>
    </row>
    <row r="2872" spans="1:16" x14ac:dyDescent="0.4">
      <c r="A2872">
        <v>2009</v>
      </c>
      <c r="B2872" s="2" t="s">
        <v>615</v>
      </c>
      <c r="C2872" s="2" t="s">
        <v>725</v>
      </c>
      <c r="D2872" s="2" t="s">
        <v>249</v>
      </c>
      <c r="E2872" s="70" t="s">
        <v>257</v>
      </c>
      <c r="F2872" s="29">
        <v>223</v>
      </c>
      <c r="G2872" s="29">
        <v>133</v>
      </c>
      <c r="H2872" s="12">
        <v>90</v>
      </c>
      <c r="J2872" s="2"/>
      <c r="K2872" s="2"/>
      <c r="L2872" s="2"/>
      <c r="M2872" s="2"/>
      <c r="N2872" s="2"/>
      <c r="O2872" s="2"/>
      <c r="P2872" s="2"/>
    </row>
    <row r="2873" spans="1:16" x14ac:dyDescent="0.4">
      <c r="A2873">
        <v>2009</v>
      </c>
      <c r="B2873" s="2" t="s">
        <v>616</v>
      </c>
      <c r="C2873" s="2" t="s">
        <v>725</v>
      </c>
      <c r="D2873" s="2" t="s">
        <v>249</v>
      </c>
      <c r="E2873" s="70" t="s">
        <v>258</v>
      </c>
      <c r="F2873" s="29">
        <v>39</v>
      </c>
      <c r="G2873" s="29">
        <v>25</v>
      </c>
      <c r="H2873" s="12">
        <v>14</v>
      </c>
      <c r="J2873" s="2"/>
      <c r="K2873" s="2"/>
      <c r="L2873" s="2"/>
      <c r="M2873" s="2"/>
      <c r="N2873" s="2"/>
      <c r="O2873" s="2"/>
      <c r="P2873" s="2"/>
    </row>
    <row r="2874" spans="1:16" x14ac:dyDescent="0.4">
      <c r="A2874">
        <v>2009</v>
      </c>
      <c r="B2874" s="2" t="s">
        <v>617</v>
      </c>
      <c r="C2874" s="2" t="s">
        <v>725</v>
      </c>
      <c r="D2874" s="2" t="s">
        <v>249</v>
      </c>
      <c r="E2874" s="70" t="s">
        <v>259</v>
      </c>
      <c r="F2874" s="29">
        <v>329</v>
      </c>
      <c r="G2874" s="29">
        <v>210</v>
      </c>
      <c r="H2874" s="12">
        <v>119</v>
      </c>
      <c r="J2874" s="2"/>
      <c r="K2874" s="2"/>
      <c r="L2874" s="2"/>
      <c r="M2874" s="2"/>
      <c r="N2874" s="2"/>
      <c r="O2874" s="2"/>
      <c r="P2874" s="2"/>
    </row>
    <row r="2875" spans="1:16" x14ac:dyDescent="0.4">
      <c r="A2875">
        <v>2009</v>
      </c>
      <c r="B2875" s="2" t="s">
        <v>618</v>
      </c>
      <c r="C2875" s="2" t="s">
        <v>725</v>
      </c>
      <c r="D2875" s="2" t="s">
        <v>249</v>
      </c>
      <c r="E2875" s="70" t="s">
        <v>18</v>
      </c>
      <c r="F2875" s="29">
        <v>60</v>
      </c>
      <c r="G2875" s="29">
        <v>42</v>
      </c>
      <c r="H2875" s="12">
        <v>18</v>
      </c>
      <c r="J2875" s="2"/>
      <c r="K2875" s="2"/>
      <c r="L2875" s="2"/>
      <c r="M2875" s="2"/>
      <c r="N2875" s="2"/>
      <c r="O2875" s="2"/>
      <c r="P2875" s="2"/>
    </row>
    <row r="2876" spans="1:16" x14ac:dyDescent="0.4">
      <c r="A2876">
        <v>2009</v>
      </c>
      <c r="B2876" s="2" t="s">
        <v>619</v>
      </c>
      <c r="C2876" s="2" t="s">
        <v>725</v>
      </c>
      <c r="D2876" s="2" t="s">
        <v>249</v>
      </c>
      <c r="E2876" s="70" t="s">
        <v>44</v>
      </c>
      <c r="F2876" s="29">
        <v>81</v>
      </c>
      <c r="G2876" s="29">
        <v>53</v>
      </c>
      <c r="H2876" s="12">
        <v>28</v>
      </c>
      <c r="J2876" s="2"/>
      <c r="K2876" s="2"/>
      <c r="L2876" s="2"/>
      <c r="M2876" s="2"/>
      <c r="N2876" s="2"/>
      <c r="O2876" s="2"/>
      <c r="P2876" s="2"/>
    </row>
    <row r="2877" spans="1:16" x14ac:dyDescent="0.4">
      <c r="A2877">
        <v>2009</v>
      </c>
      <c r="B2877" s="2" t="s">
        <v>620</v>
      </c>
      <c r="C2877" s="2" t="s">
        <v>725</v>
      </c>
      <c r="D2877" s="2" t="s">
        <v>249</v>
      </c>
      <c r="E2877" s="70" t="s">
        <v>260</v>
      </c>
      <c r="F2877" s="29">
        <v>38</v>
      </c>
      <c r="G2877" s="29">
        <v>24</v>
      </c>
      <c r="H2877" s="12">
        <v>14</v>
      </c>
      <c r="J2877" s="2"/>
      <c r="K2877" s="2"/>
      <c r="L2877" s="2"/>
      <c r="M2877" s="2"/>
      <c r="N2877" s="2"/>
      <c r="O2877" s="2"/>
      <c r="P2877" s="2"/>
    </row>
    <row r="2878" spans="1:16" x14ac:dyDescent="0.4">
      <c r="A2878">
        <v>2009</v>
      </c>
      <c r="B2878" s="2" t="s">
        <v>621</v>
      </c>
      <c r="C2878" s="2" t="s">
        <v>725</v>
      </c>
      <c r="D2878" s="2" t="s">
        <v>249</v>
      </c>
      <c r="E2878" s="70" t="s">
        <v>261</v>
      </c>
      <c r="F2878" s="29">
        <v>78</v>
      </c>
      <c r="G2878" s="29">
        <v>43</v>
      </c>
      <c r="H2878" s="12">
        <v>35</v>
      </c>
      <c r="J2878" s="2"/>
      <c r="K2878" s="2"/>
      <c r="L2878" s="2"/>
      <c r="M2878" s="2"/>
      <c r="N2878" s="2"/>
      <c r="O2878" s="2"/>
      <c r="P2878" s="2"/>
    </row>
    <row r="2879" spans="1:16" x14ac:dyDescent="0.4">
      <c r="A2879">
        <v>2009</v>
      </c>
      <c r="B2879" s="2" t="s">
        <v>622</v>
      </c>
      <c r="C2879" s="2" t="s">
        <v>725</v>
      </c>
      <c r="D2879" s="2" t="s">
        <v>249</v>
      </c>
      <c r="E2879" s="70" t="s">
        <v>262</v>
      </c>
      <c r="F2879" s="29">
        <v>163</v>
      </c>
      <c r="G2879" s="29">
        <v>110</v>
      </c>
      <c r="H2879" s="12">
        <v>53</v>
      </c>
      <c r="J2879" s="2"/>
      <c r="K2879" s="2"/>
      <c r="L2879" s="2"/>
      <c r="M2879" s="2"/>
      <c r="N2879" s="2"/>
      <c r="O2879" s="2"/>
      <c r="P2879" s="2"/>
    </row>
    <row r="2880" spans="1:16" x14ac:dyDescent="0.4">
      <c r="A2880">
        <v>2009</v>
      </c>
      <c r="B2880" s="2" t="s">
        <v>623</v>
      </c>
      <c r="C2880" s="2" t="s">
        <v>725</v>
      </c>
      <c r="D2880" s="2" t="s">
        <v>249</v>
      </c>
      <c r="E2880" s="70" t="s">
        <v>263</v>
      </c>
      <c r="F2880" s="29">
        <v>85</v>
      </c>
      <c r="G2880" s="29">
        <v>59</v>
      </c>
      <c r="H2880" s="12">
        <v>26</v>
      </c>
      <c r="J2880" s="2"/>
      <c r="K2880" s="2"/>
      <c r="L2880" s="2"/>
      <c r="M2880" s="2"/>
      <c r="N2880" s="2"/>
      <c r="O2880" s="2"/>
      <c r="P2880" s="2"/>
    </row>
    <row r="2881" spans="1:16" x14ac:dyDescent="0.4">
      <c r="A2881">
        <v>2009</v>
      </c>
      <c r="B2881" s="2" t="s">
        <v>624</v>
      </c>
      <c r="C2881" s="2" t="s">
        <v>725</v>
      </c>
      <c r="D2881" s="2" t="s">
        <v>249</v>
      </c>
      <c r="E2881" s="70" t="s">
        <v>264</v>
      </c>
      <c r="F2881" s="29">
        <v>18</v>
      </c>
      <c r="G2881" s="29">
        <v>13</v>
      </c>
      <c r="H2881" s="12">
        <v>5</v>
      </c>
      <c r="J2881" s="2"/>
      <c r="K2881" s="2"/>
      <c r="L2881" s="2"/>
      <c r="M2881" s="2"/>
      <c r="N2881" s="2"/>
      <c r="O2881" s="2"/>
      <c r="P2881" s="2"/>
    </row>
    <row r="2882" spans="1:16" x14ac:dyDescent="0.4">
      <c r="A2882">
        <v>2009</v>
      </c>
      <c r="B2882" s="2" t="s">
        <v>625</v>
      </c>
      <c r="C2882" s="2" t="s">
        <v>725</v>
      </c>
      <c r="D2882" s="2" t="s">
        <v>249</v>
      </c>
      <c r="E2882" s="70" t="s">
        <v>265</v>
      </c>
      <c r="F2882" s="29">
        <v>67</v>
      </c>
      <c r="G2882" s="29">
        <v>46</v>
      </c>
      <c r="H2882" s="12">
        <v>21</v>
      </c>
      <c r="J2882" s="2"/>
      <c r="K2882" s="2"/>
      <c r="L2882" s="2"/>
      <c r="M2882" s="2"/>
      <c r="N2882" s="2"/>
      <c r="O2882" s="2"/>
      <c r="P2882" s="2"/>
    </row>
    <row r="2883" spans="1:16" x14ac:dyDescent="0.4">
      <c r="A2883">
        <v>2009</v>
      </c>
      <c r="B2883" s="2" t="s">
        <v>626</v>
      </c>
      <c r="C2883" s="2" t="s">
        <v>725</v>
      </c>
      <c r="D2883" s="2" t="s">
        <v>249</v>
      </c>
      <c r="E2883" s="70" t="s">
        <v>266</v>
      </c>
      <c r="F2883" s="29">
        <v>3125</v>
      </c>
      <c r="G2883" s="29">
        <v>1835</v>
      </c>
      <c r="H2883" s="12">
        <v>1290</v>
      </c>
      <c r="J2883" s="2"/>
      <c r="K2883" s="2"/>
      <c r="L2883" s="2"/>
      <c r="M2883" s="2"/>
      <c r="N2883" s="2"/>
      <c r="O2883" s="2"/>
      <c r="P2883" s="2"/>
    </row>
    <row r="2884" spans="1:16" x14ac:dyDescent="0.4">
      <c r="A2884">
        <v>2009</v>
      </c>
      <c r="B2884" s="2" t="s">
        <v>627</v>
      </c>
      <c r="C2884" s="2" t="s">
        <v>725</v>
      </c>
      <c r="D2884" s="2" t="s">
        <v>249</v>
      </c>
      <c r="E2884" s="70" t="s">
        <v>267</v>
      </c>
      <c r="F2884" s="29">
        <v>16</v>
      </c>
      <c r="G2884" s="29">
        <v>11</v>
      </c>
      <c r="H2884" s="12">
        <v>5</v>
      </c>
      <c r="J2884" s="2"/>
      <c r="K2884" s="2"/>
      <c r="L2884" s="2"/>
      <c r="M2884" s="2"/>
      <c r="N2884" s="2"/>
      <c r="O2884" s="2"/>
      <c r="P2884" s="2"/>
    </row>
    <row r="2885" spans="1:16" x14ac:dyDescent="0.4">
      <c r="A2885">
        <v>2009</v>
      </c>
      <c r="B2885" s="2" t="s">
        <v>628</v>
      </c>
      <c r="C2885" s="2" t="s">
        <v>725</v>
      </c>
      <c r="D2885" s="2" t="s">
        <v>249</v>
      </c>
      <c r="E2885" s="70" t="s">
        <v>268</v>
      </c>
      <c r="F2885" s="29">
        <v>31</v>
      </c>
      <c r="G2885" s="29">
        <v>19</v>
      </c>
      <c r="H2885" s="12">
        <v>12</v>
      </c>
      <c r="J2885" s="2"/>
      <c r="K2885" s="2"/>
      <c r="L2885" s="2"/>
      <c r="M2885" s="2"/>
      <c r="N2885" s="2"/>
      <c r="O2885" s="2"/>
      <c r="P2885" s="2"/>
    </row>
    <row r="2886" spans="1:16" x14ac:dyDescent="0.4">
      <c r="A2886">
        <v>2009</v>
      </c>
      <c r="B2886" s="2" t="s">
        <v>629</v>
      </c>
      <c r="C2886" s="2" t="s">
        <v>725</v>
      </c>
      <c r="D2886" s="2" t="s">
        <v>249</v>
      </c>
      <c r="E2886" s="70" t="s">
        <v>26</v>
      </c>
      <c r="F2886" s="29">
        <v>8</v>
      </c>
      <c r="G2886" s="29">
        <v>6</v>
      </c>
      <c r="H2886" s="12">
        <v>2</v>
      </c>
      <c r="J2886" s="2"/>
      <c r="K2886" s="2"/>
      <c r="L2886" s="2"/>
      <c r="M2886" s="2"/>
      <c r="N2886" s="2"/>
      <c r="O2886" s="2"/>
      <c r="P2886" s="2"/>
    </row>
    <row r="2887" spans="1:16" x14ac:dyDescent="0.4">
      <c r="A2887">
        <v>2009</v>
      </c>
      <c r="B2887" s="2" t="s">
        <v>630</v>
      </c>
      <c r="C2887" s="2" t="s">
        <v>725</v>
      </c>
      <c r="D2887" s="2" t="s">
        <v>249</v>
      </c>
      <c r="E2887" s="70" t="s">
        <v>51</v>
      </c>
      <c r="F2887" s="29">
        <v>52</v>
      </c>
      <c r="G2887" s="29">
        <v>30</v>
      </c>
      <c r="H2887" s="12">
        <v>22</v>
      </c>
      <c r="J2887" s="2"/>
      <c r="K2887" s="2"/>
      <c r="L2887" s="2"/>
      <c r="M2887" s="2"/>
      <c r="N2887" s="2"/>
      <c r="O2887" s="2"/>
      <c r="P2887" s="2"/>
    </row>
    <row r="2888" spans="1:16" x14ac:dyDescent="0.4">
      <c r="A2888">
        <v>2009</v>
      </c>
      <c r="B2888" s="2" t="s">
        <v>631</v>
      </c>
      <c r="C2888" s="2" t="s">
        <v>725</v>
      </c>
      <c r="D2888" s="2" t="s">
        <v>249</v>
      </c>
      <c r="E2888" s="70" t="s">
        <v>269</v>
      </c>
      <c r="F2888" s="29">
        <v>135</v>
      </c>
      <c r="G2888" s="29">
        <v>90</v>
      </c>
      <c r="H2888" s="12">
        <v>45</v>
      </c>
      <c r="J2888" s="2"/>
      <c r="K2888" s="2"/>
      <c r="L2888" s="2"/>
      <c r="M2888" s="2"/>
      <c r="N2888" s="2"/>
      <c r="O2888" s="2"/>
      <c r="P2888" s="2"/>
    </row>
    <row r="2889" spans="1:16" x14ac:dyDescent="0.4">
      <c r="A2889">
        <v>2009</v>
      </c>
      <c r="B2889" s="2" t="s">
        <v>632</v>
      </c>
      <c r="C2889" s="2" t="s">
        <v>725</v>
      </c>
      <c r="D2889" s="2" t="s">
        <v>249</v>
      </c>
      <c r="E2889" s="70" t="s">
        <v>270</v>
      </c>
      <c r="F2889" s="29">
        <v>75</v>
      </c>
      <c r="G2889" s="29">
        <v>54</v>
      </c>
      <c r="H2889" s="12">
        <v>21</v>
      </c>
      <c r="J2889" s="2"/>
      <c r="K2889" s="2"/>
      <c r="L2889" s="2"/>
      <c r="M2889" s="2"/>
      <c r="N2889" s="2"/>
      <c r="O2889" s="2"/>
      <c r="P2889" s="2"/>
    </row>
    <row r="2890" spans="1:16" x14ac:dyDescent="0.4">
      <c r="A2890">
        <v>2009</v>
      </c>
      <c r="B2890" s="2" t="s">
        <v>633</v>
      </c>
      <c r="C2890" s="2" t="s">
        <v>726</v>
      </c>
      <c r="D2890" s="2" t="s">
        <v>271</v>
      </c>
      <c r="E2890" s="70" t="s">
        <v>174</v>
      </c>
      <c r="F2890" s="29">
        <v>47</v>
      </c>
      <c r="G2890" s="29">
        <v>34</v>
      </c>
      <c r="H2890" s="12">
        <v>13</v>
      </c>
      <c r="J2890" s="2"/>
      <c r="K2890" s="2"/>
      <c r="L2890" s="2"/>
      <c r="M2890" s="2"/>
      <c r="N2890" s="2"/>
      <c r="O2890" s="2"/>
      <c r="P2890" s="2"/>
    </row>
    <row r="2891" spans="1:16" x14ac:dyDescent="0.4">
      <c r="A2891">
        <v>2009</v>
      </c>
      <c r="B2891" s="2" t="s">
        <v>634</v>
      </c>
      <c r="C2891" s="2" t="s">
        <v>726</v>
      </c>
      <c r="D2891" s="2" t="s">
        <v>271</v>
      </c>
      <c r="E2891" s="70" t="s">
        <v>272</v>
      </c>
      <c r="F2891" s="29">
        <v>455</v>
      </c>
      <c r="G2891" s="29">
        <v>255</v>
      </c>
      <c r="H2891" s="12">
        <v>200</v>
      </c>
      <c r="J2891" s="2"/>
      <c r="K2891" s="2"/>
      <c r="L2891" s="2"/>
      <c r="M2891" s="2"/>
      <c r="N2891" s="2"/>
      <c r="O2891" s="2"/>
      <c r="P2891" s="2"/>
    </row>
    <row r="2892" spans="1:16" x14ac:dyDescent="0.4">
      <c r="A2892">
        <v>2009</v>
      </c>
      <c r="B2892" s="2" t="s">
        <v>635</v>
      </c>
      <c r="C2892" s="2" t="s">
        <v>726</v>
      </c>
      <c r="D2892" s="2" t="s">
        <v>271</v>
      </c>
      <c r="E2892" s="70" t="s">
        <v>36</v>
      </c>
      <c r="F2892" s="29">
        <v>23</v>
      </c>
      <c r="G2892" s="29">
        <v>13</v>
      </c>
      <c r="H2892" s="12">
        <v>10</v>
      </c>
      <c r="J2892" s="2"/>
      <c r="K2892" s="2"/>
      <c r="L2892" s="2"/>
      <c r="M2892" s="2"/>
      <c r="N2892" s="2"/>
      <c r="O2892" s="2"/>
      <c r="P2892" s="2"/>
    </row>
    <row r="2893" spans="1:16" x14ac:dyDescent="0.4">
      <c r="A2893">
        <v>2009</v>
      </c>
      <c r="B2893" s="2" t="s">
        <v>636</v>
      </c>
      <c r="C2893" s="2" t="s">
        <v>726</v>
      </c>
      <c r="D2893" s="2" t="s">
        <v>271</v>
      </c>
      <c r="E2893" s="70" t="s">
        <v>273</v>
      </c>
      <c r="F2893" s="29">
        <v>73</v>
      </c>
      <c r="G2893" s="29">
        <v>48</v>
      </c>
      <c r="H2893" s="12">
        <v>25</v>
      </c>
      <c r="J2893" s="2"/>
      <c r="K2893" s="2"/>
      <c r="L2893" s="2"/>
      <c r="M2893" s="2"/>
      <c r="N2893" s="2"/>
      <c r="O2893" s="2"/>
      <c r="P2893" s="2"/>
    </row>
    <row r="2894" spans="1:16" x14ac:dyDescent="0.4">
      <c r="A2894">
        <v>2009</v>
      </c>
      <c r="B2894" s="2" t="s">
        <v>637</v>
      </c>
      <c r="C2894" s="2" t="s">
        <v>726</v>
      </c>
      <c r="D2894" s="2" t="s">
        <v>271</v>
      </c>
      <c r="E2894" s="70" t="s">
        <v>274</v>
      </c>
      <c r="F2894" s="29">
        <v>105</v>
      </c>
      <c r="G2894" s="29">
        <v>70</v>
      </c>
      <c r="H2894" s="12">
        <v>35</v>
      </c>
      <c r="J2894" s="2"/>
      <c r="K2894" s="2"/>
      <c r="L2894" s="2"/>
      <c r="M2894" s="2"/>
      <c r="N2894" s="2"/>
      <c r="O2894" s="2"/>
      <c r="P2894" s="2"/>
    </row>
    <row r="2895" spans="1:16" x14ac:dyDescent="0.4">
      <c r="A2895">
        <v>2009</v>
      </c>
      <c r="B2895" s="2" t="s">
        <v>638</v>
      </c>
      <c r="C2895" s="2" t="s">
        <v>726</v>
      </c>
      <c r="D2895" s="2" t="s">
        <v>271</v>
      </c>
      <c r="E2895" s="70" t="s">
        <v>275</v>
      </c>
      <c r="F2895" s="29">
        <v>29</v>
      </c>
      <c r="G2895" s="29">
        <v>17</v>
      </c>
      <c r="H2895" s="12">
        <v>12</v>
      </c>
      <c r="J2895" s="2"/>
      <c r="K2895" s="2"/>
      <c r="L2895" s="2"/>
      <c r="M2895" s="2"/>
      <c r="N2895" s="2"/>
      <c r="O2895" s="2"/>
      <c r="P2895" s="2"/>
    </row>
    <row r="2896" spans="1:16" x14ac:dyDescent="0.4">
      <c r="A2896">
        <v>2009</v>
      </c>
      <c r="B2896" s="2" t="s">
        <v>639</v>
      </c>
      <c r="C2896" s="2" t="s">
        <v>726</v>
      </c>
      <c r="D2896" s="2" t="s">
        <v>271</v>
      </c>
      <c r="E2896" s="70" t="s">
        <v>276</v>
      </c>
      <c r="F2896" s="29">
        <v>6</v>
      </c>
      <c r="G2896" s="29">
        <v>2</v>
      </c>
      <c r="H2896" s="12">
        <v>4</v>
      </c>
      <c r="J2896" s="2"/>
      <c r="K2896" s="2"/>
      <c r="L2896" s="2"/>
      <c r="M2896" s="2"/>
      <c r="N2896" s="2"/>
      <c r="O2896" s="2"/>
      <c r="P2896" s="2"/>
    </row>
    <row r="2897" spans="1:16" x14ac:dyDescent="0.4">
      <c r="A2897">
        <v>2009</v>
      </c>
      <c r="B2897" s="2" t="s">
        <v>640</v>
      </c>
      <c r="C2897" s="2" t="s">
        <v>726</v>
      </c>
      <c r="D2897" s="2" t="s">
        <v>271</v>
      </c>
      <c r="E2897" s="70" t="s">
        <v>277</v>
      </c>
      <c r="F2897" s="29">
        <v>21</v>
      </c>
      <c r="G2897" s="29">
        <v>15</v>
      </c>
      <c r="H2897" s="12">
        <v>6</v>
      </c>
      <c r="J2897" s="2"/>
      <c r="K2897" s="2"/>
      <c r="L2897" s="2"/>
      <c r="M2897" s="2"/>
      <c r="N2897" s="2"/>
      <c r="O2897" s="2"/>
      <c r="P2897" s="2"/>
    </row>
    <row r="2898" spans="1:16" x14ac:dyDescent="0.4">
      <c r="A2898">
        <v>2009</v>
      </c>
      <c r="B2898" s="2" t="s">
        <v>641</v>
      </c>
      <c r="C2898" s="2" t="s">
        <v>726</v>
      </c>
      <c r="D2898" s="2" t="s">
        <v>271</v>
      </c>
      <c r="E2898" s="70" t="s">
        <v>278</v>
      </c>
      <c r="F2898" s="29">
        <v>43</v>
      </c>
      <c r="G2898" s="29">
        <v>38</v>
      </c>
      <c r="H2898" s="12">
        <v>5</v>
      </c>
      <c r="J2898" s="2"/>
      <c r="K2898" s="2"/>
      <c r="L2898" s="2"/>
      <c r="M2898" s="2"/>
      <c r="N2898" s="2"/>
      <c r="O2898" s="2"/>
      <c r="P2898" s="2"/>
    </row>
    <row r="2899" spans="1:16" x14ac:dyDescent="0.4">
      <c r="A2899">
        <v>2009</v>
      </c>
      <c r="B2899" s="2" t="s">
        <v>642</v>
      </c>
      <c r="C2899" s="2" t="s">
        <v>726</v>
      </c>
      <c r="D2899" s="2" t="s">
        <v>271</v>
      </c>
      <c r="E2899" s="70" t="s">
        <v>85</v>
      </c>
      <c r="F2899" s="29">
        <v>35</v>
      </c>
      <c r="G2899" s="29">
        <v>21</v>
      </c>
      <c r="H2899" s="12">
        <v>14</v>
      </c>
      <c r="J2899" s="2"/>
      <c r="K2899" s="2"/>
      <c r="L2899" s="2"/>
      <c r="M2899" s="2"/>
      <c r="N2899" s="2"/>
      <c r="O2899" s="2"/>
      <c r="P2899" s="2"/>
    </row>
    <row r="2900" spans="1:16" x14ac:dyDescent="0.4">
      <c r="A2900">
        <v>2009</v>
      </c>
      <c r="B2900" s="2" t="s">
        <v>643</v>
      </c>
      <c r="C2900" s="2" t="s">
        <v>726</v>
      </c>
      <c r="D2900" s="2" t="s">
        <v>271</v>
      </c>
      <c r="E2900" s="70" t="s">
        <v>279</v>
      </c>
      <c r="F2900" s="29">
        <v>25</v>
      </c>
      <c r="G2900" s="29">
        <v>17</v>
      </c>
      <c r="H2900" s="12">
        <v>8</v>
      </c>
      <c r="J2900" s="2"/>
      <c r="K2900" s="2"/>
      <c r="L2900" s="2"/>
      <c r="M2900" s="2"/>
      <c r="N2900" s="2"/>
      <c r="O2900" s="2"/>
      <c r="P2900" s="2"/>
    </row>
    <row r="2901" spans="1:16" x14ac:dyDescent="0.4">
      <c r="A2901">
        <v>2009</v>
      </c>
      <c r="B2901" s="2" t="s">
        <v>644</v>
      </c>
      <c r="C2901" s="2" t="s">
        <v>726</v>
      </c>
      <c r="D2901" s="2" t="s">
        <v>271</v>
      </c>
      <c r="E2901" s="70" t="s">
        <v>280</v>
      </c>
      <c r="F2901" s="29">
        <v>28</v>
      </c>
      <c r="G2901" s="29">
        <v>21</v>
      </c>
      <c r="H2901" s="12">
        <v>7</v>
      </c>
      <c r="J2901" s="2"/>
      <c r="K2901" s="2"/>
      <c r="L2901" s="2"/>
      <c r="M2901" s="2"/>
      <c r="N2901" s="2"/>
      <c r="O2901" s="2"/>
      <c r="P2901" s="2"/>
    </row>
    <row r="2902" spans="1:16" x14ac:dyDescent="0.4">
      <c r="A2902">
        <v>2009</v>
      </c>
      <c r="B2902" s="2" t="s">
        <v>645</v>
      </c>
      <c r="C2902" s="2" t="s">
        <v>726</v>
      </c>
      <c r="D2902" s="2" t="s">
        <v>271</v>
      </c>
      <c r="E2902" s="70" t="s">
        <v>281</v>
      </c>
      <c r="F2902" s="29">
        <v>138</v>
      </c>
      <c r="G2902" s="29">
        <v>84</v>
      </c>
      <c r="H2902" s="12">
        <v>54</v>
      </c>
      <c r="J2902" s="2"/>
      <c r="K2902" s="2"/>
      <c r="L2902" s="2"/>
      <c r="M2902" s="2"/>
      <c r="N2902" s="2"/>
      <c r="O2902" s="2"/>
      <c r="P2902" s="2"/>
    </row>
    <row r="2903" spans="1:16" x14ac:dyDescent="0.4">
      <c r="A2903">
        <v>2009</v>
      </c>
      <c r="B2903" s="2" t="s">
        <v>646</v>
      </c>
      <c r="C2903" s="2" t="s">
        <v>726</v>
      </c>
      <c r="D2903" s="2" t="s">
        <v>271</v>
      </c>
      <c r="E2903" s="70" t="s">
        <v>282</v>
      </c>
      <c r="F2903" s="29">
        <v>56</v>
      </c>
      <c r="G2903" s="29">
        <v>37</v>
      </c>
      <c r="H2903" s="12">
        <v>19</v>
      </c>
      <c r="J2903" s="2"/>
      <c r="K2903" s="2"/>
      <c r="L2903" s="2"/>
      <c r="M2903" s="2"/>
      <c r="N2903" s="2"/>
      <c r="O2903" s="2"/>
      <c r="P2903" s="2"/>
    </row>
    <row r="2904" spans="1:16" x14ac:dyDescent="0.4">
      <c r="A2904">
        <v>2009</v>
      </c>
      <c r="B2904" s="2" t="s">
        <v>647</v>
      </c>
      <c r="C2904" s="2" t="s">
        <v>726</v>
      </c>
      <c r="D2904" s="2" t="s">
        <v>271</v>
      </c>
      <c r="E2904" s="70" t="s">
        <v>283</v>
      </c>
      <c r="F2904" s="29">
        <v>48</v>
      </c>
      <c r="G2904" s="29">
        <v>31</v>
      </c>
      <c r="H2904" s="12">
        <v>17</v>
      </c>
      <c r="J2904" s="2"/>
      <c r="K2904" s="2"/>
      <c r="L2904" s="2"/>
      <c r="M2904" s="2"/>
      <c r="N2904" s="2"/>
      <c r="O2904" s="2"/>
      <c r="P2904" s="2"/>
    </row>
    <row r="2905" spans="1:16" x14ac:dyDescent="0.4">
      <c r="A2905">
        <v>2009</v>
      </c>
      <c r="B2905" s="2" t="s">
        <v>648</v>
      </c>
      <c r="C2905" s="2" t="s">
        <v>726</v>
      </c>
      <c r="D2905" s="2" t="s">
        <v>271</v>
      </c>
      <c r="E2905" s="70" t="s">
        <v>284</v>
      </c>
      <c r="F2905" s="29">
        <v>108</v>
      </c>
      <c r="G2905" s="29">
        <v>67</v>
      </c>
      <c r="H2905" s="12">
        <v>41</v>
      </c>
      <c r="J2905" s="2"/>
      <c r="K2905" s="2"/>
      <c r="L2905" s="2"/>
      <c r="M2905" s="2"/>
      <c r="N2905" s="2"/>
      <c r="O2905" s="2"/>
      <c r="P2905" s="2"/>
    </row>
    <row r="2906" spans="1:16" x14ac:dyDescent="0.4">
      <c r="A2906">
        <v>2009</v>
      </c>
      <c r="B2906" s="2" t="s">
        <v>649</v>
      </c>
      <c r="C2906" s="2" t="s">
        <v>726</v>
      </c>
      <c r="D2906" s="2" t="s">
        <v>271</v>
      </c>
      <c r="E2906" s="70" t="s">
        <v>51</v>
      </c>
      <c r="F2906" s="29">
        <v>133</v>
      </c>
      <c r="G2906" s="29">
        <v>83</v>
      </c>
      <c r="H2906" s="12">
        <v>50</v>
      </c>
      <c r="J2906" s="2"/>
      <c r="K2906" s="2"/>
      <c r="L2906" s="2"/>
      <c r="M2906" s="2"/>
      <c r="N2906" s="2"/>
      <c r="O2906" s="2"/>
      <c r="P2906" s="2"/>
    </row>
    <row r="2907" spans="1:16" x14ac:dyDescent="0.4">
      <c r="A2907">
        <v>2009</v>
      </c>
      <c r="B2907" s="2" t="s">
        <v>650</v>
      </c>
      <c r="C2907" s="2" t="s">
        <v>726</v>
      </c>
      <c r="D2907" s="2" t="s">
        <v>271</v>
      </c>
      <c r="E2907" s="70" t="s">
        <v>285</v>
      </c>
      <c r="F2907" s="29">
        <v>406</v>
      </c>
      <c r="G2907" s="29">
        <v>228</v>
      </c>
      <c r="H2907" s="12">
        <v>178</v>
      </c>
      <c r="J2907" s="2"/>
      <c r="K2907" s="2"/>
      <c r="L2907" s="2"/>
      <c r="M2907" s="2"/>
      <c r="N2907" s="2"/>
      <c r="O2907" s="2"/>
      <c r="P2907" s="2"/>
    </row>
    <row r="2908" spans="1:16" x14ac:dyDescent="0.4">
      <c r="A2908">
        <v>2009</v>
      </c>
      <c r="B2908" s="2" t="s">
        <v>651</v>
      </c>
      <c r="C2908" s="2" t="s">
        <v>726</v>
      </c>
      <c r="D2908" s="2" t="s">
        <v>271</v>
      </c>
      <c r="E2908" s="70" t="s">
        <v>53</v>
      </c>
      <c r="F2908" s="29">
        <v>116</v>
      </c>
      <c r="G2908" s="29">
        <v>75</v>
      </c>
      <c r="H2908" s="12">
        <v>41</v>
      </c>
      <c r="J2908" s="2"/>
      <c r="K2908" s="2"/>
      <c r="L2908" s="2"/>
      <c r="M2908" s="2"/>
      <c r="N2908" s="2"/>
      <c r="O2908" s="2"/>
      <c r="P2908" s="2"/>
    </row>
    <row r="2909" spans="1:16" x14ac:dyDescent="0.4">
      <c r="A2909">
        <v>2009</v>
      </c>
      <c r="B2909" s="2" t="s">
        <v>652</v>
      </c>
      <c r="C2909" s="2" t="s">
        <v>726</v>
      </c>
      <c r="D2909" s="2" t="s">
        <v>271</v>
      </c>
      <c r="E2909" s="70" t="s">
        <v>286</v>
      </c>
      <c r="F2909" s="29">
        <v>1707</v>
      </c>
      <c r="G2909" s="29">
        <v>1012</v>
      </c>
      <c r="H2909" s="12">
        <v>695</v>
      </c>
      <c r="J2909" s="2"/>
      <c r="K2909" s="2"/>
      <c r="L2909" s="2"/>
      <c r="M2909" s="2"/>
      <c r="N2909" s="2"/>
      <c r="O2909" s="2"/>
      <c r="P2909" s="2"/>
    </row>
    <row r="2910" spans="1:16" x14ac:dyDescent="0.4">
      <c r="A2910">
        <v>2009</v>
      </c>
      <c r="B2910" s="2" t="s">
        <v>653</v>
      </c>
      <c r="C2910" s="2" t="s">
        <v>727</v>
      </c>
      <c r="D2910" s="2" t="s">
        <v>288</v>
      </c>
      <c r="E2910" s="70" t="s">
        <v>287</v>
      </c>
      <c r="F2910" s="29">
        <v>145</v>
      </c>
      <c r="G2910" s="29">
        <v>108</v>
      </c>
      <c r="H2910" s="12">
        <v>37</v>
      </c>
      <c r="J2910" s="2"/>
      <c r="K2910" s="2"/>
      <c r="L2910" s="2"/>
      <c r="M2910" s="2"/>
      <c r="N2910" s="2"/>
      <c r="O2910" s="2"/>
      <c r="P2910" s="2"/>
    </row>
    <row r="2911" spans="1:16" x14ac:dyDescent="0.4">
      <c r="A2911">
        <v>2009</v>
      </c>
      <c r="B2911" s="2" t="s">
        <v>654</v>
      </c>
      <c r="C2911" s="2" t="s">
        <v>727</v>
      </c>
      <c r="D2911" s="2" t="s">
        <v>288</v>
      </c>
      <c r="E2911" s="70" t="s">
        <v>289</v>
      </c>
      <c r="F2911" s="29">
        <v>111</v>
      </c>
      <c r="G2911" s="29">
        <v>76</v>
      </c>
      <c r="H2911" s="12">
        <v>35</v>
      </c>
      <c r="J2911" s="2"/>
      <c r="K2911" s="2"/>
      <c r="L2911" s="2"/>
      <c r="M2911" s="2"/>
      <c r="N2911" s="2"/>
      <c r="O2911" s="2"/>
      <c r="P2911" s="2"/>
    </row>
    <row r="2912" spans="1:16" x14ac:dyDescent="0.4">
      <c r="A2912">
        <v>2009</v>
      </c>
      <c r="B2912" s="2" t="s">
        <v>655</v>
      </c>
      <c r="C2912" s="2" t="s">
        <v>727</v>
      </c>
      <c r="D2912" s="2" t="s">
        <v>288</v>
      </c>
      <c r="E2912" s="70" t="s">
        <v>290</v>
      </c>
      <c r="F2912" s="29">
        <v>117</v>
      </c>
      <c r="G2912" s="29">
        <v>81</v>
      </c>
      <c r="H2912" s="12">
        <v>36</v>
      </c>
      <c r="J2912" s="2"/>
      <c r="K2912" s="2"/>
      <c r="L2912" s="2"/>
      <c r="M2912" s="2"/>
      <c r="N2912" s="2"/>
      <c r="O2912" s="2"/>
      <c r="P2912" s="2"/>
    </row>
    <row r="2913" spans="1:16" x14ac:dyDescent="0.4">
      <c r="A2913">
        <v>2009</v>
      </c>
      <c r="B2913" s="2" t="s">
        <v>656</v>
      </c>
      <c r="C2913" s="2" t="s">
        <v>727</v>
      </c>
      <c r="D2913" s="2" t="s">
        <v>288</v>
      </c>
      <c r="E2913" s="70" t="s">
        <v>291</v>
      </c>
      <c r="F2913" s="29">
        <v>32</v>
      </c>
      <c r="G2913" s="29">
        <v>22</v>
      </c>
      <c r="H2913" s="12">
        <v>10</v>
      </c>
      <c r="J2913" s="2"/>
      <c r="K2913" s="2"/>
      <c r="L2913" s="2"/>
      <c r="M2913" s="2"/>
      <c r="N2913" s="2"/>
      <c r="O2913" s="2"/>
      <c r="P2913" s="2"/>
    </row>
    <row r="2914" spans="1:16" x14ac:dyDescent="0.4">
      <c r="A2914">
        <v>2009</v>
      </c>
      <c r="B2914" s="2" t="s">
        <v>657</v>
      </c>
      <c r="C2914" s="2" t="s">
        <v>727</v>
      </c>
      <c r="D2914" s="2" t="s">
        <v>288</v>
      </c>
      <c r="E2914" s="70" t="s">
        <v>292</v>
      </c>
      <c r="F2914" s="29">
        <v>368</v>
      </c>
      <c r="G2914" s="29">
        <v>256</v>
      </c>
      <c r="H2914" s="12">
        <v>112</v>
      </c>
      <c r="J2914" s="2"/>
      <c r="K2914" s="2"/>
      <c r="L2914" s="2"/>
      <c r="M2914" s="2"/>
      <c r="N2914" s="2"/>
      <c r="O2914" s="2"/>
      <c r="P2914" s="2"/>
    </row>
    <row r="2915" spans="1:16" x14ac:dyDescent="0.4">
      <c r="A2915">
        <v>2009</v>
      </c>
      <c r="B2915" s="2" t="s">
        <v>658</v>
      </c>
      <c r="C2915" s="2" t="s">
        <v>727</v>
      </c>
      <c r="D2915" s="2" t="s">
        <v>288</v>
      </c>
      <c r="E2915" s="70" t="s">
        <v>293</v>
      </c>
      <c r="F2915" s="29">
        <v>3</v>
      </c>
      <c r="G2915" s="29">
        <v>3</v>
      </c>
      <c r="H2915" s="12">
        <v>0</v>
      </c>
      <c r="J2915" s="2"/>
      <c r="K2915" s="2"/>
      <c r="L2915" s="2"/>
      <c r="M2915" s="2"/>
      <c r="N2915" s="2"/>
      <c r="O2915" s="2"/>
      <c r="P2915" s="2"/>
    </row>
    <row r="2916" spans="1:16" x14ac:dyDescent="0.4">
      <c r="A2916">
        <v>2009</v>
      </c>
      <c r="B2916" s="2" t="s">
        <v>659</v>
      </c>
      <c r="C2916" s="2" t="s">
        <v>727</v>
      </c>
      <c r="D2916" s="2" t="s">
        <v>288</v>
      </c>
      <c r="E2916" s="70" t="s">
        <v>294</v>
      </c>
      <c r="F2916" s="29">
        <v>478</v>
      </c>
      <c r="G2916" s="29">
        <v>290</v>
      </c>
      <c r="H2916" s="12">
        <v>188</v>
      </c>
      <c r="J2916" s="2"/>
      <c r="K2916" s="2"/>
      <c r="L2916" s="2"/>
      <c r="M2916" s="2"/>
      <c r="N2916" s="2"/>
      <c r="O2916" s="2"/>
      <c r="P2916" s="2"/>
    </row>
    <row r="2917" spans="1:16" x14ac:dyDescent="0.4">
      <c r="A2917">
        <v>2009</v>
      </c>
      <c r="B2917" s="2" t="s">
        <v>660</v>
      </c>
      <c r="C2917" s="2" t="s">
        <v>727</v>
      </c>
      <c r="D2917" s="2" t="s">
        <v>288</v>
      </c>
      <c r="E2917" s="70" t="s">
        <v>295</v>
      </c>
      <c r="F2917" s="29">
        <v>94</v>
      </c>
      <c r="G2917" s="29">
        <v>55</v>
      </c>
      <c r="H2917" s="12">
        <v>39</v>
      </c>
      <c r="J2917" s="2"/>
      <c r="K2917" s="2"/>
      <c r="L2917" s="2"/>
      <c r="M2917" s="2"/>
      <c r="N2917" s="2"/>
      <c r="O2917" s="2"/>
      <c r="P2917" s="2"/>
    </row>
    <row r="2918" spans="1:16" x14ac:dyDescent="0.4">
      <c r="A2918">
        <v>2009</v>
      </c>
      <c r="B2918" s="2" t="s">
        <v>661</v>
      </c>
      <c r="C2918" s="2" t="s">
        <v>727</v>
      </c>
      <c r="D2918" s="2" t="s">
        <v>288</v>
      </c>
      <c r="E2918" s="70" t="s">
        <v>296</v>
      </c>
      <c r="F2918" s="29">
        <v>481</v>
      </c>
      <c r="G2918" s="29">
        <v>309</v>
      </c>
      <c r="H2918" s="12">
        <v>172</v>
      </c>
      <c r="J2918" s="2"/>
      <c r="K2918" s="2"/>
      <c r="L2918" s="2"/>
      <c r="M2918" s="2"/>
      <c r="N2918" s="2"/>
      <c r="O2918" s="2"/>
      <c r="P2918" s="2"/>
    </row>
    <row r="2919" spans="1:16" x14ac:dyDescent="0.4">
      <c r="A2919">
        <v>2009</v>
      </c>
      <c r="B2919" s="2" t="s">
        <v>662</v>
      </c>
      <c r="C2919" s="2" t="s">
        <v>727</v>
      </c>
      <c r="D2919" s="2" t="s">
        <v>288</v>
      </c>
      <c r="E2919" s="70" t="s">
        <v>297</v>
      </c>
      <c r="F2919" s="29">
        <v>77</v>
      </c>
      <c r="G2919" s="29">
        <v>54</v>
      </c>
      <c r="H2919" s="12">
        <v>23</v>
      </c>
      <c r="J2919" s="2"/>
      <c r="K2919" s="2"/>
      <c r="L2919" s="2"/>
      <c r="M2919" s="2"/>
      <c r="N2919" s="2"/>
      <c r="O2919" s="2"/>
      <c r="P2919" s="2"/>
    </row>
    <row r="2920" spans="1:16" x14ac:dyDescent="0.4">
      <c r="A2920">
        <v>2009</v>
      </c>
      <c r="B2920" s="2" t="s">
        <v>663</v>
      </c>
      <c r="C2920" s="2" t="s">
        <v>727</v>
      </c>
      <c r="D2920" s="2" t="s">
        <v>288</v>
      </c>
      <c r="E2920" s="70" t="s">
        <v>298</v>
      </c>
      <c r="F2920" s="29">
        <v>76</v>
      </c>
      <c r="G2920" s="29">
        <v>56</v>
      </c>
      <c r="H2920" s="12">
        <v>20</v>
      </c>
      <c r="J2920" s="2"/>
      <c r="K2920" s="2"/>
      <c r="L2920" s="2"/>
      <c r="M2920" s="2"/>
      <c r="N2920" s="2"/>
      <c r="O2920" s="2"/>
      <c r="P2920" s="2"/>
    </row>
    <row r="2921" spans="1:16" x14ac:dyDescent="0.4">
      <c r="A2921">
        <v>2009</v>
      </c>
      <c r="B2921" s="2" t="s">
        <v>664</v>
      </c>
      <c r="C2921" s="2" t="s">
        <v>728</v>
      </c>
      <c r="D2921" s="2" t="s">
        <v>300</v>
      </c>
      <c r="E2921" s="70" t="s">
        <v>299</v>
      </c>
      <c r="F2921" s="29">
        <v>42</v>
      </c>
      <c r="G2921" s="29">
        <v>32</v>
      </c>
      <c r="H2921" s="12">
        <v>10</v>
      </c>
      <c r="J2921" s="2"/>
      <c r="K2921" s="2"/>
      <c r="L2921" s="2"/>
      <c r="M2921" s="2"/>
      <c r="N2921" s="2"/>
      <c r="O2921" s="2"/>
      <c r="P2921" s="2"/>
    </row>
    <row r="2922" spans="1:16" x14ac:dyDescent="0.4">
      <c r="A2922">
        <v>2009</v>
      </c>
      <c r="B2922" s="2" t="s">
        <v>665</v>
      </c>
      <c r="C2922" s="2" t="s">
        <v>728</v>
      </c>
      <c r="D2922" s="2" t="s">
        <v>300</v>
      </c>
      <c r="E2922" s="70" t="s">
        <v>36</v>
      </c>
      <c r="F2922" s="29">
        <v>76</v>
      </c>
      <c r="G2922" s="29">
        <v>49</v>
      </c>
      <c r="H2922" s="12">
        <v>27</v>
      </c>
      <c r="J2922" s="2"/>
      <c r="K2922" s="2"/>
      <c r="L2922" s="2"/>
      <c r="M2922" s="2"/>
      <c r="N2922" s="2"/>
      <c r="O2922" s="2"/>
      <c r="P2922" s="2"/>
    </row>
    <row r="2923" spans="1:16" x14ac:dyDescent="0.4">
      <c r="A2923">
        <v>2009</v>
      </c>
      <c r="B2923" s="2" t="s">
        <v>666</v>
      </c>
      <c r="C2923" s="2" t="s">
        <v>728</v>
      </c>
      <c r="D2923" s="2" t="s">
        <v>300</v>
      </c>
      <c r="E2923" s="70" t="s">
        <v>301</v>
      </c>
      <c r="F2923" s="29">
        <v>207</v>
      </c>
      <c r="G2923" s="29">
        <v>140</v>
      </c>
      <c r="H2923" s="12">
        <v>67</v>
      </c>
      <c r="J2923" s="2"/>
      <c r="K2923" s="2"/>
      <c r="L2923" s="2"/>
      <c r="M2923" s="2"/>
      <c r="N2923" s="2"/>
      <c r="O2923" s="2"/>
      <c r="P2923" s="2"/>
    </row>
    <row r="2924" spans="1:16" x14ac:dyDescent="0.4">
      <c r="A2924">
        <v>2009</v>
      </c>
      <c r="B2924" s="2" t="s">
        <v>667</v>
      </c>
      <c r="C2924" s="2" t="s">
        <v>728</v>
      </c>
      <c r="D2924" s="2" t="s">
        <v>300</v>
      </c>
      <c r="E2924" s="70" t="s">
        <v>302</v>
      </c>
      <c r="F2924" s="29">
        <v>76</v>
      </c>
      <c r="G2924" s="29">
        <v>43</v>
      </c>
      <c r="H2924" s="12">
        <v>33</v>
      </c>
      <c r="J2924" s="2"/>
      <c r="K2924" s="2"/>
      <c r="L2924" s="2"/>
      <c r="M2924" s="2"/>
      <c r="N2924" s="2"/>
      <c r="O2924" s="2"/>
      <c r="P2924" s="2"/>
    </row>
    <row r="2925" spans="1:16" x14ac:dyDescent="0.4">
      <c r="A2925">
        <v>2009</v>
      </c>
      <c r="B2925" s="2" t="s">
        <v>668</v>
      </c>
      <c r="C2925" s="2" t="s">
        <v>728</v>
      </c>
      <c r="D2925" s="2" t="s">
        <v>300</v>
      </c>
      <c r="E2925" s="70" t="s">
        <v>14</v>
      </c>
      <c r="F2925" s="29">
        <v>144</v>
      </c>
      <c r="G2925" s="29">
        <v>85</v>
      </c>
      <c r="H2925" s="12">
        <v>59</v>
      </c>
      <c r="J2925" s="2"/>
      <c r="K2925" s="2"/>
      <c r="L2925" s="2"/>
      <c r="M2925" s="2"/>
      <c r="N2925" s="2"/>
      <c r="O2925" s="2"/>
      <c r="P2925" s="2"/>
    </row>
    <row r="2926" spans="1:16" x14ac:dyDescent="0.4">
      <c r="A2926">
        <v>2009</v>
      </c>
      <c r="B2926" s="2" t="s">
        <v>669</v>
      </c>
      <c r="C2926" s="2" t="s">
        <v>728</v>
      </c>
      <c r="D2926" s="14" t="s">
        <v>300</v>
      </c>
      <c r="E2926" s="69" t="s">
        <v>303</v>
      </c>
      <c r="F2926" s="11">
        <v>35</v>
      </c>
      <c r="G2926" s="11">
        <v>26</v>
      </c>
      <c r="H2926" s="12">
        <v>9</v>
      </c>
      <c r="J2926" s="2"/>
      <c r="K2926" s="2"/>
      <c r="L2926" s="2"/>
      <c r="M2926" s="2"/>
      <c r="N2926" s="2"/>
      <c r="O2926" s="2"/>
      <c r="P2926" s="2"/>
    </row>
    <row r="2927" spans="1:16" x14ac:dyDescent="0.4">
      <c r="A2927">
        <v>2009</v>
      </c>
      <c r="B2927" s="2" t="s">
        <v>670</v>
      </c>
      <c r="C2927" s="2" t="s">
        <v>728</v>
      </c>
      <c r="D2927" s="2" t="s">
        <v>300</v>
      </c>
      <c r="E2927" s="70" t="s">
        <v>304</v>
      </c>
      <c r="F2927" s="29">
        <v>35</v>
      </c>
      <c r="G2927" s="29">
        <v>19</v>
      </c>
      <c r="H2927" s="12">
        <v>16</v>
      </c>
      <c r="J2927" s="2"/>
      <c r="K2927" s="2"/>
      <c r="L2927" s="2"/>
      <c r="M2927" s="2"/>
      <c r="N2927" s="2"/>
      <c r="O2927" s="2"/>
      <c r="P2927" s="2"/>
    </row>
    <row r="2928" spans="1:16" x14ac:dyDescent="0.4">
      <c r="A2928">
        <v>2009</v>
      </c>
      <c r="B2928" s="2" t="s">
        <v>671</v>
      </c>
      <c r="C2928" s="2" t="s">
        <v>728</v>
      </c>
      <c r="D2928" s="2" t="s">
        <v>300</v>
      </c>
      <c r="E2928" s="70" t="s">
        <v>305</v>
      </c>
      <c r="F2928" s="29">
        <v>32</v>
      </c>
      <c r="G2928" s="29">
        <v>19</v>
      </c>
      <c r="H2928" s="12">
        <v>13</v>
      </c>
      <c r="J2928" s="2"/>
      <c r="K2928" s="2"/>
      <c r="L2928" s="2"/>
      <c r="M2928" s="2"/>
      <c r="N2928" s="2"/>
      <c r="O2928" s="2"/>
      <c r="P2928" s="2"/>
    </row>
    <row r="2929" spans="1:16" x14ac:dyDescent="0.4">
      <c r="A2929">
        <v>2009</v>
      </c>
      <c r="B2929" s="2" t="s">
        <v>672</v>
      </c>
      <c r="C2929" s="2" t="s">
        <v>728</v>
      </c>
      <c r="D2929" s="2" t="s">
        <v>300</v>
      </c>
      <c r="E2929" s="70" t="s">
        <v>306</v>
      </c>
      <c r="F2929" s="29">
        <v>228</v>
      </c>
      <c r="G2929" s="29">
        <v>158</v>
      </c>
      <c r="H2929" s="12">
        <v>70</v>
      </c>
      <c r="J2929" s="2"/>
      <c r="K2929" s="2"/>
      <c r="L2929" s="2"/>
      <c r="M2929" s="2"/>
      <c r="N2929" s="2"/>
      <c r="O2929" s="2"/>
      <c r="P2929" s="2"/>
    </row>
    <row r="2930" spans="1:16" x14ac:dyDescent="0.4">
      <c r="A2930">
        <v>2009</v>
      </c>
      <c r="B2930" s="2" t="s">
        <v>673</v>
      </c>
      <c r="C2930" s="2" t="s">
        <v>728</v>
      </c>
      <c r="D2930" s="2" t="s">
        <v>300</v>
      </c>
      <c r="E2930" s="70" t="s">
        <v>307</v>
      </c>
      <c r="F2930" s="29">
        <v>225</v>
      </c>
      <c r="G2930" s="29">
        <v>157</v>
      </c>
      <c r="H2930" s="12">
        <v>68</v>
      </c>
      <c r="J2930" s="2"/>
      <c r="K2930" s="2"/>
      <c r="L2930" s="2"/>
      <c r="M2930" s="2"/>
      <c r="N2930" s="2"/>
      <c r="O2930" s="2"/>
      <c r="P2930" s="2"/>
    </row>
    <row r="2931" spans="1:16" x14ac:dyDescent="0.4">
      <c r="A2931">
        <v>2009</v>
      </c>
      <c r="B2931" s="2" t="s">
        <v>674</v>
      </c>
      <c r="C2931" s="2" t="s">
        <v>728</v>
      </c>
      <c r="D2931" s="2" t="s">
        <v>300</v>
      </c>
      <c r="E2931" s="70" t="s">
        <v>308</v>
      </c>
      <c r="F2931" s="29">
        <v>1251</v>
      </c>
      <c r="G2931" s="29">
        <v>775</v>
      </c>
      <c r="H2931" s="12">
        <v>476</v>
      </c>
      <c r="J2931" s="2"/>
      <c r="K2931" s="2"/>
      <c r="L2931" s="2"/>
      <c r="M2931" s="2"/>
      <c r="N2931" s="2"/>
      <c r="O2931" s="2"/>
      <c r="P2931" s="2"/>
    </row>
    <row r="2932" spans="1:16" x14ac:dyDescent="0.4">
      <c r="A2932">
        <v>2009</v>
      </c>
      <c r="B2932" s="2" t="s">
        <v>675</v>
      </c>
      <c r="C2932" s="2" t="s">
        <v>728</v>
      </c>
      <c r="D2932" s="2" t="s">
        <v>300</v>
      </c>
      <c r="E2932" s="70" t="s">
        <v>51</v>
      </c>
      <c r="F2932" s="29">
        <v>37</v>
      </c>
      <c r="G2932" s="29">
        <v>24</v>
      </c>
      <c r="H2932" s="12">
        <v>13</v>
      </c>
      <c r="J2932" s="2"/>
      <c r="K2932" s="2"/>
      <c r="L2932" s="2"/>
      <c r="M2932" s="2"/>
      <c r="N2932" s="2"/>
      <c r="O2932" s="2"/>
      <c r="P2932" s="2"/>
    </row>
    <row r="2933" spans="1:16" x14ac:dyDescent="0.4">
      <c r="A2933">
        <v>2009</v>
      </c>
      <c r="B2933" s="2" t="s">
        <v>676</v>
      </c>
      <c r="C2933" s="2" t="s">
        <v>728</v>
      </c>
      <c r="D2933" s="2" t="s">
        <v>300</v>
      </c>
      <c r="E2933" s="70" t="s">
        <v>309</v>
      </c>
      <c r="F2933" s="29">
        <v>61</v>
      </c>
      <c r="G2933" s="29">
        <v>41</v>
      </c>
      <c r="H2933" s="12">
        <v>20</v>
      </c>
      <c r="J2933" s="2"/>
      <c r="K2933" s="2"/>
      <c r="L2933" s="2"/>
      <c r="M2933" s="2"/>
      <c r="N2933" s="2"/>
      <c r="O2933" s="2"/>
    </row>
    <row r="2934" spans="1:16" x14ac:dyDescent="0.4">
      <c r="A2934">
        <v>2009</v>
      </c>
      <c r="B2934" s="2" t="s">
        <v>677</v>
      </c>
      <c r="C2934" s="2" t="s">
        <v>728</v>
      </c>
      <c r="D2934" s="2" t="s">
        <v>300</v>
      </c>
      <c r="E2934" s="70" t="s">
        <v>310</v>
      </c>
      <c r="F2934" s="29">
        <v>72</v>
      </c>
      <c r="G2934" s="29">
        <v>49</v>
      </c>
      <c r="H2934" s="12">
        <v>23</v>
      </c>
      <c r="J2934" s="2"/>
      <c r="K2934" s="2"/>
      <c r="L2934" s="2"/>
      <c r="M2934" s="2"/>
      <c r="N2934" s="2"/>
      <c r="O2934" s="2"/>
    </row>
    <row r="2935" spans="1:16" x14ac:dyDescent="0.4">
      <c r="A2935">
        <v>2009</v>
      </c>
      <c r="B2935" s="2" t="s">
        <v>678</v>
      </c>
      <c r="C2935" s="2" t="s">
        <v>729</v>
      </c>
      <c r="D2935" s="2" t="s">
        <v>312</v>
      </c>
      <c r="E2935" s="70" t="s">
        <v>311</v>
      </c>
      <c r="F2935" s="29">
        <v>29</v>
      </c>
      <c r="G2935" s="29">
        <v>19</v>
      </c>
      <c r="H2935" s="12">
        <v>10</v>
      </c>
      <c r="J2935" s="2"/>
      <c r="K2935" s="2"/>
      <c r="L2935" s="2"/>
      <c r="M2935" s="2"/>
      <c r="N2935" s="2"/>
      <c r="O2935" s="2"/>
    </row>
    <row r="2936" spans="1:16" x14ac:dyDescent="0.4">
      <c r="A2936">
        <v>2009</v>
      </c>
      <c r="B2936" s="2" t="s">
        <v>679</v>
      </c>
      <c r="C2936" s="2" t="s">
        <v>729</v>
      </c>
      <c r="D2936" s="2" t="s">
        <v>312</v>
      </c>
      <c r="E2936" s="70" t="s">
        <v>313</v>
      </c>
      <c r="F2936" s="29">
        <v>259</v>
      </c>
      <c r="G2936" s="29">
        <v>169</v>
      </c>
      <c r="H2936" s="12">
        <v>90</v>
      </c>
      <c r="J2936" s="2"/>
      <c r="K2936" s="2"/>
      <c r="L2936" s="2"/>
      <c r="M2936" s="2"/>
      <c r="N2936" s="2"/>
      <c r="O2936" s="2"/>
    </row>
    <row r="2937" spans="1:16" x14ac:dyDescent="0.4">
      <c r="A2937">
        <v>2009</v>
      </c>
      <c r="B2937" s="2" t="s">
        <v>680</v>
      </c>
      <c r="C2937" s="2" t="s">
        <v>729</v>
      </c>
      <c r="D2937" s="2" t="s">
        <v>312</v>
      </c>
      <c r="E2937" s="70" t="s">
        <v>314</v>
      </c>
      <c r="F2937" s="29">
        <v>1357</v>
      </c>
      <c r="G2937" s="29">
        <v>773</v>
      </c>
      <c r="H2937" s="12">
        <v>584</v>
      </c>
      <c r="J2937" s="2"/>
      <c r="K2937" s="2"/>
      <c r="L2937" s="2"/>
      <c r="M2937" s="2"/>
      <c r="N2937" s="2"/>
      <c r="O2937" s="2"/>
    </row>
    <row r="2938" spans="1:16" x14ac:dyDescent="0.4">
      <c r="A2938">
        <v>2009</v>
      </c>
      <c r="B2938" s="2" t="s">
        <v>681</v>
      </c>
      <c r="C2938" s="2" t="s">
        <v>729</v>
      </c>
      <c r="D2938" s="2" t="s">
        <v>312</v>
      </c>
      <c r="E2938" s="70" t="s">
        <v>315</v>
      </c>
      <c r="F2938" s="29">
        <v>92</v>
      </c>
      <c r="G2938" s="29">
        <v>65</v>
      </c>
      <c r="H2938" s="12">
        <v>27</v>
      </c>
      <c r="J2938" s="2"/>
      <c r="K2938" s="2"/>
      <c r="L2938" s="2"/>
      <c r="M2938" s="2"/>
      <c r="N2938" s="2"/>
      <c r="O2938" s="2"/>
    </row>
    <row r="2939" spans="1:16" x14ac:dyDescent="0.4">
      <c r="A2939">
        <v>2009</v>
      </c>
      <c r="B2939" s="2" t="s">
        <v>682</v>
      </c>
      <c r="C2939" s="2" t="s">
        <v>729</v>
      </c>
      <c r="D2939" s="2" t="s">
        <v>312</v>
      </c>
      <c r="E2939" s="70" t="s">
        <v>316</v>
      </c>
      <c r="F2939" s="29">
        <v>520</v>
      </c>
      <c r="G2939" s="29">
        <v>349</v>
      </c>
      <c r="H2939" s="12">
        <v>171</v>
      </c>
      <c r="J2939" s="2"/>
      <c r="K2939" s="2"/>
      <c r="L2939" s="2"/>
      <c r="M2939" s="2"/>
      <c r="N2939" s="2"/>
      <c r="O2939" s="2"/>
    </row>
    <row r="2940" spans="1:16" x14ac:dyDescent="0.4">
      <c r="A2940">
        <v>2009</v>
      </c>
      <c r="B2940" s="2" t="s">
        <v>683</v>
      </c>
      <c r="C2940" s="2" t="s">
        <v>729</v>
      </c>
      <c r="D2940" s="2" t="s">
        <v>312</v>
      </c>
      <c r="E2940" s="70" t="s">
        <v>317</v>
      </c>
      <c r="F2940" s="29">
        <v>57</v>
      </c>
      <c r="G2940" s="29">
        <v>39</v>
      </c>
      <c r="H2940" s="12">
        <v>18</v>
      </c>
      <c r="J2940" s="2"/>
      <c r="K2940" s="2"/>
      <c r="L2940" s="2"/>
      <c r="M2940" s="2"/>
      <c r="N2940" s="2"/>
      <c r="O2940" s="2"/>
    </row>
    <row r="2941" spans="1:16" x14ac:dyDescent="0.4">
      <c r="A2941">
        <v>2009</v>
      </c>
      <c r="B2941" s="2" t="s">
        <v>684</v>
      </c>
      <c r="C2941" s="2" t="s">
        <v>729</v>
      </c>
      <c r="D2941" s="2" t="s">
        <v>312</v>
      </c>
      <c r="E2941" s="70" t="s">
        <v>318</v>
      </c>
      <c r="F2941" s="29">
        <v>365</v>
      </c>
      <c r="G2941" s="29">
        <v>246</v>
      </c>
      <c r="H2941" s="12">
        <v>119</v>
      </c>
      <c r="J2941" s="2"/>
      <c r="K2941" s="2"/>
      <c r="L2941" s="2"/>
      <c r="M2941" s="2"/>
      <c r="N2941" s="2"/>
      <c r="O2941" s="2"/>
    </row>
    <row r="2942" spans="1:16" x14ac:dyDescent="0.4">
      <c r="A2942">
        <v>2009</v>
      </c>
      <c r="B2942" s="2" t="s">
        <v>685</v>
      </c>
      <c r="C2942" s="2" t="s">
        <v>729</v>
      </c>
      <c r="D2942" s="2" t="s">
        <v>312</v>
      </c>
      <c r="E2942" s="70" t="s">
        <v>319</v>
      </c>
      <c r="F2942" s="29">
        <v>92</v>
      </c>
      <c r="G2942" s="29">
        <v>69</v>
      </c>
      <c r="H2942" s="12">
        <v>23</v>
      </c>
      <c r="J2942" s="2"/>
      <c r="K2942" s="2"/>
      <c r="L2942" s="2"/>
      <c r="M2942" s="2"/>
      <c r="N2942" s="2"/>
      <c r="O2942" s="2"/>
    </row>
    <row r="2943" spans="1:16" x14ac:dyDescent="0.4">
      <c r="A2943">
        <v>2009</v>
      </c>
      <c r="B2943" s="2" t="s">
        <v>686</v>
      </c>
      <c r="C2943" s="2" t="s">
        <v>729</v>
      </c>
      <c r="D2943" s="2" t="s">
        <v>312</v>
      </c>
      <c r="E2943" s="70" t="s">
        <v>320</v>
      </c>
      <c r="F2943" s="29">
        <v>175</v>
      </c>
      <c r="G2943" s="29">
        <v>113</v>
      </c>
      <c r="H2943" s="12">
        <v>62</v>
      </c>
      <c r="J2943" s="2"/>
      <c r="K2943" s="2"/>
      <c r="L2943" s="2"/>
      <c r="M2943" s="2"/>
      <c r="N2943" s="2"/>
      <c r="O2943" s="2"/>
    </row>
    <row r="2944" spans="1:16" x14ac:dyDescent="0.4">
      <c r="A2944">
        <v>2009</v>
      </c>
      <c r="B2944" s="2" t="s">
        <v>687</v>
      </c>
      <c r="C2944" s="2" t="s">
        <v>729</v>
      </c>
      <c r="D2944" s="2" t="s">
        <v>312</v>
      </c>
      <c r="E2944" s="70" t="s">
        <v>321</v>
      </c>
      <c r="F2944" s="29">
        <v>1135</v>
      </c>
      <c r="G2944" s="29">
        <v>663</v>
      </c>
      <c r="H2944" s="12">
        <v>472</v>
      </c>
      <c r="J2944" s="2"/>
      <c r="K2944" s="2"/>
      <c r="L2944" s="2"/>
      <c r="M2944" s="2"/>
      <c r="N2944" s="2"/>
      <c r="O2944" s="2"/>
    </row>
    <row r="2945" spans="1:15" x14ac:dyDescent="0.4">
      <c r="A2945">
        <v>2009</v>
      </c>
      <c r="B2945" s="2" t="s">
        <v>688</v>
      </c>
      <c r="C2945" s="2" t="s">
        <v>729</v>
      </c>
      <c r="D2945" s="2" t="s">
        <v>312</v>
      </c>
      <c r="E2945" s="70" t="s">
        <v>322</v>
      </c>
      <c r="F2945" s="29">
        <v>397</v>
      </c>
      <c r="G2945" s="29">
        <v>240</v>
      </c>
      <c r="H2945" s="12">
        <v>157</v>
      </c>
      <c r="J2945" s="2"/>
      <c r="K2945" s="2"/>
      <c r="L2945" s="2"/>
      <c r="M2945" s="2"/>
      <c r="N2945" s="2"/>
      <c r="O2945" s="2"/>
    </row>
    <row r="2946" spans="1:15" x14ac:dyDescent="0.4">
      <c r="A2946">
        <v>2009</v>
      </c>
      <c r="B2946" s="2" t="s">
        <v>689</v>
      </c>
      <c r="C2946" s="2" t="s">
        <v>729</v>
      </c>
      <c r="D2946" s="2" t="s">
        <v>312</v>
      </c>
      <c r="E2946" s="70" t="s">
        <v>323</v>
      </c>
      <c r="F2946" s="29">
        <v>689</v>
      </c>
      <c r="G2946" s="29">
        <v>443</v>
      </c>
      <c r="H2946" s="12">
        <v>246</v>
      </c>
      <c r="J2946" s="2"/>
      <c r="K2946" s="2"/>
      <c r="L2946" s="2"/>
      <c r="M2946" s="2"/>
      <c r="N2946" s="2"/>
      <c r="O2946" s="2"/>
    </row>
    <row r="2947" spans="1:15" x14ac:dyDescent="0.4">
      <c r="A2947">
        <v>2009</v>
      </c>
      <c r="B2947" s="2" t="s">
        <v>690</v>
      </c>
      <c r="C2947" s="2" t="s">
        <v>729</v>
      </c>
      <c r="D2947" s="2" t="s">
        <v>312</v>
      </c>
      <c r="E2947" s="70" t="s">
        <v>324</v>
      </c>
      <c r="F2947" s="29">
        <v>9772</v>
      </c>
      <c r="G2947" s="29">
        <v>5739</v>
      </c>
      <c r="H2947" s="12">
        <v>4033</v>
      </c>
      <c r="J2947" s="2"/>
      <c r="K2947" s="2"/>
      <c r="L2947" s="2"/>
      <c r="M2947" s="2"/>
      <c r="N2947" s="2"/>
      <c r="O2947" s="2"/>
    </row>
    <row r="2948" spans="1:15" x14ac:dyDescent="0.4">
      <c r="A2948">
        <v>2009</v>
      </c>
      <c r="B2948" s="2" t="s">
        <v>691</v>
      </c>
      <c r="C2948" s="2" t="s">
        <v>729</v>
      </c>
      <c r="D2948" s="2" t="s">
        <v>312</v>
      </c>
      <c r="E2948" s="70" t="s">
        <v>85</v>
      </c>
      <c r="F2948" s="29">
        <v>235</v>
      </c>
      <c r="G2948" s="29">
        <v>147</v>
      </c>
      <c r="H2948" s="12">
        <v>88</v>
      </c>
      <c r="J2948" s="2"/>
      <c r="K2948" s="2"/>
      <c r="L2948" s="2"/>
      <c r="M2948" s="2"/>
      <c r="N2948" s="2"/>
      <c r="O2948" s="2"/>
    </row>
    <row r="2949" spans="1:15" x14ac:dyDescent="0.4">
      <c r="A2949">
        <v>2009</v>
      </c>
      <c r="B2949" s="2" t="s">
        <v>692</v>
      </c>
      <c r="C2949" s="2" t="s">
        <v>729</v>
      </c>
      <c r="D2949" s="2" t="s">
        <v>312</v>
      </c>
      <c r="E2949" s="70" t="s">
        <v>32</v>
      </c>
      <c r="F2949" s="29">
        <v>188</v>
      </c>
      <c r="G2949" s="29">
        <v>109</v>
      </c>
      <c r="H2949" s="12">
        <v>79</v>
      </c>
      <c r="M2949" s="2"/>
      <c r="N2949" s="2"/>
      <c r="O2949" s="2"/>
    </row>
    <row r="2950" spans="1:15" x14ac:dyDescent="0.4">
      <c r="A2950">
        <v>2009</v>
      </c>
      <c r="B2950" s="2" t="s">
        <v>693</v>
      </c>
      <c r="C2950" s="2" t="s">
        <v>729</v>
      </c>
      <c r="D2950" s="2" t="s">
        <v>312</v>
      </c>
      <c r="E2950" s="70" t="s">
        <v>325</v>
      </c>
      <c r="F2950" s="29">
        <v>280</v>
      </c>
      <c r="G2950" s="29">
        <v>176</v>
      </c>
      <c r="H2950" s="12">
        <v>104</v>
      </c>
      <c r="M2950" s="2"/>
      <c r="N2950" s="2"/>
      <c r="O2950" s="2"/>
    </row>
    <row r="2951" spans="1:15" x14ac:dyDescent="0.4">
      <c r="A2951">
        <v>2009</v>
      </c>
      <c r="B2951" s="2" t="s">
        <v>694</v>
      </c>
      <c r="C2951" s="2" t="s">
        <v>729</v>
      </c>
      <c r="D2951" s="2" t="s">
        <v>312</v>
      </c>
      <c r="E2951" s="70" t="s">
        <v>144</v>
      </c>
      <c r="F2951" s="29">
        <v>1640</v>
      </c>
      <c r="G2951" s="29">
        <v>948</v>
      </c>
      <c r="H2951" s="12">
        <v>692</v>
      </c>
      <c r="M2951" s="2"/>
      <c r="N2951" s="2"/>
      <c r="O2951" s="2"/>
    </row>
    <row r="2952" spans="1:15" x14ac:dyDescent="0.4">
      <c r="A2952">
        <v>2009</v>
      </c>
      <c r="B2952" s="2" t="s">
        <v>695</v>
      </c>
      <c r="C2952" s="2" t="s">
        <v>729</v>
      </c>
      <c r="D2952" s="2" t="s">
        <v>312</v>
      </c>
      <c r="E2952" s="70" t="s">
        <v>326</v>
      </c>
      <c r="F2952" s="29">
        <v>144</v>
      </c>
      <c r="G2952" s="29">
        <v>82</v>
      </c>
      <c r="H2952" s="12">
        <v>62</v>
      </c>
      <c r="M2952" s="2"/>
      <c r="N2952" s="2"/>
      <c r="O2952" s="2"/>
    </row>
    <row r="2953" spans="1:15" x14ac:dyDescent="0.4">
      <c r="A2953">
        <v>2009</v>
      </c>
      <c r="B2953" s="2" t="s">
        <v>696</v>
      </c>
      <c r="C2953" s="2" t="s">
        <v>729</v>
      </c>
      <c r="D2953" s="2" t="s">
        <v>312</v>
      </c>
      <c r="E2953" s="70" t="s">
        <v>25</v>
      </c>
      <c r="F2953" s="29">
        <v>84</v>
      </c>
      <c r="G2953" s="29">
        <v>55</v>
      </c>
      <c r="H2953" s="12">
        <v>29</v>
      </c>
      <c r="M2953" s="2"/>
      <c r="N2953" s="2"/>
      <c r="O2953" s="2"/>
    </row>
    <row r="2954" spans="1:15" x14ac:dyDescent="0.4">
      <c r="A2954">
        <v>2009</v>
      </c>
      <c r="B2954" s="2" t="s">
        <v>697</v>
      </c>
      <c r="C2954" s="2" t="s">
        <v>729</v>
      </c>
      <c r="D2954" s="2" t="s">
        <v>312</v>
      </c>
      <c r="E2954" s="70" t="s">
        <v>51</v>
      </c>
      <c r="F2954" s="29">
        <v>229</v>
      </c>
      <c r="G2954" s="29">
        <v>138</v>
      </c>
      <c r="H2954" s="12">
        <v>91</v>
      </c>
      <c r="M2954" s="2"/>
      <c r="N2954" s="2"/>
      <c r="O2954" s="2"/>
    </row>
    <row r="2955" spans="1:15" x14ac:dyDescent="0.4">
      <c r="A2955">
        <v>2009</v>
      </c>
      <c r="B2955" s="2" t="s">
        <v>698</v>
      </c>
      <c r="C2955" s="2" t="s">
        <v>729</v>
      </c>
      <c r="D2955" s="2" t="s">
        <v>312</v>
      </c>
      <c r="E2955" s="70" t="s">
        <v>327</v>
      </c>
      <c r="F2955" s="29">
        <v>132</v>
      </c>
      <c r="G2955" s="29">
        <v>80</v>
      </c>
      <c r="H2955" s="12">
        <v>52</v>
      </c>
      <c r="M2955" s="2"/>
      <c r="N2955" s="2"/>
      <c r="O2955" s="2"/>
    </row>
    <row r="2956" spans="1:15" x14ac:dyDescent="0.4">
      <c r="A2956">
        <v>2009</v>
      </c>
      <c r="B2956" s="2" t="s">
        <v>733</v>
      </c>
      <c r="C2956" s="2" t="s">
        <v>715</v>
      </c>
      <c r="D2956" s="2" t="s">
        <v>734</v>
      </c>
      <c r="E2956" s="70" t="s">
        <v>735</v>
      </c>
      <c r="F2956" s="29">
        <v>0</v>
      </c>
      <c r="G2956" s="29">
        <v>0</v>
      </c>
      <c r="H2956" s="12">
        <v>0</v>
      </c>
      <c r="M2956" s="2"/>
      <c r="N2956" s="2"/>
      <c r="O2956" s="2"/>
    </row>
    <row r="2957" spans="1:15" x14ac:dyDescent="0.4">
      <c r="A2957">
        <v>2008</v>
      </c>
      <c r="B2957" s="5" t="str">
        <f>+C2957&amp;"-"&amp;E2957</f>
        <v>VA-Municipio Autónomo Vargas</v>
      </c>
      <c r="C2957" s="5" t="str">
        <f>+MID(D2957,1,2)</f>
        <v>VA</v>
      </c>
      <c r="D2957" s="25" t="s">
        <v>288</v>
      </c>
      <c r="E2957" s="64" t="s">
        <v>757</v>
      </c>
      <c r="F2957" s="2">
        <v>0</v>
      </c>
      <c r="G2957" s="2">
        <v>0</v>
      </c>
      <c r="H2957" s="2">
        <v>0</v>
      </c>
      <c r="M2957" s="2"/>
      <c r="N2957" s="2"/>
      <c r="O2957" s="2"/>
    </row>
    <row r="2958" spans="1:15" x14ac:dyDescent="0.4">
      <c r="A2958">
        <v>2008</v>
      </c>
      <c r="B2958" s="5" t="str">
        <f>+C2958&amp;"-"&amp;E2958</f>
        <v>DI-Municipio Autónomo Libertador</v>
      </c>
      <c r="C2958" s="5" t="str">
        <f>+MID(D2958,1,2)</f>
        <v>DI</v>
      </c>
      <c r="D2958" s="25" t="s">
        <v>106</v>
      </c>
      <c r="E2958" s="64" t="s">
        <v>756</v>
      </c>
      <c r="F2958" s="2">
        <v>0</v>
      </c>
      <c r="G2958" s="2">
        <v>0</v>
      </c>
      <c r="H2958" s="2">
        <v>0</v>
      </c>
      <c r="M2958" s="2"/>
      <c r="N2958" s="2"/>
      <c r="O2958" s="2"/>
    </row>
    <row r="2959" spans="1:15" x14ac:dyDescent="0.4">
      <c r="A2959">
        <v>2008</v>
      </c>
      <c r="B2959" s="2" t="s">
        <v>335</v>
      </c>
      <c r="C2959" s="2" t="s">
        <v>706</v>
      </c>
      <c r="D2959" s="2" t="s">
        <v>106</v>
      </c>
      <c r="E2959" s="70" t="s">
        <v>105</v>
      </c>
      <c r="F2959" s="29">
        <v>107</v>
      </c>
      <c r="G2959" s="29">
        <v>60</v>
      </c>
      <c r="H2959" s="12">
        <v>47</v>
      </c>
      <c r="M2959" s="2"/>
      <c r="N2959" s="2"/>
      <c r="O2959" s="2"/>
    </row>
    <row r="2960" spans="1:15" x14ac:dyDescent="0.4">
      <c r="A2960">
        <v>2008</v>
      </c>
      <c r="B2960" s="2" t="s">
        <v>336</v>
      </c>
      <c r="C2960" s="2" t="s">
        <v>706</v>
      </c>
      <c r="D2960" s="2" t="s">
        <v>106</v>
      </c>
      <c r="E2960" s="70" t="s">
        <v>107</v>
      </c>
      <c r="F2960" s="29">
        <v>562</v>
      </c>
      <c r="G2960" s="29">
        <v>397</v>
      </c>
      <c r="H2960" s="12">
        <v>165</v>
      </c>
      <c r="M2960" s="2"/>
      <c r="N2960" s="2"/>
      <c r="O2960" s="2"/>
    </row>
    <row r="2961" spans="1:15" x14ac:dyDescent="0.4">
      <c r="A2961">
        <v>2008</v>
      </c>
      <c r="B2961" s="2" t="s">
        <v>337</v>
      </c>
      <c r="C2961" s="2" t="s">
        <v>706</v>
      </c>
      <c r="D2961" s="2" t="s">
        <v>106</v>
      </c>
      <c r="E2961" s="70" t="s">
        <v>108</v>
      </c>
      <c r="F2961" s="29">
        <v>274</v>
      </c>
      <c r="G2961" s="29">
        <v>137</v>
      </c>
      <c r="H2961" s="12">
        <v>137</v>
      </c>
      <c r="M2961" s="2"/>
      <c r="N2961" s="2"/>
      <c r="O2961" s="2"/>
    </row>
    <row r="2962" spans="1:15" x14ac:dyDescent="0.4">
      <c r="A2962">
        <v>2008</v>
      </c>
      <c r="B2962" s="2" t="s">
        <v>338</v>
      </c>
      <c r="C2962" s="2" t="s">
        <v>706</v>
      </c>
      <c r="D2962" s="2" t="s">
        <v>106</v>
      </c>
      <c r="E2962" s="70" t="s">
        <v>109</v>
      </c>
      <c r="F2962" s="29">
        <v>437</v>
      </c>
      <c r="G2962" s="29">
        <v>270</v>
      </c>
      <c r="H2962" s="12">
        <v>167</v>
      </c>
      <c r="M2962" s="2"/>
      <c r="N2962" s="2"/>
      <c r="O2962" s="2"/>
    </row>
    <row r="2963" spans="1:15" x14ac:dyDescent="0.4">
      <c r="A2963">
        <v>2008</v>
      </c>
      <c r="B2963" s="2" t="s">
        <v>339</v>
      </c>
      <c r="C2963" s="2" t="s">
        <v>706</v>
      </c>
      <c r="D2963" s="2" t="s">
        <v>106</v>
      </c>
      <c r="E2963" s="70" t="s">
        <v>110</v>
      </c>
      <c r="F2963" s="29">
        <v>20</v>
      </c>
      <c r="G2963" s="29">
        <v>13</v>
      </c>
      <c r="H2963" s="12">
        <v>7</v>
      </c>
      <c r="M2963" s="2"/>
      <c r="N2963" s="2"/>
      <c r="O2963" s="2"/>
    </row>
    <row r="2964" spans="1:15" x14ac:dyDescent="0.4">
      <c r="A2964">
        <v>2008</v>
      </c>
      <c r="B2964" s="2" t="s">
        <v>340</v>
      </c>
      <c r="C2964" s="2" t="s">
        <v>706</v>
      </c>
      <c r="D2964" s="2" t="s">
        <v>106</v>
      </c>
      <c r="E2964" s="70" t="s">
        <v>111</v>
      </c>
      <c r="F2964" s="29">
        <v>512</v>
      </c>
      <c r="G2964" s="29">
        <v>381</v>
      </c>
      <c r="H2964" s="12">
        <v>131</v>
      </c>
      <c r="M2964" s="2"/>
      <c r="N2964" s="2"/>
      <c r="O2964" s="2"/>
    </row>
    <row r="2965" spans="1:15" x14ac:dyDescent="0.4">
      <c r="A2965">
        <v>2008</v>
      </c>
      <c r="B2965" s="2" t="s">
        <v>341</v>
      </c>
      <c r="C2965" s="2" t="s">
        <v>706</v>
      </c>
      <c r="D2965" s="2" t="s">
        <v>106</v>
      </c>
      <c r="E2965" s="70" t="s">
        <v>112</v>
      </c>
      <c r="F2965" s="29">
        <v>150</v>
      </c>
      <c r="G2965" s="29">
        <v>103</v>
      </c>
      <c r="H2965" s="12">
        <v>47</v>
      </c>
      <c r="M2965" s="2"/>
      <c r="N2965" s="2"/>
      <c r="O2965" s="2"/>
    </row>
    <row r="2966" spans="1:15" x14ac:dyDescent="0.4">
      <c r="A2966">
        <v>2008</v>
      </c>
      <c r="B2966" s="2" t="s">
        <v>342</v>
      </c>
      <c r="C2966" s="2" t="s">
        <v>706</v>
      </c>
      <c r="D2966" s="2" t="s">
        <v>106</v>
      </c>
      <c r="E2966" s="70" t="s">
        <v>113</v>
      </c>
      <c r="F2966" s="29">
        <v>2628</v>
      </c>
      <c r="G2966" s="29">
        <v>1659</v>
      </c>
      <c r="H2966" s="12">
        <v>969</v>
      </c>
      <c r="M2966" s="2"/>
      <c r="N2966" s="2"/>
      <c r="O2966" s="2"/>
    </row>
    <row r="2967" spans="1:15" x14ac:dyDescent="0.4">
      <c r="A2967">
        <v>2008</v>
      </c>
      <c r="B2967" s="2" t="s">
        <v>343</v>
      </c>
      <c r="C2967" s="2" t="s">
        <v>706</v>
      </c>
      <c r="D2967" s="2" t="s">
        <v>106</v>
      </c>
      <c r="E2967" s="70" t="s">
        <v>114</v>
      </c>
      <c r="F2967" s="29">
        <v>822</v>
      </c>
      <c r="G2967" s="29">
        <v>433</v>
      </c>
      <c r="H2967" s="12">
        <v>389</v>
      </c>
      <c r="M2967" s="2"/>
      <c r="N2967" s="2"/>
      <c r="O2967" s="2"/>
    </row>
    <row r="2968" spans="1:15" x14ac:dyDescent="0.4">
      <c r="A2968">
        <v>2008</v>
      </c>
      <c r="B2968" s="2" t="s">
        <v>344</v>
      </c>
      <c r="C2968" s="2" t="s">
        <v>706</v>
      </c>
      <c r="D2968" s="2" t="s">
        <v>106</v>
      </c>
      <c r="E2968" s="70" t="s">
        <v>115</v>
      </c>
      <c r="F2968" s="29">
        <v>376</v>
      </c>
      <c r="G2968" s="29">
        <v>240</v>
      </c>
      <c r="H2968" s="12">
        <v>136</v>
      </c>
      <c r="M2968" s="2"/>
      <c r="N2968" s="2"/>
      <c r="O2968" s="2"/>
    </row>
    <row r="2969" spans="1:15" x14ac:dyDescent="0.4">
      <c r="A2969">
        <v>2008</v>
      </c>
      <c r="B2969" s="2" t="s">
        <v>345</v>
      </c>
      <c r="C2969" s="2" t="s">
        <v>706</v>
      </c>
      <c r="D2969" s="2" t="s">
        <v>106</v>
      </c>
      <c r="E2969" s="70" t="s">
        <v>116</v>
      </c>
      <c r="F2969" s="29">
        <v>543</v>
      </c>
      <c r="G2969" s="29">
        <v>372</v>
      </c>
      <c r="H2969" s="12">
        <v>171</v>
      </c>
      <c r="M2969" s="2"/>
      <c r="N2969" s="2"/>
      <c r="O2969" s="2"/>
    </row>
    <row r="2970" spans="1:15" x14ac:dyDescent="0.4">
      <c r="A2970">
        <v>2008</v>
      </c>
      <c r="B2970" s="2" t="s">
        <v>346</v>
      </c>
      <c r="C2970" s="2" t="s">
        <v>706</v>
      </c>
      <c r="D2970" s="2" t="s">
        <v>106</v>
      </c>
      <c r="E2970" s="70" t="s">
        <v>117</v>
      </c>
      <c r="F2970" s="29">
        <v>327</v>
      </c>
      <c r="G2970" s="29">
        <v>201</v>
      </c>
      <c r="H2970" s="12">
        <v>126</v>
      </c>
      <c r="M2970" s="2"/>
      <c r="N2970" s="2"/>
      <c r="O2970" s="2"/>
    </row>
    <row r="2971" spans="1:15" x14ac:dyDescent="0.4">
      <c r="A2971">
        <v>2008</v>
      </c>
      <c r="B2971" s="2" t="s">
        <v>347</v>
      </c>
      <c r="C2971" s="2" t="s">
        <v>706</v>
      </c>
      <c r="D2971" s="2" t="s">
        <v>106</v>
      </c>
      <c r="E2971" s="70" t="s">
        <v>118</v>
      </c>
      <c r="F2971" s="29">
        <v>161</v>
      </c>
      <c r="G2971" s="29">
        <v>120</v>
      </c>
      <c r="H2971" s="12">
        <v>41</v>
      </c>
      <c r="M2971" s="2"/>
      <c r="N2971" s="2"/>
      <c r="O2971" s="2"/>
    </row>
    <row r="2972" spans="1:15" x14ac:dyDescent="0.4">
      <c r="A2972">
        <v>2008</v>
      </c>
      <c r="B2972" s="2" t="s">
        <v>348</v>
      </c>
      <c r="C2972" s="2" t="s">
        <v>706</v>
      </c>
      <c r="D2972" s="2" t="s">
        <v>106</v>
      </c>
      <c r="E2972" s="70" t="s">
        <v>119</v>
      </c>
      <c r="F2972" s="29">
        <v>133</v>
      </c>
      <c r="G2972" s="29">
        <v>90</v>
      </c>
      <c r="H2972" s="12">
        <v>43</v>
      </c>
      <c r="M2972" s="2"/>
      <c r="N2972" s="2"/>
      <c r="O2972" s="2"/>
    </row>
    <row r="2973" spans="1:15" x14ac:dyDescent="0.4">
      <c r="A2973">
        <v>2008</v>
      </c>
      <c r="B2973" s="2" t="s">
        <v>349</v>
      </c>
      <c r="C2973" s="2" t="s">
        <v>706</v>
      </c>
      <c r="D2973" s="2" t="s">
        <v>106</v>
      </c>
      <c r="E2973" s="70" t="s">
        <v>120</v>
      </c>
      <c r="F2973" s="29">
        <v>1188</v>
      </c>
      <c r="G2973" s="29">
        <v>654</v>
      </c>
      <c r="H2973" s="12">
        <v>534</v>
      </c>
      <c r="M2973" s="2"/>
      <c r="N2973" s="2"/>
      <c r="O2973" s="2"/>
    </row>
    <row r="2974" spans="1:15" x14ac:dyDescent="0.4">
      <c r="A2974">
        <v>2008</v>
      </c>
      <c r="B2974" s="2" t="s">
        <v>350</v>
      </c>
      <c r="C2974" s="2" t="s">
        <v>706</v>
      </c>
      <c r="D2974" s="2" t="s">
        <v>106</v>
      </c>
      <c r="E2974" s="70" t="s">
        <v>121</v>
      </c>
      <c r="F2974" s="29">
        <v>1072</v>
      </c>
      <c r="G2974" s="29">
        <v>520</v>
      </c>
      <c r="H2974" s="12">
        <v>552</v>
      </c>
      <c r="M2974" s="2"/>
      <c r="N2974" s="2"/>
      <c r="O2974" s="2"/>
    </row>
    <row r="2975" spans="1:15" x14ac:dyDescent="0.4">
      <c r="A2975">
        <v>2008</v>
      </c>
      <c r="B2975" s="2" t="s">
        <v>351</v>
      </c>
      <c r="C2975" s="2" t="s">
        <v>706</v>
      </c>
      <c r="D2975" s="2" t="s">
        <v>106</v>
      </c>
      <c r="E2975" s="70" t="s">
        <v>122</v>
      </c>
      <c r="F2975" s="29">
        <v>1757</v>
      </c>
      <c r="G2975" s="29">
        <v>1043</v>
      </c>
      <c r="H2975" s="33">
        <v>714</v>
      </c>
      <c r="M2975" s="2"/>
      <c r="N2975" s="2"/>
      <c r="O2975" s="2"/>
    </row>
    <row r="2976" spans="1:15" x14ac:dyDescent="0.4">
      <c r="A2976">
        <v>2008</v>
      </c>
      <c r="B2976" s="2" t="s">
        <v>352</v>
      </c>
      <c r="C2976" s="2" t="s">
        <v>706</v>
      </c>
      <c r="D2976" s="2" t="s">
        <v>106</v>
      </c>
      <c r="E2976" s="70" t="s">
        <v>123</v>
      </c>
      <c r="F2976" s="29">
        <v>2097</v>
      </c>
      <c r="G2976" s="29">
        <v>1192</v>
      </c>
      <c r="H2976" s="33">
        <v>905</v>
      </c>
      <c r="M2976" s="2"/>
      <c r="N2976" s="2"/>
      <c r="O2976" s="2"/>
    </row>
    <row r="2977" spans="1:15" x14ac:dyDescent="0.4">
      <c r="A2977">
        <v>2008</v>
      </c>
      <c r="B2977" s="2" t="s">
        <v>353</v>
      </c>
      <c r="C2977" s="2" t="s">
        <v>706</v>
      </c>
      <c r="D2977" s="2" t="s">
        <v>106</v>
      </c>
      <c r="E2977" s="70" t="s">
        <v>124</v>
      </c>
      <c r="F2977" s="29">
        <v>541</v>
      </c>
      <c r="G2977" s="29">
        <v>310</v>
      </c>
      <c r="H2977" s="33">
        <v>231</v>
      </c>
      <c r="M2977" s="2"/>
      <c r="N2977" s="2"/>
      <c r="O2977" s="2"/>
    </row>
    <row r="2978" spans="1:15" x14ac:dyDescent="0.4">
      <c r="A2978">
        <v>2008</v>
      </c>
      <c r="B2978" s="2" t="s">
        <v>354</v>
      </c>
      <c r="C2978" s="2" t="s">
        <v>706</v>
      </c>
      <c r="D2978" s="2" t="s">
        <v>106</v>
      </c>
      <c r="E2978" s="70" t="s">
        <v>125</v>
      </c>
      <c r="F2978" s="29">
        <v>39</v>
      </c>
      <c r="G2978" s="29">
        <v>28</v>
      </c>
      <c r="H2978" s="33">
        <v>11</v>
      </c>
      <c r="M2978" s="2"/>
      <c r="N2978" s="2"/>
      <c r="O2978" s="2"/>
    </row>
    <row r="2979" spans="1:15" x14ac:dyDescent="0.4">
      <c r="A2979">
        <v>2008</v>
      </c>
      <c r="B2979" s="2" t="s">
        <v>355</v>
      </c>
      <c r="C2979" s="2" t="s">
        <v>706</v>
      </c>
      <c r="D2979" s="2" t="s">
        <v>106</v>
      </c>
      <c r="E2979" s="70" t="s">
        <v>126</v>
      </c>
      <c r="F2979" s="29">
        <v>1725</v>
      </c>
      <c r="G2979" s="29">
        <v>1178</v>
      </c>
      <c r="H2979" s="33">
        <v>547</v>
      </c>
      <c r="M2979" s="2"/>
      <c r="N2979" s="2"/>
      <c r="O2979" s="2"/>
    </row>
    <row r="2980" spans="1:15" x14ac:dyDescent="0.4">
      <c r="A2980">
        <v>2008</v>
      </c>
      <c r="B2980" s="7" t="s">
        <v>356</v>
      </c>
      <c r="C2980" s="7" t="s">
        <v>706</v>
      </c>
      <c r="D2980" s="7" t="s">
        <v>106</v>
      </c>
      <c r="E2980" s="70" t="s">
        <v>127</v>
      </c>
      <c r="F2980" s="29">
        <v>289</v>
      </c>
      <c r="G2980" s="29">
        <v>185</v>
      </c>
      <c r="H2980" s="33">
        <v>104</v>
      </c>
      <c r="M2980" s="2"/>
      <c r="N2980" s="2"/>
      <c r="O2980" s="2"/>
    </row>
    <row r="2981" spans="1:15" x14ac:dyDescent="0.4">
      <c r="A2981">
        <v>2008</v>
      </c>
      <c r="B2981" s="2" t="s">
        <v>357</v>
      </c>
      <c r="C2981" s="2" t="s">
        <v>707</v>
      </c>
      <c r="D2981" s="2" t="s">
        <v>1</v>
      </c>
      <c r="E2981" s="70" t="s">
        <v>0</v>
      </c>
      <c r="F2981" s="29">
        <v>49</v>
      </c>
      <c r="G2981" s="29">
        <v>33</v>
      </c>
      <c r="H2981" s="33">
        <v>16</v>
      </c>
      <c r="M2981" s="2"/>
      <c r="N2981" s="2"/>
      <c r="O2981" s="2"/>
    </row>
    <row r="2982" spans="1:15" x14ac:dyDescent="0.4">
      <c r="A2982">
        <v>2008</v>
      </c>
      <c r="B2982" s="2" t="s">
        <v>358</v>
      </c>
      <c r="C2982" s="2" t="s">
        <v>707</v>
      </c>
      <c r="D2982" s="2" t="s">
        <v>1</v>
      </c>
      <c r="E2982" s="70" t="s">
        <v>2</v>
      </c>
      <c r="F2982" s="29">
        <v>20</v>
      </c>
      <c r="G2982" s="29">
        <v>10</v>
      </c>
      <c r="H2982" s="33">
        <v>10</v>
      </c>
      <c r="M2982" s="2"/>
      <c r="N2982" s="2"/>
      <c r="O2982" s="2"/>
    </row>
    <row r="2983" spans="1:15" x14ac:dyDescent="0.4">
      <c r="A2983">
        <v>2008</v>
      </c>
      <c r="B2983" s="2" t="s">
        <v>359</v>
      </c>
      <c r="C2983" s="2" t="s">
        <v>707</v>
      </c>
      <c r="D2983" s="2" t="s">
        <v>1</v>
      </c>
      <c r="E2983" s="70" t="s">
        <v>3</v>
      </c>
      <c r="F2983" s="29">
        <v>244</v>
      </c>
      <c r="G2983" s="29">
        <v>159</v>
      </c>
      <c r="H2983" s="33">
        <v>85</v>
      </c>
      <c r="M2983" s="2"/>
      <c r="N2983" s="2"/>
      <c r="O2983" s="2"/>
    </row>
    <row r="2984" spans="1:15" x14ac:dyDescent="0.4">
      <c r="A2984">
        <v>2008</v>
      </c>
      <c r="B2984" s="2" t="s">
        <v>360</v>
      </c>
      <c r="C2984" s="2" t="s">
        <v>707</v>
      </c>
      <c r="D2984" s="2" t="s">
        <v>1</v>
      </c>
      <c r="E2984" s="70" t="s">
        <v>4</v>
      </c>
      <c r="F2984" s="29">
        <v>4</v>
      </c>
      <c r="G2984" s="29">
        <v>3</v>
      </c>
      <c r="H2984" s="33">
        <v>1</v>
      </c>
      <c r="M2984" s="2"/>
      <c r="N2984" s="2"/>
      <c r="O2984" s="2"/>
    </row>
    <row r="2985" spans="1:15" x14ac:dyDescent="0.4">
      <c r="A2985">
        <v>2008</v>
      </c>
      <c r="B2985" s="2" t="s">
        <v>361</v>
      </c>
      <c r="C2985" s="2" t="s">
        <v>707</v>
      </c>
      <c r="D2985" s="2" t="s">
        <v>1</v>
      </c>
      <c r="E2985" s="70" t="s">
        <v>5</v>
      </c>
      <c r="F2985" s="29">
        <v>0</v>
      </c>
      <c r="G2985" s="29">
        <v>0</v>
      </c>
      <c r="H2985" s="33">
        <v>0</v>
      </c>
      <c r="M2985" s="2"/>
      <c r="N2985" s="2"/>
      <c r="O2985" s="2"/>
    </row>
    <row r="2986" spans="1:15" x14ac:dyDescent="0.4">
      <c r="A2986">
        <v>2008</v>
      </c>
      <c r="B2986" s="2" t="s">
        <v>732</v>
      </c>
      <c r="C2986" s="2" t="s">
        <v>707</v>
      </c>
      <c r="D2986" s="2" t="s">
        <v>1</v>
      </c>
      <c r="E2986" s="70" t="s">
        <v>330</v>
      </c>
      <c r="F2986" s="29">
        <v>1</v>
      </c>
      <c r="G2986" s="29">
        <v>1</v>
      </c>
      <c r="H2986" s="33">
        <v>0</v>
      </c>
      <c r="M2986" s="2"/>
      <c r="N2986" s="2"/>
      <c r="O2986" s="2"/>
    </row>
    <row r="2987" spans="1:15" x14ac:dyDescent="0.4">
      <c r="A2987">
        <v>2008</v>
      </c>
      <c r="B2987" s="2" t="s">
        <v>730</v>
      </c>
      <c r="C2987" s="2" t="s">
        <v>707</v>
      </c>
      <c r="D2987" s="2" t="s">
        <v>1</v>
      </c>
      <c r="E2987" s="70" t="s">
        <v>328</v>
      </c>
      <c r="F2987" s="29">
        <v>6</v>
      </c>
      <c r="G2987" s="29">
        <v>4</v>
      </c>
      <c r="H2987" s="33">
        <v>2</v>
      </c>
      <c r="M2987" s="2"/>
      <c r="N2987" s="2"/>
      <c r="O2987" s="2"/>
    </row>
    <row r="2988" spans="1:15" x14ac:dyDescent="0.4">
      <c r="A2988">
        <v>2008</v>
      </c>
      <c r="B2988" s="2" t="s">
        <v>362</v>
      </c>
      <c r="C2988" s="2" t="s">
        <v>708</v>
      </c>
      <c r="D2988" s="2" t="s">
        <v>7</v>
      </c>
      <c r="E2988" s="70" t="s">
        <v>6</v>
      </c>
      <c r="F2988" s="29">
        <v>406</v>
      </c>
      <c r="G2988" s="29">
        <v>262</v>
      </c>
      <c r="H2988" s="33">
        <v>144</v>
      </c>
      <c r="M2988" s="2"/>
      <c r="N2988" s="2"/>
      <c r="O2988" s="2"/>
    </row>
    <row r="2989" spans="1:15" x14ac:dyDescent="0.4">
      <c r="A2989">
        <v>2008</v>
      </c>
      <c r="B2989" s="2" t="s">
        <v>363</v>
      </c>
      <c r="C2989" s="2" t="s">
        <v>708</v>
      </c>
      <c r="D2989" s="2" t="s">
        <v>7</v>
      </c>
      <c r="E2989" s="70" t="s">
        <v>8</v>
      </c>
      <c r="F2989" s="29">
        <v>71</v>
      </c>
      <c r="G2989" s="29">
        <v>46</v>
      </c>
      <c r="H2989" s="33">
        <v>25</v>
      </c>
      <c r="M2989" s="2"/>
      <c r="N2989" s="2"/>
      <c r="O2989" s="2"/>
    </row>
    <row r="2990" spans="1:15" x14ac:dyDescent="0.4">
      <c r="A2990">
        <v>2008</v>
      </c>
      <c r="B2990" s="2" t="s">
        <v>364</v>
      </c>
      <c r="C2990" s="2" t="s">
        <v>708</v>
      </c>
      <c r="D2990" s="2" t="s">
        <v>7</v>
      </c>
      <c r="E2990" s="70" t="s">
        <v>9</v>
      </c>
      <c r="F2990" s="29">
        <v>164</v>
      </c>
      <c r="G2990" s="29">
        <v>84</v>
      </c>
      <c r="H2990" s="33">
        <v>80</v>
      </c>
      <c r="M2990" s="2"/>
      <c r="N2990" s="2"/>
      <c r="O2990" s="2"/>
    </row>
    <row r="2991" spans="1:15" x14ac:dyDescent="0.4">
      <c r="A2991">
        <v>2008</v>
      </c>
      <c r="B2991" s="2" t="s">
        <v>365</v>
      </c>
      <c r="C2991" s="2" t="s">
        <v>708</v>
      </c>
      <c r="D2991" s="2" t="s">
        <v>7</v>
      </c>
      <c r="E2991" s="70" t="s">
        <v>10</v>
      </c>
      <c r="F2991" s="29">
        <v>86</v>
      </c>
      <c r="G2991" s="29">
        <v>62</v>
      </c>
      <c r="H2991" s="33">
        <v>24</v>
      </c>
      <c r="M2991" s="2"/>
      <c r="N2991" s="2"/>
      <c r="O2991" s="2"/>
    </row>
    <row r="2992" spans="1:15" x14ac:dyDescent="0.4">
      <c r="A2992">
        <v>2008</v>
      </c>
      <c r="B2992" s="2" t="s">
        <v>366</v>
      </c>
      <c r="C2992" s="2" t="s">
        <v>708</v>
      </c>
      <c r="D2992" s="2" t="s">
        <v>7</v>
      </c>
      <c r="E2992" s="70" t="s">
        <v>11</v>
      </c>
      <c r="F2992" s="29">
        <v>120</v>
      </c>
      <c r="G2992" s="29">
        <v>68</v>
      </c>
      <c r="H2992" s="33">
        <v>52</v>
      </c>
      <c r="M2992" s="2"/>
      <c r="N2992" s="2"/>
      <c r="O2992" s="2"/>
    </row>
    <row r="2993" spans="1:15" x14ac:dyDescent="0.4">
      <c r="A2993">
        <v>2008</v>
      </c>
      <c r="B2993" s="2" t="s">
        <v>367</v>
      </c>
      <c r="C2993" s="2" t="s">
        <v>708</v>
      </c>
      <c r="D2993" s="2" t="s">
        <v>7</v>
      </c>
      <c r="E2993" s="70" t="s">
        <v>12</v>
      </c>
      <c r="F2993" s="29">
        <v>32</v>
      </c>
      <c r="G2993" s="29">
        <v>19</v>
      </c>
      <c r="H2993" s="33">
        <v>13</v>
      </c>
      <c r="M2993" s="2"/>
      <c r="N2993" s="2"/>
      <c r="O2993" s="2"/>
    </row>
    <row r="2994" spans="1:15" x14ac:dyDescent="0.4">
      <c r="A2994">
        <v>2008</v>
      </c>
      <c r="B2994" s="2" t="s">
        <v>368</v>
      </c>
      <c r="C2994" s="2" t="s">
        <v>708</v>
      </c>
      <c r="D2994" s="2" t="s">
        <v>7</v>
      </c>
      <c r="E2994" s="70" t="s">
        <v>13</v>
      </c>
      <c r="F2994" s="29">
        <v>49</v>
      </c>
      <c r="G2994" s="29">
        <v>30</v>
      </c>
      <c r="H2994" s="33">
        <v>19</v>
      </c>
      <c r="M2994" s="2"/>
      <c r="N2994" s="2"/>
      <c r="O2994" s="2"/>
    </row>
    <row r="2995" spans="1:15" x14ac:dyDescent="0.4">
      <c r="A2995">
        <v>2008</v>
      </c>
      <c r="B2995" s="2" t="s">
        <v>369</v>
      </c>
      <c r="C2995" s="2" t="s">
        <v>708</v>
      </c>
      <c r="D2995" s="2" t="s">
        <v>7</v>
      </c>
      <c r="E2995" s="70" t="s">
        <v>14</v>
      </c>
      <c r="F2995" s="29">
        <v>67</v>
      </c>
      <c r="G2995" s="29">
        <v>43</v>
      </c>
      <c r="H2995" s="33">
        <v>24</v>
      </c>
      <c r="M2995" s="2"/>
      <c r="N2995" s="2"/>
      <c r="O2995" s="2"/>
    </row>
    <row r="2996" spans="1:15" x14ac:dyDescent="0.4">
      <c r="A2996">
        <v>2008</v>
      </c>
      <c r="B2996" s="2" t="s">
        <v>370</v>
      </c>
      <c r="C2996" s="2" t="s">
        <v>708</v>
      </c>
      <c r="D2996" s="2" t="s">
        <v>7</v>
      </c>
      <c r="E2996" s="70" t="s">
        <v>15</v>
      </c>
      <c r="F2996" s="29">
        <v>36</v>
      </c>
      <c r="G2996" s="29">
        <v>18</v>
      </c>
      <c r="H2996" s="33">
        <v>18</v>
      </c>
      <c r="M2996" s="2"/>
      <c r="N2996" s="2"/>
      <c r="O2996" s="2"/>
    </row>
    <row r="2997" spans="1:15" x14ac:dyDescent="0.4">
      <c r="A2997">
        <v>2008</v>
      </c>
      <c r="B2997" s="2" t="s">
        <v>371</v>
      </c>
      <c r="C2997" s="2" t="s">
        <v>708</v>
      </c>
      <c r="D2997" s="2" t="s">
        <v>7</v>
      </c>
      <c r="E2997" s="70" t="s">
        <v>16</v>
      </c>
      <c r="F2997" s="29">
        <v>666</v>
      </c>
      <c r="G2997" s="29">
        <v>395</v>
      </c>
      <c r="H2997" s="33">
        <v>271</v>
      </c>
      <c r="M2997" s="2"/>
      <c r="N2997" s="2"/>
      <c r="O2997" s="2"/>
    </row>
    <row r="2998" spans="1:15" x14ac:dyDescent="0.4">
      <c r="A2998">
        <v>2008</v>
      </c>
      <c r="B2998" s="2" t="s">
        <v>372</v>
      </c>
      <c r="C2998" s="2" t="s">
        <v>708</v>
      </c>
      <c r="D2998" s="2" t="s">
        <v>7</v>
      </c>
      <c r="E2998" s="70" t="s">
        <v>17</v>
      </c>
      <c r="F2998" s="29">
        <v>21</v>
      </c>
      <c r="G2998" s="29">
        <v>12</v>
      </c>
      <c r="H2998" s="33">
        <v>9</v>
      </c>
      <c r="M2998" s="2"/>
      <c r="N2998" s="2"/>
      <c r="O2998" s="2"/>
    </row>
    <row r="2999" spans="1:15" x14ac:dyDescent="0.4">
      <c r="A2999">
        <v>2008</v>
      </c>
      <c r="B2999" s="2" t="s">
        <v>373</v>
      </c>
      <c r="C2999" s="2" t="s">
        <v>708</v>
      </c>
      <c r="D2999" s="2" t="s">
        <v>7</v>
      </c>
      <c r="E2999" s="70" t="s">
        <v>18</v>
      </c>
      <c r="F2999" s="29">
        <v>41</v>
      </c>
      <c r="G2999" s="29">
        <v>29</v>
      </c>
      <c r="H2999" s="33">
        <v>12</v>
      </c>
      <c r="M2999" s="2"/>
      <c r="N2999" s="2"/>
      <c r="O2999" s="2"/>
    </row>
    <row r="3000" spans="1:15" x14ac:dyDescent="0.4">
      <c r="A3000">
        <v>2008</v>
      </c>
      <c r="B3000" s="2" t="s">
        <v>374</v>
      </c>
      <c r="C3000" s="2" t="s">
        <v>708</v>
      </c>
      <c r="D3000" s="2" t="s">
        <v>7</v>
      </c>
      <c r="E3000" s="70" t="s">
        <v>19</v>
      </c>
      <c r="F3000" s="29">
        <v>72</v>
      </c>
      <c r="G3000" s="29">
        <v>52</v>
      </c>
      <c r="H3000" s="33">
        <v>20</v>
      </c>
      <c r="M3000" s="2"/>
      <c r="N3000" s="2"/>
      <c r="O3000" s="2"/>
    </row>
    <row r="3001" spans="1:15" x14ac:dyDescent="0.4">
      <c r="A3001">
        <v>2008</v>
      </c>
      <c r="B3001" s="2" t="s">
        <v>375</v>
      </c>
      <c r="C3001" s="2" t="s">
        <v>708</v>
      </c>
      <c r="D3001" s="2" t="s">
        <v>7</v>
      </c>
      <c r="E3001" s="70" t="s">
        <v>20</v>
      </c>
      <c r="F3001" s="29">
        <v>263</v>
      </c>
      <c r="G3001" s="29">
        <v>160</v>
      </c>
      <c r="H3001" s="33">
        <v>103</v>
      </c>
      <c r="M3001" s="2"/>
      <c r="N3001" s="2"/>
      <c r="O3001" s="2"/>
    </row>
    <row r="3002" spans="1:15" x14ac:dyDescent="0.4">
      <c r="A3002">
        <v>2008</v>
      </c>
      <c r="B3002" s="2" t="s">
        <v>376</v>
      </c>
      <c r="C3002" s="2" t="s">
        <v>708</v>
      </c>
      <c r="D3002" s="2" t="s">
        <v>7</v>
      </c>
      <c r="E3002" s="70" t="s">
        <v>21</v>
      </c>
      <c r="F3002" s="29">
        <v>74</v>
      </c>
      <c r="G3002" s="29">
        <v>44</v>
      </c>
      <c r="H3002" s="33">
        <v>30</v>
      </c>
      <c r="M3002" s="2"/>
      <c r="N3002" s="2"/>
      <c r="O3002" s="2"/>
    </row>
    <row r="3003" spans="1:15" x14ac:dyDescent="0.4">
      <c r="A3003">
        <v>2008</v>
      </c>
      <c r="B3003" s="2" t="s">
        <v>377</v>
      </c>
      <c r="C3003" s="2" t="s">
        <v>708</v>
      </c>
      <c r="D3003" s="2" t="s">
        <v>7</v>
      </c>
      <c r="E3003" s="70" t="s">
        <v>22</v>
      </c>
      <c r="F3003" s="29">
        <v>182</v>
      </c>
      <c r="G3003" s="29">
        <v>99</v>
      </c>
      <c r="H3003" s="33">
        <v>83</v>
      </c>
      <c r="M3003" s="2"/>
      <c r="N3003" s="2"/>
      <c r="O3003" s="2"/>
    </row>
    <row r="3004" spans="1:15" x14ac:dyDescent="0.4">
      <c r="A3004">
        <v>2008</v>
      </c>
      <c r="B3004" s="2" t="s">
        <v>378</v>
      </c>
      <c r="C3004" s="2" t="s">
        <v>708</v>
      </c>
      <c r="D3004" s="2" t="s">
        <v>7</v>
      </c>
      <c r="E3004" s="70" t="s">
        <v>23</v>
      </c>
      <c r="F3004" s="29">
        <v>40</v>
      </c>
      <c r="G3004" s="29">
        <v>24</v>
      </c>
      <c r="H3004" s="33">
        <v>16</v>
      </c>
      <c r="M3004" s="2"/>
      <c r="N3004" s="2"/>
      <c r="O3004" s="2"/>
    </row>
    <row r="3005" spans="1:15" x14ac:dyDescent="0.4">
      <c r="A3005">
        <v>2008</v>
      </c>
      <c r="B3005" s="2" t="s">
        <v>379</v>
      </c>
      <c r="C3005" s="2" t="s">
        <v>708</v>
      </c>
      <c r="D3005" s="2" t="s">
        <v>7</v>
      </c>
      <c r="E3005" s="70" t="s">
        <v>24</v>
      </c>
      <c r="F3005" s="29">
        <v>19</v>
      </c>
      <c r="G3005" s="29">
        <v>11</v>
      </c>
      <c r="H3005" s="33">
        <v>8</v>
      </c>
      <c r="M3005" s="2"/>
      <c r="N3005" s="2"/>
      <c r="O3005" s="2"/>
    </row>
    <row r="3006" spans="1:15" x14ac:dyDescent="0.4">
      <c r="A3006">
        <v>2008</v>
      </c>
      <c r="B3006" s="2" t="s">
        <v>380</v>
      </c>
      <c r="C3006" s="2" t="s">
        <v>708</v>
      </c>
      <c r="D3006" s="2" t="s">
        <v>7</v>
      </c>
      <c r="E3006" s="70" t="s">
        <v>25</v>
      </c>
      <c r="F3006" s="29">
        <v>1974</v>
      </c>
      <c r="G3006" s="29">
        <v>1254</v>
      </c>
      <c r="H3006" s="33">
        <v>720</v>
      </c>
      <c r="M3006" s="2"/>
      <c r="N3006" s="2"/>
      <c r="O3006" s="2"/>
    </row>
    <row r="3007" spans="1:15" x14ac:dyDescent="0.4">
      <c r="A3007">
        <v>2008</v>
      </c>
      <c r="B3007" s="2" t="s">
        <v>381</v>
      </c>
      <c r="C3007" s="2" t="s">
        <v>708</v>
      </c>
      <c r="D3007" s="2" t="s">
        <v>7</v>
      </c>
      <c r="E3007" s="70" t="s">
        <v>26</v>
      </c>
      <c r="F3007" s="29">
        <v>969</v>
      </c>
      <c r="G3007" s="29">
        <v>609</v>
      </c>
      <c r="H3007" s="33">
        <v>360</v>
      </c>
      <c r="M3007" s="2"/>
      <c r="N3007" s="2"/>
      <c r="O3007" s="2"/>
    </row>
    <row r="3008" spans="1:15" x14ac:dyDescent="0.4">
      <c r="A3008">
        <v>2008</v>
      </c>
      <c r="B3008" s="2" t="s">
        <v>382</v>
      </c>
      <c r="C3008" s="2" t="s">
        <v>708</v>
      </c>
      <c r="D3008" s="2" t="s">
        <v>7</v>
      </c>
      <c r="E3008" s="70" t="s">
        <v>27</v>
      </c>
      <c r="F3008" s="29">
        <v>24</v>
      </c>
      <c r="G3008" s="29">
        <v>19</v>
      </c>
      <c r="H3008" s="33">
        <v>5</v>
      </c>
      <c r="M3008" s="2"/>
      <c r="N3008" s="2"/>
      <c r="O3008" s="2"/>
    </row>
    <row r="3009" spans="1:15" x14ac:dyDescent="0.4">
      <c r="A3009">
        <v>2008</v>
      </c>
      <c r="B3009" s="2" t="s">
        <v>383</v>
      </c>
      <c r="C3009" s="2" t="s">
        <v>709</v>
      </c>
      <c r="D3009" s="2" t="s">
        <v>29</v>
      </c>
      <c r="E3009" s="70" t="s">
        <v>28</v>
      </c>
      <c r="F3009" s="29">
        <v>131</v>
      </c>
      <c r="G3009" s="29">
        <v>78</v>
      </c>
      <c r="H3009" s="33">
        <v>53</v>
      </c>
      <c r="M3009" s="2"/>
      <c r="N3009" s="2"/>
      <c r="O3009" s="2"/>
    </row>
    <row r="3010" spans="1:15" x14ac:dyDescent="0.4">
      <c r="A3010">
        <v>2008</v>
      </c>
      <c r="B3010" s="2" t="s">
        <v>384</v>
      </c>
      <c r="C3010" s="2" t="s">
        <v>709</v>
      </c>
      <c r="D3010" s="2" t="s">
        <v>29</v>
      </c>
      <c r="E3010" s="70" t="s">
        <v>30</v>
      </c>
      <c r="F3010" s="29">
        <v>92</v>
      </c>
      <c r="G3010" s="29">
        <v>65</v>
      </c>
      <c r="H3010" s="33">
        <v>27</v>
      </c>
      <c r="M3010" s="2"/>
      <c r="N3010" s="2"/>
      <c r="O3010" s="2"/>
    </row>
    <row r="3011" spans="1:15" x14ac:dyDescent="0.4">
      <c r="A3011">
        <v>2008</v>
      </c>
      <c r="B3011" s="2" t="s">
        <v>385</v>
      </c>
      <c r="C3011" s="2" t="s">
        <v>709</v>
      </c>
      <c r="D3011" s="2" t="s">
        <v>29</v>
      </c>
      <c r="E3011" s="70" t="s">
        <v>31</v>
      </c>
      <c r="F3011" s="29">
        <v>57</v>
      </c>
      <c r="G3011" s="29">
        <v>39</v>
      </c>
      <c r="H3011" s="33">
        <v>18</v>
      </c>
      <c r="M3011" s="2"/>
      <c r="N3011" s="2"/>
      <c r="O3011" s="2"/>
    </row>
    <row r="3012" spans="1:15" x14ac:dyDescent="0.4">
      <c r="A3012">
        <v>2008</v>
      </c>
      <c r="B3012" s="2" t="s">
        <v>386</v>
      </c>
      <c r="C3012" s="2" t="s">
        <v>709</v>
      </c>
      <c r="D3012" s="2" t="s">
        <v>29</v>
      </c>
      <c r="E3012" s="70" t="s">
        <v>32</v>
      </c>
      <c r="F3012" s="29">
        <v>314</v>
      </c>
      <c r="G3012" s="29">
        <v>215</v>
      </c>
      <c r="H3012" s="33">
        <v>99</v>
      </c>
      <c r="M3012" s="2"/>
      <c r="N3012" s="2"/>
      <c r="O3012" s="2"/>
    </row>
    <row r="3013" spans="1:15" x14ac:dyDescent="0.4">
      <c r="A3013">
        <v>2008</v>
      </c>
      <c r="B3013" s="2" t="s">
        <v>387</v>
      </c>
      <c r="C3013" s="2" t="s">
        <v>709</v>
      </c>
      <c r="D3013" s="2" t="s">
        <v>29</v>
      </c>
      <c r="E3013" s="70" t="s">
        <v>33</v>
      </c>
      <c r="F3013" s="29">
        <v>41</v>
      </c>
      <c r="G3013" s="29">
        <v>30</v>
      </c>
      <c r="H3013" s="33">
        <v>11</v>
      </c>
      <c r="M3013" s="2"/>
      <c r="N3013" s="2"/>
      <c r="O3013" s="2"/>
    </row>
    <row r="3014" spans="1:15" x14ac:dyDescent="0.4">
      <c r="A3014">
        <v>2008</v>
      </c>
      <c r="B3014" s="2" t="s">
        <v>388</v>
      </c>
      <c r="C3014" s="2" t="s">
        <v>709</v>
      </c>
      <c r="D3014" s="2" t="s">
        <v>29</v>
      </c>
      <c r="E3014" s="70" t="s">
        <v>34</v>
      </c>
      <c r="F3014" s="29">
        <v>47</v>
      </c>
      <c r="G3014" s="29">
        <v>32</v>
      </c>
      <c r="H3014" s="33">
        <v>15</v>
      </c>
      <c r="M3014" s="2"/>
      <c r="N3014" s="2"/>
      <c r="O3014" s="2"/>
    </row>
    <row r="3015" spans="1:15" x14ac:dyDescent="0.4">
      <c r="A3015">
        <v>2008</v>
      </c>
      <c r="B3015" s="2" t="s">
        <v>389</v>
      </c>
      <c r="C3015" s="2" t="s">
        <v>709</v>
      </c>
      <c r="D3015" s="2" t="s">
        <v>29</v>
      </c>
      <c r="E3015" s="70" t="s">
        <v>35</v>
      </c>
      <c r="F3015" s="29">
        <v>965</v>
      </c>
      <c r="G3015" s="29">
        <v>583</v>
      </c>
      <c r="H3015" s="33">
        <v>382</v>
      </c>
      <c r="M3015" s="2"/>
      <c r="N3015" s="2"/>
      <c r="O3015" s="2"/>
    </row>
    <row r="3016" spans="1:15" x14ac:dyDescent="0.4">
      <c r="A3016">
        <v>2008</v>
      </c>
      <c r="B3016" s="2" t="s">
        <v>390</v>
      </c>
      <c r="C3016" s="2" t="s">
        <v>710</v>
      </c>
      <c r="D3016" s="2" t="s">
        <v>37</v>
      </c>
      <c r="E3016" s="70" t="s">
        <v>36</v>
      </c>
      <c r="F3016" s="29">
        <v>184</v>
      </c>
      <c r="G3016" s="29">
        <v>127</v>
      </c>
      <c r="H3016" s="33">
        <v>57</v>
      </c>
      <c r="M3016" s="2"/>
      <c r="N3016" s="2"/>
      <c r="O3016" s="2"/>
    </row>
    <row r="3017" spans="1:15" x14ac:dyDescent="0.4">
      <c r="A3017">
        <v>2008</v>
      </c>
      <c r="B3017" s="2" t="s">
        <v>391</v>
      </c>
      <c r="C3017" s="2" t="s">
        <v>710</v>
      </c>
      <c r="D3017" s="2" t="s">
        <v>37</v>
      </c>
      <c r="E3017" s="70" t="s">
        <v>38</v>
      </c>
      <c r="F3017" s="29">
        <v>66</v>
      </c>
      <c r="G3017" s="29">
        <v>50</v>
      </c>
      <c r="H3017" s="33">
        <v>16</v>
      </c>
      <c r="M3017" s="2"/>
      <c r="N3017" s="2"/>
      <c r="O3017" s="2"/>
    </row>
    <row r="3018" spans="1:15" x14ac:dyDescent="0.4">
      <c r="A3018">
        <v>2008</v>
      </c>
      <c r="B3018" s="2" t="s">
        <v>392</v>
      </c>
      <c r="C3018" s="2" t="s">
        <v>710</v>
      </c>
      <c r="D3018" s="2" t="s">
        <v>37</v>
      </c>
      <c r="E3018" s="70" t="s">
        <v>39</v>
      </c>
      <c r="F3018" s="29">
        <v>199</v>
      </c>
      <c r="G3018" s="29">
        <v>131</v>
      </c>
      <c r="H3018" s="33">
        <v>68</v>
      </c>
      <c r="M3018" s="2"/>
      <c r="N3018" s="2"/>
      <c r="O3018" s="2"/>
    </row>
    <row r="3019" spans="1:15" x14ac:dyDescent="0.4">
      <c r="A3019">
        <v>2008</v>
      </c>
      <c r="B3019" s="2" t="s">
        <v>393</v>
      </c>
      <c r="C3019" s="2" t="s">
        <v>710</v>
      </c>
      <c r="D3019" s="2" t="s">
        <v>37</v>
      </c>
      <c r="E3019" s="70" t="s">
        <v>40</v>
      </c>
      <c r="F3019" s="29">
        <v>4027</v>
      </c>
      <c r="G3019" s="29">
        <v>2362</v>
      </c>
      <c r="H3019" s="33">
        <v>1665</v>
      </c>
      <c r="M3019" s="2"/>
      <c r="N3019" s="2"/>
      <c r="O3019" s="2"/>
    </row>
    <row r="3020" spans="1:15" x14ac:dyDescent="0.4">
      <c r="A3020">
        <v>2008</v>
      </c>
      <c r="B3020" s="2" t="s">
        <v>394</v>
      </c>
      <c r="C3020" s="2" t="s">
        <v>710</v>
      </c>
      <c r="D3020" s="2" t="s">
        <v>37</v>
      </c>
      <c r="E3020" s="70" t="s">
        <v>41</v>
      </c>
      <c r="F3020" s="29">
        <v>76</v>
      </c>
      <c r="G3020" s="29">
        <v>48</v>
      </c>
      <c r="H3020" s="33">
        <v>28</v>
      </c>
      <c r="M3020" s="2"/>
      <c r="N3020" s="2"/>
      <c r="O3020" s="2"/>
    </row>
    <row r="3021" spans="1:15" x14ac:dyDescent="0.4">
      <c r="A3021">
        <v>2008</v>
      </c>
      <c r="B3021" s="2" t="s">
        <v>395</v>
      </c>
      <c r="C3021" s="2" t="s">
        <v>710</v>
      </c>
      <c r="D3021" s="2" t="s">
        <v>37</v>
      </c>
      <c r="E3021" s="70" t="s">
        <v>42</v>
      </c>
      <c r="F3021" s="29">
        <v>702</v>
      </c>
      <c r="G3021" s="29">
        <v>415</v>
      </c>
      <c r="H3021" s="33">
        <v>287</v>
      </c>
      <c r="M3021" s="2"/>
      <c r="N3021" s="2"/>
      <c r="O3021" s="2"/>
    </row>
    <row r="3022" spans="1:15" x14ac:dyDescent="0.4">
      <c r="A3022">
        <v>2008</v>
      </c>
      <c r="B3022" s="2" t="s">
        <v>396</v>
      </c>
      <c r="C3022" s="2" t="s">
        <v>710</v>
      </c>
      <c r="D3022" s="2" t="s">
        <v>37</v>
      </c>
      <c r="E3022" s="70" t="s">
        <v>43</v>
      </c>
      <c r="F3022" s="29">
        <v>152</v>
      </c>
      <c r="G3022" s="29">
        <v>100</v>
      </c>
      <c r="H3022" s="33">
        <v>52</v>
      </c>
      <c r="M3022" s="2"/>
      <c r="N3022" s="2"/>
      <c r="O3022" s="2"/>
    </row>
    <row r="3023" spans="1:15" x14ac:dyDescent="0.4">
      <c r="A3023">
        <v>2008</v>
      </c>
      <c r="B3023" s="2" t="s">
        <v>397</v>
      </c>
      <c r="C3023" s="2" t="s">
        <v>710</v>
      </c>
      <c r="D3023" s="2" t="s">
        <v>37</v>
      </c>
      <c r="E3023" s="70" t="s">
        <v>44</v>
      </c>
      <c r="F3023" s="29">
        <v>475</v>
      </c>
      <c r="G3023" s="29">
        <v>290</v>
      </c>
      <c r="H3023" s="33">
        <v>185</v>
      </c>
      <c r="M3023" s="2"/>
      <c r="N3023" s="2"/>
      <c r="O3023" s="2"/>
    </row>
    <row r="3024" spans="1:15" x14ac:dyDescent="0.4">
      <c r="A3024">
        <v>2008</v>
      </c>
      <c r="B3024" s="2" t="s">
        <v>398</v>
      </c>
      <c r="C3024" s="2" t="s">
        <v>710</v>
      </c>
      <c r="D3024" s="2" t="s">
        <v>37</v>
      </c>
      <c r="E3024" s="70" t="s">
        <v>45</v>
      </c>
      <c r="F3024" s="29">
        <v>301</v>
      </c>
      <c r="G3024" s="29">
        <v>158</v>
      </c>
      <c r="H3024" s="33">
        <v>143</v>
      </c>
      <c r="M3024" s="2"/>
      <c r="N3024" s="2"/>
      <c r="O3024" s="2"/>
    </row>
    <row r="3025" spans="1:15" x14ac:dyDescent="0.4">
      <c r="A3025">
        <v>2008</v>
      </c>
      <c r="B3025" s="2" t="s">
        <v>399</v>
      </c>
      <c r="C3025" s="2" t="s">
        <v>710</v>
      </c>
      <c r="D3025" s="2" t="s">
        <v>37</v>
      </c>
      <c r="E3025" s="70" t="s">
        <v>46</v>
      </c>
      <c r="F3025" s="29">
        <v>27</v>
      </c>
      <c r="G3025" s="29">
        <v>19</v>
      </c>
      <c r="H3025" s="33">
        <v>8</v>
      </c>
      <c r="M3025" s="2"/>
      <c r="N3025" s="2"/>
      <c r="O3025" s="2"/>
    </row>
    <row r="3026" spans="1:15" x14ac:dyDescent="0.4">
      <c r="A3026">
        <v>2008</v>
      </c>
      <c r="B3026" s="2" t="s">
        <v>400</v>
      </c>
      <c r="C3026" s="2" t="s">
        <v>710</v>
      </c>
      <c r="D3026" s="2" t="s">
        <v>37</v>
      </c>
      <c r="E3026" s="70" t="s">
        <v>47</v>
      </c>
      <c r="F3026" s="29">
        <v>103</v>
      </c>
      <c r="G3026" s="29">
        <v>69</v>
      </c>
      <c r="H3026" s="33">
        <v>34</v>
      </c>
      <c r="M3026" s="2"/>
      <c r="N3026" s="2"/>
      <c r="O3026" s="2"/>
    </row>
    <row r="3027" spans="1:15" x14ac:dyDescent="0.4">
      <c r="A3027">
        <v>2008</v>
      </c>
      <c r="B3027" s="2" t="s">
        <v>401</v>
      </c>
      <c r="C3027" s="2" t="s">
        <v>710</v>
      </c>
      <c r="D3027" s="2" t="s">
        <v>37</v>
      </c>
      <c r="E3027" s="70" t="s">
        <v>48</v>
      </c>
      <c r="F3027" s="29">
        <v>51</v>
      </c>
      <c r="G3027" s="29">
        <v>34</v>
      </c>
      <c r="H3027" s="33">
        <v>17</v>
      </c>
      <c r="M3027" s="2"/>
      <c r="N3027" s="2"/>
      <c r="O3027" s="2"/>
    </row>
    <row r="3028" spans="1:15" x14ac:dyDescent="0.4">
      <c r="A3028">
        <v>2008</v>
      </c>
      <c r="B3028" s="2" t="s">
        <v>402</v>
      </c>
      <c r="C3028" s="2" t="s">
        <v>710</v>
      </c>
      <c r="D3028" s="2" t="s">
        <v>37</v>
      </c>
      <c r="E3028" s="70" t="s">
        <v>49</v>
      </c>
      <c r="F3028" s="29">
        <v>487</v>
      </c>
      <c r="G3028" s="29">
        <v>317</v>
      </c>
      <c r="H3028" s="33">
        <v>170</v>
      </c>
      <c r="M3028" s="2"/>
      <c r="N3028" s="2"/>
      <c r="O3028" s="2"/>
    </row>
    <row r="3029" spans="1:15" x14ac:dyDescent="0.4">
      <c r="A3029">
        <v>2008</v>
      </c>
      <c r="B3029" s="2" t="s">
        <v>403</v>
      </c>
      <c r="C3029" s="2" t="s">
        <v>710</v>
      </c>
      <c r="D3029" s="2" t="s">
        <v>37</v>
      </c>
      <c r="E3029" s="70" t="s">
        <v>50</v>
      </c>
      <c r="F3029" s="29">
        <v>113</v>
      </c>
      <c r="G3029" s="29">
        <v>82</v>
      </c>
      <c r="H3029" s="33">
        <v>31</v>
      </c>
      <c r="M3029" s="2"/>
      <c r="N3029" s="2"/>
      <c r="O3029" s="2"/>
    </row>
    <row r="3030" spans="1:15" x14ac:dyDescent="0.4">
      <c r="A3030">
        <v>2008</v>
      </c>
      <c r="B3030" s="2" t="s">
        <v>404</v>
      </c>
      <c r="C3030" s="2" t="s">
        <v>710</v>
      </c>
      <c r="D3030" s="2" t="s">
        <v>37</v>
      </c>
      <c r="E3030" s="70" t="s">
        <v>51</v>
      </c>
      <c r="F3030" s="29">
        <v>383</v>
      </c>
      <c r="G3030" s="29">
        <v>251</v>
      </c>
      <c r="H3030" s="33">
        <v>132</v>
      </c>
      <c r="M3030" s="2"/>
      <c r="N3030" s="2"/>
      <c r="O3030" s="2"/>
    </row>
    <row r="3031" spans="1:15" x14ac:dyDescent="0.4">
      <c r="A3031">
        <v>2008</v>
      </c>
      <c r="B3031" s="2" t="s">
        <v>405</v>
      </c>
      <c r="C3031" s="2" t="s">
        <v>710</v>
      </c>
      <c r="D3031" s="2" t="s">
        <v>37</v>
      </c>
      <c r="E3031" s="70" t="s">
        <v>52</v>
      </c>
      <c r="F3031" s="29">
        <v>32</v>
      </c>
      <c r="G3031" s="29">
        <v>22</v>
      </c>
      <c r="H3031" s="33">
        <v>10</v>
      </c>
      <c r="M3031" s="2"/>
      <c r="N3031" s="2"/>
      <c r="O3031" s="2"/>
    </row>
    <row r="3032" spans="1:15" x14ac:dyDescent="0.4">
      <c r="A3032">
        <v>2008</v>
      </c>
      <c r="B3032" s="2" t="s">
        <v>406</v>
      </c>
      <c r="C3032" s="2" t="s">
        <v>710</v>
      </c>
      <c r="D3032" s="2" t="s">
        <v>37</v>
      </c>
      <c r="E3032" s="70" t="s">
        <v>53</v>
      </c>
      <c r="F3032" s="29">
        <v>41</v>
      </c>
      <c r="G3032" s="29">
        <v>28</v>
      </c>
      <c r="H3032" s="33">
        <v>13</v>
      </c>
      <c r="M3032" s="2"/>
      <c r="N3032" s="2"/>
      <c r="O3032" s="2"/>
    </row>
    <row r="3033" spans="1:15" x14ac:dyDescent="0.4">
      <c r="A3033">
        <v>2008</v>
      </c>
      <c r="B3033" s="2" t="s">
        <v>407</v>
      </c>
      <c r="C3033" s="2" t="s">
        <v>710</v>
      </c>
      <c r="D3033" s="2" t="s">
        <v>37</v>
      </c>
      <c r="E3033" s="70" t="s">
        <v>54</v>
      </c>
      <c r="F3033" s="29">
        <v>488</v>
      </c>
      <c r="G3033" s="29">
        <v>306</v>
      </c>
      <c r="H3033" s="33">
        <v>182</v>
      </c>
      <c r="M3033" s="2"/>
      <c r="N3033" s="2"/>
      <c r="O3033" s="2"/>
    </row>
    <row r="3034" spans="1:15" x14ac:dyDescent="0.4">
      <c r="A3034">
        <v>2008</v>
      </c>
      <c r="B3034" s="2" t="s">
        <v>408</v>
      </c>
      <c r="C3034" s="2" t="s">
        <v>711</v>
      </c>
      <c r="D3034" s="2" t="s">
        <v>56</v>
      </c>
      <c r="E3034" s="70" t="s">
        <v>55</v>
      </c>
      <c r="F3034" s="29">
        <v>144</v>
      </c>
      <c r="G3034" s="29">
        <v>111</v>
      </c>
      <c r="H3034" s="33">
        <v>33</v>
      </c>
      <c r="M3034" s="2"/>
      <c r="N3034" s="2"/>
      <c r="O3034" s="2"/>
    </row>
    <row r="3035" spans="1:15" x14ac:dyDescent="0.4">
      <c r="A3035">
        <v>2008</v>
      </c>
      <c r="B3035" s="2" t="s">
        <v>409</v>
      </c>
      <c r="C3035" s="2" t="s">
        <v>711</v>
      </c>
      <c r="D3035" s="2" t="s">
        <v>56</v>
      </c>
      <c r="E3035" s="70" t="s">
        <v>57</v>
      </c>
      <c r="F3035" s="29">
        <v>34</v>
      </c>
      <c r="G3035" s="29">
        <v>23</v>
      </c>
      <c r="H3035" s="33">
        <v>11</v>
      </c>
      <c r="M3035" s="2"/>
      <c r="N3035" s="2"/>
      <c r="O3035" s="2"/>
    </row>
    <row r="3036" spans="1:15" x14ac:dyDescent="0.4">
      <c r="A3036">
        <v>2008</v>
      </c>
      <c r="B3036" s="2" t="s">
        <v>410</v>
      </c>
      <c r="C3036" s="2" t="s">
        <v>711</v>
      </c>
      <c r="D3036" s="2" t="s">
        <v>56</v>
      </c>
      <c r="E3036" s="70" t="s">
        <v>58</v>
      </c>
      <c r="F3036" s="29">
        <v>233</v>
      </c>
      <c r="G3036" s="29">
        <v>157</v>
      </c>
      <c r="H3036" s="33">
        <v>76</v>
      </c>
      <c r="M3036" s="2"/>
      <c r="N3036" s="2"/>
      <c r="O3036" s="2"/>
    </row>
    <row r="3037" spans="1:15" x14ac:dyDescent="0.4">
      <c r="A3037">
        <v>2008</v>
      </c>
      <c r="B3037" s="2" t="s">
        <v>411</v>
      </c>
      <c r="C3037" s="2" t="s">
        <v>711</v>
      </c>
      <c r="D3037" s="2" t="s">
        <v>56</v>
      </c>
      <c r="E3037" s="70" t="s">
        <v>59</v>
      </c>
      <c r="F3037" s="29">
        <v>44</v>
      </c>
      <c r="G3037" s="29">
        <v>31</v>
      </c>
      <c r="H3037" s="33">
        <v>13</v>
      </c>
      <c r="M3037" s="2"/>
      <c r="N3037" s="2"/>
      <c r="O3037" s="2"/>
    </row>
    <row r="3038" spans="1:15" x14ac:dyDescent="0.4">
      <c r="A3038">
        <v>2008</v>
      </c>
      <c r="B3038" s="2" t="s">
        <v>412</v>
      </c>
      <c r="C3038" s="2" t="s">
        <v>711</v>
      </c>
      <c r="D3038" s="2" t="s">
        <v>56</v>
      </c>
      <c r="E3038" s="70" t="s">
        <v>60</v>
      </c>
      <c r="F3038" s="29">
        <v>2169</v>
      </c>
      <c r="G3038" s="29">
        <v>1462</v>
      </c>
      <c r="H3038" s="33">
        <v>707</v>
      </c>
      <c r="M3038" s="2"/>
      <c r="N3038" s="2"/>
      <c r="O3038" s="2"/>
    </row>
    <row r="3039" spans="1:15" x14ac:dyDescent="0.4">
      <c r="A3039">
        <v>2008</v>
      </c>
      <c r="B3039" s="2" t="s">
        <v>413</v>
      </c>
      <c r="C3039" s="2" t="s">
        <v>711</v>
      </c>
      <c r="D3039" s="2" t="s">
        <v>56</v>
      </c>
      <c r="E3039" s="70" t="s">
        <v>36</v>
      </c>
      <c r="F3039" s="29">
        <v>144</v>
      </c>
      <c r="G3039" s="29">
        <v>92</v>
      </c>
      <c r="H3039" s="33">
        <v>52</v>
      </c>
      <c r="M3039" s="2"/>
      <c r="N3039" s="2"/>
      <c r="O3039" s="2"/>
    </row>
    <row r="3040" spans="1:15" x14ac:dyDescent="0.4">
      <c r="A3040">
        <v>2008</v>
      </c>
      <c r="B3040" s="2" t="s">
        <v>414</v>
      </c>
      <c r="C3040" s="2" t="s">
        <v>711</v>
      </c>
      <c r="D3040" s="2" t="s">
        <v>56</v>
      </c>
      <c r="E3040" s="70" t="s">
        <v>61</v>
      </c>
      <c r="F3040" s="29">
        <v>88</v>
      </c>
      <c r="G3040" s="29">
        <v>61</v>
      </c>
      <c r="H3040" s="33">
        <v>27</v>
      </c>
      <c r="M3040" s="2"/>
      <c r="N3040" s="2"/>
      <c r="O3040" s="2"/>
    </row>
    <row r="3041" spans="1:15" x14ac:dyDescent="0.4">
      <c r="A3041">
        <v>2008</v>
      </c>
      <c r="B3041" s="2" t="s">
        <v>415</v>
      </c>
      <c r="C3041" s="2" t="s">
        <v>711</v>
      </c>
      <c r="D3041" s="2" t="s">
        <v>56</v>
      </c>
      <c r="E3041" s="70" t="s">
        <v>62</v>
      </c>
      <c r="F3041" s="29">
        <v>203</v>
      </c>
      <c r="G3041" s="29">
        <v>130</v>
      </c>
      <c r="H3041" s="33">
        <v>73</v>
      </c>
      <c r="M3041" s="2"/>
      <c r="N3041" s="2"/>
      <c r="O3041" s="2"/>
    </row>
    <row r="3042" spans="1:15" x14ac:dyDescent="0.4">
      <c r="A3042">
        <v>2008</v>
      </c>
      <c r="B3042" s="2" t="s">
        <v>416</v>
      </c>
      <c r="C3042" s="2" t="s">
        <v>711</v>
      </c>
      <c r="D3042" s="2" t="s">
        <v>56</v>
      </c>
      <c r="E3042" s="70" t="s">
        <v>63</v>
      </c>
      <c r="F3042" s="29">
        <v>85</v>
      </c>
      <c r="G3042" s="29">
        <v>65</v>
      </c>
      <c r="H3042" s="33">
        <v>20</v>
      </c>
      <c r="M3042" s="2"/>
      <c r="N3042" s="2"/>
      <c r="O3042" s="2"/>
    </row>
    <row r="3043" spans="1:15" x14ac:dyDescent="0.4">
      <c r="A3043">
        <v>2008</v>
      </c>
      <c r="B3043" s="2" t="s">
        <v>417</v>
      </c>
      <c r="C3043" s="2" t="s">
        <v>711</v>
      </c>
      <c r="D3043" s="2" t="s">
        <v>56</v>
      </c>
      <c r="E3043" s="70" t="s">
        <v>64</v>
      </c>
      <c r="F3043" s="29">
        <v>182</v>
      </c>
      <c r="G3043" s="29">
        <v>115</v>
      </c>
      <c r="H3043" s="33">
        <v>67</v>
      </c>
      <c r="M3043" s="2"/>
      <c r="N3043" s="2"/>
      <c r="O3043" s="2"/>
    </row>
    <row r="3044" spans="1:15" x14ac:dyDescent="0.4">
      <c r="A3044">
        <v>2008</v>
      </c>
      <c r="B3044" s="2" t="s">
        <v>418</v>
      </c>
      <c r="C3044" s="2" t="s">
        <v>711</v>
      </c>
      <c r="D3044" s="2" t="s">
        <v>56</v>
      </c>
      <c r="E3044" s="70" t="s">
        <v>65</v>
      </c>
      <c r="F3044" s="29">
        <v>105</v>
      </c>
      <c r="G3044" s="29">
        <v>80</v>
      </c>
      <c r="H3044" s="33">
        <v>25</v>
      </c>
      <c r="M3044" s="2"/>
      <c r="N3044" s="2"/>
      <c r="O3044" s="2"/>
    </row>
    <row r="3045" spans="1:15" x14ac:dyDescent="0.4">
      <c r="A3045">
        <v>2008</v>
      </c>
      <c r="B3045" s="2" t="s">
        <v>419</v>
      </c>
      <c r="C3045" s="2" t="s">
        <v>711</v>
      </c>
      <c r="D3045" s="2" t="s">
        <v>56</v>
      </c>
      <c r="E3045" s="70" t="s">
        <v>66</v>
      </c>
      <c r="F3045" s="29">
        <v>49</v>
      </c>
      <c r="G3045" s="29">
        <v>36</v>
      </c>
      <c r="H3045" s="33">
        <v>13</v>
      </c>
      <c r="M3045" s="2"/>
      <c r="N3045" s="2"/>
      <c r="O3045" s="2"/>
    </row>
    <row r="3046" spans="1:15" x14ac:dyDescent="0.4">
      <c r="A3046">
        <v>2008</v>
      </c>
      <c r="B3046" s="2" t="s">
        <v>420</v>
      </c>
      <c r="C3046" s="2" t="s">
        <v>712</v>
      </c>
      <c r="D3046" s="2" t="s">
        <v>68</v>
      </c>
      <c r="E3046" s="70" t="s">
        <v>67</v>
      </c>
      <c r="F3046" s="29">
        <v>3694</v>
      </c>
      <c r="G3046" s="29">
        <v>2442</v>
      </c>
      <c r="H3046" s="33">
        <v>1252</v>
      </c>
      <c r="M3046" s="2"/>
      <c r="N3046" s="2"/>
      <c r="O3046" s="2"/>
    </row>
    <row r="3047" spans="1:15" x14ac:dyDescent="0.4">
      <c r="A3047">
        <v>2008</v>
      </c>
      <c r="B3047" s="2" t="s">
        <v>421</v>
      </c>
      <c r="C3047" s="2" t="s">
        <v>712</v>
      </c>
      <c r="D3047" s="2" t="s">
        <v>68</v>
      </c>
      <c r="E3047" s="70" t="s">
        <v>69</v>
      </c>
      <c r="F3047" s="29">
        <v>201</v>
      </c>
      <c r="G3047" s="29">
        <v>131</v>
      </c>
      <c r="H3047" s="33">
        <v>70</v>
      </c>
      <c r="M3047" s="2"/>
      <c r="N3047" s="2"/>
      <c r="O3047" s="2"/>
    </row>
    <row r="3048" spans="1:15" x14ac:dyDescent="0.4">
      <c r="A3048">
        <v>2008</v>
      </c>
      <c r="B3048" s="2" t="s">
        <v>422</v>
      </c>
      <c r="C3048" s="2" t="s">
        <v>712</v>
      </c>
      <c r="D3048" s="2" t="s">
        <v>68</v>
      </c>
      <c r="E3048" s="70" t="s">
        <v>70</v>
      </c>
      <c r="F3048" s="29">
        <v>53</v>
      </c>
      <c r="G3048" s="29">
        <v>38</v>
      </c>
      <c r="H3048" s="33">
        <v>15</v>
      </c>
      <c r="M3048" s="2"/>
      <c r="N3048" s="2"/>
      <c r="O3048" s="2"/>
    </row>
    <row r="3049" spans="1:15" x14ac:dyDescent="0.4">
      <c r="A3049">
        <v>2008</v>
      </c>
      <c r="B3049" s="2" t="s">
        <v>423</v>
      </c>
      <c r="C3049" s="2" t="s">
        <v>712</v>
      </c>
      <c r="D3049" s="2" t="s">
        <v>68</v>
      </c>
      <c r="E3049" s="70" t="s">
        <v>71</v>
      </c>
      <c r="F3049" s="29">
        <v>58</v>
      </c>
      <c r="G3049" s="29">
        <v>37</v>
      </c>
      <c r="H3049" s="33">
        <v>21</v>
      </c>
      <c r="M3049" s="2"/>
      <c r="N3049" s="2"/>
      <c r="O3049" s="2"/>
    </row>
    <row r="3050" spans="1:15" x14ac:dyDescent="0.4">
      <c r="A3050">
        <v>2008</v>
      </c>
      <c r="B3050" s="2" t="s">
        <v>424</v>
      </c>
      <c r="C3050" s="2" t="s">
        <v>712</v>
      </c>
      <c r="D3050" s="2" t="s">
        <v>68</v>
      </c>
      <c r="E3050" s="70" t="s">
        <v>72</v>
      </c>
      <c r="F3050" s="29">
        <v>2041</v>
      </c>
      <c r="G3050" s="29">
        <v>1239</v>
      </c>
      <c r="H3050" s="33">
        <v>802</v>
      </c>
      <c r="M3050" s="2"/>
      <c r="N3050" s="2"/>
      <c r="O3050" s="2"/>
    </row>
    <row r="3051" spans="1:15" x14ac:dyDescent="0.4">
      <c r="A3051">
        <v>2008</v>
      </c>
      <c r="B3051" s="2" t="s">
        <v>425</v>
      </c>
      <c r="C3051" s="2" t="s">
        <v>712</v>
      </c>
      <c r="D3051" s="2" t="s">
        <v>68</v>
      </c>
      <c r="E3051" s="70" t="s">
        <v>73</v>
      </c>
      <c r="F3051" s="29">
        <v>30</v>
      </c>
      <c r="G3051" s="29">
        <v>21</v>
      </c>
      <c r="H3051" s="33">
        <v>9</v>
      </c>
      <c r="M3051" s="2"/>
      <c r="N3051" s="2"/>
      <c r="O3051" s="2"/>
    </row>
    <row r="3052" spans="1:15" x14ac:dyDescent="0.4">
      <c r="A3052">
        <v>2008</v>
      </c>
      <c r="B3052" s="2" t="s">
        <v>426</v>
      </c>
      <c r="C3052" s="2" t="s">
        <v>712</v>
      </c>
      <c r="D3052" s="2" t="s">
        <v>68</v>
      </c>
      <c r="E3052" s="70" t="s">
        <v>74</v>
      </c>
      <c r="F3052" s="29">
        <v>275</v>
      </c>
      <c r="G3052" s="29">
        <v>165</v>
      </c>
      <c r="H3052" s="33">
        <v>110</v>
      </c>
      <c r="M3052" s="2"/>
      <c r="N3052" s="2"/>
      <c r="O3052" s="2"/>
    </row>
    <row r="3053" spans="1:15" x14ac:dyDescent="0.4">
      <c r="A3053">
        <v>2008</v>
      </c>
      <c r="B3053" s="2" t="s">
        <v>427</v>
      </c>
      <c r="C3053" s="2" t="s">
        <v>712</v>
      </c>
      <c r="D3053" s="2" t="s">
        <v>68</v>
      </c>
      <c r="E3053" s="70" t="s">
        <v>75</v>
      </c>
      <c r="F3053" s="29">
        <v>47</v>
      </c>
      <c r="G3053" s="29">
        <v>33</v>
      </c>
      <c r="H3053" s="33">
        <v>14</v>
      </c>
      <c r="M3053" s="2"/>
      <c r="N3053" s="2"/>
      <c r="O3053" s="2"/>
    </row>
    <row r="3054" spans="1:15" x14ac:dyDescent="0.4">
      <c r="A3054">
        <v>2008</v>
      </c>
      <c r="B3054" s="2" t="s">
        <v>428</v>
      </c>
      <c r="C3054" s="2" t="s">
        <v>712</v>
      </c>
      <c r="D3054" s="2" t="s">
        <v>68</v>
      </c>
      <c r="E3054" s="70" t="s">
        <v>76</v>
      </c>
      <c r="F3054" s="29">
        <v>67</v>
      </c>
      <c r="G3054" s="29">
        <v>51</v>
      </c>
      <c r="H3054" s="33">
        <v>16</v>
      </c>
      <c r="M3054" s="2"/>
      <c r="N3054" s="2"/>
      <c r="O3054" s="2"/>
    </row>
    <row r="3055" spans="1:15" x14ac:dyDescent="0.4">
      <c r="A3055">
        <v>2008</v>
      </c>
      <c r="B3055" s="2" t="s">
        <v>429</v>
      </c>
      <c r="C3055" s="2" t="s">
        <v>712</v>
      </c>
      <c r="D3055" s="2" t="s">
        <v>68</v>
      </c>
      <c r="E3055" s="70" t="s">
        <v>77</v>
      </c>
      <c r="F3055" s="29">
        <v>124</v>
      </c>
      <c r="G3055" s="29">
        <v>89</v>
      </c>
      <c r="H3055" s="33">
        <v>35</v>
      </c>
      <c r="M3055" s="2"/>
      <c r="N3055" s="2"/>
      <c r="O3055" s="2"/>
    </row>
    <row r="3056" spans="1:15" x14ac:dyDescent="0.4">
      <c r="A3056">
        <v>2008</v>
      </c>
      <c r="B3056" s="2" t="s">
        <v>430</v>
      </c>
      <c r="C3056" s="2" t="s">
        <v>712</v>
      </c>
      <c r="D3056" s="2" t="s">
        <v>68</v>
      </c>
      <c r="E3056" s="70" t="s">
        <v>51</v>
      </c>
      <c r="F3056" s="29">
        <v>11</v>
      </c>
      <c r="G3056" s="29">
        <v>9</v>
      </c>
      <c r="H3056" s="33">
        <v>2</v>
      </c>
      <c r="M3056" s="2"/>
      <c r="N3056" s="2"/>
      <c r="O3056" s="2"/>
    </row>
    <row r="3057" spans="1:15" x14ac:dyDescent="0.4">
      <c r="A3057">
        <v>2008</v>
      </c>
      <c r="B3057" s="2" t="s">
        <v>431</v>
      </c>
      <c r="C3057" s="2" t="s">
        <v>713</v>
      </c>
      <c r="D3057" s="2" t="s">
        <v>79</v>
      </c>
      <c r="E3057" s="70" t="s">
        <v>78</v>
      </c>
      <c r="F3057" s="29">
        <v>289</v>
      </c>
      <c r="G3057" s="29">
        <v>169</v>
      </c>
      <c r="H3057" s="33">
        <v>120</v>
      </c>
      <c r="M3057" s="2"/>
      <c r="N3057" s="2"/>
      <c r="O3057" s="2"/>
    </row>
    <row r="3058" spans="1:15" x14ac:dyDescent="0.4">
      <c r="A3058">
        <v>2008</v>
      </c>
      <c r="B3058" s="2" t="s">
        <v>432</v>
      </c>
      <c r="C3058" s="2" t="s">
        <v>713</v>
      </c>
      <c r="D3058" s="2" t="s">
        <v>79</v>
      </c>
      <c r="E3058" s="70" t="s">
        <v>80</v>
      </c>
      <c r="F3058" s="29">
        <v>487</v>
      </c>
      <c r="G3058" s="29">
        <v>321</v>
      </c>
      <c r="H3058" s="33">
        <v>166</v>
      </c>
      <c r="M3058" s="2"/>
      <c r="N3058" s="2"/>
      <c r="O3058" s="2"/>
    </row>
    <row r="3059" spans="1:15" x14ac:dyDescent="0.4">
      <c r="A3059">
        <v>2008</v>
      </c>
      <c r="B3059" s="2" t="s">
        <v>433</v>
      </c>
      <c r="C3059" s="2" t="s">
        <v>713</v>
      </c>
      <c r="D3059" s="2" t="s">
        <v>79</v>
      </c>
      <c r="E3059" s="70" t="s">
        <v>81</v>
      </c>
      <c r="F3059" s="29">
        <v>580</v>
      </c>
      <c r="G3059" s="29">
        <v>399</v>
      </c>
      <c r="H3059" s="33">
        <v>181</v>
      </c>
      <c r="M3059" s="2"/>
      <c r="N3059" s="2"/>
      <c r="O3059" s="2"/>
    </row>
    <row r="3060" spans="1:15" x14ac:dyDescent="0.4">
      <c r="A3060">
        <v>2008</v>
      </c>
      <c r="B3060" s="2" t="s">
        <v>434</v>
      </c>
      <c r="C3060" s="2" t="s">
        <v>713</v>
      </c>
      <c r="D3060" s="2" t="s">
        <v>79</v>
      </c>
      <c r="E3060" s="70" t="s">
        <v>82</v>
      </c>
      <c r="F3060" s="29">
        <v>627</v>
      </c>
      <c r="G3060" s="29">
        <v>418</v>
      </c>
      <c r="H3060" s="33">
        <v>209</v>
      </c>
      <c r="M3060" s="2"/>
      <c r="N3060" s="2"/>
      <c r="O3060" s="2"/>
    </row>
    <row r="3061" spans="1:15" x14ac:dyDescent="0.4">
      <c r="A3061">
        <v>2008</v>
      </c>
      <c r="B3061" s="2" t="s">
        <v>435</v>
      </c>
      <c r="C3061" s="2" t="s">
        <v>713</v>
      </c>
      <c r="D3061" s="2" t="s">
        <v>79</v>
      </c>
      <c r="E3061" s="70" t="s">
        <v>83</v>
      </c>
      <c r="F3061" s="29">
        <v>199</v>
      </c>
      <c r="G3061" s="29">
        <v>132</v>
      </c>
      <c r="H3061" s="33">
        <v>67</v>
      </c>
      <c r="M3061" s="2"/>
      <c r="N3061" s="2"/>
      <c r="O3061" s="2"/>
    </row>
    <row r="3062" spans="1:15" x14ac:dyDescent="0.4">
      <c r="A3062">
        <v>2008</v>
      </c>
      <c r="B3062" s="2" t="s">
        <v>436</v>
      </c>
      <c r="C3062" s="2" t="s">
        <v>713</v>
      </c>
      <c r="D3062" s="2" t="s">
        <v>79</v>
      </c>
      <c r="E3062" s="70" t="s">
        <v>44</v>
      </c>
      <c r="F3062" s="29">
        <v>566</v>
      </c>
      <c r="G3062" s="29">
        <v>414</v>
      </c>
      <c r="H3062" s="33">
        <v>152</v>
      </c>
      <c r="M3062" s="2"/>
      <c r="N3062" s="2"/>
      <c r="O3062" s="2"/>
    </row>
    <row r="3063" spans="1:15" x14ac:dyDescent="0.4">
      <c r="A3063">
        <v>2008</v>
      </c>
      <c r="B3063" s="2" t="s">
        <v>437</v>
      </c>
      <c r="C3063" s="2" t="s">
        <v>713</v>
      </c>
      <c r="D3063" s="2" t="s">
        <v>79</v>
      </c>
      <c r="E3063" s="70" t="s">
        <v>84</v>
      </c>
      <c r="F3063" s="29">
        <v>356</v>
      </c>
      <c r="G3063" s="29">
        <v>249</v>
      </c>
      <c r="H3063" s="33">
        <v>107</v>
      </c>
      <c r="M3063" s="2"/>
      <c r="N3063" s="2"/>
      <c r="O3063" s="2"/>
    </row>
    <row r="3064" spans="1:15" x14ac:dyDescent="0.4">
      <c r="A3064">
        <v>2008</v>
      </c>
      <c r="B3064" s="2" t="s">
        <v>438</v>
      </c>
      <c r="C3064" s="2" t="s">
        <v>713</v>
      </c>
      <c r="D3064" s="2" t="s">
        <v>79</v>
      </c>
      <c r="E3064" s="70" t="s">
        <v>85</v>
      </c>
      <c r="F3064" s="29">
        <v>79</v>
      </c>
      <c r="G3064" s="29">
        <v>53</v>
      </c>
      <c r="H3064" s="33">
        <v>26</v>
      </c>
      <c r="M3064" s="2"/>
      <c r="N3064" s="2"/>
      <c r="O3064" s="2"/>
    </row>
    <row r="3065" spans="1:15" x14ac:dyDescent="0.4">
      <c r="A3065">
        <v>2008</v>
      </c>
      <c r="B3065" s="2" t="s">
        <v>439</v>
      </c>
      <c r="C3065" s="2" t="s">
        <v>713</v>
      </c>
      <c r="D3065" s="2" t="s">
        <v>79</v>
      </c>
      <c r="E3065" s="70" t="s">
        <v>86</v>
      </c>
      <c r="F3065" s="29">
        <v>50</v>
      </c>
      <c r="G3065" s="29">
        <v>29</v>
      </c>
      <c r="H3065" s="33">
        <v>21</v>
      </c>
      <c r="M3065" s="2"/>
      <c r="N3065" s="2"/>
      <c r="O3065" s="2"/>
    </row>
    <row r="3066" spans="1:15" x14ac:dyDescent="0.4">
      <c r="A3066">
        <v>2008</v>
      </c>
      <c r="B3066" s="2" t="s">
        <v>440</v>
      </c>
      <c r="C3066" s="2" t="s">
        <v>713</v>
      </c>
      <c r="D3066" s="2" t="s">
        <v>79</v>
      </c>
      <c r="E3066" s="70" t="s">
        <v>87</v>
      </c>
      <c r="F3066" s="29">
        <v>1439</v>
      </c>
      <c r="G3066" s="29">
        <v>809</v>
      </c>
      <c r="H3066" s="33">
        <v>630</v>
      </c>
      <c r="M3066" s="2"/>
      <c r="N3066" s="2"/>
      <c r="O3066" s="2"/>
    </row>
    <row r="3067" spans="1:15" x14ac:dyDescent="0.4">
      <c r="A3067">
        <v>2008</v>
      </c>
      <c r="B3067" s="2" t="s">
        <v>441</v>
      </c>
      <c r="C3067" s="2" t="s">
        <v>713</v>
      </c>
      <c r="D3067" s="2" t="s">
        <v>79</v>
      </c>
      <c r="E3067" s="70" t="s">
        <v>88</v>
      </c>
      <c r="F3067" s="29">
        <v>1270</v>
      </c>
      <c r="G3067" s="29">
        <v>764</v>
      </c>
      <c r="H3067" s="33">
        <v>506</v>
      </c>
      <c r="M3067" s="2"/>
      <c r="N3067" s="2"/>
      <c r="O3067" s="2"/>
    </row>
    <row r="3068" spans="1:15" x14ac:dyDescent="0.4">
      <c r="A3068">
        <v>2008</v>
      </c>
      <c r="B3068" s="2" t="s">
        <v>442</v>
      </c>
      <c r="C3068" s="2" t="s">
        <v>713</v>
      </c>
      <c r="D3068" s="2" t="s">
        <v>79</v>
      </c>
      <c r="E3068" s="70" t="s">
        <v>89</v>
      </c>
      <c r="F3068" s="29">
        <v>217</v>
      </c>
      <c r="G3068" s="29">
        <v>123</v>
      </c>
      <c r="H3068" s="33">
        <v>94</v>
      </c>
      <c r="M3068" s="2"/>
      <c r="N3068" s="2"/>
      <c r="O3068" s="2"/>
    </row>
    <row r="3069" spans="1:15" x14ac:dyDescent="0.4">
      <c r="A3069">
        <v>2008</v>
      </c>
      <c r="B3069" s="2" t="s">
        <v>443</v>
      </c>
      <c r="C3069" s="2" t="s">
        <v>713</v>
      </c>
      <c r="D3069" s="2" t="s">
        <v>79</v>
      </c>
      <c r="E3069" s="70" t="s">
        <v>90</v>
      </c>
      <c r="F3069" s="29">
        <v>163</v>
      </c>
      <c r="G3069" s="29">
        <v>122</v>
      </c>
      <c r="H3069" s="33">
        <v>41</v>
      </c>
      <c r="M3069" s="2"/>
      <c r="N3069" s="2"/>
      <c r="O3069" s="2"/>
    </row>
    <row r="3070" spans="1:15" x14ac:dyDescent="0.4">
      <c r="A3070">
        <v>2008</v>
      </c>
      <c r="B3070" s="2" t="s">
        <v>444</v>
      </c>
      <c r="C3070" s="2" t="s">
        <v>713</v>
      </c>
      <c r="D3070" s="2" t="s">
        <v>79</v>
      </c>
      <c r="E3070" s="70" t="s">
        <v>91</v>
      </c>
      <c r="F3070" s="29">
        <v>5219</v>
      </c>
      <c r="G3070" s="29">
        <v>3287</v>
      </c>
      <c r="H3070" s="33">
        <v>1932</v>
      </c>
      <c r="M3070" s="2"/>
      <c r="N3070" s="2"/>
      <c r="O3070" s="2"/>
    </row>
    <row r="3071" spans="1:15" x14ac:dyDescent="0.4">
      <c r="A3071">
        <v>2008</v>
      </c>
      <c r="B3071" s="2" t="s">
        <v>445</v>
      </c>
      <c r="C3071" s="2" t="s">
        <v>714</v>
      </c>
      <c r="D3071" s="2" t="s">
        <v>93</v>
      </c>
      <c r="E3071" s="70" t="s">
        <v>92</v>
      </c>
      <c r="F3071" s="29">
        <v>40</v>
      </c>
      <c r="G3071" s="29">
        <v>25</v>
      </c>
      <c r="H3071" s="33">
        <v>15</v>
      </c>
      <c r="M3071" s="2"/>
      <c r="N3071" s="2"/>
      <c r="O3071" s="2"/>
    </row>
    <row r="3072" spans="1:15" x14ac:dyDescent="0.4">
      <c r="A3072">
        <v>2008</v>
      </c>
      <c r="B3072" s="2" t="s">
        <v>446</v>
      </c>
      <c r="C3072" s="2" t="s">
        <v>714</v>
      </c>
      <c r="D3072" s="2" t="s">
        <v>93</v>
      </c>
      <c r="E3072" s="70" t="s">
        <v>94</v>
      </c>
      <c r="F3072" s="29">
        <v>340</v>
      </c>
      <c r="G3072" s="29">
        <v>222</v>
      </c>
      <c r="H3072" s="33">
        <v>118</v>
      </c>
      <c r="M3072" s="2"/>
      <c r="N3072" s="2"/>
      <c r="O3072" s="2"/>
    </row>
    <row r="3073" spans="1:15" x14ac:dyDescent="0.4">
      <c r="A3073">
        <v>2008</v>
      </c>
      <c r="B3073" s="2" t="s">
        <v>447</v>
      </c>
      <c r="C3073" s="2" t="s">
        <v>714</v>
      </c>
      <c r="D3073" s="2" t="s">
        <v>93</v>
      </c>
      <c r="E3073" s="70" t="s">
        <v>40</v>
      </c>
      <c r="F3073" s="29">
        <v>28</v>
      </c>
      <c r="G3073" s="29">
        <v>19</v>
      </c>
      <c r="H3073" s="33">
        <v>9</v>
      </c>
      <c r="M3073" s="2"/>
      <c r="N3073" s="2"/>
      <c r="O3073" s="2"/>
    </row>
    <row r="3074" spans="1:15" x14ac:dyDescent="0.4">
      <c r="A3074">
        <v>2008</v>
      </c>
      <c r="B3074" s="2" t="s">
        <v>448</v>
      </c>
      <c r="C3074" s="2" t="s">
        <v>714</v>
      </c>
      <c r="D3074" s="2" t="s">
        <v>93</v>
      </c>
      <c r="E3074" s="70" t="s">
        <v>95</v>
      </c>
      <c r="F3074" s="29">
        <v>13</v>
      </c>
      <c r="G3074" s="29">
        <v>8</v>
      </c>
      <c r="H3074" s="33">
        <v>5</v>
      </c>
      <c r="M3074" s="2"/>
      <c r="N3074" s="2"/>
      <c r="O3074" s="2"/>
    </row>
    <row r="3075" spans="1:15" x14ac:dyDescent="0.4">
      <c r="A3075">
        <v>2008</v>
      </c>
      <c r="B3075" s="2" t="s">
        <v>449</v>
      </c>
      <c r="C3075" s="2" t="s">
        <v>714</v>
      </c>
      <c r="D3075" s="2" t="s">
        <v>93</v>
      </c>
      <c r="E3075" s="70" t="s">
        <v>96</v>
      </c>
      <c r="F3075" s="29">
        <v>39</v>
      </c>
      <c r="G3075" s="29">
        <v>29</v>
      </c>
      <c r="H3075" s="33">
        <v>10</v>
      </c>
      <c r="M3075" s="2"/>
      <c r="N3075" s="2"/>
      <c r="O3075" s="2"/>
    </row>
    <row r="3076" spans="1:15" x14ac:dyDescent="0.4">
      <c r="A3076">
        <v>2008</v>
      </c>
      <c r="B3076" s="2" t="s">
        <v>450</v>
      </c>
      <c r="C3076" s="2" t="s">
        <v>714</v>
      </c>
      <c r="D3076" s="2" t="s">
        <v>93</v>
      </c>
      <c r="E3076" s="70" t="s">
        <v>97</v>
      </c>
      <c r="F3076" s="29">
        <v>34</v>
      </c>
      <c r="G3076" s="29">
        <v>25</v>
      </c>
      <c r="H3076" s="33">
        <v>9</v>
      </c>
      <c r="M3076" s="2"/>
      <c r="N3076" s="2"/>
      <c r="O3076" s="2"/>
    </row>
    <row r="3077" spans="1:15" x14ac:dyDescent="0.4">
      <c r="A3077">
        <v>2008</v>
      </c>
      <c r="B3077" s="2" t="s">
        <v>451</v>
      </c>
      <c r="C3077" s="2" t="s">
        <v>714</v>
      </c>
      <c r="D3077" s="2" t="s">
        <v>93</v>
      </c>
      <c r="E3077" s="70" t="s">
        <v>34</v>
      </c>
      <c r="F3077" s="29">
        <v>51</v>
      </c>
      <c r="G3077" s="29">
        <v>36</v>
      </c>
      <c r="H3077" s="33">
        <v>15</v>
      </c>
      <c r="M3077" s="2"/>
      <c r="N3077" s="2"/>
      <c r="O3077" s="2"/>
    </row>
    <row r="3078" spans="1:15" x14ac:dyDescent="0.4">
      <c r="A3078">
        <v>2008</v>
      </c>
      <c r="B3078" s="2" t="s">
        <v>452</v>
      </c>
      <c r="C3078" s="2" t="s">
        <v>714</v>
      </c>
      <c r="D3078" s="14" t="s">
        <v>93</v>
      </c>
      <c r="E3078" s="69" t="s">
        <v>98</v>
      </c>
      <c r="F3078" s="11">
        <v>662</v>
      </c>
      <c r="G3078" s="11">
        <v>437</v>
      </c>
      <c r="H3078" s="33">
        <v>225</v>
      </c>
      <c r="M3078" s="2"/>
      <c r="N3078" s="2"/>
      <c r="O3078" s="2"/>
    </row>
    <row r="3079" spans="1:15" x14ac:dyDescent="0.4">
      <c r="A3079">
        <v>2008</v>
      </c>
      <c r="B3079" s="2" t="s">
        <v>453</v>
      </c>
      <c r="C3079" s="2" t="s">
        <v>714</v>
      </c>
      <c r="D3079" s="2" t="s">
        <v>93</v>
      </c>
      <c r="E3079" s="70" t="s">
        <v>99</v>
      </c>
      <c r="F3079" s="29">
        <v>116</v>
      </c>
      <c r="G3079" s="29">
        <v>80</v>
      </c>
      <c r="H3079" s="33">
        <v>36</v>
      </c>
      <c r="M3079" s="2"/>
      <c r="N3079" s="2"/>
      <c r="O3079" s="2"/>
    </row>
    <row r="3080" spans="1:15" x14ac:dyDescent="0.4">
      <c r="A3080">
        <v>2008</v>
      </c>
      <c r="B3080" s="2" t="s">
        <v>454</v>
      </c>
      <c r="C3080" s="2" t="s">
        <v>715</v>
      </c>
      <c r="D3080" s="2" t="s">
        <v>101</v>
      </c>
      <c r="E3080" s="70" t="s">
        <v>100</v>
      </c>
      <c r="F3080" s="29">
        <v>25</v>
      </c>
      <c r="G3080" s="29">
        <v>14</v>
      </c>
      <c r="H3080" s="33">
        <v>11</v>
      </c>
      <c r="M3080" s="2"/>
      <c r="N3080" s="2"/>
      <c r="O3080" s="2"/>
    </row>
    <row r="3081" spans="1:15" x14ac:dyDescent="0.4">
      <c r="A3081">
        <v>2008</v>
      </c>
      <c r="B3081" s="2" t="s">
        <v>455</v>
      </c>
      <c r="C3081" s="2" t="s">
        <v>715</v>
      </c>
      <c r="D3081" s="2" t="s">
        <v>101</v>
      </c>
      <c r="E3081" s="70" t="s">
        <v>102</v>
      </c>
      <c r="F3081" s="29">
        <v>47</v>
      </c>
      <c r="G3081" s="29">
        <v>30</v>
      </c>
      <c r="H3081" s="33">
        <v>17</v>
      </c>
      <c r="M3081" s="2"/>
      <c r="N3081" s="2"/>
      <c r="O3081" s="2"/>
    </row>
    <row r="3082" spans="1:15" x14ac:dyDescent="0.4">
      <c r="A3082">
        <v>2008</v>
      </c>
      <c r="B3082" s="2" t="s">
        <v>456</v>
      </c>
      <c r="C3082" s="2" t="s">
        <v>715</v>
      </c>
      <c r="D3082" s="2" t="s">
        <v>101</v>
      </c>
      <c r="E3082" s="70" t="s">
        <v>103</v>
      </c>
      <c r="F3082" s="29">
        <v>39</v>
      </c>
      <c r="G3082" s="29">
        <v>22</v>
      </c>
      <c r="H3082" s="33">
        <v>17</v>
      </c>
      <c r="M3082" s="2"/>
      <c r="N3082" s="2"/>
      <c r="O3082" s="2"/>
    </row>
    <row r="3083" spans="1:15" x14ac:dyDescent="0.4">
      <c r="A3083">
        <v>2008</v>
      </c>
      <c r="B3083" s="2" t="s">
        <v>457</v>
      </c>
      <c r="C3083" s="2" t="s">
        <v>715</v>
      </c>
      <c r="D3083" s="2" t="s">
        <v>101</v>
      </c>
      <c r="E3083" s="70" t="s">
        <v>104</v>
      </c>
      <c r="F3083" s="29">
        <v>461</v>
      </c>
      <c r="G3083" s="29">
        <v>299</v>
      </c>
      <c r="H3083" s="33">
        <v>162</v>
      </c>
      <c r="M3083" s="2"/>
      <c r="N3083" s="2"/>
      <c r="O3083" s="2"/>
    </row>
    <row r="3084" spans="1:15" x14ac:dyDescent="0.4">
      <c r="A3084">
        <v>2008</v>
      </c>
      <c r="B3084" s="2" t="s">
        <v>458</v>
      </c>
      <c r="C3084" s="2" t="s">
        <v>716</v>
      </c>
      <c r="D3084" s="2" t="s">
        <v>129</v>
      </c>
      <c r="E3084" s="70" t="s">
        <v>128</v>
      </c>
      <c r="F3084" s="29">
        <v>27</v>
      </c>
      <c r="G3084" s="29">
        <v>17</v>
      </c>
      <c r="H3084" s="33">
        <v>10</v>
      </c>
      <c r="M3084" s="2"/>
      <c r="N3084" s="2"/>
      <c r="O3084" s="2"/>
    </row>
    <row r="3085" spans="1:15" x14ac:dyDescent="0.4">
      <c r="A3085">
        <v>2008</v>
      </c>
      <c r="B3085" s="2" t="s">
        <v>459</v>
      </c>
      <c r="C3085" s="2" t="s">
        <v>716</v>
      </c>
      <c r="D3085" s="2" t="s">
        <v>129</v>
      </c>
      <c r="E3085" s="70" t="s">
        <v>36</v>
      </c>
      <c r="F3085" s="29">
        <v>12</v>
      </c>
      <c r="G3085" s="29">
        <v>6</v>
      </c>
      <c r="H3085" s="33">
        <v>6</v>
      </c>
      <c r="M3085" s="2"/>
      <c r="N3085" s="2"/>
      <c r="O3085" s="2"/>
    </row>
    <row r="3086" spans="1:15" x14ac:dyDescent="0.4">
      <c r="A3086">
        <v>2008</v>
      </c>
      <c r="B3086" s="2" t="s">
        <v>460</v>
      </c>
      <c r="C3086" s="2" t="s">
        <v>716</v>
      </c>
      <c r="D3086" s="2" t="s">
        <v>129</v>
      </c>
      <c r="E3086" s="70" t="s">
        <v>130</v>
      </c>
      <c r="F3086" s="29">
        <v>45</v>
      </c>
      <c r="G3086" s="29">
        <v>28</v>
      </c>
      <c r="H3086" s="33">
        <v>17</v>
      </c>
      <c r="M3086" s="2"/>
      <c r="N3086" s="2"/>
      <c r="O3086" s="2"/>
    </row>
    <row r="3087" spans="1:15" x14ac:dyDescent="0.4">
      <c r="A3087">
        <v>2008</v>
      </c>
      <c r="B3087" s="2" t="s">
        <v>461</v>
      </c>
      <c r="C3087" s="2" t="s">
        <v>716</v>
      </c>
      <c r="D3087" s="2" t="s">
        <v>129</v>
      </c>
      <c r="E3087" s="70" t="s">
        <v>131</v>
      </c>
      <c r="F3087" s="29">
        <v>25</v>
      </c>
      <c r="G3087" s="29">
        <v>16</v>
      </c>
      <c r="H3087" s="33">
        <v>9</v>
      </c>
      <c r="M3087" s="2"/>
      <c r="N3087" s="2"/>
      <c r="O3087" s="2"/>
    </row>
    <row r="3088" spans="1:15" x14ac:dyDescent="0.4">
      <c r="A3088">
        <v>2008</v>
      </c>
      <c r="B3088" s="2" t="s">
        <v>462</v>
      </c>
      <c r="C3088" s="2" t="s">
        <v>716</v>
      </c>
      <c r="D3088" s="2" t="s">
        <v>129</v>
      </c>
      <c r="E3088" s="70" t="s">
        <v>132</v>
      </c>
      <c r="F3088" s="29">
        <v>1057</v>
      </c>
      <c r="G3088" s="29">
        <v>626</v>
      </c>
      <c r="H3088" s="33">
        <v>431</v>
      </c>
      <c r="M3088" s="2"/>
      <c r="N3088" s="2"/>
      <c r="O3088" s="2"/>
    </row>
    <row r="3089" spans="1:15" x14ac:dyDescent="0.4">
      <c r="A3089">
        <v>2008</v>
      </c>
      <c r="B3089" s="2" t="s">
        <v>463</v>
      </c>
      <c r="C3089" s="2" t="s">
        <v>716</v>
      </c>
      <c r="D3089" s="2" t="s">
        <v>129</v>
      </c>
      <c r="E3089" s="70" t="s">
        <v>133</v>
      </c>
      <c r="F3089" s="29">
        <v>66</v>
      </c>
      <c r="G3089" s="29">
        <v>47</v>
      </c>
      <c r="H3089" s="33">
        <v>19</v>
      </c>
      <c r="M3089" s="2"/>
      <c r="N3089" s="2"/>
      <c r="O3089" s="2"/>
    </row>
    <row r="3090" spans="1:15" x14ac:dyDescent="0.4">
      <c r="A3090">
        <v>2008</v>
      </c>
      <c r="B3090" s="2" t="s">
        <v>464</v>
      </c>
      <c r="C3090" s="2" t="s">
        <v>716</v>
      </c>
      <c r="D3090" s="2" t="s">
        <v>129</v>
      </c>
      <c r="E3090" s="70" t="s">
        <v>134</v>
      </c>
      <c r="F3090" s="29">
        <v>73</v>
      </c>
      <c r="G3090" s="29">
        <v>44</v>
      </c>
      <c r="H3090" s="33">
        <v>29</v>
      </c>
      <c r="M3090" s="2"/>
      <c r="N3090" s="2"/>
      <c r="O3090" s="2"/>
    </row>
    <row r="3091" spans="1:15" x14ac:dyDescent="0.4">
      <c r="A3091">
        <v>2008</v>
      </c>
      <c r="B3091" s="2" t="s">
        <v>465</v>
      </c>
      <c r="C3091" s="2" t="s">
        <v>716</v>
      </c>
      <c r="D3091" s="2" t="s">
        <v>129</v>
      </c>
      <c r="E3091" s="70" t="s">
        <v>135</v>
      </c>
      <c r="F3091" s="29">
        <v>20</v>
      </c>
      <c r="G3091" s="29">
        <v>12</v>
      </c>
      <c r="H3091" s="33">
        <v>8</v>
      </c>
      <c r="M3091" s="2"/>
      <c r="N3091" s="2"/>
      <c r="O3091" s="2"/>
    </row>
    <row r="3092" spans="1:15" x14ac:dyDescent="0.4">
      <c r="A3092">
        <v>2008</v>
      </c>
      <c r="B3092" s="2" t="s">
        <v>466</v>
      </c>
      <c r="C3092" s="2" t="s">
        <v>716</v>
      </c>
      <c r="D3092" s="2" t="s">
        <v>129</v>
      </c>
      <c r="E3092" s="70" t="s">
        <v>94</v>
      </c>
      <c r="F3092" s="29">
        <v>117</v>
      </c>
      <c r="G3092" s="29">
        <v>70</v>
      </c>
      <c r="H3092" s="33">
        <v>47</v>
      </c>
      <c r="M3092" s="2"/>
      <c r="N3092" s="2"/>
      <c r="O3092" s="2"/>
    </row>
    <row r="3093" spans="1:15" x14ac:dyDescent="0.4">
      <c r="A3093">
        <v>2008</v>
      </c>
      <c r="B3093" s="2" t="s">
        <v>467</v>
      </c>
      <c r="C3093" s="2" t="s">
        <v>716</v>
      </c>
      <c r="D3093" s="2" t="s">
        <v>129</v>
      </c>
      <c r="E3093" s="70" t="s">
        <v>136</v>
      </c>
      <c r="F3093" s="29">
        <v>91</v>
      </c>
      <c r="G3093" s="29">
        <v>50</v>
      </c>
      <c r="H3093" s="33">
        <v>41</v>
      </c>
      <c r="M3093" s="2"/>
      <c r="N3093" s="2"/>
      <c r="O3093" s="2"/>
    </row>
    <row r="3094" spans="1:15" x14ac:dyDescent="0.4">
      <c r="A3094">
        <v>2008</v>
      </c>
      <c r="B3094" s="2" t="s">
        <v>468</v>
      </c>
      <c r="C3094" s="2" t="s">
        <v>716</v>
      </c>
      <c r="D3094" s="2" t="s">
        <v>129</v>
      </c>
      <c r="E3094" s="70" t="s">
        <v>137</v>
      </c>
      <c r="F3094" s="29">
        <v>11</v>
      </c>
      <c r="G3094" s="29">
        <v>6</v>
      </c>
      <c r="H3094" s="33">
        <v>5</v>
      </c>
      <c r="M3094" s="2"/>
      <c r="N3094" s="2"/>
      <c r="O3094" s="2"/>
    </row>
    <row r="3095" spans="1:15" x14ac:dyDescent="0.4">
      <c r="A3095">
        <v>2008</v>
      </c>
      <c r="B3095" s="2" t="s">
        <v>469</v>
      </c>
      <c r="C3095" s="2" t="s">
        <v>716</v>
      </c>
      <c r="D3095" s="2" t="s">
        <v>129</v>
      </c>
      <c r="E3095" s="70" t="s">
        <v>138</v>
      </c>
      <c r="F3095" s="29">
        <v>125</v>
      </c>
      <c r="G3095" s="29">
        <v>79</v>
      </c>
      <c r="H3095" s="33">
        <v>46</v>
      </c>
      <c r="M3095" s="2"/>
      <c r="N3095" s="2"/>
      <c r="O3095" s="2"/>
    </row>
    <row r="3096" spans="1:15" x14ac:dyDescent="0.4">
      <c r="A3096">
        <v>2008</v>
      </c>
      <c r="B3096" s="2" t="s">
        <v>470</v>
      </c>
      <c r="C3096" s="2" t="s">
        <v>716</v>
      </c>
      <c r="D3096" s="2" t="s">
        <v>129</v>
      </c>
      <c r="E3096" s="70" t="s">
        <v>139</v>
      </c>
      <c r="F3096" s="29">
        <v>94</v>
      </c>
      <c r="G3096" s="29">
        <v>60</v>
      </c>
      <c r="H3096" s="33">
        <v>34</v>
      </c>
      <c r="M3096" s="2"/>
      <c r="N3096" s="2"/>
      <c r="O3096" s="2"/>
    </row>
    <row r="3097" spans="1:15" x14ac:dyDescent="0.4">
      <c r="A3097">
        <v>2008</v>
      </c>
      <c r="B3097" s="2" t="s">
        <v>471</v>
      </c>
      <c r="C3097" s="2" t="s">
        <v>716</v>
      </c>
      <c r="D3097" s="2" t="s">
        <v>129</v>
      </c>
      <c r="E3097" s="70" t="s">
        <v>85</v>
      </c>
      <c r="F3097" s="29">
        <v>1256</v>
      </c>
      <c r="G3097" s="29">
        <v>734</v>
      </c>
      <c r="H3097" s="33">
        <v>522</v>
      </c>
      <c r="M3097" s="2"/>
      <c r="N3097" s="2"/>
      <c r="O3097" s="2"/>
    </row>
    <row r="3098" spans="1:15" x14ac:dyDescent="0.4">
      <c r="A3098">
        <v>2008</v>
      </c>
      <c r="B3098" s="2" t="s">
        <v>472</v>
      </c>
      <c r="C3098" s="2" t="s">
        <v>716</v>
      </c>
      <c r="D3098" s="2" t="s">
        <v>129</v>
      </c>
      <c r="E3098" s="70" t="s">
        <v>140</v>
      </c>
      <c r="F3098" s="29">
        <v>80</v>
      </c>
      <c r="G3098" s="29">
        <v>63</v>
      </c>
      <c r="H3098" s="33">
        <v>17</v>
      </c>
      <c r="M3098" s="2"/>
      <c r="N3098" s="2"/>
      <c r="O3098" s="2"/>
    </row>
    <row r="3099" spans="1:15" x14ac:dyDescent="0.4">
      <c r="A3099">
        <v>2008</v>
      </c>
      <c r="B3099" s="2" t="s">
        <v>473</v>
      </c>
      <c r="C3099" s="2" t="s">
        <v>716</v>
      </c>
      <c r="D3099" s="2" t="s">
        <v>129</v>
      </c>
      <c r="E3099" s="70" t="s">
        <v>141</v>
      </c>
      <c r="F3099" s="29">
        <v>2</v>
      </c>
      <c r="G3099" s="29">
        <v>1</v>
      </c>
      <c r="H3099" s="33">
        <v>1</v>
      </c>
      <c r="M3099" s="2"/>
      <c r="N3099" s="2"/>
      <c r="O3099" s="2"/>
    </row>
    <row r="3100" spans="1:15" x14ac:dyDescent="0.4">
      <c r="A3100">
        <v>2008</v>
      </c>
      <c r="B3100" s="2" t="s">
        <v>474</v>
      </c>
      <c r="C3100" s="2" t="s">
        <v>716</v>
      </c>
      <c r="D3100" s="2" t="s">
        <v>129</v>
      </c>
      <c r="E3100" s="70" t="s">
        <v>143</v>
      </c>
      <c r="F3100" s="29">
        <v>27</v>
      </c>
      <c r="G3100" s="29">
        <v>21</v>
      </c>
      <c r="H3100" s="33">
        <v>6</v>
      </c>
      <c r="M3100" s="2"/>
      <c r="N3100" s="2"/>
      <c r="O3100" s="2"/>
    </row>
    <row r="3101" spans="1:15" x14ac:dyDescent="0.4">
      <c r="A3101">
        <v>2008</v>
      </c>
      <c r="B3101" s="2" t="s">
        <v>475</v>
      </c>
      <c r="C3101" s="2" t="s">
        <v>716</v>
      </c>
      <c r="D3101" s="2" t="s">
        <v>129</v>
      </c>
      <c r="E3101" s="70" t="s">
        <v>21</v>
      </c>
      <c r="F3101" s="29">
        <v>44</v>
      </c>
      <c r="G3101" s="29">
        <v>31</v>
      </c>
      <c r="H3101" s="33">
        <v>13</v>
      </c>
      <c r="M3101" s="2"/>
      <c r="N3101" s="2"/>
      <c r="O3101" s="2"/>
    </row>
    <row r="3102" spans="1:15" x14ac:dyDescent="0.4">
      <c r="A3102">
        <v>2008</v>
      </c>
      <c r="B3102" s="2" t="s">
        <v>476</v>
      </c>
      <c r="C3102" s="2" t="s">
        <v>716</v>
      </c>
      <c r="D3102" s="2" t="s">
        <v>129</v>
      </c>
      <c r="E3102" s="70" t="s">
        <v>144</v>
      </c>
      <c r="F3102" s="29">
        <v>43</v>
      </c>
      <c r="G3102" s="29">
        <v>32</v>
      </c>
      <c r="H3102" s="33">
        <v>11</v>
      </c>
      <c r="M3102" s="2"/>
      <c r="N3102" s="2"/>
      <c r="O3102" s="2"/>
    </row>
    <row r="3103" spans="1:15" x14ac:dyDescent="0.4">
      <c r="A3103">
        <v>2008</v>
      </c>
      <c r="B3103" s="2" t="s">
        <v>477</v>
      </c>
      <c r="C3103" s="2" t="s">
        <v>716</v>
      </c>
      <c r="D3103" s="2" t="s">
        <v>129</v>
      </c>
      <c r="E3103" s="70" t="s">
        <v>145</v>
      </c>
      <c r="F3103" s="29">
        <v>152</v>
      </c>
      <c r="G3103" s="29">
        <v>101</v>
      </c>
      <c r="H3103" s="33">
        <v>51</v>
      </c>
      <c r="M3103" s="2"/>
      <c r="N3103" s="2"/>
      <c r="O3103" s="2"/>
    </row>
    <row r="3104" spans="1:15" x14ac:dyDescent="0.4">
      <c r="A3104">
        <v>2008</v>
      </c>
      <c r="B3104" s="2" t="s">
        <v>478</v>
      </c>
      <c r="C3104" s="2" t="s">
        <v>716</v>
      </c>
      <c r="D3104" s="2" t="s">
        <v>129</v>
      </c>
      <c r="E3104" s="70" t="s">
        <v>51</v>
      </c>
      <c r="F3104" s="29">
        <v>15</v>
      </c>
      <c r="G3104" s="29">
        <v>9</v>
      </c>
      <c r="H3104" s="33">
        <v>6</v>
      </c>
      <c r="M3104" s="2"/>
      <c r="N3104" s="2"/>
      <c r="O3104" s="2"/>
    </row>
    <row r="3105" spans="1:15" x14ac:dyDescent="0.4">
      <c r="A3105">
        <v>2008</v>
      </c>
      <c r="B3105" s="2" t="s">
        <v>479</v>
      </c>
      <c r="C3105" s="2" t="s">
        <v>716</v>
      </c>
      <c r="D3105" s="2" t="s">
        <v>129</v>
      </c>
      <c r="E3105" s="70" t="s">
        <v>146</v>
      </c>
      <c r="F3105" s="29">
        <v>16</v>
      </c>
      <c r="G3105" s="29">
        <v>9</v>
      </c>
      <c r="H3105" s="33">
        <v>7</v>
      </c>
      <c r="M3105" s="2"/>
      <c r="N3105" s="2"/>
      <c r="O3105" s="2"/>
    </row>
    <row r="3106" spans="1:15" x14ac:dyDescent="0.4">
      <c r="A3106">
        <v>2008</v>
      </c>
      <c r="B3106" s="2" t="s">
        <v>480</v>
      </c>
      <c r="C3106" s="2" t="s">
        <v>716</v>
      </c>
      <c r="D3106" s="2" t="s">
        <v>129</v>
      </c>
      <c r="E3106" s="70" t="s">
        <v>147</v>
      </c>
      <c r="F3106" s="29">
        <v>28</v>
      </c>
      <c r="G3106" s="29">
        <v>17</v>
      </c>
      <c r="H3106" s="33">
        <v>11</v>
      </c>
      <c r="M3106" s="2"/>
      <c r="N3106" s="2"/>
      <c r="O3106" s="2"/>
    </row>
    <row r="3107" spans="1:15" x14ac:dyDescent="0.4">
      <c r="A3107">
        <v>2008</v>
      </c>
      <c r="B3107" s="2" t="s">
        <v>481</v>
      </c>
      <c r="C3107" s="2" t="s">
        <v>716</v>
      </c>
      <c r="D3107" s="2" t="s">
        <v>129</v>
      </c>
      <c r="E3107" s="70" t="s">
        <v>148</v>
      </c>
      <c r="F3107" s="29">
        <v>26</v>
      </c>
      <c r="G3107" s="29">
        <v>19</v>
      </c>
      <c r="H3107" s="33">
        <v>7</v>
      </c>
      <c r="M3107" s="2"/>
      <c r="N3107" s="2"/>
      <c r="O3107" s="2"/>
    </row>
    <row r="3108" spans="1:15" x14ac:dyDescent="0.4">
      <c r="A3108">
        <v>2008</v>
      </c>
      <c r="B3108" s="2" t="s">
        <v>482</v>
      </c>
      <c r="C3108" s="2" t="s">
        <v>716</v>
      </c>
      <c r="D3108" s="2" t="s">
        <v>129</v>
      </c>
      <c r="E3108" s="70" t="s">
        <v>54</v>
      </c>
      <c r="F3108" s="29">
        <v>66</v>
      </c>
      <c r="G3108" s="29">
        <v>39</v>
      </c>
      <c r="H3108" s="33">
        <v>27</v>
      </c>
      <c r="M3108" s="2"/>
      <c r="N3108" s="2"/>
      <c r="O3108" s="2"/>
    </row>
    <row r="3109" spans="1:15" x14ac:dyDescent="0.4">
      <c r="A3109">
        <v>2008</v>
      </c>
      <c r="B3109" s="2" t="s">
        <v>483</v>
      </c>
      <c r="C3109" s="2" t="s">
        <v>717</v>
      </c>
      <c r="D3109" s="2" t="s">
        <v>150</v>
      </c>
      <c r="E3109" s="70" t="s">
        <v>149</v>
      </c>
      <c r="F3109" s="29">
        <v>44</v>
      </c>
      <c r="G3109" s="29">
        <v>26</v>
      </c>
      <c r="H3109" s="33">
        <v>18</v>
      </c>
      <c r="M3109" s="2"/>
      <c r="N3109" s="2"/>
      <c r="O3109" s="2"/>
    </row>
    <row r="3110" spans="1:15" x14ac:dyDescent="0.4">
      <c r="A3110">
        <v>2008</v>
      </c>
      <c r="B3110" s="2" t="s">
        <v>484</v>
      </c>
      <c r="C3110" s="2" t="s">
        <v>717</v>
      </c>
      <c r="D3110" s="2" t="s">
        <v>150</v>
      </c>
      <c r="E3110" s="70" t="s">
        <v>151</v>
      </c>
      <c r="F3110" s="29">
        <v>38</v>
      </c>
      <c r="G3110" s="29">
        <v>28</v>
      </c>
      <c r="H3110" s="33">
        <v>10</v>
      </c>
      <c r="M3110" s="2"/>
      <c r="N3110" s="2"/>
      <c r="O3110" s="2"/>
    </row>
    <row r="3111" spans="1:15" x14ac:dyDescent="0.4">
      <c r="A3111">
        <v>2008</v>
      </c>
      <c r="B3111" s="2" t="s">
        <v>485</v>
      </c>
      <c r="C3111" s="2" t="s">
        <v>717</v>
      </c>
      <c r="D3111" s="2" t="s">
        <v>150</v>
      </c>
      <c r="E3111" s="70" t="s">
        <v>152</v>
      </c>
      <c r="F3111" s="29">
        <v>33</v>
      </c>
      <c r="G3111" s="29">
        <v>19</v>
      </c>
      <c r="H3111" s="33">
        <v>14</v>
      </c>
      <c r="M3111" s="2"/>
      <c r="N3111" s="2"/>
      <c r="O3111" s="2"/>
    </row>
    <row r="3112" spans="1:15" x14ac:dyDescent="0.4">
      <c r="A3112">
        <v>2008</v>
      </c>
      <c r="B3112" s="2" t="s">
        <v>486</v>
      </c>
      <c r="C3112" s="2" t="s">
        <v>717</v>
      </c>
      <c r="D3112" s="2" t="s">
        <v>150</v>
      </c>
      <c r="E3112" s="70" t="s">
        <v>153</v>
      </c>
      <c r="F3112" s="29">
        <v>33</v>
      </c>
      <c r="G3112" s="29">
        <v>18</v>
      </c>
      <c r="H3112" s="33">
        <v>15</v>
      </c>
      <c r="M3112" s="2"/>
      <c r="N3112" s="2"/>
      <c r="O3112" s="2"/>
    </row>
    <row r="3113" spans="1:15" x14ac:dyDescent="0.4">
      <c r="A3113">
        <v>2008</v>
      </c>
      <c r="B3113" s="2" t="s">
        <v>487</v>
      </c>
      <c r="C3113" s="2" t="s">
        <v>717</v>
      </c>
      <c r="D3113" s="2" t="s">
        <v>150</v>
      </c>
      <c r="E3113" s="70" t="s">
        <v>154</v>
      </c>
      <c r="F3113" s="29">
        <v>714</v>
      </c>
      <c r="G3113" s="29">
        <v>458</v>
      </c>
      <c r="H3113" s="33">
        <v>256</v>
      </c>
      <c r="M3113" s="2"/>
      <c r="N3113" s="2"/>
      <c r="O3113" s="2"/>
    </row>
    <row r="3114" spans="1:15" x14ac:dyDescent="0.4">
      <c r="A3114">
        <v>2008</v>
      </c>
      <c r="B3114" s="2" t="s">
        <v>488</v>
      </c>
      <c r="C3114" s="2" t="s">
        <v>717</v>
      </c>
      <c r="D3114" s="2" t="s">
        <v>150</v>
      </c>
      <c r="E3114" s="70" t="s">
        <v>155</v>
      </c>
      <c r="F3114" s="29">
        <v>98</v>
      </c>
      <c r="G3114" s="29">
        <v>69</v>
      </c>
      <c r="H3114" s="33">
        <v>29</v>
      </c>
      <c r="M3114" s="2"/>
      <c r="N3114" s="2"/>
      <c r="O3114" s="2"/>
    </row>
    <row r="3115" spans="1:15" x14ac:dyDescent="0.4">
      <c r="A3115">
        <v>2008</v>
      </c>
      <c r="B3115" s="2" t="s">
        <v>489</v>
      </c>
      <c r="C3115" s="2" t="s">
        <v>717</v>
      </c>
      <c r="D3115" s="2" t="s">
        <v>150</v>
      </c>
      <c r="E3115" s="70" t="s">
        <v>156</v>
      </c>
      <c r="F3115" s="29">
        <v>116</v>
      </c>
      <c r="G3115" s="29">
        <v>68</v>
      </c>
      <c r="H3115" s="33">
        <v>48</v>
      </c>
      <c r="M3115" s="2"/>
      <c r="N3115" s="2"/>
      <c r="O3115" s="2"/>
    </row>
    <row r="3116" spans="1:15" x14ac:dyDescent="0.4">
      <c r="A3116">
        <v>2008</v>
      </c>
      <c r="B3116" s="2" t="s">
        <v>490</v>
      </c>
      <c r="C3116" s="2" t="s">
        <v>717</v>
      </c>
      <c r="D3116" s="2" t="s">
        <v>150</v>
      </c>
      <c r="E3116" s="70" t="s">
        <v>85</v>
      </c>
      <c r="F3116" s="29">
        <v>585</v>
      </c>
      <c r="G3116" s="29">
        <v>360</v>
      </c>
      <c r="H3116" s="33">
        <v>225</v>
      </c>
      <c r="M3116" s="2"/>
      <c r="N3116" s="2"/>
      <c r="O3116" s="2"/>
    </row>
    <row r="3117" spans="1:15" x14ac:dyDescent="0.4">
      <c r="A3117">
        <v>2008</v>
      </c>
      <c r="B3117" s="2" t="s">
        <v>491</v>
      </c>
      <c r="C3117" s="2" t="s">
        <v>717</v>
      </c>
      <c r="D3117" s="2" t="s">
        <v>150</v>
      </c>
      <c r="E3117" s="70" t="s">
        <v>157</v>
      </c>
      <c r="F3117" s="29">
        <v>354</v>
      </c>
      <c r="G3117" s="29">
        <v>214</v>
      </c>
      <c r="H3117" s="33">
        <v>140</v>
      </c>
      <c r="M3117" s="2"/>
      <c r="N3117" s="2"/>
      <c r="O3117" s="2"/>
    </row>
    <row r="3118" spans="1:15" x14ac:dyDescent="0.4">
      <c r="A3118">
        <v>2008</v>
      </c>
      <c r="B3118" s="2" t="s">
        <v>492</v>
      </c>
      <c r="C3118" s="2" t="s">
        <v>717</v>
      </c>
      <c r="D3118" s="2" t="s">
        <v>150</v>
      </c>
      <c r="E3118" s="70" t="s">
        <v>158</v>
      </c>
      <c r="F3118" s="29">
        <v>70</v>
      </c>
      <c r="G3118" s="29">
        <v>45</v>
      </c>
      <c r="H3118" s="33">
        <v>25</v>
      </c>
      <c r="M3118" s="2"/>
      <c r="N3118" s="2"/>
      <c r="O3118" s="2"/>
    </row>
    <row r="3119" spans="1:15" x14ac:dyDescent="0.4">
      <c r="A3119">
        <v>2008</v>
      </c>
      <c r="B3119" s="2" t="s">
        <v>493</v>
      </c>
      <c r="C3119" s="2" t="s">
        <v>717</v>
      </c>
      <c r="D3119" s="2" t="s">
        <v>150</v>
      </c>
      <c r="E3119" s="70" t="s">
        <v>159</v>
      </c>
      <c r="F3119" s="29">
        <v>105</v>
      </c>
      <c r="G3119" s="29">
        <v>68</v>
      </c>
      <c r="H3119" s="33">
        <v>37</v>
      </c>
      <c r="M3119" s="2"/>
      <c r="N3119" s="2"/>
      <c r="O3119" s="2"/>
    </row>
    <row r="3120" spans="1:15" x14ac:dyDescent="0.4">
      <c r="A3120">
        <v>2008</v>
      </c>
      <c r="B3120" s="2" t="s">
        <v>494</v>
      </c>
      <c r="C3120" s="2" t="s">
        <v>717</v>
      </c>
      <c r="D3120" s="2" t="s">
        <v>150</v>
      </c>
      <c r="E3120" s="70" t="s">
        <v>76</v>
      </c>
      <c r="F3120" s="29">
        <v>964</v>
      </c>
      <c r="G3120" s="29">
        <v>616</v>
      </c>
      <c r="H3120" s="33">
        <v>348</v>
      </c>
      <c r="M3120" s="2"/>
      <c r="N3120" s="2"/>
      <c r="O3120" s="2"/>
    </row>
    <row r="3121" spans="1:15" x14ac:dyDescent="0.4">
      <c r="A3121">
        <v>2008</v>
      </c>
      <c r="B3121" s="2" t="s">
        <v>495</v>
      </c>
      <c r="C3121" s="2" t="s">
        <v>717</v>
      </c>
      <c r="D3121" s="2" t="s">
        <v>150</v>
      </c>
      <c r="E3121" s="70" t="s">
        <v>160</v>
      </c>
      <c r="F3121" s="29">
        <v>20</v>
      </c>
      <c r="G3121" s="29">
        <v>12</v>
      </c>
      <c r="H3121" s="33">
        <v>8</v>
      </c>
      <c r="M3121" s="2"/>
      <c r="N3121" s="2"/>
      <c r="O3121" s="2"/>
    </row>
    <row r="3122" spans="1:15" x14ac:dyDescent="0.4">
      <c r="A3122">
        <v>2008</v>
      </c>
      <c r="B3122" s="2" t="s">
        <v>496</v>
      </c>
      <c r="C3122" s="2" t="s">
        <v>717</v>
      </c>
      <c r="D3122" s="2" t="s">
        <v>150</v>
      </c>
      <c r="E3122" s="70" t="s">
        <v>161</v>
      </c>
      <c r="F3122" s="29">
        <v>41</v>
      </c>
      <c r="G3122" s="29">
        <v>25</v>
      </c>
      <c r="H3122" s="33">
        <v>16</v>
      </c>
      <c r="M3122" s="2"/>
      <c r="N3122" s="2"/>
      <c r="O3122" s="2"/>
    </row>
    <row r="3123" spans="1:15" x14ac:dyDescent="0.4">
      <c r="A3123">
        <v>2008</v>
      </c>
      <c r="B3123" s="2" t="s">
        <v>497</v>
      </c>
      <c r="C3123" s="2" t="s">
        <v>717</v>
      </c>
      <c r="D3123" s="2" t="s">
        <v>150</v>
      </c>
      <c r="E3123" s="70" t="s">
        <v>162</v>
      </c>
      <c r="F3123" s="29">
        <v>242</v>
      </c>
      <c r="G3123" s="29">
        <v>163</v>
      </c>
      <c r="H3123" s="33">
        <v>79</v>
      </c>
      <c r="M3123" s="2"/>
      <c r="N3123" s="2"/>
      <c r="O3123" s="2"/>
    </row>
    <row r="3124" spans="1:15" x14ac:dyDescent="0.4">
      <c r="A3124">
        <v>2008</v>
      </c>
      <c r="B3124" s="2" t="s">
        <v>498</v>
      </c>
      <c r="C3124" s="2" t="s">
        <v>718</v>
      </c>
      <c r="D3124" s="2" t="s">
        <v>164</v>
      </c>
      <c r="E3124" s="70" t="s">
        <v>163</v>
      </c>
      <c r="F3124" s="29">
        <v>121</v>
      </c>
      <c r="G3124" s="29">
        <v>79</v>
      </c>
      <c r="H3124" s="33">
        <v>42</v>
      </c>
      <c r="M3124" s="2"/>
      <c r="N3124" s="2"/>
      <c r="O3124" s="2"/>
    </row>
    <row r="3125" spans="1:15" x14ac:dyDescent="0.4">
      <c r="A3125">
        <v>2008</v>
      </c>
      <c r="B3125" s="2" t="s">
        <v>499</v>
      </c>
      <c r="C3125" s="2" t="s">
        <v>718</v>
      </c>
      <c r="D3125" s="2" t="s">
        <v>164</v>
      </c>
      <c r="E3125" s="70" t="s">
        <v>165</v>
      </c>
      <c r="F3125" s="29">
        <v>114</v>
      </c>
      <c r="G3125" s="29">
        <v>70</v>
      </c>
      <c r="H3125" s="33">
        <v>44</v>
      </c>
      <c r="M3125" s="2"/>
      <c r="N3125" s="2"/>
      <c r="O3125" s="2"/>
    </row>
    <row r="3126" spans="1:15" x14ac:dyDescent="0.4">
      <c r="A3126">
        <v>2008</v>
      </c>
      <c r="B3126" s="2" t="s">
        <v>500</v>
      </c>
      <c r="C3126" s="2" t="s">
        <v>718</v>
      </c>
      <c r="D3126" s="2" t="s">
        <v>164</v>
      </c>
      <c r="E3126" s="70" t="s">
        <v>166</v>
      </c>
      <c r="F3126" s="29">
        <v>6377</v>
      </c>
      <c r="G3126" s="29">
        <v>3779</v>
      </c>
      <c r="H3126" s="33">
        <v>2598</v>
      </c>
      <c r="M3126" s="2"/>
      <c r="N3126" s="2"/>
      <c r="O3126" s="2"/>
    </row>
    <row r="3127" spans="1:15" x14ac:dyDescent="0.4">
      <c r="A3127">
        <v>2008</v>
      </c>
      <c r="B3127" s="2" t="s">
        <v>501</v>
      </c>
      <c r="C3127" s="2" t="s">
        <v>718</v>
      </c>
      <c r="D3127" s="2" t="s">
        <v>164</v>
      </c>
      <c r="E3127" s="70" t="s">
        <v>167</v>
      </c>
      <c r="F3127" s="29">
        <v>322</v>
      </c>
      <c r="G3127" s="29">
        <v>210</v>
      </c>
      <c r="H3127" s="33">
        <v>112</v>
      </c>
      <c r="M3127" s="2"/>
      <c r="N3127" s="2"/>
      <c r="O3127" s="2"/>
    </row>
    <row r="3128" spans="1:15" x14ac:dyDescent="0.4">
      <c r="A3128">
        <v>2008</v>
      </c>
      <c r="B3128" s="2" t="s">
        <v>502</v>
      </c>
      <c r="C3128" s="2" t="s">
        <v>718</v>
      </c>
      <c r="D3128" s="2" t="s">
        <v>164</v>
      </c>
      <c r="E3128" s="70" t="s">
        <v>168</v>
      </c>
      <c r="F3128" s="29">
        <v>406</v>
      </c>
      <c r="G3128" s="29">
        <v>248</v>
      </c>
      <c r="H3128" s="33">
        <v>158</v>
      </c>
      <c r="M3128" s="2"/>
      <c r="N3128" s="2"/>
      <c r="O3128" s="2"/>
    </row>
    <row r="3129" spans="1:15" x14ac:dyDescent="0.4">
      <c r="A3129">
        <v>2008</v>
      </c>
      <c r="B3129" s="2" t="s">
        <v>503</v>
      </c>
      <c r="C3129" s="2" t="s">
        <v>718</v>
      </c>
      <c r="D3129" s="2" t="s">
        <v>164</v>
      </c>
      <c r="E3129" s="70" t="s">
        <v>169</v>
      </c>
      <c r="F3129" s="29">
        <v>346</v>
      </c>
      <c r="G3129" s="29">
        <v>192</v>
      </c>
      <c r="H3129" s="33">
        <v>154</v>
      </c>
      <c r="M3129" s="2"/>
      <c r="N3129" s="2"/>
      <c r="O3129" s="2"/>
    </row>
    <row r="3130" spans="1:15" x14ac:dyDescent="0.4">
      <c r="A3130">
        <v>2008</v>
      </c>
      <c r="B3130" s="2" t="s">
        <v>504</v>
      </c>
      <c r="C3130" s="2" t="s">
        <v>718</v>
      </c>
      <c r="D3130" s="2" t="s">
        <v>164</v>
      </c>
      <c r="E3130" s="70" t="s">
        <v>170</v>
      </c>
      <c r="F3130" s="29">
        <v>100</v>
      </c>
      <c r="G3130" s="29">
        <v>76</v>
      </c>
      <c r="H3130" s="33">
        <v>24</v>
      </c>
      <c r="M3130" s="2"/>
      <c r="N3130" s="2"/>
      <c r="O3130" s="2"/>
    </row>
    <row r="3131" spans="1:15" x14ac:dyDescent="0.4">
      <c r="A3131">
        <v>2008</v>
      </c>
      <c r="B3131" s="2" t="s">
        <v>505</v>
      </c>
      <c r="C3131" s="2" t="s">
        <v>718</v>
      </c>
      <c r="D3131" s="2" t="s">
        <v>164</v>
      </c>
      <c r="E3131" s="70" t="s">
        <v>171</v>
      </c>
      <c r="F3131" s="29">
        <v>695</v>
      </c>
      <c r="G3131" s="29">
        <v>425</v>
      </c>
      <c r="H3131" s="33">
        <v>270</v>
      </c>
      <c r="M3131" s="2"/>
      <c r="N3131" s="2"/>
      <c r="O3131" s="2"/>
    </row>
    <row r="3132" spans="1:15" x14ac:dyDescent="0.4">
      <c r="A3132">
        <v>2008</v>
      </c>
      <c r="B3132" s="2" t="s">
        <v>506</v>
      </c>
      <c r="C3132" s="2" t="s">
        <v>718</v>
      </c>
      <c r="D3132" s="2" t="s">
        <v>164</v>
      </c>
      <c r="E3132" s="70" t="s">
        <v>53</v>
      </c>
      <c r="F3132" s="29">
        <v>163</v>
      </c>
      <c r="G3132" s="29">
        <v>80</v>
      </c>
      <c r="H3132" s="33">
        <v>83</v>
      </c>
      <c r="M3132" s="2"/>
      <c r="N3132" s="2"/>
      <c r="O3132" s="2"/>
    </row>
    <row r="3133" spans="1:15" x14ac:dyDescent="0.4">
      <c r="A3133">
        <v>2008</v>
      </c>
      <c r="B3133" s="2" t="s">
        <v>507</v>
      </c>
      <c r="C3133" s="2" t="s">
        <v>719</v>
      </c>
      <c r="D3133" s="2" t="s">
        <v>173</v>
      </c>
      <c r="E3133" s="70" t="s">
        <v>172</v>
      </c>
      <c r="F3133" s="29">
        <v>552</v>
      </c>
      <c r="G3133" s="29">
        <v>367</v>
      </c>
      <c r="H3133" s="33">
        <v>185</v>
      </c>
      <c r="M3133" s="2"/>
      <c r="N3133" s="2"/>
      <c r="O3133" s="2"/>
    </row>
    <row r="3134" spans="1:15" x14ac:dyDescent="0.4">
      <c r="A3134">
        <v>2008</v>
      </c>
      <c r="B3134" s="2" t="s">
        <v>508</v>
      </c>
      <c r="C3134" s="2" t="s">
        <v>719</v>
      </c>
      <c r="D3134" s="2" t="s">
        <v>173</v>
      </c>
      <c r="E3134" s="70" t="s">
        <v>174</v>
      </c>
      <c r="F3134" s="29">
        <v>35</v>
      </c>
      <c r="G3134" s="29">
        <v>27</v>
      </c>
      <c r="H3134" s="33">
        <v>8</v>
      </c>
      <c r="M3134" s="2"/>
      <c r="N3134" s="2"/>
      <c r="O3134" s="2"/>
    </row>
    <row r="3135" spans="1:15" x14ac:dyDescent="0.4">
      <c r="A3135">
        <v>2008</v>
      </c>
      <c r="B3135" s="2" t="s">
        <v>509</v>
      </c>
      <c r="C3135" s="2" t="s">
        <v>719</v>
      </c>
      <c r="D3135" s="2" t="s">
        <v>173</v>
      </c>
      <c r="E3135" s="70" t="s">
        <v>175</v>
      </c>
      <c r="F3135" s="29">
        <v>70</v>
      </c>
      <c r="G3135" s="29">
        <v>47</v>
      </c>
      <c r="H3135" s="33">
        <v>23</v>
      </c>
      <c r="M3135" s="2"/>
      <c r="N3135" s="2"/>
      <c r="O3135" s="2"/>
    </row>
    <row r="3136" spans="1:15" x14ac:dyDescent="0.4">
      <c r="A3136">
        <v>2008</v>
      </c>
      <c r="B3136" s="2" t="s">
        <v>510</v>
      </c>
      <c r="C3136" s="2" t="s">
        <v>719</v>
      </c>
      <c r="D3136" s="2" t="s">
        <v>173</v>
      </c>
      <c r="E3136" s="70" t="s">
        <v>176</v>
      </c>
      <c r="F3136" s="29">
        <v>13</v>
      </c>
      <c r="G3136" s="29">
        <v>8</v>
      </c>
      <c r="H3136" s="33">
        <v>5</v>
      </c>
      <c r="M3136" s="2"/>
      <c r="N3136" s="2"/>
      <c r="O3136" s="2"/>
    </row>
    <row r="3137" spans="1:15" x14ac:dyDescent="0.4">
      <c r="A3137">
        <v>2008</v>
      </c>
      <c r="B3137" s="2" t="s">
        <v>511</v>
      </c>
      <c r="C3137" s="2" t="s">
        <v>719</v>
      </c>
      <c r="D3137" s="2" t="s">
        <v>173</v>
      </c>
      <c r="E3137" s="70" t="s">
        <v>177</v>
      </c>
      <c r="F3137" s="29">
        <v>26</v>
      </c>
      <c r="G3137" s="29">
        <v>17</v>
      </c>
      <c r="H3137" s="33">
        <v>9</v>
      </c>
      <c r="M3137" s="2"/>
      <c r="N3137" s="2"/>
      <c r="O3137" s="2"/>
    </row>
    <row r="3138" spans="1:15" x14ac:dyDescent="0.4">
      <c r="A3138">
        <v>2008</v>
      </c>
      <c r="B3138" s="2" t="s">
        <v>512</v>
      </c>
      <c r="C3138" s="2" t="s">
        <v>719</v>
      </c>
      <c r="D3138" s="2" t="s">
        <v>173</v>
      </c>
      <c r="E3138" s="70" t="s">
        <v>178</v>
      </c>
      <c r="F3138" s="29">
        <v>299</v>
      </c>
      <c r="G3138" s="29">
        <v>190</v>
      </c>
      <c r="H3138" s="33">
        <v>109</v>
      </c>
      <c r="M3138" s="2"/>
      <c r="N3138" s="2"/>
      <c r="O3138" s="2"/>
    </row>
    <row r="3139" spans="1:15" x14ac:dyDescent="0.4">
      <c r="A3139">
        <v>2008</v>
      </c>
      <c r="B3139" s="2" t="s">
        <v>513</v>
      </c>
      <c r="C3139" s="2" t="s">
        <v>719</v>
      </c>
      <c r="D3139" s="2" t="s">
        <v>173</v>
      </c>
      <c r="E3139" s="70" t="s">
        <v>179</v>
      </c>
      <c r="F3139" s="29">
        <v>38</v>
      </c>
      <c r="G3139" s="29">
        <v>27</v>
      </c>
      <c r="H3139" s="33">
        <v>11</v>
      </c>
      <c r="M3139" s="2"/>
      <c r="N3139" s="2"/>
      <c r="O3139" s="2"/>
    </row>
    <row r="3140" spans="1:15" x14ac:dyDescent="0.4">
      <c r="A3140">
        <v>2008</v>
      </c>
      <c r="B3140" s="2" t="s">
        <v>514</v>
      </c>
      <c r="C3140" s="2" t="s">
        <v>719</v>
      </c>
      <c r="D3140" s="2" t="s">
        <v>173</v>
      </c>
      <c r="E3140" s="70" t="s">
        <v>180</v>
      </c>
      <c r="F3140" s="29">
        <v>99</v>
      </c>
      <c r="G3140" s="29">
        <v>67</v>
      </c>
      <c r="H3140" s="33">
        <v>32</v>
      </c>
      <c r="M3140" s="2"/>
      <c r="N3140" s="2"/>
      <c r="O3140" s="2"/>
    </row>
    <row r="3141" spans="1:15" x14ac:dyDescent="0.4">
      <c r="A3141">
        <v>2008</v>
      </c>
      <c r="B3141" s="2" t="s">
        <v>515</v>
      </c>
      <c r="C3141" s="2" t="s">
        <v>719</v>
      </c>
      <c r="D3141" s="2" t="s">
        <v>173</v>
      </c>
      <c r="E3141" s="70" t="s">
        <v>181</v>
      </c>
      <c r="F3141" s="29">
        <v>21</v>
      </c>
      <c r="G3141" s="29">
        <v>14</v>
      </c>
      <c r="H3141" s="33">
        <v>7</v>
      </c>
      <c r="M3141" s="2"/>
      <c r="N3141" s="2"/>
      <c r="O3141" s="2"/>
    </row>
    <row r="3142" spans="1:15" x14ac:dyDescent="0.4">
      <c r="A3142">
        <v>2008</v>
      </c>
      <c r="B3142" s="2" t="s">
        <v>516</v>
      </c>
      <c r="C3142" s="2" t="s">
        <v>719</v>
      </c>
      <c r="D3142" s="2" t="s">
        <v>173</v>
      </c>
      <c r="E3142" s="70" t="s">
        <v>182</v>
      </c>
      <c r="F3142" s="29">
        <v>61</v>
      </c>
      <c r="G3142" s="29">
        <v>36</v>
      </c>
      <c r="H3142" s="33">
        <v>25</v>
      </c>
      <c r="M3142" s="2"/>
      <c r="N3142" s="2"/>
      <c r="O3142" s="2"/>
    </row>
    <row r="3143" spans="1:15" x14ac:dyDescent="0.4">
      <c r="A3143">
        <v>2008</v>
      </c>
      <c r="B3143" s="2" t="s">
        <v>517</v>
      </c>
      <c r="C3143" s="2" t="s">
        <v>719</v>
      </c>
      <c r="D3143" s="2" t="s">
        <v>173</v>
      </c>
      <c r="E3143" s="70" t="s">
        <v>183</v>
      </c>
      <c r="F3143" s="29">
        <v>17</v>
      </c>
      <c r="G3143" s="29">
        <v>9</v>
      </c>
      <c r="H3143" s="33">
        <v>8</v>
      </c>
      <c r="M3143" s="2"/>
      <c r="N3143" s="2"/>
      <c r="O3143" s="2"/>
    </row>
    <row r="3144" spans="1:15" x14ac:dyDescent="0.4">
      <c r="A3144">
        <v>2008</v>
      </c>
      <c r="B3144" s="2" t="s">
        <v>518</v>
      </c>
      <c r="C3144" s="2" t="s">
        <v>719</v>
      </c>
      <c r="D3144" s="2" t="s">
        <v>173</v>
      </c>
      <c r="E3144" s="70" t="s">
        <v>44</v>
      </c>
      <c r="F3144" s="29">
        <v>2223</v>
      </c>
      <c r="G3144" s="29">
        <v>1335</v>
      </c>
      <c r="H3144" s="33">
        <v>888</v>
      </c>
      <c r="M3144" s="2"/>
      <c r="N3144" s="2"/>
      <c r="O3144" s="2"/>
    </row>
    <row r="3145" spans="1:15" x14ac:dyDescent="0.4">
      <c r="A3145">
        <v>2008</v>
      </c>
      <c r="B3145" s="2" t="s">
        <v>519</v>
      </c>
      <c r="C3145" s="2" t="s">
        <v>719</v>
      </c>
      <c r="D3145" s="2" t="s">
        <v>173</v>
      </c>
      <c r="E3145" s="70" t="s">
        <v>85</v>
      </c>
      <c r="F3145" s="29">
        <v>82</v>
      </c>
      <c r="G3145" s="29">
        <v>50</v>
      </c>
      <c r="H3145" s="33">
        <v>32</v>
      </c>
      <c r="M3145" s="2"/>
      <c r="N3145" s="2"/>
      <c r="O3145" s="2"/>
    </row>
    <row r="3146" spans="1:15" x14ac:dyDescent="0.4">
      <c r="A3146">
        <v>2008</v>
      </c>
      <c r="B3146" s="2" t="s">
        <v>520</v>
      </c>
      <c r="C3146" s="2" t="s">
        <v>719</v>
      </c>
      <c r="D3146" s="2" t="s">
        <v>173</v>
      </c>
      <c r="E3146" s="70" t="s">
        <v>184</v>
      </c>
      <c r="F3146" s="29">
        <v>84</v>
      </c>
      <c r="G3146" s="29">
        <v>59</v>
      </c>
      <c r="H3146" s="33">
        <v>25</v>
      </c>
      <c r="M3146" s="2"/>
      <c r="N3146" s="2"/>
      <c r="O3146" s="2"/>
    </row>
    <row r="3147" spans="1:15" x14ac:dyDescent="0.4">
      <c r="A3147">
        <v>2008</v>
      </c>
      <c r="B3147" s="2" t="s">
        <v>521</v>
      </c>
      <c r="C3147" s="2" t="s">
        <v>719</v>
      </c>
      <c r="D3147" s="2" t="s">
        <v>173</v>
      </c>
      <c r="E3147" s="70" t="s">
        <v>185</v>
      </c>
      <c r="F3147" s="29">
        <v>3</v>
      </c>
      <c r="G3147" s="29">
        <v>1</v>
      </c>
      <c r="H3147" s="33">
        <v>2</v>
      </c>
      <c r="M3147" s="2"/>
      <c r="N3147" s="2"/>
      <c r="O3147" s="2"/>
    </row>
    <row r="3148" spans="1:15" x14ac:dyDescent="0.4">
      <c r="A3148">
        <v>2008</v>
      </c>
      <c r="B3148" s="2" t="s">
        <v>522</v>
      </c>
      <c r="C3148" s="2" t="s">
        <v>719</v>
      </c>
      <c r="D3148" s="2" t="s">
        <v>173</v>
      </c>
      <c r="E3148" s="70" t="s">
        <v>186</v>
      </c>
      <c r="F3148" s="29">
        <v>56</v>
      </c>
      <c r="G3148" s="29">
        <v>39</v>
      </c>
      <c r="H3148" s="33">
        <v>17</v>
      </c>
      <c r="M3148" s="2"/>
      <c r="N3148" s="2"/>
      <c r="O3148" s="2"/>
    </row>
    <row r="3149" spans="1:15" x14ac:dyDescent="0.4">
      <c r="A3149">
        <v>2008</v>
      </c>
      <c r="B3149" s="2" t="s">
        <v>523</v>
      </c>
      <c r="C3149" s="2" t="s">
        <v>719</v>
      </c>
      <c r="D3149" s="2" t="s">
        <v>173</v>
      </c>
      <c r="E3149" s="70" t="s">
        <v>187</v>
      </c>
      <c r="F3149" s="29">
        <v>59</v>
      </c>
      <c r="G3149" s="29">
        <v>40</v>
      </c>
      <c r="H3149" s="33">
        <v>19</v>
      </c>
      <c r="M3149" s="2"/>
      <c r="N3149" s="2"/>
      <c r="O3149" s="2"/>
    </row>
    <row r="3150" spans="1:15" x14ac:dyDescent="0.4">
      <c r="A3150">
        <v>2008</v>
      </c>
      <c r="B3150" s="2" t="s">
        <v>524</v>
      </c>
      <c r="C3150" s="2" t="s">
        <v>719</v>
      </c>
      <c r="D3150" s="2" t="s">
        <v>173</v>
      </c>
      <c r="E3150" s="70" t="s">
        <v>188</v>
      </c>
      <c r="F3150" s="29">
        <v>69</v>
      </c>
      <c r="G3150" s="29">
        <v>53</v>
      </c>
      <c r="H3150" s="33">
        <v>16</v>
      </c>
      <c r="M3150" s="2"/>
      <c r="N3150" s="2"/>
      <c r="O3150" s="2"/>
    </row>
    <row r="3151" spans="1:15" x14ac:dyDescent="0.4">
      <c r="A3151">
        <v>2008</v>
      </c>
      <c r="B3151" s="2" t="s">
        <v>525</v>
      </c>
      <c r="C3151" s="2" t="s">
        <v>719</v>
      </c>
      <c r="D3151" s="2" t="s">
        <v>173</v>
      </c>
      <c r="E3151" s="70" t="s">
        <v>189</v>
      </c>
      <c r="F3151" s="29">
        <v>55</v>
      </c>
      <c r="G3151" s="29">
        <v>37</v>
      </c>
      <c r="H3151" s="33">
        <v>18</v>
      </c>
      <c r="M3151" s="2"/>
      <c r="N3151" s="2"/>
      <c r="O3151" s="2"/>
    </row>
    <row r="3152" spans="1:15" x14ac:dyDescent="0.4">
      <c r="A3152">
        <v>2008</v>
      </c>
      <c r="B3152" s="2" t="s">
        <v>526</v>
      </c>
      <c r="C3152" s="2" t="s">
        <v>719</v>
      </c>
      <c r="D3152" s="2" t="s">
        <v>173</v>
      </c>
      <c r="E3152" s="70" t="s">
        <v>51</v>
      </c>
      <c r="F3152" s="29">
        <v>169</v>
      </c>
      <c r="G3152" s="29">
        <v>113</v>
      </c>
      <c r="H3152" s="33">
        <v>56</v>
      </c>
      <c r="M3152" s="2"/>
      <c r="N3152" s="2"/>
      <c r="O3152" s="2"/>
    </row>
    <row r="3153" spans="1:15" x14ac:dyDescent="0.4">
      <c r="A3153">
        <v>2008</v>
      </c>
      <c r="B3153" s="2" t="s">
        <v>527</v>
      </c>
      <c r="C3153" s="2" t="s">
        <v>719</v>
      </c>
      <c r="D3153" s="2" t="s">
        <v>173</v>
      </c>
      <c r="E3153" s="70" t="s">
        <v>52</v>
      </c>
      <c r="F3153" s="29">
        <v>169</v>
      </c>
      <c r="G3153" s="29">
        <v>118</v>
      </c>
      <c r="H3153" s="33">
        <v>51</v>
      </c>
      <c r="M3153" s="2"/>
      <c r="N3153" s="2"/>
      <c r="O3153" s="2"/>
    </row>
    <row r="3154" spans="1:15" x14ac:dyDescent="0.4">
      <c r="A3154">
        <v>2008</v>
      </c>
      <c r="B3154" s="2" t="s">
        <v>528</v>
      </c>
      <c r="C3154" s="2" t="s">
        <v>719</v>
      </c>
      <c r="D3154" s="2" t="s">
        <v>173</v>
      </c>
      <c r="E3154" s="70" t="s">
        <v>190</v>
      </c>
      <c r="F3154" s="29">
        <v>106</v>
      </c>
      <c r="G3154" s="29">
        <v>69</v>
      </c>
      <c r="H3154" s="33">
        <v>37</v>
      </c>
      <c r="M3154" s="2"/>
      <c r="N3154" s="2"/>
      <c r="O3154" s="2"/>
    </row>
    <row r="3155" spans="1:15" x14ac:dyDescent="0.4">
      <c r="A3155">
        <v>2008</v>
      </c>
      <c r="B3155" s="2" t="s">
        <v>529</v>
      </c>
      <c r="C3155" s="2" t="s">
        <v>719</v>
      </c>
      <c r="D3155" s="2" t="s">
        <v>173</v>
      </c>
      <c r="E3155" s="70" t="s">
        <v>191</v>
      </c>
      <c r="F3155" s="29">
        <v>47</v>
      </c>
      <c r="G3155" s="29">
        <v>28</v>
      </c>
      <c r="H3155" s="33">
        <v>19</v>
      </c>
      <c r="M3155" s="2"/>
      <c r="N3155" s="2"/>
      <c r="O3155" s="2"/>
    </row>
    <row r="3156" spans="1:15" x14ac:dyDescent="0.4">
      <c r="A3156">
        <v>2008</v>
      </c>
      <c r="B3156" s="2" t="s">
        <v>530</v>
      </c>
      <c r="C3156" s="2" t="s">
        <v>720</v>
      </c>
      <c r="D3156" s="2" t="s">
        <v>193</v>
      </c>
      <c r="E3156" s="70" t="s">
        <v>192</v>
      </c>
      <c r="F3156" s="29">
        <v>387</v>
      </c>
      <c r="G3156" s="29">
        <v>268</v>
      </c>
      <c r="H3156" s="33">
        <v>119</v>
      </c>
      <c r="M3156" s="2"/>
      <c r="N3156" s="2"/>
      <c r="O3156" s="2"/>
    </row>
    <row r="3157" spans="1:15" x14ac:dyDescent="0.4">
      <c r="A3157">
        <v>2008</v>
      </c>
      <c r="B3157" s="2" t="s">
        <v>531</v>
      </c>
      <c r="C3157" s="2" t="s">
        <v>720</v>
      </c>
      <c r="D3157" s="2" t="s">
        <v>193</v>
      </c>
      <c r="E3157" s="70" t="s">
        <v>174</v>
      </c>
      <c r="F3157" s="29">
        <v>94</v>
      </c>
      <c r="G3157" s="29">
        <v>57</v>
      </c>
      <c r="H3157" s="33">
        <v>37</v>
      </c>
      <c r="M3157" s="2"/>
      <c r="N3157" s="2"/>
      <c r="O3157" s="2"/>
    </row>
    <row r="3158" spans="1:15" x14ac:dyDescent="0.4">
      <c r="A3158">
        <v>2008</v>
      </c>
      <c r="B3158" s="2" t="s">
        <v>532</v>
      </c>
      <c r="C3158" s="2" t="s">
        <v>720</v>
      </c>
      <c r="D3158" s="2" t="s">
        <v>193</v>
      </c>
      <c r="E3158" s="70" t="s">
        <v>194</v>
      </c>
      <c r="F3158" s="29">
        <v>1849</v>
      </c>
      <c r="G3158" s="29">
        <v>912</v>
      </c>
      <c r="H3158" s="33">
        <v>937</v>
      </c>
      <c r="M3158" s="2"/>
      <c r="N3158" s="2"/>
      <c r="O3158" s="2"/>
    </row>
    <row r="3159" spans="1:15" x14ac:dyDescent="0.4">
      <c r="A3159">
        <v>2008</v>
      </c>
      <c r="B3159" s="2" t="s">
        <v>533</v>
      </c>
      <c r="C3159" s="2" t="s">
        <v>720</v>
      </c>
      <c r="D3159" s="2" t="s">
        <v>193</v>
      </c>
      <c r="E3159" s="70" t="s">
        <v>195</v>
      </c>
      <c r="F3159" s="29">
        <v>307</v>
      </c>
      <c r="G3159" s="29">
        <v>199</v>
      </c>
      <c r="H3159" s="33">
        <v>108</v>
      </c>
      <c r="M3159" s="2"/>
      <c r="N3159" s="2"/>
      <c r="O3159" s="2"/>
    </row>
    <row r="3160" spans="1:15" x14ac:dyDescent="0.4">
      <c r="A3160">
        <v>2008</v>
      </c>
      <c r="B3160" s="2" t="s">
        <v>534</v>
      </c>
      <c r="C3160" s="2" t="s">
        <v>720</v>
      </c>
      <c r="D3160" s="2" t="s">
        <v>193</v>
      </c>
      <c r="E3160" s="70" t="s">
        <v>196</v>
      </c>
      <c r="F3160" s="29">
        <v>68</v>
      </c>
      <c r="G3160" s="29">
        <v>48</v>
      </c>
      <c r="H3160" s="33">
        <v>20</v>
      </c>
      <c r="M3160" s="2"/>
      <c r="N3160" s="2"/>
      <c r="O3160" s="2"/>
    </row>
    <row r="3161" spans="1:15" x14ac:dyDescent="0.4">
      <c r="A3161">
        <v>2008</v>
      </c>
      <c r="B3161" s="2" t="s">
        <v>535</v>
      </c>
      <c r="C3161" s="2" t="s">
        <v>720</v>
      </c>
      <c r="D3161" s="2" t="s">
        <v>193</v>
      </c>
      <c r="E3161" s="70" t="s">
        <v>197</v>
      </c>
      <c r="F3161" s="29">
        <v>137</v>
      </c>
      <c r="G3161" s="29">
        <v>91</v>
      </c>
      <c r="H3161" s="33">
        <v>46</v>
      </c>
      <c r="M3161" s="2"/>
      <c r="N3161" s="2"/>
      <c r="O3161" s="2"/>
    </row>
    <row r="3162" spans="1:15" x14ac:dyDescent="0.4">
      <c r="A3162">
        <v>2008</v>
      </c>
      <c r="B3162" s="2" t="s">
        <v>536</v>
      </c>
      <c r="C3162" s="2" t="s">
        <v>720</v>
      </c>
      <c r="D3162" s="2" t="s">
        <v>193</v>
      </c>
      <c r="E3162" s="70" t="s">
        <v>198</v>
      </c>
      <c r="F3162" s="29">
        <v>813</v>
      </c>
      <c r="G3162" s="29">
        <v>440</v>
      </c>
      <c r="H3162" s="33">
        <v>373</v>
      </c>
      <c r="M3162" s="2"/>
      <c r="N3162" s="2"/>
      <c r="O3162" s="2"/>
    </row>
    <row r="3163" spans="1:15" x14ac:dyDescent="0.4">
      <c r="A3163">
        <v>2008</v>
      </c>
      <c r="B3163" s="2" t="s">
        <v>537</v>
      </c>
      <c r="C3163" s="2" t="s">
        <v>720</v>
      </c>
      <c r="D3163" s="2" t="s">
        <v>193</v>
      </c>
      <c r="E3163" s="70" t="s">
        <v>199</v>
      </c>
      <c r="F3163" s="29">
        <v>419</v>
      </c>
      <c r="G3163" s="29">
        <v>305</v>
      </c>
      <c r="H3163" s="33">
        <v>114</v>
      </c>
      <c r="M3163" s="2"/>
      <c r="N3163" s="2"/>
      <c r="O3163" s="2"/>
    </row>
    <row r="3164" spans="1:15" x14ac:dyDescent="0.4">
      <c r="A3164">
        <v>2008</v>
      </c>
      <c r="B3164" s="2" t="s">
        <v>538</v>
      </c>
      <c r="C3164" s="2" t="s">
        <v>720</v>
      </c>
      <c r="D3164" s="2" t="s">
        <v>193</v>
      </c>
      <c r="E3164" s="70" t="s">
        <v>200</v>
      </c>
      <c r="F3164" s="29">
        <v>135</v>
      </c>
      <c r="G3164" s="29">
        <v>84</v>
      </c>
      <c r="H3164" s="33">
        <v>51</v>
      </c>
      <c r="M3164" s="2"/>
      <c r="N3164" s="2"/>
      <c r="O3164" s="2"/>
    </row>
    <row r="3165" spans="1:15" x14ac:dyDescent="0.4">
      <c r="A3165">
        <v>2008</v>
      </c>
      <c r="B3165" s="2" t="s">
        <v>539</v>
      </c>
      <c r="C3165" s="2" t="s">
        <v>720</v>
      </c>
      <c r="D3165" s="2" t="s">
        <v>193</v>
      </c>
      <c r="E3165" s="70" t="s">
        <v>201</v>
      </c>
      <c r="F3165" s="29">
        <v>1558</v>
      </c>
      <c r="G3165" s="29">
        <v>1011</v>
      </c>
      <c r="H3165" s="33">
        <v>547</v>
      </c>
      <c r="M3165" s="2"/>
      <c r="N3165" s="2"/>
      <c r="O3165" s="2"/>
    </row>
    <row r="3166" spans="1:15" x14ac:dyDescent="0.4">
      <c r="A3166">
        <v>2008</v>
      </c>
      <c r="B3166" s="2" t="s">
        <v>540</v>
      </c>
      <c r="C3166" s="2" t="s">
        <v>720</v>
      </c>
      <c r="D3166" s="2" t="s">
        <v>193</v>
      </c>
      <c r="E3166" s="70" t="s">
        <v>14</v>
      </c>
      <c r="F3166" s="29">
        <v>505</v>
      </c>
      <c r="G3166" s="29">
        <v>347</v>
      </c>
      <c r="H3166" s="33">
        <v>158</v>
      </c>
      <c r="M3166" s="2"/>
      <c r="N3166" s="2"/>
      <c r="O3166" s="2"/>
    </row>
    <row r="3167" spans="1:15" x14ac:dyDescent="0.4">
      <c r="A3167">
        <v>2008</v>
      </c>
      <c r="B3167" s="2" t="s">
        <v>541</v>
      </c>
      <c r="C3167" s="2" t="s">
        <v>720</v>
      </c>
      <c r="D3167" s="2" t="s">
        <v>193</v>
      </c>
      <c r="E3167" s="70" t="s">
        <v>202</v>
      </c>
      <c r="F3167" s="29">
        <v>597</v>
      </c>
      <c r="G3167" s="29">
        <v>429</v>
      </c>
      <c r="H3167" s="33">
        <v>168</v>
      </c>
      <c r="M3167" s="2"/>
      <c r="N3167" s="2"/>
      <c r="O3167" s="2"/>
    </row>
    <row r="3168" spans="1:15" x14ac:dyDescent="0.4">
      <c r="A3168">
        <v>2008</v>
      </c>
      <c r="B3168" s="2" t="s">
        <v>542</v>
      </c>
      <c r="C3168" s="2" t="s">
        <v>720</v>
      </c>
      <c r="D3168" s="2" t="s">
        <v>193</v>
      </c>
      <c r="E3168" s="70" t="s">
        <v>203</v>
      </c>
      <c r="F3168" s="29">
        <v>194</v>
      </c>
      <c r="G3168" s="29">
        <v>106</v>
      </c>
      <c r="H3168" s="33">
        <v>88</v>
      </c>
      <c r="M3168" s="2"/>
      <c r="N3168" s="2"/>
      <c r="O3168" s="2"/>
    </row>
    <row r="3169" spans="1:15" x14ac:dyDescent="0.4">
      <c r="A3169">
        <v>2008</v>
      </c>
      <c r="B3169" s="2" t="s">
        <v>543</v>
      </c>
      <c r="C3169" s="2" t="s">
        <v>720</v>
      </c>
      <c r="D3169" s="2" t="s">
        <v>193</v>
      </c>
      <c r="E3169" s="70" t="s">
        <v>32</v>
      </c>
      <c r="F3169" s="29">
        <v>165</v>
      </c>
      <c r="G3169" s="29">
        <v>112</v>
      </c>
      <c r="H3169" s="33">
        <v>53</v>
      </c>
      <c r="M3169" s="2"/>
      <c r="N3169" s="2"/>
      <c r="O3169" s="2"/>
    </row>
    <row r="3170" spans="1:15" x14ac:dyDescent="0.4">
      <c r="A3170">
        <v>2008</v>
      </c>
      <c r="B3170" s="2" t="s">
        <v>544</v>
      </c>
      <c r="C3170" s="2" t="s">
        <v>720</v>
      </c>
      <c r="D3170" s="2" t="s">
        <v>193</v>
      </c>
      <c r="E3170" s="70" t="s">
        <v>204</v>
      </c>
      <c r="F3170" s="29">
        <v>262</v>
      </c>
      <c r="G3170" s="29">
        <v>186</v>
      </c>
      <c r="H3170" s="33">
        <v>76</v>
      </c>
      <c r="M3170" s="2"/>
      <c r="N3170" s="2"/>
      <c r="O3170" s="2"/>
    </row>
    <row r="3171" spans="1:15" x14ac:dyDescent="0.4">
      <c r="A3171">
        <v>2008</v>
      </c>
      <c r="B3171" s="2" t="s">
        <v>545</v>
      </c>
      <c r="C3171" s="2" t="s">
        <v>720</v>
      </c>
      <c r="D3171" s="2" t="s">
        <v>193</v>
      </c>
      <c r="E3171" s="70" t="s">
        <v>205</v>
      </c>
      <c r="F3171" s="29">
        <v>52</v>
      </c>
      <c r="G3171" s="29">
        <v>38</v>
      </c>
      <c r="H3171" s="33">
        <v>14</v>
      </c>
      <c r="M3171" s="2"/>
      <c r="N3171" s="2"/>
      <c r="O3171" s="2"/>
    </row>
    <row r="3172" spans="1:15" x14ac:dyDescent="0.4">
      <c r="A3172">
        <v>2008</v>
      </c>
      <c r="B3172" s="2" t="s">
        <v>546</v>
      </c>
      <c r="C3172" s="2" t="s">
        <v>720</v>
      </c>
      <c r="D3172" s="2" t="s">
        <v>193</v>
      </c>
      <c r="E3172" s="70" t="s">
        <v>206</v>
      </c>
      <c r="F3172" s="29">
        <v>839</v>
      </c>
      <c r="G3172" s="29">
        <v>566</v>
      </c>
      <c r="H3172" s="33">
        <v>273</v>
      </c>
      <c r="M3172" s="2"/>
      <c r="N3172" s="2"/>
      <c r="O3172" s="2"/>
    </row>
    <row r="3173" spans="1:15" x14ac:dyDescent="0.4">
      <c r="A3173">
        <v>2008</v>
      </c>
      <c r="B3173" s="2" t="s">
        <v>547</v>
      </c>
      <c r="C3173" s="2" t="s">
        <v>720</v>
      </c>
      <c r="D3173" s="2" t="s">
        <v>193</v>
      </c>
      <c r="E3173" s="70" t="s">
        <v>25</v>
      </c>
      <c r="F3173" s="29">
        <v>139</v>
      </c>
      <c r="G3173" s="29">
        <v>115</v>
      </c>
      <c r="H3173" s="33">
        <v>24</v>
      </c>
      <c r="M3173" s="2"/>
      <c r="N3173" s="2"/>
      <c r="O3173" s="2"/>
    </row>
    <row r="3174" spans="1:15" x14ac:dyDescent="0.4">
      <c r="A3174">
        <v>2008</v>
      </c>
      <c r="B3174" s="2" t="s">
        <v>548</v>
      </c>
      <c r="C3174" s="2" t="s">
        <v>720</v>
      </c>
      <c r="D3174" s="2" t="s">
        <v>193</v>
      </c>
      <c r="E3174" s="70" t="s">
        <v>51</v>
      </c>
      <c r="F3174" s="29">
        <v>3576</v>
      </c>
      <c r="G3174" s="29">
        <v>2300</v>
      </c>
      <c r="H3174" s="33">
        <v>1276</v>
      </c>
      <c r="M3174" s="2"/>
      <c r="N3174" s="2"/>
      <c r="O3174" s="2"/>
    </row>
    <row r="3175" spans="1:15" x14ac:dyDescent="0.4">
      <c r="A3175">
        <v>2008</v>
      </c>
      <c r="B3175" s="2" t="s">
        <v>549</v>
      </c>
      <c r="C3175" s="2" t="s">
        <v>720</v>
      </c>
      <c r="D3175" s="2" t="s">
        <v>193</v>
      </c>
      <c r="E3175" s="70" t="s">
        <v>53</v>
      </c>
      <c r="F3175" s="29">
        <v>479</v>
      </c>
      <c r="G3175" s="29">
        <v>320</v>
      </c>
      <c r="H3175" s="33">
        <v>159</v>
      </c>
      <c r="M3175" s="2"/>
      <c r="N3175" s="2"/>
      <c r="O3175" s="2"/>
    </row>
    <row r="3176" spans="1:15" x14ac:dyDescent="0.4">
      <c r="A3176">
        <v>2008</v>
      </c>
      <c r="B3176" s="2" t="s">
        <v>550</v>
      </c>
      <c r="C3176" s="2" t="s">
        <v>720</v>
      </c>
      <c r="D3176" s="2" t="s">
        <v>193</v>
      </c>
      <c r="E3176" s="70" t="s">
        <v>54</v>
      </c>
      <c r="F3176" s="29">
        <v>636</v>
      </c>
      <c r="G3176" s="29">
        <v>424</v>
      </c>
      <c r="H3176" s="33">
        <v>212</v>
      </c>
      <c r="M3176" s="2"/>
      <c r="N3176" s="2"/>
      <c r="O3176" s="2"/>
    </row>
    <row r="3177" spans="1:15" x14ac:dyDescent="0.4">
      <c r="A3177">
        <v>2008</v>
      </c>
      <c r="B3177" s="2" t="s">
        <v>551</v>
      </c>
      <c r="C3177" s="2" t="s">
        <v>721</v>
      </c>
      <c r="D3177" s="2" t="s">
        <v>207</v>
      </c>
      <c r="E3177" s="70" t="s">
        <v>128</v>
      </c>
      <c r="F3177" s="29">
        <v>55</v>
      </c>
      <c r="G3177" s="29">
        <v>37</v>
      </c>
      <c r="H3177" s="33">
        <v>18</v>
      </c>
      <c r="M3177" s="2"/>
      <c r="N3177" s="2"/>
      <c r="O3177" s="2"/>
    </row>
    <row r="3178" spans="1:15" x14ac:dyDescent="0.4">
      <c r="A3178">
        <v>2008</v>
      </c>
      <c r="B3178" s="2" t="s">
        <v>552</v>
      </c>
      <c r="C3178" s="2" t="s">
        <v>721</v>
      </c>
      <c r="D3178" s="2" t="s">
        <v>207</v>
      </c>
      <c r="E3178" s="70" t="s">
        <v>208</v>
      </c>
      <c r="F3178" s="29">
        <v>10</v>
      </c>
      <c r="G3178" s="29">
        <v>6</v>
      </c>
      <c r="H3178" s="33">
        <v>4</v>
      </c>
      <c r="M3178" s="2"/>
      <c r="N3178" s="2"/>
      <c r="O3178" s="2"/>
    </row>
    <row r="3179" spans="1:15" x14ac:dyDescent="0.4">
      <c r="A3179">
        <v>2008</v>
      </c>
      <c r="B3179" s="2" t="s">
        <v>553</v>
      </c>
      <c r="C3179" s="2" t="s">
        <v>721</v>
      </c>
      <c r="D3179" s="2" t="s">
        <v>207</v>
      </c>
      <c r="E3179" s="70" t="s">
        <v>36</v>
      </c>
      <c r="F3179" s="29">
        <v>137</v>
      </c>
      <c r="G3179" s="29">
        <v>101</v>
      </c>
      <c r="H3179" s="33">
        <v>36</v>
      </c>
      <c r="M3179" s="2"/>
      <c r="N3179" s="2"/>
      <c r="O3179" s="2"/>
    </row>
    <row r="3180" spans="1:15" x14ac:dyDescent="0.4">
      <c r="A3180">
        <v>2008</v>
      </c>
      <c r="B3180" s="2" t="s">
        <v>554</v>
      </c>
      <c r="C3180" s="2" t="s">
        <v>721</v>
      </c>
      <c r="D3180" s="2" t="s">
        <v>207</v>
      </c>
      <c r="E3180" s="70" t="s">
        <v>209</v>
      </c>
      <c r="F3180" s="29">
        <v>102</v>
      </c>
      <c r="G3180" s="29">
        <v>59</v>
      </c>
      <c r="H3180" s="33">
        <v>43</v>
      </c>
      <c r="M3180" s="2"/>
      <c r="N3180" s="2"/>
      <c r="O3180" s="2"/>
    </row>
    <row r="3181" spans="1:15" x14ac:dyDescent="0.4">
      <c r="A3181">
        <v>2008</v>
      </c>
      <c r="B3181" s="2" t="s">
        <v>555</v>
      </c>
      <c r="C3181" s="2" t="s">
        <v>721</v>
      </c>
      <c r="D3181" s="2" t="s">
        <v>207</v>
      </c>
      <c r="E3181" s="70" t="s">
        <v>69</v>
      </c>
      <c r="F3181" s="29">
        <v>86</v>
      </c>
      <c r="G3181" s="29">
        <v>59</v>
      </c>
      <c r="H3181" s="33">
        <v>27</v>
      </c>
      <c r="M3181" s="2"/>
      <c r="N3181" s="2"/>
      <c r="O3181" s="2"/>
    </row>
    <row r="3182" spans="1:15" x14ac:dyDescent="0.4">
      <c r="A3182">
        <v>2008</v>
      </c>
      <c r="B3182" s="2" t="s">
        <v>556</v>
      </c>
      <c r="C3182" s="2" t="s">
        <v>721</v>
      </c>
      <c r="D3182" s="2" t="s">
        <v>207</v>
      </c>
      <c r="E3182" s="70" t="s">
        <v>62</v>
      </c>
      <c r="F3182" s="29">
        <v>163</v>
      </c>
      <c r="G3182" s="29">
        <v>109</v>
      </c>
      <c r="H3182" s="33">
        <v>54</v>
      </c>
      <c r="M3182" s="2"/>
      <c r="N3182" s="2"/>
      <c r="O3182" s="2"/>
    </row>
    <row r="3183" spans="1:15" x14ac:dyDescent="0.4">
      <c r="A3183">
        <v>2008</v>
      </c>
      <c r="B3183" s="2" t="s">
        <v>557</v>
      </c>
      <c r="C3183" s="2" t="s">
        <v>721</v>
      </c>
      <c r="D3183" s="2" t="s">
        <v>207</v>
      </c>
      <c r="E3183" s="70" t="s">
        <v>44</v>
      </c>
      <c r="F3183" s="29">
        <v>59</v>
      </c>
      <c r="G3183" s="29">
        <v>44</v>
      </c>
      <c r="H3183" s="33">
        <v>15</v>
      </c>
      <c r="M3183" s="2"/>
      <c r="N3183" s="2"/>
      <c r="O3183" s="2"/>
    </row>
    <row r="3184" spans="1:15" x14ac:dyDescent="0.4">
      <c r="A3184">
        <v>2008</v>
      </c>
      <c r="B3184" s="2" t="s">
        <v>558</v>
      </c>
      <c r="C3184" s="2" t="s">
        <v>721</v>
      </c>
      <c r="D3184" s="2" t="s">
        <v>207</v>
      </c>
      <c r="E3184" s="70" t="s">
        <v>210</v>
      </c>
      <c r="F3184" s="29">
        <v>2702</v>
      </c>
      <c r="G3184" s="29">
        <v>1666</v>
      </c>
      <c r="H3184" s="33">
        <v>1036</v>
      </c>
      <c r="M3184" s="2"/>
      <c r="N3184" s="2"/>
      <c r="O3184" s="2"/>
    </row>
    <row r="3185" spans="1:15" x14ac:dyDescent="0.4">
      <c r="A3185">
        <v>2008</v>
      </c>
      <c r="B3185" s="2" t="s">
        <v>559</v>
      </c>
      <c r="C3185" s="2" t="s">
        <v>721</v>
      </c>
      <c r="D3185" s="2" t="s">
        <v>207</v>
      </c>
      <c r="E3185" s="70" t="s">
        <v>74</v>
      </c>
      <c r="F3185" s="29">
        <v>89</v>
      </c>
      <c r="G3185" s="29">
        <v>66</v>
      </c>
      <c r="H3185" s="33">
        <v>23</v>
      </c>
      <c r="M3185" s="2"/>
      <c r="N3185" s="2"/>
      <c r="O3185" s="2"/>
    </row>
    <row r="3186" spans="1:15" x14ac:dyDescent="0.4">
      <c r="A3186">
        <v>2008</v>
      </c>
      <c r="B3186" s="2" t="s">
        <v>560</v>
      </c>
      <c r="C3186" s="2" t="s">
        <v>721</v>
      </c>
      <c r="D3186" s="2" t="s">
        <v>207</v>
      </c>
      <c r="E3186" s="70" t="s">
        <v>211</v>
      </c>
      <c r="F3186" s="29">
        <v>82</v>
      </c>
      <c r="G3186" s="29">
        <v>59</v>
      </c>
      <c r="H3186" s="33">
        <v>23</v>
      </c>
      <c r="M3186" s="2"/>
      <c r="N3186" s="2"/>
      <c r="O3186" s="2"/>
    </row>
    <row r="3187" spans="1:15" x14ac:dyDescent="0.4">
      <c r="A3187">
        <v>2008</v>
      </c>
      <c r="B3187" s="2" t="s">
        <v>561</v>
      </c>
      <c r="C3187" s="2" t="s">
        <v>721</v>
      </c>
      <c r="D3187" s="2" t="s">
        <v>207</v>
      </c>
      <c r="E3187" s="70" t="s">
        <v>212</v>
      </c>
      <c r="F3187" s="29">
        <v>26</v>
      </c>
      <c r="G3187" s="29">
        <v>20</v>
      </c>
      <c r="H3187" s="33">
        <v>6</v>
      </c>
      <c r="M3187" s="2"/>
      <c r="N3187" s="2"/>
      <c r="O3187" s="2"/>
    </row>
    <row r="3188" spans="1:15" x14ac:dyDescent="0.4">
      <c r="A3188">
        <v>2008</v>
      </c>
      <c r="B3188" s="2" t="s">
        <v>562</v>
      </c>
      <c r="C3188" s="2" t="s">
        <v>721</v>
      </c>
      <c r="D3188" s="2" t="s">
        <v>207</v>
      </c>
      <c r="E3188" s="70" t="s">
        <v>213</v>
      </c>
      <c r="F3188" s="29">
        <v>59</v>
      </c>
      <c r="G3188" s="29">
        <v>33</v>
      </c>
      <c r="H3188" s="33">
        <v>26</v>
      </c>
      <c r="M3188" s="2"/>
      <c r="N3188" s="2"/>
      <c r="O3188" s="2"/>
    </row>
    <row r="3189" spans="1:15" x14ac:dyDescent="0.4">
      <c r="A3189">
        <v>2008</v>
      </c>
      <c r="B3189" s="2" t="s">
        <v>563</v>
      </c>
      <c r="C3189" s="2" t="s">
        <v>721</v>
      </c>
      <c r="D3189" s="2" t="s">
        <v>207</v>
      </c>
      <c r="E3189" s="70" t="s">
        <v>214</v>
      </c>
      <c r="F3189" s="29">
        <v>18</v>
      </c>
      <c r="G3189" s="29">
        <v>10</v>
      </c>
      <c r="H3189" s="33">
        <v>8</v>
      </c>
      <c r="M3189" s="2"/>
      <c r="N3189" s="2"/>
      <c r="O3189" s="2"/>
    </row>
    <row r="3190" spans="1:15" x14ac:dyDescent="0.4">
      <c r="A3190">
        <v>2008</v>
      </c>
      <c r="B3190" s="2" t="s">
        <v>564</v>
      </c>
      <c r="C3190" s="2" t="s">
        <v>722</v>
      </c>
      <c r="D3190" s="2" t="s">
        <v>216</v>
      </c>
      <c r="E3190" s="70" t="s">
        <v>215</v>
      </c>
      <c r="F3190" s="29">
        <v>62</v>
      </c>
      <c r="G3190" s="29">
        <v>40</v>
      </c>
      <c r="H3190" s="33">
        <v>22</v>
      </c>
      <c r="M3190" s="2"/>
      <c r="N3190" s="2"/>
      <c r="O3190" s="2"/>
    </row>
    <row r="3191" spans="1:15" x14ac:dyDescent="0.4">
      <c r="A3191">
        <v>2008</v>
      </c>
      <c r="B3191" s="2" t="s">
        <v>565</v>
      </c>
      <c r="C3191" s="2" t="s">
        <v>722</v>
      </c>
      <c r="D3191" s="2" t="s">
        <v>216</v>
      </c>
      <c r="E3191" s="70" t="s">
        <v>59</v>
      </c>
      <c r="F3191" s="29">
        <v>112</v>
      </c>
      <c r="G3191" s="29">
        <v>68</v>
      </c>
      <c r="H3191" s="33">
        <v>44</v>
      </c>
      <c r="M3191" s="2"/>
      <c r="N3191" s="2"/>
      <c r="O3191" s="2"/>
    </row>
    <row r="3192" spans="1:15" x14ac:dyDescent="0.4">
      <c r="A3192">
        <v>2008</v>
      </c>
      <c r="B3192" s="2" t="s">
        <v>566</v>
      </c>
      <c r="C3192" s="2" t="s">
        <v>722</v>
      </c>
      <c r="D3192" s="2" t="s">
        <v>216</v>
      </c>
      <c r="E3192" s="70" t="s">
        <v>217</v>
      </c>
      <c r="F3192" s="29">
        <v>152</v>
      </c>
      <c r="G3192" s="29">
        <v>84</v>
      </c>
      <c r="H3192" s="33">
        <v>68</v>
      </c>
      <c r="M3192" s="2"/>
      <c r="N3192" s="2"/>
      <c r="O3192" s="2"/>
    </row>
    <row r="3193" spans="1:15" x14ac:dyDescent="0.4">
      <c r="A3193">
        <v>2008</v>
      </c>
      <c r="B3193" s="2" t="s">
        <v>567</v>
      </c>
      <c r="C3193" s="2" t="s">
        <v>722</v>
      </c>
      <c r="D3193" s="2" t="s">
        <v>216</v>
      </c>
      <c r="E3193" s="70" t="s">
        <v>218</v>
      </c>
      <c r="F3193" s="29">
        <v>220</v>
      </c>
      <c r="G3193" s="29">
        <v>154</v>
      </c>
      <c r="H3193" s="33">
        <v>66</v>
      </c>
      <c r="M3193" s="2"/>
      <c r="N3193" s="2"/>
      <c r="O3193" s="2"/>
    </row>
    <row r="3194" spans="1:15" x14ac:dyDescent="0.4">
      <c r="A3194">
        <v>2008</v>
      </c>
      <c r="B3194" s="2" t="s">
        <v>568</v>
      </c>
      <c r="C3194" s="2" t="s">
        <v>722</v>
      </c>
      <c r="D3194" s="2" t="s">
        <v>216</v>
      </c>
      <c r="E3194" s="70" t="s">
        <v>219</v>
      </c>
      <c r="F3194" s="29">
        <v>116</v>
      </c>
      <c r="G3194" s="29">
        <v>59</v>
      </c>
      <c r="H3194" s="33">
        <v>57</v>
      </c>
      <c r="M3194" s="2"/>
      <c r="N3194" s="2"/>
      <c r="O3194" s="2"/>
    </row>
    <row r="3195" spans="1:15" x14ac:dyDescent="0.4">
      <c r="A3195">
        <v>2008</v>
      </c>
      <c r="B3195" s="2" t="s">
        <v>569</v>
      </c>
      <c r="C3195" s="2" t="s">
        <v>722</v>
      </c>
      <c r="D3195" s="2" t="s">
        <v>216</v>
      </c>
      <c r="E3195" s="70" t="s">
        <v>220</v>
      </c>
      <c r="F3195" s="29">
        <v>154</v>
      </c>
      <c r="G3195" s="29">
        <v>93</v>
      </c>
      <c r="H3195" s="33">
        <v>61</v>
      </c>
      <c r="M3195" s="2"/>
      <c r="N3195" s="2"/>
      <c r="O3195" s="2"/>
    </row>
    <row r="3196" spans="1:15" x14ac:dyDescent="0.4">
      <c r="A3196">
        <v>2008</v>
      </c>
      <c r="B3196" s="2" t="s">
        <v>570</v>
      </c>
      <c r="C3196" s="2" t="s">
        <v>722</v>
      </c>
      <c r="D3196" s="2" t="s">
        <v>216</v>
      </c>
      <c r="E3196" s="70" t="s">
        <v>221</v>
      </c>
      <c r="F3196" s="29">
        <v>174</v>
      </c>
      <c r="G3196" s="29">
        <v>108</v>
      </c>
      <c r="H3196" s="33">
        <v>66</v>
      </c>
      <c r="M3196" s="2"/>
      <c r="N3196" s="2"/>
      <c r="O3196" s="2"/>
    </row>
    <row r="3197" spans="1:15" x14ac:dyDescent="0.4">
      <c r="A3197">
        <v>2008</v>
      </c>
      <c r="B3197" s="2" t="s">
        <v>571</v>
      </c>
      <c r="C3197" s="2" t="s">
        <v>722</v>
      </c>
      <c r="D3197" s="2" t="s">
        <v>216</v>
      </c>
      <c r="E3197" s="70" t="s">
        <v>222</v>
      </c>
      <c r="F3197" s="29">
        <v>1208</v>
      </c>
      <c r="G3197" s="29">
        <v>792</v>
      </c>
      <c r="H3197" s="33">
        <v>416</v>
      </c>
      <c r="M3197" s="2"/>
      <c r="N3197" s="2"/>
      <c r="O3197" s="2"/>
    </row>
    <row r="3198" spans="1:15" x14ac:dyDescent="0.4">
      <c r="A3198">
        <v>2008</v>
      </c>
      <c r="B3198" s="2" t="s">
        <v>572</v>
      </c>
      <c r="C3198" s="2" t="s">
        <v>722</v>
      </c>
      <c r="D3198" s="2" t="s">
        <v>216</v>
      </c>
      <c r="E3198" s="70" t="s">
        <v>223</v>
      </c>
      <c r="F3198" s="29">
        <v>71</v>
      </c>
      <c r="G3198" s="29">
        <v>38</v>
      </c>
      <c r="H3198" s="33">
        <v>33</v>
      </c>
      <c r="M3198" s="2"/>
      <c r="N3198" s="2"/>
      <c r="O3198" s="2"/>
    </row>
    <row r="3199" spans="1:15" x14ac:dyDescent="0.4">
      <c r="A3199">
        <v>2008</v>
      </c>
      <c r="B3199" s="2" t="s">
        <v>573</v>
      </c>
      <c r="C3199" s="2" t="s">
        <v>722</v>
      </c>
      <c r="D3199" s="2" t="s">
        <v>216</v>
      </c>
      <c r="E3199" s="70" t="s">
        <v>224</v>
      </c>
      <c r="F3199" s="29">
        <v>121</v>
      </c>
      <c r="G3199" s="29">
        <v>79</v>
      </c>
      <c r="H3199" s="33">
        <v>42</v>
      </c>
      <c r="M3199" s="2"/>
      <c r="N3199" s="2"/>
      <c r="O3199" s="2"/>
    </row>
    <row r="3200" spans="1:15" x14ac:dyDescent="0.4">
      <c r="A3200">
        <v>2008</v>
      </c>
      <c r="B3200" s="2" t="s">
        <v>574</v>
      </c>
      <c r="C3200" s="2" t="s">
        <v>722</v>
      </c>
      <c r="D3200" s="2" t="s">
        <v>216</v>
      </c>
      <c r="E3200" s="70" t="s">
        <v>225</v>
      </c>
      <c r="F3200" s="29">
        <v>27</v>
      </c>
      <c r="G3200" s="29">
        <v>12</v>
      </c>
      <c r="H3200" s="33">
        <v>15</v>
      </c>
      <c r="M3200" s="2"/>
      <c r="N3200" s="2"/>
      <c r="O3200" s="2"/>
    </row>
    <row r="3201" spans="1:15" x14ac:dyDescent="0.4">
      <c r="A3201">
        <v>2008</v>
      </c>
      <c r="B3201" s="2" t="s">
        <v>575</v>
      </c>
      <c r="C3201" s="2" t="s">
        <v>723</v>
      </c>
      <c r="D3201" s="2" t="s">
        <v>227</v>
      </c>
      <c r="E3201" s="70" t="s">
        <v>226</v>
      </c>
      <c r="F3201" s="29">
        <v>56</v>
      </c>
      <c r="G3201" s="29">
        <v>41</v>
      </c>
      <c r="H3201" s="33">
        <v>15</v>
      </c>
      <c r="M3201" s="2"/>
      <c r="N3201" s="2"/>
      <c r="O3201" s="2"/>
    </row>
    <row r="3202" spans="1:15" x14ac:dyDescent="0.4">
      <c r="A3202">
        <v>2008</v>
      </c>
      <c r="B3202" s="2" t="s">
        <v>576</v>
      </c>
      <c r="C3202" s="2" t="s">
        <v>723</v>
      </c>
      <c r="D3202" s="2" t="s">
        <v>227</v>
      </c>
      <c r="E3202" s="70" t="s">
        <v>228</v>
      </c>
      <c r="F3202" s="29">
        <v>1235</v>
      </c>
      <c r="G3202" s="29">
        <v>791</v>
      </c>
      <c r="H3202" s="33">
        <v>444</v>
      </c>
      <c r="M3202" s="2"/>
      <c r="N3202" s="2"/>
      <c r="O3202" s="2"/>
    </row>
    <row r="3203" spans="1:15" x14ac:dyDescent="0.4">
      <c r="A3203">
        <v>2008</v>
      </c>
      <c r="B3203" s="2" t="s">
        <v>577</v>
      </c>
      <c r="C3203" s="2" t="s">
        <v>723</v>
      </c>
      <c r="D3203" s="2" t="s">
        <v>227</v>
      </c>
      <c r="E3203" s="70" t="s">
        <v>229</v>
      </c>
      <c r="F3203" s="29">
        <v>101</v>
      </c>
      <c r="G3203" s="29">
        <v>67</v>
      </c>
      <c r="H3203" s="33">
        <v>34</v>
      </c>
      <c r="M3203" s="2"/>
      <c r="N3203" s="2"/>
      <c r="O3203" s="2"/>
    </row>
    <row r="3204" spans="1:15" x14ac:dyDescent="0.4">
      <c r="A3204">
        <v>2008</v>
      </c>
      <c r="B3204" s="2" t="s">
        <v>578</v>
      </c>
      <c r="C3204" s="2" t="s">
        <v>723</v>
      </c>
      <c r="D3204" s="2" t="s">
        <v>227</v>
      </c>
      <c r="E3204" s="70" t="s">
        <v>230</v>
      </c>
      <c r="F3204" s="29">
        <v>1021</v>
      </c>
      <c r="G3204" s="29">
        <v>664</v>
      </c>
      <c r="H3204" s="33">
        <v>357</v>
      </c>
      <c r="M3204" s="2"/>
      <c r="N3204" s="2"/>
      <c r="O3204" s="2"/>
    </row>
    <row r="3205" spans="1:15" x14ac:dyDescent="0.4">
      <c r="A3205">
        <v>2008</v>
      </c>
      <c r="B3205" s="2" t="s">
        <v>579</v>
      </c>
      <c r="C3205" s="2" t="s">
        <v>723</v>
      </c>
      <c r="D3205" s="2" t="s">
        <v>227</v>
      </c>
      <c r="E3205" s="70" t="s">
        <v>231</v>
      </c>
      <c r="F3205" s="29">
        <v>83</v>
      </c>
      <c r="G3205" s="29">
        <v>52</v>
      </c>
      <c r="H3205" s="33">
        <v>31</v>
      </c>
      <c r="M3205" s="2"/>
      <c r="N3205" s="2"/>
      <c r="O3205" s="2"/>
    </row>
    <row r="3206" spans="1:15" x14ac:dyDescent="0.4">
      <c r="A3206">
        <v>2008</v>
      </c>
      <c r="B3206" s="2" t="s">
        <v>580</v>
      </c>
      <c r="C3206" s="2" t="s">
        <v>723</v>
      </c>
      <c r="D3206" s="2" t="s">
        <v>227</v>
      </c>
      <c r="E3206" s="70" t="s">
        <v>232</v>
      </c>
      <c r="F3206" s="29">
        <v>81</v>
      </c>
      <c r="G3206" s="29">
        <v>48</v>
      </c>
      <c r="H3206" s="33">
        <v>33</v>
      </c>
      <c r="M3206" s="2"/>
      <c r="N3206" s="2"/>
      <c r="O3206" s="2"/>
    </row>
    <row r="3207" spans="1:15" x14ac:dyDescent="0.4">
      <c r="A3207">
        <v>2008</v>
      </c>
      <c r="B3207" s="2" t="s">
        <v>581</v>
      </c>
      <c r="C3207" s="2" t="s">
        <v>723</v>
      </c>
      <c r="D3207" s="2" t="s">
        <v>227</v>
      </c>
      <c r="E3207" s="70" t="s">
        <v>233</v>
      </c>
      <c r="F3207" s="29">
        <v>100</v>
      </c>
      <c r="G3207" s="29">
        <v>68</v>
      </c>
      <c r="H3207" s="33">
        <v>32</v>
      </c>
      <c r="M3207" s="2"/>
      <c r="N3207" s="2"/>
      <c r="O3207" s="2"/>
    </row>
    <row r="3208" spans="1:15" x14ac:dyDescent="0.4">
      <c r="A3208">
        <v>2008</v>
      </c>
      <c r="B3208" s="2" t="s">
        <v>582</v>
      </c>
      <c r="C3208" s="2" t="s">
        <v>723</v>
      </c>
      <c r="D3208" s="2" t="s">
        <v>227</v>
      </c>
      <c r="E3208" s="70" t="s">
        <v>32</v>
      </c>
      <c r="F3208" s="29">
        <v>462</v>
      </c>
      <c r="G3208" s="29">
        <v>296</v>
      </c>
      <c r="H3208" s="33">
        <v>166</v>
      </c>
      <c r="M3208" s="2"/>
      <c r="N3208" s="2"/>
      <c r="O3208" s="2"/>
    </row>
    <row r="3209" spans="1:15" x14ac:dyDescent="0.4">
      <c r="A3209">
        <v>2008</v>
      </c>
      <c r="B3209" s="2" t="s">
        <v>583</v>
      </c>
      <c r="C3209" s="2" t="s">
        <v>723</v>
      </c>
      <c r="D3209" s="2" t="s">
        <v>227</v>
      </c>
      <c r="E3209" s="70" t="s">
        <v>234</v>
      </c>
      <c r="F3209" s="29">
        <v>12</v>
      </c>
      <c r="G3209" s="29">
        <v>7</v>
      </c>
      <c r="H3209" s="33">
        <v>5</v>
      </c>
      <c r="M3209" s="2"/>
      <c r="N3209" s="2"/>
      <c r="O3209" s="2"/>
    </row>
    <row r="3210" spans="1:15" x14ac:dyDescent="0.4">
      <c r="A3210">
        <v>2008</v>
      </c>
      <c r="B3210" s="2" t="s">
        <v>584</v>
      </c>
      <c r="C3210" s="2" t="s">
        <v>723</v>
      </c>
      <c r="D3210" s="2" t="s">
        <v>227</v>
      </c>
      <c r="E3210" s="70" t="s">
        <v>235</v>
      </c>
      <c r="F3210" s="29">
        <v>33</v>
      </c>
      <c r="G3210" s="29">
        <v>22</v>
      </c>
      <c r="H3210" s="33">
        <v>11</v>
      </c>
      <c r="M3210" s="2"/>
      <c r="N3210" s="2"/>
      <c r="O3210" s="2"/>
    </row>
    <row r="3211" spans="1:15" x14ac:dyDescent="0.4">
      <c r="A3211">
        <v>2008</v>
      </c>
      <c r="B3211" s="2" t="s">
        <v>585</v>
      </c>
      <c r="C3211" s="2" t="s">
        <v>723</v>
      </c>
      <c r="D3211" s="2" t="s">
        <v>227</v>
      </c>
      <c r="E3211" s="70" t="s">
        <v>236</v>
      </c>
      <c r="F3211" s="29">
        <v>35</v>
      </c>
      <c r="G3211" s="29">
        <v>28</v>
      </c>
      <c r="H3211" s="33">
        <v>7</v>
      </c>
      <c r="M3211" s="2"/>
      <c r="N3211" s="2"/>
      <c r="O3211" s="2"/>
    </row>
    <row r="3212" spans="1:15" x14ac:dyDescent="0.4">
      <c r="A3212">
        <v>2008</v>
      </c>
      <c r="B3212" s="2" t="s">
        <v>586</v>
      </c>
      <c r="C3212" s="2" t="s">
        <v>723</v>
      </c>
      <c r="D3212" s="2" t="s">
        <v>227</v>
      </c>
      <c r="E3212" s="70" t="s">
        <v>237</v>
      </c>
      <c r="F3212" s="29">
        <v>31</v>
      </c>
      <c r="G3212" s="29">
        <v>17</v>
      </c>
      <c r="H3212" s="33">
        <v>14</v>
      </c>
      <c r="M3212" s="2"/>
      <c r="N3212" s="2"/>
      <c r="O3212" s="2"/>
    </row>
    <row r="3213" spans="1:15" x14ac:dyDescent="0.4">
      <c r="A3213">
        <v>2008</v>
      </c>
      <c r="B3213" s="2" t="s">
        <v>587</v>
      </c>
      <c r="C3213" s="2" t="s">
        <v>723</v>
      </c>
      <c r="D3213" s="2" t="s">
        <v>227</v>
      </c>
      <c r="E3213" s="70" t="s">
        <v>51</v>
      </c>
      <c r="F3213" s="29">
        <v>141</v>
      </c>
      <c r="G3213" s="29">
        <v>88</v>
      </c>
      <c r="H3213" s="33">
        <v>53</v>
      </c>
      <c r="M3213" s="2"/>
      <c r="N3213" s="2"/>
      <c r="O3213" s="2"/>
    </row>
    <row r="3214" spans="1:15" x14ac:dyDescent="0.4">
      <c r="A3214">
        <v>2008</v>
      </c>
      <c r="B3214" s="2" t="s">
        <v>588</v>
      </c>
      <c r="C3214" s="2" t="s">
        <v>723</v>
      </c>
      <c r="D3214" s="2" t="s">
        <v>227</v>
      </c>
      <c r="E3214" s="70" t="s">
        <v>238</v>
      </c>
      <c r="F3214" s="29">
        <v>179</v>
      </c>
      <c r="G3214" s="29">
        <v>113</v>
      </c>
      <c r="H3214" s="33">
        <v>66</v>
      </c>
      <c r="M3214" s="2"/>
      <c r="N3214" s="2"/>
      <c r="O3214" s="2"/>
    </row>
    <row r="3215" spans="1:15" x14ac:dyDescent="0.4">
      <c r="A3215">
        <v>2008</v>
      </c>
      <c r="B3215" s="2" t="s">
        <v>589</v>
      </c>
      <c r="C3215" s="2" t="s">
        <v>724</v>
      </c>
      <c r="D3215" s="2" t="s">
        <v>239</v>
      </c>
      <c r="E3215" s="70" t="s">
        <v>163</v>
      </c>
      <c r="F3215" s="29">
        <v>83</v>
      </c>
      <c r="G3215" s="29">
        <v>57</v>
      </c>
      <c r="H3215" s="33">
        <v>26</v>
      </c>
      <c r="M3215" s="2"/>
      <c r="N3215" s="2"/>
      <c r="O3215" s="2"/>
    </row>
    <row r="3216" spans="1:15" x14ac:dyDescent="0.4">
      <c r="A3216">
        <v>2008</v>
      </c>
      <c r="B3216" s="2" t="s">
        <v>590</v>
      </c>
      <c r="C3216" s="2" t="s">
        <v>724</v>
      </c>
      <c r="D3216" s="2" t="s">
        <v>239</v>
      </c>
      <c r="E3216" s="70" t="s">
        <v>240</v>
      </c>
      <c r="F3216" s="29">
        <v>61</v>
      </c>
      <c r="G3216" s="29">
        <v>37</v>
      </c>
      <c r="H3216" s="33">
        <v>24</v>
      </c>
      <c r="M3216" s="2"/>
      <c r="N3216" s="2"/>
      <c r="O3216" s="2"/>
    </row>
    <row r="3217" spans="1:15" x14ac:dyDescent="0.4">
      <c r="A3217">
        <v>2008</v>
      </c>
      <c r="B3217" s="2" t="s">
        <v>591</v>
      </c>
      <c r="C3217" s="2" t="s">
        <v>724</v>
      </c>
      <c r="D3217" s="2" t="s">
        <v>239</v>
      </c>
      <c r="E3217" s="70" t="s">
        <v>59</v>
      </c>
      <c r="F3217" s="29">
        <v>110</v>
      </c>
      <c r="G3217" s="29">
        <v>67</v>
      </c>
      <c r="H3217" s="33">
        <v>43</v>
      </c>
      <c r="M3217" s="2"/>
      <c r="N3217" s="2"/>
      <c r="O3217" s="2"/>
    </row>
    <row r="3218" spans="1:15" x14ac:dyDescent="0.4">
      <c r="A3218">
        <v>2008</v>
      </c>
      <c r="B3218" s="2" t="s">
        <v>592</v>
      </c>
      <c r="C3218" s="2" t="s">
        <v>724</v>
      </c>
      <c r="D3218" s="2" t="s">
        <v>239</v>
      </c>
      <c r="E3218" s="70" t="s">
        <v>241</v>
      </c>
      <c r="F3218" s="29">
        <v>68</v>
      </c>
      <c r="G3218" s="29">
        <v>48</v>
      </c>
      <c r="H3218" s="33">
        <v>20</v>
      </c>
      <c r="M3218" s="2"/>
      <c r="N3218" s="2"/>
      <c r="O3218" s="2"/>
    </row>
    <row r="3219" spans="1:15" x14ac:dyDescent="0.4">
      <c r="A3219">
        <v>2008</v>
      </c>
      <c r="B3219" s="2" t="s">
        <v>593</v>
      </c>
      <c r="C3219" s="2" t="s">
        <v>724</v>
      </c>
      <c r="D3219" s="2" t="s">
        <v>239</v>
      </c>
      <c r="E3219" s="70" t="s">
        <v>242</v>
      </c>
      <c r="F3219" s="29">
        <v>1019</v>
      </c>
      <c r="G3219" s="29">
        <v>628</v>
      </c>
      <c r="H3219" s="33">
        <v>391</v>
      </c>
      <c r="M3219" s="2"/>
      <c r="N3219" s="2"/>
      <c r="O3219" s="2"/>
    </row>
    <row r="3220" spans="1:15" x14ac:dyDescent="0.4">
      <c r="A3220">
        <v>2008</v>
      </c>
      <c r="B3220" s="2" t="s">
        <v>594</v>
      </c>
      <c r="C3220" s="2" t="s">
        <v>724</v>
      </c>
      <c r="D3220" s="2" t="s">
        <v>239</v>
      </c>
      <c r="E3220" s="70" t="s">
        <v>36</v>
      </c>
      <c r="F3220" s="29">
        <v>57</v>
      </c>
      <c r="G3220" s="29">
        <v>33</v>
      </c>
      <c r="H3220" s="33">
        <v>24</v>
      </c>
      <c r="M3220" s="2"/>
      <c r="N3220" s="2"/>
      <c r="O3220" s="2"/>
    </row>
    <row r="3221" spans="1:15" x14ac:dyDescent="0.4">
      <c r="A3221">
        <v>2008</v>
      </c>
      <c r="B3221" s="2" t="s">
        <v>595</v>
      </c>
      <c r="C3221" s="2" t="s">
        <v>724</v>
      </c>
      <c r="D3221" s="2" t="s">
        <v>239</v>
      </c>
      <c r="E3221" s="70" t="s">
        <v>243</v>
      </c>
      <c r="F3221" s="29">
        <v>84</v>
      </c>
      <c r="G3221" s="29">
        <v>50</v>
      </c>
      <c r="H3221" s="33">
        <v>34</v>
      </c>
      <c r="M3221" s="2"/>
      <c r="N3221" s="2"/>
      <c r="O3221" s="2"/>
    </row>
    <row r="3222" spans="1:15" x14ac:dyDescent="0.4">
      <c r="A3222">
        <v>2008</v>
      </c>
      <c r="B3222" s="2" t="s">
        <v>596</v>
      </c>
      <c r="C3222" s="2" t="s">
        <v>724</v>
      </c>
      <c r="D3222" s="2" t="s">
        <v>239</v>
      </c>
      <c r="E3222" s="70" t="s">
        <v>244</v>
      </c>
      <c r="F3222" s="29">
        <v>84</v>
      </c>
      <c r="G3222" s="29">
        <v>51</v>
      </c>
      <c r="H3222" s="33">
        <v>33</v>
      </c>
      <c r="M3222" s="2"/>
      <c r="N3222" s="2"/>
      <c r="O3222" s="2"/>
    </row>
    <row r="3223" spans="1:15" x14ac:dyDescent="0.4">
      <c r="A3223">
        <v>2008</v>
      </c>
      <c r="B3223" s="2" t="s">
        <v>597</v>
      </c>
      <c r="C3223" s="2" t="s">
        <v>724</v>
      </c>
      <c r="D3223" s="2" t="s">
        <v>239</v>
      </c>
      <c r="E3223" s="70" t="s">
        <v>44</v>
      </c>
      <c r="F3223" s="29">
        <v>16</v>
      </c>
      <c r="G3223" s="29">
        <v>11</v>
      </c>
      <c r="H3223" s="33">
        <v>5</v>
      </c>
      <c r="M3223" s="2"/>
      <c r="N3223" s="2"/>
      <c r="O3223" s="2"/>
    </row>
    <row r="3224" spans="1:15" x14ac:dyDescent="0.4">
      <c r="A3224">
        <v>2008</v>
      </c>
      <c r="B3224" s="2" t="s">
        <v>598</v>
      </c>
      <c r="C3224" s="2" t="s">
        <v>724</v>
      </c>
      <c r="D3224" s="2" t="s">
        <v>239</v>
      </c>
      <c r="E3224" s="70" t="s">
        <v>222</v>
      </c>
      <c r="F3224" s="29">
        <v>89</v>
      </c>
      <c r="G3224" s="29">
        <v>56</v>
      </c>
      <c r="H3224" s="33">
        <v>33</v>
      </c>
      <c r="M3224" s="2"/>
      <c r="N3224" s="2"/>
      <c r="O3224" s="2"/>
    </row>
    <row r="3225" spans="1:15" x14ac:dyDescent="0.4">
      <c r="A3225">
        <v>2008</v>
      </c>
      <c r="B3225" s="2" t="s">
        <v>599</v>
      </c>
      <c r="C3225" s="2" t="s">
        <v>724</v>
      </c>
      <c r="D3225" s="2" t="s">
        <v>239</v>
      </c>
      <c r="E3225" s="70" t="s">
        <v>245</v>
      </c>
      <c r="F3225" s="29">
        <v>36</v>
      </c>
      <c r="G3225" s="29">
        <v>23</v>
      </c>
      <c r="H3225" s="33">
        <v>13</v>
      </c>
      <c r="M3225" s="2"/>
      <c r="N3225" s="2"/>
      <c r="O3225" s="2"/>
    </row>
    <row r="3226" spans="1:15" x14ac:dyDescent="0.4">
      <c r="A3226">
        <v>2008</v>
      </c>
      <c r="B3226" s="2" t="s">
        <v>600</v>
      </c>
      <c r="C3226" s="2" t="s">
        <v>724</v>
      </c>
      <c r="D3226" s="2" t="s">
        <v>239</v>
      </c>
      <c r="E3226" s="70" t="s">
        <v>246</v>
      </c>
      <c r="F3226" s="29">
        <v>157</v>
      </c>
      <c r="G3226" s="29">
        <v>98</v>
      </c>
      <c r="H3226" s="33">
        <v>59</v>
      </c>
      <c r="M3226" s="2"/>
      <c r="N3226" s="2"/>
      <c r="O3226" s="2"/>
    </row>
    <row r="3227" spans="1:15" x14ac:dyDescent="0.4">
      <c r="A3227">
        <v>2008</v>
      </c>
      <c r="B3227" s="2" t="s">
        <v>601</v>
      </c>
      <c r="C3227" s="2" t="s">
        <v>724</v>
      </c>
      <c r="D3227" s="2" t="s">
        <v>239</v>
      </c>
      <c r="E3227" s="70" t="s">
        <v>247</v>
      </c>
      <c r="F3227" s="29">
        <v>202</v>
      </c>
      <c r="G3227" s="29">
        <v>121</v>
      </c>
      <c r="H3227" s="33">
        <v>81</v>
      </c>
      <c r="M3227" s="2"/>
      <c r="N3227" s="2"/>
      <c r="O3227" s="2"/>
    </row>
    <row r="3228" spans="1:15" x14ac:dyDescent="0.4">
      <c r="A3228">
        <v>2008</v>
      </c>
      <c r="B3228" s="2" t="s">
        <v>602</v>
      </c>
      <c r="C3228" s="2" t="s">
        <v>724</v>
      </c>
      <c r="D3228" s="2" t="s">
        <v>239</v>
      </c>
      <c r="E3228" s="70" t="s">
        <v>51</v>
      </c>
      <c r="F3228" s="29">
        <v>2079</v>
      </c>
      <c r="G3228" s="29">
        <v>1319</v>
      </c>
      <c r="H3228" s="33">
        <v>760</v>
      </c>
      <c r="M3228" s="2"/>
      <c r="N3228" s="2"/>
      <c r="O3228" s="2"/>
    </row>
    <row r="3229" spans="1:15" x14ac:dyDescent="0.4">
      <c r="A3229">
        <v>2008</v>
      </c>
      <c r="B3229" s="2" t="s">
        <v>603</v>
      </c>
      <c r="C3229" s="2" t="s">
        <v>724</v>
      </c>
      <c r="D3229" s="2" t="s">
        <v>239</v>
      </c>
      <c r="E3229" s="70" t="s">
        <v>248</v>
      </c>
      <c r="F3229" s="29">
        <v>148</v>
      </c>
      <c r="G3229" s="29">
        <v>92</v>
      </c>
      <c r="H3229" s="33">
        <v>56</v>
      </c>
      <c r="M3229" s="2"/>
      <c r="N3229" s="2"/>
      <c r="O3229" s="2"/>
    </row>
    <row r="3230" spans="1:15" x14ac:dyDescent="0.4">
      <c r="A3230">
        <v>2008</v>
      </c>
      <c r="B3230" s="2" t="s">
        <v>604</v>
      </c>
      <c r="C3230" s="2" t="s">
        <v>725</v>
      </c>
      <c r="D3230" s="2" t="s">
        <v>249</v>
      </c>
      <c r="E3230" s="70" t="s">
        <v>174</v>
      </c>
      <c r="F3230" s="29">
        <v>77</v>
      </c>
      <c r="G3230" s="29">
        <v>43</v>
      </c>
      <c r="H3230" s="33">
        <v>34</v>
      </c>
      <c r="M3230" s="2"/>
      <c r="N3230" s="2"/>
      <c r="O3230" s="2"/>
    </row>
    <row r="3231" spans="1:15" x14ac:dyDescent="0.4">
      <c r="A3231">
        <v>2008</v>
      </c>
      <c r="B3231" s="2" t="s">
        <v>605</v>
      </c>
      <c r="C3231" s="2" t="s">
        <v>725</v>
      </c>
      <c r="D3231" s="2" t="s">
        <v>249</v>
      </c>
      <c r="E3231" s="70" t="s">
        <v>250</v>
      </c>
      <c r="F3231" s="29">
        <v>35</v>
      </c>
      <c r="G3231" s="29">
        <v>23</v>
      </c>
      <c r="H3231" s="33">
        <v>12</v>
      </c>
      <c r="M3231" s="2"/>
      <c r="N3231" s="2"/>
      <c r="O3231" s="2"/>
    </row>
    <row r="3232" spans="1:15" x14ac:dyDescent="0.4">
      <c r="A3232">
        <v>2008</v>
      </c>
      <c r="B3232" s="2" t="s">
        <v>606</v>
      </c>
      <c r="C3232" s="2" t="s">
        <v>725</v>
      </c>
      <c r="D3232" s="2" t="s">
        <v>249</v>
      </c>
      <c r="E3232" s="70" t="s">
        <v>251</v>
      </c>
      <c r="F3232" s="29">
        <v>238</v>
      </c>
      <c r="G3232" s="29">
        <v>142</v>
      </c>
      <c r="H3232" s="33">
        <v>96</v>
      </c>
      <c r="M3232" s="2"/>
      <c r="N3232" s="2"/>
      <c r="O3232" s="2"/>
    </row>
    <row r="3233" spans="1:15" x14ac:dyDescent="0.4">
      <c r="A3233">
        <v>2008</v>
      </c>
      <c r="B3233" s="2" t="s">
        <v>607</v>
      </c>
      <c r="C3233" s="2" t="s">
        <v>725</v>
      </c>
      <c r="D3233" s="2" t="s">
        <v>249</v>
      </c>
      <c r="E3233" s="70" t="s">
        <v>36</v>
      </c>
      <c r="F3233" s="29">
        <v>255</v>
      </c>
      <c r="G3233" s="29">
        <v>157</v>
      </c>
      <c r="H3233" s="33">
        <v>98</v>
      </c>
      <c r="M3233" s="2"/>
      <c r="N3233" s="2"/>
      <c r="O3233" s="2"/>
    </row>
    <row r="3234" spans="1:15" x14ac:dyDescent="0.4">
      <c r="A3234">
        <v>2008</v>
      </c>
      <c r="B3234" s="2" t="s">
        <v>608</v>
      </c>
      <c r="C3234" s="2" t="s">
        <v>725</v>
      </c>
      <c r="D3234" s="2" t="s">
        <v>249</v>
      </c>
      <c r="E3234" s="70" t="s">
        <v>252</v>
      </c>
      <c r="F3234" s="29">
        <v>289</v>
      </c>
      <c r="G3234" s="29">
        <v>181</v>
      </c>
      <c r="H3234" s="33">
        <v>108</v>
      </c>
      <c r="M3234" s="2"/>
      <c r="N3234" s="2"/>
      <c r="O3234" s="2"/>
    </row>
    <row r="3235" spans="1:15" x14ac:dyDescent="0.4">
      <c r="A3235">
        <v>2008</v>
      </c>
      <c r="B3235" s="2" t="s">
        <v>609</v>
      </c>
      <c r="C3235" s="2" t="s">
        <v>725</v>
      </c>
      <c r="D3235" s="2" t="s">
        <v>249</v>
      </c>
      <c r="E3235" s="70" t="s">
        <v>253</v>
      </c>
      <c r="F3235" s="29">
        <v>88</v>
      </c>
      <c r="G3235" s="29">
        <v>53</v>
      </c>
      <c r="H3235" s="33">
        <v>35</v>
      </c>
      <c r="M3235" s="2"/>
      <c r="N3235" s="2"/>
      <c r="O3235" s="2"/>
    </row>
    <row r="3236" spans="1:15" x14ac:dyDescent="0.4">
      <c r="A3236">
        <v>2008</v>
      </c>
      <c r="B3236" s="2" t="s">
        <v>610</v>
      </c>
      <c r="C3236" s="2" t="s">
        <v>725</v>
      </c>
      <c r="D3236" s="2" t="s">
        <v>249</v>
      </c>
      <c r="E3236" s="70" t="s">
        <v>254</v>
      </c>
      <c r="F3236" s="29">
        <v>206</v>
      </c>
      <c r="G3236" s="29">
        <v>143</v>
      </c>
      <c r="H3236" s="33">
        <v>63</v>
      </c>
      <c r="M3236" s="2"/>
      <c r="N3236" s="2"/>
      <c r="O3236" s="2"/>
    </row>
    <row r="3237" spans="1:15" x14ac:dyDescent="0.4">
      <c r="A3237">
        <v>2008</v>
      </c>
      <c r="B3237" s="2" t="s">
        <v>611</v>
      </c>
      <c r="C3237" s="2" t="s">
        <v>725</v>
      </c>
      <c r="D3237" s="2" t="s">
        <v>249</v>
      </c>
      <c r="E3237" s="70" t="s">
        <v>11</v>
      </c>
      <c r="F3237" s="29">
        <v>16</v>
      </c>
      <c r="G3237" s="29">
        <v>9</v>
      </c>
      <c r="H3237" s="33">
        <v>7</v>
      </c>
      <c r="M3237" s="2"/>
      <c r="N3237" s="2"/>
      <c r="O3237" s="2"/>
    </row>
    <row r="3238" spans="1:15" x14ac:dyDescent="0.4">
      <c r="A3238">
        <v>2008</v>
      </c>
      <c r="B3238" s="2" t="s">
        <v>612</v>
      </c>
      <c r="C3238" s="2" t="s">
        <v>725</v>
      </c>
      <c r="D3238" s="2" t="s">
        <v>249</v>
      </c>
      <c r="E3238" s="70" t="s">
        <v>255</v>
      </c>
      <c r="F3238" s="29">
        <v>247</v>
      </c>
      <c r="G3238" s="29">
        <v>175</v>
      </c>
      <c r="H3238" s="33">
        <v>72</v>
      </c>
      <c r="M3238" s="2"/>
      <c r="N3238" s="2"/>
      <c r="O3238" s="2"/>
    </row>
    <row r="3239" spans="1:15" x14ac:dyDescent="0.4">
      <c r="A3239">
        <v>2008</v>
      </c>
      <c r="B3239" s="2" t="s">
        <v>613</v>
      </c>
      <c r="C3239" s="2" t="s">
        <v>725</v>
      </c>
      <c r="D3239" s="2" t="s">
        <v>249</v>
      </c>
      <c r="E3239" s="70" t="s">
        <v>256</v>
      </c>
      <c r="F3239" s="29">
        <v>85</v>
      </c>
      <c r="G3239" s="29">
        <v>53</v>
      </c>
      <c r="H3239" s="33">
        <v>32</v>
      </c>
      <c r="M3239" s="2"/>
      <c r="N3239" s="2"/>
      <c r="O3239" s="2"/>
    </row>
    <row r="3240" spans="1:15" x14ac:dyDescent="0.4">
      <c r="A3240">
        <v>2008</v>
      </c>
      <c r="B3240" s="2" t="s">
        <v>614</v>
      </c>
      <c r="C3240" s="2" t="s">
        <v>725</v>
      </c>
      <c r="D3240" s="2" t="s">
        <v>249</v>
      </c>
      <c r="E3240" s="70" t="s">
        <v>14</v>
      </c>
      <c r="F3240" s="29">
        <v>111</v>
      </c>
      <c r="G3240" s="29">
        <v>74</v>
      </c>
      <c r="H3240" s="33">
        <v>37</v>
      </c>
      <c r="M3240" s="2"/>
      <c r="N3240" s="2"/>
      <c r="O3240" s="2"/>
    </row>
    <row r="3241" spans="1:15" x14ac:dyDescent="0.4">
      <c r="A3241">
        <v>2008</v>
      </c>
      <c r="B3241" s="2" t="s">
        <v>615</v>
      </c>
      <c r="C3241" s="2" t="s">
        <v>725</v>
      </c>
      <c r="D3241" s="2" t="s">
        <v>249</v>
      </c>
      <c r="E3241" s="70" t="s">
        <v>257</v>
      </c>
      <c r="F3241" s="29">
        <v>220</v>
      </c>
      <c r="G3241" s="29">
        <v>136</v>
      </c>
      <c r="H3241" s="33">
        <v>84</v>
      </c>
      <c r="M3241" s="2"/>
      <c r="N3241" s="2"/>
      <c r="O3241" s="2"/>
    </row>
    <row r="3242" spans="1:15" x14ac:dyDescent="0.4">
      <c r="A3242">
        <v>2008</v>
      </c>
      <c r="B3242" s="2" t="s">
        <v>616</v>
      </c>
      <c r="C3242" s="2" t="s">
        <v>725</v>
      </c>
      <c r="D3242" s="2" t="s">
        <v>249</v>
      </c>
      <c r="E3242" s="70" t="s">
        <v>258</v>
      </c>
      <c r="F3242" s="29">
        <v>23</v>
      </c>
      <c r="G3242" s="29">
        <v>16</v>
      </c>
      <c r="H3242" s="33">
        <v>7</v>
      </c>
      <c r="M3242" s="2"/>
      <c r="N3242" s="2"/>
      <c r="O3242" s="2"/>
    </row>
    <row r="3243" spans="1:15" x14ac:dyDescent="0.4">
      <c r="A3243">
        <v>2008</v>
      </c>
      <c r="B3243" s="2" t="s">
        <v>617</v>
      </c>
      <c r="C3243" s="2" t="s">
        <v>725</v>
      </c>
      <c r="D3243" s="2" t="s">
        <v>249</v>
      </c>
      <c r="E3243" s="70" t="s">
        <v>259</v>
      </c>
      <c r="F3243" s="29">
        <v>301</v>
      </c>
      <c r="G3243" s="29">
        <v>188</v>
      </c>
      <c r="H3243" s="33">
        <v>113</v>
      </c>
      <c r="M3243" s="2"/>
      <c r="N3243" s="2"/>
      <c r="O3243" s="2"/>
    </row>
    <row r="3244" spans="1:15" x14ac:dyDescent="0.4">
      <c r="A3244">
        <v>2008</v>
      </c>
      <c r="B3244" s="2" t="s">
        <v>618</v>
      </c>
      <c r="C3244" s="2" t="s">
        <v>725</v>
      </c>
      <c r="D3244" s="2" t="s">
        <v>249</v>
      </c>
      <c r="E3244" s="70" t="s">
        <v>18</v>
      </c>
      <c r="F3244" s="29">
        <v>81</v>
      </c>
      <c r="G3244" s="29">
        <v>46</v>
      </c>
      <c r="H3244" s="33">
        <v>35</v>
      </c>
      <c r="M3244" s="2"/>
      <c r="N3244" s="2"/>
      <c r="O3244" s="2"/>
    </row>
    <row r="3245" spans="1:15" x14ac:dyDescent="0.4">
      <c r="A3245">
        <v>2008</v>
      </c>
      <c r="B3245" s="2" t="s">
        <v>619</v>
      </c>
      <c r="C3245" s="2" t="s">
        <v>725</v>
      </c>
      <c r="D3245" s="2" t="s">
        <v>249</v>
      </c>
      <c r="E3245" s="70" t="s">
        <v>44</v>
      </c>
      <c r="F3245" s="29">
        <v>107</v>
      </c>
      <c r="G3245" s="29">
        <v>79</v>
      </c>
      <c r="H3245" s="33">
        <v>28</v>
      </c>
      <c r="M3245" s="2"/>
      <c r="N3245" s="2"/>
      <c r="O3245" s="2"/>
    </row>
    <row r="3246" spans="1:15" x14ac:dyDescent="0.4">
      <c r="A3246">
        <v>2008</v>
      </c>
      <c r="B3246" s="2" t="s">
        <v>620</v>
      </c>
      <c r="C3246" s="2" t="s">
        <v>725</v>
      </c>
      <c r="D3246" s="2" t="s">
        <v>249</v>
      </c>
      <c r="E3246" s="70" t="s">
        <v>260</v>
      </c>
      <c r="F3246" s="29">
        <v>43</v>
      </c>
      <c r="G3246" s="29">
        <v>30</v>
      </c>
      <c r="H3246" s="33">
        <v>13</v>
      </c>
      <c r="M3246" s="2"/>
      <c r="N3246" s="2"/>
      <c r="O3246" s="2"/>
    </row>
    <row r="3247" spans="1:15" x14ac:dyDescent="0.4">
      <c r="A3247">
        <v>2008</v>
      </c>
      <c r="B3247" s="2" t="s">
        <v>621</v>
      </c>
      <c r="C3247" s="2" t="s">
        <v>725</v>
      </c>
      <c r="D3247" s="2" t="s">
        <v>249</v>
      </c>
      <c r="E3247" s="70" t="s">
        <v>261</v>
      </c>
      <c r="F3247" s="29">
        <v>84</v>
      </c>
      <c r="G3247" s="29">
        <v>47</v>
      </c>
      <c r="H3247" s="33">
        <v>37</v>
      </c>
      <c r="M3247" s="2"/>
      <c r="N3247" s="2"/>
      <c r="O3247" s="2"/>
    </row>
    <row r="3248" spans="1:15" x14ac:dyDescent="0.4">
      <c r="A3248">
        <v>2008</v>
      </c>
      <c r="B3248" s="2" t="s">
        <v>622</v>
      </c>
      <c r="C3248" s="2" t="s">
        <v>725</v>
      </c>
      <c r="D3248" s="2" t="s">
        <v>249</v>
      </c>
      <c r="E3248" s="70" t="s">
        <v>262</v>
      </c>
      <c r="F3248" s="29">
        <v>157</v>
      </c>
      <c r="G3248" s="29">
        <v>95</v>
      </c>
      <c r="H3248" s="33">
        <v>62</v>
      </c>
      <c r="M3248" s="2"/>
      <c r="N3248" s="2"/>
      <c r="O3248" s="2"/>
    </row>
    <row r="3249" spans="1:15" x14ac:dyDescent="0.4">
      <c r="A3249">
        <v>2008</v>
      </c>
      <c r="B3249" s="2" t="s">
        <v>623</v>
      </c>
      <c r="C3249" s="2" t="s">
        <v>725</v>
      </c>
      <c r="D3249" s="2" t="s">
        <v>249</v>
      </c>
      <c r="E3249" s="70" t="s">
        <v>263</v>
      </c>
      <c r="F3249" s="29">
        <v>104</v>
      </c>
      <c r="G3249" s="29">
        <v>64</v>
      </c>
      <c r="H3249" s="33">
        <v>40</v>
      </c>
      <c r="M3249" s="2"/>
      <c r="N3249" s="2"/>
      <c r="O3249" s="2"/>
    </row>
    <row r="3250" spans="1:15" x14ac:dyDescent="0.4">
      <c r="A3250">
        <v>2008</v>
      </c>
      <c r="B3250" s="2" t="s">
        <v>624</v>
      </c>
      <c r="C3250" s="2" t="s">
        <v>725</v>
      </c>
      <c r="D3250" s="2" t="s">
        <v>249</v>
      </c>
      <c r="E3250" s="70" t="s">
        <v>264</v>
      </c>
      <c r="F3250" s="29">
        <v>17</v>
      </c>
      <c r="G3250" s="29">
        <v>9</v>
      </c>
      <c r="H3250" s="33">
        <v>8</v>
      </c>
      <c r="M3250" s="2"/>
      <c r="N3250" s="2"/>
      <c r="O3250" s="2"/>
    </row>
    <row r="3251" spans="1:15" x14ac:dyDescent="0.4">
      <c r="A3251">
        <v>2008</v>
      </c>
      <c r="B3251" s="2" t="s">
        <v>625</v>
      </c>
      <c r="C3251" s="2" t="s">
        <v>725</v>
      </c>
      <c r="D3251" s="2" t="s">
        <v>249</v>
      </c>
      <c r="E3251" s="70" t="s">
        <v>265</v>
      </c>
      <c r="F3251" s="29">
        <v>47</v>
      </c>
      <c r="G3251" s="29">
        <v>28</v>
      </c>
      <c r="H3251" s="33">
        <v>19</v>
      </c>
      <c r="M3251" s="2"/>
      <c r="N3251" s="2"/>
      <c r="O3251" s="2"/>
    </row>
    <row r="3252" spans="1:15" x14ac:dyDescent="0.4">
      <c r="A3252">
        <v>2008</v>
      </c>
      <c r="B3252" s="2" t="s">
        <v>626</v>
      </c>
      <c r="C3252" s="2" t="s">
        <v>725</v>
      </c>
      <c r="D3252" s="2" t="s">
        <v>249</v>
      </c>
      <c r="E3252" s="70" t="s">
        <v>266</v>
      </c>
      <c r="F3252" s="29">
        <v>2931</v>
      </c>
      <c r="G3252" s="29">
        <v>1738</v>
      </c>
      <c r="H3252" s="33">
        <v>1193</v>
      </c>
      <c r="M3252" s="2"/>
      <c r="N3252" s="2"/>
      <c r="O3252" s="2"/>
    </row>
    <row r="3253" spans="1:15" x14ac:dyDescent="0.4">
      <c r="A3253">
        <v>2008</v>
      </c>
      <c r="B3253" s="2" t="s">
        <v>627</v>
      </c>
      <c r="C3253" s="2" t="s">
        <v>725</v>
      </c>
      <c r="D3253" s="2" t="s">
        <v>249</v>
      </c>
      <c r="E3253" s="70" t="s">
        <v>267</v>
      </c>
      <c r="F3253" s="29">
        <v>21</v>
      </c>
      <c r="G3253" s="29">
        <v>14</v>
      </c>
      <c r="H3253" s="33">
        <v>7</v>
      </c>
      <c r="M3253" s="2"/>
      <c r="N3253" s="2"/>
      <c r="O3253" s="2"/>
    </row>
    <row r="3254" spans="1:15" x14ac:dyDescent="0.4">
      <c r="A3254">
        <v>2008</v>
      </c>
      <c r="B3254" s="2" t="s">
        <v>628</v>
      </c>
      <c r="C3254" s="2" t="s">
        <v>725</v>
      </c>
      <c r="D3254" s="2" t="s">
        <v>249</v>
      </c>
      <c r="E3254" s="70" t="s">
        <v>268</v>
      </c>
      <c r="F3254" s="29">
        <v>28</v>
      </c>
      <c r="G3254" s="29">
        <v>20</v>
      </c>
      <c r="H3254" s="33">
        <v>8</v>
      </c>
      <c r="M3254" s="2"/>
      <c r="N3254" s="2"/>
      <c r="O3254" s="2"/>
    </row>
    <row r="3255" spans="1:15" x14ac:dyDescent="0.4">
      <c r="A3255">
        <v>2008</v>
      </c>
      <c r="B3255" s="2" t="s">
        <v>629</v>
      </c>
      <c r="C3255" s="2" t="s">
        <v>725</v>
      </c>
      <c r="D3255" s="2" t="s">
        <v>249</v>
      </c>
      <c r="E3255" s="70" t="s">
        <v>26</v>
      </c>
      <c r="F3255" s="29">
        <v>11</v>
      </c>
      <c r="G3255" s="29">
        <v>9</v>
      </c>
      <c r="H3255" s="33">
        <v>2</v>
      </c>
      <c r="M3255" s="2"/>
      <c r="N3255" s="2"/>
      <c r="O3255" s="2"/>
    </row>
    <row r="3256" spans="1:15" x14ac:dyDescent="0.4">
      <c r="A3256">
        <v>2008</v>
      </c>
      <c r="B3256" s="2" t="s">
        <v>630</v>
      </c>
      <c r="C3256" s="2" t="s">
        <v>725</v>
      </c>
      <c r="D3256" s="2" t="s">
        <v>249</v>
      </c>
      <c r="E3256" s="70" t="s">
        <v>51</v>
      </c>
      <c r="F3256" s="29">
        <v>39</v>
      </c>
      <c r="G3256" s="29">
        <v>28</v>
      </c>
      <c r="H3256" s="33">
        <v>11</v>
      </c>
      <c r="M3256" s="2"/>
      <c r="N3256" s="2"/>
      <c r="O3256" s="2"/>
    </row>
    <row r="3257" spans="1:15" x14ac:dyDescent="0.4">
      <c r="A3257">
        <v>2008</v>
      </c>
      <c r="B3257" s="2" t="s">
        <v>631</v>
      </c>
      <c r="C3257" s="2" t="s">
        <v>725</v>
      </c>
      <c r="D3257" s="2" t="s">
        <v>249</v>
      </c>
      <c r="E3257" s="70" t="s">
        <v>269</v>
      </c>
      <c r="F3257" s="29">
        <v>138</v>
      </c>
      <c r="G3257" s="29">
        <v>98</v>
      </c>
      <c r="H3257" s="33">
        <v>40</v>
      </c>
      <c r="M3257" s="2"/>
      <c r="N3257" s="2"/>
      <c r="O3257" s="2"/>
    </row>
    <row r="3258" spans="1:15" x14ac:dyDescent="0.4">
      <c r="A3258">
        <v>2008</v>
      </c>
      <c r="B3258" s="2" t="s">
        <v>632</v>
      </c>
      <c r="C3258" s="2" t="s">
        <v>725</v>
      </c>
      <c r="D3258" s="2" t="s">
        <v>249</v>
      </c>
      <c r="E3258" s="70" t="s">
        <v>270</v>
      </c>
      <c r="F3258" s="29">
        <v>80</v>
      </c>
      <c r="G3258" s="29">
        <v>47</v>
      </c>
      <c r="H3258" s="33">
        <v>33</v>
      </c>
      <c r="M3258" s="2"/>
      <c r="N3258" s="2"/>
      <c r="O3258" s="2"/>
    </row>
    <row r="3259" spans="1:15" x14ac:dyDescent="0.4">
      <c r="A3259">
        <v>2008</v>
      </c>
      <c r="B3259" s="2" t="s">
        <v>633</v>
      </c>
      <c r="C3259" s="2" t="s">
        <v>726</v>
      </c>
      <c r="D3259" s="2" t="s">
        <v>271</v>
      </c>
      <c r="E3259" s="70" t="s">
        <v>174</v>
      </c>
      <c r="F3259" s="29">
        <v>51</v>
      </c>
      <c r="G3259" s="29">
        <v>40</v>
      </c>
      <c r="H3259" s="33">
        <v>11</v>
      </c>
      <c r="M3259" s="2"/>
      <c r="N3259" s="2"/>
      <c r="O3259" s="2"/>
    </row>
    <row r="3260" spans="1:15" x14ac:dyDescent="0.4">
      <c r="A3260">
        <v>2008</v>
      </c>
      <c r="B3260" s="2" t="s">
        <v>634</v>
      </c>
      <c r="C3260" s="2" t="s">
        <v>726</v>
      </c>
      <c r="D3260" s="2" t="s">
        <v>271</v>
      </c>
      <c r="E3260" s="70" t="s">
        <v>272</v>
      </c>
      <c r="F3260" s="29">
        <v>409</v>
      </c>
      <c r="G3260" s="29">
        <v>221</v>
      </c>
      <c r="H3260" s="33">
        <v>188</v>
      </c>
      <c r="M3260" s="2"/>
      <c r="N3260" s="2"/>
      <c r="O3260" s="2"/>
    </row>
    <row r="3261" spans="1:15" x14ac:dyDescent="0.4">
      <c r="A3261">
        <v>2008</v>
      </c>
      <c r="B3261" s="2" t="s">
        <v>635</v>
      </c>
      <c r="C3261" s="2" t="s">
        <v>726</v>
      </c>
      <c r="D3261" s="2" t="s">
        <v>271</v>
      </c>
      <c r="E3261" s="70" t="s">
        <v>36</v>
      </c>
      <c r="F3261" s="29">
        <v>21</v>
      </c>
      <c r="G3261" s="29">
        <v>14</v>
      </c>
      <c r="H3261" s="33">
        <v>7</v>
      </c>
      <c r="M3261" s="2"/>
      <c r="N3261" s="2"/>
      <c r="O3261" s="2"/>
    </row>
    <row r="3262" spans="1:15" x14ac:dyDescent="0.4">
      <c r="A3262">
        <v>2008</v>
      </c>
      <c r="B3262" s="2" t="s">
        <v>636</v>
      </c>
      <c r="C3262" s="2" t="s">
        <v>726</v>
      </c>
      <c r="D3262" s="2" t="s">
        <v>271</v>
      </c>
      <c r="E3262" s="70" t="s">
        <v>273</v>
      </c>
      <c r="F3262" s="29">
        <v>40</v>
      </c>
      <c r="G3262" s="29">
        <v>22</v>
      </c>
      <c r="H3262" s="33">
        <v>18</v>
      </c>
      <c r="M3262" s="2"/>
      <c r="N3262" s="2"/>
      <c r="O3262" s="2"/>
    </row>
    <row r="3263" spans="1:15" x14ac:dyDescent="0.4">
      <c r="A3263">
        <v>2008</v>
      </c>
      <c r="B3263" s="2" t="s">
        <v>637</v>
      </c>
      <c r="C3263" s="2" t="s">
        <v>726</v>
      </c>
      <c r="D3263" s="2" t="s">
        <v>271</v>
      </c>
      <c r="E3263" s="70" t="s">
        <v>274</v>
      </c>
      <c r="F3263" s="29">
        <v>131</v>
      </c>
      <c r="G3263" s="29">
        <v>78</v>
      </c>
      <c r="H3263" s="33">
        <v>53</v>
      </c>
      <c r="M3263" s="2"/>
      <c r="N3263" s="2"/>
      <c r="O3263" s="2"/>
    </row>
    <row r="3264" spans="1:15" x14ac:dyDescent="0.4">
      <c r="A3264">
        <v>2008</v>
      </c>
      <c r="B3264" s="2" t="s">
        <v>638</v>
      </c>
      <c r="C3264" s="2" t="s">
        <v>726</v>
      </c>
      <c r="D3264" s="2" t="s">
        <v>271</v>
      </c>
      <c r="E3264" s="70" t="s">
        <v>275</v>
      </c>
      <c r="F3264" s="29">
        <v>41</v>
      </c>
      <c r="G3264" s="29">
        <v>23</v>
      </c>
      <c r="H3264" s="33">
        <v>18</v>
      </c>
      <c r="M3264" s="2"/>
      <c r="N3264" s="2"/>
      <c r="O3264" s="2"/>
    </row>
    <row r="3265" spans="1:15" x14ac:dyDescent="0.4">
      <c r="A3265">
        <v>2008</v>
      </c>
      <c r="B3265" s="2" t="s">
        <v>639</v>
      </c>
      <c r="C3265" s="2" t="s">
        <v>726</v>
      </c>
      <c r="D3265" s="2" t="s">
        <v>271</v>
      </c>
      <c r="E3265" s="70" t="s">
        <v>276</v>
      </c>
      <c r="F3265" s="29">
        <v>2</v>
      </c>
      <c r="G3265" s="29">
        <v>1</v>
      </c>
      <c r="H3265" s="33">
        <v>1</v>
      </c>
      <c r="M3265" s="2"/>
      <c r="N3265" s="2"/>
      <c r="O3265" s="2"/>
    </row>
    <row r="3266" spans="1:15" x14ac:dyDescent="0.4">
      <c r="A3266">
        <v>2008</v>
      </c>
      <c r="B3266" s="2" t="s">
        <v>640</v>
      </c>
      <c r="C3266" s="2" t="s">
        <v>726</v>
      </c>
      <c r="D3266" s="2" t="s">
        <v>271</v>
      </c>
      <c r="E3266" s="70" t="s">
        <v>277</v>
      </c>
      <c r="F3266" s="29">
        <v>21</v>
      </c>
      <c r="G3266" s="29">
        <v>11</v>
      </c>
      <c r="H3266" s="33">
        <v>10</v>
      </c>
      <c r="M3266" s="2"/>
      <c r="N3266" s="2"/>
      <c r="O3266" s="2"/>
    </row>
    <row r="3267" spans="1:15" x14ac:dyDescent="0.4">
      <c r="A3267">
        <v>2008</v>
      </c>
      <c r="B3267" s="2" t="s">
        <v>641</v>
      </c>
      <c r="C3267" s="2" t="s">
        <v>726</v>
      </c>
      <c r="D3267" s="2" t="s">
        <v>271</v>
      </c>
      <c r="E3267" s="70" t="s">
        <v>278</v>
      </c>
      <c r="F3267" s="29">
        <v>50</v>
      </c>
      <c r="G3267" s="29">
        <v>35</v>
      </c>
      <c r="H3267" s="33">
        <v>15</v>
      </c>
      <c r="M3267" s="2"/>
      <c r="N3267" s="2"/>
      <c r="O3267" s="2"/>
    </row>
    <row r="3268" spans="1:15" x14ac:dyDescent="0.4">
      <c r="A3268">
        <v>2008</v>
      </c>
      <c r="B3268" s="2" t="s">
        <v>642</v>
      </c>
      <c r="C3268" s="2" t="s">
        <v>726</v>
      </c>
      <c r="D3268" s="2" t="s">
        <v>271</v>
      </c>
      <c r="E3268" s="70" t="s">
        <v>85</v>
      </c>
      <c r="F3268" s="29">
        <v>20</v>
      </c>
      <c r="G3268" s="29">
        <v>12</v>
      </c>
      <c r="H3268" s="33">
        <v>8</v>
      </c>
      <c r="M3268" s="2"/>
      <c r="N3268" s="2"/>
      <c r="O3268" s="2"/>
    </row>
    <row r="3269" spans="1:15" x14ac:dyDescent="0.4">
      <c r="A3269">
        <v>2008</v>
      </c>
      <c r="B3269" s="2" t="s">
        <v>643</v>
      </c>
      <c r="C3269" s="2" t="s">
        <v>726</v>
      </c>
      <c r="D3269" s="2" t="s">
        <v>271</v>
      </c>
      <c r="E3269" s="70" t="s">
        <v>279</v>
      </c>
      <c r="F3269" s="29">
        <v>46</v>
      </c>
      <c r="G3269" s="29">
        <v>29</v>
      </c>
      <c r="H3269" s="33">
        <v>17</v>
      </c>
      <c r="M3269" s="2"/>
      <c r="N3269" s="2"/>
      <c r="O3269" s="2"/>
    </row>
    <row r="3270" spans="1:15" x14ac:dyDescent="0.4">
      <c r="A3270">
        <v>2008</v>
      </c>
      <c r="B3270" s="2" t="s">
        <v>644</v>
      </c>
      <c r="C3270" s="2" t="s">
        <v>726</v>
      </c>
      <c r="D3270" s="2" t="s">
        <v>271</v>
      </c>
      <c r="E3270" s="70" t="s">
        <v>280</v>
      </c>
      <c r="F3270" s="29">
        <v>28</v>
      </c>
      <c r="G3270" s="29">
        <v>20</v>
      </c>
      <c r="H3270" s="33">
        <v>8</v>
      </c>
      <c r="M3270" s="2"/>
      <c r="N3270" s="2"/>
      <c r="O3270" s="2"/>
    </row>
    <row r="3271" spans="1:15" x14ac:dyDescent="0.4">
      <c r="A3271">
        <v>2008</v>
      </c>
      <c r="B3271" s="2" t="s">
        <v>645</v>
      </c>
      <c r="C3271" s="2" t="s">
        <v>726</v>
      </c>
      <c r="D3271" s="2" t="s">
        <v>271</v>
      </c>
      <c r="E3271" s="70" t="s">
        <v>281</v>
      </c>
      <c r="F3271" s="29">
        <v>176</v>
      </c>
      <c r="G3271" s="29">
        <v>101</v>
      </c>
      <c r="H3271" s="33">
        <v>75</v>
      </c>
      <c r="M3271" s="2"/>
      <c r="N3271" s="2"/>
      <c r="O3271" s="2"/>
    </row>
    <row r="3272" spans="1:15" x14ac:dyDescent="0.4">
      <c r="A3272">
        <v>2008</v>
      </c>
      <c r="B3272" s="2" t="s">
        <v>646</v>
      </c>
      <c r="C3272" s="2" t="s">
        <v>726</v>
      </c>
      <c r="D3272" s="2" t="s">
        <v>271</v>
      </c>
      <c r="E3272" s="70" t="s">
        <v>282</v>
      </c>
      <c r="F3272" s="29">
        <v>47</v>
      </c>
      <c r="G3272" s="29">
        <v>27</v>
      </c>
      <c r="H3272" s="33">
        <v>20</v>
      </c>
      <c r="M3272" s="2"/>
      <c r="N3272" s="2"/>
      <c r="O3272" s="2"/>
    </row>
    <row r="3273" spans="1:15" x14ac:dyDescent="0.4">
      <c r="A3273">
        <v>2008</v>
      </c>
      <c r="B3273" s="2" t="s">
        <v>647</v>
      </c>
      <c r="C3273" s="2" t="s">
        <v>726</v>
      </c>
      <c r="D3273" s="2" t="s">
        <v>271</v>
      </c>
      <c r="E3273" s="70" t="s">
        <v>283</v>
      </c>
      <c r="F3273" s="29">
        <v>57</v>
      </c>
      <c r="G3273" s="29">
        <v>32</v>
      </c>
      <c r="H3273" s="33">
        <v>25</v>
      </c>
      <c r="M3273" s="2"/>
      <c r="N3273" s="2"/>
      <c r="O3273" s="2"/>
    </row>
    <row r="3274" spans="1:15" x14ac:dyDescent="0.4">
      <c r="A3274">
        <v>2008</v>
      </c>
      <c r="B3274" s="2" t="s">
        <v>648</v>
      </c>
      <c r="C3274" s="2" t="s">
        <v>726</v>
      </c>
      <c r="D3274" s="2" t="s">
        <v>271</v>
      </c>
      <c r="E3274" s="70" t="s">
        <v>284</v>
      </c>
      <c r="F3274" s="29">
        <v>92</v>
      </c>
      <c r="G3274" s="29">
        <v>56</v>
      </c>
      <c r="H3274" s="33">
        <v>36</v>
      </c>
      <c r="M3274" s="2"/>
      <c r="N3274" s="2"/>
      <c r="O3274" s="2"/>
    </row>
    <row r="3275" spans="1:15" x14ac:dyDescent="0.4">
      <c r="A3275">
        <v>2008</v>
      </c>
      <c r="B3275" s="2" t="s">
        <v>649</v>
      </c>
      <c r="C3275" s="2" t="s">
        <v>726</v>
      </c>
      <c r="D3275" s="2" t="s">
        <v>271</v>
      </c>
      <c r="E3275" s="70" t="s">
        <v>51</v>
      </c>
      <c r="F3275" s="29">
        <v>103</v>
      </c>
      <c r="G3275" s="29">
        <v>73</v>
      </c>
      <c r="H3275" s="33">
        <v>30</v>
      </c>
      <c r="M3275" s="2"/>
      <c r="N3275" s="2"/>
      <c r="O3275" s="2"/>
    </row>
    <row r="3276" spans="1:15" x14ac:dyDescent="0.4">
      <c r="A3276">
        <v>2008</v>
      </c>
      <c r="B3276" s="2" t="s">
        <v>650</v>
      </c>
      <c r="C3276" s="2" t="s">
        <v>726</v>
      </c>
      <c r="D3276" s="2" t="s">
        <v>271</v>
      </c>
      <c r="E3276" s="70" t="s">
        <v>285</v>
      </c>
      <c r="F3276" s="29">
        <v>396</v>
      </c>
      <c r="G3276" s="29">
        <v>223</v>
      </c>
      <c r="H3276" s="33">
        <v>173</v>
      </c>
      <c r="M3276" s="2"/>
      <c r="N3276" s="2"/>
      <c r="O3276" s="2"/>
    </row>
    <row r="3277" spans="1:15" x14ac:dyDescent="0.4">
      <c r="A3277">
        <v>2008</v>
      </c>
      <c r="B3277" s="2" t="s">
        <v>651</v>
      </c>
      <c r="C3277" s="2" t="s">
        <v>726</v>
      </c>
      <c r="D3277" s="2" t="s">
        <v>271</v>
      </c>
      <c r="E3277" s="70" t="s">
        <v>53</v>
      </c>
      <c r="F3277" s="29">
        <v>122</v>
      </c>
      <c r="G3277" s="29">
        <v>83</v>
      </c>
      <c r="H3277" s="33">
        <v>39</v>
      </c>
      <c r="M3277" s="2"/>
      <c r="N3277" s="2"/>
      <c r="O3277" s="2"/>
    </row>
    <row r="3278" spans="1:15" x14ac:dyDescent="0.4">
      <c r="A3278">
        <v>2008</v>
      </c>
      <c r="B3278" s="2" t="s">
        <v>652</v>
      </c>
      <c r="C3278" s="2" t="s">
        <v>726</v>
      </c>
      <c r="D3278" s="2" t="s">
        <v>271</v>
      </c>
      <c r="E3278" s="70" t="s">
        <v>286</v>
      </c>
      <c r="F3278" s="29">
        <v>1664</v>
      </c>
      <c r="G3278" s="29">
        <v>989</v>
      </c>
      <c r="H3278" s="33">
        <v>675</v>
      </c>
      <c r="M3278" s="2"/>
      <c r="N3278" s="2"/>
      <c r="O3278" s="2"/>
    </row>
    <row r="3279" spans="1:15" x14ac:dyDescent="0.4">
      <c r="A3279">
        <v>2008</v>
      </c>
      <c r="B3279" s="2" t="s">
        <v>653</v>
      </c>
      <c r="C3279" s="2" t="s">
        <v>727</v>
      </c>
      <c r="D3279" s="2" t="s">
        <v>288</v>
      </c>
      <c r="E3279" s="70" t="s">
        <v>287</v>
      </c>
      <c r="F3279" s="29">
        <v>131</v>
      </c>
      <c r="G3279" s="29">
        <v>88</v>
      </c>
      <c r="H3279" s="33">
        <v>43</v>
      </c>
      <c r="M3279" s="2"/>
      <c r="N3279" s="2"/>
      <c r="O3279" s="2"/>
    </row>
    <row r="3280" spans="1:15" x14ac:dyDescent="0.4">
      <c r="A3280">
        <v>2008</v>
      </c>
      <c r="B3280" s="2" t="s">
        <v>654</v>
      </c>
      <c r="C3280" s="2" t="s">
        <v>727</v>
      </c>
      <c r="D3280" s="2" t="s">
        <v>288</v>
      </c>
      <c r="E3280" s="70" t="s">
        <v>289</v>
      </c>
      <c r="F3280" s="29">
        <v>127</v>
      </c>
      <c r="G3280" s="29">
        <v>90</v>
      </c>
      <c r="H3280" s="33">
        <v>37</v>
      </c>
      <c r="M3280" s="2"/>
      <c r="N3280" s="2"/>
      <c r="O3280" s="2"/>
    </row>
    <row r="3281" spans="1:15" x14ac:dyDescent="0.4">
      <c r="A3281">
        <v>2008</v>
      </c>
      <c r="B3281" s="2" t="s">
        <v>655</v>
      </c>
      <c r="C3281" s="2" t="s">
        <v>727</v>
      </c>
      <c r="D3281" s="2" t="s">
        <v>288</v>
      </c>
      <c r="E3281" s="70" t="s">
        <v>290</v>
      </c>
      <c r="F3281" s="29">
        <v>134</v>
      </c>
      <c r="G3281" s="29">
        <v>86</v>
      </c>
      <c r="H3281" s="33">
        <v>48</v>
      </c>
      <c r="M3281" s="2"/>
      <c r="N3281" s="2"/>
      <c r="O3281" s="2"/>
    </row>
    <row r="3282" spans="1:15" x14ac:dyDescent="0.4">
      <c r="A3282">
        <v>2008</v>
      </c>
      <c r="B3282" s="2" t="s">
        <v>656</v>
      </c>
      <c r="C3282" s="2" t="s">
        <v>727</v>
      </c>
      <c r="D3282" s="2" t="s">
        <v>288</v>
      </c>
      <c r="E3282" s="70" t="s">
        <v>291</v>
      </c>
      <c r="F3282" s="29">
        <v>21</v>
      </c>
      <c r="G3282" s="29">
        <v>13</v>
      </c>
      <c r="H3282" s="33">
        <v>8</v>
      </c>
      <c r="M3282" s="2"/>
      <c r="N3282" s="2"/>
      <c r="O3282" s="2"/>
    </row>
    <row r="3283" spans="1:15" x14ac:dyDescent="0.4">
      <c r="A3283">
        <v>2008</v>
      </c>
      <c r="B3283" s="2" t="s">
        <v>657</v>
      </c>
      <c r="C3283" s="2" t="s">
        <v>727</v>
      </c>
      <c r="D3283" s="2" t="s">
        <v>288</v>
      </c>
      <c r="E3283" s="70" t="s">
        <v>292</v>
      </c>
      <c r="F3283" s="29">
        <v>358</v>
      </c>
      <c r="G3283" s="29">
        <v>255</v>
      </c>
      <c r="H3283" s="33">
        <v>103</v>
      </c>
      <c r="M3283" s="2"/>
      <c r="N3283" s="2"/>
      <c r="O3283" s="2"/>
    </row>
    <row r="3284" spans="1:15" x14ac:dyDescent="0.4">
      <c r="A3284">
        <v>2008</v>
      </c>
      <c r="B3284" s="2" t="s">
        <v>658</v>
      </c>
      <c r="C3284" s="2" t="s">
        <v>727</v>
      </c>
      <c r="D3284" s="2" t="s">
        <v>288</v>
      </c>
      <c r="E3284" s="70" t="s">
        <v>293</v>
      </c>
      <c r="F3284" s="29">
        <v>5</v>
      </c>
      <c r="G3284" s="29">
        <v>2</v>
      </c>
      <c r="H3284" s="33">
        <v>3</v>
      </c>
      <c r="M3284" s="2"/>
      <c r="N3284" s="2"/>
      <c r="O3284" s="2"/>
    </row>
    <row r="3285" spans="1:15" x14ac:dyDescent="0.4">
      <c r="A3285">
        <v>2008</v>
      </c>
      <c r="B3285" s="2" t="s">
        <v>659</v>
      </c>
      <c r="C3285" s="2" t="s">
        <v>727</v>
      </c>
      <c r="D3285" s="2" t="s">
        <v>288</v>
      </c>
      <c r="E3285" s="70" t="s">
        <v>294</v>
      </c>
      <c r="F3285" s="29">
        <v>376</v>
      </c>
      <c r="G3285" s="29">
        <v>237</v>
      </c>
      <c r="H3285" s="33">
        <v>139</v>
      </c>
      <c r="M3285" s="2"/>
      <c r="N3285" s="2"/>
      <c r="O3285" s="2"/>
    </row>
    <row r="3286" spans="1:15" x14ac:dyDescent="0.4">
      <c r="A3286">
        <v>2008</v>
      </c>
      <c r="B3286" s="2" t="s">
        <v>660</v>
      </c>
      <c r="C3286" s="2" t="s">
        <v>727</v>
      </c>
      <c r="D3286" s="2" t="s">
        <v>288</v>
      </c>
      <c r="E3286" s="70" t="s">
        <v>295</v>
      </c>
      <c r="F3286" s="29">
        <v>114</v>
      </c>
      <c r="G3286" s="29">
        <v>82</v>
      </c>
      <c r="H3286" s="33">
        <v>32</v>
      </c>
      <c r="M3286" s="2"/>
      <c r="N3286" s="2"/>
      <c r="O3286" s="2"/>
    </row>
    <row r="3287" spans="1:15" x14ac:dyDescent="0.4">
      <c r="A3287">
        <v>2008</v>
      </c>
      <c r="B3287" s="2" t="s">
        <v>661</v>
      </c>
      <c r="C3287" s="2" t="s">
        <v>727</v>
      </c>
      <c r="D3287" s="2" t="s">
        <v>288</v>
      </c>
      <c r="E3287" s="70" t="s">
        <v>296</v>
      </c>
      <c r="F3287" s="29">
        <v>442</v>
      </c>
      <c r="G3287" s="29">
        <v>296</v>
      </c>
      <c r="H3287" s="33">
        <v>146</v>
      </c>
      <c r="M3287" s="2"/>
      <c r="N3287" s="2"/>
      <c r="O3287" s="2"/>
    </row>
    <row r="3288" spans="1:15" x14ac:dyDescent="0.4">
      <c r="A3288">
        <v>2008</v>
      </c>
      <c r="B3288" s="2" t="s">
        <v>662</v>
      </c>
      <c r="C3288" s="2" t="s">
        <v>727</v>
      </c>
      <c r="D3288" s="2" t="s">
        <v>288</v>
      </c>
      <c r="E3288" s="70" t="s">
        <v>297</v>
      </c>
      <c r="F3288" s="29">
        <v>69</v>
      </c>
      <c r="G3288" s="29">
        <v>39</v>
      </c>
      <c r="H3288" s="33">
        <v>30</v>
      </c>
      <c r="M3288" s="2"/>
      <c r="N3288" s="2"/>
      <c r="O3288" s="2"/>
    </row>
    <row r="3289" spans="1:15" x14ac:dyDescent="0.4">
      <c r="A3289">
        <v>2008</v>
      </c>
      <c r="B3289" s="2" t="s">
        <v>663</v>
      </c>
      <c r="C3289" s="2" t="s">
        <v>727</v>
      </c>
      <c r="D3289" s="2" t="s">
        <v>288</v>
      </c>
      <c r="E3289" s="70" t="s">
        <v>298</v>
      </c>
      <c r="F3289" s="29">
        <v>107</v>
      </c>
      <c r="G3289" s="29">
        <v>73</v>
      </c>
      <c r="H3289" s="33">
        <v>34</v>
      </c>
      <c r="M3289" s="2"/>
      <c r="N3289" s="2"/>
      <c r="O3289" s="2"/>
    </row>
    <row r="3290" spans="1:15" x14ac:dyDescent="0.4">
      <c r="A3290">
        <v>2008</v>
      </c>
      <c r="B3290" s="2" t="s">
        <v>664</v>
      </c>
      <c r="C3290" s="2" t="s">
        <v>728</v>
      </c>
      <c r="D3290" s="2" t="s">
        <v>300</v>
      </c>
      <c r="E3290" s="70" t="s">
        <v>299</v>
      </c>
      <c r="F3290" s="29">
        <v>64</v>
      </c>
      <c r="G3290" s="29">
        <v>43</v>
      </c>
      <c r="H3290" s="33">
        <v>21</v>
      </c>
      <c r="M3290" s="2"/>
      <c r="N3290" s="2"/>
      <c r="O3290" s="2"/>
    </row>
    <row r="3291" spans="1:15" x14ac:dyDescent="0.4">
      <c r="A3291">
        <v>2008</v>
      </c>
      <c r="B3291" s="2" t="s">
        <v>665</v>
      </c>
      <c r="C3291" s="2" t="s">
        <v>728</v>
      </c>
      <c r="D3291" s="2" t="s">
        <v>300</v>
      </c>
      <c r="E3291" s="70" t="s">
        <v>36</v>
      </c>
      <c r="F3291" s="29">
        <v>99</v>
      </c>
      <c r="G3291" s="29">
        <v>62</v>
      </c>
      <c r="H3291" s="33">
        <v>37</v>
      </c>
      <c r="M3291" s="2"/>
      <c r="N3291" s="2"/>
      <c r="O3291" s="2"/>
    </row>
    <row r="3292" spans="1:15" x14ac:dyDescent="0.4">
      <c r="A3292">
        <v>2008</v>
      </c>
      <c r="B3292" s="2" t="s">
        <v>666</v>
      </c>
      <c r="C3292" s="2" t="s">
        <v>728</v>
      </c>
      <c r="D3292" s="2" t="s">
        <v>300</v>
      </c>
      <c r="E3292" s="70" t="s">
        <v>301</v>
      </c>
      <c r="F3292" s="29">
        <v>239</v>
      </c>
      <c r="G3292" s="29">
        <v>156</v>
      </c>
      <c r="H3292" s="33">
        <v>83</v>
      </c>
      <c r="M3292" s="2"/>
      <c r="N3292" s="2"/>
      <c r="O3292" s="2"/>
    </row>
    <row r="3293" spans="1:15" x14ac:dyDescent="0.4">
      <c r="A3293">
        <v>2008</v>
      </c>
      <c r="B3293" s="2" t="s">
        <v>667</v>
      </c>
      <c r="C3293" s="2" t="s">
        <v>728</v>
      </c>
      <c r="D3293" s="2" t="s">
        <v>300</v>
      </c>
      <c r="E3293" s="70" t="s">
        <v>302</v>
      </c>
      <c r="F3293" s="29">
        <v>99</v>
      </c>
      <c r="G3293" s="29">
        <v>64</v>
      </c>
      <c r="H3293" s="33">
        <v>35</v>
      </c>
      <c r="M3293" s="2"/>
      <c r="N3293" s="2"/>
      <c r="O3293" s="2"/>
    </row>
    <row r="3294" spans="1:15" x14ac:dyDescent="0.4">
      <c r="A3294">
        <v>2008</v>
      </c>
      <c r="B3294" s="2" t="s">
        <v>668</v>
      </c>
      <c r="C3294" s="2" t="s">
        <v>728</v>
      </c>
      <c r="D3294" s="2" t="s">
        <v>300</v>
      </c>
      <c r="E3294" s="70" t="s">
        <v>14</v>
      </c>
      <c r="F3294" s="29">
        <v>133</v>
      </c>
      <c r="G3294" s="29">
        <v>88</v>
      </c>
      <c r="H3294" s="33">
        <v>45</v>
      </c>
      <c r="M3294" s="2"/>
      <c r="N3294" s="2"/>
      <c r="O3294" s="2"/>
    </row>
    <row r="3295" spans="1:15" x14ac:dyDescent="0.4">
      <c r="A3295">
        <v>2008</v>
      </c>
      <c r="B3295" s="2" t="s">
        <v>669</v>
      </c>
      <c r="C3295" s="2" t="s">
        <v>728</v>
      </c>
      <c r="D3295" s="2" t="s">
        <v>300</v>
      </c>
      <c r="E3295" s="70" t="s">
        <v>303</v>
      </c>
      <c r="F3295" s="29">
        <v>32</v>
      </c>
      <c r="G3295" s="29">
        <v>16</v>
      </c>
      <c r="H3295" s="33">
        <v>16</v>
      </c>
      <c r="M3295" s="2"/>
      <c r="N3295" s="2"/>
      <c r="O3295" s="2"/>
    </row>
    <row r="3296" spans="1:15" x14ac:dyDescent="0.4">
      <c r="A3296">
        <v>2008</v>
      </c>
      <c r="B3296" s="2" t="s">
        <v>670</v>
      </c>
      <c r="C3296" s="2" t="s">
        <v>728</v>
      </c>
      <c r="D3296" s="14" t="s">
        <v>300</v>
      </c>
      <c r="E3296" s="69" t="s">
        <v>304</v>
      </c>
      <c r="F3296" s="11">
        <v>31</v>
      </c>
      <c r="G3296" s="11">
        <v>22</v>
      </c>
      <c r="H3296" s="12">
        <v>9</v>
      </c>
      <c r="M3296" s="2"/>
      <c r="N3296" s="2"/>
      <c r="O3296" s="2"/>
    </row>
    <row r="3297" spans="1:15" x14ac:dyDescent="0.4">
      <c r="A3297">
        <v>2008</v>
      </c>
      <c r="B3297" s="2" t="s">
        <v>671</v>
      </c>
      <c r="C3297" s="2" t="s">
        <v>728</v>
      </c>
      <c r="D3297" s="2" t="s">
        <v>300</v>
      </c>
      <c r="E3297" s="70" t="s">
        <v>305</v>
      </c>
      <c r="F3297" s="29">
        <v>30</v>
      </c>
      <c r="G3297" s="29">
        <v>20</v>
      </c>
      <c r="H3297" s="33">
        <v>10</v>
      </c>
      <c r="M3297" s="2"/>
      <c r="N3297" s="2"/>
      <c r="O3297" s="2"/>
    </row>
    <row r="3298" spans="1:15" x14ac:dyDescent="0.4">
      <c r="A3298">
        <v>2008</v>
      </c>
      <c r="B3298" s="2" t="s">
        <v>672</v>
      </c>
      <c r="C3298" s="2" t="s">
        <v>728</v>
      </c>
      <c r="D3298" s="2" t="s">
        <v>300</v>
      </c>
      <c r="E3298" s="70" t="s">
        <v>306</v>
      </c>
      <c r="F3298" s="29">
        <v>245</v>
      </c>
      <c r="G3298" s="29">
        <v>166</v>
      </c>
      <c r="H3298" s="33">
        <v>79</v>
      </c>
      <c r="M3298" s="2"/>
      <c r="N3298" s="2"/>
      <c r="O3298" s="2"/>
    </row>
    <row r="3299" spans="1:15" x14ac:dyDescent="0.4">
      <c r="A3299">
        <v>2008</v>
      </c>
      <c r="B3299" s="2" t="s">
        <v>673</v>
      </c>
      <c r="C3299" s="2" t="s">
        <v>728</v>
      </c>
      <c r="D3299" s="2" t="s">
        <v>300</v>
      </c>
      <c r="E3299" s="70" t="s">
        <v>307</v>
      </c>
      <c r="F3299" s="29">
        <v>328</v>
      </c>
      <c r="G3299" s="29">
        <v>223</v>
      </c>
      <c r="H3299" s="33">
        <v>105</v>
      </c>
      <c r="M3299" s="2"/>
      <c r="N3299" s="2"/>
      <c r="O3299" s="2"/>
    </row>
    <row r="3300" spans="1:15" x14ac:dyDescent="0.4">
      <c r="A3300">
        <v>2008</v>
      </c>
      <c r="B3300" s="2" t="s">
        <v>674</v>
      </c>
      <c r="C3300" s="2" t="s">
        <v>728</v>
      </c>
      <c r="D3300" s="2" t="s">
        <v>300</v>
      </c>
      <c r="E3300" s="70" t="s">
        <v>308</v>
      </c>
      <c r="F3300" s="29">
        <v>1137</v>
      </c>
      <c r="G3300" s="29">
        <v>688</v>
      </c>
      <c r="H3300" s="33">
        <v>449</v>
      </c>
      <c r="M3300" s="2"/>
      <c r="N3300" s="2"/>
      <c r="O3300" s="2"/>
    </row>
    <row r="3301" spans="1:15" x14ac:dyDescent="0.4">
      <c r="A3301">
        <v>2008</v>
      </c>
      <c r="B3301" s="2" t="s">
        <v>675</v>
      </c>
      <c r="C3301" s="2" t="s">
        <v>728</v>
      </c>
      <c r="D3301" s="2" t="s">
        <v>300</v>
      </c>
      <c r="E3301" s="70" t="s">
        <v>51</v>
      </c>
      <c r="F3301" s="29">
        <v>44</v>
      </c>
      <c r="G3301" s="29">
        <v>31</v>
      </c>
      <c r="H3301" s="33">
        <v>13</v>
      </c>
      <c r="M3301" s="2"/>
      <c r="N3301" s="2"/>
      <c r="O3301" s="2"/>
    </row>
    <row r="3302" spans="1:15" x14ac:dyDescent="0.4">
      <c r="A3302">
        <v>2008</v>
      </c>
      <c r="B3302" s="2" t="s">
        <v>676</v>
      </c>
      <c r="C3302" s="2" t="s">
        <v>728</v>
      </c>
      <c r="D3302" s="2" t="s">
        <v>300</v>
      </c>
      <c r="E3302" s="70" t="s">
        <v>309</v>
      </c>
      <c r="F3302" s="29">
        <v>58</v>
      </c>
      <c r="G3302" s="29">
        <v>34</v>
      </c>
      <c r="H3302" s="33">
        <v>24</v>
      </c>
      <c r="M3302" s="2"/>
      <c r="N3302" s="2"/>
      <c r="O3302" s="2"/>
    </row>
    <row r="3303" spans="1:15" x14ac:dyDescent="0.4">
      <c r="A3303">
        <v>2008</v>
      </c>
      <c r="B3303" s="2" t="s">
        <v>677</v>
      </c>
      <c r="C3303" s="2" t="s">
        <v>728</v>
      </c>
      <c r="D3303" s="2" t="s">
        <v>300</v>
      </c>
      <c r="E3303" s="70" t="s">
        <v>310</v>
      </c>
      <c r="F3303" s="29">
        <v>62</v>
      </c>
      <c r="G3303" s="29">
        <v>45</v>
      </c>
      <c r="H3303" s="33">
        <v>17</v>
      </c>
      <c r="M3303" s="2"/>
      <c r="N3303" s="2"/>
      <c r="O3303" s="2"/>
    </row>
    <row r="3304" spans="1:15" x14ac:dyDescent="0.4">
      <c r="A3304">
        <v>2008</v>
      </c>
      <c r="B3304" s="2" t="s">
        <v>678</v>
      </c>
      <c r="C3304" s="2" t="s">
        <v>729</v>
      </c>
      <c r="D3304" s="2" t="s">
        <v>312</v>
      </c>
      <c r="E3304" s="70" t="s">
        <v>311</v>
      </c>
      <c r="F3304" s="29">
        <v>44</v>
      </c>
      <c r="G3304" s="29">
        <v>23</v>
      </c>
      <c r="H3304" s="33">
        <v>21</v>
      </c>
      <c r="M3304" s="2"/>
      <c r="N3304" s="2"/>
      <c r="O3304" s="2"/>
    </row>
    <row r="3305" spans="1:15" x14ac:dyDescent="0.4">
      <c r="A3305">
        <v>2008</v>
      </c>
      <c r="B3305" s="2" t="s">
        <v>679</v>
      </c>
      <c r="C3305" s="2" t="s">
        <v>729</v>
      </c>
      <c r="D3305" s="2" t="s">
        <v>312</v>
      </c>
      <c r="E3305" s="70" t="s">
        <v>313</v>
      </c>
      <c r="F3305" s="29">
        <v>291</v>
      </c>
      <c r="G3305" s="29">
        <v>181</v>
      </c>
      <c r="H3305" s="33">
        <v>110</v>
      </c>
      <c r="M3305" s="2"/>
      <c r="N3305" s="2"/>
      <c r="O3305" s="2"/>
    </row>
    <row r="3306" spans="1:15" x14ac:dyDescent="0.4">
      <c r="A3306">
        <v>2008</v>
      </c>
      <c r="B3306" s="2" t="s">
        <v>680</v>
      </c>
      <c r="C3306" s="2" t="s">
        <v>729</v>
      </c>
      <c r="D3306" s="2" t="s">
        <v>312</v>
      </c>
      <c r="E3306" s="70" t="s">
        <v>314</v>
      </c>
      <c r="F3306" s="29">
        <v>1470</v>
      </c>
      <c r="G3306" s="29">
        <v>812</v>
      </c>
      <c r="H3306" s="33">
        <v>658</v>
      </c>
      <c r="M3306" s="2"/>
      <c r="N3306" s="2"/>
      <c r="O3306" s="2"/>
    </row>
    <row r="3307" spans="1:15" x14ac:dyDescent="0.4">
      <c r="A3307">
        <v>2008</v>
      </c>
      <c r="B3307" s="2" t="s">
        <v>681</v>
      </c>
      <c r="C3307" s="2" t="s">
        <v>729</v>
      </c>
      <c r="D3307" s="2" t="s">
        <v>312</v>
      </c>
      <c r="E3307" s="70" t="s">
        <v>315</v>
      </c>
      <c r="F3307" s="29">
        <v>92</v>
      </c>
      <c r="G3307" s="29">
        <v>67</v>
      </c>
      <c r="H3307" s="33">
        <v>25</v>
      </c>
      <c r="M3307" s="2"/>
      <c r="N3307" s="2"/>
      <c r="O3307" s="2"/>
    </row>
    <row r="3308" spans="1:15" x14ac:dyDescent="0.4">
      <c r="A3308">
        <v>2008</v>
      </c>
      <c r="B3308" s="2" t="s">
        <v>682</v>
      </c>
      <c r="C3308" s="2" t="s">
        <v>729</v>
      </c>
      <c r="D3308" s="2" t="s">
        <v>312</v>
      </c>
      <c r="E3308" s="70" t="s">
        <v>316</v>
      </c>
      <c r="F3308" s="29">
        <v>565</v>
      </c>
      <c r="G3308" s="29">
        <v>363</v>
      </c>
      <c r="H3308" s="33">
        <v>202</v>
      </c>
      <c r="M3308" s="2"/>
      <c r="N3308" s="2"/>
      <c r="O3308" s="2"/>
    </row>
    <row r="3309" spans="1:15" x14ac:dyDescent="0.4">
      <c r="A3309">
        <v>2008</v>
      </c>
      <c r="B3309" s="2" t="s">
        <v>683</v>
      </c>
      <c r="C3309" s="2" t="s">
        <v>729</v>
      </c>
      <c r="D3309" s="2" t="s">
        <v>312</v>
      </c>
      <c r="E3309" s="70" t="s">
        <v>317</v>
      </c>
      <c r="F3309" s="29">
        <v>72</v>
      </c>
      <c r="G3309" s="29">
        <v>57</v>
      </c>
      <c r="H3309" s="33">
        <v>15</v>
      </c>
      <c r="M3309" s="2"/>
      <c r="N3309" s="2"/>
      <c r="O3309" s="2"/>
    </row>
    <row r="3310" spans="1:15" x14ac:dyDescent="0.4">
      <c r="A3310">
        <v>2008</v>
      </c>
      <c r="B3310" s="2" t="s">
        <v>684</v>
      </c>
      <c r="C3310" s="2" t="s">
        <v>729</v>
      </c>
      <c r="D3310" s="2" t="s">
        <v>312</v>
      </c>
      <c r="E3310" s="70" t="s">
        <v>318</v>
      </c>
      <c r="F3310" s="29">
        <v>375</v>
      </c>
      <c r="G3310" s="29">
        <v>252</v>
      </c>
      <c r="H3310" s="33">
        <v>123</v>
      </c>
      <c r="M3310" s="2"/>
      <c r="N3310" s="2"/>
      <c r="O3310" s="2"/>
    </row>
    <row r="3311" spans="1:15" x14ac:dyDescent="0.4">
      <c r="A3311">
        <v>2008</v>
      </c>
      <c r="B3311" s="2" t="s">
        <v>685</v>
      </c>
      <c r="C3311" s="2" t="s">
        <v>729</v>
      </c>
      <c r="D3311" s="2" t="s">
        <v>312</v>
      </c>
      <c r="E3311" s="70" t="s">
        <v>319</v>
      </c>
      <c r="F3311" s="29">
        <v>76</v>
      </c>
      <c r="G3311" s="29">
        <v>52</v>
      </c>
      <c r="H3311" s="33">
        <v>24</v>
      </c>
      <c r="M3311" s="2"/>
      <c r="N3311" s="2"/>
      <c r="O3311" s="2"/>
    </row>
    <row r="3312" spans="1:15" x14ac:dyDescent="0.4">
      <c r="A3312">
        <v>2008</v>
      </c>
      <c r="B3312" s="2" t="s">
        <v>686</v>
      </c>
      <c r="C3312" s="2" t="s">
        <v>729</v>
      </c>
      <c r="D3312" s="2" t="s">
        <v>312</v>
      </c>
      <c r="E3312" s="70" t="s">
        <v>320</v>
      </c>
      <c r="F3312" s="29">
        <v>408</v>
      </c>
      <c r="G3312" s="29">
        <v>250</v>
      </c>
      <c r="H3312" s="33">
        <v>158</v>
      </c>
      <c r="M3312" s="2"/>
      <c r="N3312" s="2"/>
      <c r="O3312" s="2"/>
    </row>
    <row r="3313" spans="1:15" x14ac:dyDescent="0.4">
      <c r="A3313">
        <v>2008</v>
      </c>
      <c r="B3313" s="2" t="s">
        <v>687</v>
      </c>
      <c r="C3313" s="2" t="s">
        <v>729</v>
      </c>
      <c r="D3313" s="2" t="s">
        <v>312</v>
      </c>
      <c r="E3313" s="70" t="s">
        <v>321</v>
      </c>
      <c r="F3313" s="29">
        <v>1174</v>
      </c>
      <c r="G3313" s="29">
        <v>694</v>
      </c>
      <c r="H3313" s="33">
        <v>480</v>
      </c>
      <c r="M3313" s="2"/>
      <c r="N3313" s="2"/>
      <c r="O3313" s="2"/>
    </row>
    <row r="3314" spans="1:15" x14ac:dyDescent="0.4">
      <c r="A3314">
        <v>2008</v>
      </c>
      <c r="B3314" s="2" t="s">
        <v>688</v>
      </c>
      <c r="C3314" s="2" t="s">
        <v>729</v>
      </c>
      <c r="D3314" s="2" t="s">
        <v>312</v>
      </c>
      <c r="E3314" s="70" t="s">
        <v>322</v>
      </c>
      <c r="F3314" s="29">
        <v>458</v>
      </c>
      <c r="G3314" s="29">
        <v>294</v>
      </c>
      <c r="H3314" s="33">
        <v>164</v>
      </c>
      <c r="M3314" s="2"/>
      <c r="N3314" s="2"/>
      <c r="O3314" s="2"/>
    </row>
    <row r="3315" spans="1:15" x14ac:dyDescent="0.4">
      <c r="A3315">
        <v>2008</v>
      </c>
      <c r="B3315" s="2" t="s">
        <v>689</v>
      </c>
      <c r="C3315" s="2" t="s">
        <v>729</v>
      </c>
      <c r="D3315" s="2" t="s">
        <v>312</v>
      </c>
      <c r="E3315" s="70" t="s">
        <v>323</v>
      </c>
      <c r="F3315" s="29">
        <v>640</v>
      </c>
      <c r="G3315" s="29">
        <v>402</v>
      </c>
      <c r="H3315" s="33">
        <v>238</v>
      </c>
      <c r="M3315" s="2"/>
      <c r="N3315" s="2"/>
      <c r="O3315" s="2"/>
    </row>
    <row r="3316" spans="1:15" x14ac:dyDescent="0.4">
      <c r="A3316">
        <v>2008</v>
      </c>
      <c r="B3316" s="2" t="s">
        <v>690</v>
      </c>
      <c r="C3316" s="2" t="s">
        <v>729</v>
      </c>
      <c r="D3316" s="2" t="s">
        <v>312</v>
      </c>
      <c r="E3316" s="70" t="s">
        <v>324</v>
      </c>
      <c r="F3316" s="29">
        <v>9370</v>
      </c>
      <c r="G3316" s="29">
        <v>5556</v>
      </c>
      <c r="H3316" s="33">
        <v>3814</v>
      </c>
      <c r="M3316" s="2"/>
      <c r="N3316" s="2"/>
      <c r="O3316" s="2"/>
    </row>
    <row r="3317" spans="1:15" x14ac:dyDescent="0.4">
      <c r="A3317">
        <v>2008</v>
      </c>
      <c r="B3317" s="2" t="s">
        <v>691</v>
      </c>
      <c r="C3317" s="2" t="s">
        <v>729</v>
      </c>
      <c r="D3317" s="2" t="s">
        <v>312</v>
      </c>
      <c r="E3317" s="70" t="s">
        <v>85</v>
      </c>
      <c r="F3317" s="29">
        <v>274</v>
      </c>
      <c r="G3317" s="29">
        <v>171</v>
      </c>
      <c r="H3317" s="33">
        <v>103</v>
      </c>
      <c r="M3317" s="2"/>
      <c r="N3317" s="2"/>
      <c r="O3317" s="2"/>
    </row>
    <row r="3318" spans="1:15" x14ac:dyDescent="0.4">
      <c r="A3318">
        <v>2008</v>
      </c>
      <c r="B3318" s="2" t="s">
        <v>692</v>
      </c>
      <c r="C3318" s="2" t="s">
        <v>729</v>
      </c>
      <c r="D3318" s="2" t="s">
        <v>312</v>
      </c>
      <c r="E3318" s="70" t="s">
        <v>32</v>
      </c>
      <c r="F3318" s="29">
        <v>188</v>
      </c>
      <c r="G3318" s="29">
        <v>117</v>
      </c>
      <c r="H3318" s="33">
        <v>71</v>
      </c>
      <c r="M3318" s="2"/>
      <c r="N3318" s="2"/>
      <c r="O3318" s="2"/>
    </row>
    <row r="3319" spans="1:15" x14ac:dyDescent="0.4">
      <c r="A3319">
        <v>2008</v>
      </c>
      <c r="B3319" s="2" t="s">
        <v>693</v>
      </c>
      <c r="C3319" s="2" t="s">
        <v>729</v>
      </c>
      <c r="D3319" s="2" t="s">
        <v>312</v>
      </c>
      <c r="E3319" s="70" t="s">
        <v>325</v>
      </c>
      <c r="F3319" s="29">
        <v>318</v>
      </c>
      <c r="G3319" s="29">
        <v>204</v>
      </c>
      <c r="H3319" s="33">
        <v>114</v>
      </c>
      <c r="M3319" s="2"/>
      <c r="N3319" s="2"/>
      <c r="O3319" s="2"/>
    </row>
    <row r="3320" spans="1:15" x14ac:dyDescent="0.4">
      <c r="A3320">
        <v>2008</v>
      </c>
      <c r="B3320" s="2" t="s">
        <v>694</v>
      </c>
      <c r="C3320" s="2" t="s">
        <v>729</v>
      </c>
      <c r="D3320" s="2" t="s">
        <v>312</v>
      </c>
      <c r="E3320" s="70" t="s">
        <v>144</v>
      </c>
      <c r="F3320" s="29">
        <v>1525</v>
      </c>
      <c r="G3320" s="29">
        <v>897</v>
      </c>
      <c r="H3320" s="33">
        <v>628</v>
      </c>
      <c r="M3320" s="2"/>
      <c r="N3320" s="2"/>
      <c r="O3320" s="2"/>
    </row>
    <row r="3321" spans="1:15" x14ac:dyDescent="0.4">
      <c r="A3321">
        <v>2008</v>
      </c>
      <c r="B3321" s="2" t="s">
        <v>695</v>
      </c>
      <c r="C3321" s="2" t="s">
        <v>729</v>
      </c>
      <c r="D3321" s="2" t="s">
        <v>312</v>
      </c>
      <c r="E3321" s="70" t="s">
        <v>326</v>
      </c>
      <c r="F3321" s="29">
        <v>143</v>
      </c>
      <c r="G3321" s="29">
        <v>94</v>
      </c>
      <c r="H3321" s="33">
        <v>49</v>
      </c>
      <c r="M3321" s="2"/>
      <c r="N3321" s="2"/>
      <c r="O3321" s="2"/>
    </row>
    <row r="3322" spans="1:15" x14ac:dyDescent="0.4">
      <c r="A3322">
        <v>2008</v>
      </c>
      <c r="B3322" s="2" t="s">
        <v>696</v>
      </c>
      <c r="C3322" s="2" t="s">
        <v>729</v>
      </c>
      <c r="D3322" s="2" t="s">
        <v>312</v>
      </c>
      <c r="E3322" s="70" t="s">
        <v>25</v>
      </c>
      <c r="F3322" s="29">
        <v>103</v>
      </c>
      <c r="G3322" s="29">
        <v>74</v>
      </c>
      <c r="H3322" s="33">
        <v>29</v>
      </c>
      <c r="M3322" s="2"/>
      <c r="N3322" s="2"/>
      <c r="O3322" s="2"/>
    </row>
    <row r="3323" spans="1:15" x14ac:dyDescent="0.4">
      <c r="A3323">
        <v>2008</v>
      </c>
      <c r="B3323" s="2" t="s">
        <v>697</v>
      </c>
      <c r="C3323" s="2" t="s">
        <v>729</v>
      </c>
      <c r="D3323" s="2" t="s">
        <v>312</v>
      </c>
      <c r="E3323" s="70" t="s">
        <v>51</v>
      </c>
      <c r="F3323" s="29">
        <v>229</v>
      </c>
      <c r="G3323" s="29">
        <v>149</v>
      </c>
      <c r="H3323" s="33">
        <v>80</v>
      </c>
      <c r="M3323" s="2"/>
      <c r="N3323" s="2"/>
      <c r="O3323" s="2"/>
    </row>
    <row r="3324" spans="1:15" x14ac:dyDescent="0.4">
      <c r="A3324">
        <v>2008</v>
      </c>
      <c r="B3324" s="2" t="s">
        <v>698</v>
      </c>
      <c r="C3324" s="2" t="s">
        <v>729</v>
      </c>
      <c r="D3324" s="2" t="s">
        <v>312</v>
      </c>
      <c r="E3324" s="70" t="s">
        <v>327</v>
      </c>
      <c r="F3324" s="29">
        <v>173</v>
      </c>
      <c r="G3324" s="29">
        <v>120</v>
      </c>
      <c r="H3324" s="33">
        <v>53</v>
      </c>
      <c r="M3324" s="2"/>
      <c r="N3324" s="2"/>
      <c r="O3324" s="2"/>
    </row>
    <row r="3325" spans="1:15" x14ac:dyDescent="0.4">
      <c r="A3325">
        <v>2008</v>
      </c>
      <c r="B3325" s="2" t="s">
        <v>733</v>
      </c>
      <c r="C3325" s="2" t="s">
        <v>715</v>
      </c>
      <c r="D3325" s="2" t="s">
        <v>734</v>
      </c>
      <c r="E3325" s="70" t="s">
        <v>735</v>
      </c>
      <c r="F3325" s="29">
        <v>0</v>
      </c>
      <c r="G3325" s="29">
        <v>0</v>
      </c>
      <c r="H3325" s="33">
        <v>0</v>
      </c>
      <c r="M3325" s="2"/>
      <c r="N3325" s="2"/>
      <c r="O3325" s="2"/>
    </row>
    <row r="3326" spans="1:15" x14ac:dyDescent="0.4">
      <c r="A3326">
        <v>2007</v>
      </c>
      <c r="B3326" s="5" t="str">
        <f>+C3326&amp;"-"&amp;E3326</f>
        <v>VA-Municipio Autónomo Vargas</v>
      </c>
      <c r="C3326" s="5" t="str">
        <f>+MID(D3326,1,2)</f>
        <v>VA</v>
      </c>
      <c r="D3326" s="25" t="s">
        <v>288</v>
      </c>
      <c r="E3326" s="64" t="s">
        <v>757</v>
      </c>
      <c r="F3326" s="2">
        <v>0</v>
      </c>
      <c r="G3326" s="2">
        <v>0</v>
      </c>
      <c r="H3326" s="2">
        <v>0</v>
      </c>
      <c r="M3326" s="2"/>
      <c r="N3326" s="2"/>
      <c r="O3326" s="2"/>
    </row>
    <row r="3327" spans="1:15" x14ac:dyDescent="0.4">
      <c r="A3327">
        <v>2007</v>
      </c>
      <c r="B3327" s="5" t="str">
        <f>+C3327&amp;"-"&amp;E3327</f>
        <v>DI-Municipio Autónomo Libertador</v>
      </c>
      <c r="C3327" s="5" t="str">
        <f>+MID(D3327,1,2)</f>
        <v>DI</v>
      </c>
      <c r="D3327" s="25" t="s">
        <v>106</v>
      </c>
      <c r="E3327" s="64" t="s">
        <v>756</v>
      </c>
      <c r="F3327" s="2">
        <v>0</v>
      </c>
      <c r="G3327" s="2">
        <v>0</v>
      </c>
      <c r="H3327" s="2">
        <v>0</v>
      </c>
      <c r="M3327" s="2"/>
      <c r="N3327" s="2"/>
      <c r="O3327" s="2"/>
    </row>
    <row r="3328" spans="1:15" x14ac:dyDescent="0.4">
      <c r="A3328">
        <v>2007</v>
      </c>
      <c r="B3328" s="2" t="s">
        <v>335</v>
      </c>
      <c r="C3328" s="2" t="s">
        <v>706</v>
      </c>
      <c r="D3328" s="2" t="s">
        <v>106</v>
      </c>
      <c r="E3328" s="70" t="s">
        <v>105</v>
      </c>
      <c r="F3328" s="29">
        <v>103</v>
      </c>
      <c r="G3328" s="29">
        <v>62</v>
      </c>
      <c r="H3328" s="33">
        <v>41</v>
      </c>
      <c r="M3328" s="2"/>
      <c r="N3328" s="2"/>
      <c r="O3328" s="2"/>
    </row>
    <row r="3329" spans="1:15" x14ac:dyDescent="0.4">
      <c r="A3329">
        <v>2007</v>
      </c>
      <c r="B3329" s="2" t="s">
        <v>336</v>
      </c>
      <c r="C3329" s="2" t="s">
        <v>706</v>
      </c>
      <c r="D3329" s="2" t="s">
        <v>106</v>
      </c>
      <c r="E3329" s="70" t="s">
        <v>107</v>
      </c>
      <c r="F3329" s="29">
        <v>571</v>
      </c>
      <c r="G3329" s="29">
        <v>377</v>
      </c>
      <c r="H3329" s="33">
        <v>194</v>
      </c>
      <c r="M3329" s="2"/>
      <c r="N3329" s="2"/>
      <c r="O3329" s="2"/>
    </row>
    <row r="3330" spans="1:15" x14ac:dyDescent="0.4">
      <c r="A3330">
        <v>2007</v>
      </c>
      <c r="B3330" s="2" t="s">
        <v>337</v>
      </c>
      <c r="C3330" s="2" t="s">
        <v>706</v>
      </c>
      <c r="D3330" s="2" t="s">
        <v>106</v>
      </c>
      <c r="E3330" s="70" t="s">
        <v>108</v>
      </c>
      <c r="F3330" s="29">
        <v>237</v>
      </c>
      <c r="G3330" s="29">
        <v>132</v>
      </c>
      <c r="H3330" s="33">
        <v>105</v>
      </c>
      <c r="M3330" s="2"/>
      <c r="N3330" s="2"/>
      <c r="O3330" s="2"/>
    </row>
    <row r="3331" spans="1:15" x14ac:dyDescent="0.4">
      <c r="A3331">
        <v>2007</v>
      </c>
      <c r="B3331" s="2" t="s">
        <v>338</v>
      </c>
      <c r="C3331" s="2" t="s">
        <v>706</v>
      </c>
      <c r="D3331" s="2" t="s">
        <v>106</v>
      </c>
      <c r="E3331" s="70" t="s">
        <v>109</v>
      </c>
      <c r="F3331" s="29">
        <v>406</v>
      </c>
      <c r="G3331" s="29">
        <v>240</v>
      </c>
      <c r="H3331" s="33">
        <v>166</v>
      </c>
      <c r="M3331" s="2"/>
      <c r="N3331" s="2"/>
      <c r="O3331" s="2"/>
    </row>
    <row r="3332" spans="1:15" x14ac:dyDescent="0.4">
      <c r="A3332">
        <v>2007</v>
      </c>
      <c r="B3332" s="2" t="s">
        <v>339</v>
      </c>
      <c r="C3332" s="2" t="s">
        <v>706</v>
      </c>
      <c r="D3332" s="2" t="s">
        <v>106</v>
      </c>
      <c r="E3332" s="70" t="s">
        <v>110</v>
      </c>
      <c r="F3332" s="29">
        <v>25</v>
      </c>
      <c r="G3332" s="29">
        <v>19</v>
      </c>
      <c r="H3332" s="33">
        <v>6</v>
      </c>
      <c r="M3332" s="2"/>
      <c r="N3332" s="2"/>
      <c r="O3332" s="2"/>
    </row>
    <row r="3333" spans="1:15" x14ac:dyDescent="0.4">
      <c r="A3333">
        <v>2007</v>
      </c>
      <c r="B3333" s="2" t="s">
        <v>340</v>
      </c>
      <c r="C3333" s="2" t="s">
        <v>706</v>
      </c>
      <c r="D3333" s="2" t="s">
        <v>106</v>
      </c>
      <c r="E3333" s="70" t="s">
        <v>111</v>
      </c>
      <c r="F3333" s="29">
        <v>609</v>
      </c>
      <c r="G3333" s="29">
        <v>428</v>
      </c>
      <c r="H3333" s="33">
        <v>181</v>
      </c>
      <c r="M3333" s="2"/>
      <c r="N3333" s="2"/>
      <c r="O3333" s="2"/>
    </row>
    <row r="3334" spans="1:15" x14ac:dyDescent="0.4">
      <c r="A3334">
        <v>2007</v>
      </c>
      <c r="B3334" s="2" t="s">
        <v>341</v>
      </c>
      <c r="C3334" s="2" t="s">
        <v>706</v>
      </c>
      <c r="D3334" s="2" t="s">
        <v>106</v>
      </c>
      <c r="E3334" s="70" t="s">
        <v>112</v>
      </c>
      <c r="F3334" s="29">
        <v>136</v>
      </c>
      <c r="G3334" s="29">
        <v>92</v>
      </c>
      <c r="H3334" s="33">
        <v>44</v>
      </c>
      <c r="M3334" s="2"/>
      <c r="N3334" s="2"/>
      <c r="O3334" s="2"/>
    </row>
    <row r="3335" spans="1:15" x14ac:dyDescent="0.4">
      <c r="A3335">
        <v>2007</v>
      </c>
      <c r="B3335" s="2" t="s">
        <v>342</v>
      </c>
      <c r="C3335" s="2" t="s">
        <v>706</v>
      </c>
      <c r="D3335" s="2" t="s">
        <v>106</v>
      </c>
      <c r="E3335" s="70" t="s">
        <v>113</v>
      </c>
      <c r="F3335" s="29">
        <v>2073</v>
      </c>
      <c r="G3335" s="29">
        <v>1311</v>
      </c>
      <c r="H3335" s="33">
        <v>762</v>
      </c>
      <c r="M3335" s="2"/>
      <c r="N3335" s="2"/>
      <c r="O3335" s="2"/>
    </row>
    <row r="3336" spans="1:15" x14ac:dyDescent="0.4">
      <c r="A3336">
        <v>2007</v>
      </c>
      <c r="B3336" s="2" t="s">
        <v>343</v>
      </c>
      <c r="C3336" s="2" t="s">
        <v>706</v>
      </c>
      <c r="D3336" s="2" t="s">
        <v>106</v>
      </c>
      <c r="E3336" s="70" t="s">
        <v>114</v>
      </c>
      <c r="F3336" s="29">
        <v>772</v>
      </c>
      <c r="G3336" s="29">
        <v>422</v>
      </c>
      <c r="H3336" s="33">
        <v>350</v>
      </c>
      <c r="M3336" s="2"/>
      <c r="N3336" s="2"/>
      <c r="O3336" s="2"/>
    </row>
    <row r="3337" spans="1:15" x14ac:dyDescent="0.4">
      <c r="A3337">
        <v>2007</v>
      </c>
      <c r="B3337" s="2" t="s">
        <v>344</v>
      </c>
      <c r="C3337" s="2" t="s">
        <v>706</v>
      </c>
      <c r="D3337" s="2" t="s">
        <v>106</v>
      </c>
      <c r="E3337" s="70" t="s">
        <v>115</v>
      </c>
      <c r="F3337" s="29">
        <v>353</v>
      </c>
      <c r="G3337" s="29">
        <v>230</v>
      </c>
      <c r="H3337" s="33">
        <v>123</v>
      </c>
      <c r="M3337" s="2"/>
      <c r="N3337" s="2"/>
      <c r="O3337" s="2"/>
    </row>
    <row r="3338" spans="1:15" x14ac:dyDescent="0.4">
      <c r="A3338">
        <v>2007</v>
      </c>
      <c r="B3338" s="2" t="s">
        <v>345</v>
      </c>
      <c r="C3338" s="2" t="s">
        <v>706</v>
      </c>
      <c r="D3338" s="2" t="s">
        <v>106</v>
      </c>
      <c r="E3338" s="70" t="s">
        <v>116</v>
      </c>
      <c r="F3338" s="29">
        <v>547</v>
      </c>
      <c r="G3338" s="29">
        <v>356</v>
      </c>
      <c r="H3338" s="33">
        <v>191</v>
      </c>
      <c r="M3338" s="2"/>
      <c r="N3338" s="2"/>
      <c r="O3338" s="2"/>
    </row>
    <row r="3339" spans="1:15" x14ac:dyDescent="0.4">
      <c r="A3339">
        <v>2007</v>
      </c>
      <c r="B3339" s="2" t="s">
        <v>346</v>
      </c>
      <c r="C3339" s="2" t="s">
        <v>706</v>
      </c>
      <c r="D3339" s="2" t="s">
        <v>106</v>
      </c>
      <c r="E3339" s="70" t="s">
        <v>117</v>
      </c>
      <c r="F3339" s="29">
        <v>511</v>
      </c>
      <c r="G3339" s="29">
        <v>318</v>
      </c>
      <c r="H3339" s="33">
        <v>193</v>
      </c>
      <c r="M3339" s="2"/>
      <c r="N3339" s="2"/>
      <c r="O3339" s="2"/>
    </row>
    <row r="3340" spans="1:15" x14ac:dyDescent="0.4">
      <c r="A3340">
        <v>2007</v>
      </c>
      <c r="B3340" s="2" t="s">
        <v>347</v>
      </c>
      <c r="C3340" s="2" t="s">
        <v>706</v>
      </c>
      <c r="D3340" s="2" t="s">
        <v>106</v>
      </c>
      <c r="E3340" s="70" t="s">
        <v>118</v>
      </c>
      <c r="F3340" s="29">
        <v>157</v>
      </c>
      <c r="G3340" s="29">
        <v>109</v>
      </c>
      <c r="H3340" s="33">
        <v>48</v>
      </c>
      <c r="M3340" s="2"/>
      <c r="N3340" s="2"/>
      <c r="O3340" s="2"/>
    </row>
    <row r="3341" spans="1:15" x14ac:dyDescent="0.4">
      <c r="A3341">
        <v>2007</v>
      </c>
      <c r="B3341" s="2" t="s">
        <v>348</v>
      </c>
      <c r="C3341" s="2" t="s">
        <v>706</v>
      </c>
      <c r="D3341" s="2" t="s">
        <v>106</v>
      </c>
      <c r="E3341" s="70" t="s">
        <v>119</v>
      </c>
      <c r="F3341" s="29">
        <v>138</v>
      </c>
      <c r="G3341" s="29">
        <v>109</v>
      </c>
      <c r="H3341" s="33">
        <v>29</v>
      </c>
      <c r="M3341" s="2"/>
      <c r="N3341" s="2"/>
      <c r="O3341" s="2"/>
    </row>
    <row r="3342" spans="1:15" x14ac:dyDescent="0.4">
      <c r="A3342">
        <v>2007</v>
      </c>
      <c r="B3342" s="2" t="s">
        <v>349</v>
      </c>
      <c r="C3342" s="2" t="s">
        <v>706</v>
      </c>
      <c r="D3342" s="2" t="s">
        <v>106</v>
      </c>
      <c r="E3342" s="70" t="s">
        <v>120</v>
      </c>
      <c r="F3342" s="29">
        <v>1088</v>
      </c>
      <c r="G3342" s="29">
        <v>584</v>
      </c>
      <c r="H3342" s="33">
        <v>504</v>
      </c>
      <c r="M3342" s="2"/>
      <c r="N3342" s="2"/>
      <c r="O3342" s="2"/>
    </row>
    <row r="3343" spans="1:15" x14ac:dyDescent="0.4">
      <c r="A3343">
        <v>2007</v>
      </c>
      <c r="B3343" s="2" t="s">
        <v>350</v>
      </c>
      <c r="C3343" s="2" t="s">
        <v>706</v>
      </c>
      <c r="D3343" s="2" t="s">
        <v>106</v>
      </c>
      <c r="E3343" s="70" t="s">
        <v>121</v>
      </c>
      <c r="F3343" s="29">
        <v>1579</v>
      </c>
      <c r="G3343" s="29">
        <v>869</v>
      </c>
      <c r="H3343" s="33">
        <v>710</v>
      </c>
      <c r="M3343" s="2"/>
      <c r="N3343" s="2"/>
      <c r="O3343" s="2"/>
    </row>
    <row r="3344" spans="1:15" x14ac:dyDescent="0.4">
      <c r="A3344">
        <v>2007</v>
      </c>
      <c r="B3344" s="2" t="s">
        <v>351</v>
      </c>
      <c r="C3344" s="2" t="s">
        <v>706</v>
      </c>
      <c r="D3344" s="2" t="s">
        <v>106</v>
      </c>
      <c r="E3344" s="70" t="s">
        <v>122</v>
      </c>
      <c r="F3344" s="29">
        <v>1733</v>
      </c>
      <c r="G3344" s="29">
        <v>1011</v>
      </c>
      <c r="H3344" s="33">
        <v>722</v>
      </c>
      <c r="M3344" s="2"/>
      <c r="N3344" s="2"/>
      <c r="O3344" s="2"/>
    </row>
    <row r="3345" spans="1:15" x14ac:dyDescent="0.4">
      <c r="A3345">
        <v>2007</v>
      </c>
      <c r="B3345" s="2" t="s">
        <v>352</v>
      </c>
      <c r="C3345" s="2" t="s">
        <v>706</v>
      </c>
      <c r="D3345" s="2" t="s">
        <v>106</v>
      </c>
      <c r="E3345" s="70" t="s">
        <v>123</v>
      </c>
      <c r="F3345" s="29">
        <v>2109</v>
      </c>
      <c r="G3345" s="29">
        <v>1213</v>
      </c>
      <c r="H3345" s="33">
        <v>896</v>
      </c>
      <c r="M3345" s="2"/>
      <c r="N3345" s="2"/>
      <c r="O3345" s="2"/>
    </row>
    <row r="3346" spans="1:15" x14ac:dyDescent="0.4">
      <c r="A3346">
        <v>2007</v>
      </c>
      <c r="B3346" s="2" t="s">
        <v>353</v>
      </c>
      <c r="C3346" s="2" t="s">
        <v>706</v>
      </c>
      <c r="D3346" s="2" t="s">
        <v>106</v>
      </c>
      <c r="E3346" s="70" t="s">
        <v>124</v>
      </c>
      <c r="F3346" s="29">
        <v>519</v>
      </c>
      <c r="G3346" s="29">
        <v>302</v>
      </c>
      <c r="H3346" s="33">
        <v>217</v>
      </c>
      <c r="M3346" s="2"/>
      <c r="N3346" s="2"/>
      <c r="O3346" s="2"/>
    </row>
    <row r="3347" spans="1:15" x14ac:dyDescent="0.4">
      <c r="A3347">
        <v>2007</v>
      </c>
      <c r="B3347" s="2" t="s">
        <v>354</v>
      </c>
      <c r="C3347" s="2" t="s">
        <v>706</v>
      </c>
      <c r="D3347" s="2" t="s">
        <v>106</v>
      </c>
      <c r="E3347" s="70" t="s">
        <v>125</v>
      </c>
      <c r="F3347" s="29">
        <v>61</v>
      </c>
      <c r="G3347" s="29">
        <v>41</v>
      </c>
      <c r="H3347" s="33">
        <v>20</v>
      </c>
      <c r="M3347" s="2"/>
      <c r="N3347" s="2"/>
      <c r="O3347" s="2"/>
    </row>
    <row r="3348" spans="1:15" x14ac:dyDescent="0.4">
      <c r="A3348">
        <v>2007</v>
      </c>
      <c r="B3348" s="2" t="s">
        <v>355</v>
      </c>
      <c r="C3348" s="2" t="s">
        <v>706</v>
      </c>
      <c r="D3348" s="2" t="s">
        <v>106</v>
      </c>
      <c r="E3348" s="70" t="s">
        <v>126</v>
      </c>
      <c r="F3348" s="29">
        <v>1752</v>
      </c>
      <c r="G3348" s="29">
        <v>1184</v>
      </c>
      <c r="H3348" s="33">
        <v>568</v>
      </c>
      <c r="M3348" s="2"/>
      <c r="N3348" s="2"/>
      <c r="O3348" s="2"/>
    </row>
    <row r="3349" spans="1:15" x14ac:dyDescent="0.4">
      <c r="A3349">
        <v>2007</v>
      </c>
      <c r="B3349" s="2" t="s">
        <v>356</v>
      </c>
      <c r="C3349" s="2" t="s">
        <v>706</v>
      </c>
      <c r="D3349" s="2" t="s">
        <v>106</v>
      </c>
      <c r="E3349" s="70" t="s">
        <v>127</v>
      </c>
      <c r="F3349" s="29">
        <v>289</v>
      </c>
      <c r="G3349" s="29">
        <v>169</v>
      </c>
      <c r="H3349" s="33">
        <v>120</v>
      </c>
      <c r="M3349" s="2"/>
      <c r="N3349" s="2"/>
      <c r="O3349" s="2"/>
    </row>
    <row r="3350" spans="1:15" x14ac:dyDescent="0.4">
      <c r="A3350">
        <v>2007</v>
      </c>
      <c r="B3350" s="7" t="s">
        <v>357</v>
      </c>
      <c r="C3350" s="7" t="s">
        <v>707</v>
      </c>
      <c r="D3350" s="7" t="s">
        <v>1</v>
      </c>
      <c r="E3350" s="70" t="s">
        <v>0</v>
      </c>
      <c r="F3350" s="29">
        <v>71</v>
      </c>
      <c r="G3350" s="29">
        <v>40</v>
      </c>
      <c r="H3350" s="33">
        <v>31</v>
      </c>
      <c r="M3350" s="2"/>
      <c r="N3350" s="2"/>
      <c r="O3350" s="2"/>
    </row>
    <row r="3351" spans="1:15" x14ac:dyDescent="0.4">
      <c r="A3351">
        <v>2007</v>
      </c>
      <c r="B3351" s="2" t="s">
        <v>358</v>
      </c>
      <c r="C3351" s="2" t="s">
        <v>707</v>
      </c>
      <c r="D3351" s="2" t="s">
        <v>1</v>
      </c>
      <c r="E3351" s="70" t="s">
        <v>2</v>
      </c>
      <c r="F3351" s="29">
        <v>12</v>
      </c>
      <c r="G3351" s="29">
        <v>6</v>
      </c>
      <c r="H3351" s="33">
        <v>6</v>
      </c>
      <c r="M3351" s="2"/>
      <c r="N3351" s="2"/>
      <c r="O3351" s="2"/>
    </row>
    <row r="3352" spans="1:15" x14ac:dyDescent="0.4">
      <c r="A3352">
        <v>2007</v>
      </c>
      <c r="B3352" s="2" t="s">
        <v>359</v>
      </c>
      <c r="C3352" s="2" t="s">
        <v>707</v>
      </c>
      <c r="D3352" s="2" t="s">
        <v>1</v>
      </c>
      <c r="E3352" s="70" t="s">
        <v>3</v>
      </c>
      <c r="F3352" s="29">
        <v>190</v>
      </c>
      <c r="G3352" s="29">
        <v>112</v>
      </c>
      <c r="H3352" s="33">
        <v>78</v>
      </c>
      <c r="M3352" s="2"/>
      <c r="N3352" s="2"/>
      <c r="O3352" s="2"/>
    </row>
    <row r="3353" spans="1:15" x14ac:dyDescent="0.4">
      <c r="A3353">
        <v>2007</v>
      </c>
      <c r="B3353" s="2" t="s">
        <v>360</v>
      </c>
      <c r="C3353" s="2" t="s">
        <v>707</v>
      </c>
      <c r="D3353" s="2" t="s">
        <v>1</v>
      </c>
      <c r="E3353" s="70" t="s">
        <v>4</v>
      </c>
      <c r="F3353" s="29">
        <v>16</v>
      </c>
      <c r="G3353" s="29">
        <v>6</v>
      </c>
      <c r="H3353" s="33">
        <v>10</v>
      </c>
      <c r="M3353" s="2"/>
      <c r="N3353" s="2"/>
      <c r="O3353" s="2"/>
    </row>
    <row r="3354" spans="1:15" x14ac:dyDescent="0.4">
      <c r="A3354">
        <v>2007</v>
      </c>
      <c r="B3354" s="2" t="s">
        <v>361</v>
      </c>
      <c r="C3354" s="2" t="s">
        <v>707</v>
      </c>
      <c r="D3354" s="2" t="s">
        <v>1</v>
      </c>
      <c r="E3354" s="70" t="s">
        <v>5</v>
      </c>
      <c r="F3354" s="29">
        <v>17</v>
      </c>
      <c r="G3354" s="29">
        <v>8</v>
      </c>
      <c r="H3354" s="33">
        <v>9</v>
      </c>
      <c r="M3354" s="2"/>
      <c r="N3354" s="2"/>
      <c r="O3354" s="2"/>
    </row>
    <row r="3355" spans="1:15" x14ac:dyDescent="0.4">
      <c r="A3355">
        <v>2007</v>
      </c>
      <c r="B3355" s="2" t="s">
        <v>732</v>
      </c>
      <c r="C3355" s="2" t="s">
        <v>707</v>
      </c>
      <c r="D3355" s="2" t="s">
        <v>1</v>
      </c>
      <c r="E3355" s="70" t="s">
        <v>330</v>
      </c>
      <c r="F3355" s="29">
        <v>2</v>
      </c>
      <c r="G3355" s="29">
        <v>1</v>
      </c>
      <c r="H3355" s="33">
        <v>1</v>
      </c>
      <c r="M3355" s="2"/>
      <c r="N3355" s="2"/>
      <c r="O3355" s="2"/>
    </row>
    <row r="3356" spans="1:15" x14ac:dyDescent="0.4">
      <c r="A3356">
        <v>2007</v>
      </c>
      <c r="B3356" s="2" t="s">
        <v>730</v>
      </c>
      <c r="C3356" s="2" t="s">
        <v>707</v>
      </c>
      <c r="D3356" s="2" t="s">
        <v>1</v>
      </c>
      <c r="E3356" s="70" t="s">
        <v>328</v>
      </c>
      <c r="F3356" s="29">
        <v>12</v>
      </c>
      <c r="G3356" s="29">
        <v>7</v>
      </c>
      <c r="H3356" s="33">
        <v>5</v>
      </c>
      <c r="M3356" s="2"/>
      <c r="N3356" s="2"/>
      <c r="O3356" s="2"/>
    </row>
    <row r="3357" spans="1:15" x14ac:dyDescent="0.4">
      <c r="A3357">
        <v>2007</v>
      </c>
      <c r="B3357" s="2" t="s">
        <v>362</v>
      </c>
      <c r="C3357" s="2" t="s">
        <v>708</v>
      </c>
      <c r="D3357" s="2" t="s">
        <v>7</v>
      </c>
      <c r="E3357" s="70" t="s">
        <v>6</v>
      </c>
      <c r="F3357" s="29">
        <v>426</v>
      </c>
      <c r="G3357" s="29">
        <v>287</v>
      </c>
      <c r="H3357" s="33">
        <v>139</v>
      </c>
      <c r="M3357" s="2"/>
      <c r="N3357" s="2"/>
      <c r="O3357" s="2"/>
    </row>
    <row r="3358" spans="1:15" x14ac:dyDescent="0.4">
      <c r="A3358">
        <v>2007</v>
      </c>
      <c r="B3358" s="2" t="s">
        <v>363</v>
      </c>
      <c r="C3358" s="2" t="s">
        <v>708</v>
      </c>
      <c r="D3358" s="2" t="s">
        <v>7</v>
      </c>
      <c r="E3358" s="70" t="s">
        <v>8</v>
      </c>
      <c r="F3358" s="29">
        <v>110</v>
      </c>
      <c r="G3358" s="29">
        <v>56</v>
      </c>
      <c r="H3358" s="33">
        <v>54</v>
      </c>
      <c r="M3358" s="2"/>
      <c r="N3358" s="2"/>
      <c r="O3358" s="2"/>
    </row>
    <row r="3359" spans="1:15" x14ac:dyDescent="0.4">
      <c r="A3359">
        <v>2007</v>
      </c>
      <c r="B3359" s="2" t="s">
        <v>364</v>
      </c>
      <c r="C3359" s="2" t="s">
        <v>708</v>
      </c>
      <c r="D3359" s="2" t="s">
        <v>7</v>
      </c>
      <c r="E3359" s="70" t="s">
        <v>9</v>
      </c>
      <c r="F3359" s="29">
        <v>126</v>
      </c>
      <c r="G3359" s="29">
        <v>79</v>
      </c>
      <c r="H3359" s="33">
        <v>47</v>
      </c>
      <c r="M3359" s="2"/>
      <c r="N3359" s="2"/>
      <c r="O3359" s="2"/>
    </row>
    <row r="3360" spans="1:15" x14ac:dyDescent="0.4">
      <c r="A3360">
        <v>2007</v>
      </c>
      <c r="B3360" s="2" t="s">
        <v>365</v>
      </c>
      <c r="C3360" s="2" t="s">
        <v>708</v>
      </c>
      <c r="D3360" s="2" t="s">
        <v>7</v>
      </c>
      <c r="E3360" s="70" t="s">
        <v>10</v>
      </c>
      <c r="F3360" s="29">
        <v>75</v>
      </c>
      <c r="G3360" s="29">
        <v>56</v>
      </c>
      <c r="H3360" s="33">
        <v>19</v>
      </c>
      <c r="M3360" s="2"/>
      <c r="N3360" s="2"/>
      <c r="O3360" s="2"/>
    </row>
    <row r="3361" spans="1:15" x14ac:dyDescent="0.4">
      <c r="A3361">
        <v>2007</v>
      </c>
      <c r="B3361" s="2" t="s">
        <v>366</v>
      </c>
      <c r="C3361" s="2" t="s">
        <v>708</v>
      </c>
      <c r="D3361" s="2" t="s">
        <v>7</v>
      </c>
      <c r="E3361" s="70" t="s">
        <v>11</v>
      </c>
      <c r="F3361" s="29">
        <v>93</v>
      </c>
      <c r="G3361" s="29">
        <v>64</v>
      </c>
      <c r="H3361" s="33">
        <v>29</v>
      </c>
      <c r="M3361" s="2"/>
      <c r="N3361" s="2"/>
      <c r="O3361" s="2"/>
    </row>
    <row r="3362" spans="1:15" x14ac:dyDescent="0.4">
      <c r="A3362">
        <v>2007</v>
      </c>
      <c r="B3362" s="2" t="s">
        <v>367</v>
      </c>
      <c r="C3362" s="2" t="s">
        <v>708</v>
      </c>
      <c r="D3362" s="2" t="s">
        <v>7</v>
      </c>
      <c r="E3362" s="70" t="s">
        <v>12</v>
      </c>
      <c r="F3362" s="29">
        <v>38</v>
      </c>
      <c r="G3362" s="29">
        <v>29</v>
      </c>
      <c r="H3362" s="33">
        <v>9</v>
      </c>
      <c r="M3362" s="2"/>
      <c r="N3362" s="2"/>
      <c r="O3362" s="2"/>
    </row>
    <row r="3363" spans="1:15" x14ac:dyDescent="0.4">
      <c r="A3363">
        <v>2007</v>
      </c>
      <c r="B3363" s="2" t="s">
        <v>368</v>
      </c>
      <c r="C3363" s="2" t="s">
        <v>708</v>
      </c>
      <c r="D3363" s="2" t="s">
        <v>7</v>
      </c>
      <c r="E3363" s="70" t="s">
        <v>13</v>
      </c>
      <c r="F3363" s="29">
        <v>59</v>
      </c>
      <c r="G3363" s="29">
        <v>40</v>
      </c>
      <c r="H3363" s="33">
        <v>19</v>
      </c>
      <c r="M3363" s="2"/>
      <c r="N3363" s="2"/>
      <c r="O3363" s="2"/>
    </row>
    <row r="3364" spans="1:15" x14ac:dyDescent="0.4">
      <c r="A3364">
        <v>2007</v>
      </c>
      <c r="B3364" s="2" t="s">
        <v>369</v>
      </c>
      <c r="C3364" s="2" t="s">
        <v>708</v>
      </c>
      <c r="D3364" s="2" t="s">
        <v>7</v>
      </c>
      <c r="E3364" s="70" t="s">
        <v>14</v>
      </c>
      <c r="F3364" s="29">
        <v>61</v>
      </c>
      <c r="G3364" s="29">
        <v>43</v>
      </c>
      <c r="H3364" s="33">
        <v>18</v>
      </c>
      <c r="M3364" s="2"/>
      <c r="N3364" s="2"/>
      <c r="O3364" s="2"/>
    </row>
    <row r="3365" spans="1:15" x14ac:dyDescent="0.4">
      <c r="A3365">
        <v>2007</v>
      </c>
      <c r="B3365" s="2" t="s">
        <v>370</v>
      </c>
      <c r="C3365" s="2" t="s">
        <v>708</v>
      </c>
      <c r="D3365" s="2" t="s">
        <v>7</v>
      </c>
      <c r="E3365" s="70" t="s">
        <v>15</v>
      </c>
      <c r="F3365" s="29">
        <v>49</v>
      </c>
      <c r="G3365" s="29">
        <v>25</v>
      </c>
      <c r="H3365" s="33">
        <v>24</v>
      </c>
      <c r="M3365" s="2"/>
      <c r="N3365" s="2"/>
      <c r="O3365" s="2"/>
    </row>
    <row r="3366" spans="1:15" x14ac:dyDescent="0.4">
      <c r="A3366">
        <v>2007</v>
      </c>
      <c r="B3366" s="2" t="s">
        <v>371</v>
      </c>
      <c r="C3366" s="2" t="s">
        <v>708</v>
      </c>
      <c r="D3366" s="2" t="s">
        <v>7</v>
      </c>
      <c r="E3366" s="70" t="s">
        <v>16</v>
      </c>
      <c r="F3366" s="29">
        <v>567</v>
      </c>
      <c r="G3366" s="29">
        <v>370</v>
      </c>
      <c r="H3366" s="33">
        <v>197</v>
      </c>
      <c r="M3366" s="2"/>
      <c r="N3366" s="2"/>
      <c r="O3366" s="2"/>
    </row>
    <row r="3367" spans="1:15" x14ac:dyDescent="0.4">
      <c r="A3367">
        <v>2007</v>
      </c>
      <c r="B3367" s="2" t="s">
        <v>372</v>
      </c>
      <c r="C3367" s="2" t="s">
        <v>708</v>
      </c>
      <c r="D3367" s="2" t="s">
        <v>7</v>
      </c>
      <c r="E3367" s="70" t="s">
        <v>17</v>
      </c>
      <c r="F3367" s="29">
        <v>23</v>
      </c>
      <c r="G3367" s="29">
        <v>15</v>
      </c>
      <c r="H3367" s="33">
        <v>8</v>
      </c>
      <c r="M3367" s="2"/>
      <c r="N3367" s="2"/>
      <c r="O3367" s="2"/>
    </row>
    <row r="3368" spans="1:15" x14ac:dyDescent="0.4">
      <c r="A3368">
        <v>2007</v>
      </c>
      <c r="B3368" s="2" t="s">
        <v>373</v>
      </c>
      <c r="C3368" s="2" t="s">
        <v>708</v>
      </c>
      <c r="D3368" s="2" t="s">
        <v>7</v>
      </c>
      <c r="E3368" s="70" t="s">
        <v>18</v>
      </c>
      <c r="F3368" s="29">
        <v>48</v>
      </c>
      <c r="G3368" s="29">
        <v>35</v>
      </c>
      <c r="H3368" s="33">
        <v>13</v>
      </c>
      <c r="M3368" s="2"/>
      <c r="N3368" s="2"/>
      <c r="O3368" s="2"/>
    </row>
    <row r="3369" spans="1:15" x14ac:dyDescent="0.4">
      <c r="A3369">
        <v>2007</v>
      </c>
      <c r="B3369" s="2" t="s">
        <v>374</v>
      </c>
      <c r="C3369" s="2" t="s">
        <v>708</v>
      </c>
      <c r="D3369" s="2" t="s">
        <v>7</v>
      </c>
      <c r="E3369" s="70" t="s">
        <v>19</v>
      </c>
      <c r="F3369" s="29">
        <v>73</v>
      </c>
      <c r="G3369" s="29">
        <v>49</v>
      </c>
      <c r="H3369" s="33">
        <v>24</v>
      </c>
      <c r="M3369" s="2"/>
      <c r="N3369" s="2"/>
      <c r="O3369" s="2"/>
    </row>
    <row r="3370" spans="1:15" x14ac:dyDescent="0.4">
      <c r="A3370">
        <v>2007</v>
      </c>
      <c r="B3370" s="2" t="s">
        <v>375</v>
      </c>
      <c r="C3370" s="2" t="s">
        <v>708</v>
      </c>
      <c r="D3370" s="2" t="s">
        <v>7</v>
      </c>
      <c r="E3370" s="70" t="s">
        <v>20</v>
      </c>
      <c r="F3370" s="29">
        <v>201</v>
      </c>
      <c r="G3370" s="29">
        <v>123</v>
      </c>
      <c r="H3370" s="33">
        <v>78</v>
      </c>
      <c r="M3370" s="2"/>
      <c r="N3370" s="2"/>
      <c r="O3370" s="2"/>
    </row>
    <row r="3371" spans="1:15" x14ac:dyDescent="0.4">
      <c r="A3371">
        <v>2007</v>
      </c>
      <c r="B3371" s="2" t="s">
        <v>376</v>
      </c>
      <c r="C3371" s="2" t="s">
        <v>708</v>
      </c>
      <c r="D3371" s="2" t="s">
        <v>7</v>
      </c>
      <c r="E3371" s="70" t="s">
        <v>21</v>
      </c>
      <c r="F3371" s="29">
        <v>62</v>
      </c>
      <c r="G3371" s="29">
        <v>34</v>
      </c>
      <c r="H3371" s="33">
        <v>28</v>
      </c>
      <c r="M3371" s="2"/>
      <c r="N3371" s="2"/>
      <c r="O3371" s="2"/>
    </row>
    <row r="3372" spans="1:15" x14ac:dyDescent="0.4">
      <c r="A3372">
        <v>2007</v>
      </c>
      <c r="B3372" s="2" t="s">
        <v>377</v>
      </c>
      <c r="C3372" s="2" t="s">
        <v>708</v>
      </c>
      <c r="D3372" s="2" t="s">
        <v>7</v>
      </c>
      <c r="E3372" s="70" t="s">
        <v>22</v>
      </c>
      <c r="F3372" s="29">
        <v>154</v>
      </c>
      <c r="G3372" s="29">
        <v>107</v>
      </c>
      <c r="H3372" s="33">
        <v>47</v>
      </c>
      <c r="M3372" s="2"/>
      <c r="N3372" s="2"/>
      <c r="O3372" s="2"/>
    </row>
    <row r="3373" spans="1:15" x14ac:dyDescent="0.4">
      <c r="A3373">
        <v>2007</v>
      </c>
      <c r="B3373" s="2" t="s">
        <v>378</v>
      </c>
      <c r="C3373" s="2" t="s">
        <v>708</v>
      </c>
      <c r="D3373" s="2" t="s">
        <v>7</v>
      </c>
      <c r="E3373" s="70" t="s">
        <v>23</v>
      </c>
      <c r="F3373" s="29">
        <v>47</v>
      </c>
      <c r="G3373" s="29">
        <v>32</v>
      </c>
      <c r="H3373" s="33">
        <v>15</v>
      </c>
      <c r="M3373" s="2"/>
      <c r="N3373" s="2"/>
      <c r="O3373" s="2"/>
    </row>
    <row r="3374" spans="1:15" x14ac:dyDescent="0.4">
      <c r="A3374">
        <v>2007</v>
      </c>
      <c r="B3374" s="2" t="s">
        <v>379</v>
      </c>
      <c r="C3374" s="2" t="s">
        <v>708</v>
      </c>
      <c r="D3374" s="2" t="s">
        <v>7</v>
      </c>
      <c r="E3374" s="70" t="s">
        <v>24</v>
      </c>
      <c r="F3374" s="29">
        <v>27</v>
      </c>
      <c r="G3374" s="29">
        <v>14</v>
      </c>
      <c r="H3374" s="33">
        <v>13</v>
      </c>
      <c r="M3374" s="2"/>
      <c r="N3374" s="2"/>
      <c r="O3374" s="2"/>
    </row>
    <row r="3375" spans="1:15" x14ac:dyDescent="0.4">
      <c r="A3375">
        <v>2007</v>
      </c>
      <c r="B3375" s="2" t="s">
        <v>380</v>
      </c>
      <c r="C3375" s="2" t="s">
        <v>708</v>
      </c>
      <c r="D3375" s="2" t="s">
        <v>7</v>
      </c>
      <c r="E3375" s="70" t="s">
        <v>25</v>
      </c>
      <c r="F3375" s="29">
        <v>2100</v>
      </c>
      <c r="G3375" s="29">
        <v>1330</v>
      </c>
      <c r="H3375" s="33">
        <v>770</v>
      </c>
      <c r="M3375" s="2"/>
      <c r="N3375" s="2"/>
      <c r="O3375" s="2"/>
    </row>
    <row r="3376" spans="1:15" x14ac:dyDescent="0.4">
      <c r="A3376">
        <v>2007</v>
      </c>
      <c r="B3376" s="2" t="s">
        <v>381</v>
      </c>
      <c r="C3376" s="2" t="s">
        <v>708</v>
      </c>
      <c r="D3376" s="2" t="s">
        <v>7</v>
      </c>
      <c r="E3376" s="70" t="s">
        <v>26</v>
      </c>
      <c r="F3376" s="29">
        <v>770</v>
      </c>
      <c r="G3376" s="29">
        <v>489</v>
      </c>
      <c r="H3376" s="33">
        <v>281</v>
      </c>
      <c r="M3376" s="2"/>
      <c r="N3376" s="2"/>
      <c r="O3376" s="2"/>
    </row>
    <row r="3377" spans="1:15" x14ac:dyDescent="0.4">
      <c r="A3377">
        <v>2007</v>
      </c>
      <c r="B3377" s="2" t="s">
        <v>382</v>
      </c>
      <c r="C3377" s="2" t="s">
        <v>708</v>
      </c>
      <c r="D3377" s="2" t="s">
        <v>7</v>
      </c>
      <c r="E3377" s="70" t="s">
        <v>27</v>
      </c>
      <c r="F3377" s="29">
        <v>17</v>
      </c>
      <c r="G3377" s="29">
        <v>10</v>
      </c>
      <c r="H3377" s="33">
        <v>7</v>
      </c>
      <c r="M3377" s="2"/>
      <c r="N3377" s="2"/>
      <c r="O3377" s="2"/>
    </row>
    <row r="3378" spans="1:15" x14ac:dyDescent="0.4">
      <c r="A3378">
        <v>2007</v>
      </c>
      <c r="B3378" s="2" t="s">
        <v>383</v>
      </c>
      <c r="C3378" s="2" t="s">
        <v>709</v>
      </c>
      <c r="D3378" s="2" t="s">
        <v>29</v>
      </c>
      <c r="E3378" s="70" t="s">
        <v>28</v>
      </c>
      <c r="F3378" s="29">
        <v>185</v>
      </c>
      <c r="G3378" s="29">
        <v>115</v>
      </c>
      <c r="H3378" s="33">
        <v>70</v>
      </c>
      <c r="M3378" s="2"/>
      <c r="N3378" s="2"/>
      <c r="O3378" s="2"/>
    </row>
    <row r="3379" spans="1:15" x14ac:dyDescent="0.4">
      <c r="A3379">
        <v>2007</v>
      </c>
      <c r="B3379" s="2" t="s">
        <v>384</v>
      </c>
      <c r="C3379" s="2" t="s">
        <v>709</v>
      </c>
      <c r="D3379" s="2" t="s">
        <v>29</v>
      </c>
      <c r="E3379" s="70" t="s">
        <v>30</v>
      </c>
      <c r="F3379" s="29">
        <v>74</v>
      </c>
      <c r="G3379" s="29">
        <v>38</v>
      </c>
      <c r="H3379" s="33">
        <v>36</v>
      </c>
      <c r="M3379" s="2"/>
      <c r="N3379" s="2"/>
      <c r="O3379" s="2"/>
    </row>
    <row r="3380" spans="1:15" x14ac:dyDescent="0.4">
      <c r="A3380">
        <v>2007</v>
      </c>
      <c r="B3380" s="2" t="s">
        <v>385</v>
      </c>
      <c r="C3380" s="2" t="s">
        <v>709</v>
      </c>
      <c r="D3380" s="2" t="s">
        <v>29</v>
      </c>
      <c r="E3380" s="70" t="s">
        <v>31</v>
      </c>
      <c r="F3380" s="29">
        <v>55</v>
      </c>
      <c r="G3380" s="29">
        <v>35</v>
      </c>
      <c r="H3380" s="33">
        <v>20</v>
      </c>
      <c r="M3380" s="2"/>
      <c r="N3380" s="2"/>
      <c r="O3380" s="2"/>
    </row>
    <row r="3381" spans="1:15" x14ac:dyDescent="0.4">
      <c r="A3381">
        <v>2007</v>
      </c>
      <c r="B3381" s="2" t="s">
        <v>386</v>
      </c>
      <c r="C3381" s="2" t="s">
        <v>709</v>
      </c>
      <c r="D3381" s="2" t="s">
        <v>29</v>
      </c>
      <c r="E3381" s="70" t="s">
        <v>32</v>
      </c>
      <c r="F3381" s="29">
        <v>317</v>
      </c>
      <c r="G3381" s="29">
        <v>237</v>
      </c>
      <c r="H3381" s="33">
        <v>80</v>
      </c>
      <c r="M3381" s="2"/>
      <c r="N3381" s="2"/>
      <c r="O3381" s="2"/>
    </row>
    <row r="3382" spans="1:15" x14ac:dyDescent="0.4">
      <c r="A3382">
        <v>2007</v>
      </c>
      <c r="B3382" s="2" t="s">
        <v>387</v>
      </c>
      <c r="C3382" s="2" t="s">
        <v>709</v>
      </c>
      <c r="D3382" s="2" t="s">
        <v>29</v>
      </c>
      <c r="E3382" s="70" t="s">
        <v>33</v>
      </c>
      <c r="F3382" s="29">
        <v>54</v>
      </c>
      <c r="G3382" s="29">
        <v>40</v>
      </c>
      <c r="H3382" s="33">
        <v>14</v>
      </c>
      <c r="M3382" s="2"/>
      <c r="N3382" s="2"/>
      <c r="O3382" s="2"/>
    </row>
    <row r="3383" spans="1:15" x14ac:dyDescent="0.4">
      <c r="A3383">
        <v>2007</v>
      </c>
      <c r="B3383" s="2" t="s">
        <v>388</v>
      </c>
      <c r="C3383" s="2" t="s">
        <v>709</v>
      </c>
      <c r="D3383" s="2" t="s">
        <v>29</v>
      </c>
      <c r="E3383" s="70" t="s">
        <v>34</v>
      </c>
      <c r="F3383" s="29">
        <v>63</v>
      </c>
      <c r="G3383" s="29">
        <v>39</v>
      </c>
      <c r="H3383" s="33">
        <v>24</v>
      </c>
      <c r="M3383" s="2"/>
      <c r="N3383" s="2"/>
      <c r="O3383" s="2"/>
    </row>
    <row r="3384" spans="1:15" x14ac:dyDescent="0.4">
      <c r="A3384">
        <v>2007</v>
      </c>
      <c r="B3384" s="2" t="s">
        <v>389</v>
      </c>
      <c r="C3384" s="2" t="s">
        <v>709</v>
      </c>
      <c r="D3384" s="2" t="s">
        <v>29</v>
      </c>
      <c r="E3384" s="70" t="s">
        <v>35</v>
      </c>
      <c r="F3384" s="29">
        <v>1010</v>
      </c>
      <c r="G3384" s="29">
        <v>618</v>
      </c>
      <c r="H3384" s="33">
        <v>392</v>
      </c>
      <c r="M3384" s="2"/>
      <c r="N3384" s="2"/>
      <c r="O3384" s="2"/>
    </row>
    <row r="3385" spans="1:15" x14ac:dyDescent="0.4">
      <c r="A3385">
        <v>2007</v>
      </c>
      <c r="B3385" s="2" t="s">
        <v>390</v>
      </c>
      <c r="C3385" s="2" t="s">
        <v>710</v>
      </c>
      <c r="D3385" s="2" t="s">
        <v>37</v>
      </c>
      <c r="E3385" s="70" t="s">
        <v>36</v>
      </c>
      <c r="F3385" s="29">
        <v>188</v>
      </c>
      <c r="G3385" s="29">
        <v>126</v>
      </c>
      <c r="H3385" s="33">
        <v>62</v>
      </c>
      <c r="M3385" s="2"/>
      <c r="N3385" s="2"/>
      <c r="O3385" s="2"/>
    </row>
    <row r="3386" spans="1:15" x14ac:dyDescent="0.4">
      <c r="A3386">
        <v>2007</v>
      </c>
      <c r="B3386" s="2" t="s">
        <v>391</v>
      </c>
      <c r="C3386" s="2" t="s">
        <v>710</v>
      </c>
      <c r="D3386" s="2" t="s">
        <v>37</v>
      </c>
      <c r="E3386" s="70" t="s">
        <v>38</v>
      </c>
      <c r="F3386" s="29">
        <v>67</v>
      </c>
      <c r="G3386" s="29">
        <v>50</v>
      </c>
      <c r="H3386" s="33">
        <v>17</v>
      </c>
      <c r="M3386" s="2"/>
      <c r="N3386" s="2"/>
      <c r="O3386" s="2"/>
    </row>
    <row r="3387" spans="1:15" x14ac:dyDescent="0.4">
      <c r="A3387">
        <v>2007</v>
      </c>
      <c r="B3387" s="2" t="s">
        <v>392</v>
      </c>
      <c r="C3387" s="2" t="s">
        <v>710</v>
      </c>
      <c r="D3387" s="2" t="s">
        <v>37</v>
      </c>
      <c r="E3387" s="70" t="s">
        <v>39</v>
      </c>
      <c r="F3387" s="29">
        <v>185</v>
      </c>
      <c r="G3387" s="29">
        <v>116</v>
      </c>
      <c r="H3387" s="33">
        <v>69</v>
      </c>
      <c r="M3387" s="2"/>
      <c r="N3387" s="2"/>
      <c r="O3387" s="2"/>
    </row>
    <row r="3388" spans="1:15" x14ac:dyDescent="0.4">
      <c r="A3388">
        <v>2007</v>
      </c>
      <c r="B3388" s="2" t="s">
        <v>393</v>
      </c>
      <c r="C3388" s="2" t="s">
        <v>710</v>
      </c>
      <c r="D3388" s="2" t="s">
        <v>37</v>
      </c>
      <c r="E3388" s="70" t="s">
        <v>40</v>
      </c>
      <c r="F3388" s="29">
        <v>3823</v>
      </c>
      <c r="G3388" s="29">
        <v>2243</v>
      </c>
      <c r="H3388" s="33">
        <v>1580</v>
      </c>
      <c r="M3388" s="2"/>
      <c r="N3388" s="2"/>
      <c r="O3388" s="2"/>
    </row>
    <row r="3389" spans="1:15" x14ac:dyDescent="0.4">
      <c r="A3389">
        <v>2007</v>
      </c>
      <c r="B3389" s="2" t="s">
        <v>394</v>
      </c>
      <c r="C3389" s="2" t="s">
        <v>710</v>
      </c>
      <c r="D3389" s="2" t="s">
        <v>37</v>
      </c>
      <c r="E3389" s="70" t="s">
        <v>41</v>
      </c>
      <c r="F3389" s="29">
        <v>65</v>
      </c>
      <c r="G3389" s="29">
        <v>41</v>
      </c>
      <c r="H3389" s="33">
        <v>24</v>
      </c>
      <c r="M3389" s="2"/>
      <c r="N3389" s="2"/>
      <c r="O3389" s="2"/>
    </row>
    <row r="3390" spans="1:15" x14ac:dyDescent="0.4">
      <c r="A3390">
        <v>2007</v>
      </c>
      <c r="B3390" s="2" t="s">
        <v>395</v>
      </c>
      <c r="C3390" s="2" t="s">
        <v>710</v>
      </c>
      <c r="D3390" s="2" t="s">
        <v>37</v>
      </c>
      <c r="E3390" s="70" t="s">
        <v>42</v>
      </c>
      <c r="F3390" s="29">
        <v>925</v>
      </c>
      <c r="G3390" s="29">
        <v>589</v>
      </c>
      <c r="H3390" s="33">
        <v>336</v>
      </c>
      <c r="M3390" s="2"/>
      <c r="N3390" s="2"/>
      <c r="O3390" s="2"/>
    </row>
    <row r="3391" spans="1:15" x14ac:dyDescent="0.4">
      <c r="A3391">
        <v>2007</v>
      </c>
      <c r="B3391" s="2" t="s">
        <v>396</v>
      </c>
      <c r="C3391" s="2" t="s">
        <v>710</v>
      </c>
      <c r="D3391" s="2" t="s">
        <v>37</v>
      </c>
      <c r="E3391" s="70" t="s">
        <v>43</v>
      </c>
      <c r="F3391" s="29">
        <v>101</v>
      </c>
      <c r="G3391" s="29">
        <v>72</v>
      </c>
      <c r="H3391" s="33">
        <v>29</v>
      </c>
      <c r="M3391" s="2"/>
      <c r="N3391" s="2"/>
      <c r="O3391" s="2"/>
    </row>
    <row r="3392" spans="1:15" x14ac:dyDescent="0.4">
      <c r="A3392">
        <v>2007</v>
      </c>
      <c r="B3392" s="2" t="s">
        <v>397</v>
      </c>
      <c r="C3392" s="2" t="s">
        <v>710</v>
      </c>
      <c r="D3392" s="2" t="s">
        <v>37</v>
      </c>
      <c r="E3392" s="70" t="s">
        <v>44</v>
      </c>
      <c r="F3392" s="29">
        <v>474</v>
      </c>
      <c r="G3392" s="29">
        <v>283</v>
      </c>
      <c r="H3392" s="33">
        <v>191</v>
      </c>
      <c r="M3392" s="2"/>
      <c r="N3392" s="2"/>
      <c r="O3392" s="2"/>
    </row>
    <row r="3393" spans="1:15" x14ac:dyDescent="0.4">
      <c r="A3393">
        <v>2007</v>
      </c>
      <c r="B3393" s="2" t="s">
        <v>398</v>
      </c>
      <c r="C3393" s="2" t="s">
        <v>710</v>
      </c>
      <c r="D3393" s="2" t="s">
        <v>37</v>
      </c>
      <c r="E3393" s="70" t="s">
        <v>45</v>
      </c>
      <c r="F3393" s="29">
        <v>185</v>
      </c>
      <c r="G3393" s="29">
        <v>102</v>
      </c>
      <c r="H3393" s="33">
        <v>83</v>
      </c>
      <c r="M3393" s="2"/>
      <c r="N3393" s="2"/>
      <c r="O3393" s="2"/>
    </row>
    <row r="3394" spans="1:15" x14ac:dyDescent="0.4">
      <c r="A3394">
        <v>2007</v>
      </c>
      <c r="B3394" s="2" t="s">
        <v>399</v>
      </c>
      <c r="C3394" s="2" t="s">
        <v>710</v>
      </c>
      <c r="D3394" s="2" t="s">
        <v>37</v>
      </c>
      <c r="E3394" s="70" t="s">
        <v>46</v>
      </c>
      <c r="F3394" s="29">
        <v>0</v>
      </c>
      <c r="G3394" s="29">
        <v>0</v>
      </c>
      <c r="H3394" s="33">
        <v>0</v>
      </c>
      <c r="M3394" s="2"/>
      <c r="N3394" s="2"/>
      <c r="O3394" s="2"/>
    </row>
    <row r="3395" spans="1:15" x14ac:dyDescent="0.4">
      <c r="A3395">
        <v>2007</v>
      </c>
      <c r="B3395" s="2" t="s">
        <v>400</v>
      </c>
      <c r="C3395" s="2" t="s">
        <v>710</v>
      </c>
      <c r="D3395" s="2" t="s">
        <v>37</v>
      </c>
      <c r="E3395" s="70" t="s">
        <v>47</v>
      </c>
      <c r="F3395" s="29">
        <v>79</v>
      </c>
      <c r="G3395" s="29">
        <v>49</v>
      </c>
      <c r="H3395" s="33">
        <v>30</v>
      </c>
      <c r="M3395" s="2"/>
      <c r="N3395" s="2"/>
      <c r="O3395" s="2"/>
    </row>
    <row r="3396" spans="1:15" x14ac:dyDescent="0.4">
      <c r="A3396">
        <v>2007</v>
      </c>
      <c r="B3396" s="2" t="s">
        <v>401</v>
      </c>
      <c r="C3396" s="2" t="s">
        <v>710</v>
      </c>
      <c r="D3396" s="2" t="s">
        <v>37</v>
      </c>
      <c r="E3396" s="70" t="s">
        <v>48</v>
      </c>
      <c r="F3396" s="29">
        <v>78</v>
      </c>
      <c r="G3396" s="29">
        <v>49</v>
      </c>
      <c r="H3396" s="33">
        <v>29</v>
      </c>
      <c r="M3396" s="2"/>
      <c r="N3396" s="2"/>
      <c r="O3396" s="2"/>
    </row>
    <row r="3397" spans="1:15" x14ac:dyDescent="0.4">
      <c r="A3397">
        <v>2007</v>
      </c>
      <c r="B3397" s="2" t="s">
        <v>402</v>
      </c>
      <c r="C3397" s="2" t="s">
        <v>710</v>
      </c>
      <c r="D3397" s="2" t="s">
        <v>37</v>
      </c>
      <c r="E3397" s="70" t="s">
        <v>49</v>
      </c>
      <c r="F3397" s="29">
        <v>429</v>
      </c>
      <c r="G3397" s="29">
        <v>297</v>
      </c>
      <c r="H3397" s="33">
        <v>132</v>
      </c>
      <c r="M3397" s="2"/>
      <c r="N3397" s="2"/>
      <c r="O3397" s="2"/>
    </row>
    <row r="3398" spans="1:15" x14ac:dyDescent="0.4">
      <c r="A3398">
        <v>2007</v>
      </c>
      <c r="B3398" s="2" t="s">
        <v>403</v>
      </c>
      <c r="C3398" s="2" t="s">
        <v>710</v>
      </c>
      <c r="D3398" s="2" t="s">
        <v>37</v>
      </c>
      <c r="E3398" s="70" t="s">
        <v>50</v>
      </c>
      <c r="F3398" s="29">
        <v>115</v>
      </c>
      <c r="G3398" s="29">
        <v>84</v>
      </c>
      <c r="H3398" s="33">
        <v>31</v>
      </c>
      <c r="M3398" s="2"/>
      <c r="N3398" s="2"/>
      <c r="O3398" s="2"/>
    </row>
    <row r="3399" spans="1:15" x14ac:dyDescent="0.4">
      <c r="A3399">
        <v>2007</v>
      </c>
      <c r="B3399" s="2" t="s">
        <v>404</v>
      </c>
      <c r="C3399" s="2" t="s">
        <v>710</v>
      </c>
      <c r="D3399" s="2" t="s">
        <v>37</v>
      </c>
      <c r="E3399" s="70" t="s">
        <v>51</v>
      </c>
      <c r="F3399" s="29">
        <v>426</v>
      </c>
      <c r="G3399" s="29">
        <v>258</v>
      </c>
      <c r="H3399" s="33">
        <v>168</v>
      </c>
      <c r="M3399" s="2"/>
      <c r="N3399" s="2"/>
      <c r="O3399" s="2"/>
    </row>
    <row r="3400" spans="1:15" x14ac:dyDescent="0.4">
      <c r="A3400">
        <v>2007</v>
      </c>
      <c r="B3400" s="2" t="s">
        <v>405</v>
      </c>
      <c r="C3400" s="2" t="s">
        <v>710</v>
      </c>
      <c r="D3400" s="2" t="s">
        <v>37</v>
      </c>
      <c r="E3400" s="70" t="s">
        <v>52</v>
      </c>
      <c r="F3400" s="29">
        <v>40</v>
      </c>
      <c r="G3400" s="29">
        <v>27</v>
      </c>
      <c r="H3400" s="33">
        <v>13</v>
      </c>
      <c r="M3400" s="2"/>
      <c r="N3400" s="2"/>
      <c r="O3400" s="2"/>
    </row>
    <row r="3401" spans="1:15" x14ac:dyDescent="0.4">
      <c r="A3401">
        <v>2007</v>
      </c>
      <c r="B3401" s="2" t="s">
        <v>406</v>
      </c>
      <c r="C3401" s="2" t="s">
        <v>710</v>
      </c>
      <c r="D3401" s="2" t="s">
        <v>37</v>
      </c>
      <c r="E3401" s="70" t="s">
        <v>53</v>
      </c>
      <c r="F3401" s="29">
        <v>42</v>
      </c>
      <c r="G3401" s="29">
        <v>30</v>
      </c>
      <c r="H3401" s="33">
        <v>12</v>
      </c>
      <c r="M3401" s="2"/>
      <c r="N3401" s="2"/>
      <c r="O3401" s="2"/>
    </row>
    <row r="3402" spans="1:15" x14ac:dyDescent="0.4">
      <c r="A3402">
        <v>2007</v>
      </c>
      <c r="B3402" s="2" t="s">
        <v>407</v>
      </c>
      <c r="C3402" s="2" t="s">
        <v>710</v>
      </c>
      <c r="D3402" s="2" t="s">
        <v>37</v>
      </c>
      <c r="E3402" s="70" t="s">
        <v>54</v>
      </c>
      <c r="F3402" s="29">
        <v>511</v>
      </c>
      <c r="G3402" s="29">
        <v>320</v>
      </c>
      <c r="H3402" s="33">
        <v>191</v>
      </c>
      <c r="M3402" s="2"/>
      <c r="N3402" s="2"/>
      <c r="O3402" s="2"/>
    </row>
    <row r="3403" spans="1:15" x14ac:dyDescent="0.4">
      <c r="A3403">
        <v>2007</v>
      </c>
      <c r="B3403" s="2" t="s">
        <v>408</v>
      </c>
      <c r="C3403" s="2" t="s">
        <v>711</v>
      </c>
      <c r="D3403" s="2" t="s">
        <v>56</v>
      </c>
      <c r="E3403" s="70" t="s">
        <v>55</v>
      </c>
      <c r="F3403" s="29">
        <v>117</v>
      </c>
      <c r="G3403" s="29">
        <v>80</v>
      </c>
      <c r="H3403" s="33">
        <v>37</v>
      </c>
      <c r="M3403" s="2"/>
      <c r="N3403" s="2"/>
      <c r="O3403" s="2"/>
    </row>
    <row r="3404" spans="1:15" x14ac:dyDescent="0.4">
      <c r="A3404">
        <v>2007</v>
      </c>
      <c r="B3404" s="2" t="s">
        <v>409</v>
      </c>
      <c r="C3404" s="2" t="s">
        <v>711</v>
      </c>
      <c r="D3404" s="2" t="s">
        <v>56</v>
      </c>
      <c r="E3404" s="70" t="s">
        <v>57</v>
      </c>
      <c r="F3404" s="29">
        <v>0</v>
      </c>
      <c r="G3404" s="29">
        <v>0</v>
      </c>
      <c r="H3404" s="33">
        <v>0</v>
      </c>
      <c r="M3404" s="2"/>
      <c r="N3404" s="2"/>
      <c r="O3404" s="2"/>
    </row>
    <row r="3405" spans="1:15" x14ac:dyDescent="0.4">
      <c r="A3405">
        <v>2007</v>
      </c>
      <c r="B3405" s="2" t="s">
        <v>410</v>
      </c>
      <c r="C3405" s="2" t="s">
        <v>711</v>
      </c>
      <c r="D3405" s="2" t="s">
        <v>56</v>
      </c>
      <c r="E3405" s="70" t="s">
        <v>58</v>
      </c>
      <c r="F3405" s="29">
        <v>244</v>
      </c>
      <c r="G3405" s="29">
        <v>167</v>
      </c>
      <c r="H3405" s="33">
        <v>77</v>
      </c>
      <c r="M3405" s="2"/>
      <c r="N3405" s="2"/>
      <c r="O3405" s="2"/>
    </row>
    <row r="3406" spans="1:15" x14ac:dyDescent="0.4">
      <c r="A3406">
        <v>2007</v>
      </c>
      <c r="B3406" s="2" t="s">
        <v>411</v>
      </c>
      <c r="C3406" s="2" t="s">
        <v>711</v>
      </c>
      <c r="D3406" s="2" t="s">
        <v>56</v>
      </c>
      <c r="E3406" s="70" t="s">
        <v>59</v>
      </c>
      <c r="F3406" s="29">
        <v>31</v>
      </c>
      <c r="G3406" s="29">
        <v>24</v>
      </c>
      <c r="H3406" s="33">
        <v>7</v>
      </c>
      <c r="M3406" s="2"/>
      <c r="N3406" s="2"/>
      <c r="O3406" s="2"/>
    </row>
    <row r="3407" spans="1:15" x14ac:dyDescent="0.4">
      <c r="A3407">
        <v>2007</v>
      </c>
      <c r="B3407" s="2" t="s">
        <v>412</v>
      </c>
      <c r="C3407" s="2" t="s">
        <v>711</v>
      </c>
      <c r="D3407" s="2" t="s">
        <v>56</v>
      </c>
      <c r="E3407" s="70" t="s">
        <v>60</v>
      </c>
      <c r="F3407" s="29">
        <v>1930</v>
      </c>
      <c r="G3407" s="29">
        <v>1285</v>
      </c>
      <c r="H3407" s="33">
        <v>645</v>
      </c>
      <c r="M3407" s="2"/>
      <c r="N3407" s="2"/>
      <c r="O3407" s="2"/>
    </row>
    <row r="3408" spans="1:15" x14ac:dyDescent="0.4">
      <c r="A3408">
        <v>2007</v>
      </c>
      <c r="B3408" s="2" t="s">
        <v>413</v>
      </c>
      <c r="C3408" s="2" t="s">
        <v>711</v>
      </c>
      <c r="D3408" s="2" t="s">
        <v>56</v>
      </c>
      <c r="E3408" s="70" t="s">
        <v>36</v>
      </c>
      <c r="F3408" s="29">
        <v>179</v>
      </c>
      <c r="G3408" s="29">
        <v>130</v>
      </c>
      <c r="H3408" s="33">
        <v>49</v>
      </c>
      <c r="M3408" s="2"/>
      <c r="N3408" s="2"/>
      <c r="O3408" s="2"/>
    </row>
    <row r="3409" spans="1:15" x14ac:dyDescent="0.4">
      <c r="A3409">
        <v>2007</v>
      </c>
      <c r="B3409" s="2" t="s">
        <v>414</v>
      </c>
      <c r="C3409" s="2" t="s">
        <v>711</v>
      </c>
      <c r="D3409" s="2" t="s">
        <v>56</v>
      </c>
      <c r="E3409" s="70" t="s">
        <v>61</v>
      </c>
      <c r="F3409" s="29">
        <v>72</v>
      </c>
      <c r="G3409" s="29">
        <v>45</v>
      </c>
      <c r="H3409" s="33">
        <v>27</v>
      </c>
      <c r="M3409" s="2"/>
      <c r="N3409" s="2"/>
      <c r="O3409" s="2"/>
    </row>
    <row r="3410" spans="1:15" x14ac:dyDescent="0.4">
      <c r="A3410">
        <v>2007</v>
      </c>
      <c r="B3410" s="2" t="s">
        <v>415</v>
      </c>
      <c r="C3410" s="2" t="s">
        <v>711</v>
      </c>
      <c r="D3410" s="2" t="s">
        <v>56</v>
      </c>
      <c r="E3410" s="70" t="s">
        <v>62</v>
      </c>
      <c r="F3410" s="29">
        <v>252</v>
      </c>
      <c r="G3410" s="29">
        <v>153</v>
      </c>
      <c r="H3410" s="33">
        <v>99</v>
      </c>
      <c r="M3410" s="2"/>
      <c r="N3410" s="2"/>
      <c r="O3410" s="2"/>
    </row>
    <row r="3411" spans="1:15" x14ac:dyDescent="0.4">
      <c r="A3411">
        <v>2007</v>
      </c>
      <c r="B3411" s="2" t="s">
        <v>416</v>
      </c>
      <c r="C3411" s="2" t="s">
        <v>711</v>
      </c>
      <c r="D3411" s="2" t="s">
        <v>56</v>
      </c>
      <c r="E3411" s="70" t="s">
        <v>63</v>
      </c>
      <c r="F3411" s="29">
        <v>60</v>
      </c>
      <c r="G3411" s="29">
        <v>46</v>
      </c>
      <c r="H3411" s="33">
        <v>14</v>
      </c>
      <c r="M3411" s="2"/>
      <c r="N3411" s="2"/>
      <c r="O3411" s="2"/>
    </row>
    <row r="3412" spans="1:15" x14ac:dyDescent="0.4">
      <c r="A3412">
        <v>2007</v>
      </c>
      <c r="B3412" s="2" t="s">
        <v>417</v>
      </c>
      <c r="C3412" s="2" t="s">
        <v>711</v>
      </c>
      <c r="D3412" s="2" t="s">
        <v>56</v>
      </c>
      <c r="E3412" s="70" t="s">
        <v>64</v>
      </c>
      <c r="F3412" s="29">
        <v>171</v>
      </c>
      <c r="G3412" s="29">
        <v>120</v>
      </c>
      <c r="H3412" s="33">
        <v>51</v>
      </c>
      <c r="M3412" s="2"/>
      <c r="N3412" s="2"/>
      <c r="O3412" s="2"/>
    </row>
    <row r="3413" spans="1:15" x14ac:dyDescent="0.4">
      <c r="A3413">
        <v>2007</v>
      </c>
      <c r="B3413" s="2" t="s">
        <v>418</v>
      </c>
      <c r="C3413" s="2" t="s">
        <v>711</v>
      </c>
      <c r="D3413" s="2" t="s">
        <v>56</v>
      </c>
      <c r="E3413" s="70" t="s">
        <v>65</v>
      </c>
      <c r="F3413" s="29">
        <v>90</v>
      </c>
      <c r="G3413" s="29">
        <v>61</v>
      </c>
      <c r="H3413" s="33">
        <v>29</v>
      </c>
      <c r="M3413" s="2"/>
      <c r="N3413" s="2"/>
      <c r="O3413" s="2"/>
    </row>
    <row r="3414" spans="1:15" x14ac:dyDescent="0.4">
      <c r="A3414">
        <v>2007</v>
      </c>
      <c r="B3414" s="2" t="s">
        <v>419</v>
      </c>
      <c r="C3414" s="2" t="s">
        <v>711</v>
      </c>
      <c r="D3414" s="2" t="s">
        <v>56</v>
      </c>
      <c r="E3414" s="70" t="s">
        <v>66</v>
      </c>
      <c r="F3414" s="29">
        <v>36</v>
      </c>
      <c r="G3414" s="29">
        <v>25</v>
      </c>
      <c r="H3414" s="33">
        <v>11</v>
      </c>
      <c r="M3414" s="2"/>
      <c r="N3414" s="2"/>
      <c r="O3414" s="2"/>
    </row>
    <row r="3415" spans="1:15" x14ac:dyDescent="0.4">
      <c r="A3415">
        <v>2007</v>
      </c>
      <c r="B3415" s="2" t="s">
        <v>420</v>
      </c>
      <c r="C3415" s="2" t="s">
        <v>712</v>
      </c>
      <c r="D3415" s="2" t="s">
        <v>68</v>
      </c>
      <c r="E3415" s="70" t="s">
        <v>67</v>
      </c>
      <c r="F3415" s="29">
        <v>3469</v>
      </c>
      <c r="G3415" s="29">
        <v>2270</v>
      </c>
      <c r="H3415" s="33">
        <v>1199</v>
      </c>
      <c r="M3415" s="2"/>
      <c r="N3415" s="2"/>
      <c r="O3415" s="2"/>
    </row>
    <row r="3416" spans="1:15" x14ac:dyDescent="0.4">
      <c r="A3416">
        <v>2007</v>
      </c>
      <c r="B3416" s="2" t="s">
        <v>421</v>
      </c>
      <c r="C3416" s="2" t="s">
        <v>712</v>
      </c>
      <c r="D3416" s="2" t="s">
        <v>68</v>
      </c>
      <c r="E3416" s="70" t="s">
        <v>69</v>
      </c>
      <c r="F3416" s="29">
        <v>187</v>
      </c>
      <c r="G3416" s="29">
        <v>112</v>
      </c>
      <c r="H3416" s="33">
        <v>75</v>
      </c>
      <c r="M3416" s="2"/>
      <c r="N3416" s="2"/>
      <c r="O3416" s="2"/>
    </row>
    <row r="3417" spans="1:15" x14ac:dyDescent="0.4">
      <c r="A3417">
        <v>2007</v>
      </c>
      <c r="B3417" s="2" t="s">
        <v>422</v>
      </c>
      <c r="C3417" s="2" t="s">
        <v>712</v>
      </c>
      <c r="D3417" s="2" t="s">
        <v>68</v>
      </c>
      <c r="E3417" s="70" t="s">
        <v>70</v>
      </c>
      <c r="F3417" s="29">
        <v>56</v>
      </c>
      <c r="G3417" s="29">
        <v>44</v>
      </c>
      <c r="H3417" s="33">
        <v>12</v>
      </c>
      <c r="M3417" s="2"/>
      <c r="N3417" s="2"/>
      <c r="O3417" s="2"/>
    </row>
    <row r="3418" spans="1:15" x14ac:dyDescent="0.4">
      <c r="A3418">
        <v>2007</v>
      </c>
      <c r="B3418" s="2" t="s">
        <v>423</v>
      </c>
      <c r="C3418" s="2" t="s">
        <v>712</v>
      </c>
      <c r="D3418" s="2" t="s">
        <v>68</v>
      </c>
      <c r="E3418" s="70" t="s">
        <v>71</v>
      </c>
      <c r="F3418" s="29">
        <v>70</v>
      </c>
      <c r="G3418" s="29">
        <v>46</v>
      </c>
      <c r="H3418" s="33">
        <v>24</v>
      </c>
      <c r="M3418" s="2"/>
      <c r="N3418" s="2"/>
      <c r="O3418" s="2"/>
    </row>
    <row r="3419" spans="1:15" x14ac:dyDescent="0.4">
      <c r="A3419">
        <v>2007</v>
      </c>
      <c r="B3419" s="2" t="s">
        <v>424</v>
      </c>
      <c r="C3419" s="2" t="s">
        <v>712</v>
      </c>
      <c r="D3419" s="2" t="s">
        <v>68</v>
      </c>
      <c r="E3419" s="70" t="s">
        <v>72</v>
      </c>
      <c r="F3419" s="29">
        <v>2034</v>
      </c>
      <c r="G3419" s="29">
        <v>1250</v>
      </c>
      <c r="H3419" s="33">
        <v>784</v>
      </c>
      <c r="M3419" s="2"/>
      <c r="N3419" s="2"/>
      <c r="O3419" s="2"/>
    </row>
    <row r="3420" spans="1:15" x14ac:dyDescent="0.4">
      <c r="A3420">
        <v>2007</v>
      </c>
      <c r="B3420" s="2" t="s">
        <v>425</v>
      </c>
      <c r="C3420" s="2" t="s">
        <v>712</v>
      </c>
      <c r="D3420" s="2" t="s">
        <v>68</v>
      </c>
      <c r="E3420" s="70" t="s">
        <v>73</v>
      </c>
      <c r="F3420" s="29">
        <v>28</v>
      </c>
      <c r="G3420" s="29">
        <v>15</v>
      </c>
      <c r="H3420" s="33">
        <v>13</v>
      </c>
      <c r="M3420" s="2"/>
      <c r="N3420" s="2"/>
      <c r="O3420" s="2"/>
    </row>
    <row r="3421" spans="1:15" x14ac:dyDescent="0.4">
      <c r="A3421">
        <v>2007</v>
      </c>
      <c r="B3421" s="2" t="s">
        <v>426</v>
      </c>
      <c r="C3421" s="2" t="s">
        <v>712</v>
      </c>
      <c r="D3421" s="2" t="s">
        <v>68</v>
      </c>
      <c r="E3421" s="70" t="s">
        <v>74</v>
      </c>
      <c r="F3421" s="29">
        <v>355</v>
      </c>
      <c r="G3421" s="29">
        <v>219</v>
      </c>
      <c r="H3421" s="33">
        <v>136</v>
      </c>
      <c r="M3421" s="2"/>
      <c r="N3421" s="2"/>
      <c r="O3421" s="2"/>
    </row>
    <row r="3422" spans="1:15" x14ac:dyDescent="0.4">
      <c r="A3422">
        <v>2007</v>
      </c>
      <c r="B3422" s="2" t="s">
        <v>427</v>
      </c>
      <c r="C3422" s="2" t="s">
        <v>712</v>
      </c>
      <c r="D3422" s="2" t="s">
        <v>68</v>
      </c>
      <c r="E3422" s="70" t="s">
        <v>75</v>
      </c>
      <c r="F3422" s="29">
        <v>35</v>
      </c>
      <c r="G3422" s="29">
        <v>27</v>
      </c>
      <c r="H3422" s="33">
        <v>8</v>
      </c>
      <c r="M3422" s="2"/>
      <c r="N3422" s="2"/>
      <c r="O3422" s="2"/>
    </row>
    <row r="3423" spans="1:15" x14ac:dyDescent="0.4">
      <c r="A3423">
        <v>2007</v>
      </c>
      <c r="B3423" s="2" t="s">
        <v>428</v>
      </c>
      <c r="C3423" s="2" t="s">
        <v>712</v>
      </c>
      <c r="D3423" s="2" t="s">
        <v>68</v>
      </c>
      <c r="E3423" s="70" t="s">
        <v>76</v>
      </c>
      <c r="F3423" s="29">
        <v>56</v>
      </c>
      <c r="G3423" s="29">
        <v>30</v>
      </c>
      <c r="H3423" s="33">
        <v>26</v>
      </c>
      <c r="M3423" s="2"/>
      <c r="N3423" s="2"/>
      <c r="O3423" s="2"/>
    </row>
    <row r="3424" spans="1:15" x14ac:dyDescent="0.4">
      <c r="A3424">
        <v>2007</v>
      </c>
      <c r="B3424" s="2" t="s">
        <v>429</v>
      </c>
      <c r="C3424" s="2" t="s">
        <v>712</v>
      </c>
      <c r="D3424" s="2" t="s">
        <v>68</v>
      </c>
      <c r="E3424" s="70" t="s">
        <v>77</v>
      </c>
      <c r="F3424" s="29">
        <v>119</v>
      </c>
      <c r="G3424" s="29">
        <v>87</v>
      </c>
      <c r="H3424" s="33">
        <v>32</v>
      </c>
      <c r="M3424" s="2"/>
      <c r="N3424" s="2"/>
      <c r="O3424" s="2"/>
    </row>
    <row r="3425" spans="1:15" x14ac:dyDescent="0.4">
      <c r="A3425">
        <v>2007</v>
      </c>
      <c r="B3425" s="2" t="s">
        <v>430</v>
      </c>
      <c r="C3425" s="2" t="s">
        <v>712</v>
      </c>
      <c r="D3425" s="2" t="s">
        <v>68</v>
      </c>
      <c r="E3425" s="70" t="s">
        <v>51</v>
      </c>
      <c r="F3425" s="29">
        <v>10</v>
      </c>
      <c r="G3425" s="29">
        <v>5</v>
      </c>
      <c r="H3425" s="33">
        <v>5</v>
      </c>
      <c r="M3425" s="2"/>
      <c r="N3425" s="2"/>
      <c r="O3425" s="2"/>
    </row>
    <row r="3426" spans="1:15" x14ac:dyDescent="0.4">
      <c r="A3426">
        <v>2007</v>
      </c>
      <c r="B3426" s="2" t="s">
        <v>431</v>
      </c>
      <c r="C3426" s="2" t="s">
        <v>713</v>
      </c>
      <c r="D3426" s="2" t="s">
        <v>79</v>
      </c>
      <c r="E3426" s="70" t="s">
        <v>78</v>
      </c>
      <c r="F3426" s="29">
        <v>284</v>
      </c>
      <c r="G3426" s="29">
        <v>166</v>
      </c>
      <c r="H3426" s="33">
        <v>118</v>
      </c>
      <c r="M3426" s="2"/>
      <c r="N3426" s="2"/>
      <c r="O3426" s="2"/>
    </row>
    <row r="3427" spans="1:15" x14ac:dyDescent="0.4">
      <c r="A3427">
        <v>2007</v>
      </c>
      <c r="B3427" s="2" t="s">
        <v>432</v>
      </c>
      <c r="C3427" s="2" t="s">
        <v>713</v>
      </c>
      <c r="D3427" s="2" t="s">
        <v>79</v>
      </c>
      <c r="E3427" s="70" t="s">
        <v>80</v>
      </c>
      <c r="F3427" s="29">
        <v>432</v>
      </c>
      <c r="G3427" s="29">
        <v>284</v>
      </c>
      <c r="H3427" s="33">
        <v>148</v>
      </c>
      <c r="M3427" s="2"/>
      <c r="N3427" s="2"/>
      <c r="O3427" s="2"/>
    </row>
    <row r="3428" spans="1:15" x14ac:dyDescent="0.4">
      <c r="A3428">
        <v>2007</v>
      </c>
      <c r="B3428" s="2" t="s">
        <v>433</v>
      </c>
      <c r="C3428" s="2" t="s">
        <v>713</v>
      </c>
      <c r="D3428" s="2" t="s">
        <v>79</v>
      </c>
      <c r="E3428" s="70" t="s">
        <v>81</v>
      </c>
      <c r="F3428" s="29">
        <v>535</v>
      </c>
      <c r="G3428" s="29">
        <v>357</v>
      </c>
      <c r="H3428" s="33">
        <v>178</v>
      </c>
      <c r="M3428" s="2"/>
      <c r="N3428" s="2"/>
      <c r="O3428" s="2"/>
    </row>
    <row r="3429" spans="1:15" x14ac:dyDescent="0.4">
      <c r="A3429">
        <v>2007</v>
      </c>
      <c r="B3429" s="2" t="s">
        <v>434</v>
      </c>
      <c r="C3429" s="2" t="s">
        <v>713</v>
      </c>
      <c r="D3429" s="2" t="s">
        <v>79</v>
      </c>
      <c r="E3429" s="70" t="s">
        <v>82</v>
      </c>
      <c r="F3429" s="29">
        <v>552</v>
      </c>
      <c r="G3429" s="29">
        <v>350</v>
      </c>
      <c r="H3429" s="33">
        <v>202</v>
      </c>
      <c r="M3429" s="2"/>
      <c r="N3429" s="2"/>
      <c r="O3429" s="2"/>
    </row>
    <row r="3430" spans="1:15" x14ac:dyDescent="0.4">
      <c r="A3430">
        <v>2007</v>
      </c>
      <c r="B3430" s="2" t="s">
        <v>435</v>
      </c>
      <c r="C3430" s="2" t="s">
        <v>713</v>
      </c>
      <c r="D3430" s="2" t="s">
        <v>79</v>
      </c>
      <c r="E3430" s="70" t="s">
        <v>83</v>
      </c>
      <c r="F3430" s="29">
        <v>164</v>
      </c>
      <c r="G3430" s="29">
        <v>112</v>
      </c>
      <c r="H3430" s="33">
        <v>52</v>
      </c>
      <c r="M3430" s="2"/>
      <c r="N3430" s="2"/>
      <c r="O3430" s="2"/>
    </row>
    <row r="3431" spans="1:15" x14ac:dyDescent="0.4">
      <c r="A3431">
        <v>2007</v>
      </c>
      <c r="B3431" s="2" t="s">
        <v>436</v>
      </c>
      <c r="C3431" s="2" t="s">
        <v>713</v>
      </c>
      <c r="D3431" s="2" t="s">
        <v>79</v>
      </c>
      <c r="E3431" s="70" t="s">
        <v>44</v>
      </c>
      <c r="F3431" s="29">
        <v>407</v>
      </c>
      <c r="G3431" s="29">
        <v>284</v>
      </c>
      <c r="H3431" s="33">
        <v>123</v>
      </c>
      <c r="M3431" s="2"/>
      <c r="N3431" s="2"/>
      <c r="O3431" s="2"/>
    </row>
    <row r="3432" spans="1:15" x14ac:dyDescent="0.4">
      <c r="A3432">
        <v>2007</v>
      </c>
      <c r="B3432" s="2" t="s">
        <v>437</v>
      </c>
      <c r="C3432" s="2" t="s">
        <v>713</v>
      </c>
      <c r="D3432" s="2" t="s">
        <v>79</v>
      </c>
      <c r="E3432" s="70" t="s">
        <v>84</v>
      </c>
      <c r="F3432" s="29">
        <v>318</v>
      </c>
      <c r="G3432" s="29">
        <v>218</v>
      </c>
      <c r="H3432" s="33">
        <v>100</v>
      </c>
      <c r="M3432" s="2"/>
      <c r="N3432" s="2"/>
      <c r="O3432" s="2"/>
    </row>
    <row r="3433" spans="1:15" x14ac:dyDescent="0.4">
      <c r="A3433">
        <v>2007</v>
      </c>
      <c r="B3433" s="2" t="s">
        <v>438</v>
      </c>
      <c r="C3433" s="2" t="s">
        <v>713</v>
      </c>
      <c r="D3433" s="2" t="s">
        <v>79</v>
      </c>
      <c r="E3433" s="70" t="s">
        <v>85</v>
      </c>
      <c r="F3433" s="29">
        <v>99</v>
      </c>
      <c r="G3433" s="29">
        <v>65</v>
      </c>
      <c r="H3433" s="33">
        <v>34</v>
      </c>
      <c r="M3433" s="2"/>
      <c r="N3433" s="2"/>
      <c r="O3433" s="2"/>
    </row>
    <row r="3434" spans="1:15" x14ac:dyDescent="0.4">
      <c r="A3434">
        <v>2007</v>
      </c>
      <c r="B3434" s="2" t="s">
        <v>439</v>
      </c>
      <c r="C3434" s="2" t="s">
        <v>713</v>
      </c>
      <c r="D3434" s="2" t="s">
        <v>79</v>
      </c>
      <c r="E3434" s="70" t="s">
        <v>86</v>
      </c>
      <c r="F3434" s="29">
        <v>66</v>
      </c>
      <c r="G3434" s="29">
        <v>35</v>
      </c>
      <c r="H3434" s="33">
        <v>31</v>
      </c>
      <c r="M3434" s="2"/>
      <c r="N3434" s="2"/>
      <c r="O3434" s="2"/>
    </row>
    <row r="3435" spans="1:15" x14ac:dyDescent="0.4">
      <c r="A3435">
        <v>2007</v>
      </c>
      <c r="B3435" s="2" t="s">
        <v>440</v>
      </c>
      <c r="C3435" s="2" t="s">
        <v>713</v>
      </c>
      <c r="D3435" s="2" t="s">
        <v>79</v>
      </c>
      <c r="E3435" s="70" t="s">
        <v>87</v>
      </c>
      <c r="F3435" s="29">
        <v>1377</v>
      </c>
      <c r="G3435" s="29">
        <v>758</v>
      </c>
      <c r="H3435" s="33">
        <v>619</v>
      </c>
      <c r="M3435" s="2"/>
      <c r="N3435" s="2"/>
      <c r="O3435" s="2"/>
    </row>
    <row r="3436" spans="1:15" x14ac:dyDescent="0.4">
      <c r="A3436">
        <v>2007</v>
      </c>
      <c r="B3436" s="2" t="s">
        <v>441</v>
      </c>
      <c r="C3436" s="2" t="s">
        <v>713</v>
      </c>
      <c r="D3436" s="2" t="s">
        <v>79</v>
      </c>
      <c r="E3436" s="70" t="s">
        <v>88</v>
      </c>
      <c r="F3436" s="29">
        <v>1067</v>
      </c>
      <c r="G3436" s="29">
        <v>652</v>
      </c>
      <c r="H3436" s="33">
        <v>415</v>
      </c>
      <c r="M3436" s="2"/>
      <c r="N3436" s="2"/>
      <c r="O3436" s="2"/>
    </row>
    <row r="3437" spans="1:15" x14ac:dyDescent="0.4">
      <c r="A3437">
        <v>2007</v>
      </c>
      <c r="B3437" s="2" t="s">
        <v>442</v>
      </c>
      <c r="C3437" s="2" t="s">
        <v>713</v>
      </c>
      <c r="D3437" s="2" t="s">
        <v>79</v>
      </c>
      <c r="E3437" s="70" t="s">
        <v>89</v>
      </c>
      <c r="F3437" s="29">
        <v>147</v>
      </c>
      <c r="G3437" s="29">
        <v>83</v>
      </c>
      <c r="H3437" s="33">
        <v>64</v>
      </c>
      <c r="M3437" s="2"/>
      <c r="N3437" s="2"/>
      <c r="O3437" s="2"/>
    </row>
    <row r="3438" spans="1:15" x14ac:dyDescent="0.4">
      <c r="A3438">
        <v>2007</v>
      </c>
      <c r="B3438" s="2" t="s">
        <v>443</v>
      </c>
      <c r="C3438" s="2" t="s">
        <v>713</v>
      </c>
      <c r="D3438" s="2" t="s">
        <v>79</v>
      </c>
      <c r="E3438" s="70" t="s">
        <v>90</v>
      </c>
      <c r="F3438" s="29">
        <v>135</v>
      </c>
      <c r="G3438" s="29">
        <v>100</v>
      </c>
      <c r="H3438" s="33">
        <v>35</v>
      </c>
      <c r="M3438" s="2"/>
      <c r="N3438" s="2"/>
      <c r="O3438" s="2"/>
    </row>
    <row r="3439" spans="1:15" x14ac:dyDescent="0.4">
      <c r="A3439">
        <v>2007</v>
      </c>
      <c r="B3439" s="2" t="s">
        <v>444</v>
      </c>
      <c r="C3439" s="2" t="s">
        <v>713</v>
      </c>
      <c r="D3439" s="2" t="s">
        <v>79</v>
      </c>
      <c r="E3439" s="70" t="s">
        <v>91</v>
      </c>
      <c r="F3439" s="29">
        <v>4828</v>
      </c>
      <c r="G3439" s="29">
        <v>3030</v>
      </c>
      <c r="H3439" s="33">
        <v>1798</v>
      </c>
      <c r="M3439" s="2"/>
      <c r="N3439" s="2"/>
      <c r="O3439" s="2"/>
    </row>
    <row r="3440" spans="1:15" x14ac:dyDescent="0.4">
      <c r="A3440">
        <v>2007</v>
      </c>
      <c r="B3440" s="2" t="s">
        <v>445</v>
      </c>
      <c r="C3440" s="2" t="s">
        <v>714</v>
      </c>
      <c r="D3440" s="2" t="s">
        <v>93</v>
      </c>
      <c r="E3440" s="70" t="s">
        <v>92</v>
      </c>
      <c r="F3440" s="29">
        <v>55</v>
      </c>
      <c r="G3440" s="29">
        <v>32</v>
      </c>
      <c r="H3440" s="33">
        <v>23</v>
      </c>
      <c r="M3440" s="2"/>
      <c r="N3440" s="2"/>
      <c r="O3440" s="2"/>
    </row>
    <row r="3441" spans="1:15" x14ac:dyDescent="0.4">
      <c r="A3441">
        <v>2007</v>
      </c>
      <c r="B3441" s="2" t="s">
        <v>446</v>
      </c>
      <c r="C3441" s="2" t="s">
        <v>714</v>
      </c>
      <c r="D3441" s="2" t="s">
        <v>93</v>
      </c>
      <c r="E3441" s="70" t="s">
        <v>94</v>
      </c>
      <c r="F3441" s="29">
        <v>317</v>
      </c>
      <c r="G3441" s="29">
        <v>198</v>
      </c>
      <c r="H3441" s="33">
        <v>119</v>
      </c>
      <c r="M3441" s="2"/>
      <c r="N3441" s="2"/>
      <c r="O3441" s="2"/>
    </row>
    <row r="3442" spans="1:15" x14ac:dyDescent="0.4">
      <c r="A3442">
        <v>2007</v>
      </c>
      <c r="B3442" s="2" t="s">
        <v>447</v>
      </c>
      <c r="C3442" s="2" t="s">
        <v>714</v>
      </c>
      <c r="D3442" s="2" t="s">
        <v>93</v>
      </c>
      <c r="E3442" s="70" t="s">
        <v>40</v>
      </c>
      <c r="F3442" s="29">
        <v>31</v>
      </c>
      <c r="G3442" s="29">
        <v>22</v>
      </c>
      <c r="H3442" s="33">
        <v>9</v>
      </c>
      <c r="M3442" s="2"/>
      <c r="N3442" s="2"/>
      <c r="O3442" s="2"/>
    </row>
    <row r="3443" spans="1:15" x14ac:dyDescent="0.4">
      <c r="A3443">
        <v>2007</v>
      </c>
      <c r="B3443" s="2" t="s">
        <v>448</v>
      </c>
      <c r="C3443" s="2" t="s">
        <v>714</v>
      </c>
      <c r="D3443" s="2" t="s">
        <v>93</v>
      </c>
      <c r="E3443" s="70" t="s">
        <v>95</v>
      </c>
      <c r="F3443" s="29">
        <v>21</v>
      </c>
      <c r="G3443" s="29">
        <v>12</v>
      </c>
      <c r="H3443" s="33">
        <v>9</v>
      </c>
      <c r="M3443" s="2"/>
      <c r="N3443" s="2"/>
      <c r="O3443" s="2"/>
    </row>
    <row r="3444" spans="1:15" x14ac:dyDescent="0.4">
      <c r="A3444">
        <v>2007</v>
      </c>
      <c r="B3444" s="2" t="s">
        <v>449</v>
      </c>
      <c r="C3444" s="2" t="s">
        <v>714</v>
      </c>
      <c r="D3444" s="2" t="s">
        <v>93</v>
      </c>
      <c r="E3444" s="70" t="s">
        <v>96</v>
      </c>
      <c r="F3444" s="29">
        <v>0</v>
      </c>
      <c r="G3444" s="29">
        <v>0</v>
      </c>
      <c r="H3444" s="33">
        <v>0</v>
      </c>
      <c r="M3444" s="2"/>
      <c r="N3444" s="2"/>
      <c r="O3444" s="2"/>
    </row>
    <row r="3445" spans="1:15" x14ac:dyDescent="0.4">
      <c r="A3445">
        <v>2007</v>
      </c>
      <c r="B3445" s="2" t="s">
        <v>450</v>
      </c>
      <c r="C3445" s="2" t="s">
        <v>714</v>
      </c>
      <c r="D3445" s="2" t="s">
        <v>93</v>
      </c>
      <c r="E3445" s="70" t="s">
        <v>97</v>
      </c>
      <c r="F3445" s="29">
        <v>27</v>
      </c>
      <c r="G3445" s="29">
        <v>16</v>
      </c>
      <c r="H3445" s="33">
        <v>11</v>
      </c>
      <c r="M3445" s="2"/>
      <c r="N3445" s="2"/>
      <c r="O3445" s="2"/>
    </row>
    <row r="3446" spans="1:15" x14ac:dyDescent="0.4">
      <c r="A3446">
        <v>2007</v>
      </c>
      <c r="B3446" s="2" t="s">
        <v>451</v>
      </c>
      <c r="C3446" s="2" t="s">
        <v>714</v>
      </c>
      <c r="D3446" s="2" t="s">
        <v>93</v>
      </c>
      <c r="E3446" s="70" t="s">
        <v>34</v>
      </c>
      <c r="F3446" s="29">
        <v>31</v>
      </c>
      <c r="G3446" s="29">
        <v>23</v>
      </c>
      <c r="H3446" s="33">
        <v>8</v>
      </c>
      <c r="M3446" s="2"/>
      <c r="N3446" s="2"/>
      <c r="O3446" s="2"/>
    </row>
    <row r="3447" spans="1:15" x14ac:dyDescent="0.4">
      <c r="A3447">
        <v>2007</v>
      </c>
      <c r="B3447" s="2" t="s">
        <v>452</v>
      </c>
      <c r="C3447" s="2" t="s">
        <v>714</v>
      </c>
      <c r="D3447" s="2" t="s">
        <v>93</v>
      </c>
      <c r="E3447" s="70" t="s">
        <v>98</v>
      </c>
      <c r="F3447" s="29">
        <v>621</v>
      </c>
      <c r="G3447" s="29">
        <v>383</v>
      </c>
      <c r="H3447" s="33">
        <v>238</v>
      </c>
      <c r="M3447" s="2"/>
      <c r="N3447" s="2"/>
      <c r="O3447" s="2"/>
    </row>
    <row r="3448" spans="1:15" x14ac:dyDescent="0.4">
      <c r="A3448">
        <v>2007</v>
      </c>
      <c r="B3448" s="2" t="s">
        <v>453</v>
      </c>
      <c r="C3448" s="2" t="s">
        <v>714</v>
      </c>
      <c r="D3448" s="14" t="s">
        <v>93</v>
      </c>
      <c r="E3448" s="69" t="s">
        <v>99</v>
      </c>
      <c r="F3448" s="11">
        <v>108</v>
      </c>
      <c r="G3448" s="11">
        <v>73</v>
      </c>
      <c r="H3448" s="33">
        <v>35</v>
      </c>
      <c r="M3448" s="2"/>
      <c r="N3448" s="2"/>
      <c r="O3448" s="2"/>
    </row>
    <row r="3449" spans="1:15" x14ac:dyDescent="0.4">
      <c r="A3449">
        <v>2007</v>
      </c>
      <c r="B3449" s="2" t="s">
        <v>454</v>
      </c>
      <c r="C3449" s="2" t="s">
        <v>715</v>
      </c>
      <c r="D3449" s="2" t="s">
        <v>101</v>
      </c>
      <c r="E3449" s="70" t="s">
        <v>100</v>
      </c>
      <c r="F3449" s="29">
        <v>30</v>
      </c>
      <c r="G3449" s="29">
        <v>22</v>
      </c>
      <c r="H3449" s="33">
        <v>8</v>
      </c>
      <c r="M3449" s="2"/>
      <c r="N3449" s="2"/>
      <c r="O3449" s="2"/>
    </row>
    <row r="3450" spans="1:15" x14ac:dyDescent="0.4">
      <c r="A3450">
        <v>2007</v>
      </c>
      <c r="B3450" s="2" t="s">
        <v>455</v>
      </c>
      <c r="C3450" s="2" t="s">
        <v>715</v>
      </c>
      <c r="D3450" s="2" t="s">
        <v>101</v>
      </c>
      <c r="E3450" s="70" t="s">
        <v>102</v>
      </c>
      <c r="F3450" s="29">
        <v>45</v>
      </c>
      <c r="G3450" s="29">
        <v>32</v>
      </c>
      <c r="H3450" s="33">
        <v>13</v>
      </c>
      <c r="M3450" s="2"/>
      <c r="N3450" s="2"/>
      <c r="O3450" s="2"/>
    </row>
    <row r="3451" spans="1:15" x14ac:dyDescent="0.4">
      <c r="A3451">
        <v>2007</v>
      </c>
      <c r="B3451" s="2" t="s">
        <v>456</v>
      </c>
      <c r="C3451" s="2" t="s">
        <v>715</v>
      </c>
      <c r="D3451" s="2" t="s">
        <v>101</v>
      </c>
      <c r="E3451" s="70" t="s">
        <v>103</v>
      </c>
      <c r="F3451" s="29">
        <v>23</v>
      </c>
      <c r="G3451" s="29">
        <v>14</v>
      </c>
      <c r="H3451" s="33">
        <v>9</v>
      </c>
      <c r="M3451" s="2"/>
      <c r="N3451" s="2"/>
      <c r="O3451" s="2"/>
    </row>
    <row r="3452" spans="1:15" x14ac:dyDescent="0.4">
      <c r="A3452">
        <v>2007</v>
      </c>
      <c r="B3452" s="2" t="s">
        <v>457</v>
      </c>
      <c r="C3452" s="2" t="s">
        <v>715</v>
      </c>
      <c r="D3452" s="2" t="s">
        <v>101</v>
      </c>
      <c r="E3452" s="70" t="s">
        <v>104</v>
      </c>
      <c r="F3452" s="29">
        <v>429</v>
      </c>
      <c r="G3452" s="29">
        <v>261</v>
      </c>
      <c r="H3452" s="33">
        <v>168</v>
      </c>
      <c r="M3452" s="2"/>
      <c r="N3452" s="2"/>
      <c r="O3452" s="2"/>
    </row>
    <row r="3453" spans="1:15" x14ac:dyDescent="0.4">
      <c r="A3453">
        <v>2007</v>
      </c>
      <c r="B3453" s="2" t="s">
        <v>458</v>
      </c>
      <c r="C3453" s="2" t="s">
        <v>716</v>
      </c>
      <c r="D3453" s="2" t="s">
        <v>129</v>
      </c>
      <c r="E3453" s="70" t="s">
        <v>128</v>
      </c>
      <c r="F3453" s="29">
        <v>44</v>
      </c>
      <c r="G3453" s="29">
        <v>28</v>
      </c>
      <c r="H3453" s="33">
        <v>16</v>
      </c>
      <c r="M3453" s="2"/>
      <c r="N3453" s="2"/>
      <c r="O3453" s="2"/>
    </row>
    <row r="3454" spans="1:15" x14ac:dyDescent="0.4">
      <c r="A3454">
        <v>2007</v>
      </c>
      <c r="B3454" s="2" t="s">
        <v>459</v>
      </c>
      <c r="C3454" s="2" t="s">
        <v>716</v>
      </c>
      <c r="D3454" s="2" t="s">
        <v>129</v>
      </c>
      <c r="E3454" s="70" t="s">
        <v>36</v>
      </c>
      <c r="F3454" s="29">
        <v>18</v>
      </c>
      <c r="G3454" s="29">
        <v>8</v>
      </c>
      <c r="H3454" s="33">
        <v>10</v>
      </c>
      <c r="M3454" s="2"/>
      <c r="N3454" s="2"/>
      <c r="O3454" s="2"/>
    </row>
    <row r="3455" spans="1:15" x14ac:dyDescent="0.4">
      <c r="A3455">
        <v>2007</v>
      </c>
      <c r="B3455" s="2" t="s">
        <v>460</v>
      </c>
      <c r="C3455" s="2" t="s">
        <v>716</v>
      </c>
      <c r="D3455" s="2" t="s">
        <v>129</v>
      </c>
      <c r="E3455" s="70" t="s">
        <v>130</v>
      </c>
      <c r="F3455" s="29">
        <v>33</v>
      </c>
      <c r="G3455" s="29">
        <v>22</v>
      </c>
      <c r="H3455" s="33">
        <v>11</v>
      </c>
      <c r="M3455" s="2"/>
      <c r="N3455" s="2"/>
      <c r="O3455" s="2"/>
    </row>
    <row r="3456" spans="1:15" x14ac:dyDescent="0.4">
      <c r="A3456">
        <v>2007</v>
      </c>
      <c r="B3456" s="2" t="s">
        <v>461</v>
      </c>
      <c r="C3456" s="2" t="s">
        <v>716</v>
      </c>
      <c r="D3456" s="2" t="s">
        <v>129</v>
      </c>
      <c r="E3456" s="70" t="s">
        <v>131</v>
      </c>
      <c r="F3456" s="29">
        <v>28</v>
      </c>
      <c r="G3456" s="29">
        <v>18</v>
      </c>
      <c r="H3456" s="33">
        <v>10</v>
      </c>
      <c r="M3456" s="2"/>
      <c r="N3456" s="2"/>
      <c r="O3456" s="2"/>
    </row>
    <row r="3457" spans="1:15" x14ac:dyDescent="0.4">
      <c r="A3457">
        <v>2007</v>
      </c>
      <c r="B3457" s="2" t="s">
        <v>462</v>
      </c>
      <c r="C3457" s="2" t="s">
        <v>716</v>
      </c>
      <c r="D3457" s="2" t="s">
        <v>129</v>
      </c>
      <c r="E3457" s="70" t="s">
        <v>132</v>
      </c>
      <c r="F3457" s="29">
        <v>1093</v>
      </c>
      <c r="G3457" s="29">
        <v>649</v>
      </c>
      <c r="H3457" s="33">
        <v>444</v>
      </c>
      <c r="M3457" s="2"/>
      <c r="N3457" s="2"/>
      <c r="O3457" s="2"/>
    </row>
    <row r="3458" spans="1:15" x14ac:dyDescent="0.4">
      <c r="A3458">
        <v>2007</v>
      </c>
      <c r="B3458" s="2" t="s">
        <v>463</v>
      </c>
      <c r="C3458" s="2" t="s">
        <v>716</v>
      </c>
      <c r="D3458" s="2" t="s">
        <v>129</v>
      </c>
      <c r="E3458" s="70" t="s">
        <v>133</v>
      </c>
      <c r="F3458" s="29">
        <v>60</v>
      </c>
      <c r="G3458" s="29">
        <v>43</v>
      </c>
      <c r="H3458" s="33">
        <v>17</v>
      </c>
      <c r="M3458" s="2"/>
      <c r="N3458" s="2"/>
      <c r="O3458" s="2"/>
    </row>
    <row r="3459" spans="1:15" x14ac:dyDescent="0.4">
      <c r="A3459">
        <v>2007</v>
      </c>
      <c r="B3459" s="2" t="s">
        <v>464</v>
      </c>
      <c r="C3459" s="2" t="s">
        <v>716</v>
      </c>
      <c r="D3459" s="2" t="s">
        <v>129</v>
      </c>
      <c r="E3459" s="70" t="s">
        <v>134</v>
      </c>
      <c r="F3459" s="29">
        <v>56</v>
      </c>
      <c r="G3459" s="29">
        <v>31</v>
      </c>
      <c r="H3459" s="33">
        <v>25</v>
      </c>
      <c r="M3459" s="2"/>
      <c r="N3459" s="2"/>
      <c r="O3459" s="2"/>
    </row>
    <row r="3460" spans="1:15" x14ac:dyDescent="0.4">
      <c r="A3460">
        <v>2007</v>
      </c>
      <c r="B3460" s="2" t="s">
        <v>465</v>
      </c>
      <c r="C3460" s="2" t="s">
        <v>716</v>
      </c>
      <c r="D3460" s="2" t="s">
        <v>129</v>
      </c>
      <c r="E3460" s="70" t="s">
        <v>135</v>
      </c>
      <c r="F3460" s="29">
        <v>18</v>
      </c>
      <c r="G3460" s="29">
        <v>14</v>
      </c>
      <c r="H3460" s="33">
        <v>4</v>
      </c>
      <c r="M3460" s="2"/>
      <c r="N3460" s="2"/>
      <c r="O3460" s="2"/>
    </row>
    <row r="3461" spans="1:15" x14ac:dyDescent="0.4">
      <c r="A3461">
        <v>2007</v>
      </c>
      <c r="B3461" s="2" t="s">
        <v>466</v>
      </c>
      <c r="C3461" s="2" t="s">
        <v>716</v>
      </c>
      <c r="D3461" s="2" t="s">
        <v>129</v>
      </c>
      <c r="E3461" s="70" t="s">
        <v>94</v>
      </c>
      <c r="F3461" s="29">
        <v>71</v>
      </c>
      <c r="G3461" s="29">
        <v>47</v>
      </c>
      <c r="H3461" s="33">
        <v>24</v>
      </c>
      <c r="M3461" s="2"/>
      <c r="N3461" s="2"/>
      <c r="O3461" s="2"/>
    </row>
    <row r="3462" spans="1:15" x14ac:dyDescent="0.4">
      <c r="A3462">
        <v>2007</v>
      </c>
      <c r="B3462" s="2" t="s">
        <v>467</v>
      </c>
      <c r="C3462" s="2" t="s">
        <v>716</v>
      </c>
      <c r="D3462" s="2" t="s">
        <v>129</v>
      </c>
      <c r="E3462" s="70" t="s">
        <v>136</v>
      </c>
      <c r="F3462" s="29">
        <v>90</v>
      </c>
      <c r="G3462" s="29">
        <v>55</v>
      </c>
      <c r="H3462" s="33">
        <v>35</v>
      </c>
      <c r="M3462" s="2"/>
      <c r="N3462" s="2"/>
      <c r="O3462" s="2"/>
    </row>
    <row r="3463" spans="1:15" x14ac:dyDescent="0.4">
      <c r="A3463">
        <v>2007</v>
      </c>
      <c r="B3463" s="2" t="s">
        <v>468</v>
      </c>
      <c r="C3463" s="2" t="s">
        <v>716</v>
      </c>
      <c r="D3463" s="2" t="s">
        <v>129</v>
      </c>
      <c r="E3463" s="70" t="s">
        <v>137</v>
      </c>
      <c r="F3463" s="29">
        <v>10</v>
      </c>
      <c r="G3463" s="29">
        <v>7</v>
      </c>
      <c r="H3463" s="33">
        <v>3</v>
      </c>
      <c r="M3463" s="2"/>
      <c r="N3463" s="2"/>
      <c r="O3463" s="2"/>
    </row>
    <row r="3464" spans="1:15" x14ac:dyDescent="0.4">
      <c r="A3464">
        <v>2007</v>
      </c>
      <c r="B3464" s="2" t="s">
        <v>469</v>
      </c>
      <c r="C3464" s="2" t="s">
        <v>716</v>
      </c>
      <c r="D3464" s="2" t="s">
        <v>129</v>
      </c>
      <c r="E3464" s="70" t="s">
        <v>138</v>
      </c>
      <c r="F3464" s="29">
        <v>116</v>
      </c>
      <c r="G3464" s="29">
        <v>75</v>
      </c>
      <c r="H3464" s="33">
        <v>41</v>
      </c>
      <c r="M3464" s="2"/>
      <c r="N3464" s="2"/>
      <c r="O3464" s="2"/>
    </row>
    <row r="3465" spans="1:15" x14ac:dyDescent="0.4">
      <c r="A3465">
        <v>2007</v>
      </c>
      <c r="B3465" s="2" t="s">
        <v>470</v>
      </c>
      <c r="C3465" s="2" t="s">
        <v>716</v>
      </c>
      <c r="D3465" s="2" t="s">
        <v>129</v>
      </c>
      <c r="E3465" s="70" t="s">
        <v>139</v>
      </c>
      <c r="F3465" s="29">
        <v>64</v>
      </c>
      <c r="G3465" s="29">
        <v>39</v>
      </c>
      <c r="H3465" s="33">
        <v>25</v>
      </c>
      <c r="M3465" s="2"/>
      <c r="N3465" s="2"/>
      <c r="O3465" s="2"/>
    </row>
    <row r="3466" spans="1:15" x14ac:dyDescent="0.4">
      <c r="A3466">
        <v>2007</v>
      </c>
      <c r="B3466" s="2" t="s">
        <v>471</v>
      </c>
      <c r="C3466" s="2" t="s">
        <v>716</v>
      </c>
      <c r="D3466" s="2" t="s">
        <v>129</v>
      </c>
      <c r="E3466" s="70" t="s">
        <v>85</v>
      </c>
      <c r="F3466" s="29">
        <v>1216</v>
      </c>
      <c r="G3466" s="29">
        <v>718</v>
      </c>
      <c r="H3466" s="33">
        <v>498</v>
      </c>
      <c r="M3466" s="2"/>
      <c r="N3466" s="2"/>
      <c r="O3466" s="2"/>
    </row>
    <row r="3467" spans="1:15" x14ac:dyDescent="0.4">
      <c r="A3467">
        <v>2007</v>
      </c>
      <c r="B3467" s="2" t="s">
        <v>472</v>
      </c>
      <c r="C3467" s="2" t="s">
        <v>716</v>
      </c>
      <c r="D3467" s="2" t="s">
        <v>129</v>
      </c>
      <c r="E3467" s="70" t="s">
        <v>140</v>
      </c>
      <c r="F3467" s="29">
        <v>47</v>
      </c>
      <c r="G3467" s="29">
        <v>34</v>
      </c>
      <c r="H3467" s="33">
        <v>13</v>
      </c>
      <c r="M3467" s="2"/>
      <c r="N3467" s="2"/>
      <c r="O3467" s="2"/>
    </row>
    <row r="3468" spans="1:15" x14ac:dyDescent="0.4">
      <c r="A3468">
        <v>2007</v>
      </c>
      <c r="B3468" s="2" t="s">
        <v>473</v>
      </c>
      <c r="C3468" s="2" t="s">
        <v>716</v>
      </c>
      <c r="D3468" s="2" t="s">
        <v>129</v>
      </c>
      <c r="E3468" s="70" t="s">
        <v>141</v>
      </c>
      <c r="F3468" s="29">
        <v>5</v>
      </c>
      <c r="G3468" s="29">
        <v>3</v>
      </c>
      <c r="H3468" s="33">
        <v>2</v>
      </c>
      <c r="M3468" s="2"/>
      <c r="N3468" s="2"/>
      <c r="O3468" s="2"/>
    </row>
    <row r="3469" spans="1:15" x14ac:dyDescent="0.4">
      <c r="A3469">
        <v>2007</v>
      </c>
      <c r="B3469" s="2" t="s">
        <v>474</v>
      </c>
      <c r="C3469" s="2" t="s">
        <v>716</v>
      </c>
      <c r="D3469" s="2" t="s">
        <v>129</v>
      </c>
      <c r="E3469" s="70" t="s">
        <v>143</v>
      </c>
      <c r="F3469" s="29">
        <v>27</v>
      </c>
      <c r="G3469" s="29">
        <v>18</v>
      </c>
      <c r="H3469" s="33">
        <v>9</v>
      </c>
      <c r="M3469" s="2"/>
      <c r="N3469" s="2"/>
      <c r="O3469" s="2"/>
    </row>
    <row r="3470" spans="1:15" x14ac:dyDescent="0.4">
      <c r="A3470">
        <v>2007</v>
      </c>
      <c r="B3470" s="2" t="s">
        <v>475</v>
      </c>
      <c r="C3470" s="2" t="s">
        <v>716</v>
      </c>
      <c r="D3470" s="2" t="s">
        <v>129</v>
      </c>
      <c r="E3470" s="70" t="s">
        <v>21</v>
      </c>
      <c r="F3470" s="29">
        <v>24</v>
      </c>
      <c r="G3470" s="29">
        <v>15</v>
      </c>
      <c r="H3470" s="33">
        <v>9</v>
      </c>
      <c r="M3470" s="2"/>
      <c r="N3470" s="2"/>
      <c r="O3470" s="2"/>
    </row>
    <row r="3471" spans="1:15" x14ac:dyDescent="0.4">
      <c r="A3471">
        <v>2007</v>
      </c>
      <c r="B3471" s="2" t="s">
        <v>476</v>
      </c>
      <c r="C3471" s="2" t="s">
        <v>716</v>
      </c>
      <c r="D3471" s="2" t="s">
        <v>129</v>
      </c>
      <c r="E3471" s="70" t="s">
        <v>144</v>
      </c>
      <c r="F3471" s="29">
        <v>36</v>
      </c>
      <c r="G3471" s="29">
        <v>24</v>
      </c>
      <c r="H3471" s="33">
        <v>12</v>
      </c>
      <c r="M3471" s="2"/>
      <c r="N3471" s="2"/>
      <c r="O3471" s="2"/>
    </row>
    <row r="3472" spans="1:15" x14ac:dyDescent="0.4">
      <c r="A3472">
        <v>2007</v>
      </c>
      <c r="B3472" s="2" t="s">
        <v>477</v>
      </c>
      <c r="C3472" s="2" t="s">
        <v>716</v>
      </c>
      <c r="D3472" s="2" t="s">
        <v>129</v>
      </c>
      <c r="E3472" s="70" t="s">
        <v>145</v>
      </c>
      <c r="F3472" s="29">
        <v>160</v>
      </c>
      <c r="G3472" s="29">
        <v>113</v>
      </c>
      <c r="H3472" s="33">
        <v>47</v>
      </c>
      <c r="M3472" s="2"/>
      <c r="N3472" s="2"/>
      <c r="O3472" s="2"/>
    </row>
    <row r="3473" spans="1:15" x14ac:dyDescent="0.4">
      <c r="A3473">
        <v>2007</v>
      </c>
      <c r="B3473" s="2" t="s">
        <v>478</v>
      </c>
      <c r="C3473" s="2" t="s">
        <v>716</v>
      </c>
      <c r="D3473" s="2" t="s">
        <v>129</v>
      </c>
      <c r="E3473" s="70" t="s">
        <v>51</v>
      </c>
      <c r="F3473" s="29">
        <v>12</v>
      </c>
      <c r="G3473" s="29">
        <v>6</v>
      </c>
      <c r="H3473" s="33">
        <v>6</v>
      </c>
      <c r="M3473" s="2"/>
      <c r="N3473" s="2"/>
      <c r="O3473" s="2"/>
    </row>
    <row r="3474" spans="1:15" x14ac:dyDescent="0.4">
      <c r="A3474">
        <v>2007</v>
      </c>
      <c r="B3474" s="2" t="s">
        <v>479</v>
      </c>
      <c r="C3474" s="2" t="s">
        <v>716</v>
      </c>
      <c r="D3474" s="2" t="s">
        <v>129</v>
      </c>
      <c r="E3474" s="70" t="s">
        <v>146</v>
      </c>
      <c r="F3474" s="29">
        <v>8</v>
      </c>
      <c r="G3474" s="29">
        <v>6</v>
      </c>
      <c r="H3474" s="33">
        <v>2</v>
      </c>
      <c r="M3474" s="2"/>
      <c r="N3474" s="2"/>
      <c r="O3474" s="2"/>
    </row>
    <row r="3475" spans="1:15" x14ac:dyDescent="0.4">
      <c r="A3475">
        <v>2007</v>
      </c>
      <c r="B3475" s="2" t="s">
        <v>480</v>
      </c>
      <c r="C3475" s="2" t="s">
        <v>716</v>
      </c>
      <c r="D3475" s="2" t="s">
        <v>129</v>
      </c>
      <c r="E3475" s="70" t="s">
        <v>147</v>
      </c>
      <c r="F3475" s="29">
        <v>25</v>
      </c>
      <c r="G3475" s="29">
        <v>12</v>
      </c>
      <c r="H3475" s="33">
        <v>13</v>
      </c>
      <c r="M3475" s="2"/>
      <c r="N3475" s="2"/>
      <c r="O3475" s="2"/>
    </row>
    <row r="3476" spans="1:15" x14ac:dyDescent="0.4">
      <c r="A3476">
        <v>2007</v>
      </c>
      <c r="B3476" s="2" t="s">
        <v>481</v>
      </c>
      <c r="C3476" s="2" t="s">
        <v>716</v>
      </c>
      <c r="D3476" s="2" t="s">
        <v>129</v>
      </c>
      <c r="E3476" s="70" t="s">
        <v>148</v>
      </c>
      <c r="F3476" s="29">
        <v>27</v>
      </c>
      <c r="G3476" s="29">
        <v>19</v>
      </c>
      <c r="H3476" s="33">
        <v>8</v>
      </c>
      <c r="M3476" s="2"/>
      <c r="N3476" s="2"/>
      <c r="O3476" s="2"/>
    </row>
    <row r="3477" spans="1:15" x14ac:dyDescent="0.4">
      <c r="A3477">
        <v>2007</v>
      </c>
      <c r="B3477" s="2" t="s">
        <v>482</v>
      </c>
      <c r="C3477" s="2" t="s">
        <v>716</v>
      </c>
      <c r="D3477" s="2" t="s">
        <v>129</v>
      </c>
      <c r="E3477" s="70" t="s">
        <v>54</v>
      </c>
      <c r="F3477" s="29">
        <v>74</v>
      </c>
      <c r="G3477" s="29">
        <v>48</v>
      </c>
      <c r="H3477" s="33">
        <v>26</v>
      </c>
      <c r="M3477" s="2"/>
      <c r="N3477" s="2"/>
      <c r="O3477" s="2"/>
    </row>
    <row r="3478" spans="1:15" x14ac:dyDescent="0.4">
      <c r="A3478">
        <v>2007</v>
      </c>
      <c r="B3478" s="2" t="s">
        <v>483</v>
      </c>
      <c r="C3478" s="2" t="s">
        <v>717</v>
      </c>
      <c r="D3478" s="2" t="s">
        <v>150</v>
      </c>
      <c r="E3478" s="70" t="s">
        <v>149</v>
      </c>
      <c r="F3478" s="29">
        <v>48</v>
      </c>
      <c r="G3478" s="29">
        <v>34</v>
      </c>
      <c r="H3478" s="33">
        <v>14</v>
      </c>
      <c r="M3478" s="2"/>
      <c r="N3478" s="2"/>
      <c r="O3478" s="2"/>
    </row>
    <row r="3479" spans="1:15" x14ac:dyDescent="0.4">
      <c r="A3479">
        <v>2007</v>
      </c>
      <c r="B3479" s="2" t="s">
        <v>484</v>
      </c>
      <c r="C3479" s="2" t="s">
        <v>717</v>
      </c>
      <c r="D3479" s="2" t="s">
        <v>150</v>
      </c>
      <c r="E3479" s="70" t="s">
        <v>151</v>
      </c>
      <c r="F3479" s="29">
        <v>36</v>
      </c>
      <c r="G3479" s="29">
        <v>18</v>
      </c>
      <c r="H3479" s="33">
        <v>18</v>
      </c>
      <c r="M3479" s="2"/>
      <c r="N3479" s="2"/>
      <c r="O3479" s="2"/>
    </row>
    <row r="3480" spans="1:15" x14ac:dyDescent="0.4">
      <c r="A3480">
        <v>2007</v>
      </c>
      <c r="B3480" s="2" t="s">
        <v>485</v>
      </c>
      <c r="C3480" s="2" t="s">
        <v>717</v>
      </c>
      <c r="D3480" s="2" t="s">
        <v>150</v>
      </c>
      <c r="E3480" s="70" t="s">
        <v>152</v>
      </c>
      <c r="F3480" s="29">
        <v>32</v>
      </c>
      <c r="G3480" s="29">
        <v>18</v>
      </c>
      <c r="H3480" s="33">
        <v>14</v>
      </c>
      <c r="M3480" s="2"/>
      <c r="N3480" s="2"/>
      <c r="O3480" s="2"/>
    </row>
    <row r="3481" spans="1:15" x14ac:dyDescent="0.4">
      <c r="A3481">
        <v>2007</v>
      </c>
      <c r="B3481" s="2" t="s">
        <v>486</v>
      </c>
      <c r="C3481" s="2" t="s">
        <v>717</v>
      </c>
      <c r="D3481" s="2" t="s">
        <v>150</v>
      </c>
      <c r="E3481" s="70" t="s">
        <v>153</v>
      </c>
      <c r="F3481" s="29">
        <v>26</v>
      </c>
      <c r="G3481" s="29">
        <v>20</v>
      </c>
      <c r="H3481" s="33">
        <v>6</v>
      </c>
      <c r="M3481" s="2"/>
      <c r="N3481" s="2"/>
      <c r="O3481" s="2"/>
    </row>
    <row r="3482" spans="1:15" x14ac:dyDescent="0.4">
      <c r="A3482">
        <v>2007</v>
      </c>
      <c r="B3482" s="2" t="s">
        <v>487</v>
      </c>
      <c r="C3482" s="2" t="s">
        <v>717</v>
      </c>
      <c r="D3482" s="2" t="s">
        <v>150</v>
      </c>
      <c r="E3482" s="70" t="s">
        <v>154</v>
      </c>
      <c r="F3482" s="29">
        <v>720</v>
      </c>
      <c r="G3482" s="29">
        <v>442</v>
      </c>
      <c r="H3482" s="33">
        <v>278</v>
      </c>
      <c r="M3482" s="2"/>
      <c r="N3482" s="2"/>
      <c r="O3482" s="2"/>
    </row>
    <row r="3483" spans="1:15" x14ac:dyDescent="0.4">
      <c r="A3483">
        <v>2007</v>
      </c>
      <c r="B3483" s="2" t="s">
        <v>488</v>
      </c>
      <c r="C3483" s="2" t="s">
        <v>717</v>
      </c>
      <c r="D3483" s="2" t="s">
        <v>150</v>
      </c>
      <c r="E3483" s="70" t="s">
        <v>155</v>
      </c>
      <c r="F3483" s="29">
        <v>72</v>
      </c>
      <c r="G3483" s="29">
        <v>42</v>
      </c>
      <c r="H3483" s="33">
        <v>30</v>
      </c>
      <c r="M3483" s="2"/>
      <c r="N3483" s="2"/>
      <c r="O3483" s="2"/>
    </row>
    <row r="3484" spans="1:15" x14ac:dyDescent="0.4">
      <c r="A3484">
        <v>2007</v>
      </c>
      <c r="B3484" s="2" t="s">
        <v>489</v>
      </c>
      <c r="C3484" s="2" t="s">
        <v>717</v>
      </c>
      <c r="D3484" s="2" t="s">
        <v>150</v>
      </c>
      <c r="E3484" s="70" t="s">
        <v>156</v>
      </c>
      <c r="F3484" s="29">
        <v>120</v>
      </c>
      <c r="G3484" s="29">
        <v>74</v>
      </c>
      <c r="H3484" s="33">
        <v>46</v>
      </c>
      <c r="M3484" s="2"/>
      <c r="N3484" s="2"/>
      <c r="O3484" s="2"/>
    </row>
    <row r="3485" spans="1:15" x14ac:dyDescent="0.4">
      <c r="A3485">
        <v>2007</v>
      </c>
      <c r="B3485" s="2" t="s">
        <v>490</v>
      </c>
      <c r="C3485" s="2" t="s">
        <v>717</v>
      </c>
      <c r="D3485" s="2" t="s">
        <v>150</v>
      </c>
      <c r="E3485" s="70" t="s">
        <v>85</v>
      </c>
      <c r="F3485" s="29">
        <v>558</v>
      </c>
      <c r="G3485" s="29">
        <v>351</v>
      </c>
      <c r="H3485" s="33">
        <v>207</v>
      </c>
      <c r="M3485" s="2"/>
      <c r="N3485" s="2"/>
      <c r="O3485" s="2"/>
    </row>
    <row r="3486" spans="1:15" x14ac:dyDescent="0.4">
      <c r="A3486">
        <v>2007</v>
      </c>
      <c r="B3486" s="2" t="s">
        <v>491</v>
      </c>
      <c r="C3486" s="2" t="s">
        <v>717</v>
      </c>
      <c r="D3486" s="2" t="s">
        <v>150</v>
      </c>
      <c r="E3486" s="70" t="s">
        <v>157</v>
      </c>
      <c r="F3486" s="29">
        <v>357</v>
      </c>
      <c r="G3486" s="29">
        <v>225</v>
      </c>
      <c r="H3486" s="33">
        <v>132</v>
      </c>
      <c r="M3486" s="2"/>
      <c r="N3486" s="2"/>
      <c r="O3486" s="2"/>
    </row>
    <row r="3487" spans="1:15" x14ac:dyDescent="0.4">
      <c r="A3487">
        <v>2007</v>
      </c>
      <c r="B3487" s="2" t="s">
        <v>492</v>
      </c>
      <c r="C3487" s="2" t="s">
        <v>717</v>
      </c>
      <c r="D3487" s="2" t="s">
        <v>150</v>
      </c>
      <c r="E3487" s="70" t="s">
        <v>158</v>
      </c>
      <c r="F3487" s="29">
        <v>59</v>
      </c>
      <c r="G3487" s="29">
        <v>44</v>
      </c>
      <c r="H3487" s="33">
        <v>15</v>
      </c>
      <c r="M3487" s="2"/>
      <c r="N3487" s="2"/>
      <c r="O3487" s="2"/>
    </row>
    <row r="3488" spans="1:15" x14ac:dyDescent="0.4">
      <c r="A3488">
        <v>2007</v>
      </c>
      <c r="B3488" s="2" t="s">
        <v>493</v>
      </c>
      <c r="C3488" s="2" t="s">
        <v>717</v>
      </c>
      <c r="D3488" s="2" t="s">
        <v>150</v>
      </c>
      <c r="E3488" s="70" t="s">
        <v>159</v>
      </c>
      <c r="F3488" s="29">
        <v>72</v>
      </c>
      <c r="G3488" s="29">
        <v>50</v>
      </c>
      <c r="H3488" s="33">
        <v>22</v>
      </c>
      <c r="M3488" s="2"/>
      <c r="N3488" s="2"/>
      <c r="O3488" s="2"/>
    </row>
    <row r="3489" spans="1:15" x14ac:dyDescent="0.4">
      <c r="A3489">
        <v>2007</v>
      </c>
      <c r="B3489" s="2" t="s">
        <v>494</v>
      </c>
      <c r="C3489" s="2" t="s">
        <v>717</v>
      </c>
      <c r="D3489" s="2" t="s">
        <v>150</v>
      </c>
      <c r="E3489" s="70" t="s">
        <v>76</v>
      </c>
      <c r="F3489" s="29">
        <v>885</v>
      </c>
      <c r="G3489" s="29">
        <v>568</v>
      </c>
      <c r="H3489" s="33">
        <v>317</v>
      </c>
      <c r="M3489" s="2"/>
      <c r="N3489" s="2"/>
      <c r="O3489" s="2"/>
    </row>
    <row r="3490" spans="1:15" x14ac:dyDescent="0.4">
      <c r="A3490">
        <v>2007</v>
      </c>
      <c r="B3490" s="2" t="s">
        <v>495</v>
      </c>
      <c r="C3490" s="2" t="s">
        <v>717</v>
      </c>
      <c r="D3490" s="2" t="s">
        <v>150</v>
      </c>
      <c r="E3490" s="70" t="s">
        <v>160</v>
      </c>
      <c r="F3490" s="29">
        <v>25</v>
      </c>
      <c r="G3490" s="29">
        <v>18</v>
      </c>
      <c r="H3490" s="33">
        <v>7</v>
      </c>
      <c r="M3490" s="2"/>
      <c r="N3490" s="2"/>
      <c r="O3490" s="2"/>
    </row>
    <row r="3491" spans="1:15" x14ac:dyDescent="0.4">
      <c r="A3491">
        <v>2007</v>
      </c>
      <c r="B3491" s="2" t="s">
        <v>496</v>
      </c>
      <c r="C3491" s="2" t="s">
        <v>717</v>
      </c>
      <c r="D3491" s="2" t="s">
        <v>150</v>
      </c>
      <c r="E3491" s="70" t="s">
        <v>161</v>
      </c>
      <c r="F3491" s="29">
        <v>55</v>
      </c>
      <c r="G3491" s="29">
        <v>40</v>
      </c>
      <c r="H3491" s="33">
        <v>15</v>
      </c>
      <c r="M3491" s="2"/>
      <c r="N3491" s="2"/>
      <c r="O3491" s="2"/>
    </row>
    <row r="3492" spans="1:15" x14ac:dyDescent="0.4">
      <c r="A3492">
        <v>2007</v>
      </c>
      <c r="B3492" s="2" t="s">
        <v>497</v>
      </c>
      <c r="C3492" s="2" t="s">
        <v>717</v>
      </c>
      <c r="D3492" s="2" t="s">
        <v>150</v>
      </c>
      <c r="E3492" s="70" t="s">
        <v>162</v>
      </c>
      <c r="F3492" s="29">
        <v>228</v>
      </c>
      <c r="G3492" s="29">
        <v>151</v>
      </c>
      <c r="H3492" s="33">
        <v>77</v>
      </c>
      <c r="M3492" s="2"/>
      <c r="N3492" s="2"/>
      <c r="O3492" s="2"/>
    </row>
    <row r="3493" spans="1:15" x14ac:dyDescent="0.4">
      <c r="A3493">
        <v>2007</v>
      </c>
      <c r="B3493" s="2" t="s">
        <v>498</v>
      </c>
      <c r="C3493" s="2" t="s">
        <v>718</v>
      </c>
      <c r="D3493" s="2" t="s">
        <v>164</v>
      </c>
      <c r="E3493" s="70" t="s">
        <v>163</v>
      </c>
      <c r="F3493" s="29">
        <v>117</v>
      </c>
      <c r="G3493" s="29">
        <v>75</v>
      </c>
      <c r="H3493" s="33">
        <v>42</v>
      </c>
      <c r="M3493" s="2"/>
      <c r="N3493" s="2"/>
      <c r="O3493" s="2"/>
    </row>
    <row r="3494" spans="1:15" x14ac:dyDescent="0.4">
      <c r="A3494">
        <v>2007</v>
      </c>
      <c r="B3494" s="2" t="s">
        <v>499</v>
      </c>
      <c r="C3494" s="2" t="s">
        <v>718</v>
      </c>
      <c r="D3494" s="2" t="s">
        <v>164</v>
      </c>
      <c r="E3494" s="70" t="s">
        <v>165</v>
      </c>
      <c r="F3494" s="29">
        <v>132</v>
      </c>
      <c r="G3494" s="29">
        <v>73</v>
      </c>
      <c r="H3494" s="33">
        <v>59</v>
      </c>
      <c r="M3494" s="2"/>
      <c r="N3494" s="2"/>
      <c r="O3494" s="2"/>
    </row>
    <row r="3495" spans="1:15" x14ac:dyDescent="0.4">
      <c r="A3495">
        <v>2007</v>
      </c>
      <c r="B3495" s="2" t="s">
        <v>500</v>
      </c>
      <c r="C3495" s="2" t="s">
        <v>718</v>
      </c>
      <c r="D3495" s="2" t="s">
        <v>164</v>
      </c>
      <c r="E3495" s="70" t="s">
        <v>166</v>
      </c>
      <c r="F3495" s="29">
        <v>6107</v>
      </c>
      <c r="G3495" s="29">
        <v>3592</v>
      </c>
      <c r="H3495" s="33">
        <v>2515</v>
      </c>
      <c r="M3495" s="2"/>
      <c r="N3495" s="2"/>
      <c r="O3495" s="2"/>
    </row>
    <row r="3496" spans="1:15" x14ac:dyDescent="0.4">
      <c r="A3496">
        <v>2007</v>
      </c>
      <c r="B3496" s="2" t="s">
        <v>501</v>
      </c>
      <c r="C3496" s="2" t="s">
        <v>718</v>
      </c>
      <c r="D3496" s="2" t="s">
        <v>164</v>
      </c>
      <c r="E3496" s="70" t="s">
        <v>167</v>
      </c>
      <c r="F3496" s="29">
        <v>247</v>
      </c>
      <c r="G3496" s="29">
        <v>160</v>
      </c>
      <c r="H3496" s="33">
        <v>87</v>
      </c>
      <c r="M3496" s="2"/>
      <c r="N3496" s="2"/>
      <c r="O3496" s="2"/>
    </row>
    <row r="3497" spans="1:15" x14ac:dyDescent="0.4">
      <c r="A3497">
        <v>2007</v>
      </c>
      <c r="B3497" s="2" t="s">
        <v>502</v>
      </c>
      <c r="C3497" s="2" t="s">
        <v>718</v>
      </c>
      <c r="D3497" s="2" t="s">
        <v>164</v>
      </c>
      <c r="E3497" s="70" t="s">
        <v>168</v>
      </c>
      <c r="F3497" s="29">
        <v>378</v>
      </c>
      <c r="G3497" s="29">
        <v>236</v>
      </c>
      <c r="H3497" s="33">
        <v>142</v>
      </c>
      <c r="M3497" s="2"/>
      <c r="N3497" s="2"/>
      <c r="O3497" s="2"/>
    </row>
    <row r="3498" spans="1:15" x14ac:dyDescent="0.4">
      <c r="A3498">
        <v>2007</v>
      </c>
      <c r="B3498" s="2" t="s">
        <v>503</v>
      </c>
      <c r="C3498" s="2" t="s">
        <v>718</v>
      </c>
      <c r="D3498" s="2" t="s">
        <v>164</v>
      </c>
      <c r="E3498" s="70" t="s">
        <v>169</v>
      </c>
      <c r="F3498" s="29">
        <v>343</v>
      </c>
      <c r="G3498" s="29">
        <v>205</v>
      </c>
      <c r="H3498" s="33">
        <v>138</v>
      </c>
      <c r="M3498" s="2"/>
      <c r="N3498" s="2"/>
      <c r="O3498" s="2"/>
    </row>
    <row r="3499" spans="1:15" x14ac:dyDescent="0.4">
      <c r="A3499">
        <v>2007</v>
      </c>
      <c r="B3499" s="2" t="s">
        <v>504</v>
      </c>
      <c r="C3499" s="2" t="s">
        <v>718</v>
      </c>
      <c r="D3499" s="2" t="s">
        <v>164</v>
      </c>
      <c r="E3499" s="70" t="s">
        <v>170</v>
      </c>
      <c r="F3499" s="29">
        <v>75</v>
      </c>
      <c r="G3499" s="29">
        <v>56</v>
      </c>
      <c r="H3499" s="33">
        <v>19</v>
      </c>
      <c r="M3499" s="2"/>
      <c r="N3499" s="2"/>
      <c r="O3499" s="2"/>
    </row>
    <row r="3500" spans="1:15" x14ac:dyDescent="0.4">
      <c r="A3500">
        <v>2007</v>
      </c>
      <c r="B3500" s="2" t="s">
        <v>505</v>
      </c>
      <c r="C3500" s="2" t="s">
        <v>718</v>
      </c>
      <c r="D3500" s="2" t="s">
        <v>164</v>
      </c>
      <c r="E3500" s="70" t="s">
        <v>171</v>
      </c>
      <c r="F3500" s="29">
        <v>724</v>
      </c>
      <c r="G3500" s="29">
        <v>437</v>
      </c>
      <c r="H3500" s="33">
        <v>287</v>
      </c>
      <c r="M3500" s="2"/>
      <c r="N3500" s="2"/>
      <c r="O3500" s="2"/>
    </row>
    <row r="3501" spans="1:15" x14ac:dyDescent="0.4">
      <c r="A3501">
        <v>2007</v>
      </c>
      <c r="B3501" s="2" t="s">
        <v>506</v>
      </c>
      <c r="C3501" s="2" t="s">
        <v>718</v>
      </c>
      <c r="D3501" s="2" t="s">
        <v>164</v>
      </c>
      <c r="E3501" s="70" t="s">
        <v>53</v>
      </c>
      <c r="F3501" s="29">
        <v>133</v>
      </c>
      <c r="G3501" s="29">
        <v>78</v>
      </c>
      <c r="H3501" s="33">
        <v>55</v>
      </c>
      <c r="M3501" s="2"/>
      <c r="N3501" s="2"/>
      <c r="O3501" s="2"/>
    </row>
    <row r="3502" spans="1:15" x14ac:dyDescent="0.4">
      <c r="A3502">
        <v>2007</v>
      </c>
      <c r="B3502" s="2" t="s">
        <v>507</v>
      </c>
      <c r="C3502" s="2" t="s">
        <v>719</v>
      </c>
      <c r="D3502" s="2" t="s">
        <v>173</v>
      </c>
      <c r="E3502" s="70" t="s">
        <v>172</v>
      </c>
      <c r="F3502" s="29">
        <v>545</v>
      </c>
      <c r="G3502" s="29">
        <v>383</v>
      </c>
      <c r="H3502" s="33">
        <v>162</v>
      </c>
      <c r="M3502" s="2"/>
      <c r="N3502" s="2"/>
      <c r="O3502" s="2"/>
    </row>
    <row r="3503" spans="1:15" x14ac:dyDescent="0.4">
      <c r="A3503">
        <v>2007</v>
      </c>
      <c r="B3503" s="2" t="s">
        <v>508</v>
      </c>
      <c r="C3503" s="2" t="s">
        <v>719</v>
      </c>
      <c r="D3503" s="2" t="s">
        <v>173</v>
      </c>
      <c r="E3503" s="70" t="s">
        <v>174</v>
      </c>
      <c r="F3503" s="29">
        <v>46</v>
      </c>
      <c r="G3503" s="29">
        <v>31</v>
      </c>
      <c r="H3503" s="33">
        <v>15</v>
      </c>
      <c r="M3503" s="2"/>
      <c r="N3503" s="2"/>
      <c r="O3503" s="2"/>
    </row>
    <row r="3504" spans="1:15" x14ac:dyDescent="0.4">
      <c r="A3504">
        <v>2007</v>
      </c>
      <c r="B3504" s="2" t="s">
        <v>509</v>
      </c>
      <c r="C3504" s="2" t="s">
        <v>719</v>
      </c>
      <c r="D3504" s="2" t="s">
        <v>173</v>
      </c>
      <c r="E3504" s="70" t="s">
        <v>175</v>
      </c>
      <c r="F3504" s="29">
        <v>77</v>
      </c>
      <c r="G3504" s="29">
        <v>53</v>
      </c>
      <c r="H3504" s="33">
        <v>24</v>
      </c>
      <c r="M3504" s="2"/>
      <c r="N3504" s="2"/>
      <c r="O3504" s="2"/>
    </row>
    <row r="3505" spans="1:15" x14ac:dyDescent="0.4">
      <c r="A3505">
        <v>2007</v>
      </c>
      <c r="B3505" s="2" t="s">
        <v>510</v>
      </c>
      <c r="C3505" s="2" t="s">
        <v>719</v>
      </c>
      <c r="D3505" s="2" t="s">
        <v>173</v>
      </c>
      <c r="E3505" s="70" t="s">
        <v>176</v>
      </c>
      <c r="F3505" s="29">
        <v>14</v>
      </c>
      <c r="G3505" s="29">
        <v>9</v>
      </c>
      <c r="H3505" s="33">
        <v>5</v>
      </c>
      <c r="M3505" s="2"/>
      <c r="N3505" s="2"/>
      <c r="O3505" s="2"/>
    </row>
    <row r="3506" spans="1:15" x14ac:dyDescent="0.4">
      <c r="A3506">
        <v>2007</v>
      </c>
      <c r="B3506" s="2" t="s">
        <v>511</v>
      </c>
      <c r="C3506" s="2" t="s">
        <v>719</v>
      </c>
      <c r="D3506" s="2" t="s">
        <v>173</v>
      </c>
      <c r="E3506" s="70" t="s">
        <v>177</v>
      </c>
      <c r="F3506" s="29">
        <v>46</v>
      </c>
      <c r="G3506" s="29">
        <v>22</v>
      </c>
      <c r="H3506" s="33">
        <v>24</v>
      </c>
      <c r="M3506" s="2"/>
      <c r="N3506" s="2"/>
      <c r="O3506" s="2"/>
    </row>
    <row r="3507" spans="1:15" x14ac:dyDescent="0.4">
      <c r="A3507">
        <v>2007</v>
      </c>
      <c r="B3507" s="2" t="s">
        <v>512</v>
      </c>
      <c r="C3507" s="2" t="s">
        <v>719</v>
      </c>
      <c r="D3507" s="2" t="s">
        <v>173</v>
      </c>
      <c r="E3507" s="70" t="s">
        <v>178</v>
      </c>
      <c r="F3507" s="29">
        <v>240</v>
      </c>
      <c r="G3507" s="29">
        <v>156</v>
      </c>
      <c r="H3507" s="33">
        <v>84</v>
      </c>
      <c r="M3507" s="2"/>
      <c r="N3507" s="2"/>
      <c r="O3507" s="2"/>
    </row>
    <row r="3508" spans="1:15" x14ac:dyDescent="0.4">
      <c r="A3508">
        <v>2007</v>
      </c>
      <c r="B3508" s="2" t="s">
        <v>513</v>
      </c>
      <c r="C3508" s="2" t="s">
        <v>719</v>
      </c>
      <c r="D3508" s="2" t="s">
        <v>173</v>
      </c>
      <c r="E3508" s="70" t="s">
        <v>179</v>
      </c>
      <c r="F3508" s="29">
        <v>41</v>
      </c>
      <c r="G3508" s="29">
        <v>25</v>
      </c>
      <c r="H3508" s="33">
        <v>16</v>
      </c>
      <c r="M3508" s="2"/>
      <c r="N3508" s="2"/>
      <c r="O3508" s="2"/>
    </row>
    <row r="3509" spans="1:15" x14ac:dyDescent="0.4">
      <c r="A3509">
        <v>2007</v>
      </c>
      <c r="B3509" s="2" t="s">
        <v>514</v>
      </c>
      <c r="C3509" s="2" t="s">
        <v>719</v>
      </c>
      <c r="D3509" s="2" t="s">
        <v>173</v>
      </c>
      <c r="E3509" s="70" t="s">
        <v>180</v>
      </c>
      <c r="F3509" s="29">
        <v>111</v>
      </c>
      <c r="G3509" s="29">
        <v>79</v>
      </c>
      <c r="H3509" s="33">
        <v>32</v>
      </c>
      <c r="M3509" s="2"/>
      <c r="N3509" s="2"/>
      <c r="O3509" s="2"/>
    </row>
    <row r="3510" spans="1:15" x14ac:dyDescent="0.4">
      <c r="A3510">
        <v>2007</v>
      </c>
      <c r="B3510" s="2" t="s">
        <v>515</v>
      </c>
      <c r="C3510" s="2" t="s">
        <v>719</v>
      </c>
      <c r="D3510" s="2" t="s">
        <v>173</v>
      </c>
      <c r="E3510" s="70" t="s">
        <v>181</v>
      </c>
      <c r="F3510" s="29">
        <v>38</v>
      </c>
      <c r="G3510" s="29">
        <v>26</v>
      </c>
      <c r="H3510" s="33">
        <v>12</v>
      </c>
      <c r="M3510" s="2"/>
      <c r="N3510" s="2"/>
      <c r="O3510" s="2"/>
    </row>
    <row r="3511" spans="1:15" x14ac:dyDescent="0.4">
      <c r="A3511">
        <v>2007</v>
      </c>
      <c r="B3511" s="2" t="s">
        <v>516</v>
      </c>
      <c r="C3511" s="2" t="s">
        <v>719</v>
      </c>
      <c r="D3511" s="2" t="s">
        <v>173</v>
      </c>
      <c r="E3511" s="70" t="s">
        <v>182</v>
      </c>
      <c r="F3511" s="29">
        <v>53</v>
      </c>
      <c r="G3511" s="29">
        <v>30</v>
      </c>
      <c r="H3511" s="33">
        <v>23</v>
      </c>
      <c r="M3511" s="2"/>
      <c r="N3511" s="2"/>
      <c r="O3511" s="2"/>
    </row>
    <row r="3512" spans="1:15" x14ac:dyDescent="0.4">
      <c r="A3512">
        <v>2007</v>
      </c>
      <c r="B3512" s="2" t="s">
        <v>517</v>
      </c>
      <c r="C3512" s="2" t="s">
        <v>719</v>
      </c>
      <c r="D3512" s="2" t="s">
        <v>173</v>
      </c>
      <c r="E3512" s="70" t="s">
        <v>183</v>
      </c>
      <c r="F3512" s="29">
        <v>7</v>
      </c>
      <c r="G3512" s="29">
        <v>4</v>
      </c>
      <c r="H3512" s="33">
        <v>3</v>
      </c>
      <c r="M3512" s="2"/>
      <c r="N3512" s="2"/>
      <c r="O3512" s="2"/>
    </row>
    <row r="3513" spans="1:15" x14ac:dyDescent="0.4">
      <c r="A3513">
        <v>2007</v>
      </c>
      <c r="B3513" s="2" t="s">
        <v>518</v>
      </c>
      <c r="C3513" s="2" t="s">
        <v>719</v>
      </c>
      <c r="D3513" s="2" t="s">
        <v>173</v>
      </c>
      <c r="E3513" s="70" t="s">
        <v>44</v>
      </c>
      <c r="F3513" s="29">
        <v>2197</v>
      </c>
      <c r="G3513" s="29">
        <v>1319</v>
      </c>
      <c r="H3513" s="33">
        <v>878</v>
      </c>
      <c r="M3513" s="2"/>
      <c r="N3513" s="2"/>
      <c r="O3513" s="2"/>
    </row>
    <row r="3514" spans="1:15" x14ac:dyDescent="0.4">
      <c r="A3514">
        <v>2007</v>
      </c>
      <c r="B3514" s="2" t="s">
        <v>519</v>
      </c>
      <c r="C3514" s="2" t="s">
        <v>719</v>
      </c>
      <c r="D3514" s="2" t="s">
        <v>173</v>
      </c>
      <c r="E3514" s="70" t="s">
        <v>85</v>
      </c>
      <c r="F3514" s="29">
        <v>93</v>
      </c>
      <c r="G3514" s="29">
        <v>59</v>
      </c>
      <c r="H3514" s="33">
        <v>34</v>
      </c>
      <c r="M3514" s="2"/>
      <c r="N3514" s="2"/>
      <c r="O3514" s="2"/>
    </row>
    <row r="3515" spans="1:15" x14ac:dyDescent="0.4">
      <c r="A3515">
        <v>2007</v>
      </c>
      <c r="B3515" s="2" t="s">
        <v>520</v>
      </c>
      <c r="C3515" s="2" t="s">
        <v>719</v>
      </c>
      <c r="D3515" s="2" t="s">
        <v>173</v>
      </c>
      <c r="E3515" s="70" t="s">
        <v>184</v>
      </c>
      <c r="F3515" s="29">
        <v>98</v>
      </c>
      <c r="G3515" s="29">
        <v>68</v>
      </c>
      <c r="H3515" s="33">
        <v>30</v>
      </c>
      <c r="M3515" s="2"/>
      <c r="N3515" s="2"/>
      <c r="O3515" s="2"/>
    </row>
    <row r="3516" spans="1:15" x14ac:dyDescent="0.4">
      <c r="A3516">
        <v>2007</v>
      </c>
      <c r="B3516" s="2" t="s">
        <v>521</v>
      </c>
      <c r="C3516" s="2" t="s">
        <v>719</v>
      </c>
      <c r="D3516" s="2" t="s">
        <v>173</v>
      </c>
      <c r="E3516" s="70" t="s">
        <v>185</v>
      </c>
      <c r="F3516" s="29">
        <v>2</v>
      </c>
      <c r="G3516" s="29">
        <v>2</v>
      </c>
      <c r="H3516" s="33">
        <v>0</v>
      </c>
      <c r="M3516" s="2"/>
      <c r="N3516" s="2"/>
      <c r="O3516" s="2"/>
    </row>
    <row r="3517" spans="1:15" x14ac:dyDescent="0.4">
      <c r="A3517">
        <v>2007</v>
      </c>
      <c r="B3517" s="2" t="s">
        <v>522</v>
      </c>
      <c r="C3517" s="2" t="s">
        <v>719</v>
      </c>
      <c r="D3517" s="2" t="s">
        <v>173</v>
      </c>
      <c r="E3517" s="70" t="s">
        <v>186</v>
      </c>
      <c r="F3517" s="29">
        <v>45</v>
      </c>
      <c r="G3517" s="29">
        <v>27</v>
      </c>
      <c r="H3517" s="33">
        <v>18</v>
      </c>
      <c r="M3517" s="2"/>
      <c r="N3517" s="2"/>
      <c r="O3517" s="2"/>
    </row>
    <row r="3518" spans="1:15" x14ac:dyDescent="0.4">
      <c r="A3518">
        <v>2007</v>
      </c>
      <c r="B3518" s="2" t="s">
        <v>523</v>
      </c>
      <c r="C3518" s="2" t="s">
        <v>719</v>
      </c>
      <c r="D3518" s="2" t="s">
        <v>173</v>
      </c>
      <c r="E3518" s="70" t="s">
        <v>187</v>
      </c>
      <c r="F3518" s="29">
        <v>47</v>
      </c>
      <c r="G3518" s="29">
        <v>33</v>
      </c>
      <c r="H3518" s="33">
        <v>14</v>
      </c>
      <c r="M3518" s="2"/>
      <c r="N3518" s="2"/>
      <c r="O3518" s="2"/>
    </row>
    <row r="3519" spans="1:15" x14ac:dyDescent="0.4">
      <c r="A3519">
        <v>2007</v>
      </c>
      <c r="B3519" s="2" t="s">
        <v>524</v>
      </c>
      <c r="C3519" s="2" t="s">
        <v>719</v>
      </c>
      <c r="D3519" s="2" t="s">
        <v>173</v>
      </c>
      <c r="E3519" s="70" t="s">
        <v>188</v>
      </c>
      <c r="F3519" s="29">
        <v>64</v>
      </c>
      <c r="G3519" s="29">
        <v>41</v>
      </c>
      <c r="H3519" s="33">
        <v>23</v>
      </c>
      <c r="M3519" s="2"/>
      <c r="N3519" s="2"/>
      <c r="O3519" s="2"/>
    </row>
    <row r="3520" spans="1:15" x14ac:dyDescent="0.4">
      <c r="A3520">
        <v>2007</v>
      </c>
      <c r="B3520" s="2" t="s">
        <v>525</v>
      </c>
      <c r="C3520" s="2" t="s">
        <v>719</v>
      </c>
      <c r="D3520" s="2" t="s">
        <v>173</v>
      </c>
      <c r="E3520" s="70" t="s">
        <v>189</v>
      </c>
      <c r="F3520" s="29">
        <v>48</v>
      </c>
      <c r="G3520" s="29">
        <v>31</v>
      </c>
      <c r="H3520" s="33">
        <v>17</v>
      </c>
      <c r="M3520" s="2"/>
      <c r="N3520" s="2"/>
      <c r="O3520" s="2"/>
    </row>
    <row r="3521" spans="1:15" x14ac:dyDescent="0.4">
      <c r="A3521">
        <v>2007</v>
      </c>
      <c r="B3521" s="2" t="s">
        <v>526</v>
      </c>
      <c r="C3521" s="2" t="s">
        <v>719</v>
      </c>
      <c r="D3521" s="2" t="s">
        <v>173</v>
      </c>
      <c r="E3521" s="70" t="s">
        <v>51</v>
      </c>
      <c r="F3521" s="29">
        <v>171</v>
      </c>
      <c r="G3521" s="29">
        <v>110</v>
      </c>
      <c r="H3521" s="33">
        <v>61</v>
      </c>
      <c r="M3521" s="2"/>
      <c r="N3521" s="2"/>
      <c r="O3521" s="2"/>
    </row>
    <row r="3522" spans="1:15" x14ac:dyDescent="0.4">
      <c r="A3522">
        <v>2007</v>
      </c>
      <c r="B3522" s="2" t="s">
        <v>527</v>
      </c>
      <c r="C3522" s="2" t="s">
        <v>719</v>
      </c>
      <c r="D3522" s="2" t="s">
        <v>173</v>
      </c>
      <c r="E3522" s="70" t="s">
        <v>52</v>
      </c>
      <c r="F3522" s="29">
        <v>164</v>
      </c>
      <c r="G3522" s="29">
        <v>101</v>
      </c>
      <c r="H3522" s="33">
        <v>63</v>
      </c>
      <c r="M3522" s="2"/>
      <c r="N3522" s="2"/>
      <c r="O3522" s="2"/>
    </row>
    <row r="3523" spans="1:15" x14ac:dyDescent="0.4">
      <c r="A3523">
        <v>2007</v>
      </c>
      <c r="B3523" s="2" t="s">
        <v>528</v>
      </c>
      <c r="C3523" s="2" t="s">
        <v>719</v>
      </c>
      <c r="D3523" s="2" t="s">
        <v>173</v>
      </c>
      <c r="E3523" s="70" t="s">
        <v>190</v>
      </c>
      <c r="F3523" s="29">
        <v>78</v>
      </c>
      <c r="G3523" s="29">
        <v>53</v>
      </c>
      <c r="H3523" s="33">
        <v>25</v>
      </c>
      <c r="M3523" s="2"/>
      <c r="N3523" s="2"/>
      <c r="O3523" s="2"/>
    </row>
    <row r="3524" spans="1:15" x14ac:dyDescent="0.4">
      <c r="A3524">
        <v>2007</v>
      </c>
      <c r="B3524" s="2" t="s">
        <v>529</v>
      </c>
      <c r="C3524" s="2" t="s">
        <v>719</v>
      </c>
      <c r="D3524" s="2" t="s">
        <v>173</v>
      </c>
      <c r="E3524" s="70" t="s">
        <v>191</v>
      </c>
      <c r="F3524" s="29">
        <v>36</v>
      </c>
      <c r="G3524" s="29">
        <v>25</v>
      </c>
      <c r="H3524" s="33">
        <v>11</v>
      </c>
      <c r="M3524" s="2"/>
      <c r="N3524" s="2"/>
      <c r="O3524" s="2"/>
    </row>
    <row r="3525" spans="1:15" x14ac:dyDescent="0.4">
      <c r="A3525">
        <v>2007</v>
      </c>
      <c r="B3525" s="2" t="s">
        <v>530</v>
      </c>
      <c r="C3525" s="2" t="s">
        <v>720</v>
      </c>
      <c r="D3525" s="2" t="s">
        <v>193</v>
      </c>
      <c r="E3525" s="70" t="s">
        <v>192</v>
      </c>
      <c r="F3525" s="29">
        <v>379</v>
      </c>
      <c r="G3525" s="29">
        <v>281</v>
      </c>
      <c r="H3525" s="33">
        <v>98</v>
      </c>
      <c r="M3525" s="2"/>
      <c r="N3525" s="2"/>
      <c r="O3525" s="2"/>
    </row>
    <row r="3526" spans="1:15" x14ac:dyDescent="0.4">
      <c r="A3526">
        <v>2007</v>
      </c>
      <c r="B3526" s="2" t="s">
        <v>531</v>
      </c>
      <c r="C3526" s="2" t="s">
        <v>720</v>
      </c>
      <c r="D3526" s="2" t="s">
        <v>193</v>
      </c>
      <c r="E3526" s="70" t="s">
        <v>174</v>
      </c>
      <c r="F3526" s="29">
        <v>64</v>
      </c>
      <c r="G3526" s="29">
        <v>42</v>
      </c>
      <c r="H3526" s="33">
        <v>22</v>
      </c>
      <c r="M3526" s="2"/>
      <c r="N3526" s="2"/>
      <c r="O3526" s="2"/>
    </row>
    <row r="3527" spans="1:15" x14ac:dyDescent="0.4">
      <c r="A3527">
        <v>2007</v>
      </c>
      <c r="B3527" s="2" t="s">
        <v>532</v>
      </c>
      <c r="C3527" s="2" t="s">
        <v>720</v>
      </c>
      <c r="D3527" s="2" t="s">
        <v>193</v>
      </c>
      <c r="E3527" s="70" t="s">
        <v>194</v>
      </c>
      <c r="F3527" s="29">
        <v>1688</v>
      </c>
      <c r="G3527" s="29">
        <v>824</v>
      </c>
      <c r="H3527" s="33">
        <v>864</v>
      </c>
      <c r="M3527" s="2"/>
      <c r="N3527" s="2"/>
      <c r="O3527" s="2"/>
    </row>
    <row r="3528" spans="1:15" x14ac:dyDescent="0.4">
      <c r="A3528">
        <v>2007</v>
      </c>
      <c r="B3528" s="2" t="s">
        <v>533</v>
      </c>
      <c r="C3528" s="2" t="s">
        <v>720</v>
      </c>
      <c r="D3528" s="2" t="s">
        <v>193</v>
      </c>
      <c r="E3528" s="70" t="s">
        <v>195</v>
      </c>
      <c r="F3528" s="29">
        <v>277</v>
      </c>
      <c r="G3528" s="29">
        <v>171</v>
      </c>
      <c r="H3528" s="33">
        <v>106</v>
      </c>
      <c r="M3528" s="2"/>
      <c r="N3528" s="2"/>
      <c r="O3528" s="2"/>
    </row>
    <row r="3529" spans="1:15" x14ac:dyDescent="0.4">
      <c r="A3529">
        <v>2007</v>
      </c>
      <c r="B3529" s="2" t="s">
        <v>534</v>
      </c>
      <c r="C3529" s="2" t="s">
        <v>720</v>
      </c>
      <c r="D3529" s="2" t="s">
        <v>193</v>
      </c>
      <c r="E3529" s="70" t="s">
        <v>196</v>
      </c>
      <c r="F3529" s="29">
        <v>62</v>
      </c>
      <c r="G3529" s="29">
        <v>45</v>
      </c>
      <c r="H3529" s="33">
        <v>17</v>
      </c>
      <c r="M3529" s="2"/>
      <c r="N3529" s="2"/>
      <c r="O3529" s="2"/>
    </row>
    <row r="3530" spans="1:15" x14ac:dyDescent="0.4">
      <c r="A3530">
        <v>2007</v>
      </c>
      <c r="B3530" s="2" t="s">
        <v>535</v>
      </c>
      <c r="C3530" s="2" t="s">
        <v>720</v>
      </c>
      <c r="D3530" s="2" t="s">
        <v>193</v>
      </c>
      <c r="E3530" s="70" t="s">
        <v>197</v>
      </c>
      <c r="F3530" s="29">
        <v>109</v>
      </c>
      <c r="G3530" s="29">
        <v>71</v>
      </c>
      <c r="H3530" s="33">
        <v>38</v>
      </c>
      <c r="M3530" s="2"/>
      <c r="N3530" s="2"/>
      <c r="O3530" s="2"/>
    </row>
    <row r="3531" spans="1:15" x14ac:dyDescent="0.4">
      <c r="A3531">
        <v>2007</v>
      </c>
      <c r="B3531" s="2" t="s">
        <v>536</v>
      </c>
      <c r="C3531" s="2" t="s">
        <v>720</v>
      </c>
      <c r="D3531" s="2" t="s">
        <v>193</v>
      </c>
      <c r="E3531" s="70" t="s">
        <v>198</v>
      </c>
      <c r="F3531" s="29">
        <v>757</v>
      </c>
      <c r="G3531" s="29">
        <v>417</v>
      </c>
      <c r="H3531" s="33">
        <v>340</v>
      </c>
      <c r="M3531" s="2"/>
      <c r="N3531" s="2"/>
      <c r="O3531" s="2"/>
    </row>
    <row r="3532" spans="1:15" x14ac:dyDescent="0.4">
      <c r="A3532">
        <v>2007</v>
      </c>
      <c r="B3532" s="2" t="s">
        <v>537</v>
      </c>
      <c r="C3532" s="2" t="s">
        <v>720</v>
      </c>
      <c r="D3532" s="2" t="s">
        <v>193</v>
      </c>
      <c r="E3532" s="70" t="s">
        <v>199</v>
      </c>
      <c r="F3532" s="29">
        <v>403</v>
      </c>
      <c r="G3532" s="29">
        <v>272</v>
      </c>
      <c r="H3532" s="33">
        <v>131</v>
      </c>
      <c r="M3532" s="2"/>
      <c r="N3532" s="2"/>
      <c r="O3532" s="2"/>
    </row>
    <row r="3533" spans="1:15" x14ac:dyDescent="0.4">
      <c r="A3533">
        <v>2007</v>
      </c>
      <c r="B3533" s="2" t="s">
        <v>538</v>
      </c>
      <c r="C3533" s="2" t="s">
        <v>720</v>
      </c>
      <c r="D3533" s="2" t="s">
        <v>193</v>
      </c>
      <c r="E3533" s="70" t="s">
        <v>200</v>
      </c>
      <c r="F3533" s="29">
        <v>132</v>
      </c>
      <c r="G3533" s="29">
        <v>77</v>
      </c>
      <c r="H3533" s="33">
        <v>55</v>
      </c>
      <c r="M3533" s="2"/>
      <c r="N3533" s="2"/>
      <c r="O3533" s="2"/>
    </row>
    <row r="3534" spans="1:15" x14ac:dyDescent="0.4">
      <c r="A3534">
        <v>2007</v>
      </c>
      <c r="B3534" s="2" t="s">
        <v>539</v>
      </c>
      <c r="C3534" s="2" t="s">
        <v>720</v>
      </c>
      <c r="D3534" s="2" t="s">
        <v>193</v>
      </c>
      <c r="E3534" s="70" t="s">
        <v>201</v>
      </c>
      <c r="F3534" s="29">
        <v>1529</v>
      </c>
      <c r="G3534" s="29">
        <v>999</v>
      </c>
      <c r="H3534" s="33">
        <v>530</v>
      </c>
      <c r="M3534" s="2"/>
      <c r="N3534" s="2"/>
      <c r="O3534" s="2"/>
    </row>
    <row r="3535" spans="1:15" x14ac:dyDescent="0.4">
      <c r="A3535">
        <v>2007</v>
      </c>
      <c r="B3535" s="2" t="s">
        <v>540</v>
      </c>
      <c r="C3535" s="2" t="s">
        <v>720</v>
      </c>
      <c r="D3535" s="2" t="s">
        <v>193</v>
      </c>
      <c r="E3535" s="70" t="s">
        <v>14</v>
      </c>
      <c r="F3535" s="29">
        <v>588</v>
      </c>
      <c r="G3535" s="29">
        <v>413</v>
      </c>
      <c r="H3535" s="33">
        <v>175</v>
      </c>
      <c r="M3535" s="2"/>
      <c r="N3535" s="2"/>
      <c r="O3535" s="2"/>
    </row>
    <row r="3536" spans="1:15" x14ac:dyDescent="0.4">
      <c r="A3536">
        <v>2007</v>
      </c>
      <c r="B3536" s="2" t="s">
        <v>541</v>
      </c>
      <c r="C3536" s="2" t="s">
        <v>720</v>
      </c>
      <c r="D3536" s="2" t="s">
        <v>193</v>
      </c>
      <c r="E3536" s="70" t="s">
        <v>202</v>
      </c>
      <c r="F3536" s="29">
        <v>791</v>
      </c>
      <c r="G3536" s="29">
        <v>547</v>
      </c>
      <c r="H3536" s="33">
        <v>244</v>
      </c>
      <c r="M3536" s="2"/>
      <c r="N3536" s="2"/>
      <c r="O3536" s="2"/>
    </row>
    <row r="3537" spans="1:15" x14ac:dyDescent="0.4">
      <c r="A3537">
        <v>2007</v>
      </c>
      <c r="B3537" s="2" t="s">
        <v>542</v>
      </c>
      <c r="C3537" s="2" t="s">
        <v>720</v>
      </c>
      <c r="D3537" s="2" t="s">
        <v>193</v>
      </c>
      <c r="E3537" s="70" t="s">
        <v>203</v>
      </c>
      <c r="F3537" s="29">
        <v>163</v>
      </c>
      <c r="G3537" s="29">
        <v>83</v>
      </c>
      <c r="H3537" s="33">
        <v>80</v>
      </c>
      <c r="M3537" s="2"/>
      <c r="N3537" s="2"/>
      <c r="O3537" s="2"/>
    </row>
    <row r="3538" spans="1:15" x14ac:dyDescent="0.4">
      <c r="A3538">
        <v>2007</v>
      </c>
      <c r="B3538" s="2" t="s">
        <v>543</v>
      </c>
      <c r="C3538" s="2" t="s">
        <v>720</v>
      </c>
      <c r="D3538" s="2" t="s">
        <v>193</v>
      </c>
      <c r="E3538" s="70" t="s">
        <v>32</v>
      </c>
      <c r="F3538" s="29">
        <v>205</v>
      </c>
      <c r="G3538" s="29">
        <v>135</v>
      </c>
      <c r="H3538" s="33">
        <v>70</v>
      </c>
      <c r="M3538" s="2"/>
      <c r="N3538" s="2"/>
      <c r="O3538" s="2"/>
    </row>
    <row r="3539" spans="1:15" x14ac:dyDescent="0.4">
      <c r="A3539">
        <v>2007</v>
      </c>
      <c r="B3539" s="2" t="s">
        <v>544</v>
      </c>
      <c r="C3539" s="2" t="s">
        <v>720</v>
      </c>
      <c r="D3539" s="2" t="s">
        <v>193</v>
      </c>
      <c r="E3539" s="70" t="s">
        <v>204</v>
      </c>
      <c r="F3539" s="29">
        <v>298</v>
      </c>
      <c r="G3539" s="29">
        <v>212</v>
      </c>
      <c r="H3539" s="33">
        <v>86</v>
      </c>
      <c r="M3539" s="2"/>
      <c r="N3539" s="2"/>
      <c r="O3539" s="2"/>
    </row>
    <row r="3540" spans="1:15" x14ac:dyDescent="0.4">
      <c r="A3540">
        <v>2007</v>
      </c>
      <c r="B3540" s="2" t="s">
        <v>545</v>
      </c>
      <c r="C3540" s="2" t="s">
        <v>720</v>
      </c>
      <c r="D3540" s="2" t="s">
        <v>193</v>
      </c>
      <c r="E3540" s="70" t="s">
        <v>205</v>
      </c>
      <c r="F3540" s="29">
        <v>59</v>
      </c>
      <c r="G3540" s="29">
        <v>44</v>
      </c>
      <c r="H3540" s="33">
        <v>15</v>
      </c>
      <c r="M3540" s="2"/>
      <c r="N3540" s="2"/>
      <c r="O3540" s="2"/>
    </row>
    <row r="3541" spans="1:15" x14ac:dyDescent="0.4">
      <c r="A3541">
        <v>2007</v>
      </c>
      <c r="B3541" s="2" t="s">
        <v>546</v>
      </c>
      <c r="C3541" s="2" t="s">
        <v>720</v>
      </c>
      <c r="D3541" s="2" t="s">
        <v>193</v>
      </c>
      <c r="E3541" s="70" t="s">
        <v>206</v>
      </c>
      <c r="F3541" s="29">
        <v>692</v>
      </c>
      <c r="G3541" s="29">
        <v>447</v>
      </c>
      <c r="H3541" s="33">
        <v>245</v>
      </c>
      <c r="M3541" s="2"/>
      <c r="N3541" s="2"/>
      <c r="O3541" s="2"/>
    </row>
    <row r="3542" spans="1:15" x14ac:dyDescent="0.4">
      <c r="A3542">
        <v>2007</v>
      </c>
      <c r="B3542" s="2" t="s">
        <v>547</v>
      </c>
      <c r="C3542" s="2" t="s">
        <v>720</v>
      </c>
      <c r="D3542" s="2" t="s">
        <v>193</v>
      </c>
      <c r="E3542" s="70" t="s">
        <v>25</v>
      </c>
      <c r="F3542" s="29">
        <v>147</v>
      </c>
      <c r="G3542" s="29">
        <v>123</v>
      </c>
      <c r="H3542" s="33">
        <v>24</v>
      </c>
      <c r="M3542" s="2"/>
      <c r="N3542" s="2"/>
      <c r="O3542" s="2"/>
    </row>
    <row r="3543" spans="1:15" x14ac:dyDescent="0.4">
      <c r="A3543">
        <v>2007</v>
      </c>
      <c r="B3543" s="2" t="s">
        <v>548</v>
      </c>
      <c r="C3543" s="2" t="s">
        <v>720</v>
      </c>
      <c r="D3543" s="2" t="s">
        <v>193</v>
      </c>
      <c r="E3543" s="70" t="s">
        <v>51</v>
      </c>
      <c r="F3543" s="29">
        <v>3260</v>
      </c>
      <c r="G3543" s="29">
        <v>2131</v>
      </c>
      <c r="H3543" s="33">
        <v>1129</v>
      </c>
      <c r="M3543" s="2"/>
      <c r="N3543" s="2"/>
      <c r="O3543" s="2"/>
    </row>
    <row r="3544" spans="1:15" x14ac:dyDescent="0.4">
      <c r="A3544">
        <v>2007</v>
      </c>
      <c r="B3544" s="2" t="s">
        <v>549</v>
      </c>
      <c r="C3544" s="2" t="s">
        <v>720</v>
      </c>
      <c r="D3544" s="2" t="s">
        <v>193</v>
      </c>
      <c r="E3544" s="70" t="s">
        <v>53</v>
      </c>
      <c r="F3544" s="29">
        <v>375</v>
      </c>
      <c r="G3544" s="29">
        <v>264</v>
      </c>
      <c r="H3544" s="33">
        <v>111</v>
      </c>
      <c r="M3544" s="2"/>
      <c r="N3544" s="2"/>
      <c r="O3544" s="2"/>
    </row>
    <row r="3545" spans="1:15" x14ac:dyDescent="0.4">
      <c r="A3545">
        <v>2007</v>
      </c>
      <c r="B3545" s="2" t="s">
        <v>550</v>
      </c>
      <c r="C3545" s="2" t="s">
        <v>720</v>
      </c>
      <c r="D3545" s="2" t="s">
        <v>193</v>
      </c>
      <c r="E3545" s="70" t="s">
        <v>54</v>
      </c>
      <c r="F3545" s="29">
        <v>655</v>
      </c>
      <c r="G3545" s="29">
        <v>460</v>
      </c>
      <c r="H3545" s="33">
        <v>195</v>
      </c>
      <c r="M3545" s="2"/>
      <c r="N3545" s="2"/>
      <c r="O3545" s="2"/>
    </row>
    <row r="3546" spans="1:15" x14ac:dyDescent="0.4">
      <c r="A3546">
        <v>2007</v>
      </c>
      <c r="B3546" s="2" t="s">
        <v>551</v>
      </c>
      <c r="C3546" s="2" t="s">
        <v>721</v>
      </c>
      <c r="D3546" s="2" t="s">
        <v>207</v>
      </c>
      <c r="E3546" s="70" t="s">
        <v>128</v>
      </c>
      <c r="F3546" s="29">
        <v>52</v>
      </c>
      <c r="G3546" s="29">
        <v>29</v>
      </c>
      <c r="H3546" s="33">
        <v>23</v>
      </c>
      <c r="M3546" s="2"/>
      <c r="N3546" s="2"/>
      <c r="O3546" s="2"/>
    </row>
    <row r="3547" spans="1:15" x14ac:dyDescent="0.4">
      <c r="A3547">
        <v>2007</v>
      </c>
      <c r="B3547" s="2" t="s">
        <v>552</v>
      </c>
      <c r="C3547" s="2" t="s">
        <v>721</v>
      </c>
      <c r="D3547" s="2" t="s">
        <v>207</v>
      </c>
      <c r="E3547" s="70" t="s">
        <v>208</v>
      </c>
      <c r="F3547" s="29">
        <v>27</v>
      </c>
      <c r="G3547" s="29">
        <v>24</v>
      </c>
      <c r="H3547" s="33">
        <v>3</v>
      </c>
      <c r="M3547" s="2"/>
      <c r="N3547" s="2"/>
      <c r="O3547" s="2"/>
    </row>
    <row r="3548" spans="1:15" x14ac:dyDescent="0.4">
      <c r="A3548">
        <v>2007</v>
      </c>
      <c r="B3548" s="2" t="s">
        <v>553</v>
      </c>
      <c r="C3548" s="2" t="s">
        <v>721</v>
      </c>
      <c r="D3548" s="2" t="s">
        <v>207</v>
      </c>
      <c r="E3548" s="70" t="s">
        <v>36</v>
      </c>
      <c r="F3548" s="29">
        <v>136</v>
      </c>
      <c r="G3548" s="29">
        <v>82</v>
      </c>
      <c r="H3548" s="33">
        <v>54</v>
      </c>
      <c r="M3548" s="2"/>
      <c r="N3548" s="2"/>
      <c r="O3548" s="2"/>
    </row>
    <row r="3549" spans="1:15" x14ac:dyDescent="0.4">
      <c r="A3549">
        <v>2007</v>
      </c>
      <c r="B3549" s="2" t="s">
        <v>554</v>
      </c>
      <c r="C3549" s="2" t="s">
        <v>721</v>
      </c>
      <c r="D3549" s="2" t="s">
        <v>207</v>
      </c>
      <c r="E3549" s="70" t="s">
        <v>209</v>
      </c>
      <c r="F3549" s="29">
        <v>86</v>
      </c>
      <c r="G3549" s="29">
        <v>55</v>
      </c>
      <c r="H3549" s="33">
        <v>31</v>
      </c>
      <c r="M3549" s="2"/>
      <c r="N3549" s="2"/>
      <c r="O3549" s="2"/>
    </row>
    <row r="3550" spans="1:15" x14ac:dyDescent="0.4">
      <c r="A3550">
        <v>2007</v>
      </c>
      <c r="B3550" s="2" t="s">
        <v>555</v>
      </c>
      <c r="C3550" s="2" t="s">
        <v>721</v>
      </c>
      <c r="D3550" s="2" t="s">
        <v>207</v>
      </c>
      <c r="E3550" s="70" t="s">
        <v>69</v>
      </c>
      <c r="F3550" s="29">
        <v>74</v>
      </c>
      <c r="G3550" s="29">
        <v>49</v>
      </c>
      <c r="H3550" s="33">
        <v>25</v>
      </c>
      <c r="M3550" s="2"/>
      <c r="N3550" s="2"/>
      <c r="O3550" s="2"/>
    </row>
    <row r="3551" spans="1:15" x14ac:dyDescent="0.4">
      <c r="A3551">
        <v>2007</v>
      </c>
      <c r="B3551" s="2" t="s">
        <v>556</v>
      </c>
      <c r="C3551" s="2" t="s">
        <v>721</v>
      </c>
      <c r="D3551" s="2" t="s">
        <v>207</v>
      </c>
      <c r="E3551" s="70" t="s">
        <v>62</v>
      </c>
      <c r="F3551" s="29">
        <v>142</v>
      </c>
      <c r="G3551" s="29">
        <v>96</v>
      </c>
      <c r="H3551" s="33">
        <v>46</v>
      </c>
      <c r="M3551" s="2"/>
      <c r="N3551" s="2"/>
      <c r="O3551" s="2"/>
    </row>
    <row r="3552" spans="1:15" x14ac:dyDescent="0.4">
      <c r="A3552">
        <v>2007</v>
      </c>
      <c r="B3552" s="2" t="s">
        <v>557</v>
      </c>
      <c r="C3552" s="2" t="s">
        <v>721</v>
      </c>
      <c r="D3552" s="2" t="s">
        <v>207</v>
      </c>
      <c r="E3552" s="70" t="s">
        <v>44</v>
      </c>
      <c r="F3552" s="29">
        <v>83</v>
      </c>
      <c r="G3552" s="29">
        <v>65</v>
      </c>
      <c r="H3552" s="33">
        <v>18</v>
      </c>
      <c r="M3552" s="2"/>
      <c r="N3552" s="2"/>
      <c r="O3552" s="2"/>
    </row>
    <row r="3553" spans="1:15" x14ac:dyDescent="0.4">
      <c r="A3553">
        <v>2007</v>
      </c>
      <c r="B3553" s="2" t="s">
        <v>558</v>
      </c>
      <c r="C3553" s="2" t="s">
        <v>721</v>
      </c>
      <c r="D3553" s="2" t="s">
        <v>207</v>
      </c>
      <c r="E3553" s="70" t="s">
        <v>210</v>
      </c>
      <c r="F3553" s="29">
        <v>2515</v>
      </c>
      <c r="G3553" s="29">
        <v>1540</v>
      </c>
      <c r="H3553" s="33">
        <v>975</v>
      </c>
      <c r="M3553" s="2"/>
      <c r="N3553" s="2"/>
      <c r="O3553" s="2"/>
    </row>
    <row r="3554" spans="1:15" x14ac:dyDescent="0.4">
      <c r="A3554">
        <v>2007</v>
      </c>
      <c r="B3554" s="2" t="s">
        <v>559</v>
      </c>
      <c r="C3554" s="2" t="s">
        <v>721</v>
      </c>
      <c r="D3554" s="2" t="s">
        <v>207</v>
      </c>
      <c r="E3554" s="70" t="s">
        <v>74</v>
      </c>
      <c r="F3554" s="29">
        <v>87</v>
      </c>
      <c r="G3554" s="29">
        <v>48</v>
      </c>
      <c r="H3554" s="33">
        <v>39</v>
      </c>
      <c r="M3554" s="2"/>
      <c r="N3554" s="2"/>
      <c r="O3554" s="2"/>
    </row>
    <row r="3555" spans="1:15" x14ac:dyDescent="0.4">
      <c r="A3555">
        <v>2007</v>
      </c>
      <c r="B3555" s="2" t="s">
        <v>560</v>
      </c>
      <c r="C3555" s="2" t="s">
        <v>721</v>
      </c>
      <c r="D3555" s="2" t="s">
        <v>207</v>
      </c>
      <c r="E3555" s="70" t="s">
        <v>211</v>
      </c>
      <c r="F3555" s="29">
        <v>76</v>
      </c>
      <c r="G3555" s="29">
        <v>49</v>
      </c>
      <c r="H3555" s="33">
        <v>27</v>
      </c>
      <c r="M3555" s="2"/>
      <c r="N3555" s="2"/>
      <c r="O3555" s="2"/>
    </row>
    <row r="3556" spans="1:15" x14ac:dyDescent="0.4">
      <c r="A3556">
        <v>2007</v>
      </c>
      <c r="B3556" s="2" t="s">
        <v>561</v>
      </c>
      <c r="C3556" s="2" t="s">
        <v>721</v>
      </c>
      <c r="D3556" s="2" t="s">
        <v>207</v>
      </c>
      <c r="E3556" s="70" t="s">
        <v>212</v>
      </c>
      <c r="F3556" s="29">
        <v>15</v>
      </c>
      <c r="G3556" s="29">
        <v>8</v>
      </c>
      <c r="H3556" s="33">
        <v>7</v>
      </c>
      <c r="M3556" s="2"/>
      <c r="N3556" s="2"/>
      <c r="O3556" s="2"/>
    </row>
    <row r="3557" spans="1:15" x14ac:dyDescent="0.4">
      <c r="A3557">
        <v>2007</v>
      </c>
      <c r="B3557" s="2" t="s">
        <v>562</v>
      </c>
      <c r="C3557" s="2" t="s">
        <v>721</v>
      </c>
      <c r="D3557" s="2" t="s">
        <v>207</v>
      </c>
      <c r="E3557" s="70" t="s">
        <v>213</v>
      </c>
      <c r="F3557" s="29">
        <v>66</v>
      </c>
      <c r="G3557" s="29">
        <v>43</v>
      </c>
      <c r="H3557" s="33">
        <v>23</v>
      </c>
      <c r="M3557" s="2"/>
      <c r="N3557" s="2"/>
      <c r="O3557" s="2"/>
    </row>
    <row r="3558" spans="1:15" x14ac:dyDescent="0.4">
      <c r="A3558">
        <v>2007</v>
      </c>
      <c r="B3558" s="2" t="s">
        <v>563</v>
      </c>
      <c r="C3558" s="2" t="s">
        <v>721</v>
      </c>
      <c r="D3558" s="2" t="s">
        <v>207</v>
      </c>
      <c r="E3558" s="70" t="s">
        <v>214</v>
      </c>
      <c r="F3558" s="29">
        <v>19</v>
      </c>
      <c r="G3558" s="29">
        <v>14</v>
      </c>
      <c r="H3558" s="33">
        <v>5</v>
      </c>
      <c r="M3558" s="2"/>
      <c r="N3558" s="2"/>
      <c r="O3558" s="2"/>
    </row>
    <row r="3559" spans="1:15" x14ac:dyDescent="0.4">
      <c r="A3559">
        <v>2007</v>
      </c>
      <c r="B3559" s="2" t="s">
        <v>564</v>
      </c>
      <c r="C3559" s="2" t="s">
        <v>722</v>
      </c>
      <c r="D3559" s="2" t="s">
        <v>216</v>
      </c>
      <c r="E3559" s="70" t="s">
        <v>215</v>
      </c>
      <c r="F3559" s="29">
        <v>49</v>
      </c>
      <c r="G3559" s="29">
        <v>28</v>
      </c>
      <c r="H3559" s="33">
        <v>21</v>
      </c>
      <c r="M3559" s="2"/>
      <c r="N3559" s="2"/>
      <c r="O3559" s="2"/>
    </row>
    <row r="3560" spans="1:15" x14ac:dyDescent="0.4">
      <c r="A3560">
        <v>2007</v>
      </c>
      <c r="B3560" s="2" t="s">
        <v>565</v>
      </c>
      <c r="C3560" s="2" t="s">
        <v>722</v>
      </c>
      <c r="D3560" s="2" t="s">
        <v>216</v>
      </c>
      <c r="E3560" s="70" t="s">
        <v>59</v>
      </c>
      <c r="F3560" s="29">
        <v>72</v>
      </c>
      <c r="G3560" s="29">
        <v>40</v>
      </c>
      <c r="H3560" s="33">
        <v>32</v>
      </c>
      <c r="M3560" s="2"/>
      <c r="N3560" s="2"/>
      <c r="O3560" s="2"/>
    </row>
    <row r="3561" spans="1:15" x14ac:dyDescent="0.4">
      <c r="A3561">
        <v>2007</v>
      </c>
      <c r="B3561" s="2" t="s">
        <v>566</v>
      </c>
      <c r="C3561" s="2" t="s">
        <v>722</v>
      </c>
      <c r="D3561" s="2" t="s">
        <v>216</v>
      </c>
      <c r="E3561" s="70" t="s">
        <v>217</v>
      </c>
      <c r="F3561" s="29">
        <v>154</v>
      </c>
      <c r="G3561" s="29">
        <v>99</v>
      </c>
      <c r="H3561" s="33">
        <v>55</v>
      </c>
      <c r="M3561" s="2"/>
      <c r="N3561" s="2"/>
      <c r="O3561" s="2"/>
    </row>
    <row r="3562" spans="1:15" x14ac:dyDescent="0.4">
      <c r="A3562">
        <v>2007</v>
      </c>
      <c r="B3562" s="2" t="s">
        <v>567</v>
      </c>
      <c r="C3562" s="2" t="s">
        <v>722</v>
      </c>
      <c r="D3562" s="2" t="s">
        <v>216</v>
      </c>
      <c r="E3562" s="70" t="s">
        <v>218</v>
      </c>
      <c r="F3562" s="29">
        <v>222</v>
      </c>
      <c r="G3562" s="29">
        <v>133</v>
      </c>
      <c r="H3562" s="33">
        <v>89</v>
      </c>
      <c r="M3562" s="2"/>
      <c r="N3562" s="2"/>
      <c r="O3562" s="2"/>
    </row>
    <row r="3563" spans="1:15" x14ac:dyDescent="0.4">
      <c r="A3563">
        <v>2007</v>
      </c>
      <c r="B3563" s="2" t="s">
        <v>568</v>
      </c>
      <c r="C3563" s="2" t="s">
        <v>722</v>
      </c>
      <c r="D3563" s="2" t="s">
        <v>216</v>
      </c>
      <c r="E3563" s="70" t="s">
        <v>219</v>
      </c>
      <c r="F3563" s="29">
        <v>69</v>
      </c>
      <c r="G3563" s="29">
        <v>38</v>
      </c>
      <c r="H3563" s="33">
        <v>31</v>
      </c>
      <c r="M3563" s="2"/>
      <c r="N3563" s="2"/>
      <c r="O3563" s="2"/>
    </row>
    <row r="3564" spans="1:15" x14ac:dyDescent="0.4">
      <c r="A3564">
        <v>2007</v>
      </c>
      <c r="B3564" s="2" t="s">
        <v>569</v>
      </c>
      <c r="C3564" s="2" t="s">
        <v>722</v>
      </c>
      <c r="D3564" s="2" t="s">
        <v>216</v>
      </c>
      <c r="E3564" s="70" t="s">
        <v>220</v>
      </c>
      <c r="F3564" s="29">
        <v>120</v>
      </c>
      <c r="G3564" s="29">
        <v>70</v>
      </c>
      <c r="H3564" s="33">
        <v>50</v>
      </c>
      <c r="M3564" s="2"/>
      <c r="N3564" s="2"/>
      <c r="O3564" s="2"/>
    </row>
    <row r="3565" spans="1:15" x14ac:dyDescent="0.4">
      <c r="A3565">
        <v>2007</v>
      </c>
      <c r="B3565" s="2" t="s">
        <v>570</v>
      </c>
      <c r="C3565" s="2" t="s">
        <v>722</v>
      </c>
      <c r="D3565" s="2" t="s">
        <v>216</v>
      </c>
      <c r="E3565" s="70" t="s">
        <v>221</v>
      </c>
      <c r="F3565" s="29">
        <v>169</v>
      </c>
      <c r="G3565" s="29">
        <v>93</v>
      </c>
      <c r="H3565" s="33">
        <v>76</v>
      </c>
      <c r="M3565" s="2"/>
      <c r="N3565" s="2"/>
      <c r="O3565" s="2"/>
    </row>
    <row r="3566" spans="1:15" x14ac:dyDescent="0.4">
      <c r="A3566">
        <v>2007</v>
      </c>
      <c r="B3566" s="2" t="s">
        <v>571</v>
      </c>
      <c r="C3566" s="2" t="s">
        <v>722</v>
      </c>
      <c r="D3566" s="2" t="s">
        <v>216</v>
      </c>
      <c r="E3566" s="70" t="s">
        <v>222</v>
      </c>
      <c r="F3566" s="29">
        <v>1089</v>
      </c>
      <c r="G3566" s="29">
        <v>705</v>
      </c>
      <c r="H3566" s="33">
        <v>384</v>
      </c>
      <c r="M3566" s="2"/>
      <c r="N3566" s="2"/>
      <c r="O3566" s="2"/>
    </row>
    <row r="3567" spans="1:15" x14ac:dyDescent="0.4">
      <c r="A3567">
        <v>2007</v>
      </c>
      <c r="B3567" s="2" t="s">
        <v>572</v>
      </c>
      <c r="C3567" s="2" t="s">
        <v>722</v>
      </c>
      <c r="D3567" s="2" t="s">
        <v>216</v>
      </c>
      <c r="E3567" s="70" t="s">
        <v>223</v>
      </c>
      <c r="F3567" s="29">
        <v>48</v>
      </c>
      <c r="G3567" s="29">
        <v>33</v>
      </c>
      <c r="H3567" s="33">
        <v>15</v>
      </c>
      <c r="M3567" s="2"/>
      <c r="N3567" s="2"/>
      <c r="O3567" s="2"/>
    </row>
    <row r="3568" spans="1:15" x14ac:dyDescent="0.4">
      <c r="A3568">
        <v>2007</v>
      </c>
      <c r="B3568" s="2" t="s">
        <v>573</v>
      </c>
      <c r="C3568" s="2" t="s">
        <v>722</v>
      </c>
      <c r="D3568" s="2" t="s">
        <v>216</v>
      </c>
      <c r="E3568" s="70" t="s">
        <v>224</v>
      </c>
      <c r="F3568" s="29">
        <v>68</v>
      </c>
      <c r="G3568" s="29">
        <v>36</v>
      </c>
      <c r="H3568" s="33">
        <v>32</v>
      </c>
      <c r="M3568" s="2"/>
      <c r="N3568" s="2"/>
      <c r="O3568" s="2"/>
    </row>
    <row r="3569" spans="1:15" x14ac:dyDescent="0.4">
      <c r="A3569">
        <v>2007</v>
      </c>
      <c r="B3569" s="2" t="s">
        <v>574</v>
      </c>
      <c r="C3569" s="2" t="s">
        <v>722</v>
      </c>
      <c r="D3569" s="2" t="s">
        <v>216</v>
      </c>
      <c r="E3569" s="70" t="s">
        <v>225</v>
      </c>
      <c r="F3569" s="29">
        <v>29</v>
      </c>
      <c r="G3569" s="29">
        <v>17</v>
      </c>
      <c r="H3569" s="33">
        <v>12</v>
      </c>
      <c r="M3569" s="2"/>
      <c r="N3569" s="2"/>
      <c r="O3569" s="2"/>
    </row>
    <row r="3570" spans="1:15" x14ac:dyDescent="0.4">
      <c r="A3570">
        <v>2007</v>
      </c>
      <c r="B3570" s="2" t="s">
        <v>575</v>
      </c>
      <c r="C3570" s="2" t="s">
        <v>723</v>
      </c>
      <c r="D3570" s="2" t="s">
        <v>227</v>
      </c>
      <c r="E3570" s="70" t="s">
        <v>226</v>
      </c>
      <c r="F3570" s="29">
        <v>37</v>
      </c>
      <c r="G3570" s="29">
        <v>23</v>
      </c>
      <c r="H3570" s="33">
        <v>14</v>
      </c>
      <c r="M3570" s="2"/>
      <c r="N3570" s="2"/>
      <c r="O3570" s="2"/>
    </row>
    <row r="3571" spans="1:15" x14ac:dyDescent="0.4">
      <c r="A3571">
        <v>2007</v>
      </c>
      <c r="B3571" s="2" t="s">
        <v>576</v>
      </c>
      <c r="C3571" s="2" t="s">
        <v>723</v>
      </c>
      <c r="D3571" s="2" t="s">
        <v>227</v>
      </c>
      <c r="E3571" s="70" t="s">
        <v>228</v>
      </c>
      <c r="F3571" s="29">
        <v>1189</v>
      </c>
      <c r="G3571" s="29">
        <v>737</v>
      </c>
      <c r="H3571" s="33">
        <v>452</v>
      </c>
      <c r="M3571" s="2"/>
      <c r="N3571" s="2"/>
      <c r="O3571" s="2"/>
    </row>
    <row r="3572" spans="1:15" x14ac:dyDescent="0.4">
      <c r="A3572">
        <v>2007</v>
      </c>
      <c r="B3572" s="2" t="s">
        <v>577</v>
      </c>
      <c r="C3572" s="2" t="s">
        <v>723</v>
      </c>
      <c r="D3572" s="2" t="s">
        <v>227</v>
      </c>
      <c r="E3572" s="70" t="s">
        <v>229</v>
      </c>
      <c r="F3572" s="29">
        <v>79</v>
      </c>
      <c r="G3572" s="29">
        <v>48</v>
      </c>
      <c r="H3572" s="33">
        <v>31</v>
      </c>
      <c r="M3572" s="2"/>
      <c r="N3572" s="2"/>
      <c r="O3572" s="2"/>
    </row>
    <row r="3573" spans="1:15" x14ac:dyDescent="0.4">
      <c r="A3573">
        <v>2007</v>
      </c>
      <c r="B3573" s="2" t="s">
        <v>578</v>
      </c>
      <c r="C3573" s="2" t="s">
        <v>723</v>
      </c>
      <c r="D3573" s="2" t="s">
        <v>227</v>
      </c>
      <c r="E3573" s="70" t="s">
        <v>230</v>
      </c>
      <c r="F3573" s="29">
        <v>1072</v>
      </c>
      <c r="G3573" s="29">
        <v>666</v>
      </c>
      <c r="H3573" s="33">
        <v>406</v>
      </c>
      <c r="M3573" s="2"/>
      <c r="N3573" s="2"/>
      <c r="O3573" s="2"/>
    </row>
    <row r="3574" spans="1:15" x14ac:dyDescent="0.4">
      <c r="A3574">
        <v>2007</v>
      </c>
      <c r="B3574" s="2" t="s">
        <v>579</v>
      </c>
      <c r="C3574" s="2" t="s">
        <v>723</v>
      </c>
      <c r="D3574" s="2" t="s">
        <v>227</v>
      </c>
      <c r="E3574" s="70" t="s">
        <v>231</v>
      </c>
      <c r="F3574" s="29">
        <v>84</v>
      </c>
      <c r="G3574" s="29">
        <v>55</v>
      </c>
      <c r="H3574" s="33">
        <v>29</v>
      </c>
      <c r="M3574" s="2"/>
      <c r="N3574" s="2"/>
      <c r="O3574" s="2"/>
    </row>
    <row r="3575" spans="1:15" x14ac:dyDescent="0.4">
      <c r="A3575">
        <v>2007</v>
      </c>
      <c r="B3575" s="2" t="s">
        <v>580</v>
      </c>
      <c r="C3575" s="2" t="s">
        <v>723</v>
      </c>
      <c r="D3575" s="2" t="s">
        <v>227</v>
      </c>
      <c r="E3575" s="70" t="s">
        <v>232</v>
      </c>
      <c r="F3575" s="29">
        <v>78</v>
      </c>
      <c r="G3575" s="29">
        <v>46</v>
      </c>
      <c r="H3575" s="33">
        <v>32</v>
      </c>
      <c r="M3575" s="2"/>
      <c r="N3575" s="2"/>
      <c r="O3575" s="2"/>
    </row>
    <row r="3576" spans="1:15" x14ac:dyDescent="0.4">
      <c r="A3576">
        <v>2007</v>
      </c>
      <c r="B3576" s="2" t="s">
        <v>581</v>
      </c>
      <c r="C3576" s="2" t="s">
        <v>723</v>
      </c>
      <c r="D3576" s="2" t="s">
        <v>227</v>
      </c>
      <c r="E3576" s="70" t="s">
        <v>233</v>
      </c>
      <c r="F3576" s="29">
        <v>98</v>
      </c>
      <c r="G3576" s="29">
        <v>68</v>
      </c>
      <c r="H3576" s="33">
        <v>30</v>
      </c>
      <c r="M3576" s="2"/>
      <c r="N3576" s="2"/>
      <c r="O3576" s="2"/>
    </row>
    <row r="3577" spans="1:15" x14ac:dyDescent="0.4">
      <c r="A3577">
        <v>2007</v>
      </c>
      <c r="B3577" s="2" t="s">
        <v>582</v>
      </c>
      <c r="C3577" s="2" t="s">
        <v>723</v>
      </c>
      <c r="D3577" s="2" t="s">
        <v>227</v>
      </c>
      <c r="E3577" s="70" t="s">
        <v>32</v>
      </c>
      <c r="F3577" s="29">
        <v>423</v>
      </c>
      <c r="G3577" s="29">
        <v>271</v>
      </c>
      <c r="H3577" s="33">
        <v>152</v>
      </c>
      <c r="M3577" s="2"/>
      <c r="N3577" s="2"/>
      <c r="O3577" s="2"/>
    </row>
    <row r="3578" spans="1:15" x14ac:dyDescent="0.4">
      <c r="A3578">
        <v>2007</v>
      </c>
      <c r="B3578" s="2" t="s">
        <v>583</v>
      </c>
      <c r="C3578" s="2" t="s">
        <v>723</v>
      </c>
      <c r="D3578" s="2" t="s">
        <v>227</v>
      </c>
      <c r="E3578" s="70" t="s">
        <v>234</v>
      </c>
      <c r="F3578" s="29">
        <v>12</v>
      </c>
      <c r="G3578" s="29">
        <v>9</v>
      </c>
      <c r="H3578" s="33">
        <v>3</v>
      </c>
      <c r="M3578" s="2"/>
      <c r="N3578" s="2"/>
      <c r="O3578" s="2"/>
    </row>
    <row r="3579" spans="1:15" x14ac:dyDescent="0.4">
      <c r="A3579">
        <v>2007</v>
      </c>
      <c r="B3579" s="2" t="s">
        <v>584</v>
      </c>
      <c r="C3579" s="2" t="s">
        <v>723</v>
      </c>
      <c r="D3579" s="2" t="s">
        <v>227</v>
      </c>
      <c r="E3579" s="70" t="s">
        <v>235</v>
      </c>
      <c r="F3579" s="29">
        <v>29</v>
      </c>
      <c r="G3579" s="29">
        <v>14</v>
      </c>
      <c r="H3579" s="33">
        <v>15</v>
      </c>
      <c r="M3579" s="2"/>
      <c r="N3579" s="2"/>
      <c r="O3579" s="2"/>
    </row>
    <row r="3580" spans="1:15" x14ac:dyDescent="0.4">
      <c r="A3580">
        <v>2007</v>
      </c>
      <c r="B3580" s="2" t="s">
        <v>585</v>
      </c>
      <c r="C3580" s="2" t="s">
        <v>723</v>
      </c>
      <c r="D3580" s="2" t="s">
        <v>227</v>
      </c>
      <c r="E3580" s="70" t="s">
        <v>236</v>
      </c>
      <c r="F3580" s="29">
        <v>29</v>
      </c>
      <c r="G3580" s="29">
        <v>24</v>
      </c>
      <c r="H3580" s="33">
        <v>5</v>
      </c>
      <c r="M3580" s="2"/>
      <c r="N3580" s="2"/>
      <c r="O3580" s="2"/>
    </row>
    <row r="3581" spans="1:15" x14ac:dyDescent="0.4">
      <c r="A3581">
        <v>2007</v>
      </c>
      <c r="B3581" s="2" t="s">
        <v>586</v>
      </c>
      <c r="C3581" s="2" t="s">
        <v>723</v>
      </c>
      <c r="D3581" s="2" t="s">
        <v>227</v>
      </c>
      <c r="E3581" s="70" t="s">
        <v>237</v>
      </c>
      <c r="F3581" s="29">
        <v>33</v>
      </c>
      <c r="G3581" s="29">
        <v>22</v>
      </c>
      <c r="H3581" s="33">
        <v>11</v>
      </c>
      <c r="M3581" s="2"/>
      <c r="N3581" s="2"/>
      <c r="O3581" s="2"/>
    </row>
    <row r="3582" spans="1:15" x14ac:dyDescent="0.4">
      <c r="A3582">
        <v>2007</v>
      </c>
      <c r="B3582" s="2" t="s">
        <v>587</v>
      </c>
      <c r="C3582" s="2" t="s">
        <v>723</v>
      </c>
      <c r="D3582" s="2" t="s">
        <v>227</v>
      </c>
      <c r="E3582" s="70" t="s">
        <v>51</v>
      </c>
      <c r="F3582" s="29">
        <v>117</v>
      </c>
      <c r="G3582" s="29">
        <v>64</v>
      </c>
      <c r="H3582" s="33">
        <v>53</v>
      </c>
      <c r="M3582" s="2"/>
      <c r="N3582" s="2"/>
      <c r="O3582" s="2"/>
    </row>
    <row r="3583" spans="1:15" x14ac:dyDescent="0.4">
      <c r="A3583">
        <v>2007</v>
      </c>
      <c r="B3583" s="2" t="s">
        <v>588</v>
      </c>
      <c r="C3583" s="2" t="s">
        <v>723</v>
      </c>
      <c r="D3583" s="2" t="s">
        <v>227</v>
      </c>
      <c r="E3583" s="70" t="s">
        <v>238</v>
      </c>
      <c r="F3583" s="29">
        <v>184</v>
      </c>
      <c r="G3583" s="29">
        <v>112</v>
      </c>
      <c r="H3583" s="33">
        <v>72</v>
      </c>
      <c r="M3583" s="2"/>
      <c r="N3583" s="2"/>
      <c r="O3583" s="2"/>
    </row>
    <row r="3584" spans="1:15" x14ac:dyDescent="0.4">
      <c r="A3584">
        <v>2007</v>
      </c>
      <c r="B3584" s="2" t="s">
        <v>589</v>
      </c>
      <c r="C3584" s="2" t="s">
        <v>724</v>
      </c>
      <c r="D3584" s="2" t="s">
        <v>239</v>
      </c>
      <c r="E3584" s="70" t="s">
        <v>163</v>
      </c>
      <c r="F3584" s="29">
        <v>85</v>
      </c>
      <c r="G3584" s="29">
        <v>46</v>
      </c>
      <c r="H3584" s="33">
        <v>39</v>
      </c>
      <c r="M3584" s="2"/>
      <c r="N3584" s="2"/>
      <c r="O3584" s="2"/>
    </row>
    <row r="3585" spans="1:15" x14ac:dyDescent="0.4">
      <c r="A3585">
        <v>2007</v>
      </c>
      <c r="B3585" s="2" t="s">
        <v>590</v>
      </c>
      <c r="C3585" s="2" t="s">
        <v>724</v>
      </c>
      <c r="D3585" s="2" t="s">
        <v>239</v>
      </c>
      <c r="E3585" s="70" t="s">
        <v>240</v>
      </c>
      <c r="F3585" s="29">
        <v>59</v>
      </c>
      <c r="G3585" s="29">
        <v>39</v>
      </c>
      <c r="H3585" s="33">
        <v>20</v>
      </c>
      <c r="M3585" s="2"/>
      <c r="N3585" s="2"/>
      <c r="O3585" s="2"/>
    </row>
    <row r="3586" spans="1:15" x14ac:dyDescent="0.4">
      <c r="A3586">
        <v>2007</v>
      </c>
      <c r="B3586" s="2" t="s">
        <v>591</v>
      </c>
      <c r="C3586" s="2" t="s">
        <v>724</v>
      </c>
      <c r="D3586" s="2" t="s">
        <v>239</v>
      </c>
      <c r="E3586" s="70" t="s">
        <v>59</v>
      </c>
      <c r="F3586" s="29">
        <v>134</v>
      </c>
      <c r="G3586" s="29">
        <v>75</v>
      </c>
      <c r="H3586" s="33">
        <v>59</v>
      </c>
      <c r="M3586" s="2"/>
      <c r="N3586" s="2"/>
      <c r="O3586" s="2"/>
    </row>
    <row r="3587" spans="1:15" x14ac:dyDescent="0.4">
      <c r="A3587">
        <v>2007</v>
      </c>
      <c r="B3587" s="2" t="s">
        <v>592</v>
      </c>
      <c r="C3587" s="2" t="s">
        <v>724</v>
      </c>
      <c r="D3587" s="2" t="s">
        <v>239</v>
      </c>
      <c r="E3587" s="70" t="s">
        <v>241</v>
      </c>
      <c r="F3587" s="29">
        <v>52</v>
      </c>
      <c r="G3587" s="29">
        <v>32</v>
      </c>
      <c r="H3587" s="33">
        <v>20</v>
      </c>
      <c r="M3587" s="2"/>
      <c r="N3587" s="2"/>
      <c r="O3587" s="2"/>
    </row>
    <row r="3588" spans="1:15" x14ac:dyDescent="0.4">
      <c r="A3588">
        <v>2007</v>
      </c>
      <c r="B3588" s="2" t="s">
        <v>593</v>
      </c>
      <c r="C3588" s="2" t="s">
        <v>724</v>
      </c>
      <c r="D3588" s="2" t="s">
        <v>239</v>
      </c>
      <c r="E3588" s="70" t="s">
        <v>242</v>
      </c>
      <c r="F3588" s="29">
        <v>987</v>
      </c>
      <c r="G3588" s="29">
        <v>595</v>
      </c>
      <c r="H3588" s="33">
        <v>392</v>
      </c>
      <c r="M3588" s="2"/>
      <c r="N3588" s="2"/>
      <c r="O3588" s="2"/>
    </row>
    <row r="3589" spans="1:15" x14ac:dyDescent="0.4">
      <c r="A3589">
        <v>2007</v>
      </c>
      <c r="B3589" s="2" t="s">
        <v>594</v>
      </c>
      <c r="C3589" s="2" t="s">
        <v>724</v>
      </c>
      <c r="D3589" s="2" t="s">
        <v>239</v>
      </c>
      <c r="E3589" s="70" t="s">
        <v>36</v>
      </c>
      <c r="F3589" s="29">
        <v>32</v>
      </c>
      <c r="G3589" s="29">
        <v>19</v>
      </c>
      <c r="H3589" s="33">
        <v>13</v>
      </c>
      <c r="M3589" s="2"/>
      <c r="N3589" s="2"/>
      <c r="O3589" s="2"/>
    </row>
    <row r="3590" spans="1:15" x14ac:dyDescent="0.4">
      <c r="A3590">
        <v>2007</v>
      </c>
      <c r="B3590" s="2" t="s">
        <v>595</v>
      </c>
      <c r="C3590" s="2" t="s">
        <v>724</v>
      </c>
      <c r="D3590" s="2" t="s">
        <v>239</v>
      </c>
      <c r="E3590" s="70" t="s">
        <v>243</v>
      </c>
      <c r="F3590" s="29">
        <v>63</v>
      </c>
      <c r="G3590" s="29">
        <v>40</v>
      </c>
      <c r="H3590" s="33">
        <v>23</v>
      </c>
      <c r="M3590" s="2"/>
      <c r="N3590" s="2"/>
      <c r="O3590" s="2"/>
    </row>
    <row r="3591" spans="1:15" x14ac:dyDescent="0.4">
      <c r="A3591">
        <v>2007</v>
      </c>
      <c r="B3591" s="2" t="s">
        <v>596</v>
      </c>
      <c r="C3591" s="2" t="s">
        <v>724</v>
      </c>
      <c r="D3591" s="2" t="s">
        <v>239</v>
      </c>
      <c r="E3591" s="70" t="s">
        <v>244</v>
      </c>
      <c r="F3591" s="29">
        <v>90</v>
      </c>
      <c r="G3591" s="29">
        <v>56</v>
      </c>
      <c r="H3591" s="33">
        <v>34</v>
      </c>
      <c r="M3591" s="2"/>
      <c r="N3591" s="2"/>
      <c r="O3591" s="2"/>
    </row>
    <row r="3592" spans="1:15" x14ac:dyDescent="0.4">
      <c r="A3592">
        <v>2007</v>
      </c>
      <c r="B3592" s="2" t="s">
        <v>597</v>
      </c>
      <c r="C3592" s="2" t="s">
        <v>724</v>
      </c>
      <c r="D3592" s="2" t="s">
        <v>239</v>
      </c>
      <c r="E3592" s="70" t="s">
        <v>44</v>
      </c>
      <c r="F3592" s="29">
        <v>16</v>
      </c>
      <c r="G3592" s="29">
        <v>9</v>
      </c>
      <c r="H3592" s="33">
        <v>7</v>
      </c>
      <c r="M3592" s="2"/>
      <c r="N3592" s="2"/>
      <c r="O3592" s="2"/>
    </row>
    <row r="3593" spans="1:15" x14ac:dyDescent="0.4">
      <c r="A3593">
        <v>2007</v>
      </c>
      <c r="B3593" s="2" t="s">
        <v>598</v>
      </c>
      <c r="C3593" s="2" t="s">
        <v>724</v>
      </c>
      <c r="D3593" s="2" t="s">
        <v>239</v>
      </c>
      <c r="E3593" s="70" t="s">
        <v>222</v>
      </c>
      <c r="F3593" s="29">
        <v>84</v>
      </c>
      <c r="G3593" s="29">
        <v>57</v>
      </c>
      <c r="H3593" s="33">
        <v>27</v>
      </c>
      <c r="M3593" s="2"/>
      <c r="N3593" s="2"/>
      <c r="O3593" s="2"/>
    </row>
    <row r="3594" spans="1:15" x14ac:dyDescent="0.4">
      <c r="A3594">
        <v>2007</v>
      </c>
      <c r="B3594" s="2" t="s">
        <v>599</v>
      </c>
      <c r="C3594" s="2" t="s">
        <v>724</v>
      </c>
      <c r="D3594" s="2" t="s">
        <v>239</v>
      </c>
      <c r="E3594" s="70" t="s">
        <v>245</v>
      </c>
      <c r="F3594" s="29">
        <v>30</v>
      </c>
      <c r="G3594" s="29">
        <v>19</v>
      </c>
      <c r="H3594" s="33">
        <v>11</v>
      </c>
      <c r="M3594" s="2"/>
      <c r="N3594" s="2"/>
      <c r="O3594" s="2"/>
    </row>
    <row r="3595" spans="1:15" x14ac:dyDescent="0.4">
      <c r="A3595">
        <v>2007</v>
      </c>
      <c r="B3595" s="2" t="s">
        <v>600</v>
      </c>
      <c r="C3595" s="2" t="s">
        <v>724</v>
      </c>
      <c r="D3595" s="2" t="s">
        <v>239</v>
      </c>
      <c r="E3595" s="70" t="s">
        <v>246</v>
      </c>
      <c r="F3595" s="29">
        <v>166</v>
      </c>
      <c r="G3595" s="29">
        <v>112</v>
      </c>
      <c r="H3595" s="33">
        <v>54</v>
      </c>
      <c r="M3595" s="2"/>
      <c r="N3595" s="2"/>
      <c r="O3595" s="2"/>
    </row>
    <row r="3596" spans="1:15" x14ac:dyDescent="0.4">
      <c r="A3596">
        <v>2007</v>
      </c>
      <c r="B3596" s="2" t="s">
        <v>601</v>
      </c>
      <c r="C3596" s="2" t="s">
        <v>724</v>
      </c>
      <c r="D3596" s="2" t="s">
        <v>239</v>
      </c>
      <c r="E3596" s="70" t="s">
        <v>247</v>
      </c>
      <c r="F3596" s="29">
        <v>175</v>
      </c>
      <c r="G3596" s="29">
        <v>113</v>
      </c>
      <c r="H3596" s="33">
        <v>62</v>
      </c>
      <c r="M3596" s="2"/>
      <c r="N3596" s="2"/>
      <c r="O3596" s="2"/>
    </row>
    <row r="3597" spans="1:15" x14ac:dyDescent="0.4">
      <c r="A3597">
        <v>2007</v>
      </c>
      <c r="B3597" s="2" t="s">
        <v>602</v>
      </c>
      <c r="C3597" s="2" t="s">
        <v>724</v>
      </c>
      <c r="D3597" s="2" t="s">
        <v>239</v>
      </c>
      <c r="E3597" s="70" t="s">
        <v>51</v>
      </c>
      <c r="F3597" s="29">
        <v>1794</v>
      </c>
      <c r="G3597" s="29">
        <v>1185</v>
      </c>
      <c r="H3597" s="33">
        <v>609</v>
      </c>
      <c r="M3597" s="2"/>
      <c r="N3597" s="2"/>
      <c r="O3597" s="2"/>
    </row>
    <row r="3598" spans="1:15" x14ac:dyDescent="0.4">
      <c r="A3598">
        <v>2007</v>
      </c>
      <c r="B3598" s="2" t="s">
        <v>603</v>
      </c>
      <c r="C3598" s="2" t="s">
        <v>724</v>
      </c>
      <c r="D3598" s="2" t="s">
        <v>239</v>
      </c>
      <c r="E3598" s="70" t="s">
        <v>248</v>
      </c>
      <c r="F3598" s="29">
        <v>117</v>
      </c>
      <c r="G3598" s="29">
        <v>71</v>
      </c>
      <c r="H3598" s="33">
        <v>46</v>
      </c>
      <c r="M3598" s="2"/>
      <c r="N3598" s="2"/>
      <c r="O3598" s="2"/>
    </row>
    <row r="3599" spans="1:15" x14ac:dyDescent="0.4">
      <c r="A3599">
        <v>2007</v>
      </c>
      <c r="B3599" s="2" t="s">
        <v>604</v>
      </c>
      <c r="C3599" s="2" t="s">
        <v>725</v>
      </c>
      <c r="D3599" s="2" t="s">
        <v>249</v>
      </c>
      <c r="E3599" s="70" t="s">
        <v>174</v>
      </c>
      <c r="F3599" s="29">
        <v>68</v>
      </c>
      <c r="G3599" s="29">
        <v>45</v>
      </c>
      <c r="H3599" s="33">
        <v>23</v>
      </c>
      <c r="M3599" s="2"/>
      <c r="N3599" s="2"/>
      <c r="O3599" s="2"/>
    </row>
    <row r="3600" spans="1:15" x14ac:dyDescent="0.4">
      <c r="A3600">
        <v>2007</v>
      </c>
      <c r="B3600" s="2" t="s">
        <v>605</v>
      </c>
      <c r="C3600" s="2" t="s">
        <v>725</v>
      </c>
      <c r="D3600" s="2" t="s">
        <v>249</v>
      </c>
      <c r="E3600" s="70" t="s">
        <v>250</v>
      </c>
      <c r="F3600" s="29">
        <v>19</v>
      </c>
      <c r="G3600" s="29">
        <v>14</v>
      </c>
      <c r="H3600" s="33">
        <v>5</v>
      </c>
      <c r="M3600" s="2"/>
      <c r="N3600" s="2"/>
      <c r="O3600" s="2"/>
    </row>
    <row r="3601" spans="1:15" x14ac:dyDescent="0.4">
      <c r="A3601">
        <v>2007</v>
      </c>
      <c r="B3601" s="2" t="s">
        <v>606</v>
      </c>
      <c r="C3601" s="2" t="s">
        <v>725</v>
      </c>
      <c r="D3601" s="2" t="s">
        <v>249</v>
      </c>
      <c r="E3601" s="70" t="s">
        <v>251</v>
      </c>
      <c r="F3601" s="29">
        <v>265</v>
      </c>
      <c r="G3601" s="29">
        <v>170</v>
      </c>
      <c r="H3601" s="33">
        <v>95</v>
      </c>
      <c r="M3601" s="2"/>
      <c r="N3601" s="2"/>
      <c r="O3601" s="2"/>
    </row>
    <row r="3602" spans="1:15" x14ac:dyDescent="0.4">
      <c r="A3602">
        <v>2007</v>
      </c>
      <c r="B3602" s="2" t="s">
        <v>607</v>
      </c>
      <c r="C3602" s="2" t="s">
        <v>725</v>
      </c>
      <c r="D3602" s="2" t="s">
        <v>249</v>
      </c>
      <c r="E3602" s="70" t="s">
        <v>36</v>
      </c>
      <c r="F3602" s="29">
        <v>193</v>
      </c>
      <c r="G3602" s="29">
        <v>117</v>
      </c>
      <c r="H3602" s="33">
        <v>76</v>
      </c>
      <c r="M3602" s="2"/>
      <c r="N3602" s="2"/>
      <c r="O3602" s="2"/>
    </row>
    <row r="3603" spans="1:15" x14ac:dyDescent="0.4">
      <c r="A3603">
        <v>2007</v>
      </c>
      <c r="B3603" s="2" t="s">
        <v>608</v>
      </c>
      <c r="C3603" s="2" t="s">
        <v>725</v>
      </c>
      <c r="D3603" s="2" t="s">
        <v>249</v>
      </c>
      <c r="E3603" s="70" t="s">
        <v>252</v>
      </c>
      <c r="F3603" s="29">
        <v>251</v>
      </c>
      <c r="G3603" s="29">
        <v>135</v>
      </c>
      <c r="H3603" s="33">
        <v>116</v>
      </c>
      <c r="M3603" s="2"/>
      <c r="N3603" s="2"/>
      <c r="O3603" s="2"/>
    </row>
    <row r="3604" spans="1:15" x14ac:dyDescent="0.4">
      <c r="A3604">
        <v>2007</v>
      </c>
      <c r="B3604" s="2" t="s">
        <v>609</v>
      </c>
      <c r="C3604" s="2" t="s">
        <v>725</v>
      </c>
      <c r="D3604" s="2" t="s">
        <v>249</v>
      </c>
      <c r="E3604" s="70" t="s">
        <v>253</v>
      </c>
      <c r="F3604" s="29">
        <v>74</v>
      </c>
      <c r="G3604" s="29">
        <v>50</v>
      </c>
      <c r="H3604" s="33">
        <v>24</v>
      </c>
      <c r="M3604" s="2"/>
      <c r="N3604" s="2"/>
      <c r="O3604" s="2"/>
    </row>
    <row r="3605" spans="1:15" x14ac:dyDescent="0.4">
      <c r="A3605">
        <v>2007</v>
      </c>
      <c r="B3605" s="2" t="s">
        <v>610</v>
      </c>
      <c r="C3605" s="2" t="s">
        <v>725</v>
      </c>
      <c r="D3605" s="2" t="s">
        <v>249</v>
      </c>
      <c r="E3605" s="70" t="s">
        <v>254</v>
      </c>
      <c r="F3605" s="29">
        <v>184</v>
      </c>
      <c r="G3605" s="29">
        <v>130</v>
      </c>
      <c r="H3605" s="33">
        <v>54</v>
      </c>
      <c r="M3605" s="2"/>
      <c r="N3605" s="2"/>
      <c r="O3605" s="2"/>
    </row>
    <row r="3606" spans="1:15" x14ac:dyDescent="0.4">
      <c r="A3606">
        <v>2007</v>
      </c>
      <c r="B3606" s="2" t="s">
        <v>611</v>
      </c>
      <c r="C3606" s="2" t="s">
        <v>725</v>
      </c>
      <c r="D3606" s="2" t="s">
        <v>249</v>
      </c>
      <c r="E3606" s="70" t="s">
        <v>11</v>
      </c>
      <c r="F3606" s="29">
        <v>12</v>
      </c>
      <c r="G3606" s="29">
        <v>5</v>
      </c>
      <c r="H3606" s="33">
        <v>7</v>
      </c>
      <c r="M3606" s="2"/>
      <c r="N3606" s="2"/>
      <c r="O3606" s="2"/>
    </row>
    <row r="3607" spans="1:15" x14ac:dyDescent="0.4">
      <c r="A3607">
        <v>2007</v>
      </c>
      <c r="B3607" s="2" t="s">
        <v>612</v>
      </c>
      <c r="C3607" s="2" t="s">
        <v>725</v>
      </c>
      <c r="D3607" s="2" t="s">
        <v>249</v>
      </c>
      <c r="E3607" s="70" t="s">
        <v>255</v>
      </c>
      <c r="F3607" s="29">
        <v>254</v>
      </c>
      <c r="G3607" s="29">
        <v>183</v>
      </c>
      <c r="H3607" s="33">
        <v>71</v>
      </c>
      <c r="M3607" s="2"/>
      <c r="N3607" s="2"/>
      <c r="O3607" s="2"/>
    </row>
    <row r="3608" spans="1:15" x14ac:dyDescent="0.4">
      <c r="A3608">
        <v>2007</v>
      </c>
      <c r="B3608" s="2" t="s">
        <v>613</v>
      </c>
      <c r="C3608" s="2" t="s">
        <v>725</v>
      </c>
      <c r="D3608" s="2" t="s">
        <v>249</v>
      </c>
      <c r="E3608" s="70" t="s">
        <v>256</v>
      </c>
      <c r="F3608" s="29">
        <v>81</v>
      </c>
      <c r="G3608" s="29">
        <v>47</v>
      </c>
      <c r="H3608" s="33">
        <v>34</v>
      </c>
      <c r="M3608" s="2"/>
      <c r="N3608" s="2"/>
      <c r="O3608" s="2"/>
    </row>
    <row r="3609" spans="1:15" x14ac:dyDescent="0.4">
      <c r="A3609">
        <v>2007</v>
      </c>
      <c r="B3609" s="2" t="s">
        <v>614</v>
      </c>
      <c r="C3609" s="2" t="s">
        <v>725</v>
      </c>
      <c r="D3609" s="2" t="s">
        <v>249</v>
      </c>
      <c r="E3609" s="70" t="s">
        <v>14</v>
      </c>
      <c r="F3609" s="29">
        <v>76</v>
      </c>
      <c r="G3609" s="29">
        <v>48</v>
      </c>
      <c r="H3609" s="33">
        <v>28</v>
      </c>
      <c r="M3609" s="2"/>
      <c r="N3609" s="2"/>
      <c r="O3609" s="2"/>
    </row>
    <row r="3610" spans="1:15" x14ac:dyDescent="0.4">
      <c r="A3610">
        <v>2007</v>
      </c>
      <c r="B3610" s="2" t="s">
        <v>615</v>
      </c>
      <c r="C3610" s="2" t="s">
        <v>725</v>
      </c>
      <c r="D3610" s="2" t="s">
        <v>249</v>
      </c>
      <c r="E3610" s="70" t="s">
        <v>257</v>
      </c>
      <c r="F3610" s="29">
        <v>243</v>
      </c>
      <c r="G3610" s="29">
        <v>145</v>
      </c>
      <c r="H3610" s="33">
        <v>98</v>
      </c>
      <c r="M3610" s="2"/>
      <c r="N3610" s="2"/>
      <c r="O3610" s="2"/>
    </row>
    <row r="3611" spans="1:15" x14ac:dyDescent="0.4">
      <c r="A3611">
        <v>2007</v>
      </c>
      <c r="B3611" s="2" t="s">
        <v>616</v>
      </c>
      <c r="C3611" s="2" t="s">
        <v>725</v>
      </c>
      <c r="D3611" s="2" t="s">
        <v>249</v>
      </c>
      <c r="E3611" s="70" t="s">
        <v>258</v>
      </c>
      <c r="F3611" s="29">
        <v>28</v>
      </c>
      <c r="G3611" s="29">
        <v>20</v>
      </c>
      <c r="H3611" s="33">
        <v>8</v>
      </c>
      <c r="M3611" s="2"/>
      <c r="N3611" s="2"/>
      <c r="O3611" s="2"/>
    </row>
    <row r="3612" spans="1:15" x14ac:dyDescent="0.4">
      <c r="A3612">
        <v>2007</v>
      </c>
      <c r="B3612" s="2" t="s">
        <v>617</v>
      </c>
      <c r="C3612" s="2" t="s">
        <v>725</v>
      </c>
      <c r="D3612" s="2" t="s">
        <v>249</v>
      </c>
      <c r="E3612" s="70" t="s">
        <v>259</v>
      </c>
      <c r="F3612" s="29">
        <v>271</v>
      </c>
      <c r="G3612" s="29">
        <v>174</v>
      </c>
      <c r="H3612" s="33">
        <v>97</v>
      </c>
      <c r="M3612" s="2"/>
      <c r="N3612" s="2"/>
      <c r="O3612" s="2"/>
    </row>
    <row r="3613" spans="1:15" x14ac:dyDescent="0.4">
      <c r="A3613">
        <v>2007</v>
      </c>
      <c r="B3613" s="2" t="s">
        <v>618</v>
      </c>
      <c r="C3613" s="2" t="s">
        <v>725</v>
      </c>
      <c r="D3613" s="2" t="s">
        <v>249</v>
      </c>
      <c r="E3613" s="70" t="s">
        <v>18</v>
      </c>
      <c r="F3613" s="29">
        <v>43</v>
      </c>
      <c r="G3613" s="29">
        <v>27</v>
      </c>
      <c r="H3613" s="33">
        <v>16</v>
      </c>
      <c r="M3613" s="2"/>
      <c r="N3613" s="2"/>
      <c r="O3613" s="2"/>
    </row>
    <row r="3614" spans="1:15" x14ac:dyDescent="0.4">
      <c r="A3614">
        <v>2007</v>
      </c>
      <c r="B3614" s="2" t="s">
        <v>619</v>
      </c>
      <c r="C3614" s="2" t="s">
        <v>725</v>
      </c>
      <c r="D3614" s="2" t="s">
        <v>249</v>
      </c>
      <c r="E3614" s="70" t="s">
        <v>44</v>
      </c>
      <c r="F3614" s="29">
        <v>79</v>
      </c>
      <c r="G3614" s="29">
        <v>56</v>
      </c>
      <c r="H3614" s="33">
        <v>23</v>
      </c>
      <c r="M3614" s="2"/>
      <c r="N3614" s="2"/>
      <c r="O3614" s="2"/>
    </row>
    <row r="3615" spans="1:15" x14ac:dyDescent="0.4">
      <c r="A3615">
        <v>2007</v>
      </c>
      <c r="B3615" s="2" t="s">
        <v>620</v>
      </c>
      <c r="C3615" s="2" t="s">
        <v>725</v>
      </c>
      <c r="D3615" s="2" t="s">
        <v>249</v>
      </c>
      <c r="E3615" s="70" t="s">
        <v>260</v>
      </c>
      <c r="F3615" s="29">
        <v>45</v>
      </c>
      <c r="G3615" s="29">
        <v>31</v>
      </c>
      <c r="H3615" s="33">
        <v>14</v>
      </c>
      <c r="M3615" s="2"/>
      <c r="N3615" s="2"/>
      <c r="O3615" s="2"/>
    </row>
    <row r="3616" spans="1:15" x14ac:dyDescent="0.4">
      <c r="A3616">
        <v>2007</v>
      </c>
      <c r="B3616" s="2" t="s">
        <v>621</v>
      </c>
      <c r="C3616" s="2" t="s">
        <v>725</v>
      </c>
      <c r="D3616" s="2" t="s">
        <v>249</v>
      </c>
      <c r="E3616" s="70" t="s">
        <v>261</v>
      </c>
      <c r="F3616" s="29">
        <v>74</v>
      </c>
      <c r="G3616" s="29">
        <v>46</v>
      </c>
      <c r="H3616" s="33">
        <v>28</v>
      </c>
      <c r="M3616" s="2"/>
      <c r="N3616" s="2"/>
      <c r="O3616" s="2"/>
    </row>
    <row r="3617" spans="1:15" x14ac:dyDescent="0.4">
      <c r="A3617">
        <v>2007</v>
      </c>
      <c r="B3617" s="2" t="s">
        <v>622</v>
      </c>
      <c r="C3617" s="2" t="s">
        <v>725</v>
      </c>
      <c r="D3617" s="2" t="s">
        <v>249</v>
      </c>
      <c r="E3617" s="70" t="s">
        <v>262</v>
      </c>
      <c r="F3617" s="29">
        <v>152</v>
      </c>
      <c r="G3617" s="29">
        <v>101</v>
      </c>
      <c r="H3617" s="33">
        <v>51</v>
      </c>
      <c r="M3617" s="2"/>
      <c r="N3617" s="2"/>
      <c r="O3617" s="2"/>
    </row>
    <row r="3618" spans="1:15" x14ac:dyDescent="0.4">
      <c r="A3618">
        <v>2007</v>
      </c>
      <c r="B3618" s="2" t="s">
        <v>623</v>
      </c>
      <c r="C3618" s="2" t="s">
        <v>725</v>
      </c>
      <c r="D3618" s="2" t="s">
        <v>249</v>
      </c>
      <c r="E3618" s="70" t="s">
        <v>263</v>
      </c>
      <c r="F3618" s="29">
        <v>110</v>
      </c>
      <c r="G3618" s="29">
        <v>76</v>
      </c>
      <c r="H3618" s="33">
        <v>34</v>
      </c>
      <c r="M3618" s="2"/>
      <c r="N3618" s="2"/>
      <c r="O3618" s="2"/>
    </row>
    <row r="3619" spans="1:15" x14ac:dyDescent="0.4">
      <c r="A3619">
        <v>2007</v>
      </c>
      <c r="B3619" s="2" t="s">
        <v>624</v>
      </c>
      <c r="C3619" s="2" t="s">
        <v>725</v>
      </c>
      <c r="D3619" s="2" t="s">
        <v>249</v>
      </c>
      <c r="E3619" s="70" t="s">
        <v>264</v>
      </c>
      <c r="F3619" s="29">
        <v>18</v>
      </c>
      <c r="G3619" s="29">
        <v>14</v>
      </c>
      <c r="H3619" s="33">
        <v>4</v>
      </c>
      <c r="M3619" s="2"/>
      <c r="N3619" s="2"/>
      <c r="O3619" s="2"/>
    </row>
    <row r="3620" spans="1:15" x14ac:dyDescent="0.4">
      <c r="A3620">
        <v>2007</v>
      </c>
      <c r="B3620" s="2" t="s">
        <v>625</v>
      </c>
      <c r="C3620" s="2" t="s">
        <v>725</v>
      </c>
      <c r="D3620" s="2" t="s">
        <v>249</v>
      </c>
      <c r="E3620" s="70" t="s">
        <v>265</v>
      </c>
      <c r="F3620" s="29">
        <v>27</v>
      </c>
      <c r="G3620" s="29">
        <v>19</v>
      </c>
      <c r="H3620" s="33">
        <v>8</v>
      </c>
      <c r="M3620" s="2"/>
      <c r="N3620" s="2"/>
      <c r="O3620" s="2"/>
    </row>
    <row r="3621" spans="1:15" x14ac:dyDescent="0.4">
      <c r="A3621">
        <v>2007</v>
      </c>
      <c r="B3621" s="2" t="s">
        <v>626</v>
      </c>
      <c r="C3621" s="2" t="s">
        <v>725</v>
      </c>
      <c r="D3621" s="2" t="s">
        <v>249</v>
      </c>
      <c r="E3621" s="70" t="s">
        <v>266</v>
      </c>
      <c r="F3621" s="29">
        <v>2909</v>
      </c>
      <c r="G3621" s="29">
        <v>1676</v>
      </c>
      <c r="H3621" s="33">
        <v>1233</v>
      </c>
      <c r="M3621" s="2"/>
      <c r="N3621" s="2"/>
      <c r="O3621" s="2"/>
    </row>
    <row r="3622" spans="1:15" x14ac:dyDescent="0.4">
      <c r="A3622">
        <v>2007</v>
      </c>
      <c r="B3622" s="2" t="s">
        <v>627</v>
      </c>
      <c r="C3622" s="2" t="s">
        <v>725</v>
      </c>
      <c r="D3622" s="2" t="s">
        <v>249</v>
      </c>
      <c r="E3622" s="70" t="s">
        <v>267</v>
      </c>
      <c r="F3622" s="29">
        <v>10</v>
      </c>
      <c r="G3622" s="29">
        <v>5</v>
      </c>
      <c r="H3622" s="33">
        <v>5</v>
      </c>
      <c r="M3622" s="2"/>
      <c r="N3622" s="2"/>
      <c r="O3622" s="2"/>
    </row>
    <row r="3623" spans="1:15" x14ac:dyDescent="0.4">
      <c r="A3623">
        <v>2007</v>
      </c>
      <c r="B3623" s="2" t="s">
        <v>628</v>
      </c>
      <c r="C3623" s="2" t="s">
        <v>725</v>
      </c>
      <c r="D3623" s="2" t="s">
        <v>249</v>
      </c>
      <c r="E3623" s="70" t="s">
        <v>268</v>
      </c>
      <c r="F3623" s="29">
        <v>24</v>
      </c>
      <c r="G3623" s="29">
        <v>15</v>
      </c>
      <c r="H3623" s="33">
        <v>9</v>
      </c>
      <c r="M3623" s="2"/>
      <c r="N3623" s="2"/>
      <c r="O3623" s="2"/>
    </row>
    <row r="3624" spans="1:15" x14ac:dyDescent="0.4">
      <c r="A3624">
        <v>2007</v>
      </c>
      <c r="B3624" s="2" t="s">
        <v>629</v>
      </c>
      <c r="C3624" s="2" t="s">
        <v>725</v>
      </c>
      <c r="D3624" s="2" t="s">
        <v>249</v>
      </c>
      <c r="E3624" s="70" t="s">
        <v>26</v>
      </c>
      <c r="F3624" s="29">
        <v>10</v>
      </c>
      <c r="G3624" s="29">
        <v>5</v>
      </c>
      <c r="H3624" s="33">
        <v>5</v>
      </c>
      <c r="M3624" s="2"/>
      <c r="N3624" s="2"/>
      <c r="O3624" s="2"/>
    </row>
    <row r="3625" spans="1:15" x14ac:dyDescent="0.4">
      <c r="A3625">
        <v>2007</v>
      </c>
      <c r="B3625" s="2" t="s">
        <v>630</v>
      </c>
      <c r="C3625" s="2" t="s">
        <v>725</v>
      </c>
      <c r="D3625" s="2" t="s">
        <v>249</v>
      </c>
      <c r="E3625" s="70" t="s">
        <v>51</v>
      </c>
      <c r="F3625" s="29">
        <v>46</v>
      </c>
      <c r="G3625" s="29">
        <v>30</v>
      </c>
      <c r="H3625" s="33">
        <v>16</v>
      </c>
      <c r="M3625" s="2"/>
      <c r="N3625" s="2"/>
      <c r="O3625" s="2"/>
    </row>
    <row r="3626" spans="1:15" x14ac:dyDescent="0.4">
      <c r="A3626">
        <v>2007</v>
      </c>
      <c r="B3626" s="2" t="s">
        <v>631</v>
      </c>
      <c r="C3626" s="2" t="s">
        <v>725</v>
      </c>
      <c r="D3626" s="2" t="s">
        <v>249</v>
      </c>
      <c r="E3626" s="70" t="s">
        <v>269</v>
      </c>
      <c r="F3626" s="29">
        <v>88</v>
      </c>
      <c r="G3626" s="29">
        <v>59</v>
      </c>
      <c r="H3626" s="33">
        <v>29</v>
      </c>
      <c r="M3626" s="2"/>
      <c r="N3626" s="2"/>
      <c r="O3626" s="2"/>
    </row>
    <row r="3627" spans="1:15" x14ac:dyDescent="0.4">
      <c r="A3627">
        <v>2007</v>
      </c>
      <c r="B3627" s="2" t="s">
        <v>632</v>
      </c>
      <c r="C3627" s="2" t="s">
        <v>725</v>
      </c>
      <c r="D3627" s="2" t="s">
        <v>249</v>
      </c>
      <c r="E3627" s="70" t="s">
        <v>270</v>
      </c>
      <c r="F3627" s="29">
        <v>95</v>
      </c>
      <c r="G3627" s="29">
        <v>52</v>
      </c>
      <c r="H3627" s="33">
        <v>43</v>
      </c>
      <c r="M3627" s="2"/>
      <c r="N3627" s="2"/>
      <c r="O3627" s="2"/>
    </row>
    <row r="3628" spans="1:15" x14ac:dyDescent="0.4">
      <c r="A3628">
        <v>2007</v>
      </c>
      <c r="B3628" s="2" t="s">
        <v>633</v>
      </c>
      <c r="C3628" s="2" t="s">
        <v>726</v>
      </c>
      <c r="D3628" s="2" t="s">
        <v>271</v>
      </c>
      <c r="E3628" s="70" t="s">
        <v>174</v>
      </c>
      <c r="F3628" s="29">
        <v>53</v>
      </c>
      <c r="G3628" s="29">
        <v>38</v>
      </c>
      <c r="H3628" s="33">
        <v>15</v>
      </c>
      <c r="M3628" s="2"/>
      <c r="N3628" s="2"/>
      <c r="O3628" s="2"/>
    </row>
    <row r="3629" spans="1:15" x14ac:dyDescent="0.4">
      <c r="A3629">
        <v>2007</v>
      </c>
      <c r="B3629" s="2" t="s">
        <v>634</v>
      </c>
      <c r="C3629" s="2" t="s">
        <v>726</v>
      </c>
      <c r="D3629" s="2" t="s">
        <v>271</v>
      </c>
      <c r="E3629" s="70" t="s">
        <v>272</v>
      </c>
      <c r="F3629" s="29">
        <v>429</v>
      </c>
      <c r="G3629" s="29">
        <v>249</v>
      </c>
      <c r="H3629" s="33">
        <v>180</v>
      </c>
      <c r="M3629" s="2"/>
      <c r="N3629" s="2"/>
      <c r="O3629" s="2"/>
    </row>
    <row r="3630" spans="1:15" x14ac:dyDescent="0.4">
      <c r="A3630">
        <v>2007</v>
      </c>
      <c r="B3630" s="2" t="s">
        <v>635</v>
      </c>
      <c r="C3630" s="2" t="s">
        <v>726</v>
      </c>
      <c r="D3630" s="2" t="s">
        <v>271</v>
      </c>
      <c r="E3630" s="70" t="s">
        <v>36</v>
      </c>
      <c r="F3630" s="29">
        <v>23</v>
      </c>
      <c r="G3630" s="29">
        <v>15</v>
      </c>
      <c r="H3630" s="33">
        <v>8</v>
      </c>
      <c r="M3630" s="2"/>
      <c r="N3630" s="2"/>
      <c r="O3630" s="2"/>
    </row>
    <row r="3631" spans="1:15" x14ac:dyDescent="0.4">
      <c r="A3631">
        <v>2007</v>
      </c>
      <c r="B3631" s="2" t="s">
        <v>636</v>
      </c>
      <c r="C3631" s="2" t="s">
        <v>726</v>
      </c>
      <c r="D3631" s="2" t="s">
        <v>271</v>
      </c>
      <c r="E3631" s="70" t="s">
        <v>273</v>
      </c>
      <c r="F3631" s="29">
        <v>84</v>
      </c>
      <c r="G3631" s="29">
        <v>50</v>
      </c>
      <c r="H3631" s="33">
        <v>34</v>
      </c>
      <c r="M3631" s="2"/>
      <c r="N3631" s="2"/>
      <c r="O3631" s="2"/>
    </row>
    <row r="3632" spans="1:15" x14ac:dyDescent="0.4">
      <c r="A3632">
        <v>2007</v>
      </c>
      <c r="B3632" s="2" t="s">
        <v>637</v>
      </c>
      <c r="C3632" s="2" t="s">
        <v>726</v>
      </c>
      <c r="D3632" s="2" t="s">
        <v>271</v>
      </c>
      <c r="E3632" s="70" t="s">
        <v>274</v>
      </c>
      <c r="F3632" s="29">
        <v>139</v>
      </c>
      <c r="G3632" s="29">
        <v>89</v>
      </c>
      <c r="H3632" s="33">
        <v>50</v>
      </c>
      <c r="M3632" s="2"/>
      <c r="N3632" s="2"/>
      <c r="O3632" s="2"/>
    </row>
    <row r="3633" spans="1:15" x14ac:dyDescent="0.4">
      <c r="A3633">
        <v>2007</v>
      </c>
      <c r="B3633" s="2" t="s">
        <v>638</v>
      </c>
      <c r="C3633" s="2" t="s">
        <v>726</v>
      </c>
      <c r="D3633" s="2" t="s">
        <v>271</v>
      </c>
      <c r="E3633" s="70" t="s">
        <v>275</v>
      </c>
      <c r="F3633" s="29">
        <v>50</v>
      </c>
      <c r="G3633" s="29">
        <v>30</v>
      </c>
      <c r="H3633" s="33">
        <v>20</v>
      </c>
      <c r="M3633" s="2"/>
      <c r="N3633" s="2"/>
      <c r="O3633" s="2"/>
    </row>
    <row r="3634" spans="1:15" x14ac:dyDescent="0.4">
      <c r="A3634">
        <v>2007</v>
      </c>
      <c r="B3634" s="2" t="s">
        <v>639</v>
      </c>
      <c r="C3634" s="2" t="s">
        <v>726</v>
      </c>
      <c r="D3634" s="2" t="s">
        <v>271</v>
      </c>
      <c r="E3634" s="70" t="s">
        <v>276</v>
      </c>
      <c r="F3634" s="29">
        <v>0</v>
      </c>
      <c r="G3634" s="29">
        <v>0</v>
      </c>
      <c r="H3634" s="33">
        <v>0</v>
      </c>
      <c r="M3634" s="2"/>
      <c r="N3634" s="2"/>
      <c r="O3634" s="2"/>
    </row>
    <row r="3635" spans="1:15" x14ac:dyDescent="0.4">
      <c r="A3635">
        <v>2007</v>
      </c>
      <c r="B3635" s="2" t="s">
        <v>640</v>
      </c>
      <c r="C3635" s="2" t="s">
        <v>726</v>
      </c>
      <c r="D3635" s="2" t="s">
        <v>271</v>
      </c>
      <c r="E3635" s="70" t="s">
        <v>277</v>
      </c>
      <c r="F3635" s="29">
        <v>36</v>
      </c>
      <c r="G3635" s="29">
        <v>23</v>
      </c>
      <c r="H3635" s="33">
        <v>13</v>
      </c>
      <c r="M3635" s="2"/>
      <c r="N3635" s="2"/>
      <c r="O3635" s="2"/>
    </row>
    <row r="3636" spans="1:15" x14ac:dyDescent="0.4">
      <c r="A3636">
        <v>2007</v>
      </c>
      <c r="B3636" s="2" t="s">
        <v>641</v>
      </c>
      <c r="C3636" s="2" t="s">
        <v>726</v>
      </c>
      <c r="D3636" s="2" t="s">
        <v>271</v>
      </c>
      <c r="E3636" s="70" t="s">
        <v>278</v>
      </c>
      <c r="F3636" s="29">
        <v>49</v>
      </c>
      <c r="G3636" s="29">
        <v>32</v>
      </c>
      <c r="H3636" s="33">
        <v>17</v>
      </c>
      <c r="M3636" s="2"/>
      <c r="N3636" s="2"/>
      <c r="O3636" s="2"/>
    </row>
    <row r="3637" spans="1:15" x14ac:dyDescent="0.4">
      <c r="A3637">
        <v>2007</v>
      </c>
      <c r="B3637" s="2" t="s">
        <v>642</v>
      </c>
      <c r="C3637" s="2" t="s">
        <v>726</v>
      </c>
      <c r="D3637" s="2" t="s">
        <v>271</v>
      </c>
      <c r="E3637" s="70" t="s">
        <v>85</v>
      </c>
      <c r="F3637" s="29">
        <v>35</v>
      </c>
      <c r="G3637" s="29">
        <v>28</v>
      </c>
      <c r="H3637" s="33">
        <v>7</v>
      </c>
      <c r="M3637" s="2"/>
      <c r="N3637" s="2"/>
      <c r="O3637" s="2"/>
    </row>
    <row r="3638" spans="1:15" x14ac:dyDescent="0.4">
      <c r="A3638">
        <v>2007</v>
      </c>
      <c r="B3638" s="2" t="s">
        <v>643</v>
      </c>
      <c r="C3638" s="2" t="s">
        <v>726</v>
      </c>
      <c r="D3638" s="2" t="s">
        <v>271</v>
      </c>
      <c r="E3638" s="70" t="s">
        <v>279</v>
      </c>
      <c r="F3638" s="29">
        <v>34</v>
      </c>
      <c r="G3638" s="29">
        <v>25</v>
      </c>
      <c r="H3638" s="33">
        <v>9</v>
      </c>
      <c r="M3638" s="2"/>
      <c r="N3638" s="2"/>
      <c r="O3638" s="2"/>
    </row>
    <row r="3639" spans="1:15" x14ac:dyDescent="0.4">
      <c r="A3639">
        <v>2007</v>
      </c>
      <c r="B3639" s="2" t="s">
        <v>644</v>
      </c>
      <c r="C3639" s="2" t="s">
        <v>726</v>
      </c>
      <c r="D3639" s="2" t="s">
        <v>271</v>
      </c>
      <c r="E3639" s="70" t="s">
        <v>280</v>
      </c>
      <c r="F3639" s="29">
        <v>24</v>
      </c>
      <c r="G3639" s="29">
        <v>15</v>
      </c>
      <c r="H3639" s="33">
        <v>9</v>
      </c>
      <c r="M3639" s="2"/>
      <c r="N3639" s="2"/>
      <c r="O3639" s="2"/>
    </row>
    <row r="3640" spans="1:15" x14ac:dyDescent="0.4">
      <c r="A3640">
        <v>2007</v>
      </c>
      <c r="B3640" s="2" t="s">
        <v>645</v>
      </c>
      <c r="C3640" s="2" t="s">
        <v>726</v>
      </c>
      <c r="D3640" s="2" t="s">
        <v>271</v>
      </c>
      <c r="E3640" s="70" t="s">
        <v>281</v>
      </c>
      <c r="F3640" s="29">
        <v>144</v>
      </c>
      <c r="G3640" s="29">
        <v>85</v>
      </c>
      <c r="H3640" s="33">
        <v>59</v>
      </c>
      <c r="M3640" s="2"/>
      <c r="N3640" s="2"/>
      <c r="O3640" s="2"/>
    </row>
    <row r="3641" spans="1:15" x14ac:dyDescent="0.4">
      <c r="A3641">
        <v>2007</v>
      </c>
      <c r="B3641" s="2" t="s">
        <v>646</v>
      </c>
      <c r="C3641" s="2" t="s">
        <v>726</v>
      </c>
      <c r="D3641" s="2" t="s">
        <v>271</v>
      </c>
      <c r="E3641" s="70" t="s">
        <v>282</v>
      </c>
      <c r="F3641" s="29">
        <v>52</v>
      </c>
      <c r="G3641" s="29">
        <v>35</v>
      </c>
      <c r="H3641" s="33">
        <v>17</v>
      </c>
      <c r="M3641" s="2"/>
      <c r="N3641" s="2"/>
      <c r="O3641" s="2"/>
    </row>
    <row r="3642" spans="1:15" x14ac:dyDescent="0.4">
      <c r="A3642">
        <v>2007</v>
      </c>
      <c r="B3642" s="2" t="s">
        <v>647</v>
      </c>
      <c r="C3642" s="2" t="s">
        <v>726</v>
      </c>
      <c r="D3642" s="2" t="s">
        <v>271</v>
      </c>
      <c r="E3642" s="70" t="s">
        <v>283</v>
      </c>
      <c r="F3642" s="29">
        <v>55</v>
      </c>
      <c r="G3642" s="29">
        <v>30</v>
      </c>
      <c r="H3642" s="33">
        <v>25</v>
      </c>
      <c r="M3642" s="2"/>
      <c r="N3642" s="2"/>
      <c r="O3642" s="2"/>
    </row>
    <row r="3643" spans="1:15" x14ac:dyDescent="0.4">
      <c r="A3643">
        <v>2007</v>
      </c>
      <c r="B3643" s="2" t="s">
        <v>648</v>
      </c>
      <c r="C3643" s="2" t="s">
        <v>726</v>
      </c>
      <c r="D3643" s="2" t="s">
        <v>271</v>
      </c>
      <c r="E3643" s="70" t="s">
        <v>284</v>
      </c>
      <c r="F3643" s="29">
        <v>117</v>
      </c>
      <c r="G3643" s="29">
        <v>70</v>
      </c>
      <c r="H3643" s="33">
        <v>47</v>
      </c>
      <c r="M3643" s="2"/>
      <c r="N3643" s="2"/>
      <c r="O3643" s="2"/>
    </row>
    <row r="3644" spans="1:15" x14ac:dyDescent="0.4">
      <c r="A3644">
        <v>2007</v>
      </c>
      <c r="B3644" s="2" t="s">
        <v>649</v>
      </c>
      <c r="C3644" s="2" t="s">
        <v>726</v>
      </c>
      <c r="D3644" s="2" t="s">
        <v>271</v>
      </c>
      <c r="E3644" s="70" t="s">
        <v>51</v>
      </c>
      <c r="F3644" s="29">
        <v>119</v>
      </c>
      <c r="G3644" s="29">
        <v>76</v>
      </c>
      <c r="H3644" s="33">
        <v>43</v>
      </c>
      <c r="M3644" s="2"/>
      <c r="N3644" s="2"/>
      <c r="O3644" s="2"/>
    </row>
    <row r="3645" spans="1:15" x14ac:dyDescent="0.4">
      <c r="A3645">
        <v>2007</v>
      </c>
      <c r="B3645" s="2" t="s">
        <v>650</v>
      </c>
      <c r="C3645" s="2" t="s">
        <v>726</v>
      </c>
      <c r="D3645" s="2" t="s">
        <v>271</v>
      </c>
      <c r="E3645" s="70" t="s">
        <v>285</v>
      </c>
      <c r="F3645" s="29">
        <v>340</v>
      </c>
      <c r="G3645" s="29">
        <v>199</v>
      </c>
      <c r="H3645" s="33">
        <v>141</v>
      </c>
      <c r="M3645" s="2"/>
      <c r="N3645" s="2"/>
      <c r="O3645" s="2"/>
    </row>
    <row r="3646" spans="1:15" x14ac:dyDescent="0.4">
      <c r="A3646">
        <v>2007</v>
      </c>
      <c r="B3646" s="2" t="s">
        <v>651</v>
      </c>
      <c r="C3646" s="2" t="s">
        <v>726</v>
      </c>
      <c r="D3646" s="2" t="s">
        <v>271</v>
      </c>
      <c r="E3646" s="70" t="s">
        <v>53</v>
      </c>
      <c r="F3646" s="29">
        <v>87</v>
      </c>
      <c r="G3646" s="29">
        <v>60</v>
      </c>
      <c r="H3646" s="33">
        <v>27</v>
      </c>
      <c r="M3646" s="2"/>
      <c r="N3646" s="2"/>
      <c r="O3646" s="2"/>
    </row>
    <row r="3647" spans="1:15" x14ac:dyDescent="0.4">
      <c r="A3647">
        <v>2007</v>
      </c>
      <c r="B3647" s="2" t="s">
        <v>652</v>
      </c>
      <c r="C3647" s="2" t="s">
        <v>726</v>
      </c>
      <c r="D3647" s="2" t="s">
        <v>271</v>
      </c>
      <c r="E3647" s="70" t="s">
        <v>286</v>
      </c>
      <c r="F3647" s="29">
        <v>1588</v>
      </c>
      <c r="G3647" s="29">
        <v>968</v>
      </c>
      <c r="H3647" s="33">
        <v>620</v>
      </c>
      <c r="M3647" s="2"/>
      <c r="N3647" s="2"/>
      <c r="O3647" s="2"/>
    </row>
    <row r="3648" spans="1:15" x14ac:dyDescent="0.4">
      <c r="A3648">
        <v>2007</v>
      </c>
      <c r="B3648" s="2" t="s">
        <v>653</v>
      </c>
      <c r="C3648" s="2" t="s">
        <v>727</v>
      </c>
      <c r="D3648" s="2" t="s">
        <v>288</v>
      </c>
      <c r="E3648" s="70" t="s">
        <v>287</v>
      </c>
      <c r="F3648" s="29">
        <v>171</v>
      </c>
      <c r="G3648" s="29">
        <v>116</v>
      </c>
      <c r="H3648" s="33">
        <v>55</v>
      </c>
      <c r="M3648" s="2"/>
      <c r="N3648" s="2"/>
      <c r="O3648" s="2"/>
    </row>
    <row r="3649" spans="1:15" x14ac:dyDescent="0.4">
      <c r="A3649">
        <v>2007</v>
      </c>
      <c r="B3649" s="2" t="s">
        <v>654</v>
      </c>
      <c r="C3649" s="2" t="s">
        <v>727</v>
      </c>
      <c r="D3649" s="2" t="s">
        <v>288</v>
      </c>
      <c r="E3649" s="70" t="s">
        <v>289</v>
      </c>
      <c r="F3649" s="29">
        <v>155</v>
      </c>
      <c r="G3649" s="29">
        <v>109</v>
      </c>
      <c r="H3649" s="33">
        <v>46</v>
      </c>
      <c r="M3649" s="2"/>
      <c r="N3649" s="2"/>
      <c r="O3649" s="2"/>
    </row>
    <row r="3650" spans="1:15" x14ac:dyDescent="0.4">
      <c r="A3650">
        <v>2007</v>
      </c>
      <c r="B3650" s="2" t="s">
        <v>655</v>
      </c>
      <c r="C3650" s="2" t="s">
        <v>727</v>
      </c>
      <c r="D3650" s="2" t="s">
        <v>288</v>
      </c>
      <c r="E3650" s="70" t="s">
        <v>290</v>
      </c>
      <c r="F3650" s="29">
        <v>113</v>
      </c>
      <c r="G3650" s="29">
        <v>83</v>
      </c>
      <c r="H3650" s="33">
        <v>30</v>
      </c>
      <c r="M3650" s="2"/>
      <c r="N3650" s="2"/>
      <c r="O3650" s="2"/>
    </row>
    <row r="3651" spans="1:15" x14ac:dyDescent="0.4">
      <c r="A3651">
        <v>2007</v>
      </c>
      <c r="B3651" s="2" t="s">
        <v>656</v>
      </c>
      <c r="C3651" s="2" t="s">
        <v>727</v>
      </c>
      <c r="D3651" s="2" t="s">
        <v>288</v>
      </c>
      <c r="E3651" s="70" t="s">
        <v>291</v>
      </c>
      <c r="F3651" s="29">
        <v>0</v>
      </c>
      <c r="G3651" s="29">
        <v>0</v>
      </c>
      <c r="H3651" s="33">
        <v>0</v>
      </c>
      <c r="M3651" s="2"/>
      <c r="N3651" s="2"/>
      <c r="O3651" s="2"/>
    </row>
    <row r="3652" spans="1:15" x14ac:dyDescent="0.4">
      <c r="A3652">
        <v>2007</v>
      </c>
      <c r="B3652" s="2" t="s">
        <v>657</v>
      </c>
      <c r="C3652" s="2" t="s">
        <v>727</v>
      </c>
      <c r="D3652" s="2" t="s">
        <v>288</v>
      </c>
      <c r="E3652" s="70" t="s">
        <v>292</v>
      </c>
      <c r="F3652" s="29">
        <v>327</v>
      </c>
      <c r="G3652" s="29">
        <v>249</v>
      </c>
      <c r="H3652" s="33">
        <v>78</v>
      </c>
      <c r="M3652" s="2"/>
      <c r="N3652" s="2"/>
      <c r="O3652" s="2"/>
    </row>
    <row r="3653" spans="1:15" x14ac:dyDescent="0.4">
      <c r="A3653">
        <v>2007</v>
      </c>
      <c r="B3653" s="2" t="s">
        <v>658</v>
      </c>
      <c r="C3653" s="2" t="s">
        <v>727</v>
      </c>
      <c r="D3653" s="2" t="s">
        <v>288</v>
      </c>
      <c r="E3653" s="70" t="s">
        <v>293</v>
      </c>
      <c r="F3653" s="29">
        <v>6</v>
      </c>
      <c r="G3653" s="29">
        <v>5</v>
      </c>
      <c r="H3653" s="33">
        <v>1</v>
      </c>
      <c r="M3653" s="2"/>
      <c r="N3653" s="2"/>
      <c r="O3653" s="2"/>
    </row>
    <row r="3654" spans="1:15" x14ac:dyDescent="0.4">
      <c r="A3654">
        <v>2007</v>
      </c>
      <c r="B3654" s="2" t="s">
        <v>659</v>
      </c>
      <c r="C3654" s="2" t="s">
        <v>727</v>
      </c>
      <c r="D3654" s="2" t="s">
        <v>288</v>
      </c>
      <c r="E3654" s="70" t="s">
        <v>294</v>
      </c>
      <c r="F3654" s="29">
        <v>316</v>
      </c>
      <c r="G3654" s="29">
        <v>206</v>
      </c>
      <c r="H3654" s="33">
        <v>110</v>
      </c>
      <c r="M3654" s="2"/>
      <c r="N3654" s="2"/>
      <c r="O3654" s="2"/>
    </row>
    <row r="3655" spans="1:15" x14ac:dyDescent="0.4">
      <c r="A3655">
        <v>2007</v>
      </c>
      <c r="B3655" s="2" t="s">
        <v>660</v>
      </c>
      <c r="C3655" s="2" t="s">
        <v>727</v>
      </c>
      <c r="D3655" s="2" t="s">
        <v>288</v>
      </c>
      <c r="E3655" s="70" t="s">
        <v>295</v>
      </c>
      <c r="F3655" s="29">
        <v>84</v>
      </c>
      <c r="G3655" s="29">
        <v>48</v>
      </c>
      <c r="H3655" s="33">
        <v>36</v>
      </c>
      <c r="M3655" s="2"/>
      <c r="N3655" s="2"/>
      <c r="O3655" s="2"/>
    </row>
    <row r="3656" spans="1:15" x14ac:dyDescent="0.4">
      <c r="A3656">
        <v>2007</v>
      </c>
      <c r="B3656" s="2" t="s">
        <v>661</v>
      </c>
      <c r="C3656" s="2" t="s">
        <v>727</v>
      </c>
      <c r="D3656" s="2" t="s">
        <v>288</v>
      </c>
      <c r="E3656" s="70" t="s">
        <v>296</v>
      </c>
      <c r="F3656" s="29">
        <v>463</v>
      </c>
      <c r="G3656" s="29">
        <v>305</v>
      </c>
      <c r="H3656" s="33">
        <v>158</v>
      </c>
      <c r="M3656" s="2"/>
      <c r="N3656" s="2"/>
      <c r="O3656" s="2"/>
    </row>
    <row r="3657" spans="1:15" x14ac:dyDescent="0.4">
      <c r="A3657">
        <v>2007</v>
      </c>
      <c r="B3657" s="2" t="s">
        <v>662</v>
      </c>
      <c r="C3657" s="2" t="s">
        <v>727</v>
      </c>
      <c r="D3657" s="2" t="s">
        <v>288</v>
      </c>
      <c r="E3657" s="70" t="s">
        <v>297</v>
      </c>
      <c r="F3657" s="29">
        <v>52</v>
      </c>
      <c r="G3657" s="29">
        <v>32</v>
      </c>
      <c r="H3657" s="33">
        <v>20</v>
      </c>
      <c r="M3657" s="2"/>
      <c r="N3657" s="2"/>
      <c r="O3657" s="2"/>
    </row>
    <row r="3658" spans="1:15" x14ac:dyDescent="0.4">
      <c r="A3658">
        <v>2007</v>
      </c>
      <c r="B3658" s="2" t="s">
        <v>663</v>
      </c>
      <c r="C3658" s="2" t="s">
        <v>727</v>
      </c>
      <c r="D3658" s="2" t="s">
        <v>288</v>
      </c>
      <c r="E3658" s="70" t="s">
        <v>298</v>
      </c>
      <c r="F3658" s="29">
        <v>91</v>
      </c>
      <c r="G3658" s="29">
        <v>62</v>
      </c>
      <c r="H3658" s="33">
        <v>29</v>
      </c>
      <c r="M3658" s="2"/>
      <c r="N3658" s="2"/>
      <c r="O3658" s="2"/>
    </row>
    <row r="3659" spans="1:15" x14ac:dyDescent="0.4">
      <c r="A3659">
        <v>2007</v>
      </c>
      <c r="B3659" s="2" t="s">
        <v>664</v>
      </c>
      <c r="C3659" s="2" t="s">
        <v>728</v>
      </c>
      <c r="D3659" s="2" t="s">
        <v>300</v>
      </c>
      <c r="E3659" s="70" t="s">
        <v>299</v>
      </c>
      <c r="F3659" s="29">
        <v>58</v>
      </c>
      <c r="G3659" s="29">
        <v>37</v>
      </c>
      <c r="H3659" s="33">
        <v>21</v>
      </c>
      <c r="M3659" s="2"/>
      <c r="N3659" s="2"/>
      <c r="O3659" s="2"/>
    </row>
    <row r="3660" spans="1:15" x14ac:dyDescent="0.4">
      <c r="A3660">
        <v>2007</v>
      </c>
      <c r="B3660" s="2" t="s">
        <v>665</v>
      </c>
      <c r="C3660" s="2" t="s">
        <v>728</v>
      </c>
      <c r="D3660" s="2" t="s">
        <v>300</v>
      </c>
      <c r="E3660" s="70" t="s">
        <v>36</v>
      </c>
      <c r="F3660" s="29">
        <v>74</v>
      </c>
      <c r="G3660" s="29">
        <v>49</v>
      </c>
      <c r="H3660" s="33">
        <v>25</v>
      </c>
      <c r="M3660" s="2"/>
      <c r="N3660" s="2"/>
      <c r="O3660" s="2"/>
    </row>
    <row r="3661" spans="1:15" x14ac:dyDescent="0.4">
      <c r="A3661">
        <v>2007</v>
      </c>
      <c r="B3661" s="2" t="s">
        <v>666</v>
      </c>
      <c r="C3661" s="2" t="s">
        <v>728</v>
      </c>
      <c r="D3661" s="2" t="s">
        <v>300</v>
      </c>
      <c r="E3661" s="70" t="s">
        <v>301</v>
      </c>
      <c r="F3661" s="29">
        <v>218</v>
      </c>
      <c r="G3661" s="29">
        <v>145</v>
      </c>
      <c r="H3661" s="33">
        <v>73</v>
      </c>
      <c r="M3661" s="2"/>
      <c r="N3661" s="2"/>
      <c r="O3661" s="2"/>
    </row>
    <row r="3662" spans="1:15" x14ac:dyDescent="0.4">
      <c r="A3662">
        <v>2007</v>
      </c>
      <c r="B3662" s="2" t="s">
        <v>667</v>
      </c>
      <c r="C3662" s="2" t="s">
        <v>728</v>
      </c>
      <c r="D3662" s="2" t="s">
        <v>300</v>
      </c>
      <c r="E3662" s="70" t="s">
        <v>302</v>
      </c>
      <c r="F3662" s="29">
        <v>80</v>
      </c>
      <c r="G3662" s="29">
        <v>54</v>
      </c>
      <c r="H3662" s="33">
        <v>26</v>
      </c>
      <c r="M3662" s="2"/>
      <c r="N3662" s="2"/>
      <c r="O3662" s="2"/>
    </row>
    <row r="3663" spans="1:15" x14ac:dyDescent="0.4">
      <c r="A3663">
        <v>2007</v>
      </c>
      <c r="B3663" s="2" t="s">
        <v>668</v>
      </c>
      <c r="C3663" s="2" t="s">
        <v>728</v>
      </c>
      <c r="D3663" s="2" t="s">
        <v>300</v>
      </c>
      <c r="E3663" s="70" t="s">
        <v>14</v>
      </c>
      <c r="F3663" s="29">
        <v>133</v>
      </c>
      <c r="G3663" s="29">
        <v>83</v>
      </c>
      <c r="H3663" s="33">
        <v>50</v>
      </c>
      <c r="M3663" s="2"/>
      <c r="N3663" s="2"/>
      <c r="O3663" s="2"/>
    </row>
    <row r="3664" spans="1:15" x14ac:dyDescent="0.4">
      <c r="A3664">
        <v>2007</v>
      </c>
      <c r="B3664" s="2" t="s">
        <v>669</v>
      </c>
      <c r="C3664" s="2" t="s">
        <v>728</v>
      </c>
      <c r="D3664" s="2" t="s">
        <v>300</v>
      </c>
      <c r="E3664" s="70" t="s">
        <v>303</v>
      </c>
      <c r="F3664" s="29">
        <v>33</v>
      </c>
      <c r="G3664" s="29">
        <v>23</v>
      </c>
      <c r="H3664" s="33">
        <v>10</v>
      </c>
      <c r="M3664" s="2"/>
      <c r="N3664" s="2"/>
      <c r="O3664" s="2"/>
    </row>
    <row r="3665" spans="1:15" x14ac:dyDescent="0.4">
      <c r="A3665">
        <v>2007</v>
      </c>
      <c r="B3665" s="2" t="s">
        <v>670</v>
      </c>
      <c r="C3665" s="2" t="s">
        <v>728</v>
      </c>
      <c r="D3665" s="2" t="s">
        <v>300</v>
      </c>
      <c r="E3665" s="70" t="s">
        <v>304</v>
      </c>
      <c r="F3665" s="29">
        <v>37</v>
      </c>
      <c r="G3665" s="29">
        <v>26</v>
      </c>
      <c r="H3665" s="33">
        <v>11</v>
      </c>
      <c r="M3665" s="2"/>
      <c r="N3665" s="2"/>
      <c r="O3665" s="2"/>
    </row>
    <row r="3666" spans="1:15" x14ac:dyDescent="0.4">
      <c r="A3666">
        <v>2007</v>
      </c>
      <c r="B3666" s="2" t="s">
        <v>671</v>
      </c>
      <c r="C3666" s="2" t="s">
        <v>728</v>
      </c>
      <c r="D3666" s="14" t="s">
        <v>300</v>
      </c>
      <c r="E3666" s="69" t="s">
        <v>305</v>
      </c>
      <c r="F3666" s="11">
        <v>27</v>
      </c>
      <c r="G3666" s="11">
        <v>16</v>
      </c>
      <c r="H3666" s="12">
        <v>11</v>
      </c>
      <c r="M3666" s="2"/>
      <c r="N3666" s="2"/>
      <c r="O3666" s="2"/>
    </row>
    <row r="3667" spans="1:15" x14ac:dyDescent="0.4">
      <c r="A3667">
        <v>2007</v>
      </c>
      <c r="B3667" s="2" t="s">
        <v>672</v>
      </c>
      <c r="C3667" s="2" t="s">
        <v>728</v>
      </c>
      <c r="D3667" s="2" t="s">
        <v>300</v>
      </c>
      <c r="E3667" s="70" t="s">
        <v>306</v>
      </c>
      <c r="F3667" s="29">
        <v>224</v>
      </c>
      <c r="G3667" s="29">
        <v>143</v>
      </c>
      <c r="H3667" s="33">
        <v>81</v>
      </c>
      <c r="M3667" s="2"/>
      <c r="N3667" s="2"/>
      <c r="O3667" s="2"/>
    </row>
    <row r="3668" spans="1:15" x14ac:dyDescent="0.4">
      <c r="A3668">
        <v>2007</v>
      </c>
      <c r="B3668" s="2" t="s">
        <v>673</v>
      </c>
      <c r="C3668" s="2" t="s">
        <v>728</v>
      </c>
      <c r="D3668" s="2" t="s">
        <v>300</v>
      </c>
      <c r="E3668" s="70" t="s">
        <v>307</v>
      </c>
      <c r="F3668" s="29">
        <v>336</v>
      </c>
      <c r="G3668" s="29">
        <v>219</v>
      </c>
      <c r="H3668" s="33">
        <v>117</v>
      </c>
      <c r="M3668" s="2"/>
      <c r="N3668" s="2"/>
      <c r="O3668" s="2"/>
    </row>
    <row r="3669" spans="1:15" x14ac:dyDescent="0.4">
      <c r="A3669">
        <v>2007</v>
      </c>
      <c r="B3669" s="2" t="s">
        <v>674</v>
      </c>
      <c r="C3669" s="2" t="s">
        <v>728</v>
      </c>
      <c r="D3669" s="2" t="s">
        <v>300</v>
      </c>
      <c r="E3669" s="70" t="s">
        <v>308</v>
      </c>
      <c r="F3669" s="29">
        <v>1005</v>
      </c>
      <c r="G3669" s="29">
        <v>581</v>
      </c>
      <c r="H3669" s="33">
        <v>424</v>
      </c>
      <c r="M3669" s="2"/>
      <c r="N3669" s="2"/>
      <c r="O3669" s="2"/>
    </row>
    <row r="3670" spans="1:15" x14ac:dyDescent="0.4">
      <c r="A3670">
        <v>2007</v>
      </c>
      <c r="B3670" s="2" t="s">
        <v>675</v>
      </c>
      <c r="C3670" s="2" t="s">
        <v>728</v>
      </c>
      <c r="D3670" s="2" t="s">
        <v>300</v>
      </c>
      <c r="E3670" s="70" t="s">
        <v>51</v>
      </c>
      <c r="F3670" s="29">
        <v>36</v>
      </c>
      <c r="G3670" s="29">
        <v>21</v>
      </c>
      <c r="H3670" s="33">
        <v>15</v>
      </c>
      <c r="M3670" s="2"/>
      <c r="N3670" s="2"/>
      <c r="O3670" s="2"/>
    </row>
    <row r="3671" spans="1:15" x14ac:dyDescent="0.4">
      <c r="A3671">
        <v>2007</v>
      </c>
      <c r="B3671" s="2" t="s">
        <v>676</v>
      </c>
      <c r="C3671" s="2" t="s">
        <v>728</v>
      </c>
      <c r="D3671" s="2" t="s">
        <v>300</v>
      </c>
      <c r="E3671" s="70" t="s">
        <v>309</v>
      </c>
      <c r="F3671" s="29">
        <v>58</v>
      </c>
      <c r="G3671" s="29">
        <v>45</v>
      </c>
      <c r="H3671" s="33">
        <v>13</v>
      </c>
      <c r="M3671" s="2"/>
      <c r="N3671" s="2"/>
      <c r="O3671" s="2"/>
    </row>
    <row r="3672" spans="1:15" x14ac:dyDescent="0.4">
      <c r="A3672">
        <v>2007</v>
      </c>
      <c r="B3672" s="2" t="s">
        <v>677</v>
      </c>
      <c r="C3672" s="2" t="s">
        <v>728</v>
      </c>
      <c r="D3672" s="2" t="s">
        <v>300</v>
      </c>
      <c r="E3672" s="70" t="s">
        <v>310</v>
      </c>
      <c r="F3672" s="29">
        <v>46</v>
      </c>
      <c r="G3672" s="29">
        <v>26</v>
      </c>
      <c r="H3672" s="33">
        <v>20</v>
      </c>
      <c r="M3672" s="2"/>
      <c r="N3672" s="2"/>
      <c r="O3672" s="2"/>
    </row>
    <row r="3673" spans="1:15" x14ac:dyDescent="0.4">
      <c r="A3673">
        <v>2007</v>
      </c>
      <c r="B3673" s="2" t="s">
        <v>678</v>
      </c>
      <c r="C3673" s="2" t="s">
        <v>729</v>
      </c>
      <c r="D3673" s="2" t="s">
        <v>312</v>
      </c>
      <c r="E3673" s="70" t="s">
        <v>311</v>
      </c>
      <c r="F3673" s="29">
        <v>29</v>
      </c>
      <c r="G3673" s="29">
        <v>17</v>
      </c>
      <c r="H3673" s="33">
        <v>12</v>
      </c>
      <c r="M3673" s="2"/>
      <c r="N3673" s="2"/>
      <c r="O3673" s="2"/>
    </row>
    <row r="3674" spans="1:15" x14ac:dyDescent="0.4">
      <c r="A3674">
        <v>2007</v>
      </c>
      <c r="B3674" s="2" t="s">
        <v>679</v>
      </c>
      <c r="C3674" s="2" t="s">
        <v>729</v>
      </c>
      <c r="D3674" s="2" t="s">
        <v>312</v>
      </c>
      <c r="E3674" s="70" t="s">
        <v>313</v>
      </c>
      <c r="F3674" s="29">
        <v>243</v>
      </c>
      <c r="G3674" s="29">
        <v>162</v>
      </c>
      <c r="H3674" s="33">
        <v>81</v>
      </c>
      <c r="M3674" s="2"/>
      <c r="N3674" s="2"/>
      <c r="O3674" s="2"/>
    </row>
    <row r="3675" spans="1:15" x14ac:dyDescent="0.4">
      <c r="A3675">
        <v>2007</v>
      </c>
      <c r="B3675" s="2" t="s">
        <v>680</v>
      </c>
      <c r="C3675" s="2" t="s">
        <v>729</v>
      </c>
      <c r="D3675" s="2" t="s">
        <v>312</v>
      </c>
      <c r="E3675" s="70" t="s">
        <v>314</v>
      </c>
      <c r="F3675" s="29">
        <v>1382</v>
      </c>
      <c r="G3675" s="29">
        <v>800</v>
      </c>
      <c r="H3675" s="33">
        <v>582</v>
      </c>
      <c r="M3675" s="2"/>
      <c r="N3675" s="2"/>
      <c r="O3675" s="2"/>
    </row>
    <row r="3676" spans="1:15" x14ac:dyDescent="0.4">
      <c r="A3676">
        <v>2007</v>
      </c>
      <c r="B3676" s="2" t="s">
        <v>681</v>
      </c>
      <c r="C3676" s="2" t="s">
        <v>729</v>
      </c>
      <c r="D3676" s="2" t="s">
        <v>312</v>
      </c>
      <c r="E3676" s="70" t="s">
        <v>315</v>
      </c>
      <c r="F3676" s="29">
        <v>104</v>
      </c>
      <c r="G3676" s="29">
        <v>71</v>
      </c>
      <c r="H3676" s="33">
        <v>33</v>
      </c>
      <c r="M3676" s="2"/>
      <c r="N3676" s="2"/>
      <c r="O3676" s="2"/>
    </row>
    <row r="3677" spans="1:15" x14ac:dyDescent="0.4">
      <c r="A3677">
        <v>2007</v>
      </c>
      <c r="B3677" s="2" t="s">
        <v>682</v>
      </c>
      <c r="C3677" s="2" t="s">
        <v>729</v>
      </c>
      <c r="D3677" s="2" t="s">
        <v>312</v>
      </c>
      <c r="E3677" s="70" t="s">
        <v>316</v>
      </c>
      <c r="F3677" s="29">
        <v>505</v>
      </c>
      <c r="G3677" s="29">
        <v>328</v>
      </c>
      <c r="H3677" s="33">
        <v>177</v>
      </c>
      <c r="M3677" s="2"/>
      <c r="N3677" s="2"/>
      <c r="O3677" s="2"/>
    </row>
    <row r="3678" spans="1:15" x14ac:dyDescent="0.4">
      <c r="A3678">
        <v>2007</v>
      </c>
      <c r="B3678" s="2" t="s">
        <v>683</v>
      </c>
      <c r="C3678" s="2" t="s">
        <v>729</v>
      </c>
      <c r="D3678" s="2" t="s">
        <v>312</v>
      </c>
      <c r="E3678" s="70" t="s">
        <v>317</v>
      </c>
      <c r="F3678" s="29">
        <v>49</v>
      </c>
      <c r="G3678" s="29">
        <v>38</v>
      </c>
      <c r="H3678" s="33">
        <v>11</v>
      </c>
      <c r="M3678" s="2"/>
      <c r="N3678" s="2"/>
      <c r="O3678" s="2"/>
    </row>
    <row r="3679" spans="1:15" x14ac:dyDescent="0.4">
      <c r="A3679">
        <v>2007</v>
      </c>
      <c r="B3679" s="2" t="s">
        <v>684</v>
      </c>
      <c r="C3679" s="2" t="s">
        <v>729</v>
      </c>
      <c r="D3679" s="2" t="s">
        <v>312</v>
      </c>
      <c r="E3679" s="70" t="s">
        <v>318</v>
      </c>
      <c r="F3679" s="29">
        <v>320</v>
      </c>
      <c r="G3679" s="29">
        <v>215</v>
      </c>
      <c r="H3679" s="33">
        <v>105</v>
      </c>
      <c r="M3679" s="2"/>
      <c r="N3679" s="2"/>
      <c r="O3679" s="2"/>
    </row>
    <row r="3680" spans="1:15" x14ac:dyDescent="0.4">
      <c r="A3680">
        <v>2007</v>
      </c>
      <c r="B3680" s="2" t="s">
        <v>685</v>
      </c>
      <c r="C3680" s="2" t="s">
        <v>729</v>
      </c>
      <c r="D3680" s="2" t="s">
        <v>312</v>
      </c>
      <c r="E3680" s="70" t="s">
        <v>319</v>
      </c>
      <c r="F3680" s="29">
        <v>98</v>
      </c>
      <c r="G3680" s="29">
        <v>64</v>
      </c>
      <c r="H3680" s="33">
        <v>34</v>
      </c>
      <c r="M3680" s="2"/>
      <c r="N3680" s="2"/>
      <c r="O3680" s="2"/>
    </row>
    <row r="3681" spans="1:15" x14ac:dyDescent="0.4">
      <c r="A3681">
        <v>2007</v>
      </c>
      <c r="B3681" s="2" t="s">
        <v>686</v>
      </c>
      <c r="C3681" s="2" t="s">
        <v>729</v>
      </c>
      <c r="D3681" s="2" t="s">
        <v>312</v>
      </c>
      <c r="E3681" s="70" t="s">
        <v>320</v>
      </c>
      <c r="F3681" s="29">
        <v>197</v>
      </c>
      <c r="G3681" s="29">
        <v>117</v>
      </c>
      <c r="H3681" s="33">
        <v>80</v>
      </c>
      <c r="M3681" s="2"/>
      <c r="N3681" s="2"/>
      <c r="O3681" s="2"/>
    </row>
    <row r="3682" spans="1:15" x14ac:dyDescent="0.4">
      <c r="A3682">
        <v>2007</v>
      </c>
      <c r="B3682" s="2" t="s">
        <v>687</v>
      </c>
      <c r="C3682" s="2" t="s">
        <v>729</v>
      </c>
      <c r="D3682" s="2" t="s">
        <v>312</v>
      </c>
      <c r="E3682" s="70" t="s">
        <v>321</v>
      </c>
      <c r="F3682" s="29">
        <v>1078</v>
      </c>
      <c r="G3682" s="29">
        <v>665</v>
      </c>
      <c r="H3682" s="33">
        <v>413</v>
      </c>
      <c r="M3682" s="2"/>
      <c r="N3682" s="2"/>
      <c r="O3682" s="2"/>
    </row>
    <row r="3683" spans="1:15" x14ac:dyDescent="0.4">
      <c r="A3683">
        <v>2007</v>
      </c>
      <c r="B3683" s="2" t="s">
        <v>688</v>
      </c>
      <c r="C3683" s="2" t="s">
        <v>729</v>
      </c>
      <c r="D3683" s="2" t="s">
        <v>312</v>
      </c>
      <c r="E3683" s="70" t="s">
        <v>322</v>
      </c>
      <c r="F3683" s="29">
        <v>393</v>
      </c>
      <c r="G3683" s="29">
        <v>246</v>
      </c>
      <c r="H3683" s="33">
        <v>147</v>
      </c>
      <c r="M3683" s="2"/>
      <c r="N3683" s="2"/>
      <c r="O3683" s="2"/>
    </row>
    <row r="3684" spans="1:15" x14ac:dyDescent="0.4">
      <c r="A3684">
        <v>2007</v>
      </c>
      <c r="B3684" s="2" t="s">
        <v>689</v>
      </c>
      <c r="C3684" s="2" t="s">
        <v>729</v>
      </c>
      <c r="D3684" s="2" t="s">
        <v>312</v>
      </c>
      <c r="E3684" s="70" t="s">
        <v>323</v>
      </c>
      <c r="F3684" s="29">
        <v>670</v>
      </c>
      <c r="G3684" s="29">
        <v>422</v>
      </c>
      <c r="H3684" s="33">
        <v>248</v>
      </c>
      <c r="M3684" s="2"/>
      <c r="N3684" s="2"/>
      <c r="O3684" s="2"/>
    </row>
    <row r="3685" spans="1:15" x14ac:dyDescent="0.4">
      <c r="A3685">
        <v>2007</v>
      </c>
      <c r="B3685" s="2" t="s">
        <v>690</v>
      </c>
      <c r="C3685" s="2" t="s">
        <v>729</v>
      </c>
      <c r="D3685" s="2" t="s">
        <v>312</v>
      </c>
      <c r="E3685" s="70" t="s">
        <v>324</v>
      </c>
      <c r="F3685" s="29">
        <v>9290</v>
      </c>
      <c r="G3685" s="29">
        <v>5438</v>
      </c>
      <c r="H3685" s="33">
        <v>3852</v>
      </c>
      <c r="M3685" s="2"/>
      <c r="N3685" s="2"/>
      <c r="O3685" s="2"/>
    </row>
    <row r="3686" spans="1:15" x14ac:dyDescent="0.4">
      <c r="A3686">
        <v>2007</v>
      </c>
      <c r="B3686" s="2" t="s">
        <v>691</v>
      </c>
      <c r="C3686" s="2" t="s">
        <v>729</v>
      </c>
      <c r="D3686" s="2" t="s">
        <v>312</v>
      </c>
      <c r="E3686" s="70" t="s">
        <v>85</v>
      </c>
      <c r="F3686" s="29">
        <v>254</v>
      </c>
      <c r="G3686" s="29">
        <v>175</v>
      </c>
      <c r="H3686" s="33">
        <v>79</v>
      </c>
      <c r="M3686" s="2"/>
      <c r="N3686" s="2"/>
      <c r="O3686" s="2"/>
    </row>
    <row r="3687" spans="1:15" x14ac:dyDescent="0.4">
      <c r="A3687">
        <v>2007</v>
      </c>
      <c r="B3687" s="2" t="s">
        <v>692</v>
      </c>
      <c r="C3687" s="2" t="s">
        <v>729</v>
      </c>
      <c r="D3687" s="2" t="s">
        <v>312</v>
      </c>
      <c r="E3687" s="70" t="s">
        <v>32</v>
      </c>
      <c r="F3687" s="29">
        <v>174</v>
      </c>
      <c r="G3687" s="29">
        <v>105</v>
      </c>
      <c r="H3687" s="33">
        <v>69</v>
      </c>
      <c r="M3687" s="2"/>
      <c r="N3687" s="2"/>
      <c r="O3687" s="2"/>
    </row>
    <row r="3688" spans="1:15" x14ac:dyDescent="0.4">
      <c r="A3688">
        <v>2007</v>
      </c>
      <c r="B3688" s="2" t="s">
        <v>693</v>
      </c>
      <c r="C3688" s="2" t="s">
        <v>729</v>
      </c>
      <c r="D3688" s="2" t="s">
        <v>312</v>
      </c>
      <c r="E3688" s="70" t="s">
        <v>325</v>
      </c>
      <c r="F3688" s="29">
        <v>250</v>
      </c>
      <c r="G3688" s="29">
        <v>152</v>
      </c>
      <c r="H3688" s="33">
        <v>98</v>
      </c>
      <c r="M3688" s="2"/>
      <c r="N3688" s="2"/>
      <c r="O3688" s="2"/>
    </row>
    <row r="3689" spans="1:15" x14ac:dyDescent="0.4">
      <c r="A3689">
        <v>2007</v>
      </c>
      <c r="B3689" s="2" t="s">
        <v>694</v>
      </c>
      <c r="C3689" s="2" t="s">
        <v>729</v>
      </c>
      <c r="D3689" s="2" t="s">
        <v>312</v>
      </c>
      <c r="E3689" s="70" t="s">
        <v>144</v>
      </c>
      <c r="F3689" s="29">
        <v>1322</v>
      </c>
      <c r="G3689" s="29">
        <v>826</v>
      </c>
      <c r="H3689" s="33">
        <v>496</v>
      </c>
      <c r="M3689" s="2"/>
      <c r="N3689" s="2"/>
      <c r="O3689" s="2"/>
    </row>
    <row r="3690" spans="1:15" x14ac:dyDescent="0.4">
      <c r="A3690">
        <v>2007</v>
      </c>
      <c r="B3690" s="2" t="s">
        <v>695</v>
      </c>
      <c r="C3690" s="2" t="s">
        <v>729</v>
      </c>
      <c r="D3690" s="2" t="s">
        <v>312</v>
      </c>
      <c r="E3690" s="70" t="s">
        <v>326</v>
      </c>
      <c r="F3690" s="29">
        <v>149</v>
      </c>
      <c r="G3690" s="29">
        <v>108</v>
      </c>
      <c r="H3690" s="33">
        <v>41</v>
      </c>
      <c r="M3690" s="2"/>
      <c r="N3690" s="2"/>
      <c r="O3690" s="2"/>
    </row>
    <row r="3691" spans="1:15" x14ac:dyDescent="0.4">
      <c r="A3691">
        <v>2007</v>
      </c>
      <c r="B3691" s="2" t="s">
        <v>696</v>
      </c>
      <c r="C3691" s="2" t="s">
        <v>729</v>
      </c>
      <c r="D3691" s="2" t="s">
        <v>312</v>
      </c>
      <c r="E3691" s="70" t="s">
        <v>25</v>
      </c>
      <c r="F3691" s="29">
        <v>79</v>
      </c>
      <c r="G3691" s="29">
        <v>54</v>
      </c>
      <c r="H3691" s="33">
        <v>25</v>
      </c>
      <c r="M3691" s="2"/>
      <c r="N3691" s="2"/>
      <c r="O3691" s="2"/>
    </row>
    <row r="3692" spans="1:15" x14ac:dyDescent="0.4">
      <c r="A3692">
        <v>2007</v>
      </c>
      <c r="B3692" s="2" t="s">
        <v>697</v>
      </c>
      <c r="C3692" s="2" t="s">
        <v>729</v>
      </c>
      <c r="D3692" s="2" t="s">
        <v>312</v>
      </c>
      <c r="E3692" s="70" t="s">
        <v>51</v>
      </c>
      <c r="F3692" s="29">
        <v>212</v>
      </c>
      <c r="G3692" s="29">
        <v>142</v>
      </c>
      <c r="H3692" s="33">
        <v>70</v>
      </c>
      <c r="M3692" s="2"/>
      <c r="N3692" s="2"/>
      <c r="O3692" s="2"/>
    </row>
    <row r="3693" spans="1:15" x14ac:dyDescent="0.4">
      <c r="A3693">
        <v>2007</v>
      </c>
      <c r="B3693" s="2" t="s">
        <v>698</v>
      </c>
      <c r="C3693" s="2" t="s">
        <v>729</v>
      </c>
      <c r="D3693" s="2" t="s">
        <v>312</v>
      </c>
      <c r="E3693" s="70" t="s">
        <v>327</v>
      </c>
      <c r="F3693" s="29">
        <v>140</v>
      </c>
      <c r="G3693" s="29">
        <v>96</v>
      </c>
      <c r="H3693" s="33">
        <v>44</v>
      </c>
      <c r="M3693" s="2"/>
      <c r="N3693" s="2"/>
      <c r="O3693" s="2"/>
    </row>
    <row r="3694" spans="1:15" x14ac:dyDescent="0.4">
      <c r="A3694">
        <v>2007</v>
      </c>
      <c r="B3694" s="2" t="s">
        <v>733</v>
      </c>
      <c r="C3694" s="2" t="s">
        <v>715</v>
      </c>
      <c r="D3694" s="2" t="s">
        <v>734</v>
      </c>
      <c r="E3694" s="70" t="s">
        <v>735</v>
      </c>
      <c r="F3694" s="29">
        <v>0</v>
      </c>
      <c r="G3694" s="29">
        <v>0</v>
      </c>
      <c r="H3694" s="33">
        <v>0</v>
      </c>
      <c r="M3694" s="2"/>
      <c r="N3694" s="2"/>
      <c r="O3694" s="2"/>
    </row>
    <row r="3695" spans="1:15" x14ac:dyDescent="0.4">
      <c r="A3695">
        <v>2006</v>
      </c>
      <c r="B3695" s="5" t="str">
        <f>+C3695&amp;"-"&amp;E3695</f>
        <v>VA-Municipio Autónomo Vargas</v>
      </c>
      <c r="C3695" s="5" t="str">
        <f>+MID(D3695,1,2)</f>
        <v>VA</v>
      </c>
      <c r="D3695" s="25" t="s">
        <v>288</v>
      </c>
      <c r="E3695" s="64" t="s">
        <v>757</v>
      </c>
      <c r="F3695" s="2">
        <v>0</v>
      </c>
      <c r="G3695" s="2">
        <v>0</v>
      </c>
      <c r="H3695" s="2">
        <v>0</v>
      </c>
      <c r="M3695" s="2"/>
      <c r="N3695" s="2"/>
      <c r="O3695" s="2"/>
    </row>
    <row r="3696" spans="1:15" x14ac:dyDescent="0.4">
      <c r="A3696">
        <v>2006</v>
      </c>
      <c r="B3696" s="5" t="str">
        <f>+C3696&amp;"-"&amp;E3696</f>
        <v>DI-Municipio Autónomo Libertador</v>
      </c>
      <c r="C3696" s="5" t="str">
        <f>+MID(D3696,1,2)</f>
        <v>DI</v>
      </c>
      <c r="D3696" s="25" t="s">
        <v>106</v>
      </c>
      <c r="E3696" s="64" t="s">
        <v>756</v>
      </c>
      <c r="F3696" s="2">
        <v>0</v>
      </c>
      <c r="G3696" s="2">
        <v>0</v>
      </c>
      <c r="H3696" s="2">
        <v>0</v>
      </c>
      <c r="M3696" s="2"/>
      <c r="N3696" s="2"/>
      <c r="O3696" s="2"/>
    </row>
    <row r="3697" spans="1:15" x14ac:dyDescent="0.4">
      <c r="A3697">
        <v>2006</v>
      </c>
      <c r="B3697" s="2" t="s">
        <v>335</v>
      </c>
      <c r="C3697" s="2" t="s">
        <v>706</v>
      </c>
      <c r="D3697" s="2" t="s">
        <v>106</v>
      </c>
      <c r="E3697" s="70" t="s">
        <v>105</v>
      </c>
      <c r="F3697" s="29">
        <v>95</v>
      </c>
      <c r="G3697" s="29">
        <v>57</v>
      </c>
      <c r="H3697" s="33">
        <v>38</v>
      </c>
      <c r="M3697" s="2"/>
      <c r="N3697" s="2"/>
      <c r="O3697" s="2"/>
    </row>
    <row r="3698" spans="1:15" x14ac:dyDescent="0.4">
      <c r="A3698">
        <v>2006</v>
      </c>
      <c r="B3698" s="2" t="s">
        <v>336</v>
      </c>
      <c r="C3698" s="2" t="s">
        <v>706</v>
      </c>
      <c r="D3698" s="2" t="s">
        <v>106</v>
      </c>
      <c r="E3698" s="70" t="s">
        <v>107</v>
      </c>
      <c r="F3698" s="29">
        <v>576</v>
      </c>
      <c r="G3698" s="29">
        <v>385</v>
      </c>
      <c r="H3698" s="33">
        <v>191</v>
      </c>
      <c r="M3698" s="2"/>
      <c r="N3698" s="2"/>
      <c r="O3698" s="2"/>
    </row>
    <row r="3699" spans="1:15" x14ac:dyDescent="0.4">
      <c r="A3699">
        <v>2006</v>
      </c>
      <c r="B3699" s="2" t="s">
        <v>337</v>
      </c>
      <c r="C3699" s="2" t="s">
        <v>706</v>
      </c>
      <c r="D3699" s="2" t="s">
        <v>106</v>
      </c>
      <c r="E3699" s="70" t="s">
        <v>108</v>
      </c>
      <c r="F3699" s="29">
        <v>235</v>
      </c>
      <c r="G3699" s="29">
        <v>128</v>
      </c>
      <c r="H3699" s="33">
        <v>107</v>
      </c>
      <c r="M3699" s="2"/>
      <c r="N3699" s="2"/>
      <c r="O3699" s="2"/>
    </row>
    <row r="3700" spans="1:15" x14ac:dyDescent="0.4">
      <c r="A3700">
        <v>2006</v>
      </c>
      <c r="B3700" s="2" t="s">
        <v>338</v>
      </c>
      <c r="C3700" s="2" t="s">
        <v>706</v>
      </c>
      <c r="D3700" s="2" t="s">
        <v>106</v>
      </c>
      <c r="E3700" s="70" t="s">
        <v>109</v>
      </c>
      <c r="F3700" s="29">
        <v>419</v>
      </c>
      <c r="G3700" s="29">
        <v>241</v>
      </c>
      <c r="H3700" s="33">
        <v>178</v>
      </c>
      <c r="M3700" s="2"/>
      <c r="N3700" s="2"/>
      <c r="O3700" s="2"/>
    </row>
    <row r="3701" spans="1:15" x14ac:dyDescent="0.4">
      <c r="A3701">
        <v>2006</v>
      </c>
      <c r="B3701" s="2" t="s">
        <v>339</v>
      </c>
      <c r="C3701" s="2" t="s">
        <v>706</v>
      </c>
      <c r="D3701" s="2" t="s">
        <v>106</v>
      </c>
      <c r="E3701" s="70" t="s">
        <v>110</v>
      </c>
      <c r="F3701" s="29">
        <v>19</v>
      </c>
      <c r="G3701" s="29">
        <v>11</v>
      </c>
      <c r="H3701" s="33">
        <v>8</v>
      </c>
      <c r="M3701" s="2"/>
      <c r="N3701" s="2"/>
      <c r="O3701" s="2"/>
    </row>
    <row r="3702" spans="1:15" x14ac:dyDescent="0.4">
      <c r="A3702">
        <v>2006</v>
      </c>
      <c r="B3702" s="2" t="s">
        <v>340</v>
      </c>
      <c r="C3702" s="2" t="s">
        <v>706</v>
      </c>
      <c r="D3702" s="2" t="s">
        <v>106</v>
      </c>
      <c r="E3702" s="70" t="s">
        <v>111</v>
      </c>
      <c r="F3702" s="29">
        <v>542</v>
      </c>
      <c r="G3702" s="29">
        <v>383</v>
      </c>
      <c r="H3702" s="33">
        <v>159</v>
      </c>
      <c r="M3702" s="2"/>
      <c r="N3702" s="2"/>
      <c r="O3702" s="2"/>
    </row>
    <row r="3703" spans="1:15" x14ac:dyDescent="0.4">
      <c r="A3703">
        <v>2006</v>
      </c>
      <c r="B3703" s="2" t="s">
        <v>341</v>
      </c>
      <c r="C3703" s="2" t="s">
        <v>706</v>
      </c>
      <c r="D3703" s="2" t="s">
        <v>106</v>
      </c>
      <c r="E3703" s="70" t="s">
        <v>112</v>
      </c>
      <c r="F3703" s="29">
        <v>141</v>
      </c>
      <c r="G3703" s="29">
        <v>96</v>
      </c>
      <c r="H3703" s="33">
        <v>45</v>
      </c>
      <c r="M3703" s="2"/>
      <c r="N3703" s="2"/>
      <c r="O3703" s="2"/>
    </row>
    <row r="3704" spans="1:15" x14ac:dyDescent="0.4">
      <c r="A3704">
        <v>2006</v>
      </c>
      <c r="B3704" s="2" t="s">
        <v>342</v>
      </c>
      <c r="C3704" s="2" t="s">
        <v>706</v>
      </c>
      <c r="D3704" s="2" t="s">
        <v>106</v>
      </c>
      <c r="E3704" s="70" t="s">
        <v>113</v>
      </c>
      <c r="F3704" s="29">
        <v>2021</v>
      </c>
      <c r="G3704" s="29">
        <v>1216</v>
      </c>
      <c r="H3704" s="33">
        <v>805</v>
      </c>
      <c r="M3704" s="2"/>
      <c r="N3704" s="2"/>
      <c r="O3704" s="2"/>
    </row>
    <row r="3705" spans="1:15" x14ac:dyDescent="0.4">
      <c r="A3705">
        <v>2006</v>
      </c>
      <c r="B3705" s="2" t="s">
        <v>343</v>
      </c>
      <c r="C3705" s="2" t="s">
        <v>706</v>
      </c>
      <c r="D3705" s="2" t="s">
        <v>106</v>
      </c>
      <c r="E3705" s="70" t="s">
        <v>114</v>
      </c>
      <c r="F3705" s="29">
        <v>737</v>
      </c>
      <c r="G3705" s="29">
        <v>418</v>
      </c>
      <c r="H3705" s="33">
        <v>319</v>
      </c>
      <c r="M3705" s="2"/>
      <c r="N3705" s="2"/>
      <c r="O3705" s="2"/>
    </row>
    <row r="3706" spans="1:15" x14ac:dyDescent="0.4">
      <c r="A3706">
        <v>2006</v>
      </c>
      <c r="B3706" s="2" t="s">
        <v>344</v>
      </c>
      <c r="C3706" s="2" t="s">
        <v>706</v>
      </c>
      <c r="D3706" s="2" t="s">
        <v>106</v>
      </c>
      <c r="E3706" s="70" t="s">
        <v>115</v>
      </c>
      <c r="F3706" s="29">
        <v>311</v>
      </c>
      <c r="G3706" s="29">
        <v>188</v>
      </c>
      <c r="H3706" s="33">
        <v>123</v>
      </c>
      <c r="M3706" s="2"/>
      <c r="N3706" s="2"/>
      <c r="O3706" s="2"/>
    </row>
    <row r="3707" spans="1:15" x14ac:dyDescent="0.4">
      <c r="A3707">
        <v>2006</v>
      </c>
      <c r="B3707" s="2" t="s">
        <v>345</v>
      </c>
      <c r="C3707" s="2" t="s">
        <v>706</v>
      </c>
      <c r="D3707" s="2" t="s">
        <v>106</v>
      </c>
      <c r="E3707" s="70" t="s">
        <v>116</v>
      </c>
      <c r="F3707" s="29">
        <v>496</v>
      </c>
      <c r="G3707" s="29">
        <v>317</v>
      </c>
      <c r="H3707" s="33">
        <v>179</v>
      </c>
      <c r="M3707" s="2"/>
      <c r="N3707" s="2"/>
      <c r="O3707" s="2"/>
    </row>
    <row r="3708" spans="1:15" x14ac:dyDescent="0.4">
      <c r="A3708">
        <v>2006</v>
      </c>
      <c r="B3708" s="2" t="s">
        <v>346</v>
      </c>
      <c r="C3708" s="2" t="s">
        <v>706</v>
      </c>
      <c r="D3708" s="2" t="s">
        <v>106</v>
      </c>
      <c r="E3708" s="70" t="s">
        <v>117</v>
      </c>
      <c r="F3708" s="29">
        <v>318</v>
      </c>
      <c r="G3708" s="29">
        <v>192</v>
      </c>
      <c r="H3708" s="33">
        <v>126</v>
      </c>
      <c r="M3708" s="2"/>
      <c r="N3708" s="2"/>
      <c r="O3708" s="2"/>
    </row>
    <row r="3709" spans="1:15" x14ac:dyDescent="0.4">
      <c r="A3709">
        <v>2006</v>
      </c>
      <c r="B3709" s="2" t="s">
        <v>347</v>
      </c>
      <c r="C3709" s="2" t="s">
        <v>706</v>
      </c>
      <c r="D3709" s="2" t="s">
        <v>106</v>
      </c>
      <c r="E3709" s="70" t="s">
        <v>118</v>
      </c>
      <c r="F3709" s="29">
        <v>122</v>
      </c>
      <c r="G3709" s="29">
        <v>86</v>
      </c>
      <c r="H3709" s="33">
        <v>36</v>
      </c>
      <c r="M3709" s="2"/>
      <c r="N3709" s="2"/>
      <c r="O3709" s="2"/>
    </row>
    <row r="3710" spans="1:15" x14ac:dyDescent="0.4">
      <c r="A3710">
        <v>2006</v>
      </c>
      <c r="B3710" s="2" t="s">
        <v>348</v>
      </c>
      <c r="C3710" s="2" t="s">
        <v>706</v>
      </c>
      <c r="D3710" s="2" t="s">
        <v>106</v>
      </c>
      <c r="E3710" s="70" t="s">
        <v>119</v>
      </c>
      <c r="F3710" s="29">
        <v>124</v>
      </c>
      <c r="G3710" s="29">
        <v>95</v>
      </c>
      <c r="H3710" s="33">
        <v>29</v>
      </c>
      <c r="M3710" s="2"/>
      <c r="N3710" s="2"/>
      <c r="O3710" s="2"/>
    </row>
    <row r="3711" spans="1:15" x14ac:dyDescent="0.4">
      <c r="A3711">
        <v>2006</v>
      </c>
      <c r="B3711" s="2" t="s">
        <v>349</v>
      </c>
      <c r="C3711" s="2" t="s">
        <v>706</v>
      </c>
      <c r="D3711" s="2" t="s">
        <v>106</v>
      </c>
      <c r="E3711" s="70" t="s">
        <v>120</v>
      </c>
      <c r="F3711" s="29">
        <v>1037</v>
      </c>
      <c r="G3711" s="29">
        <v>563</v>
      </c>
      <c r="H3711" s="33">
        <v>474</v>
      </c>
      <c r="M3711" s="2"/>
      <c r="N3711" s="2"/>
      <c r="O3711" s="2"/>
    </row>
    <row r="3712" spans="1:15" x14ac:dyDescent="0.4">
      <c r="A3712">
        <v>2006</v>
      </c>
      <c r="B3712" s="2" t="s">
        <v>350</v>
      </c>
      <c r="C3712" s="2" t="s">
        <v>706</v>
      </c>
      <c r="D3712" s="2" t="s">
        <v>106</v>
      </c>
      <c r="E3712" s="70" t="s">
        <v>121</v>
      </c>
      <c r="F3712" s="29">
        <v>1636</v>
      </c>
      <c r="G3712" s="29">
        <v>921</v>
      </c>
      <c r="H3712" s="33">
        <v>715</v>
      </c>
      <c r="M3712" s="2"/>
      <c r="N3712" s="2"/>
      <c r="O3712" s="2"/>
    </row>
    <row r="3713" spans="1:15" x14ac:dyDescent="0.4">
      <c r="A3713">
        <v>2006</v>
      </c>
      <c r="B3713" s="2" t="s">
        <v>351</v>
      </c>
      <c r="C3713" s="2" t="s">
        <v>706</v>
      </c>
      <c r="D3713" s="2" t="s">
        <v>106</v>
      </c>
      <c r="E3713" s="70" t="s">
        <v>122</v>
      </c>
      <c r="F3713" s="29">
        <v>1605</v>
      </c>
      <c r="G3713" s="29">
        <v>925</v>
      </c>
      <c r="H3713" s="33">
        <v>680</v>
      </c>
      <c r="M3713" s="2"/>
      <c r="N3713" s="2"/>
      <c r="O3713" s="2"/>
    </row>
    <row r="3714" spans="1:15" x14ac:dyDescent="0.4">
      <c r="A3714">
        <v>2006</v>
      </c>
      <c r="B3714" s="2" t="s">
        <v>352</v>
      </c>
      <c r="C3714" s="2" t="s">
        <v>706</v>
      </c>
      <c r="D3714" s="2" t="s">
        <v>106</v>
      </c>
      <c r="E3714" s="70" t="s">
        <v>123</v>
      </c>
      <c r="F3714" s="29">
        <v>2217</v>
      </c>
      <c r="G3714" s="29">
        <v>1238</v>
      </c>
      <c r="H3714" s="33">
        <v>979</v>
      </c>
      <c r="M3714" s="2"/>
      <c r="N3714" s="2"/>
      <c r="O3714" s="2"/>
    </row>
    <row r="3715" spans="1:15" x14ac:dyDescent="0.4">
      <c r="A3715">
        <v>2006</v>
      </c>
      <c r="B3715" s="2" t="s">
        <v>353</v>
      </c>
      <c r="C3715" s="2" t="s">
        <v>706</v>
      </c>
      <c r="D3715" s="2" t="s">
        <v>106</v>
      </c>
      <c r="E3715" s="70" t="s">
        <v>124</v>
      </c>
      <c r="F3715" s="29">
        <v>437</v>
      </c>
      <c r="G3715" s="29">
        <v>266</v>
      </c>
      <c r="H3715" s="33">
        <v>171</v>
      </c>
      <c r="M3715" s="2"/>
      <c r="N3715" s="2"/>
      <c r="O3715" s="2"/>
    </row>
    <row r="3716" spans="1:15" x14ac:dyDescent="0.4">
      <c r="A3716">
        <v>2006</v>
      </c>
      <c r="B3716" s="2" t="s">
        <v>354</v>
      </c>
      <c r="C3716" s="2" t="s">
        <v>706</v>
      </c>
      <c r="D3716" s="2" t="s">
        <v>106</v>
      </c>
      <c r="E3716" s="70" t="s">
        <v>125</v>
      </c>
      <c r="F3716" s="29">
        <v>55</v>
      </c>
      <c r="G3716" s="29">
        <v>40</v>
      </c>
      <c r="H3716" s="33">
        <v>15</v>
      </c>
      <c r="M3716" s="2"/>
      <c r="N3716" s="2"/>
      <c r="O3716" s="2"/>
    </row>
    <row r="3717" spans="1:15" x14ac:dyDescent="0.4">
      <c r="A3717">
        <v>2006</v>
      </c>
      <c r="B3717" s="2" t="s">
        <v>355</v>
      </c>
      <c r="C3717" s="2" t="s">
        <v>706</v>
      </c>
      <c r="D3717" s="2" t="s">
        <v>106</v>
      </c>
      <c r="E3717" s="70" t="s">
        <v>126</v>
      </c>
      <c r="F3717" s="29">
        <v>1757</v>
      </c>
      <c r="G3717" s="29">
        <v>1165</v>
      </c>
      <c r="H3717" s="33">
        <v>592</v>
      </c>
      <c r="M3717" s="2"/>
      <c r="N3717" s="2"/>
      <c r="O3717" s="2"/>
    </row>
    <row r="3718" spans="1:15" x14ac:dyDescent="0.4">
      <c r="A3718">
        <v>2006</v>
      </c>
      <c r="B3718" s="2" t="s">
        <v>356</v>
      </c>
      <c r="C3718" s="2" t="s">
        <v>706</v>
      </c>
      <c r="D3718" s="2" t="s">
        <v>106</v>
      </c>
      <c r="E3718" s="70" t="s">
        <v>127</v>
      </c>
      <c r="F3718" s="29">
        <v>232</v>
      </c>
      <c r="G3718" s="29">
        <v>139</v>
      </c>
      <c r="H3718" s="33">
        <v>93</v>
      </c>
      <c r="M3718" s="2"/>
      <c r="N3718" s="2"/>
      <c r="O3718" s="2"/>
    </row>
    <row r="3719" spans="1:15" x14ac:dyDescent="0.4">
      <c r="A3719">
        <v>2006</v>
      </c>
      <c r="B3719" s="2" t="s">
        <v>357</v>
      </c>
      <c r="C3719" s="2" t="s">
        <v>707</v>
      </c>
      <c r="D3719" s="2" t="s">
        <v>1</v>
      </c>
      <c r="E3719" s="70" t="s">
        <v>0</v>
      </c>
      <c r="F3719" s="29">
        <v>12</v>
      </c>
      <c r="G3719" s="29">
        <v>6</v>
      </c>
      <c r="H3719" s="33">
        <v>6</v>
      </c>
      <c r="M3719" s="2"/>
      <c r="N3719" s="2"/>
      <c r="O3719" s="2"/>
    </row>
    <row r="3720" spans="1:15" x14ac:dyDescent="0.4">
      <c r="A3720">
        <v>2006</v>
      </c>
      <c r="B3720" s="7" t="s">
        <v>358</v>
      </c>
      <c r="C3720" s="7" t="s">
        <v>707</v>
      </c>
      <c r="D3720" s="7" t="s">
        <v>1</v>
      </c>
      <c r="E3720" s="70" t="s">
        <v>2</v>
      </c>
      <c r="F3720" s="29">
        <v>8</v>
      </c>
      <c r="G3720" s="29">
        <v>7</v>
      </c>
      <c r="H3720" s="33">
        <v>1</v>
      </c>
      <c r="M3720" s="2"/>
      <c r="N3720" s="2"/>
      <c r="O3720" s="2"/>
    </row>
    <row r="3721" spans="1:15" x14ac:dyDescent="0.4">
      <c r="A3721">
        <v>2006</v>
      </c>
      <c r="B3721" s="2" t="s">
        <v>359</v>
      </c>
      <c r="C3721" s="2" t="s">
        <v>707</v>
      </c>
      <c r="D3721" s="2" t="s">
        <v>1</v>
      </c>
      <c r="E3721" s="70" t="s">
        <v>3</v>
      </c>
      <c r="F3721" s="29">
        <v>265</v>
      </c>
      <c r="G3721" s="29">
        <v>158</v>
      </c>
      <c r="H3721" s="33">
        <v>107</v>
      </c>
      <c r="M3721" s="2"/>
      <c r="N3721" s="2"/>
      <c r="O3721" s="2"/>
    </row>
    <row r="3722" spans="1:15" x14ac:dyDescent="0.4">
      <c r="A3722">
        <v>2006</v>
      </c>
      <c r="B3722" s="2" t="s">
        <v>360</v>
      </c>
      <c r="C3722" s="2" t="s">
        <v>707</v>
      </c>
      <c r="D3722" s="2" t="s">
        <v>1</v>
      </c>
      <c r="E3722" s="70" t="s">
        <v>4</v>
      </c>
      <c r="F3722" s="29">
        <v>5</v>
      </c>
      <c r="G3722" s="29">
        <v>4</v>
      </c>
      <c r="H3722" s="33">
        <v>1</v>
      </c>
      <c r="M3722" s="2"/>
      <c r="N3722" s="2"/>
      <c r="O3722" s="2"/>
    </row>
    <row r="3723" spans="1:15" x14ac:dyDescent="0.4">
      <c r="A3723">
        <v>2006</v>
      </c>
      <c r="B3723" s="2" t="s">
        <v>361</v>
      </c>
      <c r="C3723" s="2" t="s">
        <v>707</v>
      </c>
      <c r="D3723" s="2" t="s">
        <v>1</v>
      </c>
      <c r="E3723" s="70" t="s">
        <v>5</v>
      </c>
      <c r="F3723" s="29">
        <v>4</v>
      </c>
      <c r="G3723" s="29">
        <v>3</v>
      </c>
      <c r="H3723" s="33">
        <v>1</v>
      </c>
      <c r="M3723" s="2"/>
      <c r="N3723" s="2"/>
      <c r="O3723" s="2"/>
    </row>
    <row r="3724" spans="1:15" x14ac:dyDescent="0.4">
      <c r="A3724">
        <v>2006</v>
      </c>
      <c r="B3724" s="2" t="s">
        <v>732</v>
      </c>
      <c r="C3724" s="2" t="s">
        <v>707</v>
      </c>
      <c r="D3724" s="2" t="s">
        <v>1</v>
      </c>
      <c r="E3724" s="70" t="s">
        <v>330</v>
      </c>
      <c r="F3724" s="29">
        <v>4</v>
      </c>
      <c r="G3724" s="29">
        <v>3</v>
      </c>
      <c r="H3724" s="33">
        <v>1</v>
      </c>
      <c r="M3724" s="2"/>
      <c r="N3724" s="2"/>
      <c r="O3724" s="2"/>
    </row>
    <row r="3725" spans="1:15" x14ac:dyDescent="0.4">
      <c r="A3725">
        <v>2006</v>
      </c>
      <c r="B3725" s="2" t="s">
        <v>730</v>
      </c>
      <c r="C3725" s="2" t="s">
        <v>707</v>
      </c>
      <c r="D3725" s="2" t="s">
        <v>1</v>
      </c>
      <c r="E3725" s="70" t="s">
        <v>328</v>
      </c>
      <c r="F3725" s="29">
        <v>0</v>
      </c>
      <c r="G3725" s="29">
        <v>0</v>
      </c>
      <c r="H3725" s="33">
        <v>0</v>
      </c>
      <c r="M3725" s="2"/>
      <c r="N3725" s="2"/>
      <c r="O3725" s="2"/>
    </row>
    <row r="3726" spans="1:15" x14ac:dyDescent="0.4">
      <c r="A3726">
        <v>2006</v>
      </c>
      <c r="B3726" s="2" t="s">
        <v>362</v>
      </c>
      <c r="C3726" s="2" t="s">
        <v>708</v>
      </c>
      <c r="D3726" s="2" t="s">
        <v>7</v>
      </c>
      <c r="E3726" s="70" t="s">
        <v>6</v>
      </c>
      <c r="F3726" s="29">
        <v>303</v>
      </c>
      <c r="G3726" s="29">
        <v>188</v>
      </c>
      <c r="H3726" s="33">
        <v>115</v>
      </c>
      <c r="M3726" s="2"/>
      <c r="N3726" s="2"/>
      <c r="O3726" s="2"/>
    </row>
    <row r="3727" spans="1:15" x14ac:dyDescent="0.4">
      <c r="A3727">
        <v>2006</v>
      </c>
      <c r="B3727" s="2" t="s">
        <v>363</v>
      </c>
      <c r="C3727" s="2" t="s">
        <v>708</v>
      </c>
      <c r="D3727" s="2" t="s">
        <v>7</v>
      </c>
      <c r="E3727" s="70" t="s">
        <v>8</v>
      </c>
      <c r="F3727" s="29">
        <v>78</v>
      </c>
      <c r="G3727" s="29">
        <v>50</v>
      </c>
      <c r="H3727" s="33">
        <v>28</v>
      </c>
      <c r="M3727" s="2"/>
      <c r="N3727" s="2"/>
      <c r="O3727" s="2"/>
    </row>
    <row r="3728" spans="1:15" x14ac:dyDescent="0.4">
      <c r="A3728">
        <v>2006</v>
      </c>
      <c r="B3728" s="2" t="s">
        <v>364</v>
      </c>
      <c r="C3728" s="2" t="s">
        <v>708</v>
      </c>
      <c r="D3728" s="2" t="s">
        <v>7</v>
      </c>
      <c r="E3728" s="70" t="s">
        <v>9</v>
      </c>
      <c r="F3728" s="29">
        <v>134</v>
      </c>
      <c r="G3728" s="29">
        <v>79</v>
      </c>
      <c r="H3728" s="33">
        <v>55</v>
      </c>
      <c r="M3728" s="2"/>
      <c r="N3728" s="2"/>
      <c r="O3728" s="2"/>
    </row>
    <row r="3729" spans="1:15" x14ac:dyDescent="0.4">
      <c r="A3729">
        <v>2006</v>
      </c>
      <c r="B3729" s="2" t="s">
        <v>365</v>
      </c>
      <c r="C3729" s="2" t="s">
        <v>708</v>
      </c>
      <c r="D3729" s="2" t="s">
        <v>7</v>
      </c>
      <c r="E3729" s="70" t="s">
        <v>10</v>
      </c>
      <c r="F3729" s="29">
        <v>81</v>
      </c>
      <c r="G3729" s="29">
        <v>53</v>
      </c>
      <c r="H3729" s="33">
        <v>28</v>
      </c>
      <c r="M3729" s="2"/>
      <c r="N3729" s="2"/>
      <c r="O3729" s="2"/>
    </row>
    <row r="3730" spans="1:15" x14ac:dyDescent="0.4">
      <c r="A3730">
        <v>2006</v>
      </c>
      <c r="B3730" s="2" t="s">
        <v>366</v>
      </c>
      <c r="C3730" s="2" t="s">
        <v>708</v>
      </c>
      <c r="D3730" s="2" t="s">
        <v>7</v>
      </c>
      <c r="E3730" s="70" t="s">
        <v>11</v>
      </c>
      <c r="F3730" s="29">
        <v>120</v>
      </c>
      <c r="G3730" s="29">
        <v>72</v>
      </c>
      <c r="H3730" s="33">
        <v>48</v>
      </c>
      <c r="M3730" s="2"/>
      <c r="N3730" s="2"/>
      <c r="O3730" s="2"/>
    </row>
    <row r="3731" spans="1:15" x14ac:dyDescent="0.4">
      <c r="A3731">
        <v>2006</v>
      </c>
      <c r="B3731" s="2" t="s">
        <v>367</v>
      </c>
      <c r="C3731" s="2" t="s">
        <v>708</v>
      </c>
      <c r="D3731" s="2" t="s">
        <v>7</v>
      </c>
      <c r="E3731" s="70" t="s">
        <v>12</v>
      </c>
      <c r="F3731" s="29">
        <v>55</v>
      </c>
      <c r="G3731" s="29">
        <v>33</v>
      </c>
      <c r="H3731" s="33">
        <v>22</v>
      </c>
      <c r="M3731" s="2"/>
      <c r="N3731" s="2"/>
      <c r="O3731" s="2"/>
    </row>
    <row r="3732" spans="1:15" x14ac:dyDescent="0.4">
      <c r="A3732">
        <v>2006</v>
      </c>
      <c r="B3732" s="2" t="s">
        <v>368</v>
      </c>
      <c r="C3732" s="2" t="s">
        <v>708</v>
      </c>
      <c r="D3732" s="2" t="s">
        <v>7</v>
      </c>
      <c r="E3732" s="70" t="s">
        <v>13</v>
      </c>
      <c r="F3732" s="29">
        <v>42</v>
      </c>
      <c r="G3732" s="29">
        <v>34</v>
      </c>
      <c r="H3732" s="33">
        <v>8</v>
      </c>
      <c r="M3732" s="2"/>
      <c r="N3732" s="2"/>
      <c r="O3732" s="2"/>
    </row>
    <row r="3733" spans="1:15" x14ac:dyDescent="0.4">
      <c r="A3733">
        <v>2006</v>
      </c>
      <c r="B3733" s="2" t="s">
        <v>369</v>
      </c>
      <c r="C3733" s="2" t="s">
        <v>708</v>
      </c>
      <c r="D3733" s="2" t="s">
        <v>7</v>
      </c>
      <c r="E3733" s="70" t="s">
        <v>14</v>
      </c>
      <c r="F3733" s="29">
        <v>80</v>
      </c>
      <c r="G3733" s="29">
        <v>53</v>
      </c>
      <c r="H3733" s="33">
        <v>27</v>
      </c>
      <c r="M3733" s="2"/>
      <c r="N3733" s="2"/>
      <c r="O3733" s="2"/>
    </row>
    <row r="3734" spans="1:15" x14ac:dyDescent="0.4">
      <c r="A3734">
        <v>2006</v>
      </c>
      <c r="B3734" s="2" t="s">
        <v>370</v>
      </c>
      <c r="C3734" s="2" t="s">
        <v>708</v>
      </c>
      <c r="D3734" s="2" t="s">
        <v>7</v>
      </c>
      <c r="E3734" s="70" t="s">
        <v>15</v>
      </c>
      <c r="F3734" s="29">
        <v>50</v>
      </c>
      <c r="G3734" s="29">
        <v>26</v>
      </c>
      <c r="H3734" s="33">
        <v>24</v>
      </c>
      <c r="M3734" s="2"/>
      <c r="N3734" s="2"/>
      <c r="O3734" s="2"/>
    </row>
    <row r="3735" spans="1:15" x14ac:dyDescent="0.4">
      <c r="A3735">
        <v>2006</v>
      </c>
      <c r="B3735" s="2" t="s">
        <v>371</v>
      </c>
      <c r="C3735" s="2" t="s">
        <v>708</v>
      </c>
      <c r="D3735" s="2" t="s">
        <v>7</v>
      </c>
      <c r="E3735" s="70" t="s">
        <v>16</v>
      </c>
      <c r="F3735" s="29">
        <v>751</v>
      </c>
      <c r="G3735" s="29">
        <v>484</v>
      </c>
      <c r="H3735" s="33">
        <v>267</v>
      </c>
      <c r="M3735" s="2"/>
      <c r="N3735" s="2"/>
      <c r="O3735" s="2"/>
    </row>
    <row r="3736" spans="1:15" x14ac:dyDescent="0.4">
      <c r="A3736">
        <v>2006</v>
      </c>
      <c r="B3736" s="2" t="s">
        <v>372</v>
      </c>
      <c r="C3736" s="2" t="s">
        <v>708</v>
      </c>
      <c r="D3736" s="2" t="s">
        <v>7</v>
      </c>
      <c r="E3736" s="70" t="s">
        <v>17</v>
      </c>
      <c r="F3736" s="29">
        <v>17</v>
      </c>
      <c r="G3736" s="29">
        <v>15</v>
      </c>
      <c r="H3736" s="33">
        <v>2</v>
      </c>
      <c r="M3736" s="2"/>
      <c r="N3736" s="2"/>
      <c r="O3736" s="2"/>
    </row>
    <row r="3737" spans="1:15" x14ac:dyDescent="0.4">
      <c r="A3737">
        <v>2006</v>
      </c>
      <c r="B3737" s="2" t="s">
        <v>373</v>
      </c>
      <c r="C3737" s="2" t="s">
        <v>708</v>
      </c>
      <c r="D3737" s="2" t="s">
        <v>7</v>
      </c>
      <c r="E3737" s="70" t="s">
        <v>18</v>
      </c>
      <c r="F3737" s="29">
        <v>27</v>
      </c>
      <c r="G3737" s="29">
        <v>18</v>
      </c>
      <c r="H3737" s="33">
        <v>9</v>
      </c>
      <c r="M3737" s="2"/>
      <c r="N3737" s="2"/>
      <c r="O3737" s="2"/>
    </row>
    <row r="3738" spans="1:15" x14ac:dyDescent="0.4">
      <c r="A3738">
        <v>2006</v>
      </c>
      <c r="B3738" s="2" t="s">
        <v>374</v>
      </c>
      <c r="C3738" s="2" t="s">
        <v>708</v>
      </c>
      <c r="D3738" s="2" t="s">
        <v>7</v>
      </c>
      <c r="E3738" s="70" t="s">
        <v>19</v>
      </c>
      <c r="F3738" s="29">
        <v>64</v>
      </c>
      <c r="G3738" s="29">
        <v>43</v>
      </c>
      <c r="H3738" s="33">
        <v>21</v>
      </c>
      <c r="M3738" s="2"/>
      <c r="N3738" s="2"/>
      <c r="O3738" s="2"/>
    </row>
    <row r="3739" spans="1:15" x14ac:dyDescent="0.4">
      <c r="A3739">
        <v>2006</v>
      </c>
      <c r="B3739" s="2" t="s">
        <v>375</v>
      </c>
      <c r="C3739" s="2" t="s">
        <v>708</v>
      </c>
      <c r="D3739" s="2" t="s">
        <v>7</v>
      </c>
      <c r="E3739" s="70" t="s">
        <v>20</v>
      </c>
      <c r="F3739" s="29">
        <v>229</v>
      </c>
      <c r="G3739" s="29">
        <v>140</v>
      </c>
      <c r="H3739" s="33">
        <v>89</v>
      </c>
      <c r="M3739" s="2"/>
      <c r="N3739" s="2"/>
      <c r="O3739" s="2"/>
    </row>
    <row r="3740" spans="1:15" x14ac:dyDescent="0.4">
      <c r="A3740">
        <v>2006</v>
      </c>
      <c r="B3740" s="2" t="s">
        <v>376</v>
      </c>
      <c r="C3740" s="2" t="s">
        <v>708</v>
      </c>
      <c r="D3740" s="2" t="s">
        <v>7</v>
      </c>
      <c r="E3740" s="70" t="s">
        <v>21</v>
      </c>
      <c r="F3740" s="29">
        <v>59</v>
      </c>
      <c r="G3740" s="29">
        <v>39</v>
      </c>
      <c r="H3740" s="33">
        <v>20</v>
      </c>
      <c r="M3740" s="2"/>
      <c r="N3740" s="2"/>
      <c r="O3740" s="2"/>
    </row>
    <row r="3741" spans="1:15" x14ac:dyDescent="0.4">
      <c r="A3741">
        <v>2006</v>
      </c>
      <c r="B3741" s="2" t="s">
        <v>377</v>
      </c>
      <c r="C3741" s="2" t="s">
        <v>708</v>
      </c>
      <c r="D3741" s="2" t="s">
        <v>7</v>
      </c>
      <c r="E3741" s="70" t="s">
        <v>22</v>
      </c>
      <c r="F3741" s="29">
        <v>151</v>
      </c>
      <c r="G3741" s="29">
        <v>95</v>
      </c>
      <c r="H3741" s="33">
        <v>56</v>
      </c>
      <c r="M3741" s="2"/>
      <c r="N3741" s="2"/>
      <c r="O3741" s="2"/>
    </row>
    <row r="3742" spans="1:15" x14ac:dyDescent="0.4">
      <c r="A3742">
        <v>2006</v>
      </c>
      <c r="B3742" s="2" t="s">
        <v>378</v>
      </c>
      <c r="C3742" s="2" t="s">
        <v>708</v>
      </c>
      <c r="D3742" s="2" t="s">
        <v>7</v>
      </c>
      <c r="E3742" s="70" t="s">
        <v>23</v>
      </c>
      <c r="F3742" s="29">
        <v>23</v>
      </c>
      <c r="G3742" s="29">
        <v>16</v>
      </c>
      <c r="H3742" s="33">
        <v>7</v>
      </c>
      <c r="M3742" s="2"/>
      <c r="N3742" s="2"/>
      <c r="O3742" s="2"/>
    </row>
    <row r="3743" spans="1:15" x14ac:dyDescent="0.4">
      <c r="A3743">
        <v>2006</v>
      </c>
      <c r="B3743" s="2" t="s">
        <v>379</v>
      </c>
      <c r="C3743" s="2" t="s">
        <v>708</v>
      </c>
      <c r="D3743" s="2" t="s">
        <v>7</v>
      </c>
      <c r="E3743" s="70" t="s">
        <v>24</v>
      </c>
      <c r="F3743" s="29">
        <v>27</v>
      </c>
      <c r="G3743" s="29">
        <v>14</v>
      </c>
      <c r="H3743" s="33">
        <v>13</v>
      </c>
      <c r="M3743" s="2"/>
      <c r="N3743" s="2"/>
      <c r="O3743" s="2"/>
    </row>
    <row r="3744" spans="1:15" x14ac:dyDescent="0.4">
      <c r="A3744">
        <v>2006</v>
      </c>
      <c r="B3744" s="2" t="s">
        <v>380</v>
      </c>
      <c r="C3744" s="2" t="s">
        <v>708</v>
      </c>
      <c r="D3744" s="2" t="s">
        <v>7</v>
      </c>
      <c r="E3744" s="70" t="s">
        <v>25</v>
      </c>
      <c r="F3744" s="29">
        <v>2494</v>
      </c>
      <c r="G3744" s="29">
        <v>1544</v>
      </c>
      <c r="H3744" s="33">
        <v>950</v>
      </c>
      <c r="M3744" s="2"/>
      <c r="N3744" s="2"/>
      <c r="O3744" s="2"/>
    </row>
    <row r="3745" spans="1:15" x14ac:dyDescent="0.4">
      <c r="A3745">
        <v>2006</v>
      </c>
      <c r="B3745" s="2" t="s">
        <v>381</v>
      </c>
      <c r="C3745" s="2" t="s">
        <v>708</v>
      </c>
      <c r="D3745" s="2" t="s">
        <v>7</v>
      </c>
      <c r="E3745" s="70" t="s">
        <v>26</v>
      </c>
      <c r="F3745" s="29">
        <v>1011</v>
      </c>
      <c r="G3745" s="29">
        <v>655</v>
      </c>
      <c r="H3745" s="33">
        <v>356</v>
      </c>
      <c r="M3745" s="2"/>
      <c r="N3745" s="2"/>
      <c r="O3745" s="2"/>
    </row>
    <row r="3746" spans="1:15" x14ac:dyDescent="0.4">
      <c r="A3746">
        <v>2006</v>
      </c>
      <c r="B3746" s="2" t="s">
        <v>382</v>
      </c>
      <c r="C3746" s="2" t="s">
        <v>708</v>
      </c>
      <c r="D3746" s="2" t="s">
        <v>7</v>
      </c>
      <c r="E3746" s="70" t="s">
        <v>27</v>
      </c>
      <c r="F3746" s="29">
        <v>22</v>
      </c>
      <c r="G3746" s="29">
        <v>10</v>
      </c>
      <c r="H3746" s="33">
        <v>12</v>
      </c>
      <c r="M3746" s="2"/>
      <c r="N3746" s="2"/>
      <c r="O3746" s="2"/>
    </row>
    <row r="3747" spans="1:15" x14ac:dyDescent="0.4">
      <c r="A3747">
        <v>2006</v>
      </c>
      <c r="B3747" s="2" t="s">
        <v>383</v>
      </c>
      <c r="C3747" s="2" t="s">
        <v>709</v>
      </c>
      <c r="D3747" s="2" t="s">
        <v>29</v>
      </c>
      <c r="E3747" s="70" t="s">
        <v>28</v>
      </c>
      <c r="F3747" s="29">
        <v>162</v>
      </c>
      <c r="G3747" s="29">
        <v>101</v>
      </c>
      <c r="H3747" s="33">
        <v>61</v>
      </c>
      <c r="M3747" s="2"/>
      <c r="N3747" s="2"/>
      <c r="O3747" s="2"/>
    </row>
    <row r="3748" spans="1:15" x14ac:dyDescent="0.4">
      <c r="A3748">
        <v>2006</v>
      </c>
      <c r="B3748" s="2" t="s">
        <v>384</v>
      </c>
      <c r="C3748" s="2" t="s">
        <v>709</v>
      </c>
      <c r="D3748" s="2" t="s">
        <v>29</v>
      </c>
      <c r="E3748" s="70" t="s">
        <v>30</v>
      </c>
      <c r="F3748" s="29">
        <v>68</v>
      </c>
      <c r="G3748" s="29">
        <v>47</v>
      </c>
      <c r="H3748" s="33">
        <v>21</v>
      </c>
      <c r="M3748" s="2"/>
      <c r="N3748" s="2"/>
      <c r="O3748" s="2"/>
    </row>
    <row r="3749" spans="1:15" x14ac:dyDescent="0.4">
      <c r="A3749">
        <v>2006</v>
      </c>
      <c r="B3749" s="2" t="s">
        <v>385</v>
      </c>
      <c r="C3749" s="2" t="s">
        <v>709</v>
      </c>
      <c r="D3749" s="2" t="s">
        <v>29</v>
      </c>
      <c r="E3749" s="70" t="s">
        <v>31</v>
      </c>
      <c r="F3749" s="29">
        <v>68</v>
      </c>
      <c r="G3749" s="29">
        <v>47</v>
      </c>
      <c r="H3749" s="33">
        <v>21</v>
      </c>
      <c r="M3749" s="2"/>
      <c r="N3749" s="2"/>
      <c r="O3749" s="2"/>
    </row>
    <row r="3750" spans="1:15" x14ac:dyDescent="0.4">
      <c r="A3750">
        <v>2006</v>
      </c>
      <c r="B3750" s="2" t="s">
        <v>386</v>
      </c>
      <c r="C3750" s="2" t="s">
        <v>709</v>
      </c>
      <c r="D3750" s="2" t="s">
        <v>29</v>
      </c>
      <c r="E3750" s="70" t="s">
        <v>32</v>
      </c>
      <c r="F3750" s="29">
        <v>277</v>
      </c>
      <c r="G3750" s="29">
        <v>177</v>
      </c>
      <c r="H3750" s="33">
        <v>100</v>
      </c>
      <c r="M3750" s="2"/>
      <c r="N3750" s="2"/>
      <c r="O3750" s="2"/>
    </row>
    <row r="3751" spans="1:15" x14ac:dyDescent="0.4">
      <c r="A3751">
        <v>2006</v>
      </c>
      <c r="B3751" s="2" t="s">
        <v>387</v>
      </c>
      <c r="C3751" s="2" t="s">
        <v>709</v>
      </c>
      <c r="D3751" s="2" t="s">
        <v>29</v>
      </c>
      <c r="E3751" s="70" t="s">
        <v>33</v>
      </c>
      <c r="F3751" s="29">
        <v>24</v>
      </c>
      <c r="G3751" s="29">
        <v>19</v>
      </c>
      <c r="H3751" s="33">
        <v>5</v>
      </c>
      <c r="M3751" s="2"/>
      <c r="N3751" s="2"/>
      <c r="O3751" s="2"/>
    </row>
    <row r="3752" spans="1:15" x14ac:dyDescent="0.4">
      <c r="A3752">
        <v>2006</v>
      </c>
      <c r="B3752" s="2" t="s">
        <v>388</v>
      </c>
      <c r="C3752" s="2" t="s">
        <v>709</v>
      </c>
      <c r="D3752" s="2" t="s">
        <v>29</v>
      </c>
      <c r="E3752" s="70" t="s">
        <v>34</v>
      </c>
      <c r="F3752" s="29">
        <v>52</v>
      </c>
      <c r="G3752" s="29">
        <v>31</v>
      </c>
      <c r="H3752" s="33">
        <v>21</v>
      </c>
      <c r="M3752" s="2"/>
      <c r="N3752" s="2"/>
      <c r="O3752" s="2"/>
    </row>
    <row r="3753" spans="1:15" x14ac:dyDescent="0.4">
      <c r="A3753">
        <v>2006</v>
      </c>
      <c r="B3753" s="2" t="s">
        <v>389</v>
      </c>
      <c r="C3753" s="2" t="s">
        <v>709</v>
      </c>
      <c r="D3753" s="2" t="s">
        <v>29</v>
      </c>
      <c r="E3753" s="70" t="s">
        <v>35</v>
      </c>
      <c r="F3753" s="29">
        <v>969</v>
      </c>
      <c r="G3753" s="29">
        <v>581</v>
      </c>
      <c r="H3753" s="33">
        <v>388</v>
      </c>
      <c r="M3753" s="2"/>
      <c r="N3753" s="2"/>
      <c r="O3753" s="2"/>
    </row>
    <row r="3754" spans="1:15" x14ac:dyDescent="0.4">
      <c r="A3754">
        <v>2006</v>
      </c>
      <c r="B3754" s="2" t="s">
        <v>390</v>
      </c>
      <c r="C3754" s="2" t="s">
        <v>710</v>
      </c>
      <c r="D3754" s="2" t="s">
        <v>37</v>
      </c>
      <c r="E3754" s="70" t="s">
        <v>36</v>
      </c>
      <c r="F3754" s="29">
        <v>162</v>
      </c>
      <c r="G3754" s="29">
        <v>116</v>
      </c>
      <c r="H3754" s="33">
        <v>46</v>
      </c>
      <c r="M3754" s="2"/>
      <c r="N3754" s="2"/>
      <c r="O3754" s="2"/>
    </row>
    <row r="3755" spans="1:15" x14ac:dyDescent="0.4">
      <c r="A3755">
        <v>2006</v>
      </c>
      <c r="B3755" s="2" t="s">
        <v>391</v>
      </c>
      <c r="C3755" s="2" t="s">
        <v>710</v>
      </c>
      <c r="D3755" s="2" t="s">
        <v>37</v>
      </c>
      <c r="E3755" s="70" t="s">
        <v>38</v>
      </c>
      <c r="F3755" s="29">
        <v>39</v>
      </c>
      <c r="G3755" s="29">
        <v>28</v>
      </c>
      <c r="H3755" s="33">
        <v>11</v>
      </c>
      <c r="M3755" s="2"/>
      <c r="N3755" s="2"/>
      <c r="O3755" s="2"/>
    </row>
    <row r="3756" spans="1:15" x14ac:dyDescent="0.4">
      <c r="A3756">
        <v>2006</v>
      </c>
      <c r="B3756" s="2" t="s">
        <v>392</v>
      </c>
      <c r="C3756" s="2" t="s">
        <v>710</v>
      </c>
      <c r="D3756" s="2" t="s">
        <v>37</v>
      </c>
      <c r="E3756" s="70" t="s">
        <v>39</v>
      </c>
      <c r="F3756" s="29">
        <v>198</v>
      </c>
      <c r="G3756" s="29">
        <v>126</v>
      </c>
      <c r="H3756" s="33">
        <v>72</v>
      </c>
      <c r="M3756" s="2"/>
      <c r="N3756" s="2"/>
      <c r="O3756" s="2"/>
    </row>
    <row r="3757" spans="1:15" x14ac:dyDescent="0.4">
      <c r="A3757">
        <v>2006</v>
      </c>
      <c r="B3757" s="2" t="s">
        <v>393</v>
      </c>
      <c r="C3757" s="2" t="s">
        <v>710</v>
      </c>
      <c r="D3757" s="2" t="s">
        <v>37</v>
      </c>
      <c r="E3757" s="70" t="s">
        <v>40</v>
      </c>
      <c r="F3757" s="29">
        <v>3624</v>
      </c>
      <c r="G3757" s="29">
        <v>2112</v>
      </c>
      <c r="H3757" s="33">
        <v>1512</v>
      </c>
      <c r="M3757" s="2"/>
      <c r="N3757" s="2"/>
      <c r="O3757" s="2"/>
    </row>
    <row r="3758" spans="1:15" x14ac:dyDescent="0.4">
      <c r="A3758">
        <v>2006</v>
      </c>
      <c r="B3758" s="2" t="s">
        <v>394</v>
      </c>
      <c r="C3758" s="2" t="s">
        <v>710</v>
      </c>
      <c r="D3758" s="2" t="s">
        <v>37</v>
      </c>
      <c r="E3758" s="70" t="s">
        <v>41</v>
      </c>
      <c r="F3758" s="29">
        <v>84</v>
      </c>
      <c r="G3758" s="29">
        <v>51</v>
      </c>
      <c r="H3758" s="33">
        <v>33</v>
      </c>
      <c r="M3758" s="2"/>
      <c r="N3758" s="2"/>
      <c r="O3758" s="2"/>
    </row>
    <row r="3759" spans="1:15" x14ac:dyDescent="0.4">
      <c r="A3759">
        <v>2006</v>
      </c>
      <c r="B3759" s="2" t="s">
        <v>395</v>
      </c>
      <c r="C3759" s="2" t="s">
        <v>710</v>
      </c>
      <c r="D3759" s="2" t="s">
        <v>37</v>
      </c>
      <c r="E3759" s="70" t="s">
        <v>42</v>
      </c>
      <c r="F3759" s="29">
        <v>926</v>
      </c>
      <c r="G3759" s="29">
        <v>569</v>
      </c>
      <c r="H3759" s="33">
        <v>357</v>
      </c>
      <c r="M3759" s="2"/>
      <c r="N3759" s="2"/>
      <c r="O3759" s="2"/>
    </row>
    <row r="3760" spans="1:15" x14ac:dyDescent="0.4">
      <c r="A3760">
        <v>2006</v>
      </c>
      <c r="B3760" s="2" t="s">
        <v>396</v>
      </c>
      <c r="C3760" s="2" t="s">
        <v>710</v>
      </c>
      <c r="D3760" s="2" t="s">
        <v>37</v>
      </c>
      <c r="E3760" s="70" t="s">
        <v>43</v>
      </c>
      <c r="F3760" s="29">
        <v>108</v>
      </c>
      <c r="G3760" s="29">
        <v>69</v>
      </c>
      <c r="H3760" s="33">
        <v>39</v>
      </c>
      <c r="M3760" s="2"/>
      <c r="N3760" s="2"/>
      <c r="O3760" s="2"/>
    </row>
    <row r="3761" spans="1:15" x14ac:dyDescent="0.4">
      <c r="A3761">
        <v>2006</v>
      </c>
      <c r="B3761" s="2" t="s">
        <v>397</v>
      </c>
      <c r="C3761" s="2" t="s">
        <v>710</v>
      </c>
      <c r="D3761" s="2" t="s">
        <v>37</v>
      </c>
      <c r="E3761" s="70" t="s">
        <v>44</v>
      </c>
      <c r="F3761" s="29">
        <v>399</v>
      </c>
      <c r="G3761" s="29">
        <v>226</v>
      </c>
      <c r="H3761" s="33">
        <v>173</v>
      </c>
      <c r="M3761" s="2"/>
      <c r="N3761" s="2"/>
      <c r="O3761" s="2"/>
    </row>
    <row r="3762" spans="1:15" x14ac:dyDescent="0.4">
      <c r="A3762">
        <v>2006</v>
      </c>
      <c r="B3762" s="2" t="s">
        <v>398</v>
      </c>
      <c r="C3762" s="2" t="s">
        <v>710</v>
      </c>
      <c r="D3762" s="2" t="s">
        <v>37</v>
      </c>
      <c r="E3762" s="70" t="s">
        <v>45</v>
      </c>
      <c r="F3762" s="29">
        <v>234</v>
      </c>
      <c r="G3762" s="29">
        <v>151</v>
      </c>
      <c r="H3762" s="33">
        <v>83</v>
      </c>
      <c r="M3762" s="2"/>
      <c r="N3762" s="2"/>
      <c r="O3762" s="2"/>
    </row>
    <row r="3763" spans="1:15" x14ac:dyDescent="0.4">
      <c r="A3763">
        <v>2006</v>
      </c>
      <c r="B3763" s="2" t="s">
        <v>399</v>
      </c>
      <c r="C3763" s="2" t="s">
        <v>710</v>
      </c>
      <c r="D3763" s="2" t="s">
        <v>37</v>
      </c>
      <c r="E3763" s="70" t="s">
        <v>46</v>
      </c>
      <c r="F3763" s="29">
        <v>0</v>
      </c>
      <c r="G3763" s="29">
        <v>0</v>
      </c>
      <c r="H3763" s="33">
        <v>0</v>
      </c>
      <c r="M3763" s="2"/>
      <c r="N3763" s="2"/>
      <c r="O3763" s="2"/>
    </row>
    <row r="3764" spans="1:15" x14ac:dyDescent="0.4">
      <c r="A3764">
        <v>2006</v>
      </c>
      <c r="B3764" s="2" t="s">
        <v>400</v>
      </c>
      <c r="C3764" s="2" t="s">
        <v>710</v>
      </c>
      <c r="D3764" s="2" t="s">
        <v>37</v>
      </c>
      <c r="E3764" s="70" t="s">
        <v>47</v>
      </c>
      <c r="F3764" s="29">
        <v>54</v>
      </c>
      <c r="G3764" s="29">
        <v>35</v>
      </c>
      <c r="H3764" s="33">
        <v>19</v>
      </c>
      <c r="M3764" s="2"/>
      <c r="N3764" s="2"/>
      <c r="O3764" s="2"/>
    </row>
    <row r="3765" spans="1:15" x14ac:dyDescent="0.4">
      <c r="A3765">
        <v>2006</v>
      </c>
      <c r="B3765" s="2" t="s">
        <v>401</v>
      </c>
      <c r="C3765" s="2" t="s">
        <v>710</v>
      </c>
      <c r="D3765" s="2" t="s">
        <v>37</v>
      </c>
      <c r="E3765" s="70" t="s">
        <v>48</v>
      </c>
      <c r="F3765" s="29">
        <v>55</v>
      </c>
      <c r="G3765" s="29">
        <v>28</v>
      </c>
      <c r="H3765" s="33">
        <v>27</v>
      </c>
      <c r="M3765" s="2"/>
      <c r="N3765" s="2"/>
      <c r="O3765" s="2"/>
    </row>
    <row r="3766" spans="1:15" x14ac:dyDescent="0.4">
      <c r="A3766">
        <v>2006</v>
      </c>
      <c r="B3766" s="2" t="s">
        <v>402</v>
      </c>
      <c r="C3766" s="2" t="s">
        <v>710</v>
      </c>
      <c r="D3766" s="2" t="s">
        <v>37</v>
      </c>
      <c r="E3766" s="70" t="s">
        <v>49</v>
      </c>
      <c r="F3766" s="29">
        <v>389</v>
      </c>
      <c r="G3766" s="29">
        <v>243</v>
      </c>
      <c r="H3766" s="33">
        <v>146</v>
      </c>
      <c r="M3766" s="2"/>
      <c r="N3766" s="2"/>
      <c r="O3766" s="2"/>
    </row>
    <row r="3767" spans="1:15" x14ac:dyDescent="0.4">
      <c r="A3767">
        <v>2006</v>
      </c>
      <c r="B3767" s="2" t="s">
        <v>403</v>
      </c>
      <c r="C3767" s="2" t="s">
        <v>710</v>
      </c>
      <c r="D3767" s="2" t="s">
        <v>37</v>
      </c>
      <c r="E3767" s="70" t="s">
        <v>50</v>
      </c>
      <c r="F3767" s="29">
        <v>135</v>
      </c>
      <c r="G3767" s="29">
        <v>96</v>
      </c>
      <c r="H3767" s="33">
        <v>39</v>
      </c>
      <c r="M3767" s="2"/>
      <c r="N3767" s="2"/>
      <c r="O3767" s="2"/>
    </row>
    <row r="3768" spans="1:15" x14ac:dyDescent="0.4">
      <c r="A3768">
        <v>2006</v>
      </c>
      <c r="B3768" s="2" t="s">
        <v>404</v>
      </c>
      <c r="C3768" s="2" t="s">
        <v>710</v>
      </c>
      <c r="D3768" s="2" t="s">
        <v>37</v>
      </c>
      <c r="E3768" s="70" t="s">
        <v>51</v>
      </c>
      <c r="F3768" s="29">
        <v>379</v>
      </c>
      <c r="G3768" s="29">
        <v>228</v>
      </c>
      <c r="H3768" s="33">
        <v>151</v>
      </c>
      <c r="M3768" s="2"/>
      <c r="N3768" s="2"/>
      <c r="O3768" s="2"/>
    </row>
    <row r="3769" spans="1:15" x14ac:dyDescent="0.4">
      <c r="A3769">
        <v>2006</v>
      </c>
      <c r="B3769" s="2" t="s">
        <v>405</v>
      </c>
      <c r="C3769" s="2" t="s">
        <v>710</v>
      </c>
      <c r="D3769" s="2" t="s">
        <v>37</v>
      </c>
      <c r="E3769" s="70" t="s">
        <v>52</v>
      </c>
      <c r="F3769" s="29">
        <v>9</v>
      </c>
      <c r="G3769" s="29">
        <v>7</v>
      </c>
      <c r="H3769" s="33">
        <v>2</v>
      </c>
      <c r="M3769" s="2"/>
      <c r="N3769" s="2"/>
      <c r="O3769" s="2"/>
    </row>
    <row r="3770" spans="1:15" x14ac:dyDescent="0.4">
      <c r="A3770">
        <v>2006</v>
      </c>
      <c r="B3770" s="2" t="s">
        <v>406</v>
      </c>
      <c r="C3770" s="2" t="s">
        <v>710</v>
      </c>
      <c r="D3770" s="2" t="s">
        <v>37</v>
      </c>
      <c r="E3770" s="70" t="s">
        <v>53</v>
      </c>
      <c r="F3770" s="29">
        <v>38</v>
      </c>
      <c r="G3770" s="29">
        <v>26</v>
      </c>
      <c r="H3770" s="33">
        <v>12</v>
      </c>
      <c r="M3770" s="2"/>
      <c r="N3770" s="2"/>
      <c r="O3770" s="2"/>
    </row>
    <row r="3771" spans="1:15" x14ac:dyDescent="0.4">
      <c r="A3771">
        <v>2006</v>
      </c>
      <c r="B3771" s="2" t="s">
        <v>407</v>
      </c>
      <c r="C3771" s="2" t="s">
        <v>710</v>
      </c>
      <c r="D3771" s="2" t="s">
        <v>37</v>
      </c>
      <c r="E3771" s="70" t="s">
        <v>54</v>
      </c>
      <c r="F3771" s="29">
        <v>566</v>
      </c>
      <c r="G3771" s="29">
        <v>376</v>
      </c>
      <c r="H3771" s="33">
        <v>190</v>
      </c>
      <c r="M3771" s="2"/>
      <c r="N3771" s="2"/>
      <c r="O3771" s="2"/>
    </row>
    <row r="3772" spans="1:15" x14ac:dyDescent="0.4">
      <c r="A3772">
        <v>2006</v>
      </c>
      <c r="B3772" s="2" t="s">
        <v>408</v>
      </c>
      <c r="C3772" s="2" t="s">
        <v>711</v>
      </c>
      <c r="D3772" s="2" t="s">
        <v>56</v>
      </c>
      <c r="E3772" s="70" t="s">
        <v>55</v>
      </c>
      <c r="F3772" s="29">
        <v>121</v>
      </c>
      <c r="G3772" s="29">
        <v>86</v>
      </c>
      <c r="H3772" s="33">
        <v>35</v>
      </c>
      <c r="M3772" s="2"/>
      <c r="N3772" s="2"/>
      <c r="O3772" s="2"/>
    </row>
    <row r="3773" spans="1:15" x14ac:dyDescent="0.4">
      <c r="A3773">
        <v>2006</v>
      </c>
      <c r="B3773" s="2" t="s">
        <v>409</v>
      </c>
      <c r="C3773" s="2" t="s">
        <v>711</v>
      </c>
      <c r="D3773" s="2" t="s">
        <v>56</v>
      </c>
      <c r="E3773" s="70" t="s">
        <v>57</v>
      </c>
      <c r="F3773" s="29">
        <v>0</v>
      </c>
      <c r="G3773" s="29">
        <v>0</v>
      </c>
      <c r="H3773" s="33">
        <v>0</v>
      </c>
      <c r="M3773" s="2"/>
      <c r="N3773" s="2"/>
      <c r="O3773" s="2"/>
    </row>
    <row r="3774" spans="1:15" x14ac:dyDescent="0.4">
      <c r="A3774">
        <v>2006</v>
      </c>
      <c r="B3774" s="2" t="s">
        <v>410</v>
      </c>
      <c r="C3774" s="2" t="s">
        <v>711</v>
      </c>
      <c r="D3774" s="2" t="s">
        <v>56</v>
      </c>
      <c r="E3774" s="70" t="s">
        <v>58</v>
      </c>
      <c r="F3774" s="29">
        <v>193</v>
      </c>
      <c r="G3774" s="29">
        <v>127</v>
      </c>
      <c r="H3774" s="33">
        <v>66</v>
      </c>
      <c r="M3774" s="2"/>
      <c r="N3774" s="2"/>
      <c r="O3774" s="2"/>
    </row>
    <row r="3775" spans="1:15" x14ac:dyDescent="0.4">
      <c r="A3775">
        <v>2006</v>
      </c>
      <c r="B3775" s="2" t="s">
        <v>411</v>
      </c>
      <c r="C3775" s="2" t="s">
        <v>711</v>
      </c>
      <c r="D3775" s="2" t="s">
        <v>56</v>
      </c>
      <c r="E3775" s="70" t="s">
        <v>59</v>
      </c>
      <c r="F3775" s="29">
        <v>28</v>
      </c>
      <c r="G3775" s="29">
        <v>13</v>
      </c>
      <c r="H3775" s="33">
        <v>15</v>
      </c>
      <c r="M3775" s="2"/>
      <c r="N3775" s="2"/>
      <c r="O3775" s="2"/>
    </row>
    <row r="3776" spans="1:15" x14ac:dyDescent="0.4">
      <c r="A3776">
        <v>2006</v>
      </c>
      <c r="B3776" s="2" t="s">
        <v>412</v>
      </c>
      <c r="C3776" s="2" t="s">
        <v>711</v>
      </c>
      <c r="D3776" s="2" t="s">
        <v>56</v>
      </c>
      <c r="E3776" s="70" t="s">
        <v>60</v>
      </c>
      <c r="F3776" s="29">
        <v>1755</v>
      </c>
      <c r="G3776" s="29">
        <v>1119</v>
      </c>
      <c r="H3776" s="33">
        <v>636</v>
      </c>
      <c r="M3776" s="2"/>
      <c r="N3776" s="2"/>
      <c r="O3776" s="2"/>
    </row>
    <row r="3777" spans="1:15" x14ac:dyDescent="0.4">
      <c r="A3777">
        <v>2006</v>
      </c>
      <c r="B3777" s="2" t="s">
        <v>413</v>
      </c>
      <c r="C3777" s="2" t="s">
        <v>711</v>
      </c>
      <c r="D3777" s="2" t="s">
        <v>56</v>
      </c>
      <c r="E3777" s="70" t="s">
        <v>36</v>
      </c>
      <c r="F3777" s="29">
        <v>153</v>
      </c>
      <c r="G3777" s="29">
        <v>98</v>
      </c>
      <c r="H3777" s="33">
        <v>55</v>
      </c>
      <c r="M3777" s="2"/>
      <c r="N3777" s="2"/>
      <c r="O3777" s="2"/>
    </row>
    <row r="3778" spans="1:15" x14ac:dyDescent="0.4">
      <c r="A3778">
        <v>2006</v>
      </c>
      <c r="B3778" s="2" t="s">
        <v>414</v>
      </c>
      <c r="C3778" s="2" t="s">
        <v>711</v>
      </c>
      <c r="D3778" s="2" t="s">
        <v>56</v>
      </c>
      <c r="E3778" s="70" t="s">
        <v>61</v>
      </c>
      <c r="F3778" s="29">
        <v>48</v>
      </c>
      <c r="G3778" s="29">
        <v>31</v>
      </c>
      <c r="H3778" s="33">
        <v>17</v>
      </c>
      <c r="M3778" s="2"/>
      <c r="N3778" s="2"/>
      <c r="O3778" s="2"/>
    </row>
    <row r="3779" spans="1:15" x14ac:dyDescent="0.4">
      <c r="A3779">
        <v>2006</v>
      </c>
      <c r="B3779" s="2" t="s">
        <v>415</v>
      </c>
      <c r="C3779" s="2" t="s">
        <v>711</v>
      </c>
      <c r="D3779" s="2" t="s">
        <v>56</v>
      </c>
      <c r="E3779" s="70" t="s">
        <v>62</v>
      </c>
      <c r="F3779" s="29">
        <v>252</v>
      </c>
      <c r="G3779" s="29">
        <v>173</v>
      </c>
      <c r="H3779" s="33">
        <v>79</v>
      </c>
      <c r="M3779" s="2"/>
      <c r="N3779" s="2"/>
      <c r="O3779" s="2"/>
    </row>
    <row r="3780" spans="1:15" x14ac:dyDescent="0.4">
      <c r="A3780">
        <v>2006</v>
      </c>
      <c r="B3780" s="2" t="s">
        <v>416</v>
      </c>
      <c r="C3780" s="2" t="s">
        <v>711</v>
      </c>
      <c r="D3780" s="2" t="s">
        <v>56</v>
      </c>
      <c r="E3780" s="70" t="s">
        <v>63</v>
      </c>
      <c r="F3780" s="29">
        <v>69</v>
      </c>
      <c r="G3780" s="29">
        <v>47</v>
      </c>
      <c r="H3780" s="33">
        <v>22</v>
      </c>
      <c r="M3780" s="2"/>
      <c r="N3780" s="2"/>
      <c r="O3780" s="2"/>
    </row>
    <row r="3781" spans="1:15" x14ac:dyDescent="0.4">
      <c r="A3781">
        <v>2006</v>
      </c>
      <c r="B3781" s="2" t="s">
        <v>417</v>
      </c>
      <c r="C3781" s="2" t="s">
        <v>711</v>
      </c>
      <c r="D3781" s="2" t="s">
        <v>56</v>
      </c>
      <c r="E3781" s="70" t="s">
        <v>64</v>
      </c>
      <c r="F3781" s="29">
        <v>163</v>
      </c>
      <c r="G3781" s="29">
        <v>112</v>
      </c>
      <c r="H3781" s="33">
        <v>51</v>
      </c>
      <c r="M3781" s="2"/>
      <c r="N3781" s="2"/>
      <c r="O3781" s="2"/>
    </row>
    <row r="3782" spans="1:15" x14ac:dyDescent="0.4">
      <c r="A3782">
        <v>2006</v>
      </c>
      <c r="B3782" s="2" t="s">
        <v>418</v>
      </c>
      <c r="C3782" s="2" t="s">
        <v>711</v>
      </c>
      <c r="D3782" s="2" t="s">
        <v>56</v>
      </c>
      <c r="E3782" s="70" t="s">
        <v>65</v>
      </c>
      <c r="F3782" s="29">
        <v>83</v>
      </c>
      <c r="G3782" s="29">
        <v>50</v>
      </c>
      <c r="H3782" s="33">
        <v>33</v>
      </c>
      <c r="M3782" s="2"/>
      <c r="N3782" s="2"/>
      <c r="O3782" s="2"/>
    </row>
    <row r="3783" spans="1:15" x14ac:dyDescent="0.4">
      <c r="A3783">
        <v>2006</v>
      </c>
      <c r="B3783" s="2" t="s">
        <v>419</v>
      </c>
      <c r="C3783" s="2" t="s">
        <v>711</v>
      </c>
      <c r="D3783" s="2" t="s">
        <v>56</v>
      </c>
      <c r="E3783" s="70" t="s">
        <v>66</v>
      </c>
      <c r="F3783" s="29">
        <v>27</v>
      </c>
      <c r="G3783" s="29">
        <v>17</v>
      </c>
      <c r="H3783" s="33">
        <v>10</v>
      </c>
      <c r="M3783" s="2"/>
      <c r="N3783" s="2"/>
      <c r="O3783" s="2"/>
    </row>
    <row r="3784" spans="1:15" x14ac:dyDescent="0.4">
      <c r="A3784">
        <v>2006</v>
      </c>
      <c r="B3784" s="2" t="s">
        <v>420</v>
      </c>
      <c r="C3784" s="2" t="s">
        <v>712</v>
      </c>
      <c r="D3784" s="2" t="s">
        <v>68</v>
      </c>
      <c r="E3784" s="70" t="s">
        <v>67</v>
      </c>
      <c r="F3784" s="29">
        <v>3542</v>
      </c>
      <c r="G3784" s="29">
        <v>2358</v>
      </c>
      <c r="H3784" s="33">
        <v>1184</v>
      </c>
      <c r="M3784" s="2"/>
      <c r="N3784" s="2"/>
      <c r="O3784" s="2"/>
    </row>
    <row r="3785" spans="1:15" x14ac:dyDescent="0.4">
      <c r="A3785">
        <v>2006</v>
      </c>
      <c r="B3785" s="2" t="s">
        <v>421</v>
      </c>
      <c r="C3785" s="2" t="s">
        <v>712</v>
      </c>
      <c r="D3785" s="2" t="s">
        <v>68</v>
      </c>
      <c r="E3785" s="70" t="s">
        <v>69</v>
      </c>
      <c r="F3785" s="29">
        <v>190</v>
      </c>
      <c r="G3785" s="29">
        <v>119</v>
      </c>
      <c r="H3785" s="33">
        <v>71</v>
      </c>
      <c r="M3785" s="2"/>
      <c r="N3785" s="2"/>
      <c r="O3785" s="2"/>
    </row>
    <row r="3786" spans="1:15" x14ac:dyDescent="0.4">
      <c r="A3786">
        <v>2006</v>
      </c>
      <c r="B3786" s="2" t="s">
        <v>422</v>
      </c>
      <c r="C3786" s="2" t="s">
        <v>712</v>
      </c>
      <c r="D3786" s="2" t="s">
        <v>68</v>
      </c>
      <c r="E3786" s="70" t="s">
        <v>70</v>
      </c>
      <c r="F3786" s="29">
        <v>44</v>
      </c>
      <c r="G3786" s="29">
        <v>28</v>
      </c>
      <c r="H3786" s="33">
        <v>16</v>
      </c>
      <c r="M3786" s="2"/>
      <c r="N3786" s="2"/>
      <c r="O3786" s="2"/>
    </row>
    <row r="3787" spans="1:15" x14ac:dyDescent="0.4">
      <c r="A3787">
        <v>2006</v>
      </c>
      <c r="B3787" s="2" t="s">
        <v>423</v>
      </c>
      <c r="C3787" s="2" t="s">
        <v>712</v>
      </c>
      <c r="D3787" s="2" t="s">
        <v>68</v>
      </c>
      <c r="E3787" s="70" t="s">
        <v>71</v>
      </c>
      <c r="F3787" s="29">
        <v>62</v>
      </c>
      <c r="G3787" s="29">
        <v>39</v>
      </c>
      <c r="H3787" s="33">
        <v>23</v>
      </c>
      <c r="M3787" s="2"/>
      <c r="N3787" s="2"/>
      <c r="O3787" s="2"/>
    </row>
    <row r="3788" spans="1:15" x14ac:dyDescent="0.4">
      <c r="A3788">
        <v>2006</v>
      </c>
      <c r="B3788" s="2" t="s">
        <v>424</v>
      </c>
      <c r="C3788" s="2" t="s">
        <v>712</v>
      </c>
      <c r="D3788" s="2" t="s">
        <v>68</v>
      </c>
      <c r="E3788" s="70" t="s">
        <v>72</v>
      </c>
      <c r="F3788" s="29">
        <v>2068</v>
      </c>
      <c r="G3788" s="29">
        <v>1266</v>
      </c>
      <c r="H3788" s="33">
        <v>802</v>
      </c>
      <c r="M3788" s="2"/>
      <c r="N3788" s="2"/>
      <c r="O3788" s="2"/>
    </row>
    <row r="3789" spans="1:15" x14ac:dyDescent="0.4">
      <c r="A3789">
        <v>2006</v>
      </c>
      <c r="B3789" s="2" t="s">
        <v>425</v>
      </c>
      <c r="C3789" s="2" t="s">
        <v>712</v>
      </c>
      <c r="D3789" s="2" t="s">
        <v>68</v>
      </c>
      <c r="E3789" s="70" t="s">
        <v>73</v>
      </c>
      <c r="F3789" s="29">
        <v>28</v>
      </c>
      <c r="G3789" s="29">
        <v>19</v>
      </c>
      <c r="H3789" s="33">
        <v>9</v>
      </c>
      <c r="M3789" s="2"/>
      <c r="N3789" s="2"/>
      <c r="O3789" s="2"/>
    </row>
    <row r="3790" spans="1:15" x14ac:dyDescent="0.4">
      <c r="A3790">
        <v>2006</v>
      </c>
      <c r="B3790" s="2" t="s">
        <v>426</v>
      </c>
      <c r="C3790" s="2" t="s">
        <v>712</v>
      </c>
      <c r="D3790" s="2" t="s">
        <v>68</v>
      </c>
      <c r="E3790" s="70" t="s">
        <v>74</v>
      </c>
      <c r="F3790" s="29">
        <v>384</v>
      </c>
      <c r="G3790" s="29">
        <v>244</v>
      </c>
      <c r="H3790" s="33">
        <v>140</v>
      </c>
      <c r="M3790" s="2"/>
      <c r="N3790" s="2"/>
      <c r="O3790" s="2"/>
    </row>
    <row r="3791" spans="1:15" x14ac:dyDescent="0.4">
      <c r="A3791">
        <v>2006</v>
      </c>
      <c r="B3791" s="2" t="s">
        <v>427</v>
      </c>
      <c r="C3791" s="2" t="s">
        <v>712</v>
      </c>
      <c r="D3791" s="2" t="s">
        <v>68</v>
      </c>
      <c r="E3791" s="70" t="s">
        <v>75</v>
      </c>
      <c r="F3791" s="29">
        <v>54</v>
      </c>
      <c r="G3791" s="29">
        <v>36</v>
      </c>
      <c r="H3791" s="33">
        <v>18</v>
      </c>
      <c r="M3791" s="2"/>
      <c r="N3791" s="2"/>
      <c r="O3791" s="2"/>
    </row>
    <row r="3792" spans="1:15" x14ac:dyDescent="0.4">
      <c r="A3792">
        <v>2006</v>
      </c>
      <c r="B3792" s="2" t="s">
        <v>428</v>
      </c>
      <c r="C3792" s="2" t="s">
        <v>712</v>
      </c>
      <c r="D3792" s="2" t="s">
        <v>68</v>
      </c>
      <c r="E3792" s="70" t="s">
        <v>76</v>
      </c>
      <c r="F3792" s="29">
        <v>56</v>
      </c>
      <c r="G3792" s="29">
        <v>36</v>
      </c>
      <c r="H3792" s="33">
        <v>20</v>
      </c>
      <c r="M3792" s="2"/>
      <c r="N3792" s="2"/>
      <c r="O3792" s="2"/>
    </row>
    <row r="3793" spans="1:15" x14ac:dyDescent="0.4">
      <c r="A3793">
        <v>2006</v>
      </c>
      <c r="B3793" s="2" t="s">
        <v>429</v>
      </c>
      <c r="C3793" s="2" t="s">
        <v>712</v>
      </c>
      <c r="D3793" s="2" t="s">
        <v>68</v>
      </c>
      <c r="E3793" s="70" t="s">
        <v>77</v>
      </c>
      <c r="F3793" s="29">
        <v>159</v>
      </c>
      <c r="G3793" s="29">
        <v>104</v>
      </c>
      <c r="H3793" s="33">
        <v>55</v>
      </c>
      <c r="M3793" s="2"/>
      <c r="N3793" s="2"/>
      <c r="O3793" s="2"/>
    </row>
    <row r="3794" spans="1:15" x14ac:dyDescent="0.4">
      <c r="A3794">
        <v>2006</v>
      </c>
      <c r="B3794" s="2" t="s">
        <v>430</v>
      </c>
      <c r="C3794" s="2" t="s">
        <v>712</v>
      </c>
      <c r="D3794" s="2" t="s">
        <v>68</v>
      </c>
      <c r="E3794" s="70" t="s">
        <v>51</v>
      </c>
      <c r="F3794" s="29">
        <v>30</v>
      </c>
      <c r="G3794" s="29">
        <v>19</v>
      </c>
      <c r="H3794" s="33">
        <v>11</v>
      </c>
      <c r="M3794" s="2"/>
      <c r="N3794" s="2"/>
      <c r="O3794" s="2"/>
    </row>
    <row r="3795" spans="1:15" x14ac:dyDescent="0.4">
      <c r="A3795">
        <v>2006</v>
      </c>
      <c r="B3795" s="2" t="s">
        <v>431</v>
      </c>
      <c r="C3795" s="2" t="s">
        <v>713</v>
      </c>
      <c r="D3795" s="2" t="s">
        <v>79</v>
      </c>
      <c r="E3795" s="70" t="s">
        <v>78</v>
      </c>
      <c r="F3795" s="29">
        <v>273</v>
      </c>
      <c r="G3795" s="29">
        <v>161</v>
      </c>
      <c r="H3795" s="33">
        <v>112</v>
      </c>
      <c r="M3795" s="2"/>
      <c r="N3795" s="2"/>
      <c r="O3795" s="2"/>
    </row>
    <row r="3796" spans="1:15" x14ac:dyDescent="0.4">
      <c r="A3796">
        <v>2006</v>
      </c>
      <c r="B3796" s="2" t="s">
        <v>432</v>
      </c>
      <c r="C3796" s="2" t="s">
        <v>713</v>
      </c>
      <c r="D3796" s="2" t="s">
        <v>79</v>
      </c>
      <c r="E3796" s="70" t="s">
        <v>80</v>
      </c>
      <c r="F3796" s="29">
        <v>395</v>
      </c>
      <c r="G3796" s="29">
        <v>265</v>
      </c>
      <c r="H3796" s="33">
        <v>130</v>
      </c>
      <c r="M3796" s="2"/>
      <c r="N3796" s="2"/>
      <c r="O3796" s="2"/>
    </row>
    <row r="3797" spans="1:15" x14ac:dyDescent="0.4">
      <c r="A3797">
        <v>2006</v>
      </c>
      <c r="B3797" s="2" t="s">
        <v>433</v>
      </c>
      <c r="C3797" s="2" t="s">
        <v>713</v>
      </c>
      <c r="D3797" s="2" t="s">
        <v>79</v>
      </c>
      <c r="E3797" s="70" t="s">
        <v>81</v>
      </c>
      <c r="F3797" s="29">
        <v>479</v>
      </c>
      <c r="G3797" s="29">
        <v>297</v>
      </c>
      <c r="H3797" s="33">
        <v>182</v>
      </c>
      <c r="M3797" s="2"/>
      <c r="N3797" s="2"/>
      <c r="O3797" s="2"/>
    </row>
    <row r="3798" spans="1:15" x14ac:dyDescent="0.4">
      <c r="A3798">
        <v>2006</v>
      </c>
      <c r="B3798" s="2" t="s">
        <v>434</v>
      </c>
      <c r="C3798" s="2" t="s">
        <v>713</v>
      </c>
      <c r="D3798" s="2" t="s">
        <v>79</v>
      </c>
      <c r="E3798" s="70" t="s">
        <v>82</v>
      </c>
      <c r="F3798" s="29">
        <v>432</v>
      </c>
      <c r="G3798" s="29">
        <v>282</v>
      </c>
      <c r="H3798" s="33">
        <v>150</v>
      </c>
      <c r="M3798" s="2"/>
      <c r="N3798" s="2"/>
      <c r="O3798" s="2"/>
    </row>
    <row r="3799" spans="1:15" x14ac:dyDescent="0.4">
      <c r="A3799">
        <v>2006</v>
      </c>
      <c r="B3799" s="2" t="s">
        <v>435</v>
      </c>
      <c r="C3799" s="2" t="s">
        <v>713</v>
      </c>
      <c r="D3799" s="2" t="s">
        <v>79</v>
      </c>
      <c r="E3799" s="70" t="s">
        <v>83</v>
      </c>
      <c r="F3799" s="29">
        <v>157</v>
      </c>
      <c r="G3799" s="29">
        <v>102</v>
      </c>
      <c r="H3799" s="33">
        <v>55</v>
      </c>
      <c r="M3799" s="2"/>
      <c r="N3799" s="2"/>
      <c r="O3799" s="2"/>
    </row>
    <row r="3800" spans="1:15" x14ac:dyDescent="0.4">
      <c r="A3800">
        <v>2006</v>
      </c>
      <c r="B3800" s="2" t="s">
        <v>436</v>
      </c>
      <c r="C3800" s="2" t="s">
        <v>713</v>
      </c>
      <c r="D3800" s="2" t="s">
        <v>79</v>
      </c>
      <c r="E3800" s="70" t="s">
        <v>44</v>
      </c>
      <c r="F3800" s="29">
        <v>313</v>
      </c>
      <c r="G3800" s="29">
        <v>239</v>
      </c>
      <c r="H3800" s="33">
        <v>74</v>
      </c>
      <c r="M3800" s="2"/>
      <c r="N3800" s="2"/>
      <c r="O3800" s="2"/>
    </row>
    <row r="3801" spans="1:15" x14ac:dyDescent="0.4">
      <c r="A3801">
        <v>2006</v>
      </c>
      <c r="B3801" s="2" t="s">
        <v>437</v>
      </c>
      <c r="C3801" s="2" t="s">
        <v>713</v>
      </c>
      <c r="D3801" s="2" t="s">
        <v>79</v>
      </c>
      <c r="E3801" s="70" t="s">
        <v>84</v>
      </c>
      <c r="F3801" s="29">
        <v>238</v>
      </c>
      <c r="G3801" s="29">
        <v>165</v>
      </c>
      <c r="H3801" s="33">
        <v>73</v>
      </c>
      <c r="M3801" s="2"/>
      <c r="N3801" s="2"/>
      <c r="O3801" s="2"/>
    </row>
    <row r="3802" spans="1:15" x14ac:dyDescent="0.4">
      <c r="A3802">
        <v>2006</v>
      </c>
      <c r="B3802" s="2" t="s">
        <v>438</v>
      </c>
      <c r="C3802" s="2" t="s">
        <v>713</v>
      </c>
      <c r="D3802" s="2" t="s">
        <v>79</v>
      </c>
      <c r="E3802" s="70" t="s">
        <v>85</v>
      </c>
      <c r="F3802" s="29">
        <v>63</v>
      </c>
      <c r="G3802" s="29">
        <v>34</v>
      </c>
      <c r="H3802" s="33">
        <v>29</v>
      </c>
      <c r="M3802" s="2"/>
      <c r="N3802" s="2"/>
      <c r="O3802" s="2"/>
    </row>
    <row r="3803" spans="1:15" x14ac:dyDescent="0.4">
      <c r="A3803">
        <v>2006</v>
      </c>
      <c r="B3803" s="2" t="s">
        <v>439</v>
      </c>
      <c r="C3803" s="2" t="s">
        <v>713</v>
      </c>
      <c r="D3803" s="2" t="s">
        <v>79</v>
      </c>
      <c r="E3803" s="70" t="s">
        <v>86</v>
      </c>
      <c r="F3803" s="29">
        <v>47</v>
      </c>
      <c r="G3803" s="29">
        <v>30</v>
      </c>
      <c r="H3803" s="33">
        <v>17</v>
      </c>
      <c r="M3803" s="2"/>
      <c r="N3803" s="2"/>
      <c r="O3803" s="2"/>
    </row>
    <row r="3804" spans="1:15" x14ac:dyDescent="0.4">
      <c r="A3804">
        <v>2006</v>
      </c>
      <c r="B3804" s="2" t="s">
        <v>440</v>
      </c>
      <c r="C3804" s="2" t="s">
        <v>713</v>
      </c>
      <c r="D3804" s="2" t="s">
        <v>79</v>
      </c>
      <c r="E3804" s="70" t="s">
        <v>87</v>
      </c>
      <c r="F3804" s="29">
        <v>1324</v>
      </c>
      <c r="G3804" s="29">
        <v>736</v>
      </c>
      <c r="H3804" s="33">
        <v>588</v>
      </c>
      <c r="M3804" s="2"/>
      <c r="N3804" s="2"/>
      <c r="O3804" s="2"/>
    </row>
    <row r="3805" spans="1:15" x14ac:dyDescent="0.4">
      <c r="A3805">
        <v>2006</v>
      </c>
      <c r="B3805" s="2" t="s">
        <v>441</v>
      </c>
      <c r="C3805" s="2" t="s">
        <v>713</v>
      </c>
      <c r="D3805" s="2" t="s">
        <v>79</v>
      </c>
      <c r="E3805" s="70" t="s">
        <v>88</v>
      </c>
      <c r="F3805" s="29">
        <v>977</v>
      </c>
      <c r="G3805" s="29">
        <v>587</v>
      </c>
      <c r="H3805" s="33">
        <v>390</v>
      </c>
      <c r="M3805" s="2"/>
      <c r="N3805" s="2"/>
      <c r="O3805" s="2"/>
    </row>
    <row r="3806" spans="1:15" x14ac:dyDescent="0.4">
      <c r="A3806">
        <v>2006</v>
      </c>
      <c r="B3806" s="2" t="s">
        <v>442</v>
      </c>
      <c r="C3806" s="2" t="s">
        <v>713</v>
      </c>
      <c r="D3806" s="2" t="s">
        <v>79</v>
      </c>
      <c r="E3806" s="70" t="s">
        <v>89</v>
      </c>
      <c r="F3806" s="29">
        <v>116</v>
      </c>
      <c r="G3806" s="29">
        <v>58</v>
      </c>
      <c r="H3806" s="33">
        <v>58</v>
      </c>
      <c r="M3806" s="2"/>
      <c r="N3806" s="2"/>
      <c r="O3806" s="2"/>
    </row>
    <row r="3807" spans="1:15" x14ac:dyDescent="0.4">
      <c r="A3807">
        <v>2006</v>
      </c>
      <c r="B3807" s="2" t="s">
        <v>443</v>
      </c>
      <c r="C3807" s="2" t="s">
        <v>713</v>
      </c>
      <c r="D3807" s="2" t="s">
        <v>79</v>
      </c>
      <c r="E3807" s="70" t="s">
        <v>90</v>
      </c>
      <c r="F3807" s="29">
        <v>130</v>
      </c>
      <c r="G3807" s="29">
        <v>91</v>
      </c>
      <c r="H3807" s="33">
        <v>39</v>
      </c>
      <c r="M3807" s="2"/>
      <c r="N3807" s="2"/>
      <c r="O3807" s="2"/>
    </row>
    <row r="3808" spans="1:15" x14ac:dyDescent="0.4">
      <c r="A3808">
        <v>2006</v>
      </c>
      <c r="B3808" s="2" t="s">
        <v>444</v>
      </c>
      <c r="C3808" s="2" t="s">
        <v>713</v>
      </c>
      <c r="D3808" s="2" t="s">
        <v>79</v>
      </c>
      <c r="E3808" s="70" t="s">
        <v>91</v>
      </c>
      <c r="F3808" s="29">
        <v>4057</v>
      </c>
      <c r="G3808" s="29">
        <v>2509</v>
      </c>
      <c r="H3808" s="33">
        <v>1548</v>
      </c>
      <c r="M3808" s="2"/>
      <c r="N3808" s="2"/>
      <c r="O3808" s="2"/>
    </row>
    <row r="3809" spans="1:15" x14ac:dyDescent="0.4">
      <c r="A3809">
        <v>2006</v>
      </c>
      <c r="B3809" s="2" t="s">
        <v>445</v>
      </c>
      <c r="C3809" s="2" t="s">
        <v>714</v>
      </c>
      <c r="D3809" s="2" t="s">
        <v>93</v>
      </c>
      <c r="E3809" s="70" t="s">
        <v>92</v>
      </c>
      <c r="F3809" s="29">
        <v>41</v>
      </c>
      <c r="G3809" s="29">
        <v>27</v>
      </c>
      <c r="H3809" s="33">
        <v>14</v>
      </c>
      <c r="M3809" s="2"/>
      <c r="N3809" s="2"/>
      <c r="O3809" s="2"/>
    </row>
    <row r="3810" spans="1:15" x14ac:dyDescent="0.4">
      <c r="A3810">
        <v>2006</v>
      </c>
      <c r="B3810" s="2" t="s">
        <v>446</v>
      </c>
      <c r="C3810" s="2" t="s">
        <v>714</v>
      </c>
      <c r="D3810" s="2" t="s">
        <v>93</v>
      </c>
      <c r="E3810" s="70" t="s">
        <v>94</v>
      </c>
      <c r="F3810" s="29">
        <v>317</v>
      </c>
      <c r="G3810" s="29">
        <v>218</v>
      </c>
      <c r="H3810" s="33">
        <v>99</v>
      </c>
      <c r="M3810" s="2"/>
      <c r="N3810" s="2"/>
      <c r="O3810" s="2"/>
    </row>
    <row r="3811" spans="1:15" x14ac:dyDescent="0.4">
      <c r="A3811">
        <v>2006</v>
      </c>
      <c r="B3811" s="2" t="s">
        <v>447</v>
      </c>
      <c r="C3811" s="2" t="s">
        <v>714</v>
      </c>
      <c r="D3811" s="2" t="s">
        <v>93</v>
      </c>
      <c r="E3811" s="70" t="s">
        <v>40</v>
      </c>
      <c r="F3811" s="29">
        <v>24</v>
      </c>
      <c r="G3811" s="29">
        <v>13</v>
      </c>
      <c r="H3811" s="33">
        <v>11</v>
      </c>
      <c r="M3811" s="2"/>
      <c r="N3811" s="2"/>
      <c r="O3811" s="2"/>
    </row>
    <row r="3812" spans="1:15" x14ac:dyDescent="0.4">
      <c r="A3812">
        <v>2006</v>
      </c>
      <c r="B3812" s="2" t="s">
        <v>448</v>
      </c>
      <c r="C3812" s="2" t="s">
        <v>714</v>
      </c>
      <c r="D3812" s="2" t="s">
        <v>93</v>
      </c>
      <c r="E3812" s="70" t="s">
        <v>95</v>
      </c>
      <c r="F3812" s="29">
        <v>28</v>
      </c>
      <c r="G3812" s="29">
        <v>21</v>
      </c>
      <c r="H3812" s="33">
        <v>7</v>
      </c>
      <c r="M3812" s="2"/>
      <c r="N3812" s="2"/>
      <c r="O3812" s="2"/>
    </row>
    <row r="3813" spans="1:15" x14ac:dyDescent="0.4">
      <c r="A3813">
        <v>2006</v>
      </c>
      <c r="B3813" s="2" t="s">
        <v>449</v>
      </c>
      <c r="C3813" s="2" t="s">
        <v>714</v>
      </c>
      <c r="D3813" s="2" t="s">
        <v>93</v>
      </c>
      <c r="E3813" s="70" t="s">
        <v>96</v>
      </c>
      <c r="F3813" s="29">
        <v>34</v>
      </c>
      <c r="G3813" s="29">
        <v>23</v>
      </c>
      <c r="H3813" s="33">
        <v>11</v>
      </c>
      <c r="M3813" s="2"/>
      <c r="N3813" s="2"/>
      <c r="O3813" s="2"/>
    </row>
    <row r="3814" spans="1:15" x14ac:dyDescent="0.4">
      <c r="A3814">
        <v>2006</v>
      </c>
      <c r="B3814" s="2" t="s">
        <v>450</v>
      </c>
      <c r="C3814" s="2" t="s">
        <v>714</v>
      </c>
      <c r="D3814" s="2" t="s">
        <v>93</v>
      </c>
      <c r="E3814" s="70" t="s">
        <v>97</v>
      </c>
      <c r="F3814" s="29">
        <v>26</v>
      </c>
      <c r="G3814" s="29">
        <v>17</v>
      </c>
      <c r="H3814" s="33">
        <v>9</v>
      </c>
      <c r="M3814" s="2"/>
      <c r="N3814" s="2"/>
      <c r="O3814" s="2"/>
    </row>
    <row r="3815" spans="1:15" x14ac:dyDescent="0.4">
      <c r="A3815">
        <v>2006</v>
      </c>
      <c r="B3815" s="2" t="s">
        <v>451</v>
      </c>
      <c r="C3815" s="2" t="s">
        <v>714</v>
      </c>
      <c r="D3815" s="2" t="s">
        <v>93</v>
      </c>
      <c r="E3815" s="70" t="s">
        <v>34</v>
      </c>
      <c r="F3815" s="29">
        <v>32</v>
      </c>
      <c r="G3815" s="29">
        <v>15</v>
      </c>
      <c r="H3815" s="33">
        <v>17</v>
      </c>
      <c r="M3815" s="2"/>
      <c r="N3815" s="2"/>
      <c r="O3815" s="2"/>
    </row>
    <row r="3816" spans="1:15" x14ac:dyDescent="0.4">
      <c r="A3816">
        <v>2006</v>
      </c>
      <c r="B3816" s="2" t="s">
        <v>452</v>
      </c>
      <c r="C3816" s="2" t="s">
        <v>714</v>
      </c>
      <c r="D3816" s="2" t="s">
        <v>93</v>
      </c>
      <c r="E3816" s="70" t="s">
        <v>98</v>
      </c>
      <c r="F3816" s="29">
        <v>609</v>
      </c>
      <c r="G3816" s="29">
        <v>370</v>
      </c>
      <c r="H3816" s="33">
        <v>239</v>
      </c>
      <c r="M3816" s="2"/>
      <c r="N3816" s="2"/>
      <c r="O3816" s="2"/>
    </row>
    <row r="3817" spans="1:15" x14ac:dyDescent="0.4">
      <c r="A3817">
        <v>2006</v>
      </c>
      <c r="B3817" s="2" t="s">
        <v>453</v>
      </c>
      <c r="C3817" s="2" t="s">
        <v>714</v>
      </c>
      <c r="D3817" s="2" t="s">
        <v>93</v>
      </c>
      <c r="E3817" s="70" t="s">
        <v>99</v>
      </c>
      <c r="F3817" s="29">
        <v>104</v>
      </c>
      <c r="G3817" s="29">
        <v>65</v>
      </c>
      <c r="H3817" s="33">
        <v>39</v>
      </c>
      <c r="M3817" s="2"/>
      <c r="N3817" s="2"/>
      <c r="O3817" s="2"/>
    </row>
    <row r="3818" spans="1:15" x14ac:dyDescent="0.4">
      <c r="A3818">
        <v>2006</v>
      </c>
      <c r="B3818" s="2" t="s">
        <v>454</v>
      </c>
      <c r="C3818" s="2" t="s">
        <v>715</v>
      </c>
      <c r="D3818" s="14" t="s">
        <v>101</v>
      </c>
      <c r="E3818" s="69" t="s">
        <v>100</v>
      </c>
      <c r="F3818" s="11">
        <v>75</v>
      </c>
      <c r="G3818" s="11">
        <v>50</v>
      </c>
      <c r="H3818" s="33">
        <v>25</v>
      </c>
      <c r="M3818" s="2"/>
      <c r="N3818" s="2"/>
      <c r="O3818" s="2"/>
    </row>
    <row r="3819" spans="1:15" x14ac:dyDescent="0.4">
      <c r="A3819">
        <v>2006</v>
      </c>
      <c r="B3819" s="2" t="s">
        <v>455</v>
      </c>
      <c r="C3819" s="2" t="s">
        <v>715</v>
      </c>
      <c r="D3819" s="2" t="s">
        <v>101</v>
      </c>
      <c r="E3819" s="70" t="s">
        <v>102</v>
      </c>
      <c r="F3819" s="29">
        <v>19</v>
      </c>
      <c r="G3819" s="29">
        <v>15</v>
      </c>
      <c r="H3819" s="33">
        <v>4</v>
      </c>
      <c r="M3819" s="2"/>
      <c r="N3819" s="2"/>
      <c r="O3819" s="2"/>
    </row>
    <row r="3820" spans="1:15" x14ac:dyDescent="0.4">
      <c r="A3820">
        <v>2006</v>
      </c>
      <c r="B3820" s="2" t="s">
        <v>456</v>
      </c>
      <c r="C3820" s="2" t="s">
        <v>715</v>
      </c>
      <c r="D3820" s="2" t="s">
        <v>101</v>
      </c>
      <c r="E3820" s="70" t="s">
        <v>103</v>
      </c>
      <c r="F3820" s="29">
        <v>23</v>
      </c>
      <c r="G3820" s="29">
        <v>10</v>
      </c>
      <c r="H3820" s="33">
        <v>13</v>
      </c>
      <c r="M3820" s="2"/>
      <c r="N3820" s="2"/>
      <c r="O3820" s="2"/>
    </row>
    <row r="3821" spans="1:15" x14ac:dyDescent="0.4">
      <c r="A3821">
        <v>2006</v>
      </c>
      <c r="B3821" s="2" t="s">
        <v>457</v>
      </c>
      <c r="C3821" s="2" t="s">
        <v>715</v>
      </c>
      <c r="D3821" s="2" t="s">
        <v>101</v>
      </c>
      <c r="E3821" s="70" t="s">
        <v>104</v>
      </c>
      <c r="F3821" s="29">
        <v>473</v>
      </c>
      <c r="G3821" s="29">
        <v>289</v>
      </c>
      <c r="H3821" s="33">
        <v>184</v>
      </c>
      <c r="M3821" s="2"/>
      <c r="N3821" s="2"/>
      <c r="O3821" s="2"/>
    </row>
    <row r="3822" spans="1:15" x14ac:dyDescent="0.4">
      <c r="A3822">
        <v>2006</v>
      </c>
      <c r="B3822" s="2" t="s">
        <v>458</v>
      </c>
      <c r="C3822" s="2" t="s">
        <v>716</v>
      </c>
      <c r="D3822" s="2" t="s">
        <v>129</v>
      </c>
      <c r="E3822" s="70" t="s">
        <v>128</v>
      </c>
      <c r="F3822" s="29">
        <v>19</v>
      </c>
      <c r="G3822" s="29">
        <v>12</v>
      </c>
      <c r="H3822" s="33">
        <v>7</v>
      </c>
      <c r="M3822" s="2"/>
      <c r="N3822" s="2"/>
      <c r="O3822" s="2"/>
    </row>
    <row r="3823" spans="1:15" x14ac:dyDescent="0.4">
      <c r="A3823">
        <v>2006</v>
      </c>
      <c r="B3823" s="2" t="s">
        <v>459</v>
      </c>
      <c r="C3823" s="2" t="s">
        <v>716</v>
      </c>
      <c r="D3823" s="2" t="s">
        <v>129</v>
      </c>
      <c r="E3823" s="70" t="s">
        <v>36</v>
      </c>
      <c r="F3823" s="29">
        <v>6</v>
      </c>
      <c r="G3823" s="29">
        <v>4</v>
      </c>
      <c r="H3823" s="33">
        <v>2</v>
      </c>
      <c r="M3823" s="2"/>
      <c r="N3823" s="2"/>
      <c r="O3823" s="2"/>
    </row>
    <row r="3824" spans="1:15" x14ac:dyDescent="0.4">
      <c r="A3824">
        <v>2006</v>
      </c>
      <c r="B3824" s="2" t="s">
        <v>460</v>
      </c>
      <c r="C3824" s="2" t="s">
        <v>716</v>
      </c>
      <c r="D3824" s="2" t="s">
        <v>129</v>
      </c>
      <c r="E3824" s="70" t="s">
        <v>130</v>
      </c>
      <c r="F3824" s="29">
        <v>54</v>
      </c>
      <c r="G3824" s="29">
        <v>34</v>
      </c>
      <c r="H3824" s="33">
        <v>20</v>
      </c>
      <c r="M3824" s="2"/>
      <c r="N3824" s="2"/>
      <c r="O3824" s="2"/>
    </row>
    <row r="3825" spans="1:15" x14ac:dyDescent="0.4">
      <c r="A3825">
        <v>2006</v>
      </c>
      <c r="B3825" s="2" t="s">
        <v>461</v>
      </c>
      <c r="C3825" s="2" t="s">
        <v>716</v>
      </c>
      <c r="D3825" s="2" t="s">
        <v>129</v>
      </c>
      <c r="E3825" s="70" t="s">
        <v>131</v>
      </c>
      <c r="F3825" s="29">
        <v>29</v>
      </c>
      <c r="G3825" s="29">
        <v>20</v>
      </c>
      <c r="H3825" s="33">
        <v>9</v>
      </c>
      <c r="M3825" s="2"/>
      <c r="N3825" s="2"/>
      <c r="O3825" s="2"/>
    </row>
    <row r="3826" spans="1:15" x14ac:dyDescent="0.4">
      <c r="A3826">
        <v>2006</v>
      </c>
      <c r="B3826" s="2" t="s">
        <v>462</v>
      </c>
      <c r="C3826" s="2" t="s">
        <v>716</v>
      </c>
      <c r="D3826" s="2" t="s">
        <v>129</v>
      </c>
      <c r="E3826" s="70" t="s">
        <v>132</v>
      </c>
      <c r="F3826" s="29">
        <v>964</v>
      </c>
      <c r="G3826" s="29">
        <v>589</v>
      </c>
      <c r="H3826" s="33">
        <v>375</v>
      </c>
      <c r="M3826" s="2"/>
      <c r="N3826" s="2"/>
      <c r="O3826" s="2"/>
    </row>
    <row r="3827" spans="1:15" x14ac:dyDescent="0.4">
      <c r="A3827">
        <v>2006</v>
      </c>
      <c r="B3827" s="2" t="s">
        <v>463</v>
      </c>
      <c r="C3827" s="2" t="s">
        <v>716</v>
      </c>
      <c r="D3827" s="2" t="s">
        <v>129</v>
      </c>
      <c r="E3827" s="70" t="s">
        <v>133</v>
      </c>
      <c r="F3827" s="29">
        <v>69</v>
      </c>
      <c r="G3827" s="29">
        <v>40</v>
      </c>
      <c r="H3827" s="33">
        <v>29</v>
      </c>
      <c r="M3827" s="2"/>
      <c r="N3827" s="2"/>
      <c r="O3827" s="2"/>
    </row>
    <row r="3828" spans="1:15" x14ac:dyDescent="0.4">
      <c r="A3828">
        <v>2006</v>
      </c>
      <c r="B3828" s="2" t="s">
        <v>464</v>
      </c>
      <c r="C3828" s="2" t="s">
        <v>716</v>
      </c>
      <c r="D3828" s="2" t="s">
        <v>129</v>
      </c>
      <c r="E3828" s="70" t="s">
        <v>134</v>
      </c>
      <c r="F3828" s="29">
        <v>50</v>
      </c>
      <c r="G3828" s="29">
        <v>31</v>
      </c>
      <c r="H3828" s="33">
        <v>19</v>
      </c>
      <c r="M3828" s="2"/>
      <c r="N3828" s="2"/>
      <c r="O3828" s="2"/>
    </row>
    <row r="3829" spans="1:15" x14ac:dyDescent="0.4">
      <c r="A3829">
        <v>2006</v>
      </c>
      <c r="B3829" s="2" t="s">
        <v>465</v>
      </c>
      <c r="C3829" s="2" t="s">
        <v>716</v>
      </c>
      <c r="D3829" s="2" t="s">
        <v>129</v>
      </c>
      <c r="E3829" s="70" t="s">
        <v>135</v>
      </c>
      <c r="F3829" s="29">
        <v>8</v>
      </c>
      <c r="G3829" s="29">
        <v>4</v>
      </c>
      <c r="H3829" s="33">
        <v>4</v>
      </c>
      <c r="M3829" s="2"/>
      <c r="N3829" s="2"/>
      <c r="O3829" s="2"/>
    </row>
    <row r="3830" spans="1:15" x14ac:dyDescent="0.4">
      <c r="A3830">
        <v>2006</v>
      </c>
      <c r="B3830" s="2" t="s">
        <v>466</v>
      </c>
      <c r="C3830" s="2" t="s">
        <v>716</v>
      </c>
      <c r="D3830" s="2" t="s">
        <v>129</v>
      </c>
      <c r="E3830" s="70" t="s">
        <v>94</v>
      </c>
      <c r="F3830" s="29">
        <v>107</v>
      </c>
      <c r="G3830" s="29">
        <v>58</v>
      </c>
      <c r="H3830" s="33">
        <v>49</v>
      </c>
      <c r="M3830" s="2"/>
      <c r="N3830" s="2"/>
      <c r="O3830" s="2"/>
    </row>
    <row r="3831" spans="1:15" x14ac:dyDescent="0.4">
      <c r="A3831">
        <v>2006</v>
      </c>
      <c r="B3831" s="2" t="s">
        <v>467</v>
      </c>
      <c r="C3831" s="2" t="s">
        <v>716</v>
      </c>
      <c r="D3831" s="2" t="s">
        <v>129</v>
      </c>
      <c r="E3831" s="70" t="s">
        <v>136</v>
      </c>
      <c r="F3831" s="29">
        <v>71</v>
      </c>
      <c r="G3831" s="29">
        <v>38</v>
      </c>
      <c r="H3831" s="33">
        <v>33</v>
      </c>
      <c r="M3831" s="2"/>
      <c r="N3831" s="2"/>
      <c r="O3831" s="2"/>
    </row>
    <row r="3832" spans="1:15" x14ac:dyDescent="0.4">
      <c r="A3832">
        <v>2006</v>
      </c>
      <c r="B3832" s="2" t="s">
        <v>468</v>
      </c>
      <c r="C3832" s="2" t="s">
        <v>716</v>
      </c>
      <c r="D3832" s="2" t="s">
        <v>129</v>
      </c>
      <c r="E3832" s="70" t="s">
        <v>137</v>
      </c>
      <c r="F3832" s="29">
        <v>2</v>
      </c>
      <c r="G3832" s="29">
        <v>2</v>
      </c>
      <c r="H3832" s="33">
        <v>0</v>
      </c>
      <c r="M3832" s="2"/>
      <c r="N3832" s="2"/>
      <c r="O3832" s="2"/>
    </row>
    <row r="3833" spans="1:15" x14ac:dyDescent="0.4">
      <c r="A3833">
        <v>2006</v>
      </c>
      <c r="B3833" s="2" t="s">
        <v>469</v>
      </c>
      <c r="C3833" s="2" t="s">
        <v>716</v>
      </c>
      <c r="D3833" s="2" t="s">
        <v>129</v>
      </c>
      <c r="E3833" s="70" t="s">
        <v>138</v>
      </c>
      <c r="F3833" s="29">
        <v>111</v>
      </c>
      <c r="G3833" s="29">
        <v>75</v>
      </c>
      <c r="H3833" s="33">
        <v>36</v>
      </c>
      <c r="M3833" s="2"/>
      <c r="N3833" s="2"/>
      <c r="O3833" s="2"/>
    </row>
    <row r="3834" spans="1:15" x14ac:dyDescent="0.4">
      <c r="A3834">
        <v>2006</v>
      </c>
      <c r="B3834" s="2" t="s">
        <v>470</v>
      </c>
      <c r="C3834" s="2" t="s">
        <v>716</v>
      </c>
      <c r="D3834" s="2" t="s">
        <v>129</v>
      </c>
      <c r="E3834" s="70" t="s">
        <v>139</v>
      </c>
      <c r="F3834" s="29">
        <v>77</v>
      </c>
      <c r="G3834" s="29">
        <v>51</v>
      </c>
      <c r="H3834" s="33">
        <v>26</v>
      </c>
      <c r="M3834" s="2"/>
      <c r="N3834" s="2"/>
      <c r="O3834" s="2"/>
    </row>
    <row r="3835" spans="1:15" x14ac:dyDescent="0.4">
      <c r="A3835">
        <v>2006</v>
      </c>
      <c r="B3835" s="2" t="s">
        <v>471</v>
      </c>
      <c r="C3835" s="2" t="s">
        <v>716</v>
      </c>
      <c r="D3835" s="2" t="s">
        <v>129</v>
      </c>
      <c r="E3835" s="70" t="s">
        <v>85</v>
      </c>
      <c r="F3835" s="29">
        <v>1204</v>
      </c>
      <c r="G3835" s="29">
        <v>689</v>
      </c>
      <c r="H3835" s="33">
        <v>515</v>
      </c>
      <c r="M3835" s="2"/>
      <c r="N3835" s="2"/>
      <c r="O3835" s="2"/>
    </row>
    <row r="3836" spans="1:15" x14ac:dyDescent="0.4">
      <c r="A3836">
        <v>2006</v>
      </c>
      <c r="B3836" s="2" t="s">
        <v>472</v>
      </c>
      <c r="C3836" s="2" t="s">
        <v>716</v>
      </c>
      <c r="D3836" s="2" t="s">
        <v>129</v>
      </c>
      <c r="E3836" s="70" t="s">
        <v>140</v>
      </c>
      <c r="F3836" s="29">
        <v>61</v>
      </c>
      <c r="G3836" s="29">
        <v>39</v>
      </c>
      <c r="H3836" s="33">
        <v>22</v>
      </c>
      <c r="M3836" s="2"/>
      <c r="N3836" s="2"/>
      <c r="O3836" s="2"/>
    </row>
    <row r="3837" spans="1:15" x14ac:dyDescent="0.4">
      <c r="A3837">
        <v>2006</v>
      </c>
      <c r="B3837" s="2" t="s">
        <v>473</v>
      </c>
      <c r="C3837" s="2" t="s">
        <v>716</v>
      </c>
      <c r="D3837" s="2" t="s">
        <v>129</v>
      </c>
      <c r="E3837" s="70" t="s">
        <v>141</v>
      </c>
      <c r="F3837" s="29">
        <v>2</v>
      </c>
      <c r="G3837" s="29">
        <v>1</v>
      </c>
      <c r="H3837" s="33">
        <v>1</v>
      </c>
      <c r="M3837" s="2"/>
      <c r="N3837" s="2"/>
      <c r="O3837" s="2"/>
    </row>
    <row r="3838" spans="1:15" x14ac:dyDescent="0.4">
      <c r="A3838">
        <v>2006</v>
      </c>
      <c r="B3838" s="2" t="s">
        <v>474</v>
      </c>
      <c r="C3838" s="2" t="s">
        <v>716</v>
      </c>
      <c r="D3838" s="2" t="s">
        <v>129</v>
      </c>
      <c r="E3838" s="70" t="s">
        <v>143</v>
      </c>
      <c r="F3838" s="29">
        <v>6</v>
      </c>
      <c r="G3838" s="29">
        <v>4</v>
      </c>
      <c r="H3838" s="33">
        <v>2</v>
      </c>
      <c r="M3838" s="2"/>
      <c r="N3838" s="2"/>
      <c r="O3838" s="2"/>
    </row>
    <row r="3839" spans="1:15" x14ac:dyDescent="0.4">
      <c r="A3839">
        <v>2006</v>
      </c>
      <c r="B3839" s="2" t="s">
        <v>475</v>
      </c>
      <c r="C3839" s="2" t="s">
        <v>716</v>
      </c>
      <c r="D3839" s="2" t="s">
        <v>129</v>
      </c>
      <c r="E3839" s="70" t="s">
        <v>21</v>
      </c>
      <c r="F3839" s="29">
        <v>23</v>
      </c>
      <c r="G3839" s="29">
        <v>15</v>
      </c>
      <c r="H3839" s="33">
        <v>8</v>
      </c>
      <c r="M3839" s="2"/>
      <c r="N3839" s="2"/>
      <c r="O3839" s="2"/>
    </row>
    <row r="3840" spans="1:15" x14ac:dyDescent="0.4">
      <c r="A3840">
        <v>2006</v>
      </c>
      <c r="B3840" s="2" t="s">
        <v>476</v>
      </c>
      <c r="C3840" s="2" t="s">
        <v>716</v>
      </c>
      <c r="D3840" s="2" t="s">
        <v>129</v>
      </c>
      <c r="E3840" s="70" t="s">
        <v>144</v>
      </c>
      <c r="F3840" s="29">
        <v>39</v>
      </c>
      <c r="G3840" s="29">
        <v>22</v>
      </c>
      <c r="H3840" s="33">
        <v>17</v>
      </c>
      <c r="M3840" s="2"/>
      <c r="N3840" s="2"/>
      <c r="O3840" s="2"/>
    </row>
    <row r="3841" spans="1:15" x14ac:dyDescent="0.4">
      <c r="A3841">
        <v>2006</v>
      </c>
      <c r="B3841" s="2" t="s">
        <v>477</v>
      </c>
      <c r="C3841" s="2" t="s">
        <v>716</v>
      </c>
      <c r="D3841" s="2" t="s">
        <v>129</v>
      </c>
      <c r="E3841" s="70" t="s">
        <v>145</v>
      </c>
      <c r="F3841" s="29">
        <v>141</v>
      </c>
      <c r="G3841" s="29">
        <v>102</v>
      </c>
      <c r="H3841" s="33">
        <v>39</v>
      </c>
      <c r="M3841" s="2"/>
      <c r="N3841" s="2"/>
      <c r="O3841" s="2"/>
    </row>
    <row r="3842" spans="1:15" x14ac:dyDescent="0.4">
      <c r="A3842">
        <v>2006</v>
      </c>
      <c r="B3842" s="2" t="s">
        <v>478</v>
      </c>
      <c r="C3842" s="2" t="s">
        <v>716</v>
      </c>
      <c r="D3842" s="2" t="s">
        <v>129</v>
      </c>
      <c r="E3842" s="70" t="s">
        <v>51</v>
      </c>
      <c r="F3842" s="29">
        <v>0</v>
      </c>
      <c r="G3842" s="29">
        <v>0</v>
      </c>
      <c r="H3842" s="33">
        <v>0</v>
      </c>
      <c r="M3842" s="2"/>
      <c r="N3842" s="2"/>
      <c r="O3842" s="2"/>
    </row>
    <row r="3843" spans="1:15" x14ac:dyDescent="0.4">
      <c r="A3843">
        <v>2006</v>
      </c>
      <c r="B3843" s="2" t="s">
        <v>479</v>
      </c>
      <c r="C3843" s="2" t="s">
        <v>716</v>
      </c>
      <c r="D3843" s="2" t="s">
        <v>129</v>
      </c>
      <c r="E3843" s="70" t="s">
        <v>146</v>
      </c>
      <c r="F3843" s="29">
        <v>16</v>
      </c>
      <c r="G3843" s="29">
        <v>11</v>
      </c>
      <c r="H3843" s="33">
        <v>5</v>
      </c>
      <c r="M3843" s="2"/>
      <c r="N3843" s="2"/>
      <c r="O3843" s="2"/>
    </row>
    <row r="3844" spans="1:15" x14ac:dyDescent="0.4">
      <c r="A3844">
        <v>2006</v>
      </c>
      <c r="B3844" s="2" t="s">
        <v>480</v>
      </c>
      <c r="C3844" s="2" t="s">
        <v>716</v>
      </c>
      <c r="D3844" s="2" t="s">
        <v>129</v>
      </c>
      <c r="E3844" s="70" t="s">
        <v>147</v>
      </c>
      <c r="F3844" s="29">
        <v>19</v>
      </c>
      <c r="G3844" s="29">
        <v>9</v>
      </c>
      <c r="H3844" s="33">
        <v>10</v>
      </c>
      <c r="M3844" s="2"/>
      <c r="N3844" s="2"/>
      <c r="O3844" s="2"/>
    </row>
    <row r="3845" spans="1:15" x14ac:dyDescent="0.4">
      <c r="A3845">
        <v>2006</v>
      </c>
      <c r="B3845" s="2" t="s">
        <v>481</v>
      </c>
      <c r="C3845" s="2" t="s">
        <v>716</v>
      </c>
      <c r="D3845" s="2" t="s">
        <v>129</v>
      </c>
      <c r="E3845" s="70" t="s">
        <v>148</v>
      </c>
      <c r="F3845" s="29">
        <v>9</v>
      </c>
      <c r="G3845" s="29">
        <v>4</v>
      </c>
      <c r="H3845" s="33">
        <v>5</v>
      </c>
      <c r="M3845" s="2"/>
      <c r="N3845" s="2"/>
      <c r="O3845" s="2"/>
    </row>
    <row r="3846" spans="1:15" x14ac:dyDescent="0.4">
      <c r="A3846">
        <v>2006</v>
      </c>
      <c r="B3846" s="2" t="s">
        <v>482</v>
      </c>
      <c r="C3846" s="2" t="s">
        <v>716</v>
      </c>
      <c r="D3846" s="2" t="s">
        <v>129</v>
      </c>
      <c r="E3846" s="70" t="s">
        <v>54</v>
      </c>
      <c r="F3846" s="29">
        <v>87</v>
      </c>
      <c r="G3846" s="29">
        <v>54</v>
      </c>
      <c r="H3846" s="33">
        <v>33</v>
      </c>
      <c r="M3846" s="2"/>
      <c r="N3846" s="2"/>
      <c r="O3846" s="2"/>
    </row>
    <row r="3847" spans="1:15" x14ac:dyDescent="0.4">
      <c r="A3847">
        <v>2006</v>
      </c>
      <c r="B3847" s="2" t="s">
        <v>483</v>
      </c>
      <c r="C3847" s="2" t="s">
        <v>717</v>
      </c>
      <c r="D3847" s="2" t="s">
        <v>150</v>
      </c>
      <c r="E3847" s="70" t="s">
        <v>149</v>
      </c>
      <c r="F3847" s="29">
        <v>60</v>
      </c>
      <c r="G3847" s="29">
        <v>33</v>
      </c>
      <c r="H3847" s="33">
        <v>27</v>
      </c>
      <c r="M3847" s="2"/>
      <c r="N3847" s="2"/>
      <c r="O3847" s="2"/>
    </row>
    <row r="3848" spans="1:15" x14ac:dyDescent="0.4">
      <c r="A3848">
        <v>2006</v>
      </c>
      <c r="B3848" s="2" t="s">
        <v>484</v>
      </c>
      <c r="C3848" s="2" t="s">
        <v>717</v>
      </c>
      <c r="D3848" s="2" t="s">
        <v>150</v>
      </c>
      <c r="E3848" s="70" t="s">
        <v>151</v>
      </c>
      <c r="F3848" s="29">
        <v>41</v>
      </c>
      <c r="G3848" s="29">
        <v>27</v>
      </c>
      <c r="H3848" s="33">
        <v>14</v>
      </c>
      <c r="M3848" s="2"/>
      <c r="N3848" s="2"/>
      <c r="O3848" s="2"/>
    </row>
    <row r="3849" spans="1:15" x14ac:dyDescent="0.4">
      <c r="A3849">
        <v>2006</v>
      </c>
      <c r="B3849" s="2" t="s">
        <v>485</v>
      </c>
      <c r="C3849" s="2" t="s">
        <v>717</v>
      </c>
      <c r="D3849" s="2" t="s">
        <v>150</v>
      </c>
      <c r="E3849" s="70" t="s">
        <v>152</v>
      </c>
      <c r="F3849" s="29">
        <v>36</v>
      </c>
      <c r="G3849" s="29">
        <v>23</v>
      </c>
      <c r="H3849" s="33">
        <v>13</v>
      </c>
      <c r="M3849" s="2"/>
      <c r="N3849" s="2"/>
      <c r="O3849" s="2"/>
    </row>
    <row r="3850" spans="1:15" x14ac:dyDescent="0.4">
      <c r="A3850">
        <v>2006</v>
      </c>
      <c r="B3850" s="2" t="s">
        <v>486</v>
      </c>
      <c r="C3850" s="2" t="s">
        <v>717</v>
      </c>
      <c r="D3850" s="2" t="s">
        <v>150</v>
      </c>
      <c r="E3850" s="70" t="s">
        <v>153</v>
      </c>
      <c r="F3850" s="29">
        <v>19</v>
      </c>
      <c r="G3850" s="29">
        <v>13</v>
      </c>
      <c r="H3850" s="33">
        <v>6</v>
      </c>
      <c r="M3850" s="2"/>
      <c r="N3850" s="2"/>
      <c r="O3850" s="2"/>
    </row>
    <row r="3851" spans="1:15" x14ac:dyDescent="0.4">
      <c r="A3851">
        <v>2006</v>
      </c>
      <c r="B3851" s="2" t="s">
        <v>487</v>
      </c>
      <c r="C3851" s="2" t="s">
        <v>717</v>
      </c>
      <c r="D3851" s="2" t="s">
        <v>150</v>
      </c>
      <c r="E3851" s="70" t="s">
        <v>154</v>
      </c>
      <c r="F3851" s="29">
        <v>747</v>
      </c>
      <c r="G3851" s="29">
        <v>479</v>
      </c>
      <c r="H3851" s="33">
        <v>268</v>
      </c>
      <c r="M3851" s="2"/>
      <c r="N3851" s="2"/>
      <c r="O3851" s="2"/>
    </row>
    <row r="3852" spans="1:15" x14ac:dyDescent="0.4">
      <c r="A3852">
        <v>2006</v>
      </c>
      <c r="B3852" s="2" t="s">
        <v>488</v>
      </c>
      <c r="C3852" s="2" t="s">
        <v>717</v>
      </c>
      <c r="D3852" s="2" t="s">
        <v>150</v>
      </c>
      <c r="E3852" s="70" t="s">
        <v>155</v>
      </c>
      <c r="F3852" s="29">
        <v>80</v>
      </c>
      <c r="G3852" s="29">
        <v>48</v>
      </c>
      <c r="H3852" s="33">
        <v>32</v>
      </c>
      <c r="M3852" s="2"/>
      <c r="N3852" s="2"/>
      <c r="O3852" s="2"/>
    </row>
    <row r="3853" spans="1:15" x14ac:dyDescent="0.4">
      <c r="A3853">
        <v>2006</v>
      </c>
      <c r="B3853" s="2" t="s">
        <v>489</v>
      </c>
      <c r="C3853" s="2" t="s">
        <v>717</v>
      </c>
      <c r="D3853" s="2" t="s">
        <v>150</v>
      </c>
      <c r="E3853" s="70" t="s">
        <v>156</v>
      </c>
      <c r="F3853" s="29">
        <v>100</v>
      </c>
      <c r="G3853" s="29">
        <v>59</v>
      </c>
      <c r="H3853" s="33">
        <v>41</v>
      </c>
      <c r="M3853" s="2"/>
      <c r="N3853" s="2"/>
      <c r="O3853" s="2"/>
    </row>
    <row r="3854" spans="1:15" x14ac:dyDescent="0.4">
      <c r="A3854">
        <v>2006</v>
      </c>
      <c r="B3854" s="2" t="s">
        <v>490</v>
      </c>
      <c r="C3854" s="2" t="s">
        <v>717</v>
      </c>
      <c r="D3854" s="2" t="s">
        <v>150</v>
      </c>
      <c r="E3854" s="70" t="s">
        <v>85</v>
      </c>
      <c r="F3854" s="29">
        <v>560</v>
      </c>
      <c r="G3854" s="29">
        <v>339</v>
      </c>
      <c r="H3854" s="33">
        <v>221</v>
      </c>
      <c r="M3854" s="2"/>
      <c r="N3854" s="2"/>
      <c r="O3854" s="2"/>
    </row>
    <row r="3855" spans="1:15" x14ac:dyDescent="0.4">
      <c r="A3855">
        <v>2006</v>
      </c>
      <c r="B3855" s="2" t="s">
        <v>491</v>
      </c>
      <c r="C3855" s="2" t="s">
        <v>717</v>
      </c>
      <c r="D3855" s="2" t="s">
        <v>150</v>
      </c>
      <c r="E3855" s="70" t="s">
        <v>157</v>
      </c>
      <c r="F3855" s="29">
        <v>326</v>
      </c>
      <c r="G3855" s="29">
        <v>200</v>
      </c>
      <c r="H3855" s="33">
        <v>126</v>
      </c>
      <c r="M3855" s="2"/>
      <c r="N3855" s="2"/>
      <c r="O3855" s="2"/>
    </row>
    <row r="3856" spans="1:15" x14ac:dyDescent="0.4">
      <c r="A3856">
        <v>2006</v>
      </c>
      <c r="B3856" s="2" t="s">
        <v>492</v>
      </c>
      <c r="C3856" s="2" t="s">
        <v>717</v>
      </c>
      <c r="D3856" s="2" t="s">
        <v>150</v>
      </c>
      <c r="E3856" s="70" t="s">
        <v>158</v>
      </c>
      <c r="F3856" s="29">
        <v>87</v>
      </c>
      <c r="G3856" s="29">
        <v>59</v>
      </c>
      <c r="H3856" s="33">
        <v>28</v>
      </c>
      <c r="M3856" s="2"/>
      <c r="N3856" s="2"/>
      <c r="O3856" s="2"/>
    </row>
    <row r="3857" spans="1:15" x14ac:dyDescent="0.4">
      <c r="A3857">
        <v>2006</v>
      </c>
      <c r="B3857" s="2" t="s">
        <v>493</v>
      </c>
      <c r="C3857" s="2" t="s">
        <v>717</v>
      </c>
      <c r="D3857" s="2" t="s">
        <v>150</v>
      </c>
      <c r="E3857" s="70" t="s">
        <v>159</v>
      </c>
      <c r="F3857" s="29">
        <v>71</v>
      </c>
      <c r="G3857" s="29">
        <v>42</v>
      </c>
      <c r="H3857" s="33">
        <v>29</v>
      </c>
      <c r="M3857" s="2"/>
      <c r="N3857" s="2"/>
      <c r="O3857" s="2"/>
    </row>
    <row r="3858" spans="1:15" x14ac:dyDescent="0.4">
      <c r="A3858">
        <v>2006</v>
      </c>
      <c r="B3858" s="2" t="s">
        <v>494</v>
      </c>
      <c r="C3858" s="2" t="s">
        <v>717</v>
      </c>
      <c r="D3858" s="2" t="s">
        <v>150</v>
      </c>
      <c r="E3858" s="70" t="s">
        <v>76</v>
      </c>
      <c r="F3858" s="29">
        <v>909</v>
      </c>
      <c r="G3858" s="29">
        <v>572</v>
      </c>
      <c r="H3858" s="33">
        <v>337</v>
      </c>
      <c r="M3858" s="2"/>
      <c r="N3858" s="2"/>
      <c r="O3858" s="2"/>
    </row>
    <row r="3859" spans="1:15" x14ac:dyDescent="0.4">
      <c r="A3859">
        <v>2006</v>
      </c>
      <c r="B3859" s="2" t="s">
        <v>495</v>
      </c>
      <c r="C3859" s="2" t="s">
        <v>717</v>
      </c>
      <c r="D3859" s="2" t="s">
        <v>150</v>
      </c>
      <c r="E3859" s="70" t="s">
        <v>160</v>
      </c>
      <c r="F3859" s="29">
        <v>19</v>
      </c>
      <c r="G3859" s="29">
        <v>12</v>
      </c>
      <c r="H3859" s="33">
        <v>7</v>
      </c>
      <c r="M3859" s="2"/>
      <c r="N3859" s="2"/>
      <c r="O3859" s="2"/>
    </row>
    <row r="3860" spans="1:15" x14ac:dyDescent="0.4">
      <c r="A3860">
        <v>2006</v>
      </c>
      <c r="B3860" s="2" t="s">
        <v>496</v>
      </c>
      <c r="C3860" s="2" t="s">
        <v>717</v>
      </c>
      <c r="D3860" s="2" t="s">
        <v>150</v>
      </c>
      <c r="E3860" s="70" t="s">
        <v>161</v>
      </c>
      <c r="F3860" s="29">
        <v>30</v>
      </c>
      <c r="G3860" s="29">
        <v>22</v>
      </c>
      <c r="H3860" s="33">
        <v>8</v>
      </c>
      <c r="M3860" s="2"/>
      <c r="N3860" s="2"/>
      <c r="O3860" s="2"/>
    </row>
    <row r="3861" spans="1:15" x14ac:dyDescent="0.4">
      <c r="A3861">
        <v>2006</v>
      </c>
      <c r="B3861" s="2" t="s">
        <v>497</v>
      </c>
      <c r="C3861" s="2" t="s">
        <v>717</v>
      </c>
      <c r="D3861" s="2" t="s">
        <v>150</v>
      </c>
      <c r="E3861" s="70" t="s">
        <v>162</v>
      </c>
      <c r="F3861" s="29">
        <v>176</v>
      </c>
      <c r="G3861" s="29">
        <v>116</v>
      </c>
      <c r="H3861" s="33">
        <v>60</v>
      </c>
      <c r="M3861" s="2"/>
      <c r="N3861" s="2"/>
      <c r="O3861" s="2"/>
    </row>
    <row r="3862" spans="1:15" x14ac:dyDescent="0.4">
      <c r="A3862">
        <v>2006</v>
      </c>
      <c r="B3862" s="2" t="s">
        <v>498</v>
      </c>
      <c r="C3862" s="2" t="s">
        <v>718</v>
      </c>
      <c r="D3862" s="2" t="s">
        <v>164</v>
      </c>
      <c r="E3862" s="70" t="s">
        <v>163</v>
      </c>
      <c r="F3862" s="29">
        <v>98</v>
      </c>
      <c r="G3862" s="29">
        <v>67</v>
      </c>
      <c r="H3862" s="33">
        <v>31</v>
      </c>
      <c r="M3862" s="2"/>
      <c r="N3862" s="2"/>
      <c r="O3862" s="2"/>
    </row>
    <row r="3863" spans="1:15" x14ac:dyDescent="0.4">
      <c r="A3863">
        <v>2006</v>
      </c>
      <c r="B3863" s="2" t="s">
        <v>499</v>
      </c>
      <c r="C3863" s="2" t="s">
        <v>718</v>
      </c>
      <c r="D3863" s="2" t="s">
        <v>164</v>
      </c>
      <c r="E3863" s="70" t="s">
        <v>165</v>
      </c>
      <c r="F3863" s="29">
        <v>104</v>
      </c>
      <c r="G3863" s="29">
        <v>61</v>
      </c>
      <c r="H3863" s="33">
        <v>43</v>
      </c>
      <c r="M3863" s="2"/>
      <c r="N3863" s="2"/>
      <c r="O3863" s="2"/>
    </row>
    <row r="3864" spans="1:15" x14ac:dyDescent="0.4">
      <c r="A3864">
        <v>2006</v>
      </c>
      <c r="B3864" s="2" t="s">
        <v>500</v>
      </c>
      <c r="C3864" s="2" t="s">
        <v>718</v>
      </c>
      <c r="D3864" s="2" t="s">
        <v>164</v>
      </c>
      <c r="E3864" s="70" t="s">
        <v>166</v>
      </c>
      <c r="F3864" s="29">
        <v>5848</v>
      </c>
      <c r="G3864" s="29">
        <v>3356</v>
      </c>
      <c r="H3864" s="33">
        <v>2492</v>
      </c>
      <c r="M3864" s="2"/>
      <c r="N3864" s="2"/>
      <c r="O3864" s="2"/>
    </row>
    <row r="3865" spans="1:15" x14ac:dyDescent="0.4">
      <c r="A3865">
        <v>2006</v>
      </c>
      <c r="B3865" s="2" t="s">
        <v>501</v>
      </c>
      <c r="C3865" s="2" t="s">
        <v>718</v>
      </c>
      <c r="D3865" s="2" t="s">
        <v>164</v>
      </c>
      <c r="E3865" s="70" t="s">
        <v>167</v>
      </c>
      <c r="F3865" s="29">
        <v>269</v>
      </c>
      <c r="G3865" s="29">
        <v>168</v>
      </c>
      <c r="H3865" s="33">
        <v>101</v>
      </c>
      <c r="M3865" s="2"/>
      <c r="N3865" s="2"/>
      <c r="O3865" s="2"/>
    </row>
    <row r="3866" spans="1:15" x14ac:dyDescent="0.4">
      <c r="A3866">
        <v>2006</v>
      </c>
      <c r="B3866" s="2" t="s">
        <v>502</v>
      </c>
      <c r="C3866" s="2" t="s">
        <v>718</v>
      </c>
      <c r="D3866" s="2" t="s">
        <v>164</v>
      </c>
      <c r="E3866" s="70" t="s">
        <v>168</v>
      </c>
      <c r="F3866" s="29">
        <v>352</v>
      </c>
      <c r="G3866" s="29">
        <v>205</v>
      </c>
      <c r="H3866" s="33">
        <v>147</v>
      </c>
      <c r="M3866" s="2"/>
      <c r="N3866" s="2"/>
      <c r="O3866" s="2"/>
    </row>
    <row r="3867" spans="1:15" x14ac:dyDescent="0.4">
      <c r="A3867">
        <v>2006</v>
      </c>
      <c r="B3867" s="2" t="s">
        <v>503</v>
      </c>
      <c r="C3867" s="2" t="s">
        <v>718</v>
      </c>
      <c r="D3867" s="2" t="s">
        <v>164</v>
      </c>
      <c r="E3867" s="70" t="s">
        <v>169</v>
      </c>
      <c r="F3867" s="29">
        <v>292</v>
      </c>
      <c r="G3867" s="29">
        <v>164</v>
      </c>
      <c r="H3867" s="33">
        <v>128</v>
      </c>
      <c r="M3867" s="2"/>
      <c r="N3867" s="2"/>
      <c r="O3867" s="2"/>
    </row>
    <row r="3868" spans="1:15" x14ac:dyDescent="0.4">
      <c r="A3868">
        <v>2006</v>
      </c>
      <c r="B3868" s="2" t="s">
        <v>504</v>
      </c>
      <c r="C3868" s="2" t="s">
        <v>718</v>
      </c>
      <c r="D3868" s="2" t="s">
        <v>164</v>
      </c>
      <c r="E3868" s="70" t="s">
        <v>170</v>
      </c>
      <c r="F3868" s="29">
        <v>75</v>
      </c>
      <c r="G3868" s="29">
        <v>49</v>
      </c>
      <c r="H3868" s="33">
        <v>26</v>
      </c>
      <c r="M3868" s="2"/>
      <c r="N3868" s="2"/>
      <c r="O3868" s="2"/>
    </row>
    <row r="3869" spans="1:15" x14ac:dyDescent="0.4">
      <c r="A3869">
        <v>2006</v>
      </c>
      <c r="B3869" s="2" t="s">
        <v>505</v>
      </c>
      <c r="C3869" s="2" t="s">
        <v>718</v>
      </c>
      <c r="D3869" s="2" t="s">
        <v>164</v>
      </c>
      <c r="E3869" s="70" t="s">
        <v>171</v>
      </c>
      <c r="F3869" s="29">
        <v>698</v>
      </c>
      <c r="G3869" s="29">
        <v>393</v>
      </c>
      <c r="H3869" s="33">
        <v>305</v>
      </c>
      <c r="M3869" s="2"/>
      <c r="N3869" s="2"/>
      <c r="O3869" s="2"/>
    </row>
    <row r="3870" spans="1:15" x14ac:dyDescent="0.4">
      <c r="A3870">
        <v>2006</v>
      </c>
      <c r="B3870" s="2" t="s">
        <v>506</v>
      </c>
      <c r="C3870" s="2" t="s">
        <v>718</v>
      </c>
      <c r="D3870" s="2" t="s">
        <v>164</v>
      </c>
      <c r="E3870" s="70" t="s">
        <v>53</v>
      </c>
      <c r="F3870" s="29">
        <v>163</v>
      </c>
      <c r="G3870" s="29">
        <v>94</v>
      </c>
      <c r="H3870" s="33">
        <v>69</v>
      </c>
      <c r="M3870" s="2"/>
      <c r="N3870" s="2"/>
      <c r="O3870" s="2"/>
    </row>
    <row r="3871" spans="1:15" x14ac:dyDescent="0.4">
      <c r="A3871">
        <v>2006</v>
      </c>
      <c r="B3871" s="2" t="s">
        <v>507</v>
      </c>
      <c r="C3871" s="2" t="s">
        <v>719</v>
      </c>
      <c r="D3871" s="2" t="s">
        <v>173</v>
      </c>
      <c r="E3871" s="70" t="s">
        <v>172</v>
      </c>
      <c r="F3871" s="29">
        <v>513</v>
      </c>
      <c r="G3871" s="29">
        <v>327</v>
      </c>
      <c r="H3871" s="33">
        <v>186</v>
      </c>
      <c r="M3871" s="2"/>
      <c r="N3871" s="2"/>
      <c r="O3871" s="2"/>
    </row>
    <row r="3872" spans="1:15" x14ac:dyDescent="0.4">
      <c r="A3872">
        <v>2006</v>
      </c>
      <c r="B3872" s="2" t="s">
        <v>508</v>
      </c>
      <c r="C3872" s="2" t="s">
        <v>719</v>
      </c>
      <c r="D3872" s="2" t="s">
        <v>173</v>
      </c>
      <c r="E3872" s="70" t="s">
        <v>174</v>
      </c>
      <c r="F3872" s="29">
        <v>46</v>
      </c>
      <c r="G3872" s="29">
        <v>30</v>
      </c>
      <c r="H3872" s="33">
        <v>16</v>
      </c>
      <c r="M3872" s="2"/>
      <c r="N3872" s="2"/>
      <c r="O3872" s="2"/>
    </row>
    <row r="3873" spans="1:15" x14ac:dyDescent="0.4">
      <c r="A3873">
        <v>2006</v>
      </c>
      <c r="B3873" s="2" t="s">
        <v>509</v>
      </c>
      <c r="C3873" s="2" t="s">
        <v>719</v>
      </c>
      <c r="D3873" s="2" t="s">
        <v>173</v>
      </c>
      <c r="E3873" s="70" t="s">
        <v>175</v>
      </c>
      <c r="F3873" s="29">
        <v>69</v>
      </c>
      <c r="G3873" s="29">
        <v>45</v>
      </c>
      <c r="H3873" s="33">
        <v>24</v>
      </c>
      <c r="M3873" s="2"/>
      <c r="N3873" s="2"/>
      <c r="O3873" s="2"/>
    </row>
    <row r="3874" spans="1:15" x14ac:dyDescent="0.4">
      <c r="A3874">
        <v>2006</v>
      </c>
      <c r="B3874" s="2" t="s">
        <v>510</v>
      </c>
      <c r="C3874" s="2" t="s">
        <v>719</v>
      </c>
      <c r="D3874" s="2" t="s">
        <v>173</v>
      </c>
      <c r="E3874" s="70" t="s">
        <v>176</v>
      </c>
      <c r="F3874" s="29">
        <v>20</v>
      </c>
      <c r="G3874" s="29">
        <v>11</v>
      </c>
      <c r="H3874" s="33">
        <v>9</v>
      </c>
      <c r="M3874" s="2"/>
      <c r="N3874" s="2"/>
      <c r="O3874" s="2"/>
    </row>
    <row r="3875" spans="1:15" x14ac:dyDescent="0.4">
      <c r="A3875">
        <v>2006</v>
      </c>
      <c r="B3875" s="2" t="s">
        <v>511</v>
      </c>
      <c r="C3875" s="2" t="s">
        <v>719</v>
      </c>
      <c r="D3875" s="2" t="s">
        <v>173</v>
      </c>
      <c r="E3875" s="70" t="s">
        <v>177</v>
      </c>
      <c r="F3875" s="29">
        <v>110</v>
      </c>
      <c r="G3875" s="29">
        <v>65</v>
      </c>
      <c r="H3875" s="33">
        <v>45</v>
      </c>
      <c r="M3875" s="2"/>
      <c r="N3875" s="2"/>
      <c r="O3875" s="2"/>
    </row>
    <row r="3876" spans="1:15" x14ac:dyDescent="0.4">
      <c r="A3876">
        <v>2006</v>
      </c>
      <c r="B3876" s="2" t="s">
        <v>512</v>
      </c>
      <c r="C3876" s="2" t="s">
        <v>719</v>
      </c>
      <c r="D3876" s="2" t="s">
        <v>173</v>
      </c>
      <c r="E3876" s="70" t="s">
        <v>178</v>
      </c>
      <c r="F3876" s="29">
        <v>240</v>
      </c>
      <c r="G3876" s="29">
        <v>158</v>
      </c>
      <c r="H3876" s="33">
        <v>82</v>
      </c>
      <c r="M3876" s="2"/>
      <c r="N3876" s="2"/>
      <c r="O3876" s="2"/>
    </row>
    <row r="3877" spans="1:15" x14ac:dyDescent="0.4">
      <c r="A3877">
        <v>2006</v>
      </c>
      <c r="B3877" s="2" t="s">
        <v>513</v>
      </c>
      <c r="C3877" s="2" t="s">
        <v>719</v>
      </c>
      <c r="D3877" s="2" t="s">
        <v>173</v>
      </c>
      <c r="E3877" s="70" t="s">
        <v>179</v>
      </c>
      <c r="F3877" s="29">
        <v>38</v>
      </c>
      <c r="G3877" s="29">
        <v>24</v>
      </c>
      <c r="H3877" s="33">
        <v>14</v>
      </c>
      <c r="M3877" s="2"/>
      <c r="N3877" s="2"/>
      <c r="O3877" s="2"/>
    </row>
    <row r="3878" spans="1:15" x14ac:dyDescent="0.4">
      <c r="A3878">
        <v>2006</v>
      </c>
      <c r="B3878" s="2" t="s">
        <v>514</v>
      </c>
      <c r="C3878" s="2" t="s">
        <v>719</v>
      </c>
      <c r="D3878" s="2" t="s">
        <v>173</v>
      </c>
      <c r="E3878" s="70" t="s">
        <v>180</v>
      </c>
      <c r="F3878" s="29">
        <v>130</v>
      </c>
      <c r="G3878" s="29">
        <v>78</v>
      </c>
      <c r="H3878" s="33">
        <v>52</v>
      </c>
      <c r="M3878" s="2"/>
      <c r="N3878" s="2"/>
      <c r="O3878" s="2"/>
    </row>
    <row r="3879" spans="1:15" x14ac:dyDescent="0.4">
      <c r="A3879">
        <v>2006</v>
      </c>
      <c r="B3879" s="2" t="s">
        <v>515</v>
      </c>
      <c r="C3879" s="2" t="s">
        <v>719</v>
      </c>
      <c r="D3879" s="2" t="s">
        <v>173</v>
      </c>
      <c r="E3879" s="70" t="s">
        <v>181</v>
      </c>
      <c r="F3879" s="29">
        <v>14</v>
      </c>
      <c r="G3879" s="29">
        <v>6</v>
      </c>
      <c r="H3879" s="33">
        <v>8</v>
      </c>
      <c r="M3879" s="2"/>
      <c r="N3879" s="2"/>
      <c r="O3879" s="2"/>
    </row>
    <row r="3880" spans="1:15" x14ac:dyDescent="0.4">
      <c r="A3880">
        <v>2006</v>
      </c>
      <c r="B3880" s="2" t="s">
        <v>516</v>
      </c>
      <c r="C3880" s="2" t="s">
        <v>719</v>
      </c>
      <c r="D3880" s="2" t="s">
        <v>173</v>
      </c>
      <c r="E3880" s="70" t="s">
        <v>182</v>
      </c>
      <c r="F3880" s="29">
        <v>46</v>
      </c>
      <c r="G3880" s="29">
        <v>25</v>
      </c>
      <c r="H3880" s="33">
        <v>21</v>
      </c>
      <c r="M3880" s="2"/>
      <c r="N3880" s="2"/>
      <c r="O3880" s="2"/>
    </row>
    <row r="3881" spans="1:15" x14ac:dyDescent="0.4">
      <c r="A3881">
        <v>2006</v>
      </c>
      <c r="B3881" s="2" t="s">
        <v>517</v>
      </c>
      <c r="C3881" s="2" t="s">
        <v>719</v>
      </c>
      <c r="D3881" s="2" t="s">
        <v>173</v>
      </c>
      <c r="E3881" s="70" t="s">
        <v>183</v>
      </c>
      <c r="F3881" s="29">
        <v>9</v>
      </c>
      <c r="G3881" s="29">
        <v>4</v>
      </c>
      <c r="H3881" s="33">
        <v>5</v>
      </c>
      <c r="M3881" s="2"/>
      <c r="N3881" s="2"/>
      <c r="O3881" s="2"/>
    </row>
    <row r="3882" spans="1:15" x14ac:dyDescent="0.4">
      <c r="A3882">
        <v>2006</v>
      </c>
      <c r="B3882" s="2" t="s">
        <v>518</v>
      </c>
      <c r="C3882" s="2" t="s">
        <v>719</v>
      </c>
      <c r="D3882" s="2" t="s">
        <v>173</v>
      </c>
      <c r="E3882" s="70" t="s">
        <v>44</v>
      </c>
      <c r="F3882" s="29">
        <v>2125</v>
      </c>
      <c r="G3882" s="29">
        <v>1229</v>
      </c>
      <c r="H3882" s="33">
        <v>896</v>
      </c>
      <c r="M3882" s="2"/>
      <c r="N3882" s="2"/>
      <c r="O3882" s="2"/>
    </row>
    <row r="3883" spans="1:15" x14ac:dyDescent="0.4">
      <c r="A3883">
        <v>2006</v>
      </c>
      <c r="B3883" s="2" t="s">
        <v>519</v>
      </c>
      <c r="C3883" s="2" t="s">
        <v>719</v>
      </c>
      <c r="D3883" s="2" t="s">
        <v>173</v>
      </c>
      <c r="E3883" s="70" t="s">
        <v>85</v>
      </c>
      <c r="F3883" s="29">
        <v>53</v>
      </c>
      <c r="G3883" s="29">
        <v>33</v>
      </c>
      <c r="H3883" s="33">
        <v>20</v>
      </c>
      <c r="M3883" s="2"/>
      <c r="N3883" s="2"/>
      <c r="O3883" s="2"/>
    </row>
    <row r="3884" spans="1:15" x14ac:dyDescent="0.4">
      <c r="A3884">
        <v>2006</v>
      </c>
      <c r="B3884" s="2" t="s">
        <v>520</v>
      </c>
      <c r="C3884" s="2" t="s">
        <v>719</v>
      </c>
      <c r="D3884" s="2" t="s">
        <v>173</v>
      </c>
      <c r="E3884" s="70" t="s">
        <v>184</v>
      </c>
      <c r="F3884" s="29">
        <v>83</v>
      </c>
      <c r="G3884" s="29">
        <v>64</v>
      </c>
      <c r="H3884" s="33">
        <v>19</v>
      </c>
      <c r="M3884" s="2"/>
      <c r="N3884" s="2"/>
      <c r="O3884" s="2"/>
    </row>
    <row r="3885" spans="1:15" x14ac:dyDescent="0.4">
      <c r="A3885">
        <v>2006</v>
      </c>
      <c r="B3885" s="2" t="s">
        <v>521</v>
      </c>
      <c r="C3885" s="2" t="s">
        <v>719</v>
      </c>
      <c r="D3885" s="2" t="s">
        <v>173</v>
      </c>
      <c r="E3885" s="70" t="s">
        <v>185</v>
      </c>
      <c r="F3885" s="29">
        <v>7</v>
      </c>
      <c r="G3885" s="29">
        <v>6</v>
      </c>
      <c r="H3885" s="33">
        <v>1</v>
      </c>
      <c r="M3885" s="2"/>
      <c r="N3885" s="2"/>
      <c r="O3885" s="2"/>
    </row>
    <row r="3886" spans="1:15" x14ac:dyDescent="0.4">
      <c r="A3886">
        <v>2006</v>
      </c>
      <c r="B3886" s="2" t="s">
        <v>522</v>
      </c>
      <c r="C3886" s="2" t="s">
        <v>719</v>
      </c>
      <c r="D3886" s="2" t="s">
        <v>173</v>
      </c>
      <c r="E3886" s="70" t="s">
        <v>186</v>
      </c>
      <c r="F3886" s="29">
        <v>42</v>
      </c>
      <c r="G3886" s="29">
        <v>30</v>
      </c>
      <c r="H3886" s="33">
        <v>12</v>
      </c>
      <c r="M3886" s="2"/>
      <c r="N3886" s="2"/>
      <c r="O3886" s="2"/>
    </row>
    <row r="3887" spans="1:15" x14ac:dyDescent="0.4">
      <c r="A3887">
        <v>2006</v>
      </c>
      <c r="B3887" s="2" t="s">
        <v>523</v>
      </c>
      <c r="C3887" s="2" t="s">
        <v>719</v>
      </c>
      <c r="D3887" s="2" t="s">
        <v>173</v>
      </c>
      <c r="E3887" s="70" t="s">
        <v>187</v>
      </c>
      <c r="F3887" s="29">
        <v>55</v>
      </c>
      <c r="G3887" s="29">
        <v>41</v>
      </c>
      <c r="H3887" s="33">
        <v>14</v>
      </c>
      <c r="M3887" s="2"/>
      <c r="N3887" s="2"/>
      <c r="O3887" s="2"/>
    </row>
    <row r="3888" spans="1:15" x14ac:dyDescent="0.4">
      <c r="A3888">
        <v>2006</v>
      </c>
      <c r="B3888" s="2" t="s">
        <v>524</v>
      </c>
      <c r="C3888" s="2" t="s">
        <v>719</v>
      </c>
      <c r="D3888" s="2" t="s">
        <v>173</v>
      </c>
      <c r="E3888" s="70" t="s">
        <v>188</v>
      </c>
      <c r="F3888" s="29">
        <v>83</v>
      </c>
      <c r="G3888" s="29">
        <v>47</v>
      </c>
      <c r="H3888" s="33">
        <v>36</v>
      </c>
      <c r="M3888" s="2"/>
      <c r="N3888" s="2"/>
      <c r="O3888" s="2"/>
    </row>
    <row r="3889" spans="1:15" x14ac:dyDescent="0.4">
      <c r="A3889">
        <v>2006</v>
      </c>
      <c r="B3889" s="2" t="s">
        <v>525</v>
      </c>
      <c r="C3889" s="2" t="s">
        <v>719</v>
      </c>
      <c r="D3889" s="2" t="s">
        <v>173</v>
      </c>
      <c r="E3889" s="70" t="s">
        <v>189</v>
      </c>
      <c r="F3889" s="29">
        <v>44</v>
      </c>
      <c r="G3889" s="29">
        <v>30</v>
      </c>
      <c r="H3889" s="33">
        <v>14</v>
      </c>
      <c r="M3889" s="2"/>
      <c r="N3889" s="2"/>
      <c r="O3889" s="2"/>
    </row>
    <row r="3890" spans="1:15" x14ac:dyDescent="0.4">
      <c r="A3890">
        <v>2006</v>
      </c>
      <c r="B3890" s="2" t="s">
        <v>526</v>
      </c>
      <c r="C3890" s="2" t="s">
        <v>719</v>
      </c>
      <c r="D3890" s="2" t="s">
        <v>173</v>
      </c>
      <c r="E3890" s="70" t="s">
        <v>51</v>
      </c>
      <c r="F3890" s="29">
        <v>155</v>
      </c>
      <c r="G3890" s="29">
        <v>99</v>
      </c>
      <c r="H3890" s="33">
        <v>56</v>
      </c>
      <c r="M3890" s="2"/>
      <c r="N3890" s="2"/>
      <c r="O3890" s="2"/>
    </row>
    <row r="3891" spans="1:15" x14ac:dyDescent="0.4">
      <c r="A3891">
        <v>2006</v>
      </c>
      <c r="B3891" s="2" t="s">
        <v>527</v>
      </c>
      <c r="C3891" s="2" t="s">
        <v>719</v>
      </c>
      <c r="D3891" s="2" t="s">
        <v>173</v>
      </c>
      <c r="E3891" s="70" t="s">
        <v>52</v>
      </c>
      <c r="F3891" s="29">
        <v>153</v>
      </c>
      <c r="G3891" s="29">
        <v>96</v>
      </c>
      <c r="H3891" s="33">
        <v>57</v>
      </c>
      <c r="M3891" s="2"/>
      <c r="N3891" s="2"/>
      <c r="O3891" s="2"/>
    </row>
    <row r="3892" spans="1:15" x14ac:dyDescent="0.4">
      <c r="A3892">
        <v>2006</v>
      </c>
      <c r="B3892" s="2" t="s">
        <v>528</v>
      </c>
      <c r="C3892" s="2" t="s">
        <v>719</v>
      </c>
      <c r="D3892" s="2" t="s">
        <v>173</v>
      </c>
      <c r="E3892" s="70" t="s">
        <v>190</v>
      </c>
      <c r="F3892" s="29">
        <v>75</v>
      </c>
      <c r="G3892" s="29">
        <v>52</v>
      </c>
      <c r="H3892" s="33">
        <v>23</v>
      </c>
      <c r="M3892" s="2"/>
      <c r="N3892" s="2"/>
      <c r="O3892" s="2"/>
    </row>
    <row r="3893" spans="1:15" x14ac:dyDescent="0.4">
      <c r="A3893">
        <v>2006</v>
      </c>
      <c r="B3893" s="2" t="s">
        <v>529</v>
      </c>
      <c r="C3893" s="2" t="s">
        <v>719</v>
      </c>
      <c r="D3893" s="2" t="s">
        <v>173</v>
      </c>
      <c r="E3893" s="70" t="s">
        <v>191</v>
      </c>
      <c r="F3893" s="29">
        <v>32</v>
      </c>
      <c r="G3893" s="29">
        <v>23</v>
      </c>
      <c r="H3893" s="33">
        <v>9</v>
      </c>
      <c r="M3893" s="2"/>
      <c r="N3893" s="2"/>
      <c r="O3893" s="2"/>
    </row>
    <row r="3894" spans="1:15" x14ac:dyDescent="0.4">
      <c r="A3894">
        <v>2006</v>
      </c>
      <c r="B3894" s="2" t="s">
        <v>530</v>
      </c>
      <c r="C3894" s="2" t="s">
        <v>720</v>
      </c>
      <c r="D3894" s="2" t="s">
        <v>193</v>
      </c>
      <c r="E3894" s="70" t="s">
        <v>192</v>
      </c>
      <c r="F3894" s="29">
        <v>339</v>
      </c>
      <c r="G3894" s="29">
        <v>240</v>
      </c>
      <c r="H3894" s="33">
        <v>99</v>
      </c>
      <c r="M3894" s="2"/>
      <c r="N3894" s="2"/>
      <c r="O3894" s="2"/>
    </row>
    <row r="3895" spans="1:15" x14ac:dyDescent="0.4">
      <c r="A3895">
        <v>2006</v>
      </c>
      <c r="B3895" s="2" t="s">
        <v>531</v>
      </c>
      <c r="C3895" s="2" t="s">
        <v>720</v>
      </c>
      <c r="D3895" s="2" t="s">
        <v>193</v>
      </c>
      <c r="E3895" s="70" t="s">
        <v>174</v>
      </c>
      <c r="F3895" s="29">
        <v>54</v>
      </c>
      <c r="G3895" s="29">
        <v>34</v>
      </c>
      <c r="H3895" s="33">
        <v>20</v>
      </c>
      <c r="M3895" s="2"/>
      <c r="N3895" s="2"/>
      <c r="O3895" s="2"/>
    </row>
    <row r="3896" spans="1:15" x14ac:dyDescent="0.4">
      <c r="A3896">
        <v>2006</v>
      </c>
      <c r="B3896" s="2" t="s">
        <v>532</v>
      </c>
      <c r="C3896" s="2" t="s">
        <v>720</v>
      </c>
      <c r="D3896" s="2" t="s">
        <v>193</v>
      </c>
      <c r="E3896" s="70" t="s">
        <v>194</v>
      </c>
      <c r="F3896" s="29">
        <v>1348</v>
      </c>
      <c r="G3896" s="29">
        <v>709</v>
      </c>
      <c r="H3896" s="33">
        <v>639</v>
      </c>
      <c r="M3896" s="2"/>
      <c r="N3896" s="2"/>
      <c r="O3896" s="2"/>
    </row>
    <row r="3897" spans="1:15" x14ac:dyDescent="0.4">
      <c r="A3897">
        <v>2006</v>
      </c>
      <c r="B3897" s="2" t="s">
        <v>533</v>
      </c>
      <c r="C3897" s="2" t="s">
        <v>720</v>
      </c>
      <c r="D3897" s="2" t="s">
        <v>193</v>
      </c>
      <c r="E3897" s="70" t="s">
        <v>195</v>
      </c>
      <c r="F3897" s="29">
        <v>282</v>
      </c>
      <c r="G3897" s="29">
        <v>188</v>
      </c>
      <c r="H3897" s="33">
        <v>94</v>
      </c>
      <c r="M3897" s="2"/>
      <c r="N3897" s="2"/>
      <c r="O3897" s="2"/>
    </row>
    <row r="3898" spans="1:15" x14ac:dyDescent="0.4">
      <c r="A3898">
        <v>2006</v>
      </c>
      <c r="B3898" s="2" t="s">
        <v>534</v>
      </c>
      <c r="C3898" s="2" t="s">
        <v>720</v>
      </c>
      <c r="D3898" s="2" t="s">
        <v>193</v>
      </c>
      <c r="E3898" s="70" t="s">
        <v>196</v>
      </c>
      <c r="F3898" s="29">
        <v>49</v>
      </c>
      <c r="G3898" s="29">
        <v>27</v>
      </c>
      <c r="H3898" s="33">
        <v>22</v>
      </c>
      <c r="M3898" s="2"/>
      <c r="N3898" s="2"/>
      <c r="O3898" s="2"/>
    </row>
    <row r="3899" spans="1:15" x14ac:dyDescent="0.4">
      <c r="A3899">
        <v>2006</v>
      </c>
      <c r="B3899" s="2" t="s">
        <v>535</v>
      </c>
      <c r="C3899" s="2" t="s">
        <v>720</v>
      </c>
      <c r="D3899" s="2" t="s">
        <v>193</v>
      </c>
      <c r="E3899" s="70" t="s">
        <v>197</v>
      </c>
      <c r="F3899" s="29">
        <v>101</v>
      </c>
      <c r="G3899" s="29">
        <v>58</v>
      </c>
      <c r="H3899" s="33">
        <v>43</v>
      </c>
      <c r="M3899" s="2"/>
      <c r="N3899" s="2"/>
      <c r="O3899" s="2"/>
    </row>
    <row r="3900" spans="1:15" x14ac:dyDescent="0.4">
      <c r="A3900">
        <v>2006</v>
      </c>
      <c r="B3900" s="2" t="s">
        <v>536</v>
      </c>
      <c r="C3900" s="2" t="s">
        <v>720</v>
      </c>
      <c r="D3900" s="2" t="s">
        <v>193</v>
      </c>
      <c r="E3900" s="70" t="s">
        <v>198</v>
      </c>
      <c r="F3900" s="29">
        <v>729</v>
      </c>
      <c r="G3900" s="29">
        <v>382</v>
      </c>
      <c r="H3900" s="33">
        <v>347</v>
      </c>
      <c r="M3900" s="2"/>
      <c r="N3900" s="2"/>
      <c r="O3900" s="2"/>
    </row>
    <row r="3901" spans="1:15" x14ac:dyDescent="0.4">
      <c r="A3901">
        <v>2006</v>
      </c>
      <c r="B3901" s="2" t="s">
        <v>537</v>
      </c>
      <c r="C3901" s="2" t="s">
        <v>720</v>
      </c>
      <c r="D3901" s="2" t="s">
        <v>193</v>
      </c>
      <c r="E3901" s="70" t="s">
        <v>199</v>
      </c>
      <c r="F3901" s="29">
        <v>412</v>
      </c>
      <c r="G3901" s="29">
        <v>283</v>
      </c>
      <c r="H3901" s="33">
        <v>129</v>
      </c>
      <c r="M3901" s="2"/>
      <c r="N3901" s="2"/>
      <c r="O3901" s="2"/>
    </row>
    <row r="3902" spans="1:15" x14ac:dyDescent="0.4">
      <c r="A3902">
        <v>2006</v>
      </c>
      <c r="B3902" s="2" t="s">
        <v>538</v>
      </c>
      <c r="C3902" s="2" t="s">
        <v>720</v>
      </c>
      <c r="D3902" s="2" t="s">
        <v>193</v>
      </c>
      <c r="E3902" s="70" t="s">
        <v>200</v>
      </c>
      <c r="F3902" s="29">
        <v>110</v>
      </c>
      <c r="G3902" s="29">
        <v>64</v>
      </c>
      <c r="H3902" s="33">
        <v>46</v>
      </c>
      <c r="M3902" s="2"/>
      <c r="N3902" s="2"/>
      <c r="O3902" s="2"/>
    </row>
    <row r="3903" spans="1:15" x14ac:dyDescent="0.4">
      <c r="A3903">
        <v>2006</v>
      </c>
      <c r="B3903" s="2" t="s">
        <v>539</v>
      </c>
      <c r="C3903" s="2" t="s">
        <v>720</v>
      </c>
      <c r="D3903" s="2" t="s">
        <v>193</v>
      </c>
      <c r="E3903" s="70" t="s">
        <v>201</v>
      </c>
      <c r="F3903" s="29">
        <v>1327</v>
      </c>
      <c r="G3903" s="29">
        <v>824</v>
      </c>
      <c r="H3903" s="33">
        <v>503</v>
      </c>
      <c r="M3903" s="2"/>
      <c r="N3903" s="2"/>
      <c r="O3903" s="2"/>
    </row>
    <row r="3904" spans="1:15" x14ac:dyDescent="0.4">
      <c r="A3904">
        <v>2006</v>
      </c>
      <c r="B3904" s="2" t="s">
        <v>540</v>
      </c>
      <c r="C3904" s="2" t="s">
        <v>720</v>
      </c>
      <c r="D3904" s="2" t="s">
        <v>193</v>
      </c>
      <c r="E3904" s="70" t="s">
        <v>14</v>
      </c>
      <c r="F3904" s="29">
        <v>481</v>
      </c>
      <c r="G3904" s="29">
        <v>353</v>
      </c>
      <c r="H3904" s="33">
        <v>128</v>
      </c>
      <c r="M3904" s="2"/>
      <c r="N3904" s="2"/>
      <c r="O3904" s="2"/>
    </row>
    <row r="3905" spans="1:15" x14ac:dyDescent="0.4">
      <c r="A3905">
        <v>2006</v>
      </c>
      <c r="B3905" s="2" t="s">
        <v>541</v>
      </c>
      <c r="C3905" s="2" t="s">
        <v>720</v>
      </c>
      <c r="D3905" s="2" t="s">
        <v>193</v>
      </c>
      <c r="E3905" s="70" t="s">
        <v>202</v>
      </c>
      <c r="F3905" s="29">
        <v>960</v>
      </c>
      <c r="G3905" s="29">
        <v>626</v>
      </c>
      <c r="H3905" s="33">
        <v>334</v>
      </c>
      <c r="M3905" s="2"/>
      <c r="N3905" s="2"/>
      <c r="O3905" s="2"/>
    </row>
    <row r="3906" spans="1:15" x14ac:dyDescent="0.4">
      <c r="A3906">
        <v>2006</v>
      </c>
      <c r="B3906" s="2" t="s">
        <v>542</v>
      </c>
      <c r="C3906" s="2" t="s">
        <v>720</v>
      </c>
      <c r="D3906" s="2" t="s">
        <v>193</v>
      </c>
      <c r="E3906" s="70" t="s">
        <v>203</v>
      </c>
      <c r="F3906" s="29">
        <v>158</v>
      </c>
      <c r="G3906" s="29">
        <v>83</v>
      </c>
      <c r="H3906" s="33">
        <v>75</v>
      </c>
      <c r="M3906" s="2"/>
      <c r="N3906" s="2"/>
      <c r="O3906" s="2"/>
    </row>
    <row r="3907" spans="1:15" x14ac:dyDescent="0.4">
      <c r="A3907">
        <v>2006</v>
      </c>
      <c r="B3907" s="2" t="s">
        <v>543</v>
      </c>
      <c r="C3907" s="2" t="s">
        <v>720</v>
      </c>
      <c r="D3907" s="2" t="s">
        <v>193</v>
      </c>
      <c r="E3907" s="70" t="s">
        <v>32</v>
      </c>
      <c r="F3907" s="29">
        <v>156</v>
      </c>
      <c r="G3907" s="29">
        <v>98</v>
      </c>
      <c r="H3907" s="33">
        <v>58</v>
      </c>
      <c r="M3907" s="2"/>
      <c r="N3907" s="2"/>
      <c r="O3907" s="2"/>
    </row>
    <row r="3908" spans="1:15" x14ac:dyDescent="0.4">
      <c r="A3908">
        <v>2006</v>
      </c>
      <c r="B3908" s="2" t="s">
        <v>544</v>
      </c>
      <c r="C3908" s="2" t="s">
        <v>720</v>
      </c>
      <c r="D3908" s="2" t="s">
        <v>193</v>
      </c>
      <c r="E3908" s="70" t="s">
        <v>204</v>
      </c>
      <c r="F3908" s="29">
        <v>263</v>
      </c>
      <c r="G3908" s="29">
        <v>196</v>
      </c>
      <c r="H3908" s="33">
        <v>67</v>
      </c>
      <c r="M3908" s="2"/>
      <c r="N3908" s="2"/>
      <c r="O3908" s="2"/>
    </row>
    <row r="3909" spans="1:15" x14ac:dyDescent="0.4">
      <c r="A3909">
        <v>2006</v>
      </c>
      <c r="B3909" s="2" t="s">
        <v>545</v>
      </c>
      <c r="C3909" s="2" t="s">
        <v>720</v>
      </c>
      <c r="D3909" s="2" t="s">
        <v>193</v>
      </c>
      <c r="E3909" s="70" t="s">
        <v>205</v>
      </c>
      <c r="F3909" s="29">
        <v>85</v>
      </c>
      <c r="G3909" s="29">
        <v>60</v>
      </c>
      <c r="H3909" s="33">
        <v>25</v>
      </c>
      <c r="M3909" s="2"/>
      <c r="N3909" s="2"/>
      <c r="O3909" s="2"/>
    </row>
    <row r="3910" spans="1:15" x14ac:dyDescent="0.4">
      <c r="A3910">
        <v>2006</v>
      </c>
      <c r="B3910" s="2" t="s">
        <v>546</v>
      </c>
      <c r="C3910" s="2" t="s">
        <v>720</v>
      </c>
      <c r="D3910" s="2" t="s">
        <v>193</v>
      </c>
      <c r="E3910" s="70" t="s">
        <v>206</v>
      </c>
      <c r="F3910" s="29">
        <v>612</v>
      </c>
      <c r="G3910" s="29">
        <v>404</v>
      </c>
      <c r="H3910" s="33">
        <v>208</v>
      </c>
      <c r="M3910" s="2"/>
      <c r="N3910" s="2"/>
      <c r="O3910" s="2"/>
    </row>
    <row r="3911" spans="1:15" x14ac:dyDescent="0.4">
      <c r="A3911">
        <v>2006</v>
      </c>
      <c r="B3911" s="2" t="s">
        <v>547</v>
      </c>
      <c r="C3911" s="2" t="s">
        <v>720</v>
      </c>
      <c r="D3911" s="2" t="s">
        <v>193</v>
      </c>
      <c r="E3911" s="70" t="s">
        <v>25</v>
      </c>
      <c r="F3911" s="29">
        <v>152</v>
      </c>
      <c r="G3911" s="29">
        <v>118</v>
      </c>
      <c r="H3911" s="33">
        <v>34</v>
      </c>
      <c r="M3911" s="2"/>
      <c r="N3911" s="2"/>
      <c r="O3911" s="2"/>
    </row>
    <row r="3912" spans="1:15" x14ac:dyDescent="0.4">
      <c r="A3912">
        <v>2006</v>
      </c>
      <c r="B3912" s="2" t="s">
        <v>548</v>
      </c>
      <c r="C3912" s="2" t="s">
        <v>720</v>
      </c>
      <c r="D3912" s="2" t="s">
        <v>193</v>
      </c>
      <c r="E3912" s="70" t="s">
        <v>51</v>
      </c>
      <c r="F3912" s="29">
        <v>2958</v>
      </c>
      <c r="G3912" s="29">
        <v>1941</v>
      </c>
      <c r="H3912" s="33">
        <v>1017</v>
      </c>
      <c r="M3912" s="2"/>
      <c r="N3912" s="2"/>
      <c r="O3912" s="2"/>
    </row>
    <row r="3913" spans="1:15" x14ac:dyDescent="0.4">
      <c r="A3913">
        <v>2006</v>
      </c>
      <c r="B3913" s="2" t="s">
        <v>549</v>
      </c>
      <c r="C3913" s="2" t="s">
        <v>720</v>
      </c>
      <c r="D3913" s="2" t="s">
        <v>193</v>
      </c>
      <c r="E3913" s="70" t="s">
        <v>53</v>
      </c>
      <c r="F3913" s="29">
        <v>293</v>
      </c>
      <c r="G3913" s="29">
        <v>202</v>
      </c>
      <c r="H3913" s="33">
        <v>91</v>
      </c>
      <c r="M3913" s="2"/>
      <c r="N3913" s="2"/>
      <c r="O3913" s="2"/>
    </row>
    <row r="3914" spans="1:15" x14ac:dyDescent="0.4">
      <c r="A3914">
        <v>2006</v>
      </c>
      <c r="B3914" s="2" t="s">
        <v>550</v>
      </c>
      <c r="C3914" s="2" t="s">
        <v>720</v>
      </c>
      <c r="D3914" s="2" t="s">
        <v>193</v>
      </c>
      <c r="E3914" s="70" t="s">
        <v>54</v>
      </c>
      <c r="F3914" s="29">
        <v>645</v>
      </c>
      <c r="G3914" s="29">
        <v>428</v>
      </c>
      <c r="H3914" s="33">
        <v>217</v>
      </c>
      <c r="M3914" s="2"/>
      <c r="N3914" s="2"/>
      <c r="O3914" s="2"/>
    </row>
    <row r="3915" spans="1:15" x14ac:dyDescent="0.4">
      <c r="A3915">
        <v>2006</v>
      </c>
      <c r="B3915" s="2" t="s">
        <v>551</v>
      </c>
      <c r="C3915" s="2" t="s">
        <v>721</v>
      </c>
      <c r="D3915" s="2" t="s">
        <v>207</v>
      </c>
      <c r="E3915" s="70" t="s">
        <v>128</v>
      </c>
      <c r="F3915" s="29">
        <v>53</v>
      </c>
      <c r="G3915" s="29">
        <v>29</v>
      </c>
      <c r="H3915" s="33">
        <v>24</v>
      </c>
      <c r="M3915" s="2"/>
      <c r="N3915" s="2"/>
      <c r="O3915" s="2"/>
    </row>
    <row r="3916" spans="1:15" x14ac:dyDescent="0.4">
      <c r="A3916">
        <v>2006</v>
      </c>
      <c r="B3916" s="2" t="s">
        <v>552</v>
      </c>
      <c r="C3916" s="2" t="s">
        <v>721</v>
      </c>
      <c r="D3916" s="2" t="s">
        <v>207</v>
      </c>
      <c r="E3916" s="70" t="s">
        <v>208</v>
      </c>
      <c r="F3916" s="29">
        <v>18</v>
      </c>
      <c r="G3916" s="29">
        <v>12</v>
      </c>
      <c r="H3916" s="33">
        <v>6</v>
      </c>
      <c r="M3916" s="2"/>
      <c r="N3916" s="2"/>
      <c r="O3916" s="2"/>
    </row>
    <row r="3917" spans="1:15" x14ac:dyDescent="0.4">
      <c r="A3917">
        <v>2006</v>
      </c>
      <c r="B3917" s="2" t="s">
        <v>553</v>
      </c>
      <c r="C3917" s="2" t="s">
        <v>721</v>
      </c>
      <c r="D3917" s="2" t="s">
        <v>207</v>
      </c>
      <c r="E3917" s="70" t="s">
        <v>36</v>
      </c>
      <c r="F3917" s="29">
        <v>135</v>
      </c>
      <c r="G3917" s="29">
        <v>74</v>
      </c>
      <c r="H3917" s="33">
        <v>61</v>
      </c>
      <c r="M3917" s="2"/>
      <c r="N3917" s="2"/>
      <c r="O3917" s="2"/>
    </row>
    <row r="3918" spans="1:15" x14ac:dyDescent="0.4">
      <c r="A3918">
        <v>2006</v>
      </c>
      <c r="B3918" s="2" t="s">
        <v>554</v>
      </c>
      <c r="C3918" s="2" t="s">
        <v>721</v>
      </c>
      <c r="D3918" s="2" t="s">
        <v>207</v>
      </c>
      <c r="E3918" s="70" t="s">
        <v>209</v>
      </c>
      <c r="F3918" s="29">
        <v>77</v>
      </c>
      <c r="G3918" s="29">
        <v>51</v>
      </c>
      <c r="H3918" s="33">
        <v>26</v>
      </c>
      <c r="M3918" s="2"/>
      <c r="N3918" s="2"/>
      <c r="O3918" s="2"/>
    </row>
    <row r="3919" spans="1:15" x14ac:dyDescent="0.4">
      <c r="A3919">
        <v>2006</v>
      </c>
      <c r="B3919" s="2" t="s">
        <v>555</v>
      </c>
      <c r="C3919" s="2" t="s">
        <v>721</v>
      </c>
      <c r="D3919" s="2" t="s">
        <v>207</v>
      </c>
      <c r="E3919" s="70" t="s">
        <v>69</v>
      </c>
      <c r="F3919" s="29">
        <v>69</v>
      </c>
      <c r="G3919" s="29">
        <v>45</v>
      </c>
      <c r="H3919" s="33">
        <v>24</v>
      </c>
      <c r="M3919" s="2"/>
      <c r="N3919" s="2"/>
      <c r="O3919" s="2"/>
    </row>
    <row r="3920" spans="1:15" x14ac:dyDescent="0.4">
      <c r="A3920">
        <v>2006</v>
      </c>
      <c r="B3920" s="2" t="s">
        <v>556</v>
      </c>
      <c r="C3920" s="2" t="s">
        <v>721</v>
      </c>
      <c r="D3920" s="2" t="s">
        <v>207</v>
      </c>
      <c r="E3920" s="70" t="s">
        <v>62</v>
      </c>
      <c r="F3920" s="29">
        <v>126</v>
      </c>
      <c r="G3920" s="29">
        <v>83</v>
      </c>
      <c r="H3920" s="33">
        <v>43</v>
      </c>
      <c r="M3920" s="2"/>
      <c r="N3920" s="2"/>
      <c r="O3920" s="2"/>
    </row>
    <row r="3921" spans="1:15" x14ac:dyDescent="0.4">
      <c r="A3921">
        <v>2006</v>
      </c>
      <c r="B3921" s="2" t="s">
        <v>557</v>
      </c>
      <c r="C3921" s="2" t="s">
        <v>721</v>
      </c>
      <c r="D3921" s="2" t="s">
        <v>207</v>
      </c>
      <c r="E3921" s="70" t="s">
        <v>44</v>
      </c>
      <c r="F3921" s="29">
        <v>72</v>
      </c>
      <c r="G3921" s="29">
        <v>54</v>
      </c>
      <c r="H3921" s="33">
        <v>18</v>
      </c>
      <c r="M3921" s="2"/>
      <c r="N3921" s="2"/>
      <c r="O3921" s="2"/>
    </row>
    <row r="3922" spans="1:15" x14ac:dyDescent="0.4">
      <c r="A3922">
        <v>2006</v>
      </c>
      <c r="B3922" s="2" t="s">
        <v>558</v>
      </c>
      <c r="C3922" s="2" t="s">
        <v>721</v>
      </c>
      <c r="D3922" s="2" t="s">
        <v>207</v>
      </c>
      <c r="E3922" s="70" t="s">
        <v>210</v>
      </c>
      <c r="F3922" s="29">
        <v>2293</v>
      </c>
      <c r="G3922" s="29">
        <v>1380</v>
      </c>
      <c r="H3922" s="33">
        <v>913</v>
      </c>
      <c r="M3922" s="2"/>
      <c r="N3922" s="2"/>
      <c r="O3922" s="2"/>
    </row>
    <row r="3923" spans="1:15" x14ac:dyDescent="0.4">
      <c r="A3923">
        <v>2006</v>
      </c>
      <c r="B3923" s="2" t="s">
        <v>559</v>
      </c>
      <c r="C3923" s="2" t="s">
        <v>721</v>
      </c>
      <c r="D3923" s="2" t="s">
        <v>207</v>
      </c>
      <c r="E3923" s="70" t="s">
        <v>74</v>
      </c>
      <c r="F3923" s="29">
        <v>107</v>
      </c>
      <c r="G3923" s="29">
        <v>71</v>
      </c>
      <c r="H3923" s="33">
        <v>36</v>
      </c>
      <c r="M3923" s="2"/>
      <c r="N3923" s="2"/>
      <c r="O3923" s="2"/>
    </row>
    <row r="3924" spans="1:15" x14ac:dyDescent="0.4">
      <c r="A3924">
        <v>2006</v>
      </c>
      <c r="B3924" s="2" t="s">
        <v>560</v>
      </c>
      <c r="C3924" s="2" t="s">
        <v>721</v>
      </c>
      <c r="D3924" s="2" t="s">
        <v>207</v>
      </c>
      <c r="E3924" s="70" t="s">
        <v>211</v>
      </c>
      <c r="F3924" s="29">
        <v>83</v>
      </c>
      <c r="G3924" s="29">
        <v>55</v>
      </c>
      <c r="H3924" s="33">
        <v>28</v>
      </c>
      <c r="M3924" s="2"/>
      <c r="N3924" s="2"/>
      <c r="O3924" s="2"/>
    </row>
    <row r="3925" spans="1:15" x14ac:dyDescent="0.4">
      <c r="A3925">
        <v>2006</v>
      </c>
      <c r="B3925" s="2" t="s">
        <v>561</v>
      </c>
      <c r="C3925" s="2" t="s">
        <v>721</v>
      </c>
      <c r="D3925" s="2" t="s">
        <v>207</v>
      </c>
      <c r="E3925" s="70" t="s">
        <v>212</v>
      </c>
      <c r="F3925" s="29">
        <v>15</v>
      </c>
      <c r="G3925" s="29">
        <v>6</v>
      </c>
      <c r="H3925" s="33">
        <v>9</v>
      </c>
      <c r="M3925" s="2"/>
      <c r="N3925" s="2"/>
      <c r="O3925" s="2"/>
    </row>
    <row r="3926" spans="1:15" x14ac:dyDescent="0.4">
      <c r="A3926">
        <v>2006</v>
      </c>
      <c r="B3926" s="2" t="s">
        <v>562</v>
      </c>
      <c r="C3926" s="2" t="s">
        <v>721</v>
      </c>
      <c r="D3926" s="2" t="s">
        <v>207</v>
      </c>
      <c r="E3926" s="70" t="s">
        <v>213</v>
      </c>
      <c r="F3926" s="29">
        <v>64</v>
      </c>
      <c r="G3926" s="29">
        <v>40</v>
      </c>
      <c r="H3926" s="33">
        <v>24</v>
      </c>
      <c r="M3926" s="2"/>
      <c r="N3926" s="2"/>
      <c r="O3926" s="2"/>
    </row>
    <row r="3927" spans="1:15" x14ac:dyDescent="0.4">
      <c r="A3927">
        <v>2006</v>
      </c>
      <c r="B3927" s="2" t="s">
        <v>563</v>
      </c>
      <c r="C3927" s="2" t="s">
        <v>721</v>
      </c>
      <c r="D3927" s="2" t="s">
        <v>207</v>
      </c>
      <c r="E3927" s="70" t="s">
        <v>214</v>
      </c>
      <c r="F3927" s="29">
        <v>20</v>
      </c>
      <c r="G3927" s="29">
        <v>11</v>
      </c>
      <c r="H3927" s="33">
        <v>9</v>
      </c>
      <c r="M3927" s="2"/>
      <c r="N3927" s="2"/>
      <c r="O3927" s="2"/>
    </row>
    <row r="3928" spans="1:15" x14ac:dyDescent="0.4">
      <c r="A3928">
        <v>2006</v>
      </c>
      <c r="B3928" s="2" t="s">
        <v>564</v>
      </c>
      <c r="C3928" s="2" t="s">
        <v>722</v>
      </c>
      <c r="D3928" s="2" t="s">
        <v>216</v>
      </c>
      <c r="E3928" s="70" t="s">
        <v>215</v>
      </c>
      <c r="F3928" s="29">
        <v>44</v>
      </c>
      <c r="G3928" s="29">
        <v>18</v>
      </c>
      <c r="H3928" s="33">
        <v>26</v>
      </c>
      <c r="M3928" s="2"/>
      <c r="N3928" s="2"/>
      <c r="O3928" s="2"/>
    </row>
    <row r="3929" spans="1:15" x14ac:dyDescent="0.4">
      <c r="A3929">
        <v>2006</v>
      </c>
      <c r="B3929" s="2" t="s">
        <v>565</v>
      </c>
      <c r="C3929" s="2" t="s">
        <v>722</v>
      </c>
      <c r="D3929" s="2" t="s">
        <v>216</v>
      </c>
      <c r="E3929" s="70" t="s">
        <v>59</v>
      </c>
      <c r="F3929" s="29">
        <v>77</v>
      </c>
      <c r="G3929" s="29">
        <v>40</v>
      </c>
      <c r="H3929" s="33">
        <v>37</v>
      </c>
      <c r="M3929" s="2"/>
      <c r="N3929" s="2"/>
      <c r="O3929" s="2"/>
    </row>
    <row r="3930" spans="1:15" x14ac:dyDescent="0.4">
      <c r="A3930">
        <v>2006</v>
      </c>
      <c r="B3930" s="2" t="s">
        <v>566</v>
      </c>
      <c r="C3930" s="2" t="s">
        <v>722</v>
      </c>
      <c r="D3930" s="2" t="s">
        <v>216</v>
      </c>
      <c r="E3930" s="70" t="s">
        <v>217</v>
      </c>
      <c r="F3930" s="29">
        <v>123</v>
      </c>
      <c r="G3930" s="29">
        <v>77</v>
      </c>
      <c r="H3930" s="33">
        <v>46</v>
      </c>
      <c r="M3930" s="2"/>
      <c r="N3930" s="2"/>
      <c r="O3930" s="2"/>
    </row>
    <row r="3931" spans="1:15" x14ac:dyDescent="0.4">
      <c r="A3931">
        <v>2006</v>
      </c>
      <c r="B3931" s="2" t="s">
        <v>567</v>
      </c>
      <c r="C3931" s="2" t="s">
        <v>722</v>
      </c>
      <c r="D3931" s="2" t="s">
        <v>216</v>
      </c>
      <c r="E3931" s="70" t="s">
        <v>218</v>
      </c>
      <c r="F3931" s="29">
        <v>95</v>
      </c>
      <c r="G3931" s="29">
        <v>58</v>
      </c>
      <c r="H3931" s="33">
        <v>37</v>
      </c>
      <c r="M3931" s="2"/>
      <c r="N3931" s="2"/>
      <c r="O3931" s="2"/>
    </row>
    <row r="3932" spans="1:15" x14ac:dyDescent="0.4">
      <c r="A3932">
        <v>2006</v>
      </c>
      <c r="B3932" s="2" t="s">
        <v>568</v>
      </c>
      <c r="C3932" s="2" t="s">
        <v>722</v>
      </c>
      <c r="D3932" s="2" t="s">
        <v>216</v>
      </c>
      <c r="E3932" s="70" t="s">
        <v>219</v>
      </c>
      <c r="F3932" s="29">
        <v>79</v>
      </c>
      <c r="G3932" s="29">
        <v>39</v>
      </c>
      <c r="H3932" s="33">
        <v>40</v>
      </c>
      <c r="M3932" s="2"/>
      <c r="N3932" s="2"/>
      <c r="O3932" s="2"/>
    </row>
    <row r="3933" spans="1:15" x14ac:dyDescent="0.4">
      <c r="A3933">
        <v>2006</v>
      </c>
      <c r="B3933" s="2" t="s">
        <v>569</v>
      </c>
      <c r="C3933" s="2" t="s">
        <v>722</v>
      </c>
      <c r="D3933" s="2" t="s">
        <v>216</v>
      </c>
      <c r="E3933" s="70" t="s">
        <v>220</v>
      </c>
      <c r="F3933" s="29">
        <v>107</v>
      </c>
      <c r="G3933" s="29">
        <v>61</v>
      </c>
      <c r="H3933" s="33">
        <v>46</v>
      </c>
      <c r="M3933" s="2"/>
      <c r="N3933" s="2"/>
      <c r="O3933" s="2"/>
    </row>
    <row r="3934" spans="1:15" x14ac:dyDescent="0.4">
      <c r="A3934">
        <v>2006</v>
      </c>
      <c r="B3934" s="2" t="s">
        <v>570</v>
      </c>
      <c r="C3934" s="2" t="s">
        <v>722</v>
      </c>
      <c r="D3934" s="2" t="s">
        <v>216</v>
      </c>
      <c r="E3934" s="70" t="s">
        <v>221</v>
      </c>
      <c r="F3934" s="29">
        <v>192</v>
      </c>
      <c r="G3934" s="29">
        <v>117</v>
      </c>
      <c r="H3934" s="33">
        <v>75</v>
      </c>
      <c r="M3934" s="2"/>
      <c r="N3934" s="2"/>
      <c r="O3934" s="2"/>
    </row>
    <row r="3935" spans="1:15" x14ac:dyDescent="0.4">
      <c r="A3935">
        <v>2006</v>
      </c>
      <c r="B3935" s="2" t="s">
        <v>571</v>
      </c>
      <c r="C3935" s="2" t="s">
        <v>722</v>
      </c>
      <c r="D3935" s="2" t="s">
        <v>216</v>
      </c>
      <c r="E3935" s="70" t="s">
        <v>222</v>
      </c>
      <c r="F3935" s="29">
        <v>1060</v>
      </c>
      <c r="G3935" s="29">
        <v>640</v>
      </c>
      <c r="H3935" s="33">
        <v>420</v>
      </c>
      <c r="M3935" s="2"/>
      <c r="N3935" s="2"/>
      <c r="O3935" s="2"/>
    </row>
    <row r="3936" spans="1:15" x14ac:dyDescent="0.4">
      <c r="A3936">
        <v>2006</v>
      </c>
      <c r="B3936" s="2" t="s">
        <v>572</v>
      </c>
      <c r="C3936" s="2" t="s">
        <v>722</v>
      </c>
      <c r="D3936" s="2" t="s">
        <v>216</v>
      </c>
      <c r="E3936" s="70" t="s">
        <v>223</v>
      </c>
      <c r="F3936" s="29">
        <v>50</v>
      </c>
      <c r="G3936" s="29">
        <v>26</v>
      </c>
      <c r="H3936" s="33">
        <v>24</v>
      </c>
      <c r="M3936" s="2"/>
      <c r="N3936" s="2"/>
      <c r="O3936" s="2"/>
    </row>
    <row r="3937" spans="1:15" x14ac:dyDescent="0.4">
      <c r="A3937">
        <v>2006</v>
      </c>
      <c r="B3937" s="2" t="s">
        <v>573</v>
      </c>
      <c r="C3937" s="2" t="s">
        <v>722</v>
      </c>
      <c r="D3937" s="2" t="s">
        <v>216</v>
      </c>
      <c r="E3937" s="70" t="s">
        <v>224</v>
      </c>
      <c r="F3937" s="29">
        <v>73</v>
      </c>
      <c r="G3937" s="29">
        <v>41</v>
      </c>
      <c r="H3937" s="33">
        <v>32</v>
      </c>
      <c r="M3937" s="2"/>
      <c r="N3937" s="2"/>
      <c r="O3937" s="2"/>
    </row>
    <row r="3938" spans="1:15" x14ac:dyDescent="0.4">
      <c r="A3938">
        <v>2006</v>
      </c>
      <c r="B3938" s="2" t="s">
        <v>574</v>
      </c>
      <c r="C3938" s="2" t="s">
        <v>722</v>
      </c>
      <c r="D3938" s="2" t="s">
        <v>216</v>
      </c>
      <c r="E3938" s="70" t="s">
        <v>225</v>
      </c>
      <c r="F3938" s="29">
        <v>31</v>
      </c>
      <c r="G3938" s="29">
        <v>20</v>
      </c>
      <c r="H3938" s="33">
        <v>11</v>
      </c>
      <c r="M3938" s="2"/>
      <c r="N3938" s="2"/>
      <c r="O3938" s="2"/>
    </row>
    <row r="3939" spans="1:15" x14ac:dyDescent="0.4">
      <c r="A3939">
        <v>2006</v>
      </c>
      <c r="B3939" s="2" t="s">
        <v>575</v>
      </c>
      <c r="C3939" s="2" t="s">
        <v>723</v>
      </c>
      <c r="D3939" s="2" t="s">
        <v>227</v>
      </c>
      <c r="E3939" s="70" t="s">
        <v>226</v>
      </c>
      <c r="F3939" s="29">
        <v>29</v>
      </c>
      <c r="G3939" s="29">
        <v>21</v>
      </c>
      <c r="H3939" s="33">
        <v>8</v>
      </c>
      <c r="M3939" s="2"/>
      <c r="N3939" s="2"/>
      <c r="O3939" s="2"/>
    </row>
    <row r="3940" spans="1:15" x14ac:dyDescent="0.4">
      <c r="A3940">
        <v>2006</v>
      </c>
      <c r="B3940" s="2" t="s">
        <v>576</v>
      </c>
      <c r="C3940" s="2" t="s">
        <v>723</v>
      </c>
      <c r="D3940" s="2" t="s">
        <v>227</v>
      </c>
      <c r="E3940" s="70" t="s">
        <v>228</v>
      </c>
      <c r="F3940" s="29">
        <v>1206</v>
      </c>
      <c r="G3940" s="29">
        <v>750</v>
      </c>
      <c r="H3940" s="33">
        <v>456</v>
      </c>
      <c r="M3940" s="2"/>
      <c r="N3940" s="2"/>
      <c r="O3940" s="2"/>
    </row>
    <row r="3941" spans="1:15" x14ac:dyDescent="0.4">
      <c r="A3941">
        <v>2006</v>
      </c>
      <c r="B3941" s="2" t="s">
        <v>577</v>
      </c>
      <c r="C3941" s="2" t="s">
        <v>723</v>
      </c>
      <c r="D3941" s="2" t="s">
        <v>227</v>
      </c>
      <c r="E3941" s="70" t="s">
        <v>229</v>
      </c>
      <c r="F3941" s="29">
        <v>86</v>
      </c>
      <c r="G3941" s="29">
        <v>55</v>
      </c>
      <c r="H3941" s="33">
        <v>31</v>
      </c>
      <c r="M3941" s="2"/>
      <c r="N3941" s="2"/>
      <c r="O3941" s="2"/>
    </row>
    <row r="3942" spans="1:15" x14ac:dyDescent="0.4">
      <c r="A3942">
        <v>2006</v>
      </c>
      <c r="B3942" s="2" t="s">
        <v>578</v>
      </c>
      <c r="C3942" s="2" t="s">
        <v>723</v>
      </c>
      <c r="D3942" s="2" t="s">
        <v>227</v>
      </c>
      <c r="E3942" s="70" t="s">
        <v>230</v>
      </c>
      <c r="F3942" s="29">
        <v>983</v>
      </c>
      <c r="G3942" s="29">
        <v>617</v>
      </c>
      <c r="H3942" s="33">
        <v>366</v>
      </c>
      <c r="M3942" s="2"/>
      <c r="N3942" s="2"/>
      <c r="O3942" s="2"/>
    </row>
    <row r="3943" spans="1:15" x14ac:dyDescent="0.4">
      <c r="A3943">
        <v>2006</v>
      </c>
      <c r="B3943" s="2" t="s">
        <v>579</v>
      </c>
      <c r="C3943" s="2" t="s">
        <v>723</v>
      </c>
      <c r="D3943" s="2" t="s">
        <v>227</v>
      </c>
      <c r="E3943" s="70" t="s">
        <v>231</v>
      </c>
      <c r="F3943" s="29">
        <v>67</v>
      </c>
      <c r="G3943" s="29">
        <v>41</v>
      </c>
      <c r="H3943" s="33">
        <v>26</v>
      </c>
      <c r="M3943" s="2"/>
      <c r="N3943" s="2"/>
      <c r="O3943" s="2"/>
    </row>
    <row r="3944" spans="1:15" x14ac:dyDescent="0.4">
      <c r="A3944">
        <v>2006</v>
      </c>
      <c r="B3944" s="2" t="s">
        <v>580</v>
      </c>
      <c r="C3944" s="2" t="s">
        <v>723</v>
      </c>
      <c r="D3944" s="2" t="s">
        <v>227</v>
      </c>
      <c r="E3944" s="70" t="s">
        <v>232</v>
      </c>
      <c r="F3944" s="29">
        <v>74</v>
      </c>
      <c r="G3944" s="29">
        <v>41</v>
      </c>
      <c r="H3944" s="33">
        <v>33</v>
      </c>
      <c r="M3944" s="2"/>
      <c r="N3944" s="2"/>
      <c r="O3944" s="2"/>
    </row>
    <row r="3945" spans="1:15" x14ac:dyDescent="0.4">
      <c r="A3945">
        <v>2006</v>
      </c>
      <c r="B3945" s="2" t="s">
        <v>581</v>
      </c>
      <c r="C3945" s="2" t="s">
        <v>723</v>
      </c>
      <c r="D3945" s="2" t="s">
        <v>227</v>
      </c>
      <c r="E3945" s="70" t="s">
        <v>233</v>
      </c>
      <c r="F3945" s="29">
        <v>80</v>
      </c>
      <c r="G3945" s="29">
        <v>47</v>
      </c>
      <c r="H3945" s="33">
        <v>33</v>
      </c>
      <c r="M3945" s="2"/>
      <c r="N3945" s="2"/>
      <c r="O3945" s="2"/>
    </row>
    <row r="3946" spans="1:15" x14ac:dyDescent="0.4">
      <c r="A3946">
        <v>2006</v>
      </c>
      <c r="B3946" s="2" t="s">
        <v>582</v>
      </c>
      <c r="C3946" s="2" t="s">
        <v>723</v>
      </c>
      <c r="D3946" s="2" t="s">
        <v>227</v>
      </c>
      <c r="E3946" s="70" t="s">
        <v>32</v>
      </c>
      <c r="F3946" s="29">
        <v>467</v>
      </c>
      <c r="G3946" s="29">
        <v>313</v>
      </c>
      <c r="H3946" s="33">
        <v>154</v>
      </c>
      <c r="M3946" s="2"/>
      <c r="N3946" s="2"/>
      <c r="O3946" s="2"/>
    </row>
    <row r="3947" spans="1:15" x14ac:dyDescent="0.4">
      <c r="A3947">
        <v>2006</v>
      </c>
      <c r="B3947" s="2" t="s">
        <v>583</v>
      </c>
      <c r="C3947" s="2" t="s">
        <v>723</v>
      </c>
      <c r="D3947" s="2" t="s">
        <v>227</v>
      </c>
      <c r="E3947" s="70" t="s">
        <v>234</v>
      </c>
      <c r="F3947" s="29">
        <v>7</v>
      </c>
      <c r="G3947" s="29">
        <v>4</v>
      </c>
      <c r="H3947" s="33">
        <v>3</v>
      </c>
      <c r="M3947" s="2"/>
      <c r="N3947" s="2"/>
      <c r="O3947" s="2"/>
    </row>
    <row r="3948" spans="1:15" x14ac:dyDescent="0.4">
      <c r="A3948">
        <v>2006</v>
      </c>
      <c r="B3948" s="2" t="s">
        <v>584</v>
      </c>
      <c r="C3948" s="2" t="s">
        <v>723</v>
      </c>
      <c r="D3948" s="2" t="s">
        <v>227</v>
      </c>
      <c r="E3948" s="70" t="s">
        <v>235</v>
      </c>
      <c r="F3948" s="29">
        <v>46</v>
      </c>
      <c r="G3948" s="29">
        <v>28</v>
      </c>
      <c r="H3948" s="33">
        <v>18</v>
      </c>
      <c r="M3948" s="2"/>
      <c r="N3948" s="2"/>
      <c r="O3948" s="2"/>
    </row>
    <row r="3949" spans="1:15" x14ac:dyDescent="0.4">
      <c r="A3949">
        <v>2006</v>
      </c>
      <c r="B3949" s="2" t="s">
        <v>585</v>
      </c>
      <c r="C3949" s="2" t="s">
        <v>723</v>
      </c>
      <c r="D3949" s="2" t="s">
        <v>227</v>
      </c>
      <c r="E3949" s="70" t="s">
        <v>236</v>
      </c>
      <c r="F3949" s="29">
        <v>37</v>
      </c>
      <c r="G3949" s="29">
        <v>25</v>
      </c>
      <c r="H3949" s="33">
        <v>12</v>
      </c>
      <c r="M3949" s="2"/>
      <c r="N3949" s="2"/>
      <c r="O3949" s="2"/>
    </row>
    <row r="3950" spans="1:15" x14ac:dyDescent="0.4">
      <c r="A3950">
        <v>2006</v>
      </c>
      <c r="B3950" s="2" t="s">
        <v>586</v>
      </c>
      <c r="C3950" s="2" t="s">
        <v>723</v>
      </c>
      <c r="D3950" s="2" t="s">
        <v>227</v>
      </c>
      <c r="E3950" s="70" t="s">
        <v>237</v>
      </c>
      <c r="F3950" s="29">
        <v>23</v>
      </c>
      <c r="G3950" s="29">
        <v>13</v>
      </c>
      <c r="H3950" s="33">
        <v>10</v>
      </c>
      <c r="M3950" s="2"/>
      <c r="N3950" s="2"/>
      <c r="O3950" s="2"/>
    </row>
    <row r="3951" spans="1:15" x14ac:dyDescent="0.4">
      <c r="A3951">
        <v>2006</v>
      </c>
      <c r="B3951" s="2" t="s">
        <v>587</v>
      </c>
      <c r="C3951" s="2" t="s">
        <v>723</v>
      </c>
      <c r="D3951" s="2" t="s">
        <v>227</v>
      </c>
      <c r="E3951" s="70" t="s">
        <v>51</v>
      </c>
      <c r="F3951" s="29">
        <v>112</v>
      </c>
      <c r="G3951" s="29">
        <v>67</v>
      </c>
      <c r="H3951" s="33">
        <v>45</v>
      </c>
      <c r="M3951" s="2"/>
      <c r="N3951" s="2"/>
      <c r="O3951" s="2"/>
    </row>
    <row r="3952" spans="1:15" x14ac:dyDescent="0.4">
      <c r="A3952">
        <v>2006</v>
      </c>
      <c r="B3952" s="2" t="s">
        <v>588</v>
      </c>
      <c r="C3952" s="2" t="s">
        <v>723</v>
      </c>
      <c r="D3952" s="2" t="s">
        <v>227</v>
      </c>
      <c r="E3952" s="70" t="s">
        <v>238</v>
      </c>
      <c r="F3952" s="29">
        <v>174</v>
      </c>
      <c r="G3952" s="29">
        <v>112</v>
      </c>
      <c r="H3952" s="33">
        <v>62</v>
      </c>
      <c r="M3952" s="2"/>
      <c r="N3952" s="2"/>
      <c r="O3952" s="2"/>
    </row>
    <row r="3953" spans="1:15" x14ac:dyDescent="0.4">
      <c r="A3953">
        <v>2006</v>
      </c>
      <c r="B3953" s="2" t="s">
        <v>589</v>
      </c>
      <c r="C3953" s="2" t="s">
        <v>724</v>
      </c>
      <c r="D3953" s="2" t="s">
        <v>239</v>
      </c>
      <c r="E3953" s="70" t="s">
        <v>163</v>
      </c>
      <c r="F3953" s="29">
        <v>88</v>
      </c>
      <c r="G3953" s="29">
        <v>54</v>
      </c>
      <c r="H3953" s="33">
        <v>34</v>
      </c>
      <c r="M3953" s="2"/>
      <c r="N3953" s="2"/>
      <c r="O3953" s="2"/>
    </row>
    <row r="3954" spans="1:15" x14ac:dyDescent="0.4">
      <c r="A3954">
        <v>2006</v>
      </c>
      <c r="B3954" s="2" t="s">
        <v>590</v>
      </c>
      <c r="C3954" s="2" t="s">
        <v>724</v>
      </c>
      <c r="D3954" s="2" t="s">
        <v>239</v>
      </c>
      <c r="E3954" s="70" t="s">
        <v>240</v>
      </c>
      <c r="F3954" s="29">
        <v>40</v>
      </c>
      <c r="G3954" s="29">
        <v>23</v>
      </c>
      <c r="H3954" s="33">
        <v>17</v>
      </c>
      <c r="M3954" s="2"/>
      <c r="N3954" s="2"/>
      <c r="O3954" s="2"/>
    </row>
    <row r="3955" spans="1:15" x14ac:dyDescent="0.4">
      <c r="A3955">
        <v>2006</v>
      </c>
      <c r="B3955" s="2" t="s">
        <v>591</v>
      </c>
      <c r="C3955" s="2" t="s">
        <v>724</v>
      </c>
      <c r="D3955" s="2" t="s">
        <v>239</v>
      </c>
      <c r="E3955" s="70" t="s">
        <v>59</v>
      </c>
      <c r="F3955" s="29">
        <v>125</v>
      </c>
      <c r="G3955" s="29">
        <v>76</v>
      </c>
      <c r="H3955" s="33">
        <v>49</v>
      </c>
      <c r="M3955" s="2"/>
      <c r="N3955" s="2"/>
      <c r="O3955" s="2"/>
    </row>
    <row r="3956" spans="1:15" x14ac:dyDescent="0.4">
      <c r="A3956">
        <v>2006</v>
      </c>
      <c r="B3956" s="2" t="s">
        <v>592</v>
      </c>
      <c r="C3956" s="2" t="s">
        <v>724</v>
      </c>
      <c r="D3956" s="2" t="s">
        <v>239</v>
      </c>
      <c r="E3956" s="70" t="s">
        <v>241</v>
      </c>
      <c r="F3956" s="29">
        <v>46</v>
      </c>
      <c r="G3956" s="29">
        <v>32</v>
      </c>
      <c r="H3956" s="33">
        <v>14</v>
      </c>
      <c r="M3956" s="2"/>
      <c r="N3956" s="2"/>
      <c r="O3956" s="2"/>
    </row>
    <row r="3957" spans="1:15" x14ac:dyDescent="0.4">
      <c r="A3957">
        <v>2006</v>
      </c>
      <c r="B3957" s="2" t="s">
        <v>593</v>
      </c>
      <c r="C3957" s="2" t="s">
        <v>724</v>
      </c>
      <c r="D3957" s="2" t="s">
        <v>239</v>
      </c>
      <c r="E3957" s="70" t="s">
        <v>242</v>
      </c>
      <c r="F3957" s="29">
        <v>855</v>
      </c>
      <c r="G3957" s="29">
        <v>499</v>
      </c>
      <c r="H3957" s="33">
        <v>356</v>
      </c>
      <c r="M3957" s="2"/>
      <c r="N3957" s="2"/>
      <c r="O3957" s="2"/>
    </row>
    <row r="3958" spans="1:15" x14ac:dyDescent="0.4">
      <c r="A3958">
        <v>2006</v>
      </c>
      <c r="B3958" s="2" t="s">
        <v>594</v>
      </c>
      <c r="C3958" s="2" t="s">
        <v>724</v>
      </c>
      <c r="D3958" s="2" t="s">
        <v>239</v>
      </c>
      <c r="E3958" s="70" t="s">
        <v>36</v>
      </c>
      <c r="F3958" s="29">
        <v>41</v>
      </c>
      <c r="G3958" s="29">
        <v>23</v>
      </c>
      <c r="H3958" s="33">
        <v>18</v>
      </c>
      <c r="M3958" s="2"/>
      <c r="N3958" s="2"/>
      <c r="O3958" s="2"/>
    </row>
    <row r="3959" spans="1:15" x14ac:dyDescent="0.4">
      <c r="A3959">
        <v>2006</v>
      </c>
      <c r="B3959" s="2" t="s">
        <v>595</v>
      </c>
      <c r="C3959" s="2" t="s">
        <v>724</v>
      </c>
      <c r="D3959" s="2" t="s">
        <v>239</v>
      </c>
      <c r="E3959" s="70" t="s">
        <v>243</v>
      </c>
      <c r="F3959" s="29">
        <v>87</v>
      </c>
      <c r="G3959" s="29">
        <v>56</v>
      </c>
      <c r="H3959" s="33">
        <v>31</v>
      </c>
      <c r="M3959" s="2"/>
      <c r="N3959" s="2"/>
      <c r="O3959" s="2"/>
    </row>
    <row r="3960" spans="1:15" x14ac:dyDescent="0.4">
      <c r="A3960">
        <v>2006</v>
      </c>
      <c r="B3960" s="2" t="s">
        <v>596</v>
      </c>
      <c r="C3960" s="2" t="s">
        <v>724</v>
      </c>
      <c r="D3960" s="2" t="s">
        <v>239</v>
      </c>
      <c r="E3960" s="70" t="s">
        <v>244</v>
      </c>
      <c r="F3960" s="29">
        <v>63</v>
      </c>
      <c r="G3960" s="29">
        <v>31</v>
      </c>
      <c r="H3960" s="33">
        <v>32</v>
      </c>
      <c r="M3960" s="2"/>
      <c r="N3960" s="2"/>
      <c r="O3960" s="2"/>
    </row>
    <row r="3961" spans="1:15" x14ac:dyDescent="0.4">
      <c r="A3961">
        <v>2006</v>
      </c>
      <c r="B3961" s="2" t="s">
        <v>597</v>
      </c>
      <c r="C3961" s="2" t="s">
        <v>724</v>
      </c>
      <c r="D3961" s="2" t="s">
        <v>239</v>
      </c>
      <c r="E3961" s="70" t="s">
        <v>44</v>
      </c>
      <c r="F3961" s="29">
        <v>29</v>
      </c>
      <c r="G3961" s="29">
        <v>18</v>
      </c>
      <c r="H3961" s="33">
        <v>11</v>
      </c>
      <c r="M3961" s="2"/>
      <c r="N3961" s="2"/>
      <c r="O3961" s="2"/>
    </row>
    <row r="3962" spans="1:15" x14ac:dyDescent="0.4">
      <c r="A3962">
        <v>2006</v>
      </c>
      <c r="B3962" s="2" t="s">
        <v>598</v>
      </c>
      <c r="C3962" s="2" t="s">
        <v>724</v>
      </c>
      <c r="D3962" s="2" t="s">
        <v>239</v>
      </c>
      <c r="E3962" s="70" t="s">
        <v>222</v>
      </c>
      <c r="F3962" s="29">
        <v>77</v>
      </c>
      <c r="G3962" s="29">
        <v>47</v>
      </c>
      <c r="H3962" s="33">
        <v>30</v>
      </c>
      <c r="M3962" s="2"/>
      <c r="N3962" s="2"/>
      <c r="O3962" s="2"/>
    </row>
    <row r="3963" spans="1:15" x14ac:dyDescent="0.4">
      <c r="A3963">
        <v>2006</v>
      </c>
      <c r="B3963" s="2" t="s">
        <v>599</v>
      </c>
      <c r="C3963" s="2" t="s">
        <v>724</v>
      </c>
      <c r="D3963" s="2" t="s">
        <v>239</v>
      </c>
      <c r="E3963" s="70" t="s">
        <v>245</v>
      </c>
      <c r="F3963" s="29">
        <v>69</v>
      </c>
      <c r="G3963" s="29">
        <v>40</v>
      </c>
      <c r="H3963" s="33">
        <v>29</v>
      </c>
      <c r="M3963" s="2"/>
      <c r="N3963" s="2"/>
      <c r="O3963" s="2"/>
    </row>
    <row r="3964" spans="1:15" x14ac:dyDescent="0.4">
      <c r="A3964">
        <v>2006</v>
      </c>
      <c r="B3964" s="2" t="s">
        <v>600</v>
      </c>
      <c r="C3964" s="2" t="s">
        <v>724</v>
      </c>
      <c r="D3964" s="2" t="s">
        <v>239</v>
      </c>
      <c r="E3964" s="70" t="s">
        <v>246</v>
      </c>
      <c r="F3964" s="29">
        <v>184</v>
      </c>
      <c r="G3964" s="29">
        <v>116</v>
      </c>
      <c r="H3964" s="33">
        <v>68</v>
      </c>
      <c r="M3964" s="2"/>
      <c r="N3964" s="2"/>
      <c r="O3964" s="2"/>
    </row>
    <row r="3965" spans="1:15" x14ac:dyDescent="0.4">
      <c r="A3965">
        <v>2006</v>
      </c>
      <c r="B3965" s="2" t="s">
        <v>601</v>
      </c>
      <c r="C3965" s="2" t="s">
        <v>724</v>
      </c>
      <c r="D3965" s="2" t="s">
        <v>239</v>
      </c>
      <c r="E3965" s="70" t="s">
        <v>247</v>
      </c>
      <c r="F3965" s="29">
        <v>180</v>
      </c>
      <c r="G3965" s="29">
        <v>103</v>
      </c>
      <c r="H3965" s="33">
        <v>77</v>
      </c>
      <c r="M3965" s="2"/>
      <c r="N3965" s="2"/>
      <c r="O3965" s="2"/>
    </row>
    <row r="3966" spans="1:15" x14ac:dyDescent="0.4">
      <c r="A3966">
        <v>2006</v>
      </c>
      <c r="B3966" s="2" t="s">
        <v>602</v>
      </c>
      <c r="C3966" s="2" t="s">
        <v>724</v>
      </c>
      <c r="D3966" s="2" t="s">
        <v>239</v>
      </c>
      <c r="E3966" s="70" t="s">
        <v>51</v>
      </c>
      <c r="F3966" s="29">
        <v>1694</v>
      </c>
      <c r="G3966" s="29">
        <v>1092</v>
      </c>
      <c r="H3966" s="33">
        <v>602</v>
      </c>
      <c r="M3966" s="2"/>
      <c r="N3966" s="2"/>
      <c r="O3966" s="2"/>
    </row>
    <row r="3967" spans="1:15" x14ac:dyDescent="0.4">
      <c r="A3967">
        <v>2006</v>
      </c>
      <c r="B3967" s="2" t="s">
        <v>603</v>
      </c>
      <c r="C3967" s="2" t="s">
        <v>724</v>
      </c>
      <c r="D3967" s="2" t="s">
        <v>239</v>
      </c>
      <c r="E3967" s="70" t="s">
        <v>248</v>
      </c>
      <c r="F3967" s="29">
        <v>91</v>
      </c>
      <c r="G3967" s="29">
        <v>60</v>
      </c>
      <c r="H3967" s="33">
        <v>31</v>
      </c>
      <c r="M3967" s="2"/>
      <c r="N3967" s="2"/>
      <c r="O3967" s="2"/>
    </row>
    <row r="3968" spans="1:15" x14ac:dyDescent="0.4">
      <c r="A3968">
        <v>2006</v>
      </c>
      <c r="B3968" s="2" t="s">
        <v>604</v>
      </c>
      <c r="C3968" s="2" t="s">
        <v>725</v>
      </c>
      <c r="D3968" s="2" t="s">
        <v>249</v>
      </c>
      <c r="E3968" s="70" t="s">
        <v>174</v>
      </c>
      <c r="F3968" s="29">
        <v>63</v>
      </c>
      <c r="G3968" s="29">
        <v>35</v>
      </c>
      <c r="H3968" s="33">
        <v>28</v>
      </c>
      <c r="M3968" s="2"/>
      <c r="N3968" s="2"/>
      <c r="O3968" s="2"/>
    </row>
    <row r="3969" spans="1:15" x14ac:dyDescent="0.4">
      <c r="A3969">
        <v>2006</v>
      </c>
      <c r="B3969" s="2" t="s">
        <v>605</v>
      </c>
      <c r="C3969" s="2" t="s">
        <v>725</v>
      </c>
      <c r="D3969" s="2" t="s">
        <v>249</v>
      </c>
      <c r="E3969" s="70" t="s">
        <v>250</v>
      </c>
      <c r="F3969" s="29">
        <v>29</v>
      </c>
      <c r="G3969" s="29">
        <v>18</v>
      </c>
      <c r="H3969" s="33">
        <v>11</v>
      </c>
      <c r="M3969" s="2"/>
      <c r="N3969" s="2"/>
      <c r="O3969" s="2"/>
    </row>
    <row r="3970" spans="1:15" x14ac:dyDescent="0.4">
      <c r="A3970">
        <v>2006</v>
      </c>
      <c r="B3970" s="2" t="s">
        <v>606</v>
      </c>
      <c r="C3970" s="2" t="s">
        <v>725</v>
      </c>
      <c r="D3970" s="2" t="s">
        <v>249</v>
      </c>
      <c r="E3970" s="70" t="s">
        <v>251</v>
      </c>
      <c r="F3970" s="29">
        <v>209</v>
      </c>
      <c r="G3970" s="29">
        <v>115</v>
      </c>
      <c r="H3970" s="33">
        <v>94</v>
      </c>
      <c r="M3970" s="2"/>
      <c r="N3970" s="2"/>
      <c r="O3970" s="2"/>
    </row>
    <row r="3971" spans="1:15" x14ac:dyDescent="0.4">
      <c r="A3971">
        <v>2006</v>
      </c>
      <c r="B3971" s="2" t="s">
        <v>607</v>
      </c>
      <c r="C3971" s="2" t="s">
        <v>725</v>
      </c>
      <c r="D3971" s="2" t="s">
        <v>249</v>
      </c>
      <c r="E3971" s="70" t="s">
        <v>36</v>
      </c>
      <c r="F3971" s="29">
        <v>196</v>
      </c>
      <c r="G3971" s="29">
        <v>117</v>
      </c>
      <c r="H3971" s="33">
        <v>79</v>
      </c>
      <c r="M3971" s="2"/>
      <c r="N3971" s="2"/>
      <c r="O3971" s="2"/>
    </row>
    <row r="3972" spans="1:15" x14ac:dyDescent="0.4">
      <c r="A3972">
        <v>2006</v>
      </c>
      <c r="B3972" s="2" t="s">
        <v>608</v>
      </c>
      <c r="C3972" s="2" t="s">
        <v>725</v>
      </c>
      <c r="D3972" s="2" t="s">
        <v>249</v>
      </c>
      <c r="E3972" s="70" t="s">
        <v>252</v>
      </c>
      <c r="F3972" s="29">
        <v>226</v>
      </c>
      <c r="G3972" s="29">
        <v>118</v>
      </c>
      <c r="H3972" s="33">
        <v>108</v>
      </c>
      <c r="M3972" s="2"/>
      <c r="N3972" s="2"/>
      <c r="O3972" s="2"/>
    </row>
    <row r="3973" spans="1:15" x14ac:dyDescent="0.4">
      <c r="A3973">
        <v>2006</v>
      </c>
      <c r="B3973" s="2" t="s">
        <v>609</v>
      </c>
      <c r="C3973" s="2" t="s">
        <v>725</v>
      </c>
      <c r="D3973" s="2" t="s">
        <v>249</v>
      </c>
      <c r="E3973" s="70" t="s">
        <v>253</v>
      </c>
      <c r="F3973" s="29">
        <v>68</v>
      </c>
      <c r="G3973" s="29">
        <v>47</v>
      </c>
      <c r="H3973" s="33">
        <v>21</v>
      </c>
      <c r="M3973" s="2"/>
      <c r="N3973" s="2"/>
      <c r="O3973" s="2"/>
    </row>
    <row r="3974" spans="1:15" x14ac:dyDescent="0.4">
      <c r="A3974">
        <v>2006</v>
      </c>
      <c r="B3974" s="2" t="s">
        <v>610</v>
      </c>
      <c r="C3974" s="2" t="s">
        <v>725</v>
      </c>
      <c r="D3974" s="2" t="s">
        <v>249</v>
      </c>
      <c r="E3974" s="70" t="s">
        <v>254</v>
      </c>
      <c r="F3974" s="29">
        <v>170</v>
      </c>
      <c r="G3974" s="29">
        <v>125</v>
      </c>
      <c r="H3974" s="33">
        <v>45</v>
      </c>
      <c r="M3974" s="2"/>
      <c r="N3974" s="2"/>
      <c r="O3974" s="2"/>
    </row>
    <row r="3975" spans="1:15" x14ac:dyDescent="0.4">
      <c r="A3975">
        <v>2006</v>
      </c>
      <c r="B3975" s="2" t="s">
        <v>611</v>
      </c>
      <c r="C3975" s="2" t="s">
        <v>725</v>
      </c>
      <c r="D3975" s="2" t="s">
        <v>249</v>
      </c>
      <c r="E3975" s="70" t="s">
        <v>11</v>
      </c>
      <c r="F3975" s="29">
        <v>15</v>
      </c>
      <c r="G3975" s="29">
        <v>8</v>
      </c>
      <c r="H3975" s="33">
        <v>7</v>
      </c>
      <c r="M3975" s="2"/>
      <c r="N3975" s="2"/>
      <c r="O3975" s="2"/>
    </row>
    <row r="3976" spans="1:15" x14ac:dyDescent="0.4">
      <c r="A3976">
        <v>2006</v>
      </c>
      <c r="B3976" s="2" t="s">
        <v>612</v>
      </c>
      <c r="C3976" s="2" t="s">
        <v>725</v>
      </c>
      <c r="D3976" s="2" t="s">
        <v>249</v>
      </c>
      <c r="E3976" s="70" t="s">
        <v>255</v>
      </c>
      <c r="F3976" s="29">
        <v>180</v>
      </c>
      <c r="G3976" s="29">
        <v>131</v>
      </c>
      <c r="H3976" s="33">
        <v>49</v>
      </c>
      <c r="M3976" s="2"/>
      <c r="N3976" s="2"/>
      <c r="O3976" s="2"/>
    </row>
    <row r="3977" spans="1:15" x14ac:dyDescent="0.4">
      <c r="A3977">
        <v>2006</v>
      </c>
      <c r="B3977" s="2" t="s">
        <v>613</v>
      </c>
      <c r="C3977" s="2" t="s">
        <v>725</v>
      </c>
      <c r="D3977" s="2" t="s">
        <v>249</v>
      </c>
      <c r="E3977" s="70" t="s">
        <v>256</v>
      </c>
      <c r="F3977" s="29">
        <v>76</v>
      </c>
      <c r="G3977" s="29">
        <v>46</v>
      </c>
      <c r="H3977" s="33">
        <v>30</v>
      </c>
      <c r="M3977" s="2"/>
      <c r="N3977" s="2"/>
      <c r="O3977" s="2"/>
    </row>
    <row r="3978" spans="1:15" x14ac:dyDescent="0.4">
      <c r="A3978">
        <v>2006</v>
      </c>
      <c r="B3978" s="2" t="s">
        <v>614</v>
      </c>
      <c r="C3978" s="2" t="s">
        <v>725</v>
      </c>
      <c r="D3978" s="2" t="s">
        <v>249</v>
      </c>
      <c r="E3978" s="70" t="s">
        <v>14</v>
      </c>
      <c r="F3978" s="29">
        <v>74</v>
      </c>
      <c r="G3978" s="29">
        <v>43</v>
      </c>
      <c r="H3978" s="33">
        <v>31</v>
      </c>
      <c r="M3978" s="2"/>
      <c r="N3978" s="2"/>
      <c r="O3978" s="2"/>
    </row>
    <row r="3979" spans="1:15" x14ac:dyDescent="0.4">
      <c r="A3979">
        <v>2006</v>
      </c>
      <c r="B3979" s="2" t="s">
        <v>615</v>
      </c>
      <c r="C3979" s="2" t="s">
        <v>725</v>
      </c>
      <c r="D3979" s="2" t="s">
        <v>249</v>
      </c>
      <c r="E3979" s="70" t="s">
        <v>257</v>
      </c>
      <c r="F3979" s="29">
        <v>204</v>
      </c>
      <c r="G3979" s="29">
        <v>116</v>
      </c>
      <c r="H3979" s="33">
        <v>88</v>
      </c>
      <c r="M3979" s="2"/>
      <c r="N3979" s="2"/>
      <c r="O3979" s="2"/>
    </row>
    <row r="3980" spans="1:15" x14ac:dyDescent="0.4">
      <c r="A3980">
        <v>2006</v>
      </c>
      <c r="B3980" s="2" t="s">
        <v>616</v>
      </c>
      <c r="C3980" s="2" t="s">
        <v>725</v>
      </c>
      <c r="D3980" s="2" t="s">
        <v>249</v>
      </c>
      <c r="E3980" s="70" t="s">
        <v>258</v>
      </c>
      <c r="F3980" s="29">
        <v>38</v>
      </c>
      <c r="G3980" s="29">
        <v>29</v>
      </c>
      <c r="H3980" s="33">
        <v>9</v>
      </c>
      <c r="M3980" s="2"/>
      <c r="N3980" s="2"/>
      <c r="O3980" s="2"/>
    </row>
    <row r="3981" spans="1:15" x14ac:dyDescent="0.4">
      <c r="A3981">
        <v>2006</v>
      </c>
      <c r="B3981" s="2" t="s">
        <v>617</v>
      </c>
      <c r="C3981" s="2" t="s">
        <v>725</v>
      </c>
      <c r="D3981" s="2" t="s">
        <v>249</v>
      </c>
      <c r="E3981" s="70" t="s">
        <v>259</v>
      </c>
      <c r="F3981" s="29">
        <v>225</v>
      </c>
      <c r="G3981" s="29">
        <v>138</v>
      </c>
      <c r="H3981" s="33">
        <v>87</v>
      </c>
      <c r="M3981" s="2"/>
      <c r="N3981" s="2"/>
      <c r="O3981" s="2"/>
    </row>
    <row r="3982" spans="1:15" x14ac:dyDescent="0.4">
      <c r="A3982">
        <v>2006</v>
      </c>
      <c r="B3982" s="2" t="s">
        <v>618</v>
      </c>
      <c r="C3982" s="2" t="s">
        <v>725</v>
      </c>
      <c r="D3982" s="2" t="s">
        <v>249</v>
      </c>
      <c r="E3982" s="70" t="s">
        <v>18</v>
      </c>
      <c r="F3982" s="29">
        <v>74</v>
      </c>
      <c r="G3982" s="29">
        <v>49</v>
      </c>
      <c r="H3982" s="33">
        <v>25</v>
      </c>
      <c r="M3982" s="2"/>
      <c r="N3982" s="2"/>
      <c r="O3982" s="2"/>
    </row>
    <row r="3983" spans="1:15" x14ac:dyDescent="0.4">
      <c r="A3983">
        <v>2006</v>
      </c>
      <c r="B3983" s="2" t="s">
        <v>619</v>
      </c>
      <c r="C3983" s="2" t="s">
        <v>725</v>
      </c>
      <c r="D3983" s="2" t="s">
        <v>249</v>
      </c>
      <c r="E3983" s="70" t="s">
        <v>44</v>
      </c>
      <c r="F3983" s="29">
        <v>55</v>
      </c>
      <c r="G3983" s="29">
        <v>41</v>
      </c>
      <c r="H3983" s="33">
        <v>14</v>
      </c>
      <c r="M3983" s="2"/>
      <c r="N3983" s="2"/>
      <c r="O3983" s="2"/>
    </row>
    <row r="3984" spans="1:15" x14ac:dyDescent="0.4">
      <c r="A3984">
        <v>2006</v>
      </c>
      <c r="B3984" s="2" t="s">
        <v>620</v>
      </c>
      <c r="C3984" s="2" t="s">
        <v>725</v>
      </c>
      <c r="D3984" s="2" t="s">
        <v>249</v>
      </c>
      <c r="E3984" s="70" t="s">
        <v>260</v>
      </c>
      <c r="F3984" s="29">
        <v>44</v>
      </c>
      <c r="G3984" s="29">
        <v>28</v>
      </c>
      <c r="H3984" s="33">
        <v>16</v>
      </c>
      <c r="M3984" s="2"/>
      <c r="N3984" s="2"/>
      <c r="O3984" s="2"/>
    </row>
    <row r="3985" spans="1:15" x14ac:dyDescent="0.4">
      <c r="A3985">
        <v>2006</v>
      </c>
      <c r="B3985" s="2" t="s">
        <v>621</v>
      </c>
      <c r="C3985" s="2" t="s">
        <v>725</v>
      </c>
      <c r="D3985" s="2" t="s">
        <v>249</v>
      </c>
      <c r="E3985" s="70" t="s">
        <v>261</v>
      </c>
      <c r="F3985" s="29">
        <v>74</v>
      </c>
      <c r="G3985" s="29">
        <v>42</v>
      </c>
      <c r="H3985" s="33">
        <v>32</v>
      </c>
      <c r="M3985" s="2"/>
      <c r="N3985" s="2"/>
      <c r="O3985" s="2"/>
    </row>
    <row r="3986" spans="1:15" x14ac:dyDescent="0.4">
      <c r="A3986">
        <v>2006</v>
      </c>
      <c r="B3986" s="2" t="s">
        <v>622</v>
      </c>
      <c r="C3986" s="2" t="s">
        <v>725</v>
      </c>
      <c r="D3986" s="2" t="s">
        <v>249</v>
      </c>
      <c r="E3986" s="70" t="s">
        <v>262</v>
      </c>
      <c r="F3986" s="29">
        <v>111</v>
      </c>
      <c r="G3986" s="29">
        <v>72</v>
      </c>
      <c r="H3986" s="33">
        <v>39</v>
      </c>
      <c r="M3986" s="2"/>
      <c r="N3986" s="2"/>
      <c r="O3986" s="2"/>
    </row>
    <row r="3987" spans="1:15" x14ac:dyDescent="0.4">
      <c r="A3987">
        <v>2006</v>
      </c>
      <c r="B3987" s="2" t="s">
        <v>623</v>
      </c>
      <c r="C3987" s="2" t="s">
        <v>725</v>
      </c>
      <c r="D3987" s="2" t="s">
        <v>249</v>
      </c>
      <c r="E3987" s="70" t="s">
        <v>263</v>
      </c>
      <c r="F3987" s="29">
        <v>107</v>
      </c>
      <c r="G3987" s="29">
        <v>67</v>
      </c>
      <c r="H3987" s="33">
        <v>40</v>
      </c>
      <c r="M3987" s="2"/>
      <c r="N3987" s="2"/>
      <c r="O3987" s="2"/>
    </row>
    <row r="3988" spans="1:15" x14ac:dyDescent="0.4">
      <c r="A3988">
        <v>2006</v>
      </c>
      <c r="B3988" s="2" t="s">
        <v>624</v>
      </c>
      <c r="C3988" s="2" t="s">
        <v>725</v>
      </c>
      <c r="D3988" s="2" t="s">
        <v>249</v>
      </c>
      <c r="E3988" s="70" t="s">
        <v>264</v>
      </c>
      <c r="F3988" s="29">
        <v>18</v>
      </c>
      <c r="G3988" s="29">
        <v>10</v>
      </c>
      <c r="H3988" s="33">
        <v>8</v>
      </c>
      <c r="M3988" s="2"/>
      <c r="N3988" s="2"/>
      <c r="O3988" s="2"/>
    </row>
    <row r="3989" spans="1:15" x14ac:dyDescent="0.4">
      <c r="A3989">
        <v>2006</v>
      </c>
      <c r="B3989" s="2" t="s">
        <v>625</v>
      </c>
      <c r="C3989" s="2" t="s">
        <v>725</v>
      </c>
      <c r="D3989" s="2" t="s">
        <v>249</v>
      </c>
      <c r="E3989" s="70" t="s">
        <v>265</v>
      </c>
      <c r="F3989" s="29">
        <v>49</v>
      </c>
      <c r="G3989" s="29">
        <v>30</v>
      </c>
      <c r="H3989" s="33">
        <v>19</v>
      </c>
      <c r="M3989" s="2"/>
      <c r="N3989" s="2"/>
      <c r="O3989" s="2"/>
    </row>
    <row r="3990" spans="1:15" x14ac:dyDescent="0.4">
      <c r="A3990">
        <v>2006</v>
      </c>
      <c r="B3990" s="2" t="s">
        <v>626</v>
      </c>
      <c r="C3990" s="2" t="s">
        <v>725</v>
      </c>
      <c r="D3990" s="2" t="s">
        <v>249</v>
      </c>
      <c r="E3990" s="70" t="s">
        <v>266</v>
      </c>
      <c r="F3990" s="29">
        <v>2823</v>
      </c>
      <c r="G3990" s="29">
        <v>1603</v>
      </c>
      <c r="H3990" s="33">
        <v>1220</v>
      </c>
      <c r="M3990" s="2"/>
      <c r="N3990" s="2"/>
      <c r="O3990" s="2"/>
    </row>
    <row r="3991" spans="1:15" x14ac:dyDescent="0.4">
      <c r="A3991">
        <v>2006</v>
      </c>
      <c r="B3991" s="2" t="s">
        <v>627</v>
      </c>
      <c r="C3991" s="2" t="s">
        <v>725</v>
      </c>
      <c r="D3991" s="2" t="s">
        <v>249</v>
      </c>
      <c r="E3991" s="70" t="s">
        <v>267</v>
      </c>
      <c r="F3991" s="29">
        <v>18</v>
      </c>
      <c r="G3991" s="29">
        <v>10</v>
      </c>
      <c r="H3991" s="33">
        <v>8</v>
      </c>
      <c r="M3991" s="2"/>
      <c r="N3991" s="2"/>
      <c r="O3991" s="2"/>
    </row>
    <row r="3992" spans="1:15" x14ac:dyDescent="0.4">
      <c r="A3992">
        <v>2006</v>
      </c>
      <c r="B3992" s="2" t="s">
        <v>628</v>
      </c>
      <c r="C3992" s="2" t="s">
        <v>725</v>
      </c>
      <c r="D3992" s="2" t="s">
        <v>249</v>
      </c>
      <c r="E3992" s="70" t="s">
        <v>268</v>
      </c>
      <c r="F3992" s="29">
        <v>28</v>
      </c>
      <c r="G3992" s="29">
        <v>18</v>
      </c>
      <c r="H3992" s="33">
        <v>10</v>
      </c>
      <c r="M3992" s="2"/>
      <c r="N3992" s="2"/>
      <c r="O3992" s="2"/>
    </row>
    <row r="3993" spans="1:15" x14ac:dyDescent="0.4">
      <c r="A3993">
        <v>2006</v>
      </c>
      <c r="B3993" s="2" t="s">
        <v>629</v>
      </c>
      <c r="C3993" s="2" t="s">
        <v>725</v>
      </c>
      <c r="D3993" s="2" t="s">
        <v>249</v>
      </c>
      <c r="E3993" s="70" t="s">
        <v>26</v>
      </c>
      <c r="F3993" s="29">
        <v>6</v>
      </c>
      <c r="G3993" s="29">
        <v>4</v>
      </c>
      <c r="H3993" s="33">
        <v>2</v>
      </c>
      <c r="M3993" s="2"/>
      <c r="N3993" s="2"/>
      <c r="O3993" s="2"/>
    </row>
    <row r="3994" spans="1:15" x14ac:dyDescent="0.4">
      <c r="A3994">
        <v>2006</v>
      </c>
      <c r="B3994" s="2" t="s">
        <v>630</v>
      </c>
      <c r="C3994" s="2" t="s">
        <v>725</v>
      </c>
      <c r="D3994" s="2" t="s">
        <v>249</v>
      </c>
      <c r="E3994" s="70" t="s">
        <v>51</v>
      </c>
      <c r="F3994" s="29">
        <v>35</v>
      </c>
      <c r="G3994" s="29">
        <v>21</v>
      </c>
      <c r="H3994" s="33">
        <v>14</v>
      </c>
      <c r="M3994" s="2"/>
      <c r="N3994" s="2"/>
      <c r="O3994" s="2"/>
    </row>
    <row r="3995" spans="1:15" x14ac:dyDescent="0.4">
      <c r="A3995">
        <v>2006</v>
      </c>
      <c r="B3995" s="2" t="s">
        <v>631</v>
      </c>
      <c r="C3995" s="2" t="s">
        <v>725</v>
      </c>
      <c r="D3995" s="2" t="s">
        <v>249</v>
      </c>
      <c r="E3995" s="70" t="s">
        <v>269</v>
      </c>
      <c r="F3995" s="29">
        <v>83</v>
      </c>
      <c r="G3995" s="29">
        <v>68</v>
      </c>
      <c r="H3995" s="33">
        <v>15</v>
      </c>
      <c r="M3995" s="2"/>
      <c r="N3995" s="2"/>
      <c r="O3995" s="2"/>
    </row>
    <row r="3996" spans="1:15" x14ac:dyDescent="0.4">
      <c r="A3996">
        <v>2006</v>
      </c>
      <c r="B3996" s="2" t="s">
        <v>632</v>
      </c>
      <c r="C3996" s="2" t="s">
        <v>725</v>
      </c>
      <c r="D3996" s="2" t="s">
        <v>249</v>
      </c>
      <c r="E3996" s="70" t="s">
        <v>270</v>
      </c>
      <c r="F3996" s="29">
        <v>79</v>
      </c>
      <c r="G3996" s="29">
        <v>48</v>
      </c>
      <c r="H3996" s="33">
        <v>31</v>
      </c>
      <c r="M3996" s="2"/>
      <c r="N3996" s="2"/>
      <c r="O3996" s="2"/>
    </row>
    <row r="3997" spans="1:15" x14ac:dyDescent="0.4">
      <c r="A3997">
        <v>2006</v>
      </c>
      <c r="B3997" s="2" t="s">
        <v>633</v>
      </c>
      <c r="C3997" s="2" t="s">
        <v>726</v>
      </c>
      <c r="D3997" s="2" t="s">
        <v>271</v>
      </c>
      <c r="E3997" s="70" t="s">
        <v>174</v>
      </c>
      <c r="F3997" s="29">
        <v>47</v>
      </c>
      <c r="G3997" s="29">
        <v>35</v>
      </c>
      <c r="H3997" s="33">
        <v>12</v>
      </c>
      <c r="M3997" s="2"/>
      <c r="N3997" s="2"/>
      <c r="O3997" s="2"/>
    </row>
    <row r="3998" spans="1:15" x14ac:dyDescent="0.4">
      <c r="A3998">
        <v>2006</v>
      </c>
      <c r="B3998" s="2" t="s">
        <v>634</v>
      </c>
      <c r="C3998" s="2" t="s">
        <v>726</v>
      </c>
      <c r="D3998" s="2" t="s">
        <v>271</v>
      </c>
      <c r="E3998" s="70" t="s">
        <v>272</v>
      </c>
      <c r="F3998" s="29">
        <v>425</v>
      </c>
      <c r="G3998" s="29">
        <v>257</v>
      </c>
      <c r="H3998" s="33">
        <v>168</v>
      </c>
      <c r="M3998" s="2"/>
      <c r="N3998" s="2"/>
      <c r="O3998" s="2"/>
    </row>
    <row r="3999" spans="1:15" x14ac:dyDescent="0.4">
      <c r="A3999">
        <v>2006</v>
      </c>
      <c r="B3999" s="2" t="s">
        <v>635</v>
      </c>
      <c r="C3999" s="2" t="s">
        <v>726</v>
      </c>
      <c r="D3999" s="2" t="s">
        <v>271</v>
      </c>
      <c r="E3999" s="70" t="s">
        <v>36</v>
      </c>
      <c r="F3999" s="29">
        <v>26</v>
      </c>
      <c r="G3999" s="29">
        <v>21</v>
      </c>
      <c r="H3999" s="33">
        <v>5</v>
      </c>
      <c r="M3999" s="2"/>
      <c r="N3999" s="2"/>
      <c r="O3999" s="2"/>
    </row>
    <row r="4000" spans="1:15" x14ac:dyDescent="0.4">
      <c r="A4000">
        <v>2006</v>
      </c>
      <c r="B4000" s="2" t="s">
        <v>636</v>
      </c>
      <c r="C4000" s="2" t="s">
        <v>726</v>
      </c>
      <c r="D4000" s="2" t="s">
        <v>271</v>
      </c>
      <c r="E4000" s="70" t="s">
        <v>273</v>
      </c>
      <c r="F4000" s="29">
        <v>94</v>
      </c>
      <c r="G4000" s="29">
        <v>68</v>
      </c>
      <c r="H4000" s="33">
        <v>26</v>
      </c>
      <c r="M4000" s="2"/>
      <c r="N4000" s="2"/>
      <c r="O4000" s="2"/>
    </row>
    <row r="4001" spans="1:15" x14ac:dyDescent="0.4">
      <c r="A4001">
        <v>2006</v>
      </c>
      <c r="B4001" s="2" t="s">
        <v>637</v>
      </c>
      <c r="C4001" s="2" t="s">
        <v>726</v>
      </c>
      <c r="D4001" s="2" t="s">
        <v>271</v>
      </c>
      <c r="E4001" s="70" t="s">
        <v>274</v>
      </c>
      <c r="F4001" s="29">
        <v>119</v>
      </c>
      <c r="G4001" s="29">
        <v>73</v>
      </c>
      <c r="H4001" s="33">
        <v>46</v>
      </c>
      <c r="M4001" s="2"/>
      <c r="N4001" s="2"/>
      <c r="O4001" s="2"/>
    </row>
    <row r="4002" spans="1:15" x14ac:dyDescent="0.4">
      <c r="A4002">
        <v>2006</v>
      </c>
      <c r="B4002" s="2" t="s">
        <v>638</v>
      </c>
      <c r="C4002" s="2" t="s">
        <v>726</v>
      </c>
      <c r="D4002" s="2" t="s">
        <v>271</v>
      </c>
      <c r="E4002" s="70" t="s">
        <v>275</v>
      </c>
      <c r="F4002" s="29">
        <v>79</v>
      </c>
      <c r="G4002" s="29">
        <v>42</v>
      </c>
      <c r="H4002" s="33">
        <v>37</v>
      </c>
      <c r="M4002" s="2"/>
      <c r="N4002" s="2"/>
      <c r="O4002" s="2"/>
    </row>
    <row r="4003" spans="1:15" x14ac:dyDescent="0.4">
      <c r="A4003">
        <v>2006</v>
      </c>
      <c r="B4003" s="2" t="s">
        <v>639</v>
      </c>
      <c r="C4003" s="2" t="s">
        <v>726</v>
      </c>
      <c r="D4003" s="2" t="s">
        <v>271</v>
      </c>
      <c r="E4003" s="70" t="s">
        <v>276</v>
      </c>
      <c r="F4003" s="29">
        <v>2</v>
      </c>
      <c r="G4003" s="29">
        <v>1</v>
      </c>
      <c r="H4003" s="33">
        <v>1</v>
      </c>
      <c r="M4003" s="2"/>
      <c r="N4003" s="2"/>
      <c r="O4003" s="2"/>
    </row>
    <row r="4004" spans="1:15" x14ac:dyDescent="0.4">
      <c r="A4004">
        <v>2006</v>
      </c>
      <c r="B4004" s="2" t="s">
        <v>640</v>
      </c>
      <c r="C4004" s="2" t="s">
        <v>726</v>
      </c>
      <c r="D4004" s="2" t="s">
        <v>271</v>
      </c>
      <c r="E4004" s="70" t="s">
        <v>277</v>
      </c>
      <c r="F4004" s="29">
        <v>18</v>
      </c>
      <c r="G4004" s="29">
        <v>7</v>
      </c>
      <c r="H4004" s="33">
        <v>11</v>
      </c>
      <c r="M4004" s="2"/>
      <c r="N4004" s="2"/>
      <c r="O4004" s="2"/>
    </row>
    <row r="4005" spans="1:15" x14ac:dyDescent="0.4">
      <c r="A4005">
        <v>2006</v>
      </c>
      <c r="B4005" s="2" t="s">
        <v>641</v>
      </c>
      <c r="C4005" s="2" t="s">
        <v>726</v>
      </c>
      <c r="D4005" s="2" t="s">
        <v>271</v>
      </c>
      <c r="E4005" s="70" t="s">
        <v>278</v>
      </c>
      <c r="F4005" s="29">
        <v>42</v>
      </c>
      <c r="G4005" s="29">
        <v>31</v>
      </c>
      <c r="H4005" s="33">
        <v>11</v>
      </c>
      <c r="M4005" s="2"/>
      <c r="N4005" s="2"/>
      <c r="O4005" s="2"/>
    </row>
    <row r="4006" spans="1:15" x14ac:dyDescent="0.4">
      <c r="A4006">
        <v>2006</v>
      </c>
      <c r="B4006" s="2" t="s">
        <v>642</v>
      </c>
      <c r="C4006" s="2" t="s">
        <v>726</v>
      </c>
      <c r="D4006" s="2" t="s">
        <v>271</v>
      </c>
      <c r="E4006" s="70" t="s">
        <v>85</v>
      </c>
      <c r="F4006" s="29">
        <v>25</v>
      </c>
      <c r="G4006" s="29">
        <v>16</v>
      </c>
      <c r="H4006" s="33">
        <v>9</v>
      </c>
      <c r="M4006" s="2"/>
      <c r="N4006" s="2"/>
      <c r="O4006" s="2"/>
    </row>
    <row r="4007" spans="1:15" x14ac:dyDescent="0.4">
      <c r="A4007">
        <v>2006</v>
      </c>
      <c r="B4007" s="2" t="s">
        <v>643</v>
      </c>
      <c r="C4007" s="2" t="s">
        <v>726</v>
      </c>
      <c r="D4007" s="2" t="s">
        <v>271</v>
      </c>
      <c r="E4007" s="70" t="s">
        <v>279</v>
      </c>
      <c r="F4007" s="29">
        <v>28</v>
      </c>
      <c r="G4007" s="29">
        <v>17</v>
      </c>
      <c r="H4007" s="33">
        <v>11</v>
      </c>
      <c r="M4007" s="2"/>
      <c r="N4007" s="2"/>
      <c r="O4007" s="2"/>
    </row>
    <row r="4008" spans="1:15" x14ac:dyDescent="0.4">
      <c r="A4008">
        <v>2006</v>
      </c>
      <c r="B4008" s="2" t="s">
        <v>644</v>
      </c>
      <c r="C4008" s="2" t="s">
        <v>726</v>
      </c>
      <c r="D4008" s="2" t="s">
        <v>271</v>
      </c>
      <c r="E4008" s="70" t="s">
        <v>280</v>
      </c>
      <c r="F4008" s="29">
        <v>29</v>
      </c>
      <c r="G4008" s="29">
        <v>17</v>
      </c>
      <c r="H4008" s="33">
        <v>12</v>
      </c>
      <c r="M4008" s="2"/>
      <c r="N4008" s="2"/>
      <c r="O4008" s="2"/>
    </row>
    <row r="4009" spans="1:15" x14ac:dyDescent="0.4">
      <c r="A4009">
        <v>2006</v>
      </c>
      <c r="B4009" s="2" t="s">
        <v>645</v>
      </c>
      <c r="C4009" s="2" t="s">
        <v>726</v>
      </c>
      <c r="D4009" s="2" t="s">
        <v>271</v>
      </c>
      <c r="E4009" s="70" t="s">
        <v>281</v>
      </c>
      <c r="F4009" s="29">
        <v>149</v>
      </c>
      <c r="G4009" s="29">
        <v>92</v>
      </c>
      <c r="H4009" s="33">
        <v>57</v>
      </c>
      <c r="M4009" s="2"/>
      <c r="N4009" s="2"/>
      <c r="O4009" s="2"/>
    </row>
    <row r="4010" spans="1:15" x14ac:dyDescent="0.4">
      <c r="A4010">
        <v>2006</v>
      </c>
      <c r="B4010" s="2" t="s">
        <v>646</v>
      </c>
      <c r="C4010" s="2" t="s">
        <v>726</v>
      </c>
      <c r="D4010" s="2" t="s">
        <v>271</v>
      </c>
      <c r="E4010" s="70" t="s">
        <v>282</v>
      </c>
      <c r="F4010" s="29">
        <v>38</v>
      </c>
      <c r="G4010" s="29">
        <v>28</v>
      </c>
      <c r="H4010" s="33">
        <v>10</v>
      </c>
      <c r="M4010" s="2"/>
      <c r="N4010" s="2"/>
      <c r="O4010" s="2"/>
    </row>
    <row r="4011" spans="1:15" x14ac:dyDescent="0.4">
      <c r="A4011">
        <v>2006</v>
      </c>
      <c r="B4011" s="2" t="s">
        <v>647</v>
      </c>
      <c r="C4011" s="2" t="s">
        <v>726</v>
      </c>
      <c r="D4011" s="2" t="s">
        <v>271</v>
      </c>
      <c r="E4011" s="70" t="s">
        <v>283</v>
      </c>
      <c r="F4011" s="29">
        <v>57</v>
      </c>
      <c r="G4011" s="29">
        <v>38</v>
      </c>
      <c r="H4011" s="33">
        <v>19</v>
      </c>
      <c r="M4011" s="2"/>
      <c r="N4011" s="2"/>
      <c r="O4011" s="2"/>
    </row>
    <row r="4012" spans="1:15" x14ac:dyDescent="0.4">
      <c r="A4012">
        <v>2006</v>
      </c>
      <c r="B4012" s="2" t="s">
        <v>648</v>
      </c>
      <c r="C4012" s="2" t="s">
        <v>726</v>
      </c>
      <c r="D4012" s="2" t="s">
        <v>271</v>
      </c>
      <c r="E4012" s="70" t="s">
        <v>284</v>
      </c>
      <c r="F4012" s="29">
        <v>112</v>
      </c>
      <c r="G4012" s="29">
        <v>66</v>
      </c>
      <c r="H4012" s="33">
        <v>46</v>
      </c>
      <c r="M4012" s="2"/>
      <c r="N4012" s="2"/>
      <c r="O4012" s="2"/>
    </row>
    <row r="4013" spans="1:15" x14ac:dyDescent="0.4">
      <c r="A4013">
        <v>2006</v>
      </c>
      <c r="B4013" s="2" t="s">
        <v>649</v>
      </c>
      <c r="C4013" s="2" t="s">
        <v>726</v>
      </c>
      <c r="D4013" s="2" t="s">
        <v>271</v>
      </c>
      <c r="E4013" s="70" t="s">
        <v>51</v>
      </c>
      <c r="F4013" s="29">
        <v>102</v>
      </c>
      <c r="G4013" s="29">
        <v>64</v>
      </c>
      <c r="H4013" s="33">
        <v>38</v>
      </c>
      <c r="M4013" s="2"/>
      <c r="N4013" s="2"/>
      <c r="O4013" s="2"/>
    </row>
    <row r="4014" spans="1:15" x14ac:dyDescent="0.4">
      <c r="A4014">
        <v>2006</v>
      </c>
      <c r="B4014" s="2" t="s">
        <v>650</v>
      </c>
      <c r="C4014" s="2" t="s">
        <v>726</v>
      </c>
      <c r="D4014" s="2" t="s">
        <v>271</v>
      </c>
      <c r="E4014" s="70" t="s">
        <v>285</v>
      </c>
      <c r="F4014" s="29">
        <v>401</v>
      </c>
      <c r="G4014" s="29">
        <v>217</v>
      </c>
      <c r="H4014" s="33">
        <v>184</v>
      </c>
      <c r="M4014" s="2"/>
      <c r="N4014" s="2"/>
      <c r="O4014" s="2"/>
    </row>
    <row r="4015" spans="1:15" x14ac:dyDescent="0.4">
      <c r="A4015">
        <v>2006</v>
      </c>
      <c r="B4015" s="2" t="s">
        <v>651</v>
      </c>
      <c r="C4015" s="2" t="s">
        <v>726</v>
      </c>
      <c r="D4015" s="2" t="s">
        <v>271</v>
      </c>
      <c r="E4015" s="70" t="s">
        <v>53</v>
      </c>
      <c r="F4015" s="29">
        <v>143</v>
      </c>
      <c r="G4015" s="29">
        <v>88</v>
      </c>
      <c r="H4015" s="33">
        <v>55</v>
      </c>
      <c r="M4015" s="2"/>
      <c r="N4015" s="2"/>
      <c r="O4015" s="2"/>
    </row>
    <row r="4016" spans="1:15" x14ac:dyDescent="0.4">
      <c r="A4016">
        <v>2006</v>
      </c>
      <c r="B4016" s="2" t="s">
        <v>652</v>
      </c>
      <c r="C4016" s="2" t="s">
        <v>726</v>
      </c>
      <c r="D4016" s="2" t="s">
        <v>271</v>
      </c>
      <c r="E4016" s="70" t="s">
        <v>286</v>
      </c>
      <c r="F4016" s="29">
        <v>1464</v>
      </c>
      <c r="G4016" s="29">
        <v>885</v>
      </c>
      <c r="H4016" s="33">
        <v>579</v>
      </c>
      <c r="M4016" s="2"/>
      <c r="N4016" s="2"/>
      <c r="O4016" s="2"/>
    </row>
    <row r="4017" spans="1:15" x14ac:dyDescent="0.4">
      <c r="A4017">
        <v>2006</v>
      </c>
      <c r="B4017" s="2" t="s">
        <v>653</v>
      </c>
      <c r="C4017" s="2" t="s">
        <v>727</v>
      </c>
      <c r="D4017" s="2" t="s">
        <v>288</v>
      </c>
      <c r="E4017" s="70" t="s">
        <v>287</v>
      </c>
      <c r="F4017" s="29">
        <v>108</v>
      </c>
      <c r="G4017" s="29">
        <v>65</v>
      </c>
      <c r="H4017" s="33">
        <v>43</v>
      </c>
      <c r="M4017" s="2"/>
      <c r="N4017" s="2"/>
      <c r="O4017" s="2"/>
    </row>
    <row r="4018" spans="1:15" x14ac:dyDescent="0.4">
      <c r="A4018">
        <v>2006</v>
      </c>
      <c r="B4018" s="2" t="s">
        <v>654</v>
      </c>
      <c r="C4018" s="2" t="s">
        <v>727</v>
      </c>
      <c r="D4018" s="2" t="s">
        <v>288</v>
      </c>
      <c r="E4018" s="70" t="s">
        <v>289</v>
      </c>
      <c r="F4018" s="29">
        <v>119</v>
      </c>
      <c r="G4018" s="29">
        <v>90</v>
      </c>
      <c r="H4018" s="33">
        <v>29</v>
      </c>
      <c r="M4018" s="2"/>
      <c r="N4018" s="2"/>
      <c r="O4018" s="2"/>
    </row>
    <row r="4019" spans="1:15" x14ac:dyDescent="0.4">
      <c r="A4019">
        <v>2006</v>
      </c>
      <c r="B4019" s="2" t="s">
        <v>655</v>
      </c>
      <c r="C4019" s="2" t="s">
        <v>727</v>
      </c>
      <c r="D4019" s="2" t="s">
        <v>288</v>
      </c>
      <c r="E4019" s="70" t="s">
        <v>290</v>
      </c>
      <c r="F4019" s="29">
        <v>94</v>
      </c>
      <c r="G4019" s="29">
        <v>61</v>
      </c>
      <c r="H4019" s="33">
        <v>33</v>
      </c>
      <c r="M4019" s="2"/>
      <c r="N4019" s="2"/>
      <c r="O4019" s="2"/>
    </row>
    <row r="4020" spans="1:15" x14ac:dyDescent="0.4">
      <c r="A4020">
        <v>2006</v>
      </c>
      <c r="B4020" s="2" t="s">
        <v>656</v>
      </c>
      <c r="C4020" s="2" t="s">
        <v>727</v>
      </c>
      <c r="D4020" s="2" t="s">
        <v>288</v>
      </c>
      <c r="E4020" s="70" t="s">
        <v>291</v>
      </c>
      <c r="F4020" s="29">
        <v>0</v>
      </c>
      <c r="G4020" s="29">
        <v>0</v>
      </c>
      <c r="H4020" s="33">
        <v>0</v>
      </c>
      <c r="M4020" s="2"/>
      <c r="N4020" s="2"/>
      <c r="O4020" s="2"/>
    </row>
    <row r="4021" spans="1:15" x14ac:dyDescent="0.4">
      <c r="A4021">
        <v>2006</v>
      </c>
      <c r="B4021" s="2" t="s">
        <v>657</v>
      </c>
      <c r="C4021" s="2" t="s">
        <v>727</v>
      </c>
      <c r="D4021" s="2" t="s">
        <v>288</v>
      </c>
      <c r="E4021" s="70" t="s">
        <v>292</v>
      </c>
      <c r="F4021" s="29">
        <v>260</v>
      </c>
      <c r="G4021" s="29">
        <v>180</v>
      </c>
      <c r="H4021" s="33">
        <v>80</v>
      </c>
      <c r="M4021" s="2"/>
      <c r="N4021" s="2"/>
      <c r="O4021" s="2"/>
    </row>
    <row r="4022" spans="1:15" x14ac:dyDescent="0.4">
      <c r="A4022">
        <v>2006</v>
      </c>
      <c r="B4022" s="2" t="s">
        <v>658</v>
      </c>
      <c r="C4022" s="2" t="s">
        <v>727</v>
      </c>
      <c r="D4022" s="2" t="s">
        <v>288</v>
      </c>
      <c r="E4022" s="70" t="s">
        <v>293</v>
      </c>
      <c r="F4022" s="29">
        <v>1</v>
      </c>
      <c r="G4022" s="29">
        <v>1</v>
      </c>
      <c r="H4022" s="33">
        <v>0</v>
      </c>
      <c r="M4022" s="2"/>
      <c r="N4022" s="2"/>
      <c r="O4022" s="2"/>
    </row>
    <row r="4023" spans="1:15" x14ac:dyDescent="0.4">
      <c r="A4023">
        <v>2006</v>
      </c>
      <c r="B4023" s="2" t="s">
        <v>659</v>
      </c>
      <c r="C4023" s="2" t="s">
        <v>727</v>
      </c>
      <c r="D4023" s="2" t="s">
        <v>288</v>
      </c>
      <c r="E4023" s="70" t="s">
        <v>294</v>
      </c>
      <c r="F4023" s="29">
        <v>294</v>
      </c>
      <c r="G4023" s="29">
        <v>172</v>
      </c>
      <c r="H4023" s="33">
        <v>122</v>
      </c>
      <c r="M4023" s="2"/>
      <c r="N4023" s="2"/>
      <c r="O4023" s="2"/>
    </row>
    <row r="4024" spans="1:15" x14ac:dyDescent="0.4">
      <c r="A4024">
        <v>2006</v>
      </c>
      <c r="B4024" s="2" t="s">
        <v>660</v>
      </c>
      <c r="C4024" s="2" t="s">
        <v>727</v>
      </c>
      <c r="D4024" s="2" t="s">
        <v>288</v>
      </c>
      <c r="E4024" s="70" t="s">
        <v>295</v>
      </c>
      <c r="F4024" s="29">
        <v>120</v>
      </c>
      <c r="G4024" s="29">
        <v>76</v>
      </c>
      <c r="H4024" s="33">
        <v>44</v>
      </c>
      <c r="M4024" s="2"/>
      <c r="N4024" s="2"/>
      <c r="O4024" s="2"/>
    </row>
    <row r="4025" spans="1:15" x14ac:dyDescent="0.4">
      <c r="A4025">
        <v>2006</v>
      </c>
      <c r="B4025" s="2" t="s">
        <v>661</v>
      </c>
      <c r="C4025" s="2" t="s">
        <v>727</v>
      </c>
      <c r="D4025" s="2" t="s">
        <v>288</v>
      </c>
      <c r="E4025" s="70" t="s">
        <v>296</v>
      </c>
      <c r="F4025" s="29">
        <v>566</v>
      </c>
      <c r="G4025" s="29">
        <v>348</v>
      </c>
      <c r="H4025" s="33">
        <v>218</v>
      </c>
      <c r="M4025" s="2"/>
      <c r="N4025" s="2"/>
      <c r="O4025" s="2"/>
    </row>
    <row r="4026" spans="1:15" x14ac:dyDescent="0.4">
      <c r="A4026">
        <v>2006</v>
      </c>
      <c r="B4026" s="2" t="s">
        <v>662</v>
      </c>
      <c r="C4026" s="2" t="s">
        <v>727</v>
      </c>
      <c r="D4026" s="2" t="s">
        <v>288</v>
      </c>
      <c r="E4026" s="70" t="s">
        <v>297</v>
      </c>
      <c r="F4026" s="29">
        <v>49</v>
      </c>
      <c r="G4026" s="29">
        <v>31</v>
      </c>
      <c r="H4026" s="33">
        <v>18</v>
      </c>
      <c r="M4026" s="2"/>
      <c r="N4026" s="2"/>
      <c r="O4026" s="2"/>
    </row>
    <row r="4027" spans="1:15" x14ac:dyDescent="0.4">
      <c r="A4027">
        <v>2006</v>
      </c>
      <c r="B4027" s="2" t="s">
        <v>663</v>
      </c>
      <c r="C4027" s="2" t="s">
        <v>727</v>
      </c>
      <c r="D4027" s="2" t="s">
        <v>288</v>
      </c>
      <c r="E4027" s="70" t="s">
        <v>298</v>
      </c>
      <c r="F4027" s="29">
        <v>22</v>
      </c>
      <c r="G4027" s="29">
        <v>15</v>
      </c>
      <c r="H4027" s="33">
        <v>7</v>
      </c>
      <c r="M4027" s="2"/>
      <c r="N4027" s="2"/>
      <c r="O4027" s="2"/>
    </row>
    <row r="4028" spans="1:15" x14ac:dyDescent="0.4">
      <c r="A4028">
        <v>2006</v>
      </c>
      <c r="B4028" s="2" t="s">
        <v>664</v>
      </c>
      <c r="C4028" s="2" t="s">
        <v>728</v>
      </c>
      <c r="D4028" s="2" t="s">
        <v>300</v>
      </c>
      <c r="E4028" s="70" t="s">
        <v>299</v>
      </c>
      <c r="F4028" s="29">
        <v>37</v>
      </c>
      <c r="G4028" s="29">
        <v>22</v>
      </c>
      <c r="H4028" s="33">
        <v>15</v>
      </c>
      <c r="M4028" s="2"/>
      <c r="N4028" s="2"/>
      <c r="O4028" s="2"/>
    </row>
    <row r="4029" spans="1:15" x14ac:dyDescent="0.4">
      <c r="A4029">
        <v>2006</v>
      </c>
      <c r="B4029" s="2" t="s">
        <v>665</v>
      </c>
      <c r="C4029" s="2" t="s">
        <v>728</v>
      </c>
      <c r="D4029" s="2" t="s">
        <v>300</v>
      </c>
      <c r="E4029" s="70" t="s">
        <v>36</v>
      </c>
      <c r="F4029" s="29">
        <v>67</v>
      </c>
      <c r="G4029" s="29">
        <v>51</v>
      </c>
      <c r="H4029" s="33">
        <v>16</v>
      </c>
      <c r="M4029" s="2"/>
      <c r="N4029" s="2"/>
      <c r="O4029" s="2"/>
    </row>
    <row r="4030" spans="1:15" x14ac:dyDescent="0.4">
      <c r="A4030">
        <v>2006</v>
      </c>
      <c r="B4030" s="2" t="s">
        <v>666</v>
      </c>
      <c r="C4030" s="2" t="s">
        <v>728</v>
      </c>
      <c r="D4030" s="2" t="s">
        <v>300</v>
      </c>
      <c r="E4030" s="70" t="s">
        <v>301</v>
      </c>
      <c r="F4030" s="29">
        <v>158</v>
      </c>
      <c r="G4030" s="29">
        <v>99</v>
      </c>
      <c r="H4030" s="33">
        <v>59</v>
      </c>
      <c r="M4030" s="2"/>
      <c r="N4030" s="2"/>
      <c r="O4030" s="2"/>
    </row>
    <row r="4031" spans="1:15" x14ac:dyDescent="0.4">
      <c r="A4031">
        <v>2006</v>
      </c>
      <c r="B4031" s="2" t="s">
        <v>667</v>
      </c>
      <c r="C4031" s="2" t="s">
        <v>728</v>
      </c>
      <c r="D4031" s="2" t="s">
        <v>300</v>
      </c>
      <c r="E4031" s="70" t="s">
        <v>302</v>
      </c>
      <c r="F4031" s="29">
        <v>110</v>
      </c>
      <c r="G4031" s="29">
        <v>70</v>
      </c>
      <c r="H4031" s="33">
        <v>40</v>
      </c>
      <c r="M4031" s="2"/>
      <c r="N4031" s="2"/>
      <c r="O4031" s="2"/>
    </row>
    <row r="4032" spans="1:15" x14ac:dyDescent="0.4">
      <c r="A4032">
        <v>2006</v>
      </c>
      <c r="B4032" s="2" t="s">
        <v>668</v>
      </c>
      <c r="C4032" s="2" t="s">
        <v>728</v>
      </c>
      <c r="D4032" s="2" t="s">
        <v>300</v>
      </c>
      <c r="E4032" s="70" t="s">
        <v>14</v>
      </c>
      <c r="F4032" s="29">
        <v>88</v>
      </c>
      <c r="G4032" s="29">
        <v>58</v>
      </c>
      <c r="H4032" s="33">
        <v>30</v>
      </c>
      <c r="M4032" s="2"/>
      <c r="N4032" s="2"/>
      <c r="O4032" s="2"/>
    </row>
    <row r="4033" spans="1:15" x14ac:dyDescent="0.4">
      <c r="A4033">
        <v>2006</v>
      </c>
      <c r="B4033" s="2" t="s">
        <v>669</v>
      </c>
      <c r="C4033" s="2" t="s">
        <v>728</v>
      </c>
      <c r="D4033" s="2" t="s">
        <v>300</v>
      </c>
      <c r="E4033" s="70" t="s">
        <v>303</v>
      </c>
      <c r="F4033" s="29">
        <v>38</v>
      </c>
      <c r="G4033" s="29">
        <v>26</v>
      </c>
      <c r="H4033" s="33">
        <v>12</v>
      </c>
      <c r="M4033" s="2"/>
      <c r="N4033" s="2"/>
      <c r="O4033" s="2"/>
    </row>
    <row r="4034" spans="1:15" x14ac:dyDescent="0.4">
      <c r="A4034">
        <v>2006</v>
      </c>
      <c r="B4034" s="2" t="s">
        <v>670</v>
      </c>
      <c r="C4034" s="2" t="s">
        <v>728</v>
      </c>
      <c r="D4034" s="2" t="s">
        <v>300</v>
      </c>
      <c r="E4034" s="70" t="s">
        <v>304</v>
      </c>
      <c r="F4034" s="29">
        <v>30</v>
      </c>
      <c r="G4034" s="29">
        <v>22</v>
      </c>
      <c r="H4034" s="33">
        <v>8</v>
      </c>
      <c r="M4034" s="2"/>
      <c r="N4034" s="2"/>
      <c r="O4034" s="2"/>
    </row>
    <row r="4035" spans="1:15" x14ac:dyDescent="0.4">
      <c r="A4035">
        <v>2006</v>
      </c>
      <c r="B4035" s="2" t="s">
        <v>671</v>
      </c>
      <c r="C4035" s="2" t="s">
        <v>728</v>
      </c>
      <c r="D4035" s="2" t="s">
        <v>300</v>
      </c>
      <c r="E4035" s="70" t="s">
        <v>305</v>
      </c>
      <c r="F4035" s="29">
        <v>11</v>
      </c>
      <c r="G4035" s="29">
        <v>5</v>
      </c>
      <c r="H4035" s="33">
        <v>6</v>
      </c>
      <c r="M4035" s="2"/>
      <c r="N4035" s="2"/>
      <c r="O4035" s="2"/>
    </row>
    <row r="4036" spans="1:15" x14ac:dyDescent="0.4">
      <c r="A4036">
        <v>2006</v>
      </c>
      <c r="B4036" s="2" t="s">
        <v>672</v>
      </c>
      <c r="C4036" s="2" t="s">
        <v>728</v>
      </c>
      <c r="D4036" s="14" t="s">
        <v>300</v>
      </c>
      <c r="E4036" s="69" t="s">
        <v>306</v>
      </c>
      <c r="F4036" s="11">
        <v>229</v>
      </c>
      <c r="G4036" s="11">
        <v>158</v>
      </c>
      <c r="H4036" s="12">
        <v>71</v>
      </c>
      <c r="M4036" s="2"/>
      <c r="N4036" s="2"/>
      <c r="O4036" s="2"/>
    </row>
    <row r="4037" spans="1:15" x14ac:dyDescent="0.4">
      <c r="A4037">
        <v>2006</v>
      </c>
      <c r="B4037" s="2" t="s">
        <v>673</v>
      </c>
      <c r="C4037" s="2" t="s">
        <v>728</v>
      </c>
      <c r="D4037" s="2" t="s">
        <v>300</v>
      </c>
      <c r="E4037" s="70" t="s">
        <v>307</v>
      </c>
      <c r="F4037" s="29">
        <v>234</v>
      </c>
      <c r="G4037" s="29">
        <v>143</v>
      </c>
      <c r="H4037" s="33">
        <v>91</v>
      </c>
      <c r="M4037" s="2"/>
      <c r="N4037" s="2"/>
      <c r="O4037" s="2"/>
    </row>
    <row r="4038" spans="1:15" x14ac:dyDescent="0.4">
      <c r="A4038">
        <v>2006</v>
      </c>
      <c r="B4038" s="2" t="s">
        <v>674</v>
      </c>
      <c r="C4038" s="2" t="s">
        <v>728</v>
      </c>
      <c r="D4038" s="2" t="s">
        <v>300</v>
      </c>
      <c r="E4038" s="70" t="s">
        <v>308</v>
      </c>
      <c r="F4038" s="29">
        <v>1198</v>
      </c>
      <c r="G4038" s="29">
        <v>696</v>
      </c>
      <c r="H4038" s="33">
        <v>502</v>
      </c>
      <c r="M4038" s="2"/>
      <c r="N4038" s="2"/>
      <c r="O4038" s="2"/>
    </row>
    <row r="4039" spans="1:15" x14ac:dyDescent="0.4">
      <c r="A4039">
        <v>2006</v>
      </c>
      <c r="B4039" s="2" t="s">
        <v>675</v>
      </c>
      <c r="C4039" s="2" t="s">
        <v>728</v>
      </c>
      <c r="D4039" s="2" t="s">
        <v>300</v>
      </c>
      <c r="E4039" s="70" t="s">
        <v>51</v>
      </c>
      <c r="F4039" s="29">
        <v>32</v>
      </c>
      <c r="G4039" s="29">
        <v>20</v>
      </c>
      <c r="H4039" s="33">
        <v>12</v>
      </c>
      <c r="M4039" s="2"/>
      <c r="N4039" s="2"/>
      <c r="O4039" s="2"/>
    </row>
    <row r="4040" spans="1:15" x14ac:dyDescent="0.4">
      <c r="A4040">
        <v>2006</v>
      </c>
      <c r="B4040" s="2" t="s">
        <v>676</v>
      </c>
      <c r="C4040" s="2" t="s">
        <v>728</v>
      </c>
      <c r="D4040" s="2" t="s">
        <v>300</v>
      </c>
      <c r="E4040" s="70" t="s">
        <v>309</v>
      </c>
      <c r="F4040" s="29">
        <v>36</v>
      </c>
      <c r="G4040" s="29">
        <v>20</v>
      </c>
      <c r="H4040" s="33">
        <v>16</v>
      </c>
      <c r="M4040" s="2"/>
      <c r="N4040" s="2"/>
      <c r="O4040" s="2"/>
    </row>
    <row r="4041" spans="1:15" x14ac:dyDescent="0.4">
      <c r="A4041">
        <v>2006</v>
      </c>
      <c r="B4041" s="2" t="s">
        <v>677</v>
      </c>
      <c r="C4041" s="2" t="s">
        <v>728</v>
      </c>
      <c r="D4041" s="2" t="s">
        <v>300</v>
      </c>
      <c r="E4041" s="70" t="s">
        <v>310</v>
      </c>
      <c r="F4041" s="29">
        <v>38</v>
      </c>
      <c r="G4041" s="29">
        <v>29</v>
      </c>
      <c r="H4041" s="33">
        <v>9</v>
      </c>
      <c r="M4041" s="2"/>
      <c r="N4041" s="2"/>
      <c r="O4041" s="2"/>
    </row>
    <row r="4042" spans="1:15" x14ac:dyDescent="0.4">
      <c r="A4042">
        <v>2006</v>
      </c>
      <c r="B4042" s="2" t="s">
        <v>678</v>
      </c>
      <c r="C4042" s="2" t="s">
        <v>729</v>
      </c>
      <c r="D4042" s="2" t="s">
        <v>312</v>
      </c>
      <c r="E4042" s="70" t="s">
        <v>311</v>
      </c>
      <c r="F4042" s="29">
        <v>25</v>
      </c>
      <c r="G4042" s="29">
        <v>15</v>
      </c>
      <c r="H4042" s="33">
        <v>10</v>
      </c>
      <c r="M4042" s="2"/>
      <c r="N4042" s="2"/>
      <c r="O4042" s="2"/>
    </row>
    <row r="4043" spans="1:15" x14ac:dyDescent="0.4">
      <c r="A4043">
        <v>2006</v>
      </c>
      <c r="B4043" s="2" t="s">
        <v>679</v>
      </c>
      <c r="C4043" s="2" t="s">
        <v>729</v>
      </c>
      <c r="D4043" s="2" t="s">
        <v>312</v>
      </c>
      <c r="E4043" s="70" t="s">
        <v>313</v>
      </c>
      <c r="F4043" s="29">
        <v>277</v>
      </c>
      <c r="G4043" s="29">
        <v>176</v>
      </c>
      <c r="H4043" s="33">
        <v>101</v>
      </c>
      <c r="M4043" s="2"/>
      <c r="N4043" s="2"/>
      <c r="O4043" s="2"/>
    </row>
    <row r="4044" spans="1:15" x14ac:dyDescent="0.4">
      <c r="A4044">
        <v>2006</v>
      </c>
      <c r="B4044" s="2" t="s">
        <v>680</v>
      </c>
      <c r="C4044" s="2" t="s">
        <v>729</v>
      </c>
      <c r="D4044" s="2" t="s">
        <v>312</v>
      </c>
      <c r="E4044" s="70" t="s">
        <v>314</v>
      </c>
      <c r="F4044" s="29">
        <v>1330</v>
      </c>
      <c r="G4044" s="29">
        <v>762</v>
      </c>
      <c r="H4044" s="33">
        <v>568</v>
      </c>
      <c r="M4044" s="2"/>
      <c r="N4044" s="2"/>
      <c r="O4044" s="2"/>
    </row>
    <row r="4045" spans="1:15" x14ac:dyDescent="0.4">
      <c r="A4045">
        <v>2006</v>
      </c>
      <c r="B4045" s="2" t="s">
        <v>681</v>
      </c>
      <c r="C4045" s="2" t="s">
        <v>729</v>
      </c>
      <c r="D4045" s="2" t="s">
        <v>312</v>
      </c>
      <c r="E4045" s="70" t="s">
        <v>315</v>
      </c>
      <c r="F4045" s="29">
        <v>82</v>
      </c>
      <c r="G4045" s="29">
        <v>53</v>
      </c>
      <c r="H4045" s="33">
        <v>29</v>
      </c>
      <c r="M4045" s="2"/>
      <c r="N4045" s="2"/>
      <c r="O4045" s="2"/>
    </row>
    <row r="4046" spans="1:15" x14ac:dyDescent="0.4">
      <c r="A4046">
        <v>2006</v>
      </c>
      <c r="B4046" s="2" t="s">
        <v>682</v>
      </c>
      <c r="C4046" s="2" t="s">
        <v>729</v>
      </c>
      <c r="D4046" s="2" t="s">
        <v>312</v>
      </c>
      <c r="E4046" s="70" t="s">
        <v>316</v>
      </c>
      <c r="F4046" s="29">
        <v>494</v>
      </c>
      <c r="G4046" s="29">
        <v>326</v>
      </c>
      <c r="H4046" s="33">
        <v>168</v>
      </c>
      <c r="M4046" s="2"/>
      <c r="N4046" s="2"/>
      <c r="O4046" s="2"/>
    </row>
    <row r="4047" spans="1:15" x14ac:dyDescent="0.4">
      <c r="A4047">
        <v>2006</v>
      </c>
      <c r="B4047" s="2" t="s">
        <v>683</v>
      </c>
      <c r="C4047" s="2" t="s">
        <v>729</v>
      </c>
      <c r="D4047" s="2" t="s">
        <v>312</v>
      </c>
      <c r="E4047" s="70" t="s">
        <v>317</v>
      </c>
      <c r="F4047" s="29">
        <v>58</v>
      </c>
      <c r="G4047" s="29">
        <v>43</v>
      </c>
      <c r="H4047" s="33">
        <v>15</v>
      </c>
      <c r="M4047" s="2"/>
      <c r="N4047" s="2"/>
      <c r="O4047" s="2"/>
    </row>
    <row r="4048" spans="1:15" x14ac:dyDescent="0.4">
      <c r="A4048">
        <v>2006</v>
      </c>
      <c r="B4048" s="2" t="s">
        <v>684</v>
      </c>
      <c r="C4048" s="2" t="s">
        <v>729</v>
      </c>
      <c r="D4048" s="2" t="s">
        <v>312</v>
      </c>
      <c r="E4048" s="70" t="s">
        <v>318</v>
      </c>
      <c r="F4048" s="29">
        <v>367</v>
      </c>
      <c r="G4048" s="29">
        <v>233</v>
      </c>
      <c r="H4048" s="33">
        <v>134</v>
      </c>
      <c r="M4048" s="2"/>
      <c r="N4048" s="2"/>
      <c r="O4048" s="2"/>
    </row>
    <row r="4049" spans="1:15" x14ac:dyDescent="0.4">
      <c r="A4049">
        <v>2006</v>
      </c>
      <c r="B4049" s="2" t="s">
        <v>685</v>
      </c>
      <c r="C4049" s="2" t="s">
        <v>729</v>
      </c>
      <c r="D4049" s="2" t="s">
        <v>312</v>
      </c>
      <c r="E4049" s="70" t="s">
        <v>319</v>
      </c>
      <c r="F4049" s="29">
        <v>52</v>
      </c>
      <c r="G4049" s="29">
        <v>34</v>
      </c>
      <c r="H4049" s="33">
        <v>18</v>
      </c>
      <c r="M4049" s="2"/>
      <c r="N4049" s="2"/>
      <c r="O4049" s="2"/>
    </row>
    <row r="4050" spans="1:15" x14ac:dyDescent="0.4">
      <c r="A4050">
        <v>2006</v>
      </c>
      <c r="B4050" s="2" t="s">
        <v>686</v>
      </c>
      <c r="C4050" s="2" t="s">
        <v>729</v>
      </c>
      <c r="D4050" s="2" t="s">
        <v>312</v>
      </c>
      <c r="E4050" s="70" t="s">
        <v>320</v>
      </c>
      <c r="F4050" s="29">
        <v>158</v>
      </c>
      <c r="G4050" s="29">
        <v>108</v>
      </c>
      <c r="H4050" s="33">
        <v>50</v>
      </c>
      <c r="M4050" s="2"/>
      <c r="N4050" s="2"/>
      <c r="O4050" s="2"/>
    </row>
    <row r="4051" spans="1:15" x14ac:dyDescent="0.4">
      <c r="A4051">
        <v>2006</v>
      </c>
      <c r="B4051" s="2" t="s">
        <v>687</v>
      </c>
      <c r="C4051" s="2" t="s">
        <v>729</v>
      </c>
      <c r="D4051" s="2" t="s">
        <v>312</v>
      </c>
      <c r="E4051" s="70" t="s">
        <v>321</v>
      </c>
      <c r="F4051" s="29">
        <v>1031</v>
      </c>
      <c r="G4051" s="29">
        <v>616</v>
      </c>
      <c r="H4051" s="33">
        <v>415</v>
      </c>
      <c r="M4051" s="2"/>
      <c r="N4051" s="2"/>
      <c r="O4051" s="2"/>
    </row>
    <row r="4052" spans="1:15" x14ac:dyDescent="0.4">
      <c r="A4052">
        <v>2006</v>
      </c>
      <c r="B4052" s="2" t="s">
        <v>688</v>
      </c>
      <c r="C4052" s="2" t="s">
        <v>729</v>
      </c>
      <c r="D4052" s="2" t="s">
        <v>312</v>
      </c>
      <c r="E4052" s="70" t="s">
        <v>322</v>
      </c>
      <c r="F4052" s="29">
        <v>381</v>
      </c>
      <c r="G4052" s="29">
        <v>229</v>
      </c>
      <c r="H4052" s="33">
        <v>152</v>
      </c>
      <c r="M4052" s="2"/>
      <c r="N4052" s="2"/>
      <c r="O4052" s="2"/>
    </row>
    <row r="4053" spans="1:15" x14ac:dyDescent="0.4">
      <c r="A4053">
        <v>2006</v>
      </c>
      <c r="B4053" s="2" t="s">
        <v>689</v>
      </c>
      <c r="C4053" s="2" t="s">
        <v>729</v>
      </c>
      <c r="D4053" s="2" t="s">
        <v>312</v>
      </c>
      <c r="E4053" s="70" t="s">
        <v>323</v>
      </c>
      <c r="F4053" s="29">
        <v>611</v>
      </c>
      <c r="G4053" s="29">
        <v>368</v>
      </c>
      <c r="H4053" s="33">
        <v>243</v>
      </c>
      <c r="M4053" s="2"/>
      <c r="N4053" s="2"/>
      <c r="O4053" s="2"/>
    </row>
    <row r="4054" spans="1:15" x14ac:dyDescent="0.4">
      <c r="A4054">
        <v>2006</v>
      </c>
      <c r="B4054" s="2" t="s">
        <v>690</v>
      </c>
      <c r="C4054" s="2" t="s">
        <v>729</v>
      </c>
      <c r="D4054" s="2" t="s">
        <v>312</v>
      </c>
      <c r="E4054" s="70" t="s">
        <v>324</v>
      </c>
      <c r="F4054" s="29">
        <v>8765</v>
      </c>
      <c r="G4054" s="29">
        <v>5107</v>
      </c>
      <c r="H4054" s="33">
        <v>3658</v>
      </c>
      <c r="M4054" s="2"/>
      <c r="N4054" s="2"/>
      <c r="O4054" s="2"/>
    </row>
    <row r="4055" spans="1:15" x14ac:dyDescent="0.4">
      <c r="A4055">
        <v>2006</v>
      </c>
      <c r="B4055" s="2" t="s">
        <v>691</v>
      </c>
      <c r="C4055" s="2" t="s">
        <v>729</v>
      </c>
      <c r="D4055" s="2" t="s">
        <v>312</v>
      </c>
      <c r="E4055" s="70" t="s">
        <v>85</v>
      </c>
      <c r="F4055" s="29">
        <v>225</v>
      </c>
      <c r="G4055" s="29">
        <v>141</v>
      </c>
      <c r="H4055" s="33">
        <v>84</v>
      </c>
      <c r="M4055" s="2"/>
      <c r="N4055" s="2"/>
      <c r="O4055" s="2"/>
    </row>
    <row r="4056" spans="1:15" x14ac:dyDescent="0.4">
      <c r="A4056">
        <v>2006</v>
      </c>
      <c r="B4056" s="2" t="s">
        <v>692</v>
      </c>
      <c r="C4056" s="2" t="s">
        <v>729</v>
      </c>
      <c r="D4056" s="2" t="s">
        <v>312</v>
      </c>
      <c r="E4056" s="70" t="s">
        <v>32</v>
      </c>
      <c r="F4056" s="29">
        <v>205</v>
      </c>
      <c r="G4056" s="29">
        <v>119</v>
      </c>
      <c r="H4056" s="33">
        <v>86</v>
      </c>
      <c r="M4056" s="2"/>
      <c r="N4056" s="2"/>
      <c r="O4056" s="2"/>
    </row>
    <row r="4057" spans="1:15" x14ac:dyDescent="0.4">
      <c r="A4057">
        <v>2006</v>
      </c>
      <c r="B4057" s="2" t="s">
        <v>693</v>
      </c>
      <c r="C4057" s="2" t="s">
        <v>729</v>
      </c>
      <c r="D4057" s="2" t="s">
        <v>312</v>
      </c>
      <c r="E4057" s="70" t="s">
        <v>325</v>
      </c>
      <c r="F4057" s="29">
        <v>262</v>
      </c>
      <c r="G4057" s="29">
        <v>166</v>
      </c>
      <c r="H4057" s="33">
        <v>96</v>
      </c>
      <c r="M4057" s="2"/>
      <c r="N4057" s="2"/>
      <c r="O4057" s="2"/>
    </row>
    <row r="4058" spans="1:15" x14ac:dyDescent="0.4">
      <c r="A4058">
        <v>2006</v>
      </c>
      <c r="B4058" s="2" t="s">
        <v>694</v>
      </c>
      <c r="C4058" s="2" t="s">
        <v>729</v>
      </c>
      <c r="D4058" s="2" t="s">
        <v>312</v>
      </c>
      <c r="E4058" s="70" t="s">
        <v>144</v>
      </c>
      <c r="F4058" s="29">
        <v>1219</v>
      </c>
      <c r="G4058" s="29">
        <v>720</v>
      </c>
      <c r="H4058" s="33">
        <v>499</v>
      </c>
      <c r="M4058" s="2"/>
      <c r="N4058" s="2"/>
      <c r="O4058" s="2"/>
    </row>
    <row r="4059" spans="1:15" x14ac:dyDescent="0.4">
      <c r="A4059">
        <v>2006</v>
      </c>
      <c r="B4059" s="2" t="s">
        <v>695</v>
      </c>
      <c r="C4059" s="2" t="s">
        <v>729</v>
      </c>
      <c r="D4059" s="2" t="s">
        <v>312</v>
      </c>
      <c r="E4059" s="70" t="s">
        <v>326</v>
      </c>
      <c r="F4059" s="29">
        <v>137</v>
      </c>
      <c r="G4059" s="29">
        <v>87</v>
      </c>
      <c r="H4059" s="33">
        <v>50</v>
      </c>
      <c r="M4059" s="2"/>
      <c r="N4059" s="2"/>
      <c r="O4059" s="2"/>
    </row>
    <row r="4060" spans="1:15" x14ac:dyDescent="0.4">
      <c r="A4060">
        <v>2006</v>
      </c>
      <c r="B4060" s="2" t="s">
        <v>696</v>
      </c>
      <c r="C4060" s="2" t="s">
        <v>729</v>
      </c>
      <c r="D4060" s="2" t="s">
        <v>312</v>
      </c>
      <c r="E4060" s="70" t="s">
        <v>25</v>
      </c>
      <c r="F4060" s="29">
        <v>97</v>
      </c>
      <c r="G4060" s="29">
        <v>66</v>
      </c>
      <c r="H4060" s="33">
        <v>31</v>
      </c>
      <c r="M4060" s="2"/>
      <c r="N4060" s="2"/>
      <c r="O4060" s="2"/>
    </row>
    <row r="4061" spans="1:15" x14ac:dyDescent="0.4">
      <c r="A4061">
        <v>2006</v>
      </c>
      <c r="B4061" s="2" t="s">
        <v>697</v>
      </c>
      <c r="C4061" s="2" t="s">
        <v>729</v>
      </c>
      <c r="D4061" s="2" t="s">
        <v>312</v>
      </c>
      <c r="E4061" s="70" t="s">
        <v>51</v>
      </c>
      <c r="F4061" s="29">
        <v>214</v>
      </c>
      <c r="G4061" s="29">
        <v>138</v>
      </c>
      <c r="H4061" s="33">
        <v>76</v>
      </c>
      <c r="M4061" s="2"/>
      <c r="N4061" s="2"/>
      <c r="O4061" s="2"/>
    </row>
    <row r="4062" spans="1:15" x14ac:dyDescent="0.4">
      <c r="A4062">
        <v>2006</v>
      </c>
      <c r="B4062" s="2" t="s">
        <v>698</v>
      </c>
      <c r="C4062" s="2" t="s">
        <v>729</v>
      </c>
      <c r="D4062" s="2" t="s">
        <v>312</v>
      </c>
      <c r="E4062" s="70" t="s">
        <v>327</v>
      </c>
      <c r="F4062" s="29">
        <v>142</v>
      </c>
      <c r="G4062" s="29">
        <v>93</v>
      </c>
      <c r="H4062" s="33">
        <v>49</v>
      </c>
      <c r="M4062" s="2"/>
      <c r="N4062" s="2"/>
      <c r="O4062" s="2"/>
    </row>
    <row r="4063" spans="1:15" x14ac:dyDescent="0.4">
      <c r="A4063">
        <v>2006</v>
      </c>
      <c r="B4063" s="2" t="s">
        <v>733</v>
      </c>
      <c r="C4063" s="2" t="s">
        <v>715</v>
      </c>
      <c r="D4063" s="2" t="s">
        <v>734</v>
      </c>
      <c r="E4063" s="70" t="s">
        <v>735</v>
      </c>
      <c r="F4063" s="29">
        <v>0</v>
      </c>
      <c r="G4063" s="29">
        <v>0</v>
      </c>
      <c r="H4063" s="33">
        <v>0</v>
      </c>
      <c r="M4063" s="2"/>
      <c r="N4063" s="2"/>
      <c r="O4063" s="2"/>
    </row>
    <row r="4064" spans="1:15" x14ac:dyDescent="0.4">
      <c r="A4064">
        <v>2005</v>
      </c>
      <c r="B4064" s="5" t="str">
        <f>+C4064&amp;"-"&amp;E4064</f>
        <v>VA-Municipio Autónomo Vargas</v>
      </c>
      <c r="C4064" s="5" t="str">
        <f>+MID(D4064,1,2)</f>
        <v>VA</v>
      </c>
      <c r="D4064" s="25" t="s">
        <v>288</v>
      </c>
      <c r="E4064" s="64" t="s">
        <v>757</v>
      </c>
      <c r="F4064" s="2">
        <v>0</v>
      </c>
      <c r="G4064" s="2">
        <v>0</v>
      </c>
      <c r="H4064" s="2">
        <v>0</v>
      </c>
      <c r="M4064" s="2"/>
      <c r="N4064" s="2"/>
      <c r="O4064" s="2"/>
    </row>
    <row r="4065" spans="1:15" x14ac:dyDescent="0.4">
      <c r="A4065">
        <v>2005</v>
      </c>
      <c r="B4065" s="5" t="str">
        <f>+C4065&amp;"-"&amp;E4065</f>
        <v>DI-Municipio Autónomo Libertador</v>
      </c>
      <c r="C4065" s="5" t="str">
        <f>+MID(D4065,1,2)</f>
        <v>DI</v>
      </c>
      <c r="D4065" s="25" t="s">
        <v>106</v>
      </c>
      <c r="E4065" s="64" t="s">
        <v>756</v>
      </c>
      <c r="F4065" s="2">
        <v>0</v>
      </c>
      <c r="G4065" s="2">
        <v>0</v>
      </c>
      <c r="H4065" s="2">
        <v>0</v>
      </c>
      <c r="M4065" s="2"/>
      <c r="N4065" s="2"/>
      <c r="O4065" s="2"/>
    </row>
    <row r="4066" spans="1:15" x14ac:dyDescent="0.4">
      <c r="A4066">
        <v>2005</v>
      </c>
      <c r="B4066" s="2" t="s">
        <v>335</v>
      </c>
      <c r="C4066" s="2" t="s">
        <v>706</v>
      </c>
      <c r="D4066" s="2" t="s">
        <v>106</v>
      </c>
      <c r="E4066" s="70" t="s">
        <v>105</v>
      </c>
      <c r="F4066" s="29">
        <v>90</v>
      </c>
      <c r="G4066" s="29">
        <v>55</v>
      </c>
      <c r="H4066" s="33">
        <v>35</v>
      </c>
      <c r="M4066" s="2"/>
      <c r="N4066" s="2"/>
      <c r="O4066" s="2"/>
    </row>
    <row r="4067" spans="1:15" x14ac:dyDescent="0.4">
      <c r="A4067">
        <v>2005</v>
      </c>
      <c r="B4067" s="2" t="s">
        <v>336</v>
      </c>
      <c r="C4067" s="2" t="s">
        <v>706</v>
      </c>
      <c r="D4067" s="2" t="s">
        <v>106</v>
      </c>
      <c r="E4067" s="70" t="s">
        <v>107</v>
      </c>
      <c r="F4067" s="29">
        <v>491</v>
      </c>
      <c r="G4067" s="29">
        <v>317</v>
      </c>
      <c r="H4067" s="33">
        <v>174</v>
      </c>
      <c r="M4067" s="2"/>
      <c r="N4067" s="2"/>
      <c r="O4067" s="2"/>
    </row>
    <row r="4068" spans="1:15" x14ac:dyDescent="0.4">
      <c r="A4068">
        <v>2005</v>
      </c>
      <c r="B4068" s="2" t="s">
        <v>337</v>
      </c>
      <c r="C4068" s="2" t="s">
        <v>706</v>
      </c>
      <c r="D4068" s="2" t="s">
        <v>106</v>
      </c>
      <c r="E4068" s="70" t="s">
        <v>108</v>
      </c>
      <c r="F4068" s="29">
        <v>251</v>
      </c>
      <c r="G4068" s="29">
        <v>143</v>
      </c>
      <c r="H4068" s="33">
        <v>108</v>
      </c>
      <c r="M4068" s="2"/>
      <c r="N4068" s="2"/>
      <c r="O4068" s="2"/>
    </row>
    <row r="4069" spans="1:15" x14ac:dyDescent="0.4">
      <c r="A4069">
        <v>2005</v>
      </c>
      <c r="B4069" s="2" t="s">
        <v>338</v>
      </c>
      <c r="C4069" s="2" t="s">
        <v>706</v>
      </c>
      <c r="D4069" s="2" t="s">
        <v>106</v>
      </c>
      <c r="E4069" s="70" t="s">
        <v>109</v>
      </c>
      <c r="F4069" s="29">
        <v>332</v>
      </c>
      <c r="G4069" s="29">
        <v>197</v>
      </c>
      <c r="H4069" s="33">
        <v>135</v>
      </c>
      <c r="M4069" s="2"/>
      <c r="N4069" s="2"/>
      <c r="O4069" s="2"/>
    </row>
    <row r="4070" spans="1:15" x14ac:dyDescent="0.4">
      <c r="A4070">
        <v>2005</v>
      </c>
      <c r="B4070" s="2" t="s">
        <v>339</v>
      </c>
      <c r="C4070" s="2" t="s">
        <v>706</v>
      </c>
      <c r="D4070" s="2" t="s">
        <v>106</v>
      </c>
      <c r="E4070" s="70" t="s">
        <v>110</v>
      </c>
      <c r="F4070" s="29">
        <v>32</v>
      </c>
      <c r="G4070" s="29">
        <v>26</v>
      </c>
      <c r="H4070" s="33">
        <v>6</v>
      </c>
      <c r="M4070" s="2"/>
      <c r="N4070" s="2"/>
      <c r="O4070" s="2"/>
    </row>
    <row r="4071" spans="1:15" x14ac:dyDescent="0.4">
      <c r="A4071">
        <v>2005</v>
      </c>
      <c r="B4071" s="2" t="s">
        <v>340</v>
      </c>
      <c r="C4071" s="2" t="s">
        <v>706</v>
      </c>
      <c r="D4071" s="2" t="s">
        <v>106</v>
      </c>
      <c r="E4071" s="70" t="s">
        <v>111</v>
      </c>
      <c r="F4071" s="29">
        <v>501</v>
      </c>
      <c r="G4071" s="29">
        <v>370</v>
      </c>
      <c r="H4071" s="33">
        <v>131</v>
      </c>
      <c r="M4071" s="2"/>
      <c r="N4071" s="2"/>
      <c r="O4071" s="2"/>
    </row>
    <row r="4072" spans="1:15" x14ac:dyDescent="0.4">
      <c r="A4072">
        <v>2005</v>
      </c>
      <c r="B4072" s="2" t="s">
        <v>341</v>
      </c>
      <c r="C4072" s="2" t="s">
        <v>706</v>
      </c>
      <c r="D4072" s="2" t="s">
        <v>106</v>
      </c>
      <c r="E4072" s="70" t="s">
        <v>112</v>
      </c>
      <c r="F4072" s="29">
        <v>129</v>
      </c>
      <c r="G4072" s="29">
        <v>89</v>
      </c>
      <c r="H4072" s="33">
        <v>40</v>
      </c>
      <c r="M4072" s="2"/>
      <c r="N4072" s="2"/>
      <c r="O4072" s="2"/>
    </row>
    <row r="4073" spans="1:15" x14ac:dyDescent="0.4">
      <c r="A4073">
        <v>2005</v>
      </c>
      <c r="B4073" s="2" t="s">
        <v>342</v>
      </c>
      <c r="C4073" s="2" t="s">
        <v>706</v>
      </c>
      <c r="D4073" s="2" t="s">
        <v>106</v>
      </c>
      <c r="E4073" s="70" t="s">
        <v>113</v>
      </c>
      <c r="F4073" s="29">
        <v>1946</v>
      </c>
      <c r="G4073" s="29">
        <v>1184</v>
      </c>
      <c r="H4073" s="33">
        <v>762</v>
      </c>
      <c r="M4073" s="2"/>
      <c r="N4073" s="2"/>
      <c r="O4073" s="2"/>
    </row>
    <row r="4074" spans="1:15" x14ac:dyDescent="0.4">
      <c r="A4074">
        <v>2005</v>
      </c>
      <c r="B4074" s="2" t="s">
        <v>343</v>
      </c>
      <c r="C4074" s="2" t="s">
        <v>706</v>
      </c>
      <c r="D4074" s="2" t="s">
        <v>106</v>
      </c>
      <c r="E4074" s="70" t="s">
        <v>114</v>
      </c>
      <c r="F4074" s="29">
        <v>694</v>
      </c>
      <c r="G4074" s="29">
        <v>368</v>
      </c>
      <c r="H4074" s="33">
        <v>326</v>
      </c>
      <c r="M4074" s="2"/>
      <c r="N4074" s="2"/>
      <c r="O4074" s="2"/>
    </row>
    <row r="4075" spans="1:15" x14ac:dyDescent="0.4">
      <c r="A4075">
        <v>2005</v>
      </c>
      <c r="B4075" s="2" t="s">
        <v>344</v>
      </c>
      <c r="C4075" s="2" t="s">
        <v>706</v>
      </c>
      <c r="D4075" s="2" t="s">
        <v>106</v>
      </c>
      <c r="E4075" s="70" t="s">
        <v>115</v>
      </c>
      <c r="F4075" s="29">
        <v>290</v>
      </c>
      <c r="G4075" s="29">
        <v>180</v>
      </c>
      <c r="H4075" s="33">
        <v>110</v>
      </c>
      <c r="M4075" s="2"/>
      <c r="N4075" s="2"/>
      <c r="O4075" s="2"/>
    </row>
    <row r="4076" spans="1:15" x14ac:dyDescent="0.4">
      <c r="A4076">
        <v>2005</v>
      </c>
      <c r="B4076" s="2" t="s">
        <v>345</v>
      </c>
      <c r="C4076" s="2" t="s">
        <v>706</v>
      </c>
      <c r="D4076" s="2" t="s">
        <v>106</v>
      </c>
      <c r="E4076" s="70" t="s">
        <v>116</v>
      </c>
      <c r="F4076" s="29">
        <v>439</v>
      </c>
      <c r="G4076" s="29">
        <v>267</v>
      </c>
      <c r="H4076" s="33">
        <v>172</v>
      </c>
      <c r="M4076" s="2"/>
      <c r="N4076" s="2"/>
      <c r="O4076" s="2"/>
    </row>
    <row r="4077" spans="1:15" x14ac:dyDescent="0.4">
      <c r="A4077">
        <v>2005</v>
      </c>
      <c r="B4077" s="2" t="s">
        <v>346</v>
      </c>
      <c r="C4077" s="2" t="s">
        <v>706</v>
      </c>
      <c r="D4077" s="2" t="s">
        <v>106</v>
      </c>
      <c r="E4077" s="70" t="s">
        <v>117</v>
      </c>
      <c r="F4077" s="29">
        <v>276</v>
      </c>
      <c r="G4077" s="29">
        <v>172</v>
      </c>
      <c r="H4077" s="33">
        <v>104</v>
      </c>
      <c r="M4077" s="2"/>
      <c r="N4077" s="2"/>
      <c r="O4077" s="2"/>
    </row>
    <row r="4078" spans="1:15" x14ac:dyDescent="0.4">
      <c r="A4078">
        <v>2005</v>
      </c>
      <c r="B4078" s="2" t="s">
        <v>347</v>
      </c>
      <c r="C4078" s="2" t="s">
        <v>706</v>
      </c>
      <c r="D4078" s="2" t="s">
        <v>106</v>
      </c>
      <c r="E4078" s="70" t="s">
        <v>118</v>
      </c>
      <c r="F4078" s="29">
        <v>131</v>
      </c>
      <c r="G4078" s="29">
        <v>96</v>
      </c>
      <c r="H4078" s="33">
        <v>35</v>
      </c>
      <c r="M4078" s="2"/>
      <c r="N4078" s="2"/>
      <c r="O4078" s="2"/>
    </row>
    <row r="4079" spans="1:15" x14ac:dyDescent="0.4">
      <c r="A4079">
        <v>2005</v>
      </c>
      <c r="B4079" s="2" t="s">
        <v>348</v>
      </c>
      <c r="C4079" s="2" t="s">
        <v>706</v>
      </c>
      <c r="D4079" s="2" t="s">
        <v>106</v>
      </c>
      <c r="E4079" s="70" t="s">
        <v>119</v>
      </c>
      <c r="F4079" s="29">
        <v>113</v>
      </c>
      <c r="G4079" s="29">
        <v>81</v>
      </c>
      <c r="H4079" s="33">
        <v>32</v>
      </c>
      <c r="M4079" s="2"/>
      <c r="N4079" s="2"/>
      <c r="O4079" s="2"/>
    </row>
    <row r="4080" spans="1:15" x14ac:dyDescent="0.4">
      <c r="A4080">
        <v>2005</v>
      </c>
      <c r="B4080" s="2" t="s">
        <v>349</v>
      </c>
      <c r="C4080" s="2" t="s">
        <v>706</v>
      </c>
      <c r="D4080" s="2" t="s">
        <v>106</v>
      </c>
      <c r="E4080" s="70" t="s">
        <v>120</v>
      </c>
      <c r="F4080" s="29">
        <v>1002</v>
      </c>
      <c r="G4080" s="29">
        <v>551</v>
      </c>
      <c r="H4080" s="33">
        <v>451</v>
      </c>
      <c r="M4080" s="2"/>
      <c r="N4080" s="2"/>
      <c r="O4080" s="2"/>
    </row>
    <row r="4081" spans="1:15" x14ac:dyDescent="0.4">
      <c r="A4081">
        <v>2005</v>
      </c>
      <c r="B4081" s="2" t="s">
        <v>350</v>
      </c>
      <c r="C4081" s="2" t="s">
        <v>706</v>
      </c>
      <c r="D4081" s="2" t="s">
        <v>106</v>
      </c>
      <c r="E4081" s="70" t="s">
        <v>121</v>
      </c>
      <c r="F4081" s="29">
        <v>1510</v>
      </c>
      <c r="G4081" s="29">
        <v>836</v>
      </c>
      <c r="H4081" s="33">
        <v>674</v>
      </c>
      <c r="M4081" s="2"/>
      <c r="N4081" s="2"/>
      <c r="O4081" s="2"/>
    </row>
    <row r="4082" spans="1:15" x14ac:dyDescent="0.4">
      <c r="A4082">
        <v>2005</v>
      </c>
      <c r="B4082" s="2" t="s">
        <v>351</v>
      </c>
      <c r="C4082" s="2" t="s">
        <v>706</v>
      </c>
      <c r="D4082" s="2" t="s">
        <v>106</v>
      </c>
      <c r="E4082" s="70" t="s">
        <v>122</v>
      </c>
      <c r="F4082" s="29">
        <v>1504</v>
      </c>
      <c r="G4082" s="29">
        <v>863</v>
      </c>
      <c r="H4082" s="33">
        <v>641</v>
      </c>
      <c r="M4082" s="2"/>
      <c r="N4082" s="2"/>
      <c r="O4082" s="2"/>
    </row>
    <row r="4083" spans="1:15" x14ac:dyDescent="0.4">
      <c r="A4083">
        <v>2005</v>
      </c>
      <c r="B4083" s="2" t="s">
        <v>352</v>
      </c>
      <c r="C4083" s="2" t="s">
        <v>706</v>
      </c>
      <c r="D4083" s="2" t="s">
        <v>106</v>
      </c>
      <c r="E4083" s="70" t="s">
        <v>123</v>
      </c>
      <c r="F4083" s="29">
        <v>2351</v>
      </c>
      <c r="G4083" s="29">
        <v>1348</v>
      </c>
      <c r="H4083" s="33">
        <v>1003</v>
      </c>
      <c r="M4083" s="2"/>
      <c r="N4083" s="2"/>
      <c r="O4083" s="2"/>
    </row>
    <row r="4084" spans="1:15" x14ac:dyDescent="0.4">
      <c r="A4084">
        <v>2005</v>
      </c>
      <c r="B4084" s="2" t="s">
        <v>353</v>
      </c>
      <c r="C4084" s="2" t="s">
        <v>706</v>
      </c>
      <c r="D4084" s="2" t="s">
        <v>106</v>
      </c>
      <c r="E4084" s="70" t="s">
        <v>124</v>
      </c>
      <c r="F4084" s="29">
        <v>387</v>
      </c>
      <c r="G4084" s="29">
        <v>215</v>
      </c>
      <c r="H4084" s="33">
        <v>172</v>
      </c>
      <c r="M4084" s="2"/>
      <c r="N4084" s="2"/>
      <c r="O4084" s="2"/>
    </row>
    <row r="4085" spans="1:15" x14ac:dyDescent="0.4">
      <c r="A4085">
        <v>2005</v>
      </c>
      <c r="B4085" s="2" t="s">
        <v>354</v>
      </c>
      <c r="C4085" s="2" t="s">
        <v>706</v>
      </c>
      <c r="D4085" s="2" t="s">
        <v>106</v>
      </c>
      <c r="E4085" s="70" t="s">
        <v>125</v>
      </c>
      <c r="F4085" s="29">
        <v>45</v>
      </c>
      <c r="G4085" s="29">
        <v>27</v>
      </c>
      <c r="H4085" s="33">
        <v>18</v>
      </c>
      <c r="M4085" s="2"/>
      <c r="N4085" s="2"/>
      <c r="O4085" s="2"/>
    </row>
    <row r="4086" spans="1:15" x14ac:dyDescent="0.4">
      <c r="A4086">
        <v>2005</v>
      </c>
      <c r="B4086" s="2" t="s">
        <v>355</v>
      </c>
      <c r="C4086" s="2" t="s">
        <v>706</v>
      </c>
      <c r="D4086" s="2" t="s">
        <v>106</v>
      </c>
      <c r="E4086" s="70" t="s">
        <v>126</v>
      </c>
      <c r="F4086" s="29">
        <v>1676</v>
      </c>
      <c r="G4086" s="29">
        <v>1055</v>
      </c>
      <c r="H4086" s="33">
        <v>621</v>
      </c>
      <c r="M4086" s="2"/>
      <c r="N4086" s="2"/>
      <c r="O4086" s="2"/>
    </row>
    <row r="4087" spans="1:15" x14ac:dyDescent="0.4">
      <c r="A4087">
        <v>2005</v>
      </c>
      <c r="B4087" s="2" t="s">
        <v>356</v>
      </c>
      <c r="C4087" s="2" t="s">
        <v>706</v>
      </c>
      <c r="D4087" s="2" t="s">
        <v>106</v>
      </c>
      <c r="E4087" s="70" t="s">
        <v>127</v>
      </c>
      <c r="F4087" s="29">
        <v>196</v>
      </c>
      <c r="G4087" s="29">
        <v>107</v>
      </c>
      <c r="H4087" s="33">
        <v>89</v>
      </c>
      <c r="M4087" s="2"/>
      <c r="N4087" s="2"/>
      <c r="O4087" s="2"/>
    </row>
    <row r="4088" spans="1:15" x14ac:dyDescent="0.4">
      <c r="A4088">
        <v>2005</v>
      </c>
      <c r="B4088" s="2" t="s">
        <v>357</v>
      </c>
      <c r="C4088" s="2" t="s">
        <v>707</v>
      </c>
      <c r="D4088" s="2" t="s">
        <v>1</v>
      </c>
      <c r="E4088" s="70" t="s">
        <v>0</v>
      </c>
      <c r="F4088" s="29">
        <v>21</v>
      </c>
      <c r="G4088" s="29">
        <v>11</v>
      </c>
      <c r="H4088" s="33">
        <v>10</v>
      </c>
      <c r="M4088" s="2"/>
      <c r="N4088" s="2"/>
      <c r="O4088" s="2"/>
    </row>
    <row r="4089" spans="1:15" x14ac:dyDescent="0.4">
      <c r="A4089">
        <v>2005</v>
      </c>
      <c r="B4089" s="2" t="s">
        <v>358</v>
      </c>
      <c r="C4089" s="2" t="s">
        <v>707</v>
      </c>
      <c r="D4089" s="2" t="s">
        <v>1</v>
      </c>
      <c r="E4089" s="70" t="s">
        <v>2</v>
      </c>
      <c r="F4089" s="29">
        <v>11</v>
      </c>
      <c r="G4089" s="29">
        <v>6</v>
      </c>
      <c r="H4089" s="33">
        <v>5</v>
      </c>
      <c r="M4089" s="2"/>
      <c r="N4089" s="2"/>
      <c r="O4089" s="2"/>
    </row>
    <row r="4090" spans="1:15" x14ac:dyDescent="0.4">
      <c r="A4090">
        <v>2005</v>
      </c>
      <c r="B4090" s="7" t="s">
        <v>359</v>
      </c>
      <c r="C4090" s="7" t="s">
        <v>707</v>
      </c>
      <c r="D4090" s="7" t="s">
        <v>1</v>
      </c>
      <c r="E4090" s="70" t="s">
        <v>3</v>
      </c>
      <c r="F4090" s="29">
        <v>353</v>
      </c>
      <c r="G4090" s="29">
        <v>214</v>
      </c>
      <c r="H4090" s="33">
        <v>139</v>
      </c>
      <c r="M4090" s="2"/>
      <c r="N4090" s="2"/>
      <c r="O4090" s="2"/>
    </row>
    <row r="4091" spans="1:15" x14ac:dyDescent="0.4">
      <c r="A4091">
        <v>2005</v>
      </c>
      <c r="B4091" s="2" t="s">
        <v>360</v>
      </c>
      <c r="C4091" s="2" t="s">
        <v>707</v>
      </c>
      <c r="D4091" s="2" t="s">
        <v>1</v>
      </c>
      <c r="E4091" s="70" t="s">
        <v>4</v>
      </c>
      <c r="F4091" s="29">
        <v>5</v>
      </c>
      <c r="G4091" s="29">
        <v>1</v>
      </c>
      <c r="H4091" s="33">
        <v>4</v>
      </c>
      <c r="M4091" s="2"/>
      <c r="N4091" s="2"/>
      <c r="O4091" s="2"/>
    </row>
    <row r="4092" spans="1:15" x14ac:dyDescent="0.4">
      <c r="A4092">
        <v>2005</v>
      </c>
      <c r="B4092" s="2" t="s">
        <v>361</v>
      </c>
      <c r="C4092" s="2" t="s">
        <v>707</v>
      </c>
      <c r="D4092" s="2" t="s">
        <v>1</v>
      </c>
      <c r="E4092" s="70" t="s">
        <v>5</v>
      </c>
      <c r="F4092" s="29">
        <v>21</v>
      </c>
      <c r="G4092" s="29">
        <v>13</v>
      </c>
      <c r="H4092" s="33">
        <v>8</v>
      </c>
      <c r="M4092" s="2"/>
      <c r="N4092" s="2"/>
      <c r="O4092" s="2"/>
    </row>
    <row r="4093" spans="1:15" x14ac:dyDescent="0.4">
      <c r="A4093">
        <v>2005</v>
      </c>
      <c r="B4093" s="2" t="s">
        <v>732</v>
      </c>
      <c r="C4093" s="2" t="s">
        <v>707</v>
      </c>
      <c r="D4093" s="2" t="s">
        <v>1</v>
      </c>
      <c r="E4093" s="70" t="s">
        <v>330</v>
      </c>
      <c r="F4093" s="29">
        <v>0</v>
      </c>
      <c r="G4093" s="29">
        <v>0</v>
      </c>
      <c r="H4093" s="33">
        <v>0</v>
      </c>
      <c r="M4093" s="2"/>
      <c r="N4093" s="2"/>
      <c r="O4093" s="2"/>
    </row>
    <row r="4094" spans="1:15" x14ac:dyDescent="0.4">
      <c r="A4094">
        <v>2005</v>
      </c>
      <c r="B4094" s="2" t="s">
        <v>730</v>
      </c>
      <c r="C4094" s="2" t="s">
        <v>707</v>
      </c>
      <c r="D4094" s="2" t="s">
        <v>1</v>
      </c>
      <c r="E4094" s="70" t="s">
        <v>328</v>
      </c>
      <c r="F4094" s="29">
        <v>8</v>
      </c>
      <c r="G4094" s="29">
        <v>4</v>
      </c>
      <c r="H4094" s="33">
        <v>4</v>
      </c>
      <c r="M4094" s="2"/>
      <c r="N4094" s="2"/>
      <c r="O4094" s="2"/>
    </row>
    <row r="4095" spans="1:15" x14ac:dyDescent="0.4">
      <c r="A4095">
        <v>2005</v>
      </c>
      <c r="B4095" s="2" t="s">
        <v>362</v>
      </c>
      <c r="C4095" s="2" t="s">
        <v>708</v>
      </c>
      <c r="D4095" s="2" t="s">
        <v>7</v>
      </c>
      <c r="E4095" s="70" t="s">
        <v>6</v>
      </c>
      <c r="F4095" s="29">
        <v>318</v>
      </c>
      <c r="G4095" s="29">
        <v>218</v>
      </c>
      <c r="H4095" s="33">
        <v>100</v>
      </c>
      <c r="M4095" s="2"/>
      <c r="N4095" s="2"/>
      <c r="O4095" s="2"/>
    </row>
    <row r="4096" spans="1:15" x14ac:dyDescent="0.4">
      <c r="A4096">
        <v>2005</v>
      </c>
      <c r="B4096" s="2" t="s">
        <v>363</v>
      </c>
      <c r="C4096" s="2" t="s">
        <v>708</v>
      </c>
      <c r="D4096" s="2" t="s">
        <v>7</v>
      </c>
      <c r="E4096" s="70" t="s">
        <v>8</v>
      </c>
      <c r="F4096" s="29">
        <v>77</v>
      </c>
      <c r="G4096" s="29">
        <v>44</v>
      </c>
      <c r="H4096" s="33">
        <v>33</v>
      </c>
      <c r="M4096" s="2"/>
      <c r="N4096" s="2"/>
      <c r="O4096" s="2"/>
    </row>
    <row r="4097" spans="1:15" x14ac:dyDescent="0.4">
      <c r="A4097">
        <v>2005</v>
      </c>
      <c r="B4097" s="2" t="s">
        <v>364</v>
      </c>
      <c r="C4097" s="2" t="s">
        <v>708</v>
      </c>
      <c r="D4097" s="2" t="s">
        <v>7</v>
      </c>
      <c r="E4097" s="70" t="s">
        <v>9</v>
      </c>
      <c r="F4097" s="29">
        <v>100</v>
      </c>
      <c r="G4097" s="29">
        <v>58</v>
      </c>
      <c r="H4097" s="33">
        <v>42</v>
      </c>
      <c r="M4097" s="2"/>
      <c r="N4097" s="2"/>
      <c r="O4097" s="2"/>
    </row>
    <row r="4098" spans="1:15" x14ac:dyDescent="0.4">
      <c r="A4098">
        <v>2005</v>
      </c>
      <c r="B4098" s="2" t="s">
        <v>365</v>
      </c>
      <c r="C4098" s="2" t="s">
        <v>708</v>
      </c>
      <c r="D4098" s="2" t="s">
        <v>7</v>
      </c>
      <c r="E4098" s="70" t="s">
        <v>10</v>
      </c>
      <c r="F4098" s="29">
        <v>49</v>
      </c>
      <c r="G4098" s="29">
        <v>32</v>
      </c>
      <c r="H4098" s="33">
        <v>17</v>
      </c>
      <c r="M4098" s="2"/>
      <c r="N4098" s="2"/>
      <c r="O4098" s="2"/>
    </row>
    <row r="4099" spans="1:15" x14ac:dyDescent="0.4">
      <c r="A4099">
        <v>2005</v>
      </c>
      <c r="B4099" s="2" t="s">
        <v>366</v>
      </c>
      <c r="C4099" s="2" t="s">
        <v>708</v>
      </c>
      <c r="D4099" s="2" t="s">
        <v>7</v>
      </c>
      <c r="E4099" s="70" t="s">
        <v>11</v>
      </c>
      <c r="F4099" s="29">
        <v>104</v>
      </c>
      <c r="G4099" s="29">
        <v>62</v>
      </c>
      <c r="H4099" s="33">
        <v>42</v>
      </c>
      <c r="M4099" s="2"/>
      <c r="N4099" s="2"/>
      <c r="O4099" s="2"/>
    </row>
    <row r="4100" spans="1:15" x14ac:dyDescent="0.4">
      <c r="A4100">
        <v>2005</v>
      </c>
      <c r="B4100" s="2" t="s">
        <v>367</v>
      </c>
      <c r="C4100" s="2" t="s">
        <v>708</v>
      </c>
      <c r="D4100" s="2" t="s">
        <v>7</v>
      </c>
      <c r="E4100" s="70" t="s">
        <v>12</v>
      </c>
      <c r="F4100" s="29">
        <v>40</v>
      </c>
      <c r="G4100" s="29">
        <v>21</v>
      </c>
      <c r="H4100" s="33">
        <v>19</v>
      </c>
      <c r="M4100" s="2"/>
      <c r="N4100" s="2"/>
      <c r="O4100" s="2"/>
    </row>
    <row r="4101" spans="1:15" x14ac:dyDescent="0.4">
      <c r="A4101">
        <v>2005</v>
      </c>
      <c r="B4101" s="2" t="s">
        <v>368</v>
      </c>
      <c r="C4101" s="2" t="s">
        <v>708</v>
      </c>
      <c r="D4101" s="2" t="s">
        <v>7</v>
      </c>
      <c r="E4101" s="70" t="s">
        <v>13</v>
      </c>
      <c r="F4101" s="29">
        <v>39</v>
      </c>
      <c r="G4101" s="29">
        <v>30</v>
      </c>
      <c r="H4101" s="33">
        <v>9</v>
      </c>
      <c r="M4101" s="2"/>
      <c r="N4101" s="2"/>
      <c r="O4101" s="2"/>
    </row>
    <row r="4102" spans="1:15" x14ac:dyDescent="0.4">
      <c r="A4102">
        <v>2005</v>
      </c>
      <c r="B4102" s="2" t="s">
        <v>369</v>
      </c>
      <c r="C4102" s="2" t="s">
        <v>708</v>
      </c>
      <c r="D4102" s="2" t="s">
        <v>7</v>
      </c>
      <c r="E4102" s="70" t="s">
        <v>14</v>
      </c>
      <c r="F4102" s="29">
        <v>86</v>
      </c>
      <c r="G4102" s="29">
        <v>52</v>
      </c>
      <c r="H4102" s="33">
        <v>34</v>
      </c>
      <c r="M4102" s="2"/>
      <c r="N4102" s="2"/>
      <c r="O4102" s="2"/>
    </row>
    <row r="4103" spans="1:15" x14ac:dyDescent="0.4">
      <c r="A4103">
        <v>2005</v>
      </c>
      <c r="B4103" s="2" t="s">
        <v>370</v>
      </c>
      <c r="C4103" s="2" t="s">
        <v>708</v>
      </c>
      <c r="D4103" s="2" t="s">
        <v>7</v>
      </c>
      <c r="E4103" s="70" t="s">
        <v>15</v>
      </c>
      <c r="F4103" s="29">
        <v>35</v>
      </c>
      <c r="G4103" s="29">
        <v>25</v>
      </c>
      <c r="H4103" s="33">
        <v>10</v>
      </c>
      <c r="M4103" s="2"/>
      <c r="N4103" s="2"/>
      <c r="O4103" s="2"/>
    </row>
    <row r="4104" spans="1:15" x14ac:dyDescent="0.4">
      <c r="A4104">
        <v>2005</v>
      </c>
      <c r="B4104" s="2" t="s">
        <v>371</v>
      </c>
      <c r="C4104" s="2" t="s">
        <v>708</v>
      </c>
      <c r="D4104" s="2" t="s">
        <v>7</v>
      </c>
      <c r="E4104" s="70" t="s">
        <v>16</v>
      </c>
      <c r="F4104" s="29">
        <v>814</v>
      </c>
      <c r="G4104" s="29">
        <v>506</v>
      </c>
      <c r="H4104" s="33">
        <v>308</v>
      </c>
      <c r="M4104" s="2"/>
      <c r="N4104" s="2"/>
      <c r="O4104" s="2"/>
    </row>
    <row r="4105" spans="1:15" x14ac:dyDescent="0.4">
      <c r="A4105">
        <v>2005</v>
      </c>
      <c r="B4105" s="2" t="s">
        <v>372</v>
      </c>
      <c r="C4105" s="2" t="s">
        <v>708</v>
      </c>
      <c r="D4105" s="2" t="s">
        <v>7</v>
      </c>
      <c r="E4105" s="70" t="s">
        <v>17</v>
      </c>
      <c r="F4105" s="29">
        <v>29</v>
      </c>
      <c r="G4105" s="29">
        <v>19</v>
      </c>
      <c r="H4105" s="33">
        <v>10</v>
      </c>
      <c r="M4105" s="2"/>
      <c r="N4105" s="2"/>
      <c r="O4105" s="2"/>
    </row>
    <row r="4106" spans="1:15" x14ac:dyDescent="0.4">
      <c r="A4106">
        <v>2005</v>
      </c>
      <c r="B4106" s="2" t="s">
        <v>373</v>
      </c>
      <c r="C4106" s="2" t="s">
        <v>708</v>
      </c>
      <c r="D4106" s="2" t="s">
        <v>7</v>
      </c>
      <c r="E4106" s="70" t="s">
        <v>18</v>
      </c>
      <c r="F4106" s="29">
        <v>52</v>
      </c>
      <c r="G4106" s="29">
        <v>34</v>
      </c>
      <c r="H4106" s="33">
        <v>18</v>
      </c>
      <c r="M4106" s="2"/>
      <c r="N4106" s="2"/>
      <c r="O4106" s="2"/>
    </row>
    <row r="4107" spans="1:15" x14ac:dyDescent="0.4">
      <c r="A4107">
        <v>2005</v>
      </c>
      <c r="B4107" s="2" t="s">
        <v>374</v>
      </c>
      <c r="C4107" s="2" t="s">
        <v>708</v>
      </c>
      <c r="D4107" s="2" t="s">
        <v>7</v>
      </c>
      <c r="E4107" s="70" t="s">
        <v>19</v>
      </c>
      <c r="F4107" s="29">
        <v>91</v>
      </c>
      <c r="G4107" s="29">
        <v>53</v>
      </c>
      <c r="H4107" s="33">
        <v>38</v>
      </c>
      <c r="M4107" s="2"/>
      <c r="N4107" s="2"/>
      <c r="O4107" s="2"/>
    </row>
    <row r="4108" spans="1:15" x14ac:dyDescent="0.4">
      <c r="A4108">
        <v>2005</v>
      </c>
      <c r="B4108" s="2" t="s">
        <v>375</v>
      </c>
      <c r="C4108" s="2" t="s">
        <v>708</v>
      </c>
      <c r="D4108" s="2" t="s">
        <v>7</v>
      </c>
      <c r="E4108" s="70" t="s">
        <v>20</v>
      </c>
      <c r="F4108" s="29">
        <v>264</v>
      </c>
      <c r="G4108" s="29">
        <v>159</v>
      </c>
      <c r="H4108" s="33">
        <v>105</v>
      </c>
      <c r="M4108" s="2"/>
      <c r="N4108" s="2"/>
      <c r="O4108" s="2"/>
    </row>
    <row r="4109" spans="1:15" x14ac:dyDescent="0.4">
      <c r="A4109">
        <v>2005</v>
      </c>
      <c r="B4109" s="2" t="s">
        <v>376</v>
      </c>
      <c r="C4109" s="2" t="s">
        <v>708</v>
      </c>
      <c r="D4109" s="2" t="s">
        <v>7</v>
      </c>
      <c r="E4109" s="70" t="s">
        <v>21</v>
      </c>
      <c r="F4109" s="29">
        <v>51</v>
      </c>
      <c r="G4109" s="29">
        <v>37</v>
      </c>
      <c r="H4109" s="33">
        <v>14</v>
      </c>
      <c r="M4109" s="2"/>
      <c r="N4109" s="2"/>
      <c r="O4109" s="2"/>
    </row>
    <row r="4110" spans="1:15" x14ac:dyDescent="0.4">
      <c r="A4110">
        <v>2005</v>
      </c>
      <c r="B4110" s="2" t="s">
        <v>377</v>
      </c>
      <c r="C4110" s="2" t="s">
        <v>708</v>
      </c>
      <c r="D4110" s="2" t="s">
        <v>7</v>
      </c>
      <c r="E4110" s="70" t="s">
        <v>22</v>
      </c>
      <c r="F4110" s="29">
        <v>154</v>
      </c>
      <c r="G4110" s="29">
        <v>93</v>
      </c>
      <c r="H4110" s="33">
        <v>61</v>
      </c>
      <c r="M4110" s="2"/>
      <c r="N4110" s="2"/>
      <c r="O4110" s="2"/>
    </row>
    <row r="4111" spans="1:15" x14ac:dyDescent="0.4">
      <c r="A4111">
        <v>2005</v>
      </c>
      <c r="B4111" s="2" t="s">
        <v>378</v>
      </c>
      <c r="C4111" s="2" t="s">
        <v>708</v>
      </c>
      <c r="D4111" s="2" t="s">
        <v>7</v>
      </c>
      <c r="E4111" s="70" t="s">
        <v>23</v>
      </c>
      <c r="F4111" s="29">
        <v>27</v>
      </c>
      <c r="G4111" s="29">
        <v>20</v>
      </c>
      <c r="H4111" s="33">
        <v>7</v>
      </c>
      <c r="M4111" s="2"/>
      <c r="N4111" s="2"/>
      <c r="O4111" s="2"/>
    </row>
    <row r="4112" spans="1:15" x14ac:dyDescent="0.4">
      <c r="A4112">
        <v>2005</v>
      </c>
      <c r="B4112" s="2" t="s">
        <v>379</v>
      </c>
      <c r="C4112" s="2" t="s">
        <v>708</v>
      </c>
      <c r="D4112" s="2" t="s">
        <v>7</v>
      </c>
      <c r="E4112" s="70" t="s">
        <v>24</v>
      </c>
      <c r="F4112" s="29">
        <v>24</v>
      </c>
      <c r="G4112" s="29">
        <v>16</v>
      </c>
      <c r="H4112" s="33">
        <v>8</v>
      </c>
      <c r="M4112" s="2"/>
      <c r="N4112" s="2"/>
      <c r="O4112" s="2"/>
    </row>
    <row r="4113" spans="1:15" x14ac:dyDescent="0.4">
      <c r="A4113">
        <v>2005</v>
      </c>
      <c r="B4113" s="2" t="s">
        <v>380</v>
      </c>
      <c r="C4113" s="2" t="s">
        <v>708</v>
      </c>
      <c r="D4113" s="2" t="s">
        <v>7</v>
      </c>
      <c r="E4113" s="70" t="s">
        <v>25</v>
      </c>
      <c r="F4113" s="29">
        <v>2133</v>
      </c>
      <c r="G4113" s="29">
        <v>1356</v>
      </c>
      <c r="H4113" s="33">
        <v>777</v>
      </c>
      <c r="M4113" s="2"/>
      <c r="N4113" s="2"/>
      <c r="O4113" s="2"/>
    </row>
    <row r="4114" spans="1:15" x14ac:dyDescent="0.4">
      <c r="A4114">
        <v>2005</v>
      </c>
      <c r="B4114" s="2" t="s">
        <v>381</v>
      </c>
      <c r="C4114" s="2" t="s">
        <v>708</v>
      </c>
      <c r="D4114" s="2" t="s">
        <v>7</v>
      </c>
      <c r="E4114" s="70" t="s">
        <v>26</v>
      </c>
      <c r="F4114" s="29">
        <v>818</v>
      </c>
      <c r="G4114" s="29">
        <v>487</v>
      </c>
      <c r="H4114" s="33">
        <v>331</v>
      </c>
      <c r="M4114" s="2"/>
      <c r="N4114" s="2"/>
      <c r="O4114" s="2"/>
    </row>
    <row r="4115" spans="1:15" x14ac:dyDescent="0.4">
      <c r="A4115">
        <v>2005</v>
      </c>
      <c r="B4115" s="2" t="s">
        <v>382</v>
      </c>
      <c r="C4115" s="2" t="s">
        <v>708</v>
      </c>
      <c r="D4115" s="2" t="s">
        <v>7</v>
      </c>
      <c r="E4115" s="70" t="s">
        <v>27</v>
      </c>
      <c r="F4115" s="29">
        <v>16</v>
      </c>
      <c r="G4115" s="29">
        <v>16</v>
      </c>
      <c r="H4115" s="33">
        <v>0</v>
      </c>
      <c r="M4115" s="2"/>
      <c r="N4115" s="2"/>
      <c r="O4115" s="2"/>
    </row>
    <row r="4116" spans="1:15" x14ac:dyDescent="0.4">
      <c r="A4116">
        <v>2005</v>
      </c>
      <c r="B4116" s="2" t="s">
        <v>383</v>
      </c>
      <c r="C4116" s="2" t="s">
        <v>709</v>
      </c>
      <c r="D4116" s="2" t="s">
        <v>29</v>
      </c>
      <c r="E4116" s="70" t="s">
        <v>28</v>
      </c>
      <c r="F4116" s="29">
        <v>173</v>
      </c>
      <c r="G4116" s="29">
        <v>105</v>
      </c>
      <c r="H4116" s="33">
        <v>68</v>
      </c>
      <c r="M4116" s="2"/>
      <c r="N4116" s="2"/>
      <c r="O4116" s="2"/>
    </row>
    <row r="4117" spans="1:15" x14ac:dyDescent="0.4">
      <c r="A4117">
        <v>2005</v>
      </c>
      <c r="B4117" s="2" t="s">
        <v>384</v>
      </c>
      <c r="C4117" s="2" t="s">
        <v>709</v>
      </c>
      <c r="D4117" s="2" t="s">
        <v>29</v>
      </c>
      <c r="E4117" s="70" t="s">
        <v>30</v>
      </c>
      <c r="F4117" s="29">
        <v>85</v>
      </c>
      <c r="G4117" s="29">
        <v>53</v>
      </c>
      <c r="H4117" s="33">
        <v>32</v>
      </c>
      <c r="M4117" s="2"/>
      <c r="N4117" s="2"/>
      <c r="O4117" s="2"/>
    </row>
    <row r="4118" spans="1:15" x14ac:dyDescent="0.4">
      <c r="A4118">
        <v>2005</v>
      </c>
      <c r="B4118" s="2" t="s">
        <v>385</v>
      </c>
      <c r="C4118" s="2" t="s">
        <v>709</v>
      </c>
      <c r="D4118" s="2" t="s">
        <v>29</v>
      </c>
      <c r="E4118" s="70" t="s">
        <v>31</v>
      </c>
      <c r="F4118" s="29">
        <v>53</v>
      </c>
      <c r="G4118" s="29">
        <v>33</v>
      </c>
      <c r="H4118" s="33">
        <v>20</v>
      </c>
      <c r="M4118" s="2"/>
      <c r="N4118" s="2"/>
      <c r="O4118" s="2"/>
    </row>
    <row r="4119" spans="1:15" x14ac:dyDescent="0.4">
      <c r="A4119">
        <v>2005</v>
      </c>
      <c r="B4119" s="2" t="s">
        <v>386</v>
      </c>
      <c r="C4119" s="2" t="s">
        <v>709</v>
      </c>
      <c r="D4119" s="2" t="s">
        <v>29</v>
      </c>
      <c r="E4119" s="70" t="s">
        <v>32</v>
      </c>
      <c r="F4119" s="29">
        <v>263</v>
      </c>
      <c r="G4119" s="29">
        <v>176</v>
      </c>
      <c r="H4119" s="33">
        <v>87</v>
      </c>
      <c r="M4119" s="2"/>
      <c r="N4119" s="2"/>
      <c r="O4119" s="2"/>
    </row>
    <row r="4120" spans="1:15" x14ac:dyDescent="0.4">
      <c r="A4120">
        <v>2005</v>
      </c>
      <c r="B4120" s="2" t="s">
        <v>387</v>
      </c>
      <c r="C4120" s="2" t="s">
        <v>709</v>
      </c>
      <c r="D4120" s="2" t="s">
        <v>29</v>
      </c>
      <c r="E4120" s="70" t="s">
        <v>33</v>
      </c>
      <c r="F4120" s="29">
        <v>35</v>
      </c>
      <c r="G4120" s="29">
        <v>24</v>
      </c>
      <c r="H4120" s="33">
        <v>11</v>
      </c>
      <c r="M4120" s="2"/>
      <c r="N4120" s="2"/>
      <c r="O4120" s="2"/>
    </row>
    <row r="4121" spans="1:15" x14ac:dyDescent="0.4">
      <c r="A4121">
        <v>2005</v>
      </c>
      <c r="B4121" s="2" t="s">
        <v>388</v>
      </c>
      <c r="C4121" s="2" t="s">
        <v>709</v>
      </c>
      <c r="D4121" s="2" t="s">
        <v>29</v>
      </c>
      <c r="E4121" s="70" t="s">
        <v>34</v>
      </c>
      <c r="F4121" s="29">
        <v>62</v>
      </c>
      <c r="G4121" s="29">
        <v>38</v>
      </c>
      <c r="H4121" s="33">
        <v>24</v>
      </c>
      <c r="M4121" s="2"/>
      <c r="N4121" s="2"/>
      <c r="O4121" s="2"/>
    </row>
    <row r="4122" spans="1:15" x14ac:dyDescent="0.4">
      <c r="A4122">
        <v>2005</v>
      </c>
      <c r="B4122" s="2" t="s">
        <v>389</v>
      </c>
      <c r="C4122" s="2" t="s">
        <v>709</v>
      </c>
      <c r="D4122" s="2" t="s">
        <v>29</v>
      </c>
      <c r="E4122" s="70" t="s">
        <v>35</v>
      </c>
      <c r="F4122" s="29">
        <v>947</v>
      </c>
      <c r="G4122" s="29">
        <v>537</v>
      </c>
      <c r="H4122" s="33">
        <v>410</v>
      </c>
      <c r="M4122" s="2"/>
      <c r="N4122" s="2"/>
      <c r="O4122" s="2"/>
    </row>
    <row r="4123" spans="1:15" x14ac:dyDescent="0.4">
      <c r="A4123">
        <v>2005</v>
      </c>
      <c r="B4123" s="2" t="s">
        <v>390</v>
      </c>
      <c r="C4123" s="2" t="s">
        <v>710</v>
      </c>
      <c r="D4123" s="2" t="s">
        <v>37</v>
      </c>
      <c r="E4123" s="70" t="s">
        <v>36</v>
      </c>
      <c r="F4123" s="29">
        <v>154</v>
      </c>
      <c r="G4123" s="29">
        <v>97</v>
      </c>
      <c r="H4123" s="33">
        <v>57</v>
      </c>
      <c r="M4123" s="2"/>
      <c r="N4123" s="2"/>
      <c r="O4123" s="2"/>
    </row>
    <row r="4124" spans="1:15" x14ac:dyDescent="0.4">
      <c r="A4124">
        <v>2005</v>
      </c>
      <c r="B4124" s="2" t="s">
        <v>391</v>
      </c>
      <c r="C4124" s="2" t="s">
        <v>710</v>
      </c>
      <c r="D4124" s="2" t="s">
        <v>37</v>
      </c>
      <c r="E4124" s="70" t="s">
        <v>38</v>
      </c>
      <c r="F4124" s="29">
        <v>73</v>
      </c>
      <c r="G4124" s="29">
        <v>45</v>
      </c>
      <c r="H4124" s="33">
        <v>28</v>
      </c>
      <c r="M4124" s="2"/>
      <c r="N4124" s="2"/>
      <c r="O4124" s="2"/>
    </row>
    <row r="4125" spans="1:15" x14ac:dyDescent="0.4">
      <c r="A4125">
        <v>2005</v>
      </c>
      <c r="B4125" s="2" t="s">
        <v>392</v>
      </c>
      <c r="C4125" s="2" t="s">
        <v>710</v>
      </c>
      <c r="D4125" s="2" t="s">
        <v>37</v>
      </c>
      <c r="E4125" s="70" t="s">
        <v>39</v>
      </c>
      <c r="F4125" s="29">
        <v>211</v>
      </c>
      <c r="G4125" s="29">
        <v>128</v>
      </c>
      <c r="H4125" s="33">
        <v>83</v>
      </c>
      <c r="M4125" s="2"/>
      <c r="N4125" s="2"/>
      <c r="O4125" s="2"/>
    </row>
    <row r="4126" spans="1:15" x14ac:dyDescent="0.4">
      <c r="A4126">
        <v>2005</v>
      </c>
      <c r="B4126" s="2" t="s">
        <v>393</v>
      </c>
      <c r="C4126" s="2" t="s">
        <v>710</v>
      </c>
      <c r="D4126" s="2" t="s">
        <v>37</v>
      </c>
      <c r="E4126" s="70" t="s">
        <v>40</v>
      </c>
      <c r="F4126" s="29">
        <v>2765</v>
      </c>
      <c r="G4126" s="29">
        <v>1600</v>
      </c>
      <c r="H4126" s="33">
        <v>1165</v>
      </c>
      <c r="M4126" s="2"/>
      <c r="N4126" s="2"/>
      <c r="O4126" s="2"/>
    </row>
    <row r="4127" spans="1:15" x14ac:dyDescent="0.4">
      <c r="A4127">
        <v>2005</v>
      </c>
      <c r="B4127" s="2" t="s">
        <v>394</v>
      </c>
      <c r="C4127" s="2" t="s">
        <v>710</v>
      </c>
      <c r="D4127" s="2" t="s">
        <v>37</v>
      </c>
      <c r="E4127" s="70" t="s">
        <v>41</v>
      </c>
      <c r="F4127" s="29">
        <v>55</v>
      </c>
      <c r="G4127" s="29">
        <v>36</v>
      </c>
      <c r="H4127" s="33">
        <v>19</v>
      </c>
      <c r="M4127" s="2"/>
      <c r="N4127" s="2"/>
      <c r="O4127" s="2"/>
    </row>
    <row r="4128" spans="1:15" x14ac:dyDescent="0.4">
      <c r="A4128">
        <v>2005</v>
      </c>
      <c r="B4128" s="2" t="s">
        <v>395</v>
      </c>
      <c r="C4128" s="2" t="s">
        <v>710</v>
      </c>
      <c r="D4128" s="2" t="s">
        <v>37</v>
      </c>
      <c r="E4128" s="70" t="s">
        <v>42</v>
      </c>
      <c r="F4128" s="29">
        <v>864</v>
      </c>
      <c r="G4128" s="29">
        <v>506</v>
      </c>
      <c r="H4128" s="33">
        <v>358</v>
      </c>
      <c r="M4128" s="2"/>
      <c r="N4128" s="2"/>
      <c r="O4128" s="2"/>
    </row>
    <row r="4129" spans="1:15" x14ac:dyDescent="0.4">
      <c r="A4129">
        <v>2005</v>
      </c>
      <c r="B4129" s="2" t="s">
        <v>396</v>
      </c>
      <c r="C4129" s="2" t="s">
        <v>710</v>
      </c>
      <c r="D4129" s="2" t="s">
        <v>37</v>
      </c>
      <c r="E4129" s="70" t="s">
        <v>43</v>
      </c>
      <c r="F4129" s="29">
        <v>111</v>
      </c>
      <c r="G4129" s="29">
        <v>77</v>
      </c>
      <c r="H4129" s="33">
        <v>34</v>
      </c>
      <c r="M4129" s="2"/>
      <c r="N4129" s="2"/>
      <c r="O4129" s="2"/>
    </row>
    <row r="4130" spans="1:15" x14ac:dyDescent="0.4">
      <c r="A4130">
        <v>2005</v>
      </c>
      <c r="B4130" s="2" t="s">
        <v>397</v>
      </c>
      <c r="C4130" s="2" t="s">
        <v>710</v>
      </c>
      <c r="D4130" s="2" t="s">
        <v>37</v>
      </c>
      <c r="E4130" s="70" t="s">
        <v>44</v>
      </c>
      <c r="F4130" s="29">
        <v>409</v>
      </c>
      <c r="G4130" s="29">
        <v>243</v>
      </c>
      <c r="H4130" s="33">
        <v>166</v>
      </c>
      <c r="M4130" s="2"/>
      <c r="N4130" s="2"/>
      <c r="O4130" s="2"/>
    </row>
    <row r="4131" spans="1:15" x14ac:dyDescent="0.4">
      <c r="A4131">
        <v>2005</v>
      </c>
      <c r="B4131" s="2" t="s">
        <v>398</v>
      </c>
      <c r="C4131" s="2" t="s">
        <v>710</v>
      </c>
      <c r="D4131" s="2" t="s">
        <v>37</v>
      </c>
      <c r="E4131" s="70" t="s">
        <v>45</v>
      </c>
      <c r="F4131" s="29">
        <v>241</v>
      </c>
      <c r="G4131" s="29">
        <v>132</v>
      </c>
      <c r="H4131" s="33">
        <v>109</v>
      </c>
      <c r="M4131" s="2"/>
      <c r="N4131" s="2"/>
      <c r="O4131" s="2"/>
    </row>
    <row r="4132" spans="1:15" x14ac:dyDescent="0.4">
      <c r="A4132">
        <v>2005</v>
      </c>
      <c r="B4132" s="2" t="s">
        <v>399</v>
      </c>
      <c r="C4132" s="2" t="s">
        <v>710</v>
      </c>
      <c r="D4132" s="2" t="s">
        <v>37</v>
      </c>
      <c r="E4132" s="70" t="s">
        <v>46</v>
      </c>
      <c r="F4132" s="29">
        <v>0</v>
      </c>
      <c r="G4132" s="29">
        <v>0</v>
      </c>
      <c r="H4132" s="33">
        <v>0</v>
      </c>
      <c r="M4132" s="2"/>
      <c r="N4132" s="2"/>
      <c r="O4132" s="2"/>
    </row>
    <row r="4133" spans="1:15" x14ac:dyDescent="0.4">
      <c r="A4133">
        <v>2005</v>
      </c>
      <c r="B4133" s="2" t="s">
        <v>400</v>
      </c>
      <c r="C4133" s="2" t="s">
        <v>710</v>
      </c>
      <c r="D4133" s="2" t="s">
        <v>37</v>
      </c>
      <c r="E4133" s="70" t="s">
        <v>47</v>
      </c>
      <c r="F4133" s="29">
        <v>88</v>
      </c>
      <c r="G4133" s="29">
        <v>58</v>
      </c>
      <c r="H4133" s="33">
        <v>30</v>
      </c>
      <c r="M4133" s="2"/>
      <c r="N4133" s="2"/>
      <c r="O4133" s="2"/>
    </row>
    <row r="4134" spans="1:15" x14ac:dyDescent="0.4">
      <c r="A4134">
        <v>2005</v>
      </c>
      <c r="B4134" s="2" t="s">
        <v>401</v>
      </c>
      <c r="C4134" s="2" t="s">
        <v>710</v>
      </c>
      <c r="D4134" s="2" t="s">
        <v>37</v>
      </c>
      <c r="E4134" s="70" t="s">
        <v>48</v>
      </c>
      <c r="F4134" s="29">
        <v>67</v>
      </c>
      <c r="G4134" s="29">
        <v>38</v>
      </c>
      <c r="H4134" s="33">
        <v>29</v>
      </c>
      <c r="M4134" s="2"/>
      <c r="N4134" s="2"/>
      <c r="O4134" s="2"/>
    </row>
    <row r="4135" spans="1:15" x14ac:dyDescent="0.4">
      <c r="A4135">
        <v>2005</v>
      </c>
      <c r="B4135" s="2" t="s">
        <v>402</v>
      </c>
      <c r="C4135" s="2" t="s">
        <v>710</v>
      </c>
      <c r="D4135" s="2" t="s">
        <v>37</v>
      </c>
      <c r="E4135" s="70" t="s">
        <v>49</v>
      </c>
      <c r="F4135" s="29">
        <v>362</v>
      </c>
      <c r="G4135" s="29">
        <v>211</v>
      </c>
      <c r="H4135" s="33">
        <v>151</v>
      </c>
      <c r="M4135" s="2"/>
      <c r="N4135" s="2"/>
      <c r="O4135" s="2"/>
    </row>
    <row r="4136" spans="1:15" x14ac:dyDescent="0.4">
      <c r="A4136">
        <v>2005</v>
      </c>
      <c r="B4136" s="2" t="s">
        <v>403</v>
      </c>
      <c r="C4136" s="2" t="s">
        <v>710</v>
      </c>
      <c r="D4136" s="2" t="s">
        <v>37</v>
      </c>
      <c r="E4136" s="70" t="s">
        <v>50</v>
      </c>
      <c r="F4136" s="29">
        <v>120</v>
      </c>
      <c r="G4136" s="29">
        <v>89</v>
      </c>
      <c r="H4136" s="33">
        <v>31</v>
      </c>
      <c r="M4136" s="2"/>
      <c r="N4136" s="2"/>
      <c r="O4136" s="2"/>
    </row>
    <row r="4137" spans="1:15" x14ac:dyDescent="0.4">
      <c r="A4137">
        <v>2005</v>
      </c>
      <c r="B4137" s="2" t="s">
        <v>404</v>
      </c>
      <c r="C4137" s="2" t="s">
        <v>710</v>
      </c>
      <c r="D4137" s="2" t="s">
        <v>37</v>
      </c>
      <c r="E4137" s="70" t="s">
        <v>51</v>
      </c>
      <c r="F4137" s="29">
        <v>349</v>
      </c>
      <c r="G4137" s="29">
        <v>211</v>
      </c>
      <c r="H4137" s="33">
        <v>138</v>
      </c>
      <c r="M4137" s="2"/>
      <c r="N4137" s="2"/>
      <c r="O4137" s="2"/>
    </row>
    <row r="4138" spans="1:15" x14ac:dyDescent="0.4">
      <c r="A4138">
        <v>2005</v>
      </c>
      <c r="B4138" s="2" t="s">
        <v>405</v>
      </c>
      <c r="C4138" s="2" t="s">
        <v>710</v>
      </c>
      <c r="D4138" s="2" t="s">
        <v>37</v>
      </c>
      <c r="E4138" s="70" t="s">
        <v>52</v>
      </c>
      <c r="F4138" s="29">
        <v>30</v>
      </c>
      <c r="G4138" s="29">
        <v>18</v>
      </c>
      <c r="H4138" s="33">
        <v>12</v>
      </c>
      <c r="M4138" s="2"/>
      <c r="N4138" s="2"/>
      <c r="O4138" s="2"/>
    </row>
    <row r="4139" spans="1:15" x14ac:dyDescent="0.4">
      <c r="A4139">
        <v>2005</v>
      </c>
      <c r="B4139" s="2" t="s">
        <v>406</v>
      </c>
      <c r="C4139" s="2" t="s">
        <v>710</v>
      </c>
      <c r="D4139" s="2" t="s">
        <v>37</v>
      </c>
      <c r="E4139" s="70" t="s">
        <v>53</v>
      </c>
      <c r="F4139" s="29">
        <v>48</v>
      </c>
      <c r="G4139" s="29">
        <v>37</v>
      </c>
      <c r="H4139" s="33">
        <v>11</v>
      </c>
      <c r="M4139" s="2"/>
      <c r="N4139" s="2"/>
      <c r="O4139" s="2"/>
    </row>
    <row r="4140" spans="1:15" x14ac:dyDescent="0.4">
      <c r="A4140">
        <v>2005</v>
      </c>
      <c r="B4140" s="2" t="s">
        <v>407</v>
      </c>
      <c r="C4140" s="2" t="s">
        <v>710</v>
      </c>
      <c r="D4140" s="2" t="s">
        <v>37</v>
      </c>
      <c r="E4140" s="70" t="s">
        <v>54</v>
      </c>
      <c r="F4140" s="29">
        <v>466</v>
      </c>
      <c r="G4140" s="29">
        <v>292</v>
      </c>
      <c r="H4140" s="33">
        <v>174</v>
      </c>
      <c r="M4140" s="2"/>
      <c r="N4140" s="2"/>
      <c r="O4140" s="2"/>
    </row>
    <row r="4141" spans="1:15" x14ac:dyDescent="0.4">
      <c r="A4141">
        <v>2005</v>
      </c>
      <c r="B4141" s="2" t="s">
        <v>408</v>
      </c>
      <c r="C4141" s="2" t="s">
        <v>711</v>
      </c>
      <c r="D4141" s="2" t="s">
        <v>56</v>
      </c>
      <c r="E4141" s="70" t="s">
        <v>55</v>
      </c>
      <c r="F4141" s="29">
        <v>115</v>
      </c>
      <c r="G4141" s="29">
        <v>73</v>
      </c>
      <c r="H4141" s="33">
        <v>42</v>
      </c>
      <c r="M4141" s="2"/>
      <c r="N4141" s="2"/>
      <c r="O4141" s="2"/>
    </row>
    <row r="4142" spans="1:15" x14ac:dyDescent="0.4">
      <c r="A4142">
        <v>2005</v>
      </c>
      <c r="B4142" s="2" t="s">
        <v>409</v>
      </c>
      <c r="C4142" s="2" t="s">
        <v>711</v>
      </c>
      <c r="D4142" s="2" t="s">
        <v>56</v>
      </c>
      <c r="E4142" s="70" t="s">
        <v>57</v>
      </c>
      <c r="F4142" s="29">
        <v>0</v>
      </c>
      <c r="G4142" s="29">
        <v>0</v>
      </c>
      <c r="H4142" s="33">
        <v>0</v>
      </c>
      <c r="M4142" s="2"/>
      <c r="N4142" s="2"/>
      <c r="O4142" s="2"/>
    </row>
    <row r="4143" spans="1:15" x14ac:dyDescent="0.4">
      <c r="A4143">
        <v>2005</v>
      </c>
      <c r="B4143" s="2" t="s">
        <v>410</v>
      </c>
      <c r="C4143" s="2" t="s">
        <v>711</v>
      </c>
      <c r="D4143" s="2" t="s">
        <v>56</v>
      </c>
      <c r="E4143" s="70" t="s">
        <v>58</v>
      </c>
      <c r="F4143" s="29">
        <v>191</v>
      </c>
      <c r="G4143" s="29">
        <v>115</v>
      </c>
      <c r="H4143" s="33">
        <v>76</v>
      </c>
      <c r="M4143" s="2"/>
      <c r="N4143" s="2"/>
      <c r="O4143" s="2"/>
    </row>
    <row r="4144" spans="1:15" x14ac:dyDescent="0.4">
      <c r="A4144">
        <v>2005</v>
      </c>
      <c r="B4144" s="2" t="s">
        <v>411</v>
      </c>
      <c r="C4144" s="2" t="s">
        <v>711</v>
      </c>
      <c r="D4144" s="2" t="s">
        <v>56</v>
      </c>
      <c r="E4144" s="70" t="s">
        <v>59</v>
      </c>
      <c r="F4144" s="29">
        <v>36</v>
      </c>
      <c r="G4144" s="29">
        <v>21</v>
      </c>
      <c r="H4144" s="33">
        <v>15</v>
      </c>
      <c r="M4144" s="2"/>
      <c r="N4144" s="2"/>
      <c r="O4144" s="2"/>
    </row>
    <row r="4145" spans="1:15" x14ac:dyDescent="0.4">
      <c r="A4145">
        <v>2005</v>
      </c>
      <c r="B4145" s="2" t="s">
        <v>412</v>
      </c>
      <c r="C4145" s="2" t="s">
        <v>711</v>
      </c>
      <c r="D4145" s="2" t="s">
        <v>56</v>
      </c>
      <c r="E4145" s="70" t="s">
        <v>60</v>
      </c>
      <c r="F4145" s="29">
        <v>1629</v>
      </c>
      <c r="G4145" s="29">
        <v>999</v>
      </c>
      <c r="H4145" s="33">
        <v>630</v>
      </c>
      <c r="M4145" s="2"/>
      <c r="N4145" s="2"/>
      <c r="O4145" s="2"/>
    </row>
    <row r="4146" spans="1:15" x14ac:dyDescent="0.4">
      <c r="A4146">
        <v>2005</v>
      </c>
      <c r="B4146" s="2" t="s">
        <v>413</v>
      </c>
      <c r="C4146" s="2" t="s">
        <v>711</v>
      </c>
      <c r="D4146" s="2" t="s">
        <v>56</v>
      </c>
      <c r="E4146" s="70" t="s">
        <v>36</v>
      </c>
      <c r="F4146" s="29">
        <v>127</v>
      </c>
      <c r="G4146" s="29">
        <v>70</v>
      </c>
      <c r="H4146" s="33">
        <v>57</v>
      </c>
      <c r="M4146" s="2"/>
      <c r="N4146" s="2"/>
      <c r="O4146" s="2"/>
    </row>
    <row r="4147" spans="1:15" x14ac:dyDescent="0.4">
      <c r="A4147">
        <v>2005</v>
      </c>
      <c r="B4147" s="2" t="s">
        <v>414</v>
      </c>
      <c r="C4147" s="2" t="s">
        <v>711</v>
      </c>
      <c r="D4147" s="2" t="s">
        <v>56</v>
      </c>
      <c r="E4147" s="70" t="s">
        <v>61</v>
      </c>
      <c r="F4147" s="29">
        <v>74</v>
      </c>
      <c r="G4147" s="29">
        <v>51</v>
      </c>
      <c r="H4147" s="33">
        <v>23</v>
      </c>
      <c r="M4147" s="2"/>
      <c r="N4147" s="2"/>
      <c r="O4147" s="2"/>
    </row>
    <row r="4148" spans="1:15" x14ac:dyDescent="0.4">
      <c r="A4148">
        <v>2005</v>
      </c>
      <c r="B4148" s="2" t="s">
        <v>415</v>
      </c>
      <c r="C4148" s="2" t="s">
        <v>711</v>
      </c>
      <c r="D4148" s="2" t="s">
        <v>56</v>
      </c>
      <c r="E4148" s="70" t="s">
        <v>62</v>
      </c>
      <c r="F4148" s="29">
        <v>204</v>
      </c>
      <c r="G4148" s="29">
        <v>126</v>
      </c>
      <c r="H4148" s="33">
        <v>78</v>
      </c>
      <c r="M4148" s="2"/>
      <c r="N4148" s="2"/>
      <c r="O4148" s="2"/>
    </row>
    <row r="4149" spans="1:15" x14ac:dyDescent="0.4">
      <c r="A4149">
        <v>2005</v>
      </c>
      <c r="B4149" s="2" t="s">
        <v>416</v>
      </c>
      <c r="C4149" s="2" t="s">
        <v>711</v>
      </c>
      <c r="D4149" s="2" t="s">
        <v>56</v>
      </c>
      <c r="E4149" s="70" t="s">
        <v>63</v>
      </c>
      <c r="F4149" s="29">
        <v>60</v>
      </c>
      <c r="G4149" s="29">
        <v>42</v>
      </c>
      <c r="H4149" s="33">
        <v>18</v>
      </c>
      <c r="M4149" s="2"/>
      <c r="N4149" s="2"/>
      <c r="O4149" s="2"/>
    </row>
    <row r="4150" spans="1:15" x14ac:dyDescent="0.4">
      <c r="A4150">
        <v>2005</v>
      </c>
      <c r="B4150" s="2" t="s">
        <v>417</v>
      </c>
      <c r="C4150" s="2" t="s">
        <v>711</v>
      </c>
      <c r="D4150" s="2" t="s">
        <v>56</v>
      </c>
      <c r="E4150" s="70" t="s">
        <v>64</v>
      </c>
      <c r="F4150" s="29">
        <v>187</v>
      </c>
      <c r="G4150" s="29">
        <v>125</v>
      </c>
      <c r="H4150" s="33">
        <v>62</v>
      </c>
      <c r="M4150" s="2"/>
      <c r="N4150" s="2"/>
      <c r="O4150" s="2"/>
    </row>
    <row r="4151" spans="1:15" x14ac:dyDescent="0.4">
      <c r="A4151">
        <v>2005</v>
      </c>
      <c r="B4151" s="2" t="s">
        <v>418</v>
      </c>
      <c r="C4151" s="2" t="s">
        <v>711</v>
      </c>
      <c r="D4151" s="2" t="s">
        <v>56</v>
      </c>
      <c r="E4151" s="70" t="s">
        <v>65</v>
      </c>
      <c r="F4151" s="29">
        <v>93</v>
      </c>
      <c r="G4151" s="29">
        <v>57</v>
      </c>
      <c r="H4151" s="33">
        <v>36</v>
      </c>
      <c r="M4151" s="2"/>
      <c r="N4151" s="2"/>
      <c r="O4151" s="2"/>
    </row>
    <row r="4152" spans="1:15" x14ac:dyDescent="0.4">
      <c r="A4152">
        <v>2005</v>
      </c>
      <c r="B4152" s="2" t="s">
        <v>419</v>
      </c>
      <c r="C4152" s="2" t="s">
        <v>711</v>
      </c>
      <c r="D4152" s="2" t="s">
        <v>56</v>
      </c>
      <c r="E4152" s="70" t="s">
        <v>66</v>
      </c>
      <c r="F4152" s="29">
        <v>31</v>
      </c>
      <c r="G4152" s="29">
        <v>22</v>
      </c>
      <c r="H4152" s="33">
        <v>9</v>
      </c>
      <c r="M4152" s="2"/>
      <c r="N4152" s="2"/>
      <c r="O4152" s="2"/>
    </row>
    <row r="4153" spans="1:15" x14ac:dyDescent="0.4">
      <c r="A4153">
        <v>2005</v>
      </c>
      <c r="B4153" s="2" t="s">
        <v>420</v>
      </c>
      <c r="C4153" s="2" t="s">
        <v>712</v>
      </c>
      <c r="D4153" s="2" t="s">
        <v>68</v>
      </c>
      <c r="E4153" s="70" t="s">
        <v>67</v>
      </c>
      <c r="F4153" s="29">
        <v>3241</v>
      </c>
      <c r="G4153" s="29">
        <v>2108</v>
      </c>
      <c r="H4153" s="33">
        <v>1133</v>
      </c>
      <c r="M4153" s="2"/>
      <c r="N4153" s="2"/>
      <c r="O4153" s="2"/>
    </row>
    <row r="4154" spans="1:15" x14ac:dyDescent="0.4">
      <c r="A4154">
        <v>2005</v>
      </c>
      <c r="B4154" s="2" t="s">
        <v>421</v>
      </c>
      <c r="C4154" s="2" t="s">
        <v>712</v>
      </c>
      <c r="D4154" s="2" t="s">
        <v>68</v>
      </c>
      <c r="E4154" s="70" t="s">
        <v>69</v>
      </c>
      <c r="F4154" s="29">
        <v>184</v>
      </c>
      <c r="G4154" s="29">
        <v>111</v>
      </c>
      <c r="H4154" s="33">
        <v>73</v>
      </c>
      <c r="M4154" s="2"/>
      <c r="N4154" s="2"/>
      <c r="O4154" s="2"/>
    </row>
    <row r="4155" spans="1:15" x14ac:dyDescent="0.4">
      <c r="A4155">
        <v>2005</v>
      </c>
      <c r="B4155" s="2" t="s">
        <v>422</v>
      </c>
      <c r="C4155" s="2" t="s">
        <v>712</v>
      </c>
      <c r="D4155" s="2" t="s">
        <v>68</v>
      </c>
      <c r="E4155" s="70" t="s">
        <v>70</v>
      </c>
      <c r="F4155" s="29">
        <v>54</v>
      </c>
      <c r="G4155" s="29">
        <v>35</v>
      </c>
      <c r="H4155" s="33">
        <v>19</v>
      </c>
      <c r="M4155" s="2"/>
      <c r="N4155" s="2"/>
      <c r="O4155" s="2"/>
    </row>
    <row r="4156" spans="1:15" x14ac:dyDescent="0.4">
      <c r="A4156">
        <v>2005</v>
      </c>
      <c r="B4156" s="2" t="s">
        <v>423</v>
      </c>
      <c r="C4156" s="2" t="s">
        <v>712</v>
      </c>
      <c r="D4156" s="2" t="s">
        <v>68</v>
      </c>
      <c r="E4156" s="70" t="s">
        <v>71</v>
      </c>
      <c r="F4156" s="29">
        <v>82</v>
      </c>
      <c r="G4156" s="29">
        <v>51</v>
      </c>
      <c r="H4156" s="33">
        <v>31</v>
      </c>
      <c r="M4156" s="2"/>
      <c r="N4156" s="2"/>
      <c r="O4156" s="2"/>
    </row>
    <row r="4157" spans="1:15" x14ac:dyDescent="0.4">
      <c r="A4157">
        <v>2005</v>
      </c>
      <c r="B4157" s="2" t="s">
        <v>424</v>
      </c>
      <c r="C4157" s="2" t="s">
        <v>712</v>
      </c>
      <c r="D4157" s="2" t="s">
        <v>68</v>
      </c>
      <c r="E4157" s="70" t="s">
        <v>72</v>
      </c>
      <c r="F4157" s="29">
        <v>1861</v>
      </c>
      <c r="G4157" s="29">
        <v>1077</v>
      </c>
      <c r="H4157" s="33">
        <v>784</v>
      </c>
      <c r="M4157" s="2"/>
      <c r="N4157" s="2"/>
      <c r="O4157" s="2"/>
    </row>
    <row r="4158" spans="1:15" x14ac:dyDescent="0.4">
      <c r="A4158">
        <v>2005</v>
      </c>
      <c r="B4158" s="2" t="s">
        <v>425</v>
      </c>
      <c r="C4158" s="2" t="s">
        <v>712</v>
      </c>
      <c r="D4158" s="2" t="s">
        <v>68</v>
      </c>
      <c r="E4158" s="70" t="s">
        <v>73</v>
      </c>
      <c r="F4158" s="29">
        <v>32</v>
      </c>
      <c r="G4158" s="29">
        <v>17</v>
      </c>
      <c r="H4158" s="33">
        <v>15</v>
      </c>
      <c r="M4158" s="2"/>
      <c r="N4158" s="2"/>
      <c r="O4158" s="2"/>
    </row>
    <row r="4159" spans="1:15" x14ac:dyDescent="0.4">
      <c r="A4159">
        <v>2005</v>
      </c>
      <c r="B4159" s="2" t="s">
        <v>426</v>
      </c>
      <c r="C4159" s="2" t="s">
        <v>712</v>
      </c>
      <c r="D4159" s="2" t="s">
        <v>68</v>
      </c>
      <c r="E4159" s="70" t="s">
        <v>74</v>
      </c>
      <c r="F4159" s="29">
        <v>347</v>
      </c>
      <c r="G4159" s="29">
        <v>198</v>
      </c>
      <c r="H4159" s="33">
        <v>149</v>
      </c>
      <c r="M4159" s="2"/>
      <c r="N4159" s="2"/>
      <c r="O4159" s="2"/>
    </row>
    <row r="4160" spans="1:15" x14ac:dyDescent="0.4">
      <c r="A4160">
        <v>2005</v>
      </c>
      <c r="B4160" s="2" t="s">
        <v>427</v>
      </c>
      <c r="C4160" s="2" t="s">
        <v>712</v>
      </c>
      <c r="D4160" s="2" t="s">
        <v>68</v>
      </c>
      <c r="E4160" s="70" t="s">
        <v>75</v>
      </c>
      <c r="F4160" s="29">
        <v>50</v>
      </c>
      <c r="G4160" s="29">
        <v>38</v>
      </c>
      <c r="H4160" s="33">
        <v>12</v>
      </c>
      <c r="M4160" s="2"/>
      <c r="N4160" s="2"/>
      <c r="O4160" s="2"/>
    </row>
    <row r="4161" spans="1:15" x14ac:dyDescent="0.4">
      <c r="A4161">
        <v>2005</v>
      </c>
      <c r="B4161" s="2" t="s">
        <v>428</v>
      </c>
      <c r="C4161" s="2" t="s">
        <v>712</v>
      </c>
      <c r="D4161" s="2" t="s">
        <v>68</v>
      </c>
      <c r="E4161" s="70" t="s">
        <v>76</v>
      </c>
      <c r="F4161" s="29">
        <v>64</v>
      </c>
      <c r="G4161" s="29">
        <v>41</v>
      </c>
      <c r="H4161" s="33">
        <v>23</v>
      </c>
      <c r="M4161" s="2"/>
      <c r="N4161" s="2"/>
      <c r="O4161" s="2"/>
    </row>
    <row r="4162" spans="1:15" x14ac:dyDescent="0.4">
      <c r="A4162">
        <v>2005</v>
      </c>
      <c r="B4162" s="2" t="s">
        <v>429</v>
      </c>
      <c r="C4162" s="2" t="s">
        <v>712</v>
      </c>
      <c r="D4162" s="2" t="s">
        <v>68</v>
      </c>
      <c r="E4162" s="70" t="s">
        <v>77</v>
      </c>
      <c r="F4162" s="29">
        <v>108</v>
      </c>
      <c r="G4162" s="29">
        <v>75</v>
      </c>
      <c r="H4162" s="33">
        <v>33</v>
      </c>
      <c r="M4162" s="2"/>
      <c r="N4162" s="2"/>
      <c r="O4162" s="2"/>
    </row>
    <row r="4163" spans="1:15" x14ac:dyDescent="0.4">
      <c r="A4163">
        <v>2005</v>
      </c>
      <c r="B4163" s="2" t="s">
        <v>430</v>
      </c>
      <c r="C4163" s="2" t="s">
        <v>712</v>
      </c>
      <c r="D4163" s="2" t="s">
        <v>68</v>
      </c>
      <c r="E4163" s="70" t="s">
        <v>51</v>
      </c>
      <c r="F4163" s="29">
        <v>17</v>
      </c>
      <c r="G4163" s="29">
        <v>12</v>
      </c>
      <c r="H4163" s="33">
        <v>5</v>
      </c>
      <c r="M4163" s="2"/>
      <c r="N4163" s="2"/>
      <c r="O4163" s="2"/>
    </row>
    <row r="4164" spans="1:15" x14ac:dyDescent="0.4">
      <c r="A4164">
        <v>2005</v>
      </c>
      <c r="B4164" s="2" t="s">
        <v>431</v>
      </c>
      <c r="C4164" s="2" t="s">
        <v>713</v>
      </c>
      <c r="D4164" s="2" t="s">
        <v>79</v>
      </c>
      <c r="E4164" s="70" t="s">
        <v>78</v>
      </c>
      <c r="F4164" s="29">
        <v>264</v>
      </c>
      <c r="G4164" s="29">
        <v>161</v>
      </c>
      <c r="H4164" s="33">
        <v>103</v>
      </c>
      <c r="M4164" s="2"/>
      <c r="N4164" s="2"/>
      <c r="O4164" s="2"/>
    </row>
    <row r="4165" spans="1:15" x14ac:dyDescent="0.4">
      <c r="A4165">
        <v>2005</v>
      </c>
      <c r="B4165" s="2" t="s">
        <v>432</v>
      </c>
      <c r="C4165" s="2" t="s">
        <v>713</v>
      </c>
      <c r="D4165" s="2" t="s">
        <v>79</v>
      </c>
      <c r="E4165" s="70" t="s">
        <v>80</v>
      </c>
      <c r="F4165" s="29">
        <v>384</v>
      </c>
      <c r="G4165" s="29">
        <v>245</v>
      </c>
      <c r="H4165" s="33">
        <v>139</v>
      </c>
      <c r="M4165" s="2"/>
      <c r="N4165" s="2"/>
      <c r="O4165" s="2"/>
    </row>
    <row r="4166" spans="1:15" x14ac:dyDescent="0.4">
      <c r="A4166">
        <v>2005</v>
      </c>
      <c r="B4166" s="2" t="s">
        <v>433</v>
      </c>
      <c r="C4166" s="2" t="s">
        <v>713</v>
      </c>
      <c r="D4166" s="2" t="s">
        <v>79</v>
      </c>
      <c r="E4166" s="70" t="s">
        <v>81</v>
      </c>
      <c r="F4166" s="29">
        <v>327</v>
      </c>
      <c r="G4166" s="29">
        <v>209</v>
      </c>
      <c r="H4166" s="33">
        <v>118</v>
      </c>
      <c r="M4166" s="2"/>
      <c r="N4166" s="2"/>
      <c r="O4166" s="2"/>
    </row>
    <row r="4167" spans="1:15" x14ac:dyDescent="0.4">
      <c r="A4167">
        <v>2005</v>
      </c>
      <c r="B4167" s="2" t="s">
        <v>434</v>
      </c>
      <c r="C4167" s="2" t="s">
        <v>713</v>
      </c>
      <c r="D4167" s="2" t="s">
        <v>79</v>
      </c>
      <c r="E4167" s="70" t="s">
        <v>82</v>
      </c>
      <c r="F4167" s="29">
        <v>418</v>
      </c>
      <c r="G4167" s="29">
        <v>276</v>
      </c>
      <c r="H4167" s="33">
        <v>142</v>
      </c>
      <c r="M4167" s="2"/>
      <c r="N4167" s="2"/>
      <c r="O4167" s="2"/>
    </row>
    <row r="4168" spans="1:15" x14ac:dyDescent="0.4">
      <c r="A4168">
        <v>2005</v>
      </c>
      <c r="B4168" s="2" t="s">
        <v>435</v>
      </c>
      <c r="C4168" s="2" t="s">
        <v>713</v>
      </c>
      <c r="D4168" s="2" t="s">
        <v>79</v>
      </c>
      <c r="E4168" s="70" t="s">
        <v>83</v>
      </c>
      <c r="F4168" s="29">
        <v>170</v>
      </c>
      <c r="G4168" s="29">
        <v>123</v>
      </c>
      <c r="H4168" s="33">
        <v>47</v>
      </c>
      <c r="M4168" s="2"/>
      <c r="N4168" s="2"/>
      <c r="O4168" s="2"/>
    </row>
    <row r="4169" spans="1:15" x14ac:dyDescent="0.4">
      <c r="A4169">
        <v>2005</v>
      </c>
      <c r="B4169" s="2" t="s">
        <v>436</v>
      </c>
      <c r="C4169" s="2" t="s">
        <v>713</v>
      </c>
      <c r="D4169" s="2" t="s">
        <v>79</v>
      </c>
      <c r="E4169" s="70" t="s">
        <v>44</v>
      </c>
      <c r="F4169" s="29">
        <v>475</v>
      </c>
      <c r="G4169" s="29">
        <v>344</v>
      </c>
      <c r="H4169" s="33">
        <v>131</v>
      </c>
      <c r="M4169" s="2"/>
      <c r="N4169" s="2"/>
      <c r="O4169" s="2"/>
    </row>
    <row r="4170" spans="1:15" x14ac:dyDescent="0.4">
      <c r="A4170">
        <v>2005</v>
      </c>
      <c r="B4170" s="2" t="s">
        <v>437</v>
      </c>
      <c r="C4170" s="2" t="s">
        <v>713</v>
      </c>
      <c r="D4170" s="2" t="s">
        <v>79</v>
      </c>
      <c r="E4170" s="70" t="s">
        <v>84</v>
      </c>
      <c r="F4170" s="29">
        <v>232</v>
      </c>
      <c r="G4170" s="29">
        <v>159</v>
      </c>
      <c r="H4170" s="33">
        <v>73</v>
      </c>
      <c r="M4170" s="2"/>
      <c r="N4170" s="2"/>
      <c r="O4170" s="2"/>
    </row>
    <row r="4171" spans="1:15" x14ac:dyDescent="0.4">
      <c r="A4171">
        <v>2005</v>
      </c>
      <c r="B4171" s="2" t="s">
        <v>438</v>
      </c>
      <c r="C4171" s="2" t="s">
        <v>713</v>
      </c>
      <c r="D4171" s="2" t="s">
        <v>79</v>
      </c>
      <c r="E4171" s="70" t="s">
        <v>85</v>
      </c>
      <c r="F4171" s="29">
        <v>60</v>
      </c>
      <c r="G4171" s="29">
        <v>39</v>
      </c>
      <c r="H4171" s="33">
        <v>21</v>
      </c>
      <c r="M4171" s="2"/>
      <c r="N4171" s="2"/>
      <c r="O4171" s="2"/>
    </row>
    <row r="4172" spans="1:15" x14ac:dyDescent="0.4">
      <c r="A4172">
        <v>2005</v>
      </c>
      <c r="B4172" s="2" t="s">
        <v>439</v>
      </c>
      <c r="C4172" s="2" t="s">
        <v>713</v>
      </c>
      <c r="D4172" s="2" t="s">
        <v>79</v>
      </c>
      <c r="E4172" s="70" t="s">
        <v>86</v>
      </c>
      <c r="F4172" s="29">
        <v>54</v>
      </c>
      <c r="G4172" s="29">
        <v>31</v>
      </c>
      <c r="H4172" s="33">
        <v>23</v>
      </c>
      <c r="M4172" s="2"/>
      <c r="N4172" s="2"/>
      <c r="O4172" s="2"/>
    </row>
    <row r="4173" spans="1:15" x14ac:dyDescent="0.4">
      <c r="A4173">
        <v>2005</v>
      </c>
      <c r="B4173" s="2" t="s">
        <v>440</v>
      </c>
      <c r="C4173" s="2" t="s">
        <v>713</v>
      </c>
      <c r="D4173" s="2" t="s">
        <v>79</v>
      </c>
      <c r="E4173" s="70" t="s">
        <v>87</v>
      </c>
      <c r="F4173" s="29">
        <v>1351</v>
      </c>
      <c r="G4173" s="29">
        <v>719</v>
      </c>
      <c r="H4173" s="33">
        <v>632</v>
      </c>
      <c r="M4173" s="2"/>
      <c r="N4173" s="2"/>
      <c r="O4173" s="2"/>
    </row>
    <row r="4174" spans="1:15" x14ac:dyDescent="0.4">
      <c r="A4174">
        <v>2005</v>
      </c>
      <c r="B4174" s="2" t="s">
        <v>441</v>
      </c>
      <c r="C4174" s="2" t="s">
        <v>713</v>
      </c>
      <c r="D4174" s="2" t="s">
        <v>79</v>
      </c>
      <c r="E4174" s="70" t="s">
        <v>88</v>
      </c>
      <c r="F4174" s="29">
        <v>1039</v>
      </c>
      <c r="G4174" s="29">
        <v>650</v>
      </c>
      <c r="H4174" s="33">
        <v>389</v>
      </c>
      <c r="M4174" s="2"/>
      <c r="N4174" s="2"/>
      <c r="O4174" s="2"/>
    </row>
    <row r="4175" spans="1:15" x14ac:dyDescent="0.4">
      <c r="A4175">
        <v>2005</v>
      </c>
      <c r="B4175" s="2" t="s">
        <v>442</v>
      </c>
      <c r="C4175" s="2" t="s">
        <v>713</v>
      </c>
      <c r="D4175" s="2" t="s">
        <v>79</v>
      </c>
      <c r="E4175" s="70" t="s">
        <v>89</v>
      </c>
      <c r="F4175" s="29">
        <v>134</v>
      </c>
      <c r="G4175" s="29">
        <v>75</v>
      </c>
      <c r="H4175" s="33">
        <v>59</v>
      </c>
      <c r="M4175" s="2"/>
      <c r="N4175" s="2"/>
      <c r="O4175" s="2"/>
    </row>
    <row r="4176" spans="1:15" x14ac:dyDescent="0.4">
      <c r="A4176">
        <v>2005</v>
      </c>
      <c r="B4176" s="2" t="s">
        <v>443</v>
      </c>
      <c r="C4176" s="2" t="s">
        <v>713</v>
      </c>
      <c r="D4176" s="2" t="s">
        <v>79</v>
      </c>
      <c r="E4176" s="70" t="s">
        <v>90</v>
      </c>
      <c r="F4176" s="29">
        <v>150</v>
      </c>
      <c r="G4176" s="29">
        <v>97</v>
      </c>
      <c r="H4176" s="33">
        <v>53</v>
      </c>
      <c r="M4176" s="2"/>
      <c r="N4176" s="2"/>
      <c r="O4176" s="2"/>
    </row>
    <row r="4177" spans="1:15" x14ac:dyDescent="0.4">
      <c r="A4177">
        <v>2005</v>
      </c>
      <c r="B4177" s="2" t="s">
        <v>444</v>
      </c>
      <c r="C4177" s="2" t="s">
        <v>713</v>
      </c>
      <c r="D4177" s="2" t="s">
        <v>79</v>
      </c>
      <c r="E4177" s="70" t="s">
        <v>91</v>
      </c>
      <c r="F4177" s="29">
        <v>4441</v>
      </c>
      <c r="G4177" s="29">
        <v>2768</v>
      </c>
      <c r="H4177" s="33">
        <v>1673</v>
      </c>
      <c r="M4177" s="2"/>
      <c r="N4177" s="2"/>
      <c r="O4177" s="2"/>
    </row>
    <row r="4178" spans="1:15" x14ac:dyDescent="0.4">
      <c r="A4178">
        <v>2005</v>
      </c>
      <c r="B4178" s="2" t="s">
        <v>445</v>
      </c>
      <c r="C4178" s="2" t="s">
        <v>714</v>
      </c>
      <c r="D4178" s="2" t="s">
        <v>93</v>
      </c>
      <c r="E4178" s="70" t="s">
        <v>92</v>
      </c>
      <c r="F4178" s="29">
        <v>29</v>
      </c>
      <c r="G4178" s="29">
        <v>21</v>
      </c>
      <c r="H4178" s="33">
        <v>8</v>
      </c>
      <c r="M4178" s="2"/>
      <c r="N4178" s="2"/>
      <c r="O4178" s="2"/>
    </row>
    <row r="4179" spans="1:15" x14ac:dyDescent="0.4">
      <c r="A4179">
        <v>2005</v>
      </c>
      <c r="B4179" s="2" t="s">
        <v>446</v>
      </c>
      <c r="C4179" s="2" t="s">
        <v>714</v>
      </c>
      <c r="D4179" s="2" t="s">
        <v>93</v>
      </c>
      <c r="E4179" s="70" t="s">
        <v>94</v>
      </c>
      <c r="F4179" s="29">
        <v>314</v>
      </c>
      <c r="G4179" s="29">
        <v>204</v>
      </c>
      <c r="H4179" s="33">
        <v>110</v>
      </c>
      <c r="M4179" s="2"/>
      <c r="N4179" s="2"/>
      <c r="O4179" s="2"/>
    </row>
    <row r="4180" spans="1:15" x14ac:dyDescent="0.4">
      <c r="A4180">
        <v>2005</v>
      </c>
      <c r="B4180" s="2" t="s">
        <v>447</v>
      </c>
      <c r="C4180" s="2" t="s">
        <v>714</v>
      </c>
      <c r="D4180" s="2" t="s">
        <v>93</v>
      </c>
      <c r="E4180" s="70" t="s">
        <v>40</v>
      </c>
      <c r="F4180" s="29">
        <v>31</v>
      </c>
      <c r="G4180" s="29">
        <v>19</v>
      </c>
      <c r="H4180" s="33">
        <v>12</v>
      </c>
      <c r="M4180" s="2"/>
      <c r="N4180" s="2"/>
      <c r="O4180" s="2"/>
    </row>
    <row r="4181" spans="1:15" x14ac:dyDescent="0.4">
      <c r="A4181">
        <v>2005</v>
      </c>
      <c r="B4181" s="2" t="s">
        <v>448</v>
      </c>
      <c r="C4181" s="2" t="s">
        <v>714</v>
      </c>
      <c r="D4181" s="2" t="s">
        <v>93</v>
      </c>
      <c r="E4181" s="70" t="s">
        <v>95</v>
      </c>
      <c r="F4181" s="29">
        <v>7</v>
      </c>
      <c r="G4181" s="29">
        <v>6</v>
      </c>
      <c r="H4181" s="33">
        <v>1</v>
      </c>
      <c r="M4181" s="2"/>
      <c r="N4181" s="2"/>
      <c r="O4181" s="2"/>
    </row>
    <row r="4182" spans="1:15" x14ac:dyDescent="0.4">
      <c r="A4182">
        <v>2005</v>
      </c>
      <c r="B4182" s="2" t="s">
        <v>449</v>
      </c>
      <c r="C4182" s="2" t="s">
        <v>714</v>
      </c>
      <c r="D4182" s="2" t="s">
        <v>93</v>
      </c>
      <c r="E4182" s="70" t="s">
        <v>96</v>
      </c>
      <c r="F4182" s="29">
        <v>37</v>
      </c>
      <c r="G4182" s="29">
        <v>27</v>
      </c>
      <c r="H4182" s="33">
        <v>10</v>
      </c>
      <c r="M4182" s="2"/>
      <c r="N4182" s="2"/>
      <c r="O4182" s="2"/>
    </row>
    <row r="4183" spans="1:15" x14ac:dyDescent="0.4">
      <c r="A4183">
        <v>2005</v>
      </c>
      <c r="B4183" s="2" t="s">
        <v>450</v>
      </c>
      <c r="C4183" s="2" t="s">
        <v>714</v>
      </c>
      <c r="D4183" s="2" t="s">
        <v>93</v>
      </c>
      <c r="E4183" s="70" t="s">
        <v>97</v>
      </c>
      <c r="F4183" s="29">
        <v>24</v>
      </c>
      <c r="G4183" s="29">
        <v>11</v>
      </c>
      <c r="H4183" s="33">
        <v>13</v>
      </c>
      <c r="M4183" s="2"/>
      <c r="N4183" s="2"/>
      <c r="O4183" s="2"/>
    </row>
    <row r="4184" spans="1:15" x14ac:dyDescent="0.4">
      <c r="A4184">
        <v>2005</v>
      </c>
      <c r="B4184" s="2" t="s">
        <v>451</v>
      </c>
      <c r="C4184" s="2" t="s">
        <v>714</v>
      </c>
      <c r="D4184" s="2" t="s">
        <v>93</v>
      </c>
      <c r="E4184" s="70" t="s">
        <v>34</v>
      </c>
      <c r="F4184" s="29">
        <v>27</v>
      </c>
      <c r="G4184" s="29">
        <v>21</v>
      </c>
      <c r="H4184" s="33">
        <v>6</v>
      </c>
      <c r="M4184" s="2"/>
      <c r="N4184" s="2"/>
      <c r="O4184" s="2"/>
    </row>
    <row r="4185" spans="1:15" x14ac:dyDescent="0.4">
      <c r="A4185">
        <v>2005</v>
      </c>
      <c r="B4185" s="2" t="s">
        <v>452</v>
      </c>
      <c r="C4185" s="2" t="s">
        <v>714</v>
      </c>
      <c r="D4185" s="2" t="s">
        <v>93</v>
      </c>
      <c r="E4185" s="70" t="s">
        <v>98</v>
      </c>
      <c r="F4185" s="29">
        <v>571</v>
      </c>
      <c r="G4185" s="29">
        <v>329</v>
      </c>
      <c r="H4185" s="33">
        <v>242</v>
      </c>
      <c r="M4185" s="2"/>
      <c r="N4185" s="2"/>
      <c r="O4185" s="2"/>
    </row>
    <row r="4186" spans="1:15" x14ac:dyDescent="0.4">
      <c r="A4186">
        <v>2005</v>
      </c>
      <c r="B4186" s="2" t="s">
        <v>453</v>
      </c>
      <c r="C4186" s="2" t="s">
        <v>714</v>
      </c>
      <c r="D4186" s="2" t="s">
        <v>93</v>
      </c>
      <c r="E4186" s="70" t="s">
        <v>99</v>
      </c>
      <c r="F4186" s="29">
        <v>90</v>
      </c>
      <c r="G4186" s="29">
        <v>58</v>
      </c>
      <c r="H4186" s="33">
        <v>32</v>
      </c>
      <c r="M4186" s="2"/>
      <c r="N4186" s="2"/>
      <c r="O4186" s="2"/>
    </row>
    <row r="4187" spans="1:15" x14ac:dyDescent="0.4">
      <c r="A4187">
        <v>2005</v>
      </c>
      <c r="B4187" s="2" t="s">
        <v>454</v>
      </c>
      <c r="C4187" s="2" t="s">
        <v>715</v>
      </c>
      <c r="D4187" s="2" t="s">
        <v>101</v>
      </c>
      <c r="E4187" s="70" t="s">
        <v>100</v>
      </c>
      <c r="F4187" s="29">
        <v>95</v>
      </c>
      <c r="G4187" s="29">
        <v>48</v>
      </c>
      <c r="H4187" s="33">
        <v>47</v>
      </c>
      <c r="M4187" s="2"/>
      <c r="N4187" s="2"/>
      <c r="O4187" s="2"/>
    </row>
    <row r="4188" spans="1:15" x14ac:dyDescent="0.4">
      <c r="A4188">
        <v>2005</v>
      </c>
      <c r="B4188" s="2" t="s">
        <v>455</v>
      </c>
      <c r="C4188" s="2" t="s">
        <v>715</v>
      </c>
      <c r="D4188" s="14" t="s">
        <v>101</v>
      </c>
      <c r="E4188" s="69" t="s">
        <v>102</v>
      </c>
      <c r="F4188" s="11">
        <v>27</v>
      </c>
      <c r="G4188" s="11">
        <v>17</v>
      </c>
      <c r="H4188" s="33">
        <v>10</v>
      </c>
      <c r="M4188" s="2"/>
      <c r="N4188" s="2"/>
      <c r="O4188" s="2"/>
    </row>
    <row r="4189" spans="1:15" x14ac:dyDescent="0.4">
      <c r="A4189">
        <v>2005</v>
      </c>
      <c r="B4189" s="2" t="s">
        <v>456</v>
      </c>
      <c r="C4189" s="2" t="s">
        <v>715</v>
      </c>
      <c r="D4189" s="2" t="s">
        <v>101</v>
      </c>
      <c r="E4189" s="70" t="s">
        <v>103</v>
      </c>
      <c r="F4189" s="29">
        <v>12</v>
      </c>
      <c r="G4189" s="29">
        <v>7</v>
      </c>
      <c r="H4189" s="33">
        <v>5</v>
      </c>
      <c r="M4189" s="2"/>
      <c r="N4189" s="2"/>
      <c r="O4189" s="2"/>
    </row>
    <row r="4190" spans="1:15" x14ac:dyDescent="0.4">
      <c r="A4190">
        <v>2005</v>
      </c>
      <c r="B4190" s="2" t="s">
        <v>457</v>
      </c>
      <c r="C4190" s="2" t="s">
        <v>715</v>
      </c>
      <c r="D4190" s="2" t="s">
        <v>101</v>
      </c>
      <c r="E4190" s="70" t="s">
        <v>104</v>
      </c>
      <c r="F4190" s="29">
        <v>414</v>
      </c>
      <c r="G4190" s="29">
        <v>248</v>
      </c>
      <c r="H4190" s="33">
        <v>166</v>
      </c>
      <c r="M4190" s="2"/>
      <c r="N4190" s="2"/>
      <c r="O4190" s="2"/>
    </row>
    <row r="4191" spans="1:15" x14ac:dyDescent="0.4">
      <c r="A4191">
        <v>2005</v>
      </c>
      <c r="B4191" s="2" t="s">
        <v>458</v>
      </c>
      <c r="C4191" s="2" t="s">
        <v>716</v>
      </c>
      <c r="D4191" s="2" t="s">
        <v>129</v>
      </c>
      <c r="E4191" s="70" t="s">
        <v>128</v>
      </c>
      <c r="F4191" s="29">
        <v>23</v>
      </c>
      <c r="G4191" s="29">
        <v>16</v>
      </c>
      <c r="H4191" s="33">
        <v>7</v>
      </c>
      <c r="M4191" s="2"/>
      <c r="N4191" s="2"/>
      <c r="O4191" s="2"/>
    </row>
    <row r="4192" spans="1:15" x14ac:dyDescent="0.4">
      <c r="A4192">
        <v>2005</v>
      </c>
      <c r="B4192" s="2" t="s">
        <v>459</v>
      </c>
      <c r="C4192" s="2" t="s">
        <v>716</v>
      </c>
      <c r="D4192" s="2" t="s">
        <v>129</v>
      </c>
      <c r="E4192" s="70" t="s">
        <v>36</v>
      </c>
      <c r="F4192" s="29">
        <v>8</v>
      </c>
      <c r="G4192" s="29">
        <v>6</v>
      </c>
      <c r="H4192" s="33">
        <v>2</v>
      </c>
      <c r="M4192" s="2"/>
      <c r="N4192" s="2"/>
      <c r="O4192" s="2"/>
    </row>
    <row r="4193" spans="1:15" x14ac:dyDescent="0.4">
      <c r="A4193">
        <v>2005</v>
      </c>
      <c r="B4193" s="2" t="s">
        <v>460</v>
      </c>
      <c r="C4193" s="2" t="s">
        <v>716</v>
      </c>
      <c r="D4193" s="2" t="s">
        <v>129</v>
      </c>
      <c r="E4193" s="70" t="s">
        <v>130</v>
      </c>
      <c r="F4193" s="29">
        <v>58</v>
      </c>
      <c r="G4193" s="29">
        <v>39</v>
      </c>
      <c r="H4193" s="33">
        <v>19</v>
      </c>
      <c r="M4193" s="2"/>
      <c r="N4193" s="2"/>
      <c r="O4193" s="2"/>
    </row>
    <row r="4194" spans="1:15" x14ac:dyDescent="0.4">
      <c r="A4194">
        <v>2005</v>
      </c>
      <c r="B4194" s="2" t="s">
        <v>461</v>
      </c>
      <c r="C4194" s="2" t="s">
        <v>716</v>
      </c>
      <c r="D4194" s="2" t="s">
        <v>129</v>
      </c>
      <c r="E4194" s="70" t="s">
        <v>131</v>
      </c>
      <c r="F4194" s="29">
        <v>25</v>
      </c>
      <c r="G4194" s="29">
        <v>13</v>
      </c>
      <c r="H4194" s="33">
        <v>12</v>
      </c>
      <c r="M4194" s="2"/>
      <c r="N4194" s="2"/>
      <c r="O4194" s="2"/>
    </row>
    <row r="4195" spans="1:15" x14ac:dyDescent="0.4">
      <c r="A4195">
        <v>2005</v>
      </c>
      <c r="B4195" s="2" t="s">
        <v>462</v>
      </c>
      <c r="C4195" s="2" t="s">
        <v>716</v>
      </c>
      <c r="D4195" s="2" t="s">
        <v>129</v>
      </c>
      <c r="E4195" s="70" t="s">
        <v>132</v>
      </c>
      <c r="F4195" s="29">
        <v>848</v>
      </c>
      <c r="G4195" s="29">
        <v>515</v>
      </c>
      <c r="H4195" s="33">
        <v>333</v>
      </c>
      <c r="M4195" s="2"/>
      <c r="N4195" s="2"/>
      <c r="O4195" s="2"/>
    </row>
    <row r="4196" spans="1:15" x14ac:dyDescent="0.4">
      <c r="A4196">
        <v>2005</v>
      </c>
      <c r="B4196" s="2" t="s">
        <v>463</v>
      </c>
      <c r="C4196" s="2" t="s">
        <v>716</v>
      </c>
      <c r="D4196" s="2" t="s">
        <v>129</v>
      </c>
      <c r="E4196" s="70" t="s">
        <v>133</v>
      </c>
      <c r="F4196" s="29">
        <v>67</v>
      </c>
      <c r="G4196" s="29">
        <v>36</v>
      </c>
      <c r="H4196" s="33">
        <v>31</v>
      </c>
      <c r="M4196" s="2"/>
      <c r="N4196" s="2"/>
      <c r="O4196" s="2"/>
    </row>
    <row r="4197" spans="1:15" x14ac:dyDescent="0.4">
      <c r="A4197">
        <v>2005</v>
      </c>
      <c r="B4197" s="2" t="s">
        <v>464</v>
      </c>
      <c r="C4197" s="2" t="s">
        <v>716</v>
      </c>
      <c r="D4197" s="2" t="s">
        <v>129</v>
      </c>
      <c r="E4197" s="70" t="s">
        <v>134</v>
      </c>
      <c r="F4197" s="29">
        <v>61</v>
      </c>
      <c r="G4197" s="29">
        <v>32</v>
      </c>
      <c r="H4197" s="33">
        <v>29</v>
      </c>
      <c r="M4197" s="2"/>
      <c r="N4197" s="2"/>
      <c r="O4197" s="2"/>
    </row>
    <row r="4198" spans="1:15" x14ac:dyDescent="0.4">
      <c r="A4198">
        <v>2005</v>
      </c>
      <c r="B4198" s="2" t="s">
        <v>465</v>
      </c>
      <c r="C4198" s="2" t="s">
        <v>716</v>
      </c>
      <c r="D4198" s="2" t="s">
        <v>129</v>
      </c>
      <c r="E4198" s="70" t="s">
        <v>135</v>
      </c>
      <c r="F4198" s="29">
        <v>23</v>
      </c>
      <c r="G4198" s="29">
        <v>12</v>
      </c>
      <c r="H4198" s="33">
        <v>11</v>
      </c>
      <c r="M4198" s="2"/>
      <c r="N4198" s="2"/>
      <c r="O4198" s="2"/>
    </row>
    <row r="4199" spans="1:15" x14ac:dyDescent="0.4">
      <c r="A4199">
        <v>2005</v>
      </c>
      <c r="B4199" s="2" t="s">
        <v>466</v>
      </c>
      <c r="C4199" s="2" t="s">
        <v>716</v>
      </c>
      <c r="D4199" s="2" t="s">
        <v>129</v>
      </c>
      <c r="E4199" s="70" t="s">
        <v>94</v>
      </c>
      <c r="F4199" s="29">
        <v>100</v>
      </c>
      <c r="G4199" s="29">
        <v>62</v>
      </c>
      <c r="H4199" s="33">
        <v>38</v>
      </c>
      <c r="M4199" s="2"/>
      <c r="N4199" s="2"/>
      <c r="O4199" s="2"/>
    </row>
    <row r="4200" spans="1:15" x14ac:dyDescent="0.4">
      <c r="A4200">
        <v>2005</v>
      </c>
      <c r="B4200" s="2" t="s">
        <v>467</v>
      </c>
      <c r="C4200" s="2" t="s">
        <v>716</v>
      </c>
      <c r="D4200" s="2" t="s">
        <v>129</v>
      </c>
      <c r="E4200" s="70" t="s">
        <v>136</v>
      </c>
      <c r="F4200" s="29">
        <v>86</v>
      </c>
      <c r="G4200" s="29">
        <v>45</v>
      </c>
      <c r="H4200" s="33">
        <v>41</v>
      </c>
      <c r="M4200" s="2"/>
      <c r="N4200" s="2"/>
      <c r="O4200" s="2"/>
    </row>
    <row r="4201" spans="1:15" x14ac:dyDescent="0.4">
      <c r="A4201">
        <v>2005</v>
      </c>
      <c r="B4201" s="2" t="s">
        <v>468</v>
      </c>
      <c r="C4201" s="2" t="s">
        <v>716</v>
      </c>
      <c r="D4201" s="2" t="s">
        <v>129</v>
      </c>
      <c r="E4201" s="70" t="s">
        <v>137</v>
      </c>
      <c r="F4201" s="29">
        <v>7</v>
      </c>
      <c r="G4201" s="29">
        <v>3</v>
      </c>
      <c r="H4201" s="33">
        <v>4</v>
      </c>
      <c r="M4201" s="2"/>
      <c r="N4201" s="2"/>
      <c r="O4201" s="2"/>
    </row>
    <row r="4202" spans="1:15" x14ac:dyDescent="0.4">
      <c r="A4202">
        <v>2005</v>
      </c>
      <c r="B4202" s="2" t="s">
        <v>469</v>
      </c>
      <c r="C4202" s="2" t="s">
        <v>716</v>
      </c>
      <c r="D4202" s="2" t="s">
        <v>129</v>
      </c>
      <c r="E4202" s="70" t="s">
        <v>138</v>
      </c>
      <c r="F4202" s="29">
        <v>127</v>
      </c>
      <c r="G4202" s="29">
        <v>78</v>
      </c>
      <c r="H4202" s="33">
        <v>49</v>
      </c>
      <c r="M4202" s="2"/>
      <c r="N4202" s="2"/>
      <c r="O4202" s="2"/>
    </row>
    <row r="4203" spans="1:15" x14ac:dyDescent="0.4">
      <c r="A4203">
        <v>2005</v>
      </c>
      <c r="B4203" s="2" t="s">
        <v>470</v>
      </c>
      <c r="C4203" s="2" t="s">
        <v>716</v>
      </c>
      <c r="D4203" s="2" t="s">
        <v>129</v>
      </c>
      <c r="E4203" s="70" t="s">
        <v>139</v>
      </c>
      <c r="F4203" s="29">
        <v>67</v>
      </c>
      <c r="G4203" s="29">
        <v>42</v>
      </c>
      <c r="H4203" s="33">
        <v>25</v>
      </c>
      <c r="M4203" s="2"/>
      <c r="N4203" s="2"/>
      <c r="O4203" s="2"/>
    </row>
    <row r="4204" spans="1:15" x14ac:dyDescent="0.4">
      <c r="A4204">
        <v>2005</v>
      </c>
      <c r="B4204" s="2" t="s">
        <v>471</v>
      </c>
      <c r="C4204" s="2" t="s">
        <v>716</v>
      </c>
      <c r="D4204" s="2" t="s">
        <v>129</v>
      </c>
      <c r="E4204" s="70" t="s">
        <v>85</v>
      </c>
      <c r="F4204" s="29">
        <v>1107</v>
      </c>
      <c r="G4204" s="29">
        <v>635</v>
      </c>
      <c r="H4204" s="33">
        <v>472</v>
      </c>
      <c r="M4204" s="2"/>
      <c r="N4204" s="2"/>
      <c r="O4204" s="2"/>
    </row>
    <row r="4205" spans="1:15" x14ac:dyDescent="0.4">
      <c r="A4205">
        <v>2005</v>
      </c>
      <c r="B4205" s="2" t="s">
        <v>472</v>
      </c>
      <c r="C4205" s="2" t="s">
        <v>716</v>
      </c>
      <c r="D4205" s="2" t="s">
        <v>129</v>
      </c>
      <c r="E4205" s="70" t="s">
        <v>140</v>
      </c>
      <c r="F4205" s="29">
        <v>53</v>
      </c>
      <c r="G4205" s="29">
        <v>34</v>
      </c>
      <c r="H4205" s="33">
        <v>19</v>
      </c>
      <c r="M4205" s="2"/>
      <c r="N4205" s="2"/>
      <c r="O4205" s="2"/>
    </row>
    <row r="4206" spans="1:15" x14ac:dyDescent="0.4">
      <c r="A4206">
        <v>2005</v>
      </c>
      <c r="B4206" s="2" t="s">
        <v>473</v>
      </c>
      <c r="C4206" s="2" t="s">
        <v>716</v>
      </c>
      <c r="D4206" s="2" t="s">
        <v>129</v>
      </c>
      <c r="E4206" s="70" t="s">
        <v>141</v>
      </c>
      <c r="F4206" s="29">
        <v>6</v>
      </c>
      <c r="G4206" s="29">
        <v>4</v>
      </c>
      <c r="H4206" s="33">
        <v>2</v>
      </c>
      <c r="M4206" s="2"/>
      <c r="N4206" s="2"/>
      <c r="O4206" s="2"/>
    </row>
    <row r="4207" spans="1:15" x14ac:dyDescent="0.4">
      <c r="A4207">
        <v>2005</v>
      </c>
      <c r="B4207" s="2" t="s">
        <v>474</v>
      </c>
      <c r="C4207" s="2" t="s">
        <v>716</v>
      </c>
      <c r="D4207" s="2" t="s">
        <v>129</v>
      </c>
      <c r="E4207" s="70" t="s">
        <v>143</v>
      </c>
      <c r="F4207" s="29">
        <v>14</v>
      </c>
      <c r="G4207" s="29">
        <v>10</v>
      </c>
      <c r="H4207" s="33">
        <v>4</v>
      </c>
      <c r="M4207" s="2"/>
      <c r="N4207" s="2"/>
      <c r="O4207" s="2"/>
    </row>
    <row r="4208" spans="1:15" x14ac:dyDescent="0.4">
      <c r="A4208">
        <v>2005</v>
      </c>
      <c r="B4208" s="2" t="s">
        <v>475</v>
      </c>
      <c r="C4208" s="2" t="s">
        <v>716</v>
      </c>
      <c r="D4208" s="2" t="s">
        <v>129</v>
      </c>
      <c r="E4208" s="70" t="s">
        <v>21</v>
      </c>
      <c r="F4208" s="29">
        <v>26</v>
      </c>
      <c r="G4208" s="29">
        <v>17</v>
      </c>
      <c r="H4208" s="33">
        <v>9</v>
      </c>
      <c r="M4208" s="2"/>
      <c r="N4208" s="2"/>
      <c r="O4208" s="2"/>
    </row>
    <row r="4209" spans="1:15" x14ac:dyDescent="0.4">
      <c r="A4209">
        <v>2005</v>
      </c>
      <c r="B4209" s="2" t="s">
        <v>476</v>
      </c>
      <c r="C4209" s="2" t="s">
        <v>716</v>
      </c>
      <c r="D4209" s="2" t="s">
        <v>129</v>
      </c>
      <c r="E4209" s="70" t="s">
        <v>144</v>
      </c>
      <c r="F4209" s="29">
        <v>47</v>
      </c>
      <c r="G4209" s="29">
        <v>27</v>
      </c>
      <c r="H4209" s="33">
        <v>20</v>
      </c>
      <c r="M4209" s="2"/>
      <c r="N4209" s="2"/>
      <c r="O4209" s="2"/>
    </row>
    <row r="4210" spans="1:15" x14ac:dyDescent="0.4">
      <c r="A4210">
        <v>2005</v>
      </c>
      <c r="B4210" s="2" t="s">
        <v>477</v>
      </c>
      <c r="C4210" s="2" t="s">
        <v>716</v>
      </c>
      <c r="D4210" s="2" t="s">
        <v>129</v>
      </c>
      <c r="E4210" s="70" t="s">
        <v>145</v>
      </c>
      <c r="F4210" s="29">
        <v>151</v>
      </c>
      <c r="G4210" s="29">
        <v>102</v>
      </c>
      <c r="H4210" s="33">
        <v>49</v>
      </c>
      <c r="M4210" s="2"/>
      <c r="N4210" s="2"/>
      <c r="O4210" s="2"/>
    </row>
    <row r="4211" spans="1:15" x14ac:dyDescent="0.4">
      <c r="A4211">
        <v>2005</v>
      </c>
      <c r="B4211" s="2" t="s">
        <v>478</v>
      </c>
      <c r="C4211" s="2" t="s">
        <v>716</v>
      </c>
      <c r="D4211" s="2" t="s">
        <v>129</v>
      </c>
      <c r="E4211" s="70" t="s">
        <v>51</v>
      </c>
      <c r="F4211" s="29">
        <v>10</v>
      </c>
      <c r="G4211" s="29">
        <v>6</v>
      </c>
      <c r="H4211" s="33">
        <v>4</v>
      </c>
      <c r="M4211" s="2"/>
      <c r="N4211" s="2"/>
      <c r="O4211" s="2"/>
    </row>
    <row r="4212" spans="1:15" x14ac:dyDescent="0.4">
      <c r="A4212">
        <v>2005</v>
      </c>
      <c r="B4212" s="2" t="s">
        <v>479</v>
      </c>
      <c r="C4212" s="2" t="s">
        <v>716</v>
      </c>
      <c r="D4212" s="2" t="s">
        <v>129</v>
      </c>
      <c r="E4212" s="70" t="s">
        <v>146</v>
      </c>
      <c r="F4212" s="29">
        <v>14</v>
      </c>
      <c r="G4212" s="29">
        <v>6</v>
      </c>
      <c r="H4212" s="33">
        <v>8</v>
      </c>
      <c r="M4212" s="2"/>
      <c r="N4212" s="2"/>
      <c r="O4212" s="2"/>
    </row>
    <row r="4213" spans="1:15" x14ac:dyDescent="0.4">
      <c r="A4213">
        <v>2005</v>
      </c>
      <c r="B4213" s="2" t="s">
        <v>480</v>
      </c>
      <c r="C4213" s="2" t="s">
        <v>716</v>
      </c>
      <c r="D4213" s="2" t="s">
        <v>129</v>
      </c>
      <c r="E4213" s="70" t="s">
        <v>147</v>
      </c>
      <c r="F4213" s="29">
        <v>28</v>
      </c>
      <c r="G4213" s="29">
        <v>13</v>
      </c>
      <c r="H4213" s="33">
        <v>15</v>
      </c>
      <c r="M4213" s="2"/>
      <c r="N4213" s="2"/>
      <c r="O4213" s="2"/>
    </row>
    <row r="4214" spans="1:15" x14ac:dyDescent="0.4">
      <c r="A4214">
        <v>2005</v>
      </c>
      <c r="B4214" s="2" t="s">
        <v>481</v>
      </c>
      <c r="C4214" s="2" t="s">
        <v>716</v>
      </c>
      <c r="D4214" s="2" t="s">
        <v>129</v>
      </c>
      <c r="E4214" s="70" t="s">
        <v>148</v>
      </c>
      <c r="F4214" s="29">
        <v>22</v>
      </c>
      <c r="G4214" s="29">
        <v>15</v>
      </c>
      <c r="H4214" s="33">
        <v>7</v>
      </c>
      <c r="M4214" s="2"/>
      <c r="N4214" s="2"/>
      <c r="O4214" s="2"/>
    </row>
    <row r="4215" spans="1:15" x14ac:dyDescent="0.4">
      <c r="A4215">
        <v>2005</v>
      </c>
      <c r="B4215" s="2" t="s">
        <v>482</v>
      </c>
      <c r="C4215" s="2" t="s">
        <v>716</v>
      </c>
      <c r="D4215" s="2" t="s">
        <v>129</v>
      </c>
      <c r="E4215" s="70" t="s">
        <v>54</v>
      </c>
      <c r="F4215" s="29">
        <v>74</v>
      </c>
      <c r="G4215" s="29">
        <v>44</v>
      </c>
      <c r="H4215" s="33">
        <v>30</v>
      </c>
      <c r="M4215" s="2"/>
      <c r="N4215" s="2"/>
      <c r="O4215" s="2"/>
    </row>
    <row r="4216" spans="1:15" x14ac:dyDescent="0.4">
      <c r="A4216">
        <v>2005</v>
      </c>
      <c r="B4216" s="2" t="s">
        <v>483</v>
      </c>
      <c r="C4216" s="2" t="s">
        <v>717</v>
      </c>
      <c r="D4216" s="2" t="s">
        <v>150</v>
      </c>
      <c r="E4216" s="70" t="s">
        <v>149</v>
      </c>
      <c r="F4216" s="29">
        <v>52</v>
      </c>
      <c r="G4216" s="29">
        <v>31</v>
      </c>
      <c r="H4216" s="33">
        <v>21</v>
      </c>
      <c r="M4216" s="2"/>
      <c r="N4216" s="2"/>
      <c r="O4216" s="2"/>
    </row>
    <row r="4217" spans="1:15" x14ac:dyDescent="0.4">
      <c r="A4217">
        <v>2005</v>
      </c>
      <c r="B4217" s="2" t="s">
        <v>484</v>
      </c>
      <c r="C4217" s="2" t="s">
        <v>717</v>
      </c>
      <c r="D4217" s="2" t="s">
        <v>150</v>
      </c>
      <c r="E4217" s="70" t="s">
        <v>151</v>
      </c>
      <c r="F4217" s="29">
        <v>22</v>
      </c>
      <c r="G4217" s="29">
        <v>12</v>
      </c>
      <c r="H4217" s="33">
        <v>10</v>
      </c>
      <c r="M4217" s="2"/>
      <c r="N4217" s="2"/>
      <c r="O4217" s="2"/>
    </row>
    <row r="4218" spans="1:15" x14ac:dyDescent="0.4">
      <c r="A4218">
        <v>2005</v>
      </c>
      <c r="B4218" s="2" t="s">
        <v>485</v>
      </c>
      <c r="C4218" s="2" t="s">
        <v>717</v>
      </c>
      <c r="D4218" s="2" t="s">
        <v>150</v>
      </c>
      <c r="E4218" s="70" t="s">
        <v>152</v>
      </c>
      <c r="F4218" s="29">
        <v>40</v>
      </c>
      <c r="G4218" s="29">
        <v>21</v>
      </c>
      <c r="H4218" s="33">
        <v>19</v>
      </c>
      <c r="M4218" s="2"/>
      <c r="N4218" s="2"/>
      <c r="O4218" s="2"/>
    </row>
    <row r="4219" spans="1:15" x14ac:dyDescent="0.4">
      <c r="A4219">
        <v>2005</v>
      </c>
      <c r="B4219" s="2" t="s">
        <v>486</v>
      </c>
      <c r="C4219" s="2" t="s">
        <v>717</v>
      </c>
      <c r="D4219" s="2" t="s">
        <v>150</v>
      </c>
      <c r="E4219" s="70" t="s">
        <v>153</v>
      </c>
      <c r="F4219" s="29">
        <v>23</v>
      </c>
      <c r="G4219" s="29">
        <v>15</v>
      </c>
      <c r="H4219" s="33">
        <v>8</v>
      </c>
      <c r="M4219" s="2"/>
      <c r="N4219" s="2"/>
      <c r="O4219" s="2"/>
    </row>
    <row r="4220" spans="1:15" x14ac:dyDescent="0.4">
      <c r="A4220">
        <v>2005</v>
      </c>
      <c r="B4220" s="2" t="s">
        <v>487</v>
      </c>
      <c r="C4220" s="2" t="s">
        <v>717</v>
      </c>
      <c r="D4220" s="2" t="s">
        <v>150</v>
      </c>
      <c r="E4220" s="70" t="s">
        <v>154</v>
      </c>
      <c r="F4220" s="29">
        <v>737</v>
      </c>
      <c r="G4220" s="29">
        <v>440</v>
      </c>
      <c r="H4220" s="33">
        <v>297</v>
      </c>
      <c r="M4220" s="2"/>
      <c r="N4220" s="2"/>
      <c r="O4220" s="2"/>
    </row>
    <row r="4221" spans="1:15" x14ac:dyDescent="0.4">
      <c r="A4221">
        <v>2005</v>
      </c>
      <c r="B4221" s="2" t="s">
        <v>488</v>
      </c>
      <c r="C4221" s="2" t="s">
        <v>717</v>
      </c>
      <c r="D4221" s="2" t="s">
        <v>150</v>
      </c>
      <c r="E4221" s="70" t="s">
        <v>155</v>
      </c>
      <c r="F4221" s="29">
        <v>71</v>
      </c>
      <c r="G4221" s="29">
        <v>43</v>
      </c>
      <c r="H4221" s="33">
        <v>28</v>
      </c>
      <c r="M4221" s="2"/>
      <c r="N4221" s="2"/>
      <c r="O4221" s="2"/>
    </row>
    <row r="4222" spans="1:15" x14ac:dyDescent="0.4">
      <c r="A4222">
        <v>2005</v>
      </c>
      <c r="B4222" s="2" t="s">
        <v>489</v>
      </c>
      <c r="C4222" s="2" t="s">
        <v>717</v>
      </c>
      <c r="D4222" s="2" t="s">
        <v>150</v>
      </c>
      <c r="E4222" s="70" t="s">
        <v>156</v>
      </c>
      <c r="F4222" s="29">
        <v>114</v>
      </c>
      <c r="G4222" s="29">
        <v>68</v>
      </c>
      <c r="H4222" s="33">
        <v>46</v>
      </c>
      <c r="M4222" s="2"/>
      <c r="N4222" s="2"/>
      <c r="O4222" s="2"/>
    </row>
    <row r="4223" spans="1:15" x14ac:dyDescent="0.4">
      <c r="A4223">
        <v>2005</v>
      </c>
      <c r="B4223" s="2" t="s">
        <v>490</v>
      </c>
      <c r="C4223" s="2" t="s">
        <v>717</v>
      </c>
      <c r="D4223" s="2" t="s">
        <v>150</v>
      </c>
      <c r="E4223" s="70" t="s">
        <v>85</v>
      </c>
      <c r="F4223" s="29">
        <v>531</v>
      </c>
      <c r="G4223" s="29">
        <v>341</v>
      </c>
      <c r="H4223" s="33">
        <v>190</v>
      </c>
      <c r="M4223" s="2"/>
      <c r="N4223" s="2"/>
      <c r="O4223" s="2"/>
    </row>
    <row r="4224" spans="1:15" x14ac:dyDescent="0.4">
      <c r="A4224">
        <v>2005</v>
      </c>
      <c r="B4224" s="2" t="s">
        <v>491</v>
      </c>
      <c r="C4224" s="2" t="s">
        <v>717</v>
      </c>
      <c r="D4224" s="2" t="s">
        <v>150</v>
      </c>
      <c r="E4224" s="70" t="s">
        <v>157</v>
      </c>
      <c r="F4224" s="29">
        <v>343</v>
      </c>
      <c r="G4224" s="29">
        <v>203</v>
      </c>
      <c r="H4224" s="33">
        <v>140</v>
      </c>
      <c r="M4224" s="2"/>
      <c r="N4224" s="2"/>
      <c r="O4224" s="2"/>
    </row>
    <row r="4225" spans="1:15" x14ac:dyDescent="0.4">
      <c r="A4225">
        <v>2005</v>
      </c>
      <c r="B4225" s="2" t="s">
        <v>492</v>
      </c>
      <c r="C4225" s="2" t="s">
        <v>717</v>
      </c>
      <c r="D4225" s="2" t="s">
        <v>150</v>
      </c>
      <c r="E4225" s="70" t="s">
        <v>158</v>
      </c>
      <c r="F4225" s="29">
        <v>58</v>
      </c>
      <c r="G4225" s="29">
        <v>45</v>
      </c>
      <c r="H4225" s="33">
        <v>13</v>
      </c>
      <c r="M4225" s="2"/>
      <c r="N4225" s="2"/>
      <c r="O4225" s="2"/>
    </row>
    <row r="4226" spans="1:15" x14ac:dyDescent="0.4">
      <c r="A4226">
        <v>2005</v>
      </c>
      <c r="B4226" s="2" t="s">
        <v>493</v>
      </c>
      <c r="C4226" s="2" t="s">
        <v>717</v>
      </c>
      <c r="D4226" s="2" t="s">
        <v>150</v>
      </c>
      <c r="E4226" s="70" t="s">
        <v>159</v>
      </c>
      <c r="F4226" s="29">
        <v>83</v>
      </c>
      <c r="G4226" s="29">
        <v>53</v>
      </c>
      <c r="H4226" s="33">
        <v>30</v>
      </c>
      <c r="M4226" s="2"/>
      <c r="N4226" s="2"/>
      <c r="O4226" s="2"/>
    </row>
    <row r="4227" spans="1:15" x14ac:dyDescent="0.4">
      <c r="A4227">
        <v>2005</v>
      </c>
      <c r="B4227" s="2" t="s">
        <v>494</v>
      </c>
      <c r="C4227" s="2" t="s">
        <v>717</v>
      </c>
      <c r="D4227" s="2" t="s">
        <v>150</v>
      </c>
      <c r="E4227" s="70" t="s">
        <v>76</v>
      </c>
      <c r="F4227" s="29">
        <v>765</v>
      </c>
      <c r="G4227" s="29">
        <v>460</v>
      </c>
      <c r="H4227" s="33">
        <v>305</v>
      </c>
      <c r="M4227" s="2"/>
      <c r="N4227" s="2"/>
      <c r="O4227" s="2"/>
    </row>
    <row r="4228" spans="1:15" x14ac:dyDescent="0.4">
      <c r="A4228">
        <v>2005</v>
      </c>
      <c r="B4228" s="2" t="s">
        <v>495</v>
      </c>
      <c r="C4228" s="2" t="s">
        <v>717</v>
      </c>
      <c r="D4228" s="2" t="s">
        <v>150</v>
      </c>
      <c r="E4228" s="70" t="s">
        <v>160</v>
      </c>
      <c r="F4228" s="29">
        <v>32</v>
      </c>
      <c r="G4228" s="29">
        <v>24</v>
      </c>
      <c r="H4228" s="33">
        <v>8</v>
      </c>
      <c r="M4228" s="2"/>
      <c r="N4228" s="2"/>
      <c r="O4228" s="2"/>
    </row>
    <row r="4229" spans="1:15" x14ac:dyDescent="0.4">
      <c r="A4229">
        <v>2005</v>
      </c>
      <c r="B4229" s="2" t="s">
        <v>496</v>
      </c>
      <c r="C4229" s="2" t="s">
        <v>717</v>
      </c>
      <c r="D4229" s="2" t="s">
        <v>150</v>
      </c>
      <c r="E4229" s="70" t="s">
        <v>161</v>
      </c>
      <c r="F4229" s="29">
        <v>48</v>
      </c>
      <c r="G4229" s="29">
        <v>30</v>
      </c>
      <c r="H4229" s="33">
        <v>18</v>
      </c>
      <c r="M4229" s="2"/>
      <c r="N4229" s="2"/>
      <c r="O4229" s="2"/>
    </row>
    <row r="4230" spans="1:15" x14ac:dyDescent="0.4">
      <c r="A4230">
        <v>2005</v>
      </c>
      <c r="B4230" s="2" t="s">
        <v>497</v>
      </c>
      <c r="C4230" s="2" t="s">
        <v>717</v>
      </c>
      <c r="D4230" s="2" t="s">
        <v>150</v>
      </c>
      <c r="E4230" s="70" t="s">
        <v>162</v>
      </c>
      <c r="F4230" s="29">
        <v>208</v>
      </c>
      <c r="G4230" s="29">
        <v>129</v>
      </c>
      <c r="H4230" s="33">
        <v>79</v>
      </c>
      <c r="M4230" s="2"/>
      <c r="N4230" s="2"/>
      <c r="O4230" s="2"/>
    </row>
    <row r="4231" spans="1:15" x14ac:dyDescent="0.4">
      <c r="A4231">
        <v>2005</v>
      </c>
      <c r="B4231" s="2" t="s">
        <v>498</v>
      </c>
      <c r="C4231" s="2" t="s">
        <v>718</v>
      </c>
      <c r="D4231" s="2" t="s">
        <v>164</v>
      </c>
      <c r="E4231" s="70" t="s">
        <v>163</v>
      </c>
      <c r="F4231" s="29">
        <v>103</v>
      </c>
      <c r="G4231" s="29">
        <v>58</v>
      </c>
      <c r="H4231" s="33">
        <v>45</v>
      </c>
      <c r="M4231" s="2"/>
      <c r="N4231" s="2"/>
      <c r="O4231" s="2"/>
    </row>
    <row r="4232" spans="1:15" x14ac:dyDescent="0.4">
      <c r="A4232">
        <v>2005</v>
      </c>
      <c r="B4232" s="2" t="s">
        <v>499</v>
      </c>
      <c r="C4232" s="2" t="s">
        <v>718</v>
      </c>
      <c r="D4232" s="2" t="s">
        <v>164</v>
      </c>
      <c r="E4232" s="70" t="s">
        <v>165</v>
      </c>
      <c r="F4232" s="29">
        <v>113</v>
      </c>
      <c r="G4232" s="29">
        <v>72</v>
      </c>
      <c r="H4232" s="33">
        <v>41</v>
      </c>
      <c r="M4232" s="2"/>
      <c r="N4232" s="2"/>
      <c r="O4232" s="2"/>
    </row>
    <row r="4233" spans="1:15" x14ac:dyDescent="0.4">
      <c r="A4233">
        <v>2005</v>
      </c>
      <c r="B4233" s="2" t="s">
        <v>500</v>
      </c>
      <c r="C4233" s="2" t="s">
        <v>718</v>
      </c>
      <c r="D4233" s="2" t="s">
        <v>164</v>
      </c>
      <c r="E4233" s="70" t="s">
        <v>166</v>
      </c>
      <c r="F4233" s="29">
        <v>5573</v>
      </c>
      <c r="G4233" s="29">
        <v>3139</v>
      </c>
      <c r="H4233" s="33">
        <v>2434</v>
      </c>
      <c r="M4233" s="2"/>
      <c r="N4233" s="2"/>
      <c r="O4233" s="2"/>
    </row>
    <row r="4234" spans="1:15" x14ac:dyDescent="0.4">
      <c r="A4234">
        <v>2005</v>
      </c>
      <c r="B4234" s="2" t="s">
        <v>501</v>
      </c>
      <c r="C4234" s="2" t="s">
        <v>718</v>
      </c>
      <c r="D4234" s="2" t="s">
        <v>164</v>
      </c>
      <c r="E4234" s="70" t="s">
        <v>167</v>
      </c>
      <c r="F4234" s="29">
        <v>239</v>
      </c>
      <c r="G4234" s="29">
        <v>146</v>
      </c>
      <c r="H4234" s="33">
        <v>93</v>
      </c>
      <c r="M4234" s="2"/>
      <c r="N4234" s="2"/>
      <c r="O4234" s="2"/>
    </row>
    <row r="4235" spans="1:15" x14ac:dyDescent="0.4">
      <c r="A4235">
        <v>2005</v>
      </c>
      <c r="B4235" s="2" t="s">
        <v>502</v>
      </c>
      <c r="C4235" s="2" t="s">
        <v>718</v>
      </c>
      <c r="D4235" s="2" t="s">
        <v>164</v>
      </c>
      <c r="E4235" s="70" t="s">
        <v>168</v>
      </c>
      <c r="F4235" s="29">
        <v>390</v>
      </c>
      <c r="G4235" s="29">
        <v>220</v>
      </c>
      <c r="H4235" s="33">
        <v>170</v>
      </c>
      <c r="M4235" s="2"/>
      <c r="N4235" s="2"/>
      <c r="O4235" s="2"/>
    </row>
    <row r="4236" spans="1:15" x14ac:dyDescent="0.4">
      <c r="A4236">
        <v>2005</v>
      </c>
      <c r="B4236" s="2" t="s">
        <v>503</v>
      </c>
      <c r="C4236" s="2" t="s">
        <v>718</v>
      </c>
      <c r="D4236" s="2" t="s">
        <v>164</v>
      </c>
      <c r="E4236" s="70" t="s">
        <v>169</v>
      </c>
      <c r="F4236" s="29">
        <v>266</v>
      </c>
      <c r="G4236" s="29">
        <v>149</v>
      </c>
      <c r="H4236" s="33">
        <v>117</v>
      </c>
      <c r="M4236" s="2"/>
      <c r="N4236" s="2"/>
      <c r="O4236" s="2"/>
    </row>
    <row r="4237" spans="1:15" x14ac:dyDescent="0.4">
      <c r="A4237">
        <v>2005</v>
      </c>
      <c r="B4237" s="2" t="s">
        <v>504</v>
      </c>
      <c r="C4237" s="2" t="s">
        <v>718</v>
      </c>
      <c r="D4237" s="2" t="s">
        <v>164</v>
      </c>
      <c r="E4237" s="70" t="s">
        <v>170</v>
      </c>
      <c r="F4237" s="29">
        <v>75</v>
      </c>
      <c r="G4237" s="29">
        <v>51</v>
      </c>
      <c r="H4237" s="33">
        <v>24</v>
      </c>
      <c r="M4237" s="2"/>
      <c r="N4237" s="2"/>
      <c r="O4237" s="2"/>
    </row>
    <row r="4238" spans="1:15" x14ac:dyDescent="0.4">
      <c r="A4238">
        <v>2005</v>
      </c>
      <c r="B4238" s="2" t="s">
        <v>505</v>
      </c>
      <c r="C4238" s="2" t="s">
        <v>718</v>
      </c>
      <c r="D4238" s="2" t="s">
        <v>164</v>
      </c>
      <c r="E4238" s="70" t="s">
        <v>171</v>
      </c>
      <c r="F4238" s="29">
        <v>680</v>
      </c>
      <c r="G4238" s="29">
        <v>406</v>
      </c>
      <c r="H4238" s="33">
        <v>274</v>
      </c>
      <c r="M4238" s="2"/>
      <c r="N4238" s="2"/>
      <c r="O4238" s="2"/>
    </row>
    <row r="4239" spans="1:15" x14ac:dyDescent="0.4">
      <c r="A4239">
        <v>2005</v>
      </c>
      <c r="B4239" s="2" t="s">
        <v>506</v>
      </c>
      <c r="C4239" s="2" t="s">
        <v>718</v>
      </c>
      <c r="D4239" s="2" t="s">
        <v>164</v>
      </c>
      <c r="E4239" s="70" t="s">
        <v>53</v>
      </c>
      <c r="F4239" s="29">
        <v>170</v>
      </c>
      <c r="G4239" s="29">
        <v>90</v>
      </c>
      <c r="H4239" s="33">
        <v>80</v>
      </c>
      <c r="M4239" s="2"/>
      <c r="N4239" s="2"/>
      <c r="O4239" s="2"/>
    </row>
    <row r="4240" spans="1:15" x14ac:dyDescent="0.4">
      <c r="A4240">
        <v>2005</v>
      </c>
      <c r="B4240" s="2" t="s">
        <v>507</v>
      </c>
      <c r="C4240" s="2" t="s">
        <v>719</v>
      </c>
      <c r="D4240" s="2" t="s">
        <v>173</v>
      </c>
      <c r="E4240" s="70" t="s">
        <v>172</v>
      </c>
      <c r="F4240" s="29">
        <v>531</v>
      </c>
      <c r="G4240" s="29">
        <v>353</v>
      </c>
      <c r="H4240" s="33">
        <v>178</v>
      </c>
      <c r="M4240" s="2"/>
      <c r="N4240" s="2"/>
      <c r="O4240" s="2"/>
    </row>
    <row r="4241" spans="1:15" x14ac:dyDescent="0.4">
      <c r="A4241">
        <v>2005</v>
      </c>
      <c r="B4241" s="2" t="s">
        <v>508</v>
      </c>
      <c r="C4241" s="2" t="s">
        <v>719</v>
      </c>
      <c r="D4241" s="2" t="s">
        <v>173</v>
      </c>
      <c r="E4241" s="70" t="s">
        <v>174</v>
      </c>
      <c r="F4241" s="29">
        <v>40</v>
      </c>
      <c r="G4241" s="29">
        <v>24</v>
      </c>
      <c r="H4241" s="33">
        <v>16</v>
      </c>
      <c r="M4241" s="2"/>
      <c r="N4241" s="2"/>
      <c r="O4241" s="2"/>
    </row>
    <row r="4242" spans="1:15" x14ac:dyDescent="0.4">
      <c r="A4242">
        <v>2005</v>
      </c>
      <c r="B4242" s="2" t="s">
        <v>509</v>
      </c>
      <c r="C4242" s="2" t="s">
        <v>719</v>
      </c>
      <c r="D4242" s="2" t="s">
        <v>173</v>
      </c>
      <c r="E4242" s="70" t="s">
        <v>175</v>
      </c>
      <c r="F4242" s="29">
        <v>90</v>
      </c>
      <c r="G4242" s="29">
        <v>52</v>
      </c>
      <c r="H4242" s="33">
        <v>38</v>
      </c>
      <c r="M4242" s="2"/>
      <c r="N4242" s="2"/>
      <c r="O4242" s="2"/>
    </row>
    <row r="4243" spans="1:15" x14ac:dyDescent="0.4">
      <c r="A4243">
        <v>2005</v>
      </c>
      <c r="B4243" s="2" t="s">
        <v>510</v>
      </c>
      <c r="C4243" s="2" t="s">
        <v>719</v>
      </c>
      <c r="D4243" s="2" t="s">
        <v>173</v>
      </c>
      <c r="E4243" s="70" t="s">
        <v>176</v>
      </c>
      <c r="F4243" s="29">
        <v>10</v>
      </c>
      <c r="G4243" s="29">
        <v>6</v>
      </c>
      <c r="H4243" s="33">
        <v>4</v>
      </c>
      <c r="M4243" s="2"/>
      <c r="N4243" s="2"/>
      <c r="O4243" s="2"/>
    </row>
    <row r="4244" spans="1:15" x14ac:dyDescent="0.4">
      <c r="A4244">
        <v>2005</v>
      </c>
      <c r="B4244" s="2" t="s">
        <v>511</v>
      </c>
      <c r="C4244" s="2" t="s">
        <v>719</v>
      </c>
      <c r="D4244" s="2" t="s">
        <v>173</v>
      </c>
      <c r="E4244" s="70" t="s">
        <v>177</v>
      </c>
      <c r="F4244" s="29">
        <v>47</v>
      </c>
      <c r="G4244" s="29">
        <v>25</v>
      </c>
      <c r="H4244" s="33">
        <v>22</v>
      </c>
      <c r="M4244" s="2"/>
      <c r="N4244" s="2"/>
      <c r="O4244" s="2"/>
    </row>
    <row r="4245" spans="1:15" x14ac:dyDescent="0.4">
      <c r="A4245">
        <v>2005</v>
      </c>
      <c r="B4245" s="2" t="s">
        <v>512</v>
      </c>
      <c r="C4245" s="2" t="s">
        <v>719</v>
      </c>
      <c r="D4245" s="2" t="s">
        <v>173</v>
      </c>
      <c r="E4245" s="70" t="s">
        <v>178</v>
      </c>
      <c r="F4245" s="29">
        <v>269</v>
      </c>
      <c r="G4245" s="29">
        <v>164</v>
      </c>
      <c r="H4245" s="33">
        <v>105</v>
      </c>
      <c r="M4245" s="2"/>
      <c r="N4245" s="2"/>
      <c r="O4245" s="2"/>
    </row>
    <row r="4246" spans="1:15" x14ac:dyDescent="0.4">
      <c r="A4246">
        <v>2005</v>
      </c>
      <c r="B4246" s="2" t="s">
        <v>513</v>
      </c>
      <c r="C4246" s="2" t="s">
        <v>719</v>
      </c>
      <c r="D4246" s="2" t="s">
        <v>173</v>
      </c>
      <c r="E4246" s="70" t="s">
        <v>179</v>
      </c>
      <c r="F4246" s="29">
        <v>24</v>
      </c>
      <c r="G4246" s="29">
        <v>17</v>
      </c>
      <c r="H4246" s="33">
        <v>7</v>
      </c>
      <c r="M4246" s="2"/>
      <c r="N4246" s="2"/>
      <c r="O4246" s="2"/>
    </row>
    <row r="4247" spans="1:15" x14ac:dyDescent="0.4">
      <c r="A4247">
        <v>2005</v>
      </c>
      <c r="B4247" s="2" t="s">
        <v>514</v>
      </c>
      <c r="C4247" s="2" t="s">
        <v>719</v>
      </c>
      <c r="D4247" s="2" t="s">
        <v>173</v>
      </c>
      <c r="E4247" s="70" t="s">
        <v>180</v>
      </c>
      <c r="F4247" s="29">
        <v>116</v>
      </c>
      <c r="G4247" s="29">
        <v>70</v>
      </c>
      <c r="H4247" s="33">
        <v>46</v>
      </c>
      <c r="M4247" s="2"/>
      <c r="N4247" s="2"/>
      <c r="O4247" s="2"/>
    </row>
    <row r="4248" spans="1:15" x14ac:dyDescent="0.4">
      <c r="A4248">
        <v>2005</v>
      </c>
      <c r="B4248" s="2" t="s">
        <v>515</v>
      </c>
      <c r="C4248" s="2" t="s">
        <v>719</v>
      </c>
      <c r="D4248" s="2" t="s">
        <v>173</v>
      </c>
      <c r="E4248" s="70" t="s">
        <v>181</v>
      </c>
      <c r="F4248" s="29">
        <v>29</v>
      </c>
      <c r="G4248" s="29">
        <v>16</v>
      </c>
      <c r="H4248" s="33">
        <v>13</v>
      </c>
      <c r="M4248" s="2"/>
      <c r="N4248" s="2"/>
      <c r="O4248" s="2"/>
    </row>
    <row r="4249" spans="1:15" x14ac:dyDescent="0.4">
      <c r="A4249">
        <v>2005</v>
      </c>
      <c r="B4249" s="2" t="s">
        <v>516</v>
      </c>
      <c r="C4249" s="2" t="s">
        <v>719</v>
      </c>
      <c r="D4249" s="2" t="s">
        <v>173</v>
      </c>
      <c r="E4249" s="70" t="s">
        <v>182</v>
      </c>
      <c r="F4249" s="29">
        <v>40</v>
      </c>
      <c r="G4249" s="29">
        <v>30</v>
      </c>
      <c r="H4249" s="33">
        <v>10</v>
      </c>
      <c r="M4249" s="2"/>
      <c r="N4249" s="2"/>
      <c r="O4249" s="2"/>
    </row>
    <row r="4250" spans="1:15" x14ac:dyDescent="0.4">
      <c r="A4250">
        <v>2005</v>
      </c>
      <c r="B4250" s="2" t="s">
        <v>517</v>
      </c>
      <c r="C4250" s="2" t="s">
        <v>719</v>
      </c>
      <c r="D4250" s="2" t="s">
        <v>173</v>
      </c>
      <c r="E4250" s="70" t="s">
        <v>183</v>
      </c>
      <c r="F4250" s="29">
        <v>21</v>
      </c>
      <c r="G4250" s="29">
        <v>13</v>
      </c>
      <c r="H4250" s="33">
        <v>8</v>
      </c>
      <c r="M4250" s="2"/>
      <c r="N4250" s="2"/>
      <c r="O4250" s="2"/>
    </row>
    <row r="4251" spans="1:15" x14ac:dyDescent="0.4">
      <c r="A4251">
        <v>2005</v>
      </c>
      <c r="B4251" s="2" t="s">
        <v>518</v>
      </c>
      <c r="C4251" s="2" t="s">
        <v>719</v>
      </c>
      <c r="D4251" s="2" t="s">
        <v>173</v>
      </c>
      <c r="E4251" s="70" t="s">
        <v>44</v>
      </c>
      <c r="F4251" s="29">
        <v>1967</v>
      </c>
      <c r="G4251" s="29">
        <v>1125</v>
      </c>
      <c r="H4251" s="33">
        <v>842</v>
      </c>
      <c r="M4251" s="2"/>
      <c r="N4251" s="2"/>
      <c r="O4251" s="2"/>
    </row>
    <row r="4252" spans="1:15" x14ac:dyDescent="0.4">
      <c r="A4252">
        <v>2005</v>
      </c>
      <c r="B4252" s="2" t="s">
        <v>519</v>
      </c>
      <c r="C4252" s="2" t="s">
        <v>719</v>
      </c>
      <c r="D4252" s="2" t="s">
        <v>173</v>
      </c>
      <c r="E4252" s="70" t="s">
        <v>85</v>
      </c>
      <c r="F4252" s="29">
        <v>66</v>
      </c>
      <c r="G4252" s="29">
        <v>44</v>
      </c>
      <c r="H4252" s="33">
        <v>22</v>
      </c>
      <c r="M4252" s="2"/>
      <c r="N4252" s="2"/>
      <c r="O4252" s="2"/>
    </row>
    <row r="4253" spans="1:15" x14ac:dyDescent="0.4">
      <c r="A4253">
        <v>2005</v>
      </c>
      <c r="B4253" s="2" t="s">
        <v>520</v>
      </c>
      <c r="C4253" s="2" t="s">
        <v>719</v>
      </c>
      <c r="D4253" s="2" t="s">
        <v>173</v>
      </c>
      <c r="E4253" s="70" t="s">
        <v>184</v>
      </c>
      <c r="F4253" s="29">
        <v>99</v>
      </c>
      <c r="G4253" s="29">
        <v>65</v>
      </c>
      <c r="H4253" s="33">
        <v>34</v>
      </c>
      <c r="M4253" s="2"/>
      <c r="N4253" s="2"/>
      <c r="O4253" s="2"/>
    </row>
    <row r="4254" spans="1:15" x14ac:dyDescent="0.4">
      <c r="A4254">
        <v>2005</v>
      </c>
      <c r="B4254" s="2" t="s">
        <v>521</v>
      </c>
      <c r="C4254" s="2" t="s">
        <v>719</v>
      </c>
      <c r="D4254" s="2" t="s">
        <v>173</v>
      </c>
      <c r="E4254" s="70" t="s">
        <v>185</v>
      </c>
      <c r="F4254" s="29">
        <v>7</v>
      </c>
      <c r="G4254" s="29">
        <v>3</v>
      </c>
      <c r="H4254" s="33">
        <v>4</v>
      </c>
      <c r="M4254" s="2"/>
      <c r="N4254" s="2"/>
      <c r="O4254" s="2"/>
    </row>
    <row r="4255" spans="1:15" x14ac:dyDescent="0.4">
      <c r="A4255">
        <v>2005</v>
      </c>
      <c r="B4255" s="2" t="s">
        <v>522</v>
      </c>
      <c r="C4255" s="2" t="s">
        <v>719</v>
      </c>
      <c r="D4255" s="2" t="s">
        <v>173</v>
      </c>
      <c r="E4255" s="70" t="s">
        <v>186</v>
      </c>
      <c r="F4255" s="29">
        <v>37</v>
      </c>
      <c r="G4255" s="29">
        <v>19</v>
      </c>
      <c r="H4255" s="33">
        <v>18</v>
      </c>
      <c r="M4255" s="2"/>
      <c r="N4255" s="2"/>
      <c r="O4255" s="2"/>
    </row>
    <row r="4256" spans="1:15" x14ac:dyDescent="0.4">
      <c r="A4256">
        <v>2005</v>
      </c>
      <c r="B4256" s="2" t="s">
        <v>523</v>
      </c>
      <c r="C4256" s="2" t="s">
        <v>719</v>
      </c>
      <c r="D4256" s="2" t="s">
        <v>173</v>
      </c>
      <c r="E4256" s="70" t="s">
        <v>187</v>
      </c>
      <c r="F4256" s="29">
        <v>46</v>
      </c>
      <c r="G4256" s="29">
        <v>33</v>
      </c>
      <c r="H4256" s="33">
        <v>13</v>
      </c>
      <c r="M4256" s="2"/>
      <c r="N4256" s="2"/>
      <c r="O4256" s="2"/>
    </row>
    <row r="4257" spans="1:15" x14ac:dyDescent="0.4">
      <c r="A4257">
        <v>2005</v>
      </c>
      <c r="B4257" s="2" t="s">
        <v>524</v>
      </c>
      <c r="C4257" s="2" t="s">
        <v>719</v>
      </c>
      <c r="D4257" s="2" t="s">
        <v>173</v>
      </c>
      <c r="E4257" s="70" t="s">
        <v>188</v>
      </c>
      <c r="F4257" s="29">
        <v>66</v>
      </c>
      <c r="G4257" s="29">
        <v>29</v>
      </c>
      <c r="H4257" s="33">
        <v>37</v>
      </c>
      <c r="M4257" s="2"/>
      <c r="N4257" s="2"/>
      <c r="O4257" s="2"/>
    </row>
    <row r="4258" spans="1:15" x14ac:dyDescent="0.4">
      <c r="A4258">
        <v>2005</v>
      </c>
      <c r="B4258" s="2" t="s">
        <v>525</v>
      </c>
      <c r="C4258" s="2" t="s">
        <v>719</v>
      </c>
      <c r="D4258" s="2" t="s">
        <v>173</v>
      </c>
      <c r="E4258" s="70" t="s">
        <v>189</v>
      </c>
      <c r="F4258" s="29">
        <v>39</v>
      </c>
      <c r="G4258" s="29">
        <v>25</v>
      </c>
      <c r="H4258" s="33">
        <v>14</v>
      </c>
      <c r="M4258" s="2"/>
      <c r="N4258" s="2"/>
      <c r="O4258" s="2"/>
    </row>
    <row r="4259" spans="1:15" x14ac:dyDescent="0.4">
      <c r="A4259">
        <v>2005</v>
      </c>
      <c r="B4259" s="2" t="s">
        <v>526</v>
      </c>
      <c r="C4259" s="2" t="s">
        <v>719</v>
      </c>
      <c r="D4259" s="2" t="s">
        <v>173</v>
      </c>
      <c r="E4259" s="70" t="s">
        <v>51</v>
      </c>
      <c r="F4259" s="29">
        <v>152</v>
      </c>
      <c r="G4259" s="29">
        <v>91</v>
      </c>
      <c r="H4259" s="33">
        <v>61</v>
      </c>
      <c r="M4259" s="2"/>
      <c r="N4259" s="2"/>
      <c r="O4259" s="2"/>
    </row>
    <row r="4260" spans="1:15" x14ac:dyDescent="0.4">
      <c r="A4260">
        <v>2005</v>
      </c>
      <c r="B4260" s="2" t="s">
        <v>527</v>
      </c>
      <c r="C4260" s="2" t="s">
        <v>719</v>
      </c>
      <c r="D4260" s="2" t="s">
        <v>173</v>
      </c>
      <c r="E4260" s="70" t="s">
        <v>52</v>
      </c>
      <c r="F4260" s="29">
        <v>161</v>
      </c>
      <c r="G4260" s="29">
        <v>97</v>
      </c>
      <c r="H4260" s="33">
        <v>64</v>
      </c>
      <c r="M4260" s="2"/>
      <c r="N4260" s="2"/>
      <c r="O4260" s="2"/>
    </row>
    <row r="4261" spans="1:15" x14ac:dyDescent="0.4">
      <c r="A4261">
        <v>2005</v>
      </c>
      <c r="B4261" s="2" t="s">
        <v>528</v>
      </c>
      <c r="C4261" s="2" t="s">
        <v>719</v>
      </c>
      <c r="D4261" s="2" t="s">
        <v>173</v>
      </c>
      <c r="E4261" s="70" t="s">
        <v>190</v>
      </c>
      <c r="F4261" s="29">
        <v>102</v>
      </c>
      <c r="G4261" s="29">
        <v>71</v>
      </c>
      <c r="H4261" s="33">
        <v>31</v>
      </c>
      <c r="M4261" s="2"/>
      <c r="N4261" s="2"/>
      <c r="O4261" s="2"/>
    </row>
    <row r="4262" spans="1:15" x14ac:dyDescent="0.4">
      <c r="A4262">
        <v>2005</v>
      </c>
      <c r="B4262" s="2" t="s">
        <v>529</v>
      </c>
      <c r="C4262" s="2" t="s">
        <v>719</v>
      </c>
      <c r="D4262" s="2" t="s">
        <v>173</v>
      </c>
      <c r="E4262" s="70" t="s">
        <v>191</v>
      </c>
      <c r="F4262" s="29">
        <v>30</v>
      </c>
      <c r="G4262" s="29">
        <v>16</v>
      </c>
      <c r="H4262" s="33">
        <v>14</v>
      </c>
      <c r="M4262" s="2"/>
      <c r="N4262" s="2"/>
      <c r="O4262" s="2"/>
    </row>
    <row r="4263" spans="1:15" x14ac:dyDescent="0.4">
      <c r="A4263">
        <v>2005</v>
      </c>
      <c r="B4263" s="2" t="s">
        <v>530</v>
      </c>
      <c r="C4263" s="2" t="s">
        <v>720</v>
      </c>
      <c r="D4263" s="2" t="s">
        <v>193</v>
      </c>
      <c r="E4263" s="70" t="s">
        <v>192</v>
      </c>
      <c r="F4263" s="29">
        <v>310</v>
      </c>
      <c r="G4263" s="29">
        <v>222</v>
      </c>
      <c r="H4263" s="33">
        <v>88</v>
      </c>
      <c r="M4263" s="2"/>
      <c r="N4263" s="2"/>
      <c r="O4263" s="2"/>
    </row>
    <row r="4264" spans="1:15" x14ac:dyDescent="0.4">
      <c r="A4264">
        <v>2005</v>
      </c>
      <c r="B4264" s="2" t="s">
        <v>531</v>
      </c>
      <c r="C4264" s="2" t="s">
        <v>720</v>
      </c>
      <c r="D4264" s="2" t="s">
        <v>193</v>
      </c>
      <c r="E4264" s="70" t="s">
        <v>174</v>
      </c>
      <c r="F4264" s="29">
        <v>65</v>
      </c>
      <c r="G4264" s="29">
        <v>45</v>
      </c>
      <c r="H4264" s="33">
        <v>20</v>
      </c>
      <c r="M4264" s="2"/>
      <c r="N4264" s="2"/>
      <c r="O4264" s="2"/>
    </row>
    <row r="4265" spans="1:15" x14ac:dyDescent="0.4">
      <c r="A4265">
        <v>2005</v>
      </c>
      <c r="B4265" s="2" t="s">
        <v>532</v>
      </c>
      <c r="C4265" s="2" t="s">
        <v>720</v>
      </c>
      <c r="D4265" s="2" t="s">
        <v>193</v>
      </c>
      <c r="E4265" s="70" t="s">
        <v>194</v>
      </c>
      <c r="F4265" s="29">
        <v>1217</v>
      </c>
      <c r="G4265" s="29">
        <v>604</v>
      </c>
      <c r="H4265" s="33">
        <v>613</v>
      </c>
      <c r="M4265" s="2"/>
      <c r="N4265" s="2"/>
      <c r="O4265" s="2"/>
    </row>
    <row r="4266" spans="1:15" x14ac:dyDescent="0.4">
      <c r="A4266">
        <v>2005</v>
      </c>
      <c r="B4266" s="2" t="s">
        <v>533</v>
      </c>
      <c r="C4266" s="2" t="s">
        <v>720</v>
      </c>
      <c r="D4266" s="2" t="s">
        <v>193</v>
      </c>
      <c r="E4266" s="70" t="s">
        <v>195</v>
      </c>
      <c r="F4266" s="29">
        <v>238</v>
      </c>
      <c r="G4266" s="29">
        <v>153</v>
      </c>
      <c r="H4266" s="33">
        <v>85</v>
      </c>
      <c r="M4266" s="2"/>
      <c r="N4266" s="2"/>
      <c r="O4266" s="2"/>
    </row>
    <row r="4267" spans="1:15" x14ac:dyDescent="0.4">
      <c r="A4267">
        <v>2005</v>
      </c>
      <c r="B4267" s="2" t="s">
        <v>534</v>
      </c>
      <c r="C4267" s="2" t="s">
        <v>720</v>
      </c>
      <c r="D4267" s="2" t="s">
        <v>193</v>
      </c>
      <c r="E4267" s="70" t="s">
        <v>196</v>
      </c>
      <c r="F4267" s="29">
        <v>76</v>
      </c>
      <c r="G4267" s="29">
        <v>52</v>
      </c>
      <c r="H4267" s="33">
        <v>24</v>
      </c>
      <c r="M4267" s="2"/>
      <c r="N4267" s="2"/>
      <c r="O4267" s="2"/>
    </row>
    <row r="4268" spans="1:15" x14ac:dyDescent="0.4">
      <c r="A4268">
        <v>2005</v>
      </c>
      <c r="B4268" s="2" t="s">
        <v>535</v>
      </c>
      <c r="C4268" s="2" t="s">
        <v>720</v>
      </c>
      <c r="D4268" s="2" t="s">
        <v>193</v>
      </c>
      <c r="E4268" s="70" t="s">
        <v>197</v>
      </c>
      <c r="F4268" s="29">
        <v>110</v>
      </c>
      <c r="G4268" s="29">
        <v>63</v>
      </c>
      <c r="H4268" s="33">
        <v>47</v>
      </c>
      <c r="M4268" s="2"/>
      <c r="N4268" s="2"/>
      <c r="O4268" s="2"/>
    </row>
    <row r="4269" spans="1:15" x14ac:dyDescent="0.4">
      <c r="A4269">
        <v>2005</v>
      </c>
      <c r="B4269" s="2" t="s">
        <v>536</v>
      </c>
      <c r="C4269" s="2" t="s">
        <v>720</v>
      </c>
      <c r="D4269" s="2" t="s">
        <v>193</v>
      </c>
      <c r="E4269" s="70" t="s">
        <v>198</v>
      </c>
      <c r="F4269" s="29">
        <v>705</v>
      </c>
      <c r="G4269" s="29">
        <v>354</v>
      </c>
      <c r="H4269" s="33">
        <v>351</v>
      </c>
      <c r="M4269" s="2"/>
      <c r="N4269" s="2"/>
      <c r="O4269" s="2"/>
    </row>
    <row r="4270" spans="1:15" x14ac:dyDescent="0.4">
      <c r="A4270">
        <v>2005</v>
      </c>
      <c r="B4270" s="2" t="s">
        <v>537</v>
      </c>
      <c r="C4270" s="2" t="s">
        <v>720</v>
      </c>
      <c r="D4270" s="2" t="s">
        <v>193</v>
      </c>
      <c r="E4270" s="70" t="s">
        <v>199</v>
      </c>
      <c r="F4270" s="29">
        <v>328</v>
      </c>
      <c r="G4270" s="29">
        <v>229</v>
      </c>
      <c r="H4270" s="33">
        <v>99</v>
      </c>
      <c r="M4270" s="2"/>
      <c r="N4270" s="2"/>
      <c r="O4270" s="2"/>
    </row>
    <row r="4271" spans="1:15" x14ac:dyDescent="0.4">
      <c r="A4271">
        <v>2005</v>
      </c>
      <c r="B4271" s="2" t="s">
        <v>538</v>
      </c>
      <c r="C4271" s="2" t="s">
        <v>720</v>
      </c>
      <c r="D4271" s="2" t="s">
        <v>193</v>
      </c>
      <c r="E4271" s="70" t="s">
        <v>200</v>
      </c>
      <c r="F4271" s="29">
        <v>136</v>
      </c>
      <c r="G4271" s="29">
        <v>77</v>
      </c>
      <c r="H4271" s="33">
        <v>59</v>
      </c>
      <c r="M4271" s="2"/>
      <c r="N4271" s="2"/>
      <c r="O4271" s="2"/>
    </row>
    <row r="4272" spans="1:15" x14ac:dyDescent="0.4">
      <c r="A4272">
        <v>2005</v>
      </c>
      <c r="B4272" s="2" t="s">
        <v>539</v>
      </c>
      <c r="C4272" s="2" t="s">
        <v>720</v>
      </c>
      <c r="D4272" s="2" t="s">
        <v>193</v>
      </c>
      <c r="E4272" s="70" t="s">
        <v>201</v>
      </c>
      <c r="F4272" s="29">
        <v>1267</v>
      </c>
      <c r="G4272" s="29">
        <v>774</v>
      </c>
      <c r="H4272" s="33">
        <v>493</v>
      </c>
      <c r="M4272" s="2"/>
      <c r="N4272" s="2"/>
      <c r="O4272" s="2"/>
    </row>
    <row r="4273" spans="1:15" x14ac:dyDescent="0.4">
      <c r="A4273">
        <v>2005</v>
      </c>
      <c r="B4273" s="2" t="s">
        <v>540</v>
      </c>
      <c r="C4273" s="2" t="s">
        <v>720</v>
      </c>
      <c r="D4273" s="2" t="s">
        <v>193</v>
      </c>
      <c r="E4273" s="70" t="s">
        <v>14</v>
      </c>
      <c r="F4273" s="29">
        <v>458</v>
      </c>
      <c r="G4273" s="29">
        <v>304</v>
      </c>
      <c r="H4273" s="33">
        <v>154</v>
      </c>
      <c r="M4273" s="2"/>
      <c r="N4273" s="2"/>
      <c r="O4273" s="2"/>
    </row>
    <row r="4274" spans="1:15" x14ac:dyDescent="0.4">
      <c r="A4274">
        <v>2005</v>
      </c>
      <c r="B4274" s="2" t="s">
        <v>541</v>
      </c>
      <c r="C4274" s="2" t="s">
        <v>720</v>
      </c>
      <c r="D4274" s="2" t="s">
        <v>193</v>
      </c>
      <c r="E4274" s="70" t="s">
        <v>202</v>
      </c>
      <c r="F4274" s="29">
        <v>876</v>
      </c>
      <c r="G4274" s="29">
        <v>536</v>
      </c>
      <c r="H4274" s="33">
        <v>340</v>
      </c>
      <c r="M4274" s="2"/>
      <c r="N4274" s="2"/>
      <c r="O4274" s="2"/>
    </row>
    <row r="4275" spans="1:15" x14ac:dyDescent="0.4">
      <c r="A4275">
        <v>2005</v>
      </c>
      <c r="B4275" s="2" t="s">
        <v>542</v>
      </c>
      <c r="C4275" s="2" t="s">
        <v>720</v>
      </c>
      <c r="D4275" s="2" t="s">
        <v>193</v>
      </c>
      <c r="E4275" s="70" t="s">
        <v>203</v>
      </c>
      <c r="F4275" s="29">
        <v>177</v>
      </c>
      <c r="G4275" s="29">
        <v>94</v>
      </c>
      <c r="H4275" s="33">
        <v>83</v>
      </c>
      <c r="M4275" s="2"/>
      <c r="N4275" s="2"/>
      <c r="O4275" s="2"/>
    </row>
    <row r="4276" spans="1:15" x14ac:dyDescent="0.4">
      <c r="A4276">
        <v>2005</v>
      </c>
      <c r="B4276" s="2" t="s">
        <v>543</v>
      </c>
      <c r="C4276" s="2" t="s">
        <v>720</v>
      </c>
      <c r="D4276" s="2" t="s">
        <v>193</v>
      </c>
      <c r="E4276" s="70" t="s">
        <v>32</v>
      </c>
      <c r="F4276" s="29">
        <v>200</v>
      </c>
      <c r="G4276" s="29">
        <v>128</v>
      </c>
      <c r="H4276" s="33">
        <v>72</v>
      </c>
      <c r="M4276" s="2"/>
      <c r="N4276" s="2"/>
      <c r="O4276" s="2"/>
    </row>
    <row r="4277" spans="1:15" x14ac:dyDescent="0.4">
      <c r="A4277">
        <v>2005</v>
      </c>
      <c r="B4277" s="2" t="s">
        <v>544</v>
      </c>
      <c r="C4277" s="2" t="s">
        <v>720</v>
      </c>
      <c r="D4277" s="2" t="s">
        <v>193</v>
      </c>
      <c r="E4277" s="70" t="s">
        <v>204</v>
      </c>
      <c r="F4277" s="29">
        <v>267</v>
      </c>
      <c r="G4277" s="29">
        <v>188</v>
      </c>
      <c r="H4277" s="33">
        <v>79</v>
      </c>
      <c r="M4277" s="2"/>
      <c r="N4277" s="2"/>
      <c r="O4277" s="2"/>
    </row>
    <row r="4278" spans="1:15" x14ac:dyDescent="0.4">
      <c r="A4278">
        <v>2005</v>
      </c>
      <c r="B4278" s="2" t="s">
        <v>545</v>
      </c>
      <c r="C4278" s="2" t="s">
        <v>720</v>
      </c>
      <c r="D4278" s="2" t="s">
        <v>193</v>
      </c>
      <c r="E4278" s="70" t="s">
        <v>205</v>
      </c>
      <c r="F4278" s="29">
        <v>48</v>
      </c>
      <c r="G4278" s="29">
        <v>37</v>
      </c>
      <c r="H4278" s="33">
        <v>11</v>
      </c>
      <c r="M4278" s="2"/>
      <c r="N4278" s="2"/>
      <c r="O4278" s="2"/>
    </row>
    <row r="4279" spans="1:15" x14ac:dyDescent="0.4">
      <c r="A4279">
        <v>2005</v>
      </c>
      <c r="B4279" s="2" t="s">
        <v>546</v>
      </c>
      <c r="C4279" s="2" t="s">
        <v>720</v>
      </c>
      <c r="D4279" s="2" t="s">
        <v>193</v>
      </c>
      <c r="E4279" s="70" t="s">
        <v>206</v>
      </c>
      <c r="F4279" s="29">
        <v>684</v>
      </c>
      <c r="G4279" s="29">
        <v>439</v>
      </c>
      <c r="H4279" s="33">
        <v>245</v>
      </c>
      <c r="M4279" s="2"/>
      <c r="N4279" s="2"/>
      <c r="O4279" s="2"/>
    </row>
    <row r="4280" spans="1:15" x14ac:dyDescent="0.4">
      <c r="A4280">
        <v>2005</v>
      </c>
      <c r="B4280" s="2" t="s">
        <v>547</v>
      </c>
      <c r="C4280" s="2" t="s">
        <v>720</v>
      </c>
      <c r="D4280" s="2" t="s">
        <v>193</v>
      </c>
      <c r="E4280" s="70" t="s">
        <v>25</v>
      </c>
      <c r="F4280" s="29">
        <v>87</v>
      </c>
      <c r="G4280" s="29">
        <v>70</v>
      </c>
      <c r="H4280" s="33">
        <v>17</v>
      </c>
      <c r="M4280" s="2"/>
      <c r="N4280" s="2"/>
      <c r="O4280" s="2"/>
    </row>
    <row r="4281" spans="1:15" x14ac:dyDescent="0.4">
      <c r="A4281">
        <v>2005</v>
      </c>
      <c r="B4281" s="2" t="s">
        <v>548</v>
      </c>
      <c r="C4281" s="2" t="s">
        <v>720</v>
      </c>
      <c r="D4281" s="2" t="s">
        <v>193</v>
      </c>
      <c r="E4281" s="70" t="s">
        <v>51</v>
      </c>
      <c r="F4281" s="29">
        <v>2949</v>
      </c>
      <c r="G4281" s="29">
        <v>1846</v>
      </c>
      <c r="H4281" s="33">
        <v>1103</v>
      </c>
      <c r="M4281" s="2"/>
      <c r="N4281" s="2"/>
      <c r="O4281" s="2"/>
    </row>
    <row r="4282" spans="1:15" x14ac:dyDescent="0.4">
      <c r="A4282">
        <v>2005</v>
      </c>
      <c r="B4282" s="2" t="s">
        <v>549</v>
      </c>
      <c r="C4282" s="2" t="s">
        <v>720</v>
      </c>
      <c r="D4282" s="2" t="s">
        <v>193</v>
      </c>
      <c r="E4282" s="70" t="s">
        <v>53</v>
      </c>
      <c r="F4282" s="29">
        <v>294</v>
      </c>
      <c r="G4282" s="29">
        <v>193</v>
      </c>
      <c r="H4282" s="33">
        <v>101</v>
      </c>
      <c r="M4282" s="2"/>
      <c r="N4282" s="2"/>
      <c r="O4282" s="2"/>
    </row>
    <row r="4283" spans="1:15" x14ac:dyDescent="0.4">
      <c r="A4283">
        <v>2005</v>
      </c>
      <c r="B4283" s="2" t="s">
        <v>550</v>
      </c>
      <c r="C4283" s="2" t="s">
        <v>720</v>
      </c>
      <c r="D4283" s="2" t="s">
        <v>193</v>
      </c>
      <c r="E4283" s="70" t="s">
        <v>54</v>
      </c>
      <c r="F4283" s="29">
        <v>644</v>
      </c>
      <c r="G4283" s="29">
        <v>435</v>
      </c>
      <c r="H4283" s="33">
        <v>209</v>
      </c>
      <c r="M4283" s="2"/>
      <c r="N4283" s="2"/>
      <c r="O4283" s="2"/>
    </row>
    <row r="4284" spans="1:15" x14ac:dyDescent="0.4">
      <c r="A4284">
        <v>2005</v>
      </c>
      <c r="B4284" s="2" t="s">
        <v>551</v>
      </c>
      <c r="C4284" s="2" t="s">
        <v>721</v>
      </c>
      <c r="D4284" s="2" t="s">
        <v>207</v>
      </c>
      <c r="E4284" s="70" t="s">
        <v>128</v>
      </c>
      <c r="F4284" s="29">
        <v>54</v>
      </c>
      <c r="G4284" s="29">
        <v>31</v>
      </c>
      <c r="H4284" s="33">
        <v>23</v>
      </c>
      <c r="M4284" s="2"/>
      <c r="N4284" s="2"/>
      <c r="O4284" s="2"/>
    </row>
    <row r="4285" spans="1:15" x14ac:dyDescent="0.4">
      <c r="A4285">
        <v>2005</v>
      </c>
      <c r="B4285" s="2" t="s">
        <v>552</v>
      </c>
      <c r="C4285" s="2" t="s">
        <v>721</v>
      </c>
      <c r="D4285" s="2" t="s">
        <v>207</v>
      </c>
      <c r="E4285" s="70" t="s">
        <v>208</v>
      </c>
      <c r="F4285" s="29">
        <v>18</v>
      </c>
      <c r="G4285" s="29">
        <v>11</v>
      </c>
      <c r="H4285" s="33">
        <v>7</v>
      </c>
      <c r="M4285" s="2"/>
      <c r="N4285" s="2"/>
      <c r="O4285" s="2"/>
    </row>
    <row r="4286" spans="1:15" x14ac:dyDescent="0.4">
      <c r="A4286">
        <v>2005</v>
      </c>
      <c r="B4286" s="2" t="s">
        <v>553</v>
      </c>
      <c r="C4286" s="2" t="s">
        <v>721</v>
      </c>
      <c r="D4286" s="2" t="s">
        <v>207</v>
      </c>
      <c r="E4286" s="70" t="s">
        <v>36</v>
      </c>
      <c r="F4286" s="29">
        <v>132</v>
      </c>
      <c r="G4286" s="29">
        <v>74</v>
      </c>
      <c r="H4286" s="33">
        <v>58</v>
      </c>
      <c r="M4286" s="2"/>
      <c r="N4286" s="2"/>
      <c r="O4286" s="2"/>
    </row>
    <row r="4287" spans="1:15" x14ac:dyDescent="0.4">
      <c r="A4287">
        <v>2005</v>
      </c>
      <c r="B4287" s="2" t="s">
        <v>554</v>
      </c>
      <c r="C4287" s="2" t="s">
        <v>721</v>
      </c>
      <c r="D4287" s="2" t="s">
        <v>207</v>
      </c>
      <c r="E4287" s="70" t="s">
        <v>209</v>
      </c>
      <c r="F4287" s="29">
        <v>79</v>
      </c>
      <c r="G4287" s="29">
        <v>53</v>
      </c>
      <c r="H4287" s="33">
        <v>26</v>
      </c>
      <c r="M4287" s="2"/>
      <c r="N4287" s="2"/>
      <c r="O4287" s="2"/>
    </row>
    <row r="4288" spans="1:15" x14ac:dyDescent="0.4">
      <c r="A4288">
        <v>2005</v>
      </c>
      <c r="B4288" s="2" t="s">
        <v>555</v>
      </c>
      <c r="C4288" s="2" t="s">
        <v>721</v>
      </c>
      <c r="D4288" s="2" t="s">
        <v>207</v>
      </c>
      <c r="E4288" s="70" t="s">
        <v>69</v>
      </c>
      <c r="F4288" s="29">
        <v>72</v>
      </c>
      <c r="G4288" s="29">
        <v>50</v>
      </c>
      <c r="H4288" s="33">
        <v>22</v>
      </c>
      <c r="M4288" s="2"/>
      <c r="N4288" s="2"/>
      <c r="O4288" s="2"/>
    </row>
    <row r="4289" spans="1:15" x14ac:dyDescent="0.4">
      <c r="A4289">
        <v>2005</v>
      </c>
      <c r="B4289" s="2" t="s">
        <v>556</v>
      </c>
      <c r="C4289" s="2" t="s">
        <v>721</v>
      </c>
      <c r="D4289" s="2" t="s">
        <v>207</v>
      </c>
      <c r="E4289" s="70" t="s">
        <v>62</v>
      </c>
      <c r="F4289" s="29">
        <v>149</v>
      </c>
      <c r="G4289" s="29">
        <v>82</v>
      </c>
      <c r="H4289" s="33">
        <v>67</v>
      </c>
      <c r="M4289" s="2"/>
      <c r="N4289" s="2"/>
      <c r="O4289" s="2"/>
    </row>
    <row r="4290" spans="1:15" x14ac:dyDescent="0.4">
      <c r="A4290">
        <v>2005</v>
      </c>
      <c r="B4290" s="2" t="s">
        <v>557</v>
      </c>
      <c r="C4290" s="2" t="s">
        <v>721</v>
      </c>
      <c r="D4290" s="2" t="s">
        <v>207</v>
      </c>
      <c r="E4290" s="70" t="s">
        <v>44</v>
      </c>
      <c r="F4290" s="29">
        <v>77</v>
      </c>
      <c r="G4290" s="29">
        <v>51</v>
      </c>
      <c r="H4290" s="33">
        <v>26</v>
      </c>
      <c r="M4290" s="2"/>
      <c r="N4290" s="2"/>
      <c r="O4290" s="2"/>
    </row>
    <row r="4291" spans="1:15" x14ac:dyDescent="0.4">
      <c r="A4291">
        <v>2005</v>
      </c>
      <c r="B4291" s="2" t="s">
        <v>558</v>
      </c>
      <c r="C4291" s="2" t="s">
        <v>721</v>
      </c>
      <c r="D4291" s="2" t="s">
        <v>207</v>
      </c>
      <c r="E4291" s="70" t="s">
        <v>210</v>
      </c>
      <c r="F4291" s="29">
        <v>2323</v>
      </c>
      <c r="G4291" s="29">
        <v>1460</v>
      </c>
      <c r="H4291" s="33">
        <v>863</v>
      </c>
      <c r="M4291" s="2"/>
      <c r="N4291" s="2"/>
      <c r="O4291" s="2"/>
    </row>
    <row r="4292" spans="1:15" x14ac:dyDescent="0.4">
      <c r="A4292">
        <v>2005</v>
      </c>
      <c r="B4292" s="2" t="s">
        <v>559</v>
      </c>
      <c r="C4292" s="2" t="s">
        <v>721</v>
      </c>
      <c r="D4292" s="2" t="s">
        <v>207</v>
      </c>
      <c r="E4292" s="70" t="s">
        <v>74</v>
      </c>
      <c r="F4292" s="29">
        <v>75</v>
      </c>
      <c r="G4292" s="29">
        <v>51</v>
      </c>
      <c r="H4292" s="33">
        <v>24</v>
      </c>
      <c r="M4292" s="2"/>
      <c r="N4292" s="2"/>
      <c r="O4292" s="2"/>
    </row>
    <row r="4293" spans="1:15" x14ac:dyDescent="0.4">
      <c r="A4293">
        <v>2005</v>
      </c>
      <c r="B4293" s="2" t="s">
        <v>560</v>
      </c>
      <c r="C4293" s="2" t="s">
        <v>721</v>
      </c>
      <c r="D4293" s="2" t="s">
        <v>207</v>
      </c>
      <c r="E4293" s="70" t="s">
        <v>211</v>
      </c>
      <c r="F4293" s="29">
        <v>69</v>
      </c>
      <c r="G4293" s="29">
        <v>42</v>
      </c>
      <c r="H4293" s="33">
        <v>27</v>
      </c>
      <c r="M4293" s="2"/>
      <c r="N4293" s="2"/>
      <c r="O4293" s="2"/>
    </row>
    <row r="4294" spans="1:15" x14ac:dyDescent="0.4">
      <c r="A4294">
        <v>2005</v>
      </c>
      <c r="B4294" s="2" t="s">
        <v>561</v>
      </c>
      <c r="C4294" s="2" t="s">
        <v>721</v>
      </c>
      <c r="D4294" s="2" t="s">
        <v>207</v>
      </c>
      <c r="E4294" s="70" t="s">
        <v>212</v>
      </c>
      <c r="F4294" s="29">
        <v>20</v>
      </c>
      <c r="G4294" s="29">
        <v>12</v>
      </c>
      <c r="H4294" s="33">
        <v>8</v>
      </c>
      <c r="M4294" s="2"/>
      <c r="N4294" s="2"/>
      <c r="O4294" s="2"/>
    </row>
    <row r="4295" spans="1:15" x14ac:dyDescent="0.4">
      <c r="A4295">
        <v>2005</v>
      </c>
      <c r="B4295" s="2" t="s">
        <v>562</v>
      </c>
      <c r="C4295" s="2" t="s">
        <v>721</v>
      </c>
      <c r="D4295" s="2" t="s">
        <v>207</v>
      </c>
      <c r="E4295" s="70" t="s">
        <v>213</v>
      </c>
      <c r="F4295" s="29">
        <v>59</v>
      </c>
      <c r="G4295" s="29">
        <v>41</v>
      </c>
      <c r="H4295" s="33">
        <v>18</v>
      </c>
      <c r="M4295" s="2"/>
      <c r="N4295" s="2"/>
      <c r="O4295" s="2"/>
    </row>
    <row r="4296" spans="1:15" x14ac:dyDescent="0.4">
      <c r="A4296">
        <v>2005</v>
      </c>
      <c r="B4296" s="2" t="s">
        <v>563</v>
      </c>
      <c r="C4296" s="2" t="s">
        <v>721</v>
      </c>
      <c r="D4296" s="2" t="s">
        <v>207</v>
      </c>
      <c r="E4296" s="70" t="s">
        <v>214</v>
      </c>
      <c r="F4296" s="29">
        <v>13</v>
      </c>
      <c r="G4296" s="29">
        <v>12</v>
      </c>
      <c r="H4296" s="33">
        <v>1</v>
      </c>
      <c r="M4296" s="2"/>
      <c r="N4296" s="2"/>
      <c r="O4296" s="2"/>
    </row>
    <row r="4297" spans="1:15" x14ac:dyDescent="0.4">
      <c r="A4297">
        <v>2005</v>
      </c>
      <c r="B4297" s="2" t="s">
        <v>564</v>
      </c>
      <c r="C4297" s="2" t="s">
        <v>722</v>
      </c>
      <c r="D4297" s="2" t="s">
        <v>216</v>
      </c>
      <c r="E4297" s="70" t="s">
        <v>215</v>
      </c>
      <c r="F4297" s="29">
        <v>55</v>
      </c>
      <c r="G4297" s="29">
        <v>31</v>
      </c>
      <c r="H4297" s="33">
        <v>24</v>
      </c>
      <c r="M4297" s="2"/>
      <c r="N4297" s="2"/>
      <c r="O4297" s="2"/>
    </row>
    <row r="4298" spans="1:15" x14ac:dyDescent="0.4">
      <c r="A4298">
        <v>2005</v>
      </c>
      <c r="B4298" s="2" t="s">
        <v>565</v>
      </c>
      <c r="C4298" s="2" t="s">
        <v>722</v>
      </c>
      <c r="D4298" s="2" t="s">
        <v>216</v>
      </c>
      <c r="E4298" s="70" t="s">
        <v>59</v>
      </c>
      <c r="F4298" s="29">
        <v>76</v>
      </c>
      <c r="G4298" s="29">
        <v>45</v>
      </c>
      <c r="H4298" s="33">
        <v>31</v>
      </c>
      <c r="M4298" s="2"/>
      <c r="N4298" s="2"/>
      <c r="O4298" s="2"/>
    </row>
    <row r="4299" spans="1:15" x14ac:dyDescent="0.4">
      <c r="A4299">
        <v>2005</v>
      </c>
      <c r="B4299" s="2" t="s">
        <v>566</v>
      </c>
      <c r="C4299" s="2" t="s">
        <v>722</v>
      </c>
      <c r="D4299" s="2" t="s">
        <v>216</v>
      </c>
      <c r="E4299" s="70" t="s">
        <v>217</v>
      </c>
      <c r="F4299" s="29">
        <v>127</v>
      </c>
      <c r="G4299" s="29">
        <v>65</v>
      </c>
      <c r="H4299" s="33">
        <v>62</v>
      </c>
      <c r="M4299" s="2"/>
      <c r="N4299" s="2"/>
      <c r="O4299" s="2"/>
    </row>
    <row r="4300" spans="1:15" x14ac:dyDescent="0.4">
      <c r="A4300">
        <v>2005</v>
      </c>
      <c r="B4300" s="2" t="s">
        <v>567</v>
      </c>
      <c r="C4300" s="2" t="s">
        <v>722</v>
      </c>
      <c r="D4300" s="2" t="s">
        <v>216</v>
      </c>
      <c r="E4300" s="70" t="s">
        <v>218</v>
      </c>
      <c r="F4300" s="29">
        <v>96</v>
      </c>
      <c r="G4300" s="29">
        <v>54</v>
      </c>
      <c r="H4300" s="33">
        <v>42</v>
      </c>
      <c r="M4300" s="2"/>
      <c r="N4300" s="2"/>
      <c r="O4300" s="2"/>
    </row>
    <row r="4301" spans="1:15" x14ac:dyDescent="0.4">
      <c r="A4301">
        <v>2005</v>
      </c>
      <c r="B4301" s="2" t="s">
        <v>568</v>
      </c>
      <c r="C4301" s="2" t="s">
        <v>722</v>
      </c>
      <c r="D4301" s="2" t="s">
        <v>216</v>
      </c>
      <c r="E4301" s="70" t="s">
        <v>219</v>
      </c>
      <c r="F4301" s="29">
        <v>70</v>
      </c>
      <c r="G4301" s="29">
        <v>33</v>
      </c>
      <c r="H4301" s="33">
        <v>37</v>
      </c>
      <c r="M4301" s="2"/>
      <c r="N4301" s="2"/>
      <c r="O4301" s="2"/>
    </row>
    <row r="4302" spans="1:15" x14ac:dyDescent="0.4">
      <c r="A4302">
        <v>2005</v>
      </c>
      <c r="B4302" s="2" t="s">
        <v>569</v>
      </c>
      <c r="C4302" s="2" t="s">
        <v>722</v>
      </c>
      <c r="D4302" s="2" t="s">
        <v>216</v>
      </c>
      <c r="E4302" s="70" t="s">
        <v>220</v>
      </c>
      <c r="F4302" s="29">
        <v>123</v>
      </c>
      <c r="G4302" s="29">
        <v>68</v>
      </c>
      <c r="H4302" s="33">
        <v>55</v>
      </c>
      <c r="M4302" s="2"/>
      <c r="N4302" s="2"/>
      <c r="O4302" s="2"/>
    </row>
    <row r="4303" spans="1:15" x14ac:dyDescent="0.4">
      <c r="A4303">
        <v>2005</v>
      </c>
      <c r="B4303" s="2" t="s">
        <v>570</v>
      </c>
      <c r="C4303" s="2" t="s">
        <v>722</v>
      </c>
      <c r="D4303" s="2" t="s">
        <v>216</v>
      </c>
      <c r="E4303" s="70" t="s">
        <v>221</v>
      </c>
      <c r="F4303" s="29">
        <v>131</v>
      </c>
      <c r="G4303" s="29">
        <v>75</v>
      </c>
      <c r="H4303" s="33">
        <v>56</v>
      </c>
      <c r="M4303" s="2"/>
      <c r="N4303" s="2"/>
      <c r="O4303" s="2"/>
    </row>
    <row r="4304" spans="1:15" x14ac:dyDescent="0.4">
      <c r="A4304">
        <v>2005</v>
      </c>
      <c r="B4304" s="2" t="s">
        <v>571</v>
      </c>
      <c r="C4304" s="2" t="s">
        <v>722</v>
      </c>
      <c r="D4304" s="2" t="s">
        <v>216</v>
      </c>
      <c r="E4304" s="70" t="s">
        <v>222</v>
      </c>
      <c r="F4304" s="29">
        <v>1094</v>
      </c>
      <c r="G4304" s="29">
        <v>652</v>
      </c>
      <c r="H4304" s="33">
        <v>442</v>
      </c>
      <c r="M4304" s="2"/>
      <c r="N4304" s="2"/>
      <c r="O4304" s="2"/>
    </row>
    <row r="4305" spans="1:15" x14ac:dyDescent="0.4">
      <c r="A4305">
        <v>2005</v>
      </c>
      <c r="B4305" s="2" t="s">
        <v>572</v>
      </c>
      <c r="C4305" s="2" t="s">
        <v>722</v>
      </c>
      <c r="D4305" s="2" t="s">
        <v>216</v>
      </c>
      <c r="E4305" s="70" t="s">
        <v>223</v>
      </c>
      <c r="F4305" s="29">
        <v>54</v>
      </c>
      <c r="G4305" s="29">
        <v>34</v>
      </c>
      <c r="H4305" s="33">
        <v>20</v>
      </c>
      <c r="M4305" s="2"/>
      <c r="N4305" s="2"/>
      <c r="O4305" s="2"/>
    </row>
    <row r="4306" spans="1:15" x14ac:dyDescent="0.4">
      <c r="A4306">
        <v>2005</v>
      </c>
      <c r="B4306" s="2" t="s">
        <v>573</v>
      </c>
      <c r="C4306" s="2" t="s">
        <v>722</v>
      </c>
      <c r="D4306" s="2" t="s">
        <v>216</v>
      </c>
      <c r="E4306" s="70" t="s">
        <v>224</v>
      </c>
      <c r="F4306" s="29">
        <v>73</v>
      </c>
      <c r="G4306" s="29">
        <v>44</v>
      </c>
      <c r="H4306" s="33">
        <v>29</v>
      </c>
      <c r="M4306" s="2"/>
      <c r="N4306" s="2"/>
      <c r="O4306" s="2"/>
    </row>
    <row r="4307" spans="1:15" x14ac:dyDescent="0.4">
      <c r="A4307">
        <v>2005</v>
      </c>
      <c r="B4307" s="2" t="s">
        <v>574</v>
      </c>
      <c r="C4307" s="2" t="s">
        <v>722</v>
      </c>
      <c r="D4307" s="2" t="s">
        <v>216</v>
      </c>
      <c r="E4307" s="70" t="s">
        <v>225</v>
      </c>
      <c r="F4307" s="29">
        <v>26</v>
      </c>
      <c r="G4307" s="29">
        <v>8</v>
      </c>
      <c r="H4307" s="33">
        <v>18</v>
      </c>
      <c r="M4307" s="2"/>
      <c r="N4307" s="2"/>
      <c r="O4307" s="2"/>
    </row>
    <row r="4308" spans="1:15" x14ac:dyDescent="0.4">
      <c r="A4308">
        <v>2005</v>
      </c>
      <c r="B4308" s="2" t="s">
        <v>575</v>
      </c>
      <c r="C4308" s="2" t="s">
        <v>723</v>
      </c>
      <c r="D4308" s="2" t="s">
        <v>227</v>
      </c>
      <c r="E4308" s="70" t="s">
        <v>226</v>
      </c>
      <c r="F4308" s="29">
        <v>49</v>
      </c>
      <c r="G4308" s="29">
        <v>36</v>
      </c>
      <c r="H4308" s="33">
        <v>13</v>
      </c>
      <c r="M4308" s="2"/>
      <c r="N4308" s="2"/>
      <c r="O4308" s="2"/>
    </row>
    <row r="4309" spans="1:15" x14ac:dyDescent="0.4">
      <c r="A4309">
        <v>2005</v>
      </c>
      <c r="B4309" s="2" t="s">
        <v>576</v>
      </c>
      <c r="C4309" s="2" t="s">
        <v>723</v>
      </c>
      <c r="D4309" s="2" t="s">
        <v>227</v>
      </c>
      <c r="E4309" s="70" t="s">
        <v>228</v>
      </c>
      <c r="F4309" s="29">
        <v>1023</v>
      </c>
      <c r="G4309" s="29">
        <v>624</v>
      </c>
      <c r="H4309" s="33">
        <v>399</v>
      </c>
      <c r="M4309" s="2"/>
      <c r="N4309" s="2"/>
      <c r="O4309" s="2"/>
    </row>
    <row r="4310" spans="1:15" x14ac:dyDescent="0.4">
      <c r="A4310">
        <v>2005</v>
      </c>
      <c r="B4310" s="2" t="s">
        <v>577</v>
      </c>
      <c r="C4310" s="2" t="s">
        <v>723</v>
      </c>
      <c r="D4310" s="2" t="s">
        <v>227</v>
      </c>
      <c r="E4310" s="70" t="s">
        <v>229</v>
      </c>
      <c r="F4310" s="29">
        <v>86</v>
      </c>
      <c r="G4310" s="29">
        <v>61</v>
      </c>
      <c r="H4310" s="33">
        <v>25</v>
      </c>
      <c r="M4310" s="2"/>
      <c r="N4310" s="2"/>
      <c r="O4310" s="2"/>
    </row>
    <row r="4311" spans="1:15" x14ac:dyDescent="0.4">
      <c r="A4311">
        <v>2005</v>
      </c>
      <c r="B4311" s="2" t="s">
        <v>578</v>
      </c>
      <c r="C4311" s="2" t="s">
        <v>723</v>
      </c>
      <c r="D4311" s="2" t="s">
        <v>227</v>
      </c>
      <c r="E4311" s="70" t="s">
        <v>230</v>
      </c>
      <c r="F4311" s="29">
        <v>1040</v>
      </c>
      <c r="G4311" s="29">
        <v>617</v>
      </c>
      <c r="H4311" s="33">
        <v>423</v>
      </c>
      <c r="M4311" s="2"/>
      <c r="N4311" s="2"/>
      <c r="O4311" s="2"/>
    </row>
    <row r="4312" spans="1:15" x14ac:dyDescent="0.4">
      <c r="A4312">
        <v>2005</v>
      </c>
      <c r="B4312" s="2" t="s">
        <v>579</v>
      </c>
      <c r="C4312" s="2" t="s">
        <v>723</v>
      </c>
      <c r="D4312" s="2" t="s">
        <v>227</v>
      </c>
      <c r="E4312" s="70" t="s">
        <v>231</v>
      </c>
      <c r="F4312" s="29">
        <v>95</v>
      </c>
      <c r="G4312" s="29">
        <v>52</v>
      </c>
      <c r="H4312" s="33">
        <v>43</v>
      </c>
      <c r="M4312" s="2"/>
      <c r="N4312" s="2"/>
      <c r="O4312" s="2"/>
    </row>
    <row r="4313" spans="1:15" x14ac:dyDescent="0.4">
      <c r="A4313">
        <v>2005</v>
      </c>
      <c r="B4313" s="2" t="s">
        <v>580</v>
      </c>
      <c r="C4313" s="2" t="s">
        <v>723</v>
      </c>
      <c r="D4313" s="2" t="s">
        <v>227</v>
      </c>
      <c r="E4313" s="70" t="s">
        <v>232</v>
      </c>
      <c r="F4313" s="29">
        <v>66</v>
      </c>
      <c r="G4313" s="29">
        <v>39</v>
      </c>
      <c r="H4313" s="33">
        <v>27</v>
      </c>
      <c r="M4313" s="2"/>
      <c r="N4313" s="2"/>
      <c r="O4313" s="2"/>
    </row>
    <row r="4314" spans="1:15" x14ac:dyDescent="0.4">
      <c r="A4314">
        <v>2005</v>
      </c>
      <c r="B4314" s="2" t="s">
        <v>581</v>
      </c>
      <c r="C4314" s="2" t="s">
        <v>723</v>
      </c>
      <c r="D4314" s="2" t="s">
        <v>227</v>
      </c>
      <c r="E4314" s="70" t="s">
        <v>233</v>
      </c>
      <c r="F4314" s="29">
        <v>111</v>
      </c>
      <c r="G4314" s="29">
        <v>70</v>
      </c>
      <c r="H4314" s="33">
        <v>41</v>
      </c>
      <c r="M4314" s="2"/>
      <c r="N4314" s="2"/>
      <c r="O4314" s="2"/>
    </row>
    <row r="4315" spans="1:15" x14ac:dyDescent="0.4">
      <c r="A4315">
        <v>2005</v>
      </c>
      <c r="B4315" s="2" t="s">
        <v>582</v>
      </c>
      <c r="C4315" s="2" t="s">
        <v>723</v>
      </c>
      <c r="D4315" s="2" t="s">
        <v>227</v>
      </c>
      <c r="E4315" s="70" t="s">
        <v>32</v>
      </c>
      <c r="F4315" s="29">
        <v>552</v>
      </c>
      <c r="G4315" s="29">
        <v>382</v>
      </c>
      <c r="H4315" s="33">
        <v>170</v>
      </c>
      <c r="M4315" s="2"/>
      <c r="N4315" s="2"/>
      <c r="O4315" s="2"/>
    </row>
    <row r="4316" spans="1:15" x14ac:dyDescent="0.4">
      <c r="A4316">
        <v>2005</v>
      </c>
      <c r="B4316" s="2" t="s">
        <v>583</v>
      </c>
      <c r="C4316" s="2" t="s">
        <v>723</v>
      </c>
      <c r="D4316" s="2" t="s">
        <v>227</v>
      </c>
      <c r="E4316" s="70" t="s">
        <v>234</v>
      </c>
      <c r="F4316" s="29">
        <v>24</v>
      </c>
      <c r="G4316" s="29">
        <v>17</v>
      </c>
      <c r="H4316" s="33">
        <v>7</v>
      </c>
      <c r="M4316" s="2"/>
      <c r="N4316" s="2"/>
      <c r="O4316" s="2"/>
    </row>
    <row r="4317" spans="1:15" x14ac:dyDescent="0.4">
      <c r="A4317">
        <v>2005</v>
      </c>
      <c r="B4317" s="2" t="s">
        <v>584</v>
      </c>
      <c r="C4317" s="2" t="s">
        <v>723</v>
      </c>
      <c r="D4317" s="2" t="s">
        <v>227</v>
      </c>
      <c r="E4317" s="70" t="s">
        <v>235</v>
      </c>
      <c r="F4317" s="29">
        <v>53</v>
      </c>
      <c r="G4317" s="29">
        <v>36</v>
      </c>
      <c r="H4317" s="33">
        <v>17</v>
      </c>
      <c r="M4317" s="2"/>
      <c r="N4317" s="2"/>
      <c r="O4317" s="2"/>
    </row>
    <row r="4318" spans="1:15" x14ac:dyDescent="0.4">
      <c r="A4318">
        <v>2005</v>
      </c>
      <c r="B4318" s="2" t="s">
        <v>585</v>
      </c>
      <c r="C4318" s="2" t="s">
        <v>723</v>
      </c>
      <c r="D4318" s="2" t="s">
        <v>227</v>
      </c>
      <c r="E4318" s="70" t="s">
        <v>236</v>
      </c>
      <c r="F4318" s="29">
        <v>34</v>
      </c>
      <c r="G4318" s="29">
        <v>25</v>
      </c>
      <c r="H4318" s="33">
        <v>9</v>
      </c>
      <c r="M4318" s="2"/>
      <c r="N4318" s="2"/>
      <c r="O4318" s="2"/>
    </row>
    <row r="4319" spans="1:15" x14ac:dyDescent="0.4">
      <c r="A4319">
        <v>2005</v>
      </c>
      <c r="B4319" s="2" t="s">
        <v>586</v>
      </c>
      <c r="C4319" s="2" t="s">
        <v>723</v>
      </c>
      <c r="D4319" s="2" t="s">
        <v>227</v>
      </c>
      <c r="E4319" s="70" t="s">
        <v>237</v>
      </c>
      <c r="F4319" s="29">
        <v>38</v>
      </c>
      <c r="G4319" s="29">
        <v>24</v>
      </c>
      <c r="H4319" s="33">
        <v>14</v>
      </c>
      <c r="M4319" s="2"/>
      <c r="N4319" s="2"/>
      <c r="O4319" s="2"/>
    </row>
    <row r="4320" spans="1:15" x14ac:dyDescent="0.4">
      <c r="A4320">
        <v>2005</v>
      </c>
      <c r="B4320" s="2" t="s">
        <v>587</v>
      </c>
      <c r="C4320" s="2" t="s">
        <v>723</v>
      </c>
      <c r="D4320" s="2" t="s">
        <v>227</v>
      </c>
      <c r="E4320" s="70" t="s">
        <v>51</v>
      </c>
      <c r="F4320" s="29">
        <v>127</v>
      </c>
      <c r="G4320" s="29">
        <v>82</v>
      </c>
      <c r="H4320" s="33">
        <v>45</v>
      </c>
      <c r="M4320" s="2"/>
      <c r="N4320" s="2"/>
      <c r="O4320" s="2"/>
    </row>
    <row r="4321" spans="1:15" x14ac:dyDescent="0.4">
      <c r="A4321">
        <v>2005</v>
      </c>
      <c r="B4321" s="2" t="s">
        <v>588</v>
      </c>
      <c r="C4321" s="2" t="s">
        <v>723</v>
      </c>
      <c r="D4321" s="2" t="s">
        <v>227</v>
      </c>
      <c r="E4321" s="70" t="s">
        <v>238</v>
      </c>
      <c r="F4321" s="29">
        <v>169</v>
      </c>
      <c r="G4321" s="29">
        <v>99</v>
      </c>
      <c r="H4321" s="33">
        <v>70</v>
      </c>
      <c r="M4321" s="2"/>
      <c r="N4321" s="2"/>
      <c r="O4321" s="2"/>
    </row>
    <row r="4322" spans="1:15" x14ac:dyDescent="0.4">
      <c r="A4322">
        <v>2005</v>
      </c>
      <c r="B4322" s="2" t="s">
        <v>589</v>
      </c>
      <c r="C4322" s="2" t="s">
        <v>724</v>
      </c>
      <c r="D4322" s="2" t="s">
        <v>239</v>
      </c>
      <c r="E4322" s="70" t="s">
        <v>163</v>
      </c>
      <c r="F4322" s="29">
        <v>77</v>
      </c>
      <c r="G4322" s="29">
        <v>48</v>
      </c>
      <c r="H4322" s="33">
        <v>29</v>
      </c>
      <c r="M4322" s="2"/>
      <c r="N4322" s="2"/>
      <c r="O4322" s="2"/>
    </row>
    <row r="4323" spans="1:15" x14ac:dyDescent="0.4">
      <c r="A4323">
        <v>2005</v>
      </c>
      <c r="B4323" s="2" t="s">
        <v>590</v>
      </c>
      <c r="C4323" s="2" t="s">
        <v>724</v>
      </c>
      <c r="D4323" s="2" t="s">
        <v>239</v>
      </c>
      <c r="E4323" s="70" t="s">
        <v>240</v>
      </c>
      <c r="F4323" s="29">
        <v>52</v>
      </c>
      <c r="G4323" s="29">
        <v>38</v>
      </c>
      <c r="H4323" s="33">
        <v>14</v>
      </c>
      <c r="M4323" s="2"/>
      <c r="N4323" s="2"/>
      <c r="O4323" s="2"/>
    </row>
    <row r="4324" spans="1:15" x14ac:dyDescent="0.4">
      <c r="A4324">
        <v>2005</v>
      </c>
      <c r="B4324" s="2" t="s">
        <v>591</v>
      </c>
      <c r="C4324" s="2" t="s">
        <v>724</v>
      </c>
      <c r="D4324" s="2" t="s">
        <v>239</v>
      </c>
      <c r="E4324" s="70" t="s">
        <v>59</v>
      </c>
      <c r="F4324" s="29">
        <v>135</v>
      </c>
      <c r="G4324" s="29">
        <v>82</v>
      </c>
      <c r="H4324" s="33">
        <v>53</v>
      </c>
      <c r="M4324" s="2"/>
      <c r="N4324" s="2"/>
      <c r="O4324" s="2"/>
    </row>
    <row r="4325" spans="1:15" x14ac:dyDescent="0.4">
      <c r="A4325">
        <v>2005</v>
      </c>
      <c r="B4325" s="2" t="s">
        <v>592</v>
      </c>
      <c r="C4325" s="2" t="s">
        <v>724</v>
      </c>
      <c r="D4325" s="2" t="s">
        <v>239</v>
      </c>
      <c r="E4325" s="70" t="s">
        <v>241</v>
      </c>
      <c r="F4325" s="29">
        <v>27</v>
      </c>
      <c r="G4325" s="29">
        <v>18</v>
      </c>
      <c r="H4325" s="33">
        <v>9</v>
      </c>
      <c r="M4325" s="2"/>
      <c r="N4325" s="2"/>
      <c r="O4325" s="2"/>
    </row>
    <row r="4326" spans="1:15" x14ac:dyDescent="0.4">
      <c r="A4326">
        <v>2005</v>
      </c>
      <c r="B4326" s="2" t="s">
        <v>593</v>
      </c>
      <c r="C4326" s="2" t="s">
        <v>724</v>
      </c>
      <c r="D4326" s="2" t="s">
        <v>239</v>
      </c>
      <c r="E4326" s="70" t="s">
        <v>242</v>
      </c>
      <c r="F4326" s="29">
        <v>882</v>
      </c>
      <c r="G4326" s="29">
        <v>529</v>
      </c>
      <c r="H4326" s="33">
        <v>353</v>
      </c>
      <c r="M4326" s="2"/>
      <c r="N4326" s="2"/>
      <c r="O4326" s="2"/>
    </row>
    <row r="4327" spans="1:15" x14ac:dyDescent="0.4">
      <c r="A4327">
        <v>2005</v>
      </c>
      <c r="B4327" s="2" t="s">
        <v>594</v>
      </c>
      <c r="C4327" s="2" t="s">
        <v>724</v>
      </c>
      <c r="D4327" s="2" t="s">
        <v>239</v>
      </c>
      <c r="E4327" s="70" t="s">
        <v>36</v>
      </c>
      <c r="F4327" s="29">
        <v>47</v>
      </c>
      <c r="G4327" s="29">
        <v>30</v>
      </c>
      <c r="H4327" s="33">
        <v>17</v>
      </c>
      <c r="M4327" s="2"/>
      <c r="N4327" s="2"/>
      <c r="O4327" s="2"/>
    </row>
    <row r="4328" spans="1:15" x14ac:dyDescent="0.4">
      <c r="A4328">
        <v>2005</v>
      </c>
      <c r="B4328" s="2" t="s">
        <v>595</v>
      </c>
      <c r="C4328" s="2" t="s">
        <v>724</v>
      </c>
      <c r="D4328" s="2" t="s">
        <v>239</v>
      </c>
      <c r="E4328" s="70" t="s">
        <v>243</v>
      </c>
      <c r="F4328" s="29">
        <v>76</v>
      </c>
      <c r="G4328" s="29">
        <v>46</v>
      </c>
      <c r="H4328" s="33">
        <v>30</v>
      </c>
      <c r="M4328" s="2"/>
      <c r="N4328" s="2"/>
      <c r="O4328" s="2"/>
    </row>
    <row r="4329" spans="1:15" x14ac:dyDescent="0.4">
      <c r="A4329">
        <v>2005</v>
      </c>
      <c r="B4329" s="2" t="s">
        <v>596</v>
      </c>
      <c r="C4329" s="2" t="s">
        <v>724</v>
      </c>
      <c r="D4329" s="2" t="s">
        <v>239</v>
      </c>
      <c r="E4329" s="70" t="s">
        <v>244</v>
      </c>
      <c r="F4329" s="29">
        <v>76</v>
      </c>
      <c r="G4329" s="29">
        <v>46</v>
      </c>
      <c r="H4329" s="33">
        <v>30</v>
      </c>
      <c r="M4329" s="2"/>
      <c r="N4329" s="2"/>
      <c r="O4329" s="2"/>
    </row>
    <row r="4330" spans="1:15" x14ac:dyDescent="0.4">
      <c r="A4330">
        <v>2005</v>
      </c>
      <c r="B4330" s="2" t="s">
        <v>597</v>
      </c>
      <c r="C4330" s="2" t="s">
        <v>724</v>
      </c>
      <c r="D4330" s="2" t="s">
        <v>239</v>
      </c>
      <c r="E4330" s="70" t="s">
        <v>44</v>
      </c>
      <c r="F4330" s="29">
        <v>27</v>
      </c>
      <c r="G4330" s="29">
        <v>21</v>
      </c>
      <c r="H4330" s="33">
        <v>6</v>
      </c>
      <c r="M4330" s="2"/>
      <c r="N4330" s="2"/>
      <c r="O4330" s="2"/>
    </row>
    <row r="4331" spans="1:15" x14ac:dyDescent="0.4">
      <c r="A4331">
        <v>2005</v>
      </c>
      <c r="B4331" s="2" t="s">
        <v>598</v>
      </c>
      <c r="C4331" s="2" t="s">
        <v>724</v>
      </c>
      <c r="D4331" s="2" t="s">
        <v>239</v>
      </c>
      <c r="E4331" s="70" t="s">
        <v>222</v>
      </c>
      <c r="F4331" s="29">
        <v>72</v>
      </c>
      <c r="G4331" s="29">
        <v>40</v>
      </c>
      <c r="H4331" s="33">
        <v>32</v>
      </c>
      <c r="M4331" s="2"/>
      <c r="N4331" s="2"/>
      <c r="O4331" s="2"/>
    </row>
    <row r="4332" spans="1:15" x14ac:dyDescent="0.4">
      <c r="A4332">
        <v>2005</v>
      </c>
      <c r="B4332" s="2" t="s">
        <v>599</v>
      </c>
      <c r="C4332" s="2" t="s">
        <v>724</v>
      </c>
      <c r="D4332" s="2" t="s">
        <v>239</v>
      </c>
      <c r="E4332" s="70" t="s">
        <v>245</v>
      </c>
      <c r="F4332" s="29">
        <v>24</v>
      </c>
      <c r="G4332" s="29">
        <v>16</v>
      </c>
      <c r="H4332" s="33">
        <v>8</v>
      </c>
      <c r="M4332" s="2"/>
      <c r="N4332" s="2"/>
      <c r="O4332" s="2"/>
    </row>
    <row r="4333" spans="1:15" x14ac:dyDescent="0.4">
      <c r="A4333">
        <v>2005</v>
      </c>
      <c r="B4333" s="2" t="s">
        <v>600</v>
      </c>
      <c r="C4333" s="2" t="s">
        <v>724</v>
      </c>
      <c r="D4333" s="2" t="s">
        <v>239</v>
      </c>
      <c r="E4333" s="70" t="s">
        <v>246</v>
      </c>
      <c r="F4333" s="29">
        <v>202</v>
      </c>
      <c r="G4333" s="29">
        <v>125</v>
      </c>
      <c r="H4333" s="33">
        <v>77</v>
      </c>
      <c r="M4333" s="2"/>
      <c r="N4333" s="2"/>
      <c r="O4333" s="2"/>
    </row>
    <row r="4334" spans="1:15" x14ac:dyDescent="0.4">
      <c r="A4334">
        <v>2005</v>
      </c>
      <c r="B4334" s="2" t="s">
        <v>601</v>
      </c>
      <c r="C4334" s="2" t="s">
        <v>724</v>
      </c>
      <c r="D4334" s="2" t="s">
        <v>239</v>
      </c>
      <c r="E4334" s="70" t="s">
        <v>247</v>
      </c>
      <c r="F4334" s="29">
        <v>179</v>
      </c>
      <c r="G4334" s="29">
        <v>113</v>
      </c>
      <c r="H4334" s="33">
        <v>66</v>
      </c>
      <c r="M4334" s="2"/>
      <c r="N4334" s="2"/>
      <c r="O4334" s="2"/>
    </row>
    <row r="4335" spans="1:15" x14ac:dyDescent="0.4">
      <c r="A4335">
        <v>2005</v>
      </c>
      <c r="B4335" s="2" t="s">
        <v>602</v>
      </c>
      <c r="C4335" s="2" t="s">
        <v>724</v>
      </c>
      <c r="D4335" s="2" t="s">
        <v>239</v>
      </c>
      <c r="E4335" s="70" t="s">
        <v>51</v>
      </c>
      <c r="F4335" s="29">
        <v>1667</v>
      </c>
      <c r="G4335" s="29">
        <v>1008</v>
      </c>
      <c r="H4335" s="33">
        <v>659</v>
      </c>
      <c r="M4335" s="2"/>
      <c r="N4335" s="2"/>
      <c r="O4335" s="2"/>
    </row>
    <row r="4336" spans="1:15" x14ac:dyDescent="0.4">
      <c r="A4336">
        <v>2005</v>
      </c>
      <c r="B4336" s="2" t="s">
        <v>603</v>
      </c>
      <c r="C4336" s="2" t="s">
        <v>724</v>
      </c>
      <c r="D4336" s="2" t="s">
        <v>239</v>
      </c>
      <c r="E4336" s="70" t="s">
        <v>248</v>
      </c>
      <c r="F4336" s="29">
        <v>100</v>
      </c>
      <c r="G4336" s="29">
        <v>54</v>
      </c>
      <c r="H4336" s="33">
        <v>46</v>
      </c>
      <c r="M4336" s="2"/>
      <c r="N4336" s="2"/>
      <c r="O4336" s="2"/>
    </row>
    <row r="4337" spans="1:15" x14ac:dyDescent="0.4">
      <c r="A4337">
        <v>2005</v>
      </c>
      <c r="B4337" s="2" t="s">
        <v>604</v>
      </c>
      <c r="C4337" s="2" t="s">
        <v>725</v>
      </c>
      <c r="D4337" s="2" t="s">
        <v>249</v>
      </c>
      <c r="E4337" s="70" t="s">
        <v>174</v>
      </c>
      <c r="F4337" s="29">
        <v>56</v>
      </c>
      <c r="G4337" s="29">
        <v>35</v>
      </c>
      <c r="H4337" s="33">
        <v>21</v>
      </c>
      <c r="M4337" s="2"/>
      <c r="N4337" s="2"/>
      <c r="O4337" s="2"/>
    </row>
    <row r="4338" spans="1:15" x14ac:dyDescent="0.4">
      <c r="A4338">
        <v>2005</v>
      </c>
      <c r="B4338" s="2" t="s">
        <v>605</v>
      </c>
      <c r="C4338" s="2" t="s">
        <v>725</v>
      </c>
      <c r="D4338" s="2" t="s">
        <v>249</v>
      </c>
      <c r="E4338" s="70" t="s">
        <v>250</v>
      </c>
      <c r="F4338" s="29">
        <v>26</v>
      </c>
      <c r="G4338" s="29">
        <v>12</v>
      </c>
      <c r="H4338" s="33">
        <v>14</v>
      </c>
      <c r="M4338" s="2"/>
      <c r="N4338" s="2"/>
      <c r="O4338" s="2"/>
    </row>
    <row r="4339" spans="1:15" x14ac:dyDescent="0.4">
      <c r="A4339">
        <v>2005</v>
      </c>
      <c r="B4339" s="2" t="s">
        <v>606</v>
      </c>
      <c r="C4339" s="2" t="s">
        <v>725</v>
      </c>
      <c r="D4339" s="2" t="s">
        <v>249</v>
      </c>
      <c r="E4339" s="70" t="s">
        <v>251</v>
      </c>
      <c r="F4339" s="29">
        <v>246</v>
      </c>
      <c r="G4339" s="29">
        <v>151</v>
      </c>
      <c r="H4339" s="33">
        <v>95</v>
      </c>
      <c r="M4339" s="2"/>
      <c r="N4339" s="2"/>
      <c r="O4339" s="2"/>
    </row>
    <row r="4340" spans="1:15" x14ac:dyDescent="0.4">
      <c r="A4340">
        <v>2005</v>
      </c>
      <c r="B4340" s="2" t="s">
        <v>607</v>
      </c>
      <c r="C4340" s="2" t="s">
        <v>725</v>
      </c>
      <c r="D4340" s="2" t="s">
        <v>249</v>
      </c>
      <c r="E4340" s="70" t="s">
        <v>36</v>
      </c>
      <c r="F4340" s="29">
        <v>221</v>
      </c>
      <c r="G4340" s="29">
        <v>140</v>
      </c>
      <c r="H4340" s="33">
        <v>81</v>
      </c>
      <c r="M4340" s="2"/>
      <c r="N4340" s="2"/>
      <c r="O4340" s="2"/>
    </row>
    <row r="4341" spans="1:15" x14ac:dyDescent="0.4">
      <c r="A4341">
        <v>2005</v>
      </c>
      <c r="B4341" s="2" t="s">
        <v>608</v>
      </c>
      <c r="C4341" s="2" t="s">
        <v>725</v>
      </c>
      <c r="D4341" s="2" t="s">
        <v>249</v>
      </c>
      <c r="E4341" s="70" t="s">
        <v>252</v>
      </c>
      <c r="F4341" s="29">
        <v>254</v>
      </c>
      <c r="G4341" s="29">
        <v>155</v>
      </c>
      <c r="H4341" s="33">
        <v>99</v>
      </c>
      <c r="M4341" s="2"/>
      <c r="N4341" s="2"/>
      <c r="O4341" s="2"/>
    </row>
    <row r="4342" spans="1:15" x14ac:dyDescent="0.4">
      <c r="A4342">
        <v>2005</v>
      </c>
      <c r="B4342" s="2" t="s">
        <v>609</v>
      </c>
      <c r="C4342" s="2" t="s">
        <v>725</v>
      </c>
      <c r="D4342" s="2" t="s">
        <v>249</v>
      </c>
      <c r="E4342" s="70" t="s">
        <v>253</v>
      </c>
      <c r="F4342" s="29">
        <v>113</v>
      </c>
      <c r="G4342" s="29">
        <v>86</v>
      </c>
      <c r="H4342" s="33">
        <v>27</v>
      </c>
      <c r="M4342" s="2"/>
      <c r="N4342" s="2"/>
      <c r="O4342" s="2"/>
    </row>
    <row r="4343" spans="1:15" x14ac:dyDescent="0.4">
      <c r="A4343">
        <v>2005</v>
      </c>
      <c r="B4343" s="2" t="s">
        <v>610</v>
      </c>
      <c r="C4343" s="2" t="s">
        <v>725</v>
      </c>
      <c r="D4343" s="2" t="s">
        <v>249</v>
      </c>
      <c r="E4343" s="70" t="s">
        <v>254</v>
      </c>
      <c r="F4343" s="29">
        <v>137</v>
      </c>
      <c r="G4343" s="29">
        <v>94</v>
      </c>
      <c r="H4343" s="33">
        <v>43</v>
      </c>
      <c r="M4343" s="2"/>
      <c r="N4343" s="2"/>
      <c r="O4343" s="2"/>
    </row>
    <row r="4344" spans="1:15" x14ac:dyDescent="0.4">
      <c r="A4344">
        <v>2005</v>
      </c>
      <c r="B4344" s="2" t="s">
        <v>611</v>
      </c>
      <c r="C4344" s="2" t="s">
        <v>725</v>
      </c>
      <c r="D4344" s="2" t="s">
        <v>249</v>
      </c>
      <c r="E4344" s="70" t="s">
        <v>11</v>
      </c>
      <c r="F4344" s="29">
        <v>20</v>
      </c>
      <c r="G4344" s="29">
        <v>12</v>
      </c>
      <c r="H4344" s="33">
        <v>8</v>
      </c>
      <c r="M4344" s="2"/>
      <c r="N4344" s="2"/>
      <c r="O4344" s="2"/>
    </row>
    <row r="4345" spans="1:15" x14ac:dyDescent="0.4">
      <c r="A4345">
        <v>2005</v>
      </c>
      <c r="B4345" s="2" t="s">
        <v>612</v>
      </c>
      <c r="C4345" s="2" t="s">
        <v>725</v>
      </c>
      <c r="D4345" s="2" t="s">
        <v>249</v>
      </c>
      <c r="E4345" s="70" t="s">
        <v>255</v>
      </c>
      <c r="F4345" s="29">
        <v>208</v>
      </c>
      <c r="G4345" s="29">
        <v>142</v>
      </c>
      <c r="H4345" s="33">
        <v>66</v>
      </c>
      <c r="M4345" s="2"/>
      <c r="N4345" s="2"/>
      <c r="O4345" s="2"/>
    </row>
    <row r="4346" spans="1:15" x14ac:dyDescent="0.4">
      <c r="A4346">
        <v>2005</v>
      </c>
      <c r="B4346" s="2" t="s">
        <v>613</v>
      </c>
      <c r="C4346" s="2" t="s">
        <v>725</v>
      </c>
      <c r="D4346" s="2" t="s">
        <v>249</v>
      </c>
      <c r="E4346" s="70" t="s">
        <v>256</v>
      </c>
      <c r="F4346" s="29">
        <v>67</v>
      </c>
      <c r="G4346" s="29">
        <v>36</v>
      </c>
      <c r="H4346" s="33">
        <v>31</v>
      </c>
      <c r="M4346" s="2"/>
      <c r="N4346" s="2"/>
      <c r="O4346" s="2"/>
    </row>
    <row r="4347" spans="1:15" x14ac:dyDescent="0.4">
      <c r="A4347">
        <v>2005</v>
      </c>
      <c r="B4347" s="2" t="s">
        <v>614</v>
      </c>
      <c r="C4347" s="2" t="s">
        <v>725</v>
      </c>
      <c r="D4347" s="2" t="s">
        <v>249</v>
      </c>
      <c r="E4347" s="70" t="s">
        <v>14</v>
      </c>
      <c r="F4347" s="29">
        <v>81</v>
      </c>
      <c r="G4347" s="29">
        <v>48</v>
      </c>
      <c r="H4347" s="33">
        <v>33</v>
      </c>
      <c r="M4347" s="2"/>
      <c r="N4347" s="2"/>
      <c r="O4347" s="2"/>
    </row>
    <row r="4348" spans="1:15" x14ac:dyDescent="0.4">
      <c r="A4348">
        <v>2005</v>
      </c>
      <c r="B4348" s="2" t="s">
        <v>615</v>
      </c>
      <c r="C4348" s="2" t="s">
        <v>725</v>
      </c>
      <c r="D4348" s="2" t="s">
        <v>249</v>
      </c>
      <c r="E4348" s="70" t="s">
        <v>257</v>
      </c>
      <c r="F4348" s="29">
        <v>220</v>
      </c>
      <c r="G4348" s="29">
        <v>127</v>
      </c>
      <c r="H4348" s="33">
        <v>93</v>
      </c>
      <c r="M4348" s="2"/>
      <c r="N4348" s="2"/>
      <c r="O4348" s="2"/>
    </row>
    <row r="4349" spans="1:15" x14ac:dyDescent="0.4">
      <c r="A4349">
        <v>2005</v>
      </c>
      <c r="B4349" s="2" t="s">
        <v>616</v>
      </c>
      <c r="C4349" s="2" t="s">
        <v>725</v>
      </c>
      <c r="D4349" s="2" t="s">
        <v>249</v>
      </c>
      <c r="E4349" s="70" t="s">
        <v>258</v>
      </c>
      <c r="F4349" s="29">
        <v>15</v>
      </c>
      <c r="G4349" s="29">
        <v>11</v>
      </c>
      <c r="H4349" s="33">
        <v>4</v>
      </c>
      <c r="M4349" s="2"/>
      <c r="N4349" s="2"/>
      <c r="O4349" s="2"/>
    </row>
    <row r="4350" spans="1:15" x14ac:dyDescent="0.4">
      <c r="A4350">
        <v>2005</v>
      </c>
      <c r="B4350" s="2" t="s">
        <v>617</v>
      </c>
      <c r="C4350" s="2" t="s">
        <v>725</v>
      </c>
      <c r="D4350" s="2" t="s">
        <v>249</v>
      </c>
      <c r="E4350" s="70" t="s">
        <v>259</v>
      </c>
      <c r="F4350" s="29">
        <v>292</v>
      </c>
      <c r="G4350" s="29">
        <v>193</v>
      </c>
      <c r="H4350" s="33">
        <v>99</v>
      </c>
      <c r="M4350" s="2"/>
      <c r="N4350" s="2"/>
      <c r="O4350" s="2"/>
    </row>
    <row r="4351" spans="1:15" x14ac:dyDescent="0.4">
      <c r="A4351">
        <v>2005</v>
      </c>
      <c r="B4351" s="2" t="s">
        <v>618</v>
      </c>
      <c r="C4351" s="2" t="s">
        <v>725</v>
      </c>
      <c r="D4351" s="2" t="s">
        <v>249</v>
      </c>
      <c r="E4351" s="70" t="s">
        <v>18</v>
      </c>
      <c r="F4351" s="29">
        <v>76</v>
      </c>
      <c r="G4351" s="29">
        <v>41</v>
      </c>
      <c r="H4351" s="33">
        <v>35</v>
      </c>
      <c r="M4351" s="2"/>
      <c r="N4351" s="2"/>
      <c r="O4351" s="2"/>
    </row>
    <row r="4352" spans="1:15" x14ac:dyDescent="0.4">
      <c r="A4352">
        <v>2005</v>
      </c>
      <c r="B4352" s="2" t="s">
        <v>619</v>
      </c>
      <c r="C4352" s="2" t="s">
        <v>725</v>
      </c>
      <c r="D4352" s="2" t="s">
        <v>249</v>
      </c>
      <c r="E4352" s="70" t="s">
        <v>44</v>
      </c>
      <c r="F4352" s="29">
        <v>71</v>
      </c>
      <c r="G4352" s="29">
        <v>47</v>
      </c>
      <c r="H4352" s="33">
        <v>24</v>
      </c>
      <c r="M4352" s="2"/>
      <c r="N4352" s="2"/>
      <c r="O4352" s="2"/>
    </row>
    <row r="4353" spans="1:15" x14ac:dyDescent="0.4">
      <c r="A4353">
        <v>2005</v>
      </c>
      <c r="B4353" s="2" t="s">
        <v>620</v>
      </c>
      <c r="C4353" s="2" t="s">
        <v>725</v>
      </c>
      <c r="D4353" s="2" t="s">
        <v>249</v>
      </c>
      <c r="E4353" s="70" t="s">
        <v>260</v>
      </c>
      <c r="F4353" s="29">
        <v>33</v>
      </c>
      <c r="G4353" s="29">
        <v>18</v>
      </c>
      <c r="H4353" s="33">
        <v>15</v>
      </c>
      <c r="M4353" s="2"/>
      <c r="N4353" s="2"/>
      <c r="O4353" s="2"/>
    </row>
    <row r="4354" spans="1:15" x14ac:dyDescent="0.4">
      <c r="A4354">
        <v>2005</v>
      </c>
      <c r="B4354" s="2" t="s">
        <v>621</v>
      </c>
      <c r="C4354" s="2" t="s">
        <v>725</v>
      </c>
      <c r="D4354" s="2" t="s">
        <v>249</v>
      </c>
      <c r="E4354" s="70" t="s">
        <v>261</v>
      </c>
      <c r="F4354" s="29">
        <v>75</v>
      </c>
      <c r="G4354" s="29">
        <v>45</v>
      </c>
      <c r="H4354" s="33">
        <v>30</v>
      </c>
      <c r="M4354" s="2"/>
      <c r="N4354" s="2"/>
      <c r="O4354" s="2"/>
    </row>
    <row r="4355" spans="1:15" x14ac:dyDescent="0.4">
      <c r="A4355">
        <v>2005</v>
      </c>
      <c r="B4355" s="2" t="s">
        <v>622</v>
      </c>
      <c r="C4355" s="2" t="s">
        <v>725</v>
      </c>
      <c r="D4355" s="2" t="s">
        <v>249</v>
      </c>
      <c r="E4355" s="70" t="s">
        <v>262</v>
      </c>
      <c r="F4355" s="29">
        <v>116</v>
      </c>
      <c r="G4355" s="29">
        <v>74</v>
      </c>
      <c r="H4355" s="33">
        <v>42</v>
      </c>
      <c r="M4355" s="2"/>
      <c r="N4355" s="2"/>
      <c r="O4355" s="2"/>
    </row>
    <row r="4356" spans="1:15" x14ac:dyDescent="0.4">
      <c r="A4356">
        <v>2005</v>
      </c>
      <c r="B4356" s="2" t="s">
        <v>623</v>
      </c>
      <c r="C4356" s="2" t="s">
        <v>725</v>
      </c>
      <c r="D4356" s="2" t="s">
        <v>249</v>
      </c>
      <c r="E4356" s="70" t="s">
        <v>263</v>
      </c>
      <c r="F4356" s="29">
        <v>104</v>
      </c>
      <c r="G4356" s="29">
        <v>78</v>
      </c>
      <c r="H4356" s="33">
        <v>26</v>
      </c>
      <c r="M4356" s="2"/>
      <c r="N4356" s="2"/>
      <c r="O4356" s="2"/>
    </row>
    <row r="4357" spans="1:15" x14ac:dyDescent="0.4">
      <c r="A4357">
        <v>2005</v>
      </c>
      <c r="B4357" s="2" t="s">
        <v>624</v>
      </c>
      <c r="C4357" s="2" t="s">
        <v>725</v>
      </c>
      <c r="D4357" s="2" t="s">
        <v>249</v>
      </c>
      <c r="E4357" s="70" t="s">
        <v>264</v>
      </c>
      <c r="F4357" s="29">
        <v>17</v>
      </c>
      <c r="G4357" s="29">
        <v>12</v>
      </c>
      <c r="H4357" s="33">
        <v>5</v>
      </c>
      <c r="M4357" s="2"/>
      <c r="N4357" s="2"/>
      <c r="O4357" s="2"/>
    </row>
    <row r="4358" spans="1:15" x14ac:dyDescent="0.4">
      <c r="A4358">
        <v>2005</v>
      </c>
      <c r="B4358" s="2" t="s">
        <v>625</v>
      </c>
      <c r="C4358" s="2" t="s">
        <v>725</v>
      </c>
      <c r="D4358" s="2" t="s">
        <v>249</v>
      </c>
      <c r="E4358" s="70" t="s">
        <v>265</v>
      </c>
      <c r="F4358" s="29">
        <v>48</v>
      </c>
      <c r="G4358" s="29">
        <v>29</v>
      </c>
      <c r="H4358" s="33">
        <v>19</v>
      </c>
      <c r="M4358" s="2"/>
      <c r="N4358" s="2"/>
      <c r="O4358" s="2"/>
    </row>
    <row r="4359" spans="1:15" x14ac:dyDescent="0.4">
      <c r="A4359">
        <v>2005</v>
      </c>
      <c r="B4359" s="2" t="s">
        <v>626</v>
      </c>
      <c r="C4359" s="2" t="s">
        <v>725</v>
      </c>
      <c r="D4359" s="2" t="s">
        <v>249</v>
      </c>
      <c r="E4359" s="70" t="s">
        <v>266</v>
      </c>
      <c r="F4359" s="29">
        <v>2942</v>
      </c>
      <c r="G4359" s="29">
        <v>1682</v>
      </c>
      <c r="H4359" s="33">
        <v>1260</v>
      </c>
      <c r="M4359" s="2"/>
      <c r="N4359" s="2"/>
      <c r="O4359" s="2"/>
    </row>
    <row r="4360" spans="1:15" x14ac:dyDescent="0.4">
      <c r="A4360">
        <v>2005</v>
      </c>
      <c r="B4360" s="2" t="s">
        <v>627</v>
      </c>
      <c r="C4360" s="2" t="s">
        <v>725</v>
      </c>
      <c r="D4360" s="2" t="s">
        <v>249</v>
      </c>
      <c r="E4360" s="70" t="s">
        <v>267</v>
      </c>
      <c r="F4360" s="29">
        <v>21</v>
      </c>
      <c r="G4360" s="29">
        <v>13</v>
      </c>
      <c r="H4360" s="33">
        <v>8</v>
      </c>
      <c r="M4360" s="2"/>
      <c r="N4360" s="2"/>
      <c r="O4360" s="2"/>
    </row>
    <row r="4361" spans="1:15" x14ac:dyDescent="0.4">
      <c r="A4361">
        <v>2005</v>
      </c>
      <c r="B4361" s="2" t="s">
        <v>628</v>
      </c>
      <c r="C4361" s="2" t="s">
        <v>725</v>
      </c>
      <c r="D4361" s="2" t="s">
        <v>249</v>
      </c>
      <c r="E4361" s="70" t="s">
        <v>268</v>
      </c>
      <c r="F4361" s="29">
        <v>0</v>
      </c>
      <c r="G4361" s="29">
        <v>0</v>
      </c>
      <c r="H4361" s="33">
        <v>0</v>
      </c>
      <c r="M4361" s="2"/>
      <c r="N4361" s="2"/>
      <c r="O4361" s="2"/>
    </row>
    <row r="4362" spans="1:15" x14ac:dyDescent="0.4">
      <c r="A4362">
        <v>2005</v>
      </c>
      <c r="B4362" s="2" t="s">
        <v>629</v>
      </c>
      <c r="C4362" s="2" t="s">
        <v>725</v>
      </c>
      <c r="D4362" s="2" t="s">
        <v>249</v>
      </c>
      <c r="E4362" s="70" t="s">
        <v>26</v>
      </c>
      <c r="F4362" s="29">
        <v>7</v>
      </c>
      <c r="G4362" s="29">
        <v>6</v>
      </c>
      <c r="H4362" s="33">
        <v>1</v>
      </c>
      <c r="M4362" s="2"/>
      <c r="N4362" s="2"/>
      <c r="O4362" s="2"/>
    </row>
    <row r="4363" spans="1:15" x14ac:dyDescent="0.4">
      <c r="A4363">
        <v>2005</v>
      </c>
      <c r="B4363" s="2" t="s">
        <v>630</v>
      </c>
      <c r="C4363" s="2" t="s">
        <v>725</v>
      </c>
      <c r="D4363" s="2" t="s">
        <v>249</v>
      </c>
      <c r="E4363" s="70" t="s">
        <v>51</v>
      </c>
      <c r="F4363" s="29">
        <v>18</v>
      </c>
      <c r="G4363" s="29">
        <v>13</v>
      </c>
      <c r="H4363" s="33">
        <v>5</v>
      </c>
      <c r="M4363" s="2"/>
      <c r="N4363" s="2"/>
      <c r="O4363" s="2"/>
    </row>
    <row r="4364" spans="1:15" x14ac:dyDescent="0.4">
      <c r="A4364">
        <v>2005</v>
      </c>
      <c r="B4364" s="2" t="s">
        <v>631</v>
      </c>
      <c r="C4364" s="2" t="s">
        <v>725</v>
      </c>
      <c r="D4364" s="2" t="s">
        <v>249</v>
      </c>
      <c r="E4364" s="70" t="s">
        <v>269</v>
      </c>
      <c r="F4364" s="29">
        <v>83</v>
      </c>
      <c r="G4364" s="29">
        <v>59</v>
      </c>
      <c r="H4364" s="33">
        <v>24</v>
      </c>
      <c r="M4364" s="2"/>
      <c r="N4364" s="2"/>
      <c r="O4364" s="2"/>
    </row>
    <row r="4365" spans="1:15" x14ac:dyDescent="0.4">
      <c r="A4365">
        <v>2005</v>
      </c>
      <c r="B4365" s="2" t="s">
        <v>632</v>
      </c>
      <c r="C4365" s="2" t="s">
        <v>725</v>
      </c>
      <c r="D4365" s="2" t="s">
        <v>249</v>
      </c>
      <c r="E4365" s="70" t="s">
        <v>270</v>
      </c>
      <c r="F4365" s="29">
        <v>82</v>
      </c>
      <c r="G4365" s="29">
        <v>53</v>
      </c>
      <c r="H4365" s="33">
        <v>29</v>
      </c>
      <c r="M4365" s="2"/>
      <c r="N4365" s="2"/>
      <c r="O4365" s="2"/>
    </row>
    <row r="4366" spans="1:15" x14ac:dyDescent="0.4">
      <c r="A4366">
        <v>2005</v>
      </c>
      <c r="B4366" s="2" t="s">
        <v>633</v>
      </c>
      <c r="C4366" s="2" t="s">
        <v>726</v>
      </c>
      <c r="D4366" s="2" t="s">
        <v>271</v>
      </c>
      <c r="E4366" s="70" t="s">
        <v>174</v>
      </c>
      <c r="F4366" s="29">
        <v>49</v>
      </c>
      <c r="G4366" s="29">
        <v>29</v>
      </c>
      <c r="H4366" s="33">
        <v>20</v>
      </c>
      <c r="M4366" s="2"/>
      <c r="N4366" s="2"/>
      <c r="O4366" s="2"/>
    </row>
    <row r="4367" spans="1:15" x14ac:dyDescent="0.4">
      <c r="A4367">
        <v>2005</v>
      </c>
      <c r="B4367" s="2" t="s">
        <v>634</v>
      </c>
      <c r="C4367" s="2" t="s">
        <v>726</v>
      </c>
      <c r="D4367" s="2" t="s">
        <v>271</v>
      </c>
      <c r="E4367" s="70" t="s">
        <v>272</v>
      </c>
      <c r="F4367" s="29">
        <v>389</v>
      </c>
      <c r="G4367" s="29">
        <v>207</v>
      </c>
      <c r="H4367" s="33">
        <v>182</v>
      </c>
      <c r="M4367" s="2"/>
      <c r="N4367" s="2"/>
      <c r="O4367" s="2"/>
    </row>
    <row r="4368" spans="1:15" x14ac:dyDescent="0.4">
      <c r="A4368">
        <v>2005</v>
      </c>
      <c r="B4368" s="2" t="s">
        <v>635</v>
      </c>
      <c r="C4368" s="2" t="s">
        <v>726</v>
      </c>
      <c r="D4368" s="2" t="s">
        <v>271</v>
      </c>
      <c r="E4368" s="70" t="s">
        <v>36</v>
      </c>
      <c r="F4368" s="29">
        <v>32</v>
      </c>
      <c r="G4368" s="29">
        <v>25</v>
      </c>
      <c r="H4368" s="33">
        <v>7</v>
      </c>
      <c r="M4368" s="2"/>
      <c r="N4368" s="2"/>
      <c r="O4368" s="2"/>
    </row>
    <row r="4369" spans="1:15" x14ac:dyDescent="0.4">
      <c r="A4369">
        <v>2005</v>
      </c>
      <c r="B4369" s="2" t="s">
        <v>636</v>
      </c>
      <c r="C4369" s="2" t="s">
        <v>726</v>
      </c>
      <c r="D4369" s="2" t="s">
        <v>271</v>
      </c>
      <c r="E4369" s="70" t="s">
        <v>273</v>
      </c>
      <c r="F4369" s="29">
        <v>73</v>
      </c>
      <c r="G4369" s="29">
        <v>43</v>
      </c>
      <c r="H4369" s="33">
        <v>30</v>
      </c>
      <c r="M4369" s="2"/>
      <c r="N4369" s="2"/>
      <c r="O4369" s="2"/>
    </row>
    <row r="4370" spans="1:15" x14ac:dyDescent="0.4">
      <c r="A4370">
        <v>2005</v>
      </c>
      <c r="B4370" s="2" t="s">
        <v>637</v>
      </c>
      <c r="C4370" s="2" t="s">
        <v>726</v>
      </c>
      <c r="D4370" s="2" t="s">
        <v>271</v>
      </c>
      <c r="E4370" s="70" t="s">
        <v>274</v>
      </c>
      <c r="F4370" s="29">
        <v>132</v>
      </c>
      <c r="G4370" s="29">
        <v>64</v>
      </c>
      <c r="H4370" s="33">
        <v>68</v>
      </c>
      <c r="M4370" s="2"/>
      <c r="N4370" s="2"/>
      <c r="O4370" s="2"/>
    </row>
    <row r="4371" spans="1:15" x14ac:dyDescent="0.4">
      <c r="A4371">
        <v>2005</v>
      </c>
      <c r="B4371" s="2" t="s">
        <v>638</v>
      </c>
      <c r="C4371" s="2" t="s">
        <v>726</v>
      </c>
      <c r="D4371" s="2" t="s">
        <v>271</v>
      </c>
      <c r="E4371" s="70" t="s">
        <v>275</v>
      </c>
      <c r="F4371" s="29">
        <v>32</v>
      </c>
      <c r="G4371" s="29">
        <v>21</v>
      </c>
      <c r="H4371" s="33">
        <v>11</v>
      </c>
      <c r="M4371" s="2"/>
      <c r="N4371" s="2"/>
      <c r="O4371" s="2"/>
    </row>
    <row r="4372" spans="1:15" x14ac:dyDescent="0.4">
      <c r="A4372">
        <v>2005</v>
      </c>
      <c r="B4372" s="2" t="s">
        <v>639</v>
      </c>
      <c r="C4372" s="2" t="s">
        <v>726</v>
      </c>
      <c r="D4372" s="2" t="s">
        <v>271</v>
      </c>
      <c r="E4372" s="70" t="s">
        <v>276</v>
      </c>
      <c r="F4372" s="29">
        <v>9</v>
      </c>
      <c r="G4372" s="29">
        <v>6</v>
      </c>
      <c r="H4372" s="33">
        <v>3</v>
      </c>
      <c r="M4372" s="2"/>
      <c r="N4372" s="2"/>
      <c r="O4372" s="2"/>
    </row>
    <row r="4373" spans="1:15" x14ac:dyDescent="0.4">
      <c r="A4373">
        <v>2005</v>
      </c>
      <c r="B4373" s="2" t="s">
        <v>640</v>
      </c>
      <c r="C4373" s="2" t="s">
        <v>726</v>
      </c>
      <c r="D4373" s="2" t="s">
        <v>271</v>
      </c>
      <c r="E4373" s="70" t="s">
        <v>277</v>
      </c>
      <c r="F4373" s="29">
        <v>22</v>
      </c>
      <c r="G4373" s="29">
        <v>10</v>
      </c>
      <c r="H4373" s="33">
        <v>12</v>
      </c>
      <c r="M4373" s="2"/>
      <c r="N4373" s="2"/>
      <c r="O4373" s="2"/>
    </row>
    <row r="4374" spans="1:15" x14ac:dyDescent="0.4">
      <c r="A4374">
        <v>2005</v>
      </c>
      <c r="B4374" s="2" t="s">
        <v>641</v>
      </c>
      <c r="C4374" s="2" t="s">
        <v>726</v>
      </c>
      <c r="D4374" s="2" t="s">
        <v>271</v>
      </c>
      <c r="E4374" s="70" t="s">
        <v>278</v>
      </c>
      <c r="F4374" s="29">
        <v>44</v>
      </c>
      <c r="G4374" s="29">
        <v>28</v>
      </c>
      <c r="H4374" s="33">
        <v>16</v>
      </c>
      <c r="M4374" s="2"/>
      <c r="N4374" s="2"/>
      <c r="O4374" s="2"/>
    </row>
    <row r="4375" spans="1:15" x14ac:dyDescent="0.4">
      <c r="A4375">
        <v>2005</v>
      </c>
      <c r="B4375" s="2" t="s">
        <v>642</v>
      </c>
      <c r="C4375" s="2" t="s">
        <v>726</v>
      </c>
      <c r="D4375" s="2" t="s">
        <v>271</v>
      </c>
      <c r="E4375" s="70" t="s">
        <v>85</v>
      </c>
      <c r="F4375" s="29">
        <v>70</v>
      </c>
      <c r="G4375" s="29">
        <v>37</v>
      </c>
      <c r="H4375" s="33">
        <v>33</v>
      </c>
      <c r="M4375" s="2"/>
      <c r="N4375" s="2"/>
      <c r="O4375" s="2"/>
    </row>
    <row r="4376" spans="1:15" x14ac:dyDescent="0.4">
      <c r="A4376">
        <v>2005</v>
      </c>
      <c r="B4376" s="2" t="s">
        <v>643</v>
      </c>
      <c r="C4376" s="2" t="s">
        <v>726</v>
      </c>
      <c r="D4376" s="2" t="s">
        <v>271</v>
      </c>
      <c r="E4376" s="70" t="s">
        <v>279</v>
      </c>
      <c r="F4376" s="29">
        <v>44</v>
      </c>
      <c r="G4376" s="29">
        <v>31</v>
      </c>
      <c r="H4376" s="33">
        <v>13</v>
      </c>
      <c r="M4376" s="2"/>
      <c r="N4376" s="2"/>
      <c r="O4376" s="2"/>
    </row>
    <row r="4377" spans="1:15" x14ac:dyDescent="0.4">
      <c r="A4377">
        <v>2005</v>
      </c>
      <c r="B4377" s="2" t="s">
        <v>644</v>
      </c>
      <c r="C4377" s="2" t="s">
        <v>726</v>
      </c>
      <c r="D4377" s="2" t="s">
        <v>271</v>
      </c>
      <c r="E4377" s="70" t="s">
        <v>280</v>
      </c>
      <c r="F4377" s="29">
        <v>41</v>
      </c>
      <c r="G4377" s="29">
        <v>29</v>
      </c>
      <c r="H4377" s="33">
        <v>12</v>
      </c>
      <c r="M4377" s="2"/>
      <c r="N4377" s="2"/>
      <c r="O4377" s="2"/>
    </row>
    <row r="4378" spans="1:15" x14ac:dyDescent="0.4">
      <c r="A4378">
        <v>2005</v>
      </c>
      <c r="B4378" s="2" t="s">
        <v>645</v>
      </c>
      <c r="C4378" s="2" t="s">
        <v>726</v>
      </c>
      <c r="D4378" s="2" t="s">
        <v>271</v>
      </c>
      <c r="E4378" s="70" t="s">
        <v>281</v>
      </c>
      <c r="F4378" s="29">
        <v>131</v>
      </c>
      <c r="G4378" s="29">
        <v>85</v>
      </c>
      <c r="H4378" s="33">
        <v>46</v>
      </c>
      <c r="M4378" s="2"/>
      <c r="N4378" s="2"/>
      <c r="O4378" s="2"/>
    </row>
    <row r="4379" spans="1:15" x14ac:dyDescent="0.4">
      <c r="A4379">
        <v>2005</v>
      </c>
      <c r="B4379" s="2" t="s">
        <v>646</v>
      </c>
      <c r="C4379" s="2" t="s">
        <v>726</v>
      </c>
      <c r="D4379" s="2" t="s">
        <v>271</v>
      </c>
      <c r="E4379" s="70" t="s">
        <v>282</v>
      </c>
      <c r="F4379" s="29">
        <v>40</v>
      </c>
      <c r="G4379" s="29">
        <v>27</v>
      </c>
      <c r="H4379" s="33">
        <v>13</v>
      </c>
      <c r="M4379" s="2"/>
      <c r="N4379" s="2"/>
      <c r="O4379" s="2"/>
    </row>
    <row r="4380" spans="1:15" x14ac:dyDescent="0.4">
      <c r="A4380">
        <v>2005</v>
      </c>
      <c r="B4380" s="2" t="s">
        <v>647</v>
      </c>
      <c r="C4380" s="2" t="s">
        <v>726</v>
      </c>
      <c r="D4380" s="2" t="s">
        <v>271</v>
      </c>
      <c r="E4380" s="70" t="s">
        <v>283</v>
      </c>
      <c r="F4380" s="29">
        <v>93</v>
      </c>
      <c r="G4380" s="29">
        <v>49</v>
      </c>
      <c r="H4380" s="33">
        <v>44</v>
      </c>
      <c r="M4380" s="2"/>
      <c r="N4380" s="2"/>
      <c r="O4380" s="2"/>
    </row>
    <row r="4381" spans="1:15" x14ac:dyDescent="0.4">
      <c r="A4381">
        <v>2005</v>
      </c>
      <c r="B4381" s="2" t="s">
        <v>648</v>
      </c>
      <c r="C4381" s="2" t="s">
        <v>726</v>
      </c>
      <c r="D4381" s="2" t="s">
        <v>271</v>
      </c>
      <c r="E4381" s="70" t="s">
        <v>284</v>
      </c>
      <c r="F4381" s="29">
        <v>125</v>
      </c>
      <c r="G4381" s="29">
        <v>67</v>
      </c>
      <c r="H4381" s="33">
        <v>58</v>
      </c>
      <c r="M4381" s="2"/>
      <c r="N4381" s="2"/>
      <c r="O4381" s="2"/>
    </row>
    <row r="4382" spans="1:15" x14ac:dyDescent="0.4">
      <c r="A4382">
        <v>2005</v>
      </c>
      <c r="B4382" s="2" t="s">
        <v>649</v>
      </c>
      <c r="C4382" s="2" t="s">
        <v>726</v>
      </c>
      <c r="D4382" s="2" t="s">
        <v>271</v>
      </c>
      <c r="E4382" s="70" t="s">
        <v>51</v>
      </c>
      <c r="F4382" s="29">
        <v>119</v>
      </c>
      <c r="G4382" s="29">
        <v>75</v>
      </c>
      <c r="H4382" s="33">
        <v>44</v>
      </c>
      <c r="M4382" s="2"/>
      <c r="N4382" s="2"/>
      <c r="O4382" s="2"/>
    </row>
    <row r="4383" spans="1:15" x14ac:dyDescent="0.4">
      <c r="A4383">
        <v>2005</v>
      </c>
      <c r="B4383" s="2" t="s">
        <v>650</v>
      </c>
      <c r="C4383" s="2" t="s">
        <v>726</v>
      </c>
      <c r="D4383" s="2" t="s">
        <v>271</v>
      </c>
      <c r="E4383" s="70" t="s">
        <v>285</v>
      </c>
      <c r="F4383" s="29">
        <v>378</v>
      </c>
      <c r="G4383" s="29">
        <v>210</v>
      </c>
      <c r="H4383" s="33">
        <v>168</v>
      </c>
      <c r="M4383" s="2"/>
      <c r="N4383" s="2"/>
      <c r="O4383" s="2"/>
    </row>
    <row r="4384" spans="1:15" x14ac:dyDescent="0.4">
      <c r="A4384">
        <v>2005</v>
      </c>
      <c r="B4384" s="2" t="s">
        <v>651</v>
      </c>
      <c r="C4384" s="2" t="s">
        <v>726</v>
      </c>
      <c r="D4384" s="2" t="s">
        <v>271</v>
      </c>
      <c r="E4384" s="70" t="s">
        <v>53</v>
      </c>
      <c r="F4384" s="29">
        <v>114</v>
      </c>
      <c r="G4384" s="29">
        <v>75</v>
      </c>
      <c r="H4384" s="33">
        <v>39</v>
      </c>
      <c r="M4384" s="2"/>
      <c r="N4384" s="2"/>
      <c r="O4384" s="2"/>
    </row>
    <row r="4385" spans="1:15" x14ac:dyDescent="0.4">
      <c r="A4385">
        <v>2005</v>
      </c>
      <c r="B4385" s="2" t="s">
        <v>652</v>
      </c>
      <c r="C4385" s="2" t="s">
        <v>726</v>
      </c>
      <c r="D4385" s="2" t="s">
        <v>271</v>
      </c>
      <c r="E4385" s="70" t="s">
        <v>286</v>
      </c>
      <c r="F4385" s="29">
        <v>1480</v>
      </c>
      <c r="G4385" s="29">
        <v>889</v>
      </c>
      <c r="H4385" s="33">
        <v>591</v>
      </c>
      <c r="M4385" s="2"/>
      <c r="N4385" s="2"/>
      <c r="O4385" s="2"/>
    </row>
    <row r="4386" spans="1:15" x14ac:dyDescent="0.4">
      <c r="A4386">
        <v>2005</v>
      </c>
      <c r="B4386" s="2" t="s">
        <v>653</v>
      </c>
      <c r="C4386" s="2" t="s">
        <v>727</v>
      </c>
      <c r="D4386" s="2" t="s">
        <v>288</v>
      </c>
      <c r="E4386" s="70" t="s">
        <v>287</v>
      </c>
      <c r="F4386" s="29">
        <v>104</v>
      </c>
      <c r="G4386" s="29">
        <v>68</v>
      </c>
      <c r="H4386" s="33">
        <v>36</v>
      </c>
      <c r="M4386" s="2"/>
      <c r="N4386" s="2"/>
      <c r="O4386" s="2"/>
    </row>
    <row r="4387" spans="1:15" x14ac:dyDescent="0.4">
      <c r="A4387">
        <v>2005</v>
      </c>
      <c r="B4387" s="2" t="s">
        <v>654</v>
      </c>
      <c r="C4387" s="2" t="s">
        <v>727</v>
      </c>
      <c r="D4387" s="2" t="s">
        <v>288</v>
      </c>
      <c r="E4387" s="70" t="s">
        <v>289</v>
      </c>
      <c r="F4387" s="29">
        <v>86</v>
      </c>
      <c r="G4387" s="29">
        <v>64</v>
      </c>
      <c r="H4387" s="33">
        <v>22</v>
      </c>
      <c r="M4387" s="2"/>
      <c r="N4387" s="2"/>
      <c r="O4387" s="2"/>
    </row>
    <row r="4388" spans="1:15" x14ac:dyDescent="0.4">
      <c r="A4388">
        <v>2005</v>
      </c>
      <c r="B4388" s="2" t="s">
        <v>655</v>
      </c>
      <c r="C4388" s="2" t="s">
        <v>727</v>
      </c>
      <c r="D4388" s="2" t="s">
        <v>288</v>
      </c>
      <c r="E4388" s="70" t="s">
        <v>290</v>
      </c>
      <c r="F4388" s="29">
        <v>185</v>
      </c>
      <c r="G4388" s="29">
        <v>120</v>
      </c>
      <c r="H4388" s="33">
        <v>65</v>
      </c>
      <c r="M4388" s="2"/>
      <c r="N4388" s="2"/>
      <c r="O4388" s="2"/>
    </row>
    <row r="4389" spans="1:15" x14ac:dyDescent="0.4">
      <c r="A4389">
        <v>2005</v>
      </c>
      <c r="B4389" s="2" t="s">
        <v>656</v>
      </c>
      <c r="C4389" s="2" t="s">
        <v>727</v>
      </c>
      <c r="D4389" s="2" t="s">
        <v>288</v>
      </c>
      <c r="E4389" s="70" t="s">
        <v>291</v>
      </c>
      <c r="F4389" s="29">
        <v>20</v>
      </c>
      <c r="G4389" s="29">
        <v>13</v>
      </c>
      <c r="H4389" s="33">
        <v>7</v>
      </c>
      <c r="M4389" s="2"/>
      <c r="N4389" s="2"/>
      <c r="O4389" s="2"/>
    </row>
    <row r="4390" spans="1:15" x14ac:dyDescent="0.4">
      <c r="A4390">
        <v>2005</v>
      </c>
      <c r="B4390" s="2" t="s">
        <v>657</v>
      </c>
      <c r="C4390" s="2" t="s">
        <v>727</v>
      </c>
      <c r="D4390" s="2" t="s">
        <v>288</v>
      </c>
      <c r="E4390" s="70" t="s">
        <v>292</v>
      </c>
      <c r="F4390" s="29">
        <v>194</v>
      </c>
      <c r="G4390" s="29">
        <v>139</v>
      </c>
      <c r="H4390" s="33">
        <v>55</v>
      </c>
      <c r="M4390" s="2"/>
      <c r="N4390" s="2"/>
      <c r="O4390" s="2"/>
    </row>
    <row r="4391" spans="1:15" x14ac:dyDescent="0.4">
      <c r="A4391">
        <v>2005</v>
      </c>
      <c r="B4391" s="2" t="s">
        <v>658</v>
      </c>
      <c r="C4391" s="2" t="s">
        <v>727</v>
      </c>
      <c r="D4391" s="2" t="s">
        <v>288</v>
      </c>
      <c r="E4391" s="70" t="s">
        <v>293</v>
      </c>
      <c r="F4391" s="29">
        <v>5</v>
      </c>
      <c r="G4391" s="29">
        <v>3</v>
      </c>
      <c r="H4391" s="33">
        <v>2</v>
      </c>
      <c r="M4391" s="2"/>
      <c r="N4391" s="2"/>
      <c r="O4391" s="2"/>
    </row>
    <row r="4392" spans="1:15" x14ac:dyDescent="0.4">
      <c r="A4392">
        <v>2005</v>
      </c>
      <c r="B4392" s="2" t="s">
        <v>659</v>
      </c>
      <c r="C4392" s="2" t="s">
        <v>727</v>
      </c>
      <c r="D4392" s="2" t="s">
        <v>288</v>
      </c>
      <c r="E4392" s="70" t="s">
        <v>294</v>
      </c>
      <c r="F4392" s="29">
        <v>310</v>
      </c>
      <c r="G4392" s="29">
        <v>192</v>
      </c>
      <c r="H4392" s="33">
        <v>118</v>
      </c>
      <c r="M4392" s="2"/>
      <c r="N4392" s="2"/>
      <c r="O4392" s="2"/>
    </row>
    <row r="4393" spans="1:15" x14ac:dyDescent="0.4">
      <c r="A4393">
        <v>2005</v>
      </c>
      <c r="B4393" s="2" t="s">
        <v>660</v>
      </c>
      <c r="C4393" s="2" t="s">
        <v>727</v>
      </c>
      <c r="D4393" s="2" t="s">
        <v>288</v>
      </c>
      <c r="E4393" s="70" t="s">
        <v>295</v>
      </c>
      <c r="F4393" s="29">
        <v>99</v>
      </c>
      <c r="G4393" s="29">
        <v>62</v>
      </c>
      <c r="H4393" s="33">
        <v>37</v>
      </c>
      <c r="M4393" s="2"/>
      <c r="N4393" s="2"/>
      <c r="O4393" s="2"/>
    </row>
    <row r="4394" spans="1:15" x14ac:dyDescent="0.4">
      <c r="A4394">
        <v>2005</v>
      </c>
      <c r="B4394" s="2" t="s">
        <v>661</v>
      </c>
      <c r="C4394" s="2" t="s">
        <v>727</v>
      </c>
      <c r="D4394" s="2" t="s">
        <v>288</v>
      </c>
      <c r="E4394" s="70" t="s">
        <v>296</v>
      </c>
      <c r="F4394" s="29">
        <v>414</v>
      </c>
      <c r="G4394" s="29">
        <v>260</v>
      </c>
      <c r="H4394" s="33">
        <v>154</v>
      </c>
      <c r="M4394" s="2"/>
      <c r="N4394" s="2"/>
      <c r="O4394" s="2"/>
    </row>
    <row r="4395" spans="1:15" x14ac:dyDescent="0.4">
      <c r="A4395">
        <v>2005</v>
      </c>
      <c r="B4395" s="2" t="s">
        <v>662</v>
      </c>
      <c r="C4395" s="2" t="s">
        <v>727</v>
      </c>
      <c r="D4395" s="2" t="s">
        <v>288</v>
      </c>
      <c r="E4395" s="70" t="s">
        <v>297</v>
      </c>
      <c r="F4395" s="29">
        <v>45</v>
      </c>
      <c r="G4395" s="29">
        <v>37</v>
      </c>
      <c r="H4395" s="33">
        <v>8</v>
      </c>
      <c r="M4395" s="2"/>
      <c r="N4395" s="2"/>
      <c r="O4395" s="2"/>
    </row>
    <row r="4396" spans="1:15" x14ac:dyDescent="0.4">
      <c r="A4396">
        <v>2005</v>
      </c>
      <c r="B4396" s="2" t="s">
        <v>663</v>
      </c>
      <c r="C4396" s="2" t="s">
        <v>727</v>
      </c>
      <c r="D4396" s="2" t="s">
        <v>288</v>
      </c>
      <c r="E4396" s="70" t="s">
        <v>298</v>
      </c>
      <c r="F4396" s="29">
        <v>130</v>
      </c>
      <c r="G4396" s="29">
        <v>88</v>
      </c>
      <c r="H4396" s="33">
        <v>42</v>
      </c>
      <c r="M4396" s="2"/>
      <c r="N4396" s="2"/>
      <c r="O4396" s="2"/>
    </row>
    <row r="4397" spans="1:15" x14ac:dyDescent="0.4">
      <c r="A4397">
        <v>2005</v>
      </c>
      <c r="B4397" s="2" t="s">
        <v>664</v>
      </c>
      <c r="C4397" s="2" t="s">
        <v>728</v>
      </c>
      <c r="D4397" s="2" t="s">
        <v>300</v>
      </c>
      <c r="E4397" s="70" t="s">
        <v>299</v>
      </c>
      <c r="F4397" s="29">
        <v>40</v>
      </c>
      <c r="G4397" s="29">
        <v>21</v>
      </c>
      <c r="H4397" s="33">
        <v>19</v>
      </c>
      <c r="M4397" s="2"/>
      <c r="N4397" s="2"/>
      <c r="O4397" s="2"/>
    </row>
    <row r="4398" spans="1:15" x14ac:dyDescent="0.4">
      <c r="A4398">
        <v>2005</v>
      </c>
      <c r="B4398" s="2" t="s">
        <v>665</v>
      </c>
      <c r="C4398" s="2" t="s">
        <v>728</v>
      </c>
      <c r="D4398" s="2" t="s">
        <v>300</v>
      </c>
      <c r="E4398" s="70" t="s">
        <v>36</v>
      </c>
      <c r="F4398" s="29">
        <v>59</v>
      </c>
      <c r="G4398" s="29">
        <v>33</v>
      </c>
      <c r="H4398" s="33">
        <v>26</v>
      </c>
      <c r="M4398" s="2"/>
      <c r="N4398" s="2"/>
      <c r="O4398" s="2"/>
    </row>
    <row r="4399" spans="1:15" x14ac:dyDescent="0.4">
      <c r="A4399">
        <v>2005</v>
      </c>
      <c r="B4399" s="2" t="s">
        <v>666</v>
      </c>
      <c r="C4399" s="2" t="s">
        <v>728</v>
      </c>
      <c r="D4399" s="2" t="s">
        <v>300</v>
      </c>
      <c r="E4399" s="70" t="s">
        <v>301</v>
      </c>
      <c r="F4399" s="29">
        <v>167</v>
      </c>
      <c r="G4399" s="29">
        <v>103</v>
      </c>
      <c r="H4399" s="33">
        <v>64</v>
      </c>
      <c r="M4399" s="2"/>
      <c r="N4399" s="2"/>
      <c r="O4399" s="2"/>
    </row>
    <row r="4400" spans="1:15" x14ac:dyDescent="0.4">
      <c r="A4400">
        <v>2005</v>
      </c>
      <c r="B4400" s="2" t="s">
        <v>667</v>
      </c>
      <c r="C4400" s="2" t="s">
        <v>728</v>
      </c>
      <c r="D4400" s="2" t="s">
        <v>300</v>
      </c>
      <c r="E4400" s="70" t="s">
        <v>302</v>
      </c>
      <c r="F4400" s="29">
        <v>80</v>
      </c>
      <c r="G4400" s="29">
        <v>56</v>
      </c>
      <c r="H4400" s="33">
        <v>24</v>
      </c>
      <c r="M4400" s="2"/>
      <c r="N4400" s="2"/>
      <c r="O4400" s="2"/>
    </row>
    <row r="4401" spans="1:15" x14ac:dyDescent="0.4">
      <c r="A4401">
        <v>2005</v>
      </c>
      <c r="B4401" s="2" t="s">
        <v>668</v>
      </c>
      <c r="C4401" s="2" t="s">
        <v>728</v>
      </c>
      <c r="D4401" s="2" t="s">
        <v>300</v>
      </c>
      <c r="E4401" s="70" t="s">
        <v>14</v>
      </c>
      <c r="F4401" s="29">
        <v>74</v>
      </c>
      <c r="G4401" s="29">
        <v>47</v>
      </c>
      <c r="H4401" s="33">
        <v>27</v>
      </c>
      <c r="M4401" s="2"/>
      <c r="N4401" s="2"/>
      <c r="O4401" s="2"/>
    </row>
    <row r="4402" spans="1:15" x14ac:dyDescent="0.4">
      <c r="A4402">
        <v>2005</v>
      </c>
      <c r="B4402" s="2" t="s">
        <v>669</v>
      </c>
      <c r="C4402" s="2" t="s">
        <v>728</v>
      </c>
      <c r="D4402" s="2" t="s">
        <v>300</v>
      </c>
      <c r="E4402" s="70" t="s">
        <v>303</v>
      </c>
      <c r="F4402" s="29">
        <v>36</v>
      </c>
      <c r="G4402" s="29">
        <v>28</v>
      </c>
      <c r="H4402" s="33">
        <v>8</v>
      </c>
      <c r="M4402" s="2"/>
      <c r="N4402" s="2"/>
      <c r="O4402" s="2"/>
    </row>
    <row r="4403" spans="1:15" x14ac:dyDescent="0.4">
      <c r="A4403">
        <v>2005</v>
      </c>
      <c r="B4403" s="2" t="s">
        <v>670</v>
      </c>
      <c r="C4403" s="2" t="s">
        <v>728</v>
      </c>
      <c r="D4403" s="2" t="s">
        <v>300</v>
      </c>
      <c r="E4403" s="70" t="s">
        <v>304</v>
      </c>
      <c r="F4403" s="29">
        <v>25</v>
      </c>
      <c r="G4403" s="29">
        <v>14</v>
      </c>
      <c r="H4403" s="33">
        <v>11</v>
      </c>
      <c r="M4403" s="2"/>
      <c r="N4403" s="2"/>
      <c r="O4403" s="2"/>
    </row>
    <row r="4404" spans="1:15" x14ac:dyDescent="0.4">
      <c r="A4404">
        <v>2005</v>
      </c>
      <c r="B4404" s="2" t="s">
        <v>671</v>
      </c>
      <c r="C4404" s="2" t="s">
        <v>728</v>
      </c>
      <c r="D4404" s="2" t="s">
        <v>300</v>
      </c>
      <c r="E4404" s="70" t="s">
        <v>305</v>
      </c>
      <c r="F4404" s="29">
        <v>26</v>
      </c>
      <c r="G4404" s="29">
        <v>15</v>
      </c>
      <c r="H4404" s="33">
        <v>11</v>
      </c>
      <c r="M4404" s="2"/>
      <c r="N4404" s="2"/>
      <c r="O4404" s="2"/>
    </row>
    <row r="4405" spans="1:15" x14ac:dyDescent="0.4">
      <c r="A4405">
        <v>2005</v>
      </c>
      <c r="B4405" s="2" t="s">
        <v>672</v>
      </c>
      <c r="C4405" s="2" t="s">
        <v>728</v>
      </c>
      <c r="D4405" s="2" t="s">
        <v>300</v>
      </c>
      <c r="E4405" s="70" t="s">
        <v>306</v>
      </c>
      <c r="F4405" s="29">
        <v>204</v>
      </c>
      <c r="G4405" s="29">
        <v>134</v>
      </c>
      <c r="H4405" s="33">
        <v>70</v>
      </c>
      <c r="M4405" s="2"/>
      <c r="N4405" s="2"/>
      <c r="O4405" s="2"/>
    </row>
    <row r="4406" spans="1:15" x14ac:dyDescent="0.4">
      <c r="A4406">
        <v>2005</v>
      </c>
      <c r="B4406" s="2" t="s">
        <v>673</v>
      </c>
      <c r="C4406" s="2" t="s">
        <v>728</v>
      </c>
      <c r="D4406" s="14" t="s">
        <v>300</v>
      </c>
      <c r="E4406" s="69" t="s">
        <v>307</v>
      </c>
      <c r="F4406" s="11">
        <v>232</v>
      </c>
      <c r="G4406" s="11">
        <v>143</v>
      </c>
      <c r="H4406" s="12">
        <v>89</v>
      </c>
      <c r="M4406" s="2"/>
      <c r="N4406" s="2"/>
      <c r="O4406" s="2"/>
    </row>
    <row r="4407" spans="1:15" x14ac:dyDescent="0.4">
      <c r="A4407">
        <v>2005</v>
      </c>
      <c r="B4407" s="2" t="s">
        <v>674</v>
      </c>
      <c r="C4407" s="2" t="s">
        <v>728</v>
      </c>
      <c r="D4407" s="2" t="s">
        <v>300</v>
      </c>
      <c r="E4407" s="70" t="s">
        <v>308</v>
      </c>
      <c r="F4407" s="29">
        <v>1114</v>
      </c>
      <c r="G4407" s="29">
        <v>645</v>
      </c>
      <c r="H4407" s="33">
        <v>469</v>
      </c>
      <c r="M4407" s="2"/>
      <c r="N4407" s="2"/>
      <c r="O4407" s="2"/>
    </row>
    <row r="4408" spans="1:15" x14ac:dyDescent="0.4">
      <c r="A4408">
        <v>2005</v>
      </c>
      <c r="B4408" s="2" t="s">
        <v>675</v>
      </c>
      <c r="C4408" s="2" t="s">
        <v>728</v>
      </c>
      <c r="D4408" s="2" t="s">
        <v>300</v>
      </c>
      <c r="E4408" s="70" t="s">
        <v>51</v>
      </c>
      <c r="F4408" s="29">
        <v>34</v>
      </c>
      <c r="G4408" s="29">
        <v>20</v>
      </c>
      <c r="H4408" s="33">
        <v>14</v>
      </c>
      <c r="M4408" s="2"/>
      <c r="N4408" s="2"/>
      <c r="O4408" s="2"/>
    </row>
    <row r="4409" spans="1:15" x14ac:dyDescent="0.4">
      <c r="A4409">
        <v>2005</v>
      </c>
      <c r="B4409" s="2" t="s">
        <v>676</v>
      </c>
      <c r="C4409" s="2" t="s">
        <v>728</v>
      </c>
      <c r="D4409" s="2" t="s">
        <v>300</v>
      </c>
      <c r="E4409" s="70" t="s">
        <v>309</v>
      </c>
      <c r="F4409" s="29">
        <v>54</v>
      </c>
      <c r="G4409" s="29">
        <v>30</v>
      </c>
      <c r="H4409" s="33">
        <v>24</v>
      </c>
      <c r="M4409" s="2"/>
      <c r="N4409" s="2"/>
      <c r="O4409" s="2"/>
    </row>
    <row r="4410" spans="1:15" x14ac:dyDescent="0.4">
      <c r="A4410">
        <v>2005</v>
      </c>
      <c r="B4410" s="2" t="s">
        <v>677</v>
      </c>
      <c r="C4410" s="2" t="s">
        <v>728</v>
      </c>
      <c r="D4410" s="2" t="s">
        <v>300</v>
      </c>
      <c r="E4410" s="70" t="s">
        <v>310</v>
      </c>
      <c r="F4410" s="29">
        <v>41</v>
      </c>
      <c r="G4410" s="29">
        <v>30</v>
      </c>
      <c r="H4410" s="33">
        <v>11</v>
      </c>
      <c r="M4410" s="2"/>
      <c r="N4410" s="2"/>
      <c r="O4410" s="2"/>
    </row>
    <row r="4411" spans="1:15" x14ac:dyDescent="0.4">
      <c r="A4411">
        <v>2005</v>
      </c>
      <c r="B4411" s="2" t="s">
        <v>678</v>
      </c>
      <c r="C4411" s="2" t="s">
        <v>729</v>
      </c>
      <c r="D4411" s="2" t="s">
        <v>312</v>
      </c>
      <c r="E4411" s="70" t="s">
        <v>311</v>
      </c>
      <c r="F4411" s="29">
        <v>27</v>
      </c>
      <c r="G4411" s="29">
        <v>10</v>
      </c>
      <c r="H4411" s="33">
        <v>17</v>
      </c>
      <c r="M4411" s="2"/>
      <c r="N4411" s="2"/>
    </row>
    <row r="4412" spans="1:15" x14ac:dyDescent="0.4">
      <c r="A4412">
        <v>2005</v>
      </c>
      <c r="B4412" s="2" t="s">
        <v>679</v>
      </c>
      <c r="C4412" s="2" t="s">
        <v>729</v>
      </c>
      <c r="D4412" s="2" t="s">
        <v>312</v>
      </c>
      <c r="E4412" s="70" t="s">
        <v>313</v>
      </c>
      <c r="F4412" s="29">
        <v>256</v>
      </c>
      <c r="G4412" s="29">
        <v>168</v>
      </c>
      <c r="H4412" s="33">
        <v>88</v>
      </c>
      <c r="M4412" s="2"/>
      <c r="N4412" s="2"/>
    </row>
    <row r="4413" spans="1:15" x14ac:dyDescent="0.4">
      <c r="A4413">
        <v>2005</v>
      </c>
      <c r="B4413" s="2" t="s">
        <v>680</v>
      </c>
      <c r="C4413" s="2" t="s">
        <v>729</v>
      </c>
      <c r="D4413" s="2" t="s">
        <v>312</v>
      </c>
      <c r="E4413" s="70" t="s">
        <v>314</v>
      </c>
      <c r="F4413" s="29">
        <v>1027</v>
      </c>
      <c r="G4413" s="29">
        <v>598</v>
      </c>
      <c r="H4413" s="33">
        <v>429</v>
      </c>
      <c r="M4413" s="2"/>
      <c r="N4413" s="2"/>
    </row>
    <row r="4414" spans="1:15" x14ac:dyDescent="0.4">
      <c r="A4414">
        <v>2005</v>
      </c>
      <c r="B4414" s="2" t="s">
        <v>681</v>
      </c>
      <c r="C4414" s="2" t="s">
        <v>729</v>
      </c>
      <c r="D4414" s="2" t="s">
        <v>312</v>
      </c>
      <c r="E4414" s="70" t="s">
        <v>315</v>
      </c>
      <c r="F4414" s="29">
        <v>91</v>
      </c>
      <c r="G4414" s="29">
        <v>68</v>
      </c>
      <c r="H4414" s="33">
        <v>23</v>
      </c>
      <c r="M4414" s="2"/>
      <c r="N4414" s="2"/>
    </row>
    <row r="4415" spans="1:15" x14ac:dyDescent="0.4">
      <c r="A4415">
        <v>2005</v>
      </c>
      <c r="B4415" s="2" t="s">
        <v>682</v>
      </c>
      <c r="C4415" s="2" t="s">
        <v>729</v>
      </c>
      <c r="D4415" s="2" t="s">
        <v>312</v>
      </c>
      <c r="E4415" s="70" t="s">
        <v>316</v>
      </c>
      <c r="F4415" s="29">
        <v>483</v>
      </c>
      <c r="G4415" s="29">
        <v>312</v>
      </c>
      <c r="H4415" s="33">
        <v>171</v>
      </c>
      <c r="M4415" s="2"/>
    </row>
    <row r="4416" spans="1:15" x14ac:dyDescent="0.4">
      <c r="A4416">
        <v>2005</v>
      </c>
      <c r="B4416" s="2" t="s">
        <v>683</v>
      </c>
      <c r="C4416" s="2" t="s">
        <v>729</v>
      </c>
      <c r="D4416" s="2" t="s">
        <v>312</v>
      </c>
      <c r="E4416" s="70" t="s">
        <v>317</v>
      </c>
      <c r="F4416" s="29">
        <v>69</v>
      </c>
      <c r="G4416" s="29">
        <v>53</v>
      </c>
      <c r="H4416" s="33">
        <v>16</v>
      </c>
      <c r="M4416" s="2"/>
    </row>
    <row r="4417" spans="1:8" x14ac:dyDescent="0.4">
      <c r="A4417">
        <v>2005</v>
      </c>
      <c r="B4417" s="2" t="s">
        <v>684</v>
      </c>
      <c r="C4417" s="2" t="s">
        <v>729</v>
      </c>
      <c r="D4417" s="2" t="s">
        <v>312</v>
      </c>
      <c r="E4417" s="70" t="s">
        <v>318</v>
      </c>
      <c r="F4417" s="29">
        <v>357</v>
      </c>
      <c r="G4417" s="29">
        <v>230</v>
      </c>
      <c r="H4417" s="33">
        <v>127</v>
      </c>
    </row>
    <row r="4418" spans="1:8" x14ac:dyDescent="0.4">
      <c r="A4418">
        <v>2005</v>
      </c>
      <c r="B4418" s="2" t="s">
        <v>685</v>
      </c>
      <c r="C4418" s="2" t="s">
        <v>729</v>
      </c>
      <c r="D4418" s="2" t="s">
        <v>312</v>
      </c>
      <c r="E4418" s="70" t="s">
        <v>319</v>
      </c>
      <c r="F4418" s="29">
        <v>103</v>
      </c>
      <c r="G4418" s="29">
        <v>66</v>
      </c>
      <c r="H4418" s="33">
        <v>37</v>
      </c>
    </row>
    <row r="4419" spans="1:8" x14ac:dyDescent="0.4">
      <c r="A4419">
        <v>2005</v>
      </c>
      <c r="B4419" s="2" t="s">
        <v>686</v>
      </c>
      <c r="C4419" s="2" t="s">
        <v>729</v>
      </c>
      <c r="D4419" s="2" t="s">
        <v>312</v>
      </c>
      <c r="E4419" s="70" t="s">
        <v>320</v>
      </c>
      <c r="F4419" s="29">
        <v>598</v>
      </c>
      <c r="G4419" s="29">
        <v>348</v>
      </c>
      <c r="H4419" s="33">
        <v>250</v>
      </c>
    </row>
    <row r="4420" spans="1:8" x14ac:dyDescent="0.4">
      <c r="A4420">
        <v>2005</v>
      </c>
      <c r="B4420" s="2" t="s">
        <v>687</v>
      </c>
      <c r="C4420" s="2" t="s">
        <v>729</v>
      </c>
      <c r="D4420" s="2" t="s">
        <v>312</v>
      </c>
      <c r="E4420" s="70" t="s">
        <v>321</v>
      </c>
      <c r="F4420" s="29">
        <v>1047</v>
      </c>
      <c r="G4420" s="29">
        <v>620</v>
      </c>
      <c r="H4420" s="33">
        <v>427</v>
      </c>
    </row>
    <row r="4421" spans="1:8" x14ac:dyDescent="0.4">
      <c r="A4421">
        <v>2005</v>
      </c>
      <c r="B4421" s="2" t="s">
        <v>688</v>
      </c>
      <c r="C4421" s="2" t="s">
        <v>729</v>
      </c>
      <c r="D4421" s="2" t="s">
        <v>312</v>
      </c>
      <c r="E4421" s="70" t="s">
        <v>322</v>
      </c>
      <c r="F4421" s="29">
        <v>386</v>
      </c>
      <c r="G4421" s="29">
        <v>249</v>
      </c>
      <c r="H4421" s="33">
        <v>137</v>
      </c>
    </row>
    <row r="4422" spans="1:8" x14ac:dyDescent="0.4">
      <c r="A4422">
        <v>2005</v>
      </c>
      <c r="B4422" s="2" t="s">
        <v>689</v>
      </c>
      <c r="C4422" s="2" t="s">
        <v>729</v>
      </c>
      <c r="D4422" s="2" t="s">
        <v>312</v>
      </c>
      <c r="E4422" s="70" t="s">
        <v>323</v>
      </c>
      <c r="F4422" s="29">
        <v>648</v>
      </c>
      <c r="G4422" s="29">
        <v>388</v>
      </c>
      <c r="H4422" s="33">
        <v>260</v>
      </c>
    </row>
    <row r="4423" spans="1:8" x14ac:dyDescent="0.4">
      <c r="A4423">
        <v>2005</v>
      </c>
      <c r="B4423" s="2" t="s">
        <v>690</v>
      </c>
      <c r="C4423" s="2" t="s">
        <v>729</v>
      </c>
      <c r="D4423" s="2" t="s">
        <v>312</v>
      </c>
      <c r="E4423" s="70" t="s">
        <v>324</v>
      </c>
      <c r="F4423" s="29">
        <v>8224</v>
      </c>
      <c r="G4423" s="29">
        <v>4746</v>
      </c>
      <c r="H4423" s="33">
        <v>3478</v>
      </c>
    </row>
    <row r="4424" spans="1:8" x14ac:dyDescent="0.4">
      <c r="A4424">
        <v>2005</v>
      </c>
      <c r="B4424" s="2" t="s">
        <v>691</v>
      </c>
      <c r="C4424" s="2" t="s">
        <v>729</v>
      </c>
      <c r="D4424" s="2" t="s">
        <v>312</v>
      </c>
      <c r="E4424" s="70" t="s">
        <v>85</v>
      </c>
      <c r="F4424" s="29">
        <v>230</v>
      </c>
      <c r="G4424" s="29">
        <v>128</v>
      </c>
      <c r="H4424" s="33">
        <v>102</v>
      </c>
    </row>
    <row r="4425" spans="1:8" x14ac:dyDescent="0.4">
      <c r="A4425">
        <v>2005</v>
      </c>
      <c r="B4425" s="2" t="s">
        <v>692</v>
      </c>
      <c r="C4425" s="2" t="s">
        <v>729</v>
      </c>
      <c r="D4425" s="2" t="s">
        <v>312</v>
      </c>
      <c r="E4425" s="70" t="s">
        <v>32</v>
      </c>
      <c r="F4425" s="29">
        <v>192</v>
      </c>
      <c r="G4425" s="29">
        <v>121</v>
      </c>
      <c r="H4425" s="33">
        <v>71</v>
      </c>
    </row>
    <row r="4426" spans="1:8" x14ac:dyDescent="0.4">
      <c r="A4426">
        <v>2005</v>
      </c>
      <c r="B4426" s="2" t="s">
        <v>693</v>
      </c>
      <c r="C4426" s="2" t="s">
        <v>729</v>
      </c>
      <c r="D4426" s="2" t="s">
        <v>312</v>
      </c>
      <c r="E4426" s="70" t="s">
        <v>325</v>
      </c>
      <c r="F4426" s="29">
        <v>265</v>
      </c>
      <c r="G4426" s="29">
        <v>172</v>
      </c>
      <c r="H4426" s="33">
        <v>93</v>
      </c>
    </row>
    <row r="4427" spans="1:8" x14ac:dyDescent="0.4">
      <c r="A4427">
        <v>2005</v>
      </c>
      <c r="B4427" s="2" t="s">
        <v>694</v>
      </c>
      <c r="C4427" s="2" t="s">
        <v>729</v>
      </c>
      <c r="D4427" s="2" t="s">
        <v>312</v>
      </c>
      <c r="E4427" s="70" t="s">
        <v>144</v>
      </c>
      <c r="F4427" s="29">
        <v>1210</v>
      </c>
      <c r="G4427" s="29">
        <v>680</v>
      </c>
      <c r="H4427" s="33">
        <v>530</v>
      </c>
    </row>
    <row r="4428" spans="1:8" x14ac:dyDescent="0.4">
      <c r="A4428">
        <v>2005</v>
      </c>
      <c r="B4428" s="2" t="s">
        <v>695</v>
      </c>
      <c r="C4428" s="2" t="s">
        <v>729</v>
      </c>
      <c r="D4428" s="2" t="s">
        <v>312</v>
      </c>
      <c r="E4428" s="70" t="s">
        <v>326</v>
      </c>
      <c r="F4428" s="29">
        <v>138</v>
      </c>
      <c r="G4428" s="29">
        <v>92</v>
      </c>
      <c r="H4428" s="33">
        <v>46</v>
      </c>
    </row>
    <row r="4429" spans="1:8" x14ac:dyDescent="0.4">
      <c r="A4429">
        <v>2005</v>
      </c>
      <c r="B4429" s="2" t="s">
        <v>696</v>
      </c>
      <c r="C4429" s="2" t="s">
        <v>729</v>
      </c>
      <c r="D4429" s="2" t="s">
        <v>312</v>
      </c>
      <c r="E4429" s="70" t="s">
        <v>25</v>
      </c>
      <c r="F4429" s="29">
        <v>85</v>
      </c>
      <c r="G4429" s="29">
        <v>57</v>
      </c>
      <c r="H4429" s="33">
        <v>28</v>
      </c>
    </row>
    <row r="4430" spans="1:8" x14ac:dyDescent="0.4">
      <c r="A4430">
        <v>2005</v>
      </c>
      <c r="B4430" s="2" t="s">
        <v>697</v>
      </c>
      <c r="C4430" s="2" t="s">
        <v>729</v>
      </c>
      <c r="D4430" s="2" t="s">
        <v>312</v>
      </c>
      <c r="E4430" s="70" t="s">
        <v>51</v>
      </c>
      <c r="F4430" s="29">
        <v>217</v>
      </c>
      <c r="G4430" s="29">
        <v>137</v>
      </c>
      <c r="H4430" s="33">
        <v>80</v>
      </c>
    </row>
    <row r="4431" spans="1:8" x14ac:dyDescent="0.4">
      <c r="A4431">
        <v>2005</v>
      </c>
      <c r="B4431" s="2" t="s">
        <v>698</v>
      </c>
      <c r="C4431" s="2" t="s">
        <v>729</v>
      </c>
      <c r="D4431" s="2" t="s">
        <v>312</v>
      </c>
      <c r="E4431" s="70" t="s">
        <v>327</v>
      </c>
      <c r="F4431" s="29">
        <v>125</v>
      </c>
      <c r="G4431" s="29">
        <v>88</v>
      </c>
      <c r="H4431" s="33">
        <v>37</v>
      </c>
    </row>
    <row r="4432" spans="1:8" x14ac:dyDescent="0.4">
      <c r="A4432">
        <v>2005</v>
      </c>
      <c r="B4432" s="2" t="s">
        <v>733</v>
      </c>
      <c r="C4432" s="2" t="s">
        <v>715</v>
      </c>
      <c r="D4432" s="2" t="s">
        <v>734</v>
      </c>
      <c r="E4432" s="70" t="s">
        <v>735</v>
      </c>
      <c r="F4432" s="29">
        <v>0</v>
      </c>
      <c r="G4432" s="29">
        <v>0</v>
      </c>
      <c r="H4432" s="33">
        <v>0</v>
      </c>
    </row>
    <row r="4433" spans="1:8" x14ac:dyDescent="0.4">
      <c r="A4433">
        <v>2004</v>
      </c>
      <c r="B4433" s="5" t="str">
        <f>+C4433&amp;"-"&amp;E4433</f>
        <v>VA-Municipio Autónomo Vargas</v>
      </c>
      <c r="C4433" s="5" t="str">
        <f>+MID(D4433,1,2)</f>
        <v>VA</v>
      </c>
      <c r="D4433" s="25" t="s">
        <v>288</v>
      </c>
      <c r="E4433" s="64" t="s">
        <v>757</v>
      </c>
      <c r="F4433" s="2">
        <v>0</v>
      </c>
      <c r="G4433" s="2">
        <v>0</v>
      </c>
      <c r="H4433" s="2">
        <v>0</v>
      </c>
    </row>
    <row r="4434" spans="1:8" x14ac:dyDescent="0.4">
      <c r="A4434">
        <v>2004</v>
      </c>
      <c r="B4434" s="5" t="str">
        <f>+C4434&amp;"-"&amp;E4434</f>
        <v>DI-Municipio Autónomo Libertador</v>
      </c>
      <c r="C4434" s="5" t="str">
        <f>+MID(D4434,1,2)</f>
        <v>DI</v>
      </c>
      <c r="D4434" s="25" t="s">
        <v>106</v>
      </c>
      <c r="E4434" s="64" t="s">
        <v>756</v>
      </c>
      <c r="F4434" s="2">
        <v>0</v>
      </c>
      <c r="G4434" s="2">
        <v>0</v>
      </c>
      <c r="H4434" s="2">
        <v>0</v>
      </c>
    </row>
    <row r="4435" spans="1:8" x14ac:dyDescent="0.4">
      <c r="A4435">
        <v>2004</v>
      </c>
      <c r="B4435" s="2" t="s">
        <v>335</v>
      </c>
      <c r="C4435" s="2" t="s">
        <v>706</v>
      </c>
      <c r="D4435" s="2" t="s">
        <v>106</v>
      </c>
      <c r="E4435" s="70" t="s">
        <v>105</v>
      </c>
      <c r="F4435" s="29">
        <v>103</v>
      </c>
      <c r="G4435" s="29">
        <v>63</v>
      </c>
      <c r="H4435" s="33">
        <v>40</v>
      </c>
    </row>
    <row r="4436" spans="1:8" x14ac:dyDescent="0.4">
      <c r="A4436">
        <v>2004</v>
      </c>
      <c r="B4436" s="2" t="s">
        <v>336</v>
      </c>
      <c r="C4436" s="2" t="s">
        <v>706</v>
      </c>
      <c r="D4436" s="2" t="s">
        <v>106</v>
      </c>
      <c r="E4436" s="70" t="s">
        <v>107</v>
      </c>
      <c r="F4436" s="29">
        <v>516</v>
      </c>
      <c r="G4436" s="29">
        <v>359</v>
      </c>
      <c r="H4436" s="33">
        <v>157</v>
      </c>
    </row>
    <row r="4437" spans="1:8" x14ac:dyDescent="0.4">
      <c r="A4437">
        <v>2004</v>
      </c>
      <c r="B4437" s="2" t="s">
        <v>337</v>
      </c>
      <c r="C4437" s="2" t="s">
        <v>706</v>
      </c>
      <c r="D4437" s="2" t="s">
        <v>106</v>
      </c>
      <c r="E4437" s="70" t="s">
        <v>108</v>
      </c>
      <c r="F4437" s="29">
        <v>225</v>
      </c>
      <c r="G4437" s="29">
        <v>132</v>
      </c>
      <c r="H4437" s="33">
        <v>93</v>
      </c>
    </row>
    <row r="4438" spans="1:8" x14ac:dyDescent="0.4">
      <c r="A4438">
        <v>2004</v>
      </c>
      <c r="B4438" s="2" t="s">
        <v>338</v>
      </c>
      <c r="C4438" s="2" t="s">
        <v>706</v>
      </c>
      <c r="D4438" s="2" t="s">
        <v>106</v>
      </c>
      <c r="E4438" s="70" t="s">
        <v>109</v>
      </c>
      <c r="F4438" s="29">
        <v>371</v>
      </c>
      <c r="G4438" s="29">
        <v>221</v>
      </c>
      <c r="H4438" s="33">
        <v>150</v>
      </c>
    </row>
    <row r="4439" spans="1:8" x14ac:dyDescent="0.4">
      <c r="A4439">
        <v>2004</v>
      </c>
      <c r="B4439" s="2" t="s">
        <v>339</v>
      </c>
      <c r="C4439" s="2" t="s">
        <v>706</v>
      </c>
      <c r="D4439" s="2" t="s">
        <v>106</v>
      </c>
      <c r="E4439" s="70" t="s">
        <v>110</v>
      </c>
      <c r="F4439" s="29">
        <v>44</v>
      </c>
      <c r="G4439" s="29">
        <v>28</v>
      </c>
      <c r="H4439" s="33">
        <v>16</v>
      </c>
    </row>
    <row r="4440" spans="1:8" x14ac:dyDescent="0.4">
      <c r="A4440">
        <v>2004</v>
      </c>
      <c r="B4440" s="2" t="s">
        <v>340</v>
      </c>
      <c r="C4440" s="2" t="s">
        <v>706</v>
      </c>
      <c r="D4440" s="2" t="s">
        <v>106</v>
      </c>
      <c r="E4440" s="70" t="s">
        <v>111</v>
      </c>
      <c r="F4440" s="29">
        <v>660</v>
      </c>
      <c r="G4440" s="29">
        <v>488</v>
      </c>
      <c r="H4440" s="33">
        <v>172</v>
      </c>
    </row>
    <row r="4441" spans="1:8" x14ac:dyDescent="0.4">
      <c r="A4441">
        <v>2004</v>
      </c>
      <c r="B4441" s="2" t="s">
        <v>341</v>
      </c>
      <c r="C4441" s="2" t="s">
        <v>706</v>
      </c>
      <c r="D4441" s="2" t="s">
        <v>106</v>
      </c>
      <c r="E4441" s="70" t="s">
        <v>112</v>
      </c>
      <c r="F4441" s="29">
        <v>116</v>
      </c>
      <c r="G4441" s="29">
        <v>75</v>
      </c>
      <c r="H4441" s="33">
        <v>41</v>
      </c>
    </row>
    <row r="4442" spans="1:8" x14ac:dyDescent="0.4">
      <c r="A4442">
        <v>2004</v>
      </c>
      <c r="B4442" s="2" t="s">
        <v>342</v>
      </c>
      <c r="C4442" s="2" t="s">
        <v>706</v>
      </c>
      <c r="D4442" s="2" t="s">
        <v>106</v>
      </c>
      <c r="E4442" s="70" t="s">
        <v>113</v>
      </c>
      <c r="F4442" s="29">
        <v>2002</v>
      </c>
      <c r="G4442" s="29">
        <v>1282</v>
      </c>
      <c r="H4442" s="33">
        <v>720</v>
      </c>
    </row>
    <row r="4443" spans="1:8" x14ac:dyDescent="0.4">
      <c r="A4443">
        <v>2004</v>
      </c>
      <c r="B4443" s="2" t="s">
        <v>343</v>
      </c>
      <c r="C4443" s="2" t="s">
        <v>706</v>
      </c>
      <c r="D4443" s="2" t="s">
        <v>106</v>
      </c>
      <c r="E4443" s="70" t="s">
        <v>114</v>
      </c>
      <c r="F4443" s="29">
        <v>686</v>
      </c>
      <c r="G4443" s="29">
        <v>374</v>
      </c>
      <c r="H4443" s="33">
        <v>312</v>
      </c>
    </row>
    <row r="4444" spans="1:8" x14ac:dyDescent="0.4">
      <c r="A4444">
        <v>2004</v>
      </c>
      <c r="B4444" s="2" t="s">
        <v>344</v>
      </c>
      <c r="C4444" s="2" t="s">
        <v>706</v>
      </c>
      <c r="D4444" s="2" t="s">
        <v>106</v>
      </c>
      <c r="E4444" s="70" t="s">
        <v>115</v>
      </c>
      <c r="F4444" s="29">
        <v>295</v>
      </c>
      <c r="G4444" s="29">
        <v>168</v>
      </c>
      <c r="H4444" s="33">
        <v>127</v>
      </c>
    </row>
    <row r="4445" spans="1:8" x14ac:dyDescent="0.4">
      <c r="A4445">
        <v>2004</v>
      </c>
      <c r="B4445" s="2" t="s">
        <v>345</v>
      </c>
      <c r="C4445" s="2" t="s">
        <v>706</v>
      </c>
      <c r="D4445" s="2" t="s">
        <v>106</v>
      </c>
      <c r="E4445" s="70" t="s">
        <v>116</v>
      </c>
      <c r="F4445" s="29">
        <v>461</v>
      </c>
      <c r="G4445" s="29">
        <v>285</v>
      </c>
      <c r="H4445" s="33">
        <v>176</v>
      </c>
    </row>
    <row r="4446" spans="1:8" x14ac:dyDescent="0.4">
      <c r="A4446">
        <v>2004</v>
      </c>
      <c r="B4446" s="2" t="s">
        <v>346</v>
      </c>
      <c r="C4446" s="2" t="s">
        <v>706</v>
      </c>
      <c r="D4446" s="2" t="s">
        <v>106</v>
      </c>
      <c r="E4446" s="70" t="s">
        <v>117</v>
      </c>
      <c r="F4446" s="29">
        <v>279</v>
      </c>
      <c r="G4446" s="29">
        <v>158</v>
      </c>
      <c r="H4446" s="33">
        <v>121</v>
      </c>
    </row>
    <row r="4447" spans="1:8" x14ac:dyDescent="0.4">
      <c r="A4447">
        <v>2004</v>
      </c>
      <c r="B4447" s="2" t="s">
        <v>347</v>
      </c>
      <c r="C4447" s="2" t="s">
        <v>706</v>
      </c>
      <c r="D4447" s="2" t="s">
        <v>106</v>
      </c>
      <c r="E4447" s="70" t="s">
        <v>118</v>
      </c>
      <c r="F4447" s="29">
        <v>127</v>
      </c>
      <c r="G4447" s="29">
        <v>94</v>
      </c>
      <c r="H4447" s="33">
        <v>33</v>
      </c>
    </row>
    <row r="4448" spans="1:8" x14ac:dyDescent="0.4">
      <c r="A4448">
        <v>2004</v>
      </c>
      <c r="B4448" s="2" t="s">
        <v>348</v>
      </c>
      <c r="C4448" s="2" t="s">
        <v>706</v>
      </c>
      <c r="D4448" s="2" t="s">
        <v>106</v>
      </c>
      <c r="E4448" s="70" t="s">
        <v>119</v>
      </c>
      <c r="F4448" s="29">
        <v>102</v>
      </c>
      <c r="G4448" s="29">
        <v>75</v>
      </c>
      <c r="H4448" s="33">
        <v>27</v>
      </c>
    </row>
    <row r="4449" spans="1:8" x14ac:dyDescent="0.4">
      <c r="A4449">
        <v>2004</v>
      </c>
      <c r="B4449" s="2" t="s">
        <v>349</v>
      </c>
      <c r="C4449" s="2" t="s">
        <v>706</v>
      </c>
      <c r="D4449" s="2" t="s">
        <v>106</v>
      </c>
      <c r="E4449" s="70" t="s">
        <v>120</v>
      </c>
      <c r="F4449" s="29">
        <v>959</v>
      </c>
      <c r="G4449" s="29">
        <v>529</v>
      </c>
      <c r="H4449" s="33">
        <v>430</v>
      </c>
    </row>
    <row r="4450" spans="1:8" x14ac:dyDescent="0.4">
      <c r="A4450">
        <v>2004</v>
      </c>
      <c r="B4450" s="2" t="s">
        <v>350</v>
      </c>
      <c r="C4450" s="2" t="s">
        <v>706</v>
      </c>
      <c r="D4450" s="2" t="s">
        <v>106</v>
      </c>
      <c r="E4450" s="70" t="s">
        <v>121</v>
      </c>
      <c r="F4450" s="29">
        <v>1425</v>
      </c>
      <c r="G4450" s="29">
        <v>789</v>
      </c>
      <c r="H4450" s="33">
        <v>636</v>
      </c>
    </row>
    <row r="4451" spans="1:8" x14ac:dyDescent="0.4">
      <c r="A4451">
        <v>2004</v>
      </c>
      <c r="B4451" s="2" t="s">
        <v>351</v>
      </c>
      <c r="C4451" s="2" t="s">
        <v>706</v>
      </c>
      <c r="D4451" s="2" t="s">
        <v>106</v>
      </c>
      <c r="E4451" s="70" t="s">
        <v>122</v>
      </c>
      <c r="F4451" s="29">
        <v>1226</v>
      </c>
      <c r="G4451" s="29">
        <v>682</v>
      </c>
      <c r="H4451" s="33">
        <v>544</v>
      </c>
    </row>
    <row r="4452" spans="1:8" x14ac:dyDescent="0.4">
      <c r="A4452">
        <v>2004</v>
      </c>
      <c r="B4452" s="2" t="s">
        <v>352</v>
      </c>
      <c r="C4452" s="2" t="s">
        <v>706</v>
      </c>
      <c r="D4452" s="2" t="s">
        <v>106</v>
      </c>
      <c r="E4452" s="70" t="s">
        <v>123</v>
      </c>
      <c r="F4452" s="29">
        <v>2242</v>
      </c>
      <c r="G4452" s="29">
        <v>1298</v>
      </c>
      <c r="H4452" s="33">
        <v>944</v>
      </c>
    </row>
    <row r="4453" spans="1:8" x14ac:dyDescent="0.4">
      <c r="A4453">
        <v>2004</v>
      </c>
      <c r="B4453" s="2" t="s">
        <v>353</v>
      </c>
      <c r="C4453" s="2" t="s">
        <v>706</v>
      </c>
      <c r="D4453" s="2" t="s">
        <v>106</v>
      </c>
      <c r="E4453" s="70" t="s">
        <v>124</v>
      </c>
      <c r="F4453" s="29">
        <v>390</v>
      </c>
      <c r="G4453" s="29">
        <v>234</v>
      </c>
      <c r="H4453" s="33">
        <v>156</v>
      </c>
    </row>
    <row r="4454" spans="1:8" x14ac:dyDescent="0.4">
      <c r="A4454">
        <v>2004</v>
      </c>
      <c r="B4454" s="2" t="s">
        <v>354</v>
      </c>
      <c r="C4454" s="2" t="s">
        <v>706</v>
      </c>
      <c r="D4454" s="2" t="s">
        <v>106</v>
      </c>
      <c r="E4454" s="70" t="s">
        <v>125</v>
      </c>
      <c r="F4454" s="29">
        <v>51</v>
      </c>
      <c r="G4454" s="29">
        <v>30</v>
      </c>
      <c r="H4454" s="33">
        <v>21</v>
      </c>
    </row>
    <row r="4455" spans="1:8" x14ac:dyDescent="0.4">
      <c r="A4455">
        <v>2004</v>
      </c>
      <c r="B4455" s="2" t="s">
        <v>355</v>
      </c>
      <c r="C4455" s="2" t="s">
        <v>706</v>
      </c>
      <c r="D4455" s="2" t="s">
        <v>106</v>
      </c>
      <c r="E4455" s="70" t="s">
        <v>126</v>
      </c>
      <c r="F4455" s="29">
        <v>1689</v>
      </c>
      <c r="G4455" s="29">
        <v>1096</v>
      </c>
      <c r="H4455" s="33">
        <v>593</v>
      </c>
    </row>
    <row r="4456" spans="1:8" x14ac:dyDescent="0.4">
      <c r="A4456">
        <v>2004</v>
      </c>
      <c r="B4456" s="2" t="s">
        <v>356</v>
      </c>
      <c r="C4456" s="2" t="s">
        <v>706</v>
      </c>
      <c r="D4456" s="2" t="s">
        <v>106</v>
      </c>
      <c r="E4456" s="70" t="s">
        <v>127</v>
      </c>
      <c r="F4456" s="29">
        <v>268</v>
      </c>
      <c r="G4456" s="29">
        <v>162</v>
      </c>
      <c r="H4456" s="33">
        <v>106</v>
      </c>
    </row>
    <row r="4457" spans="1:8" x14ac:dyDescent="0.4">
      <c r="A4457">
        <v>2004</v>
      </c>
      <c r="B4457" s="2" t="s">
        <v>357</v>
      </c>
      <c r="C4457" s="2" t="s">
        <v>707</v>
      </c>
      <c r="D4457" s="2" t="s">
        <v>1</v>
      </c>
      <c r="E4457" s="70" t="s">
        <v>0</v>
      </c>
      <c r="F4457" s="29">
        <v>21</v>
      </c>
      <c r="G4457" s="29">
        <v>12</v>
      </c>
      <c r="H4457" s="33">
        <v>9</v>
      </c>
    </row>
    <row r="4458" spans="1:8" x14ac:dyDescent="0.4">
      <c r="A4458">
        <v>2004</v>
      </c>
      <c r="B4458" s="2" t="s">
        <v>358</v>
      </c>
      <c r="C4458" s="2" t="s">
        <v>707</v>
      </c>
      <c r="D4458" s="2" t="s">
        <v>1</v>
      </c>
      <c r="E4458" s="70" t="s">
        <v>2</v>
      </c>
      <c r="F4458" s="29">
        <v>18</v>
      </c>
      <c r="G4458" s="29">
        <v>11</v>
      </c>
      <c r="H4458" s="33">
        <v>7</v>
      </c>
    </row>
    <row r="4459" spans="1:8" x14ac:dyDescent="0.4">
      <c r="A4459">
        <v>2004</v>
      </c>
      <c r="B4459" s="2" t="s">
        <v>359</v>
      </c>
      <c r="C4459" s="2" t="s">
        <v>707</v>
      </c>
      <c r="D4459" s="2" t="s">
        <v>1</v>
      </c>
      <c r="E4459" s="70" t="s">
        <v>3</v>
      </c>
      <c r="F4459" s="29">
        <v>351</v>
      </c>
      <c r="G4459" s="29">
        <v>207</v>
      </c>
      <c r="H4459" s="33">
        <v>144</v>
      </c>
    </row>
    <row r="4460" spans="1:8" x14ac:dyDescent="0.4">
      <c r="A4460">
        <v>2004</v>
      </c>
      <c r="B4460" s="7" t="s">
        <v>360</v>
      </c>
      <c r="C4460" s="7" t="s">
        <v>707</v>
      </c>
      <c r="D4460" s="7" t="s">
        <v>1</v>
      </c>
      <c r="E4460" s="70" t="s">
        <v>4</v>
      </c>
      <c r="F4460" s="29">
        <v>5</v>
      </c>
      <c r="G4460" s="29">
        <v>3</v>
      </c>
      <c r="H4460" s="33">
        <v>2</v>
      </c>
    </row>
    <row r="4461" spans="1:8" x14ac:dyDescent="0.4">
      <c r="A4461">
        <v>2004</v>
      </c>
      <c r="B4461" s="2" t="s">
        <v>361</v>
      </c>
      <c r="C4461" s="2" t="s">
        <v>707</v>
      </c>
      <c r="D4461" s="2" t="s">
        <v>1</v>
      </c>
      <c r="E4461" s="70" t="s">
        <v>5</v>
      </c>
      <c r="F4461" s="29">
        <v>4</v>
      </c>
      <c r="G4461" s="29">
        <v>2</v>
      </c>
      <c r="H4461" s="33">
        <v>2</v>
      </c>
    </row>
    <row r="4462" spans="1:8" x14ac:dyDescent="0.4">
      <c r="A4462">
        <v>2004</v>
      </c>
      <c r="B4462" s="2" t="s">
        <v>732</v>
      </c>
      <c r="C4462" s="2" t="s">
        <v>707</v>
      </c>
      <c r="D4462" s="2" t="s">
        <v>1</v>
      </c>
      <c r="E4462" s="70" t="s">
        <v>330</v>
      </c>
      <c r="F4462" s="29">
        <v>2</v>
      </c>
      <c r="G4462" s="29">
        <v>1</v>
      </c>
      <c r="H4462" s="33">
        <v>1</v>
      </c>
    </row>
    <row r="4463" spans="1:8" x14ac:dyDescent="0.4">
      <c r="A4463">
        <v>2004</v>
      </c>
      <c r="B4463" s="2" t="s">
        <v>730</v>
      </c>
      <c r="C4463" s="2" t="s">
        <v>707</v>
      </c>
      <c r="D4463" s="2" t="s">
        <v>1</v>
      </c>
      <c r="E4463" s="70" t="s">
        <v>328</v>
      </c>
      <c r="F4463" s="29">
        <v>6</v>
      </c>
      <c r="G4463" s="29">
        <v>3</v>
      </c>
      <c r="H4463" s="33">
        <v>3</v>
      </c>
    </row>
    <row r="4464" spans="1:8" x14ac:dyDescent="0.4">
      <c r="A4464">
        <v>2004</v>
      </c>
      <c r="B4464" s="2" t="s">
        <v>362</v>
      </c>
      <c r="C4464" s="2" t="s">
        <v>708</v>
      </c>
      <c r="D4464" s="2" t="s">
        <v>7</v>
      </c>
      <c r="E4464" s="70" t="s">
        <v>6</v>
      </c>
      <c r="F4464" s="29">
        <v>369</v>
      </c>
      <c r="G4464" s="29">
        <v>246</v>
      </c>
      <c r="H4464" s="33">
        <v>123</v>
      </c>
    </row>
    <row r="4465" spans="1:8" x14ac:dyDescent="0.4">
      <c r="A4465">
        <v>2004</v>
      </c>
      <c r="B4465" s="2" t="s">
        <v>363</v>
      </c>
      <c r="C4465" s="2" t="s">
        <v>708</v>
      </c>
      <c r="D4465" s="2" t="s">
        <v>7</v>
      </c>
      <c r="E4465" s="70" t="s">
        <v>8</v>
      </c>
      <c r="F4465" s="29">
        <v>100</v>
      </c>
      <c r="G4465" s="29">
        <v>60</v>
      </c>
      <c r="H4465" s="33">
        <v>40</v>
      </c>
    </row>
    <row r="4466" spans="1:8" x14ac:dyDescent="0.4">
      <c r="A4466">
        <v>2004</v>
      </c>
      <c r="B4466" s="2" t="s">
        <v>364</v>
      </c>
      <c r="C4466" s="2" t="s">
        <v>708</v>
      </c>
      <c r="D4466" s="2" t="s">
        <v>7</v>
      </c>
      <c r="E4466" s="70" t="s">
        <v>9</v>
      </c>
      <c r="F4466" s="29">
        <v>99</v>
      </c>
      <c r="G4466" s="29">
        <v>56</v>
      </c>
      <c r="H4466" s="33">
        <v>43</v>
      </c>
    </row>
    <row r="4467" spans="1:8" x14ac:dyDescent="0.4">
      <c r="A4467">
        <v>2004</v>
      </c>
      <c r="B4467" s="2" t="s">
        <v>365</v>
      </c>
      <c r="C4467" s="2" t="s">
        <v>708</v>
      </c>
      <c r="D4467" s="2" t="s">
        <v>7</v>
      </c>
      <c r="E4467" s="70" t="s">
        <v>10</v>
      </c>
      <c r="F4467" s="29">
        <v>69</v>
      </c>
      <c r="G4467" s="29">
        <v>44</v>
      </c>
      <c r="H4467" s="33">
        <v>25</v>
      </c>
    </row>
    <row r="4468" spans="1:8" x14ac:dyDescent="0.4">
      <c r="A4468">
        <v>2004</v>
      </c>
      <c r="B4468" s="2" t="s">
        <v>366</v>
      </c>
      <c r="C4468" s="2" t="s">
        <v>708</v>
      </c>
      <c r="D4468" s="2" t="s">
        <v>7</v>
      </c>
      <c r="E4468" s="70" t="s">
        <v>11</v>
      </c>
      <c r="F4468" s="29">
        <v>110</v>
      </c>
      <c r="G4468" s="29">
        <v>63</v>
      </c>
      <c r="H4468" s="33">
        <v>47</v>
      </c>
    </row>
    <row r="4469" spans="1:8" x14ac:dyDescent="0.4">
      <c r="A4469">
        <v>2004</v>
      </c>
      <c r="B4469" s="2" t="s">
        <v>367</v>
      </c>
      <c r="C4469" s="2" t="s">
        <v>708</v>
      </c>
      <c r="D4469" s="2" t="s">
        <v>7</v>
      </c>
      <c r="E4469" s="70" t="s">
        <v>12</v>
      </c>
      <c r="F4469" s="29">
        <v>56</v>
      </c>
      <c r="G4469" s="29">
        <v>35</v>
      </c>
      <c r="H4469" s="33">
        <v>21</v>
      </c>
    </row>
    <row r="4470" spans="1:8" x14ac:dyDescent="0.4">
      <c r="A4470">
        <v>2004</v>
      </c>
      <c r="B4470" s="2" t="s">
        <v>368</v>
      </c>
      <c r="C4470" s="2" t="s">
        <v>708</v>
      </c>
      <c r="D4470" s="2" t="s">
        <v>7</v>
      </c>
      <c r="E4470" s="70" t="s">
        <v>13</v>
      </c>
      <c r="F4470" s="29">
        <v>66</v>
      </c>
      <c r="G4470" s="29">
        <v>44</v>
      </c>
      <c r="H4470" s="33">
        <v>22</v>
      </c>
    </row>
    <row r="4471" spans="1:8" x14ac:dyDescent="0.4">
      <c r="A4471">
        <v>2004</v>
      </c>
      <c r="B4471" s="2" t="s">
        <v>369</v>
      </c>
      <c r="C4471" s="2" t="s">
        <v>708</v>
      </c>
      <c r="D4471" s="2" t="s">
        <v>7</v>
      </c>
      <c r="E4471" s="70" t="s">
        <v>14</v>
      </c>
      <c r="F4471" s="29">
        <v>94</v>
      </c>
      <c r="G4471" s="29">
        <v>53</v>
      </c>
      <c r="H4471" s="33">
        <v>41</v>
      </c>
    </row>
    <row r="4472" spans="1:8" x14ac:dyDescent="0.4">
      <c r="A4472">
        <v>2004</v>
      </c>
      <c r="B4472" s="2" t="s">
        <v>370</v>
      </c>
      <c r="C4472" s="2" t="s">
        <v>708</v>
      </c>
      <c r="D4472" s="2" t="s">
        <v>7</v>
      </c>
      <c r="E4472" s="70" t="s">
        <v>15</v>
      </c>
      <c r="F4472" s="29">
        <v>38</v>
      </c>
      <c r="G4472" s="29">
        <v>26</v>
      </c>
      <c r="H4472" s="33">
        <v>12</v>
      </c>
    </row>
    <row r="4473" spans="1:8" x14ac:dyDescent="0.4">
      <c r="A4473">
        <v>2004</v>
      </c>
      <c r="B4473" s="2" t="s">
        <v>371</v>
      </c>
      <c r="C4473" s="2" t="s">
        <v>708</v>
      </c>
      <c r="D4473" s="2" t="s">
        <v>7</v>
      </c>
      <c r="E4473" s="70" t="s">
        <v>16</v>
      </c>
      <c r="F4473" s="29">
        <v>604</v>
      </c>
      <c r="G4473" s="29">
        <v>356</v>
      </c>
      <c r="H4473" s="33">
        <v>248</v>
      </c>
    </row>
    <row r="4474" spans="1:8" x14ac:dyDescent="0.4">
      <c r="A4474">
        <v>2004</v>
      </c>
      <c r="B4474" s="2" t="s">
        <v>372</v>
      </c>
      <c r="C4474" s="2" t="s">
        <v>708</v>
      </c>
      <c r="D4474" s="2" t="s">
        <v>7</v>
      </c>
      <c r="E4474" s="70" t="s">
        <v>17</v>
      </c>
      <c r="F4474" s="29">
        <v>24</v>
      </c>
      <c r="G4474" s="29">
        <v>13</v>
      </c>
      <c r="H4474" s="33">
        <v>11</v>
      </c>
    </row>
    <row r="4475" spans="1:8" x14ac:dyDescent="0.4">
      <c r="A4475">
        <v>2004</v>
      </c>
      <c r="B4475" s="2" t="s">
        <v>373</v>
      </c>
      <c r="C4475" s="2" t="s">
        <v>708</v>
      </c>
      <c r="D4475" s="2" t="s">
        <v>7</v>
      </c>
      <c r="E4475" s="70" t="s">
        <v>18</v>
      </c>
      <c r="F4475" s="29">
        <v>43</v>
      </c>
      <c r="G4475" s="29">
        <v>29</v>
      </c>
      <c r="H4475" s="33">
        <v>14</v>
      </c>
    </row>
    <row r="4476" spans="1:8" x14ac:dyDescent="0.4">
      <c r="A4476">
        <v>2004</v>
      </c>
      <c r="B4476" s="2" t="s">
        <v>374</v>
      </c>
      <c r="C4476" s="2" t="s">
        <v>708</v>
      </c>
      <c r="D4476" s="2" t="s">
        <v>7</v>
      </c>
      <c r="E4476" s="70" t="s">
        <v>19</v>
      </c>
      <c r="F4476" s="29">
        <v>105</v>
      </c>
      <c r="G4476" s="29">
        <v>58</v>
      </c>
      <c r="H4476" s="33">
        <v>47</v>
      </c>
    </row>
    <row r="4477" spans="1:8" x14ac:dyDescent="0.4">
      <c r="A4477">
        <v>2004</v>
      </c>
      <c r="B4477" s="2" t="s">
        <v>375</v>
      </c>
      <c r="C4477" s="2" t="s">
        <v>708</v>
      </c>
      <c r="D4477" s="2" t="s">
        <v>7</v>
      </c>
      <c r="E4477" s="70" t="s">
        <v>20</v>
      </c>
      <c r="F4477" s="29">
        <v>236</v>
      </c>
      <c r="G4477" s="29">
        <v>143</v>
      </c>
      <c r="H4477" s="33">
        <v>93</v>
      </c>
    </row>
    <row r="4478" spans="1:8" x14ac:dyDescent="0.4">
      <c r="A4478">
        <v>2004</v>
      </c>
      <c r="B4478" s="2" t="s">
        <v>376</v>
      </c>
      <c r="C4478" s="2" t="s">
        <v>708</v>
      </c>
      <c r="D4478" s="2" t="s">
        <v>7</v>
      </c>
      <c r="E4478" s="70" t="s">
        <v>21</v>
      </c>
      <c r="F4478" s="29">
        <v>74</v>
      </c>
      <c r="G4478" s="29">
        <v>44</v>
      </c>
      <c r="H4478" s="33">
        <v>30</v>
      </c>
    </row>
    <row r="4479" spans="1:8" x14ac:dyDescent="0.4">
      <c r="A4479">
        <v>2004</v>
      </c>
      <c r="B4479" s="2" t="s">
        <v>377</v>
      </c>
      <c r="C4479" s="2" t="s">
        <v>708</v>
      </c>
      <c r="D4479" s="2" t="s">
        <v>7</v>
      </c>
      <c r="E4479" s="70" t="s">
        <v>22</v>
      </c>
      <c r="F4479" s="29">
        <v>94</v>
      </c>
      <c r="G4479" s="29">
        <v>55</v>
      </c>
      <c r="H4479" s="33">
        <v>39</v>
      </c>
    </row>
    <row r="4480" spans="1:8" x14ac:dyDescent="0.4">
      <c r="A4480">
        <v>2004</v>
      </c>
      <c r="B4480" s="2" t="s">
        <v>378</v>
      </c>
      <c r="C4480" s="2" t="s">
        <v>708</v>
      </c>
      <c r="D4480" s="2" t="s">
        <v>7</v>
      </c>
      <c r="E4480" s="70" t="s">
        <v>23</v>
      </c>
      <c r="F4480" s="29">
        <v>43</v>
      </c>
      <c r="G4480" s="29">
        <v>28</v>
      </c>
      <c r="H4480" s="33">
        <v>15</v>
      </c>
    </row>
    <row r="4481" spans="1:8" x14ac:dyDescent="0.4">
      <c r="A4481">
        <v>2004</v>
      </c>
      <c r="B4481" s="2" t="s">
        <v>379</v>
      </c>
      <c r="C4481" s="2" t="s">
        <v>708</v>
      </c>
      <c r="D4481" s="2" t="s">
        <v>7</v>
      </c>
      <c r="E4481" s="70" t="s">
        <v>24</v>
      </c>
      <c r="F4481" s="29">
        <v>24</v>
      </c>
      <c r="G4481" s="29">
        <v>12</v>
      </c>
      <c r="H4481" s="33">
        <v>12</v>
      </c>
    </row>
    <row r="4482" spans="1:8" x14ac:dyDescent="0.4">
      <c r="A4482">
        <v>2004</v>
      </c>
      <c r="B4482" s="2" t="s">
        <v>380</v>
      </c>
      <c r="C4482" s="2" t="s">
        <v>708</v>
      </c>
      <c r="D4482" s="2" t="s">
        <v>7</v>
      </c>
      <c r="E4482" s="70" t="s">
        <v>25</v>
      </c>
      <c r="F4482" s="29">
        <v>1506</v>
      </c>
      <c r="G4482" s="29">
        <v>959</v>
      </c>
      <c r="H4482" s="33">
        <v>547</v>
      </c>
    </row>
    <row r="4483" spans="1:8" x14ac:dyDescent="0.4">
      <c r="A4483">
        <v>2004</v>
      </c>
      <c r="B4483" s="2" t="s">
        <v>381</v>
      </c>
      <c r="C4483" s="2" t="s">
        <v>708</v>
      </c>
      <c r="D4483" s="2" t="s">
        <v>7</v>
      </c>
      <c r="E4483" s="70" t="s">
        <v>26</v>
      </c>
      <c r="F4483" s="29">
        <v>452</v>
      </c>
      <c r="G4483" s="29">
        <v>291</v>
      </c>
      <c r="H4483" s="33">
        <v>161</v>
      </c>
    </row>
    <row r="4484" spans="1:8" x14ac:dyDescent="0.4">
      <c r="A4484">
        <v>2004</v>
      </c>
      <c r="B4484" s="2" t="s">
        <v>382</v>
      </c>
      <c r="C4484" s="2" t="s">
        <v>708</v>
      </c>
      <c r="D4484" s="2" t="s">
        <v>7</v>
      </c>
      <c r="E4484" s="70" t="s">
        <v>27</v>
      </c>
      <c r="F4484" s="29">
        <v>23</v>
      </c>
      <c r="G4484" s="29">
        <v>14</v>
      </c>
      <c r="H4484" s="33">
        <v>9</v>
      </c>
    </row>
    <row r="4485" spans="1:8" x14ac:dyDescent="0.4">
      <c r="A4485">
        <v>2004</v>
      </c>
      <c r="B4485" s="2" t="s">
        <v>383</v>
      </c>
      <c r="C4485" s="2" t="s">
        <v>709</v>
      </c>
      <c r="D4485" s="2" t="s">
        <v>29</v>
      </c>
      <c r="E4485" s="70" t="s">
        <v>28</v>
      </c>
      <c r="F4485" s="29">
        <v>192</v>
      </c>
      <c r="G4485" s="29">
        <v>117</v>
      </c>
      <c r="H4485" s="33">
        <v>75</v>
      </c>
    </row>
    <row r="4486" spans="1:8" x14ac:dyDescent="0.4">
      <c r="A4486">
        <v>2004</v>
      </c>
      <c r="B4486" s="2" t="s">
        <v>384</v>
      </c>
      <c r="C4486" s="2" t="s">
        <v>709</v>
      </c>
      <c r="D4486" s="2" t="s">
        <v>29</v>
      </c>
      <c r="E4486" s="70" t="s">
        <v>30</v>
      </c>
      <c r="F4486" s="29">
        <v>85</v>
      </c>
      <c r="G4486" s="29">
        <v>48</v>
      </c>
      <c r="H4486" s="33">
        <v>37</v>
      </c>
    </row>
    <row r="4487" spans="1:8" x14ac:dyDescent="0.4">
      <c r="A4487">
        <v>2004</v>
      </c>
      <c r="B4487" s="2" t="s">
        <v>385</v>
      </c>
      <c r="C4487" s="2" t="s">
        <v>709</v>
      </c>
      <c r="D4487" s="2" t="s">
        <v>29</v>
      </c>
      <c r="E4487" s="70" t="s">
        <v>31</v>
      </c>
      <c r="F4487" s="29">
        <v>73</v>
      </c>
      <c r="G4487" s="29">
        <v>44</v>
      </c>
      <c r="H4487" s="33">
        <v>29</v>
      </c>
    </row>
    <row r="4488" spans="1:8" x14ac:dyDescent="0.4">
      <c r="A4488">
        <v>2004</v>
      </c>
      <c r="B4488" s="2" t="s">
        <v>386</v>
      </c>
      <c r="C4488" s="2" t="s">
        <v>709</v>
      </c>
      <c r="D4488" s="2" t="s">
        <v>29</v>
      </c>
      <c r="E4488" s="70" t="s">
        <v>32</v>
      </c>
      <c r="F4488" s="29">
        <v>264</v>
      </c>
      <c r="G4488" s="29">
        <v>169</v>
      </c>
      <c r="H4488" s="33">
        <v>95</v>
      </c>
    </row>
    <row r="4489" spans="1:8" x14ac:dyDescent="0.4">
      <c r="A4489">
        <v>2004</v>
      </c>
      <c r="B4489" s="2" t="s">
        <v>387</v>
      </c>
      <c r="C4489" s="2" t="s">
        <v>709</v>
      </c>
      <c r="D4489" s="2" t="s">
        <v>29</v>
      </c>
      <c r="E4489" s="70" t="s">
        <v>33</v>
      </c>
      <c r="F4489" s="29">
        <v>37</v>
      </c>
      <c r="G4489" s="29">
        <v>25</v>
      </c>
      <c r="H4489" s="33">
        <v>12</v>
      </c>
    </row>
    <row r="4490" spans="1:8" x14ac:dyDescent="0.4">
      <c r="A4490">
        <v>2004</v>
      </c>
      <c r="B4490" s="2" t="s">
        <v>388</v>
      </c>
      <c r="C4490" s="2" t="s">
        <v>709</v>
      </c>
      <c r="D4490" s="2" t="s">
        <v>29</v>
      </c>
      <c r="E4490" s="70" t="s">
        <v>34</v>
      </c>
      <c r="F4490" s="29">
        <v>56</v>
      </c>
      <c r="G4490" s="29">
        <v>29</v>
      </c>
      <c r="H4490" s="33">
        <v>27</v>
      </c>
    </row>
    <row r="4491" spans="1:8" x14ac:dyDescent="0.4">
      <c r="A4491">
        <v>2004</v>
      </c>
      <c r="B4491" s="2" t="s">
        <v>389</v>
      </c>
      <c r="C4491" s="2" t="s">
        <v>709</v>
      </c>
      <c r="D4491" s="2" t="s">
        <v>29</v>
      </c>
      <c r="E4491" s="70" t="s">
        <v>35</v>
      </c>
      <c r="F4491" s="29">
        <v>918</v>
      </c>
      <c r="G4491" s="29">
        <v>500</v>
      </c>
      <c r="H4491" s="33">
        <v>418</v>
      </c>
    </row>
    <row r="4492" spans="1:8" x14ac:dyDescent="0.4">
      <c r="A4492">
        <v>2004</v>
      </c>
      <c r="B4492" s="2" t="s">
        <v>390</v>
      </c>
      <c r="C4492" s="2" t="s">
        <v>710</v>
      </c>
      <c r="D4492" s="2" t="s">
        <v>37</v>
      </c>
      <c r="E4492" s="70" t="s">
        <v>36</v>
      </c>
      <c r="F4492" s="29">
        <v>109</v>
      </c>
      <c r="G4492" s="29">
        <v>66</v>
      </c>
      <c r="H4492" s="33">
        <v>43</v>
      </c>
    </row>
    <row r="4493" spans="1:8" x14ac:dyDescent="0.4">
      <c r="A4493">
        <v>2004</v>
      </c>
      <c r="B4493" s="2" t="s">
        <v>391</v>
      </c>
      <c r="C4493" s="2" t="s">
        <v>710</v>
      </c>
      <c r="D4493" s="2" t="s">
        <v>37</v>
      </c>
      <c r="E4493" s="70" t="s">
        <v>38</v>
      </c>
      <c r="F4493" s="29">
        <v>35</v>
      </c>
      <c r="G4493" s="29">
        <v>21</v>
      </c>
      <c r="H4493" s="33">
        <v>14</v>
      </c>
    </row>
    <row r="4494" spans="1:8" x14ac:dyDescent="0.4">
      <c r="A4494">
        <v>2004</v>
      </c>
      <c r="B4494" s="2" t="s">
        <v>392</v>
      </c>
      <c r="C4494" s="2" t="s">
        <v>710</v>
      </c>
      <c r="D4494" s="2" t="s">
        <v>37</v>
      </c>
      <c r="E4494" s="70" t="s">
        <v>39</v>
      </c>
      <c r="F4494" s="29">
        <v>180</v>
      </c>
      <c r="G4494" s="29">
        <v>118</v>
      </c>
      <c r="H4494" s="33">
        <v>62</v>
      </c>
    </row>
    <row r="4495" spans="1:8" x14ac:dyDescent="0.4">
      <c r="A4495">
        <v>2004</v>
      </c>
      <c r="B4495" s="2" t="s">
        <v>393</v>
      </c>
      <c r="C4495" s="2" t="s">
        <v>710</v>
      </c>
      <c r="D4495" s="2" t="s">
        <v>37</v>
      </c>
      <c r="E4495" s="70" t="s">
        <v>40</v>
      </c>
      <c r="F4495" s="29">
        <v>3260</v>
      </c>
      <c r="G4495" s="29">
        <v>1869</v>
      </c>
      <c r="H4495" s="33">
        <v>1391</v>
      </c>
    </row>
    <row r="4496" spans="1:8" x14ac:dyDescent="0.4">
      <c r="A4496">
        <v>2004</v>
      </c>
      <c r="B4496" s="2" t="s">
        <v>394</v>
      </c>
      <c r="C4496" s="2" t="s">
        <v>710</v>
      </c>
      <c r="D4496" s="2" t="s">
        <v>37</v>
      </c>
      <c r="E4496" s="70" t="s">
        <v>41</v>
      </c>
      <c r="F4496" s="29">
        <v>84</v>
      </c>
      <c r="G4496" s="29">
        <v>61</v>
      </c>
      <c r="H4496" s="33">
        <v>23</v>
      </c>
    </row>
    <row r="4497" spans="1:8" x14ac:dyDescent="0.4">
      <c r="A4497">
        <v>2004</v>
      </c>
      <c r="B4497" s="2" t="s">
        <v>395</v>
      </c>
      <c r="C4497" s="2" t="s">
        <v>710</v>
      </c>
      <c r="D4497" s="2" t="s">
        <v>37</v>
      </c>
      <c r="E4497" s="70" t="s">
        <v>42</v>
      </c>
      <c r="F4497" s="29">
        <v>632</v>
      </c>
      <c r="G4497" s="29">
        <v>357</v>
      </c>
      <c r="H4497" s="33">
        <v>275</v>
      </c>
    </row>
    <row r="4498" spans="1:8" x14ac:dyDescent="0.4">
      <c r="A4498">
        <v>2004</v>
      </c>
      <c r="B4498" s="2" t="s">
        <v>396</v>
      </c>
      <c r="C4498" s="2" t="s">
        <v>710</v>
      </c>
      <c r="D4498" s="2" t="s">
        <v>37</v>
      </c>
      <c r="E4498" s="70" t="s">
        <v>43</v>
      </c>
      <c r="F4498" s="29">
        <v>84</v>
      </c>
      <c r="G4498" s="29">
        <v>57</v>
      </c>
      <c r="H4498" s="33">
        <v>27</v>
      </c>
    </row>
    <row r="4499" spans="1:8" x14ac:dyDescent="0.4">
      <c r="A4499">
        <v>2004</v>
      </c>
      <c r="B4499" s="2" t="s">
        <v>397</v>
      </c>
      <c r="C4499" s="2" t="s">
        <v>710</v>
      </c>
      <c r="D4499" s="2" t="s">
        <v>37</v>
      </c>
      <c r="E4499" s="70" t="s">
        <v>44</v>
      </c>
      <c r="F4499" s="29">
        <v>394</v>
      </c>
      <c r="G4499" s="29">
        <v>224</v>
      </c>
      <c r="H4499" s="33">
        <v>170</v>
      </c>
    </row>
    <row r="4500" spans="1:8" x14ac:dyDescent="0.4">
      <c r="A4500">
        <v>2004</v>
      </c>
      <c r="B4500" s="2" t="s">
        <v>398</v>
      </c>
      <c r="C4500" s="2" t="s">
        <v>710</v>
      </c>
      <c r="D4500" s="2" t="s">
        <v>37</v>
      </c>
      <c r="E4500" s="70" t="s">
        <v>45</v>
      </c>
      <c r="F4500" s="29">
        <v>213</v>
      </c>
      <c r="G4500" s="29">
        <v>125</v>
      </c>
      <c r="H4500" s="33">
        <v>88</v>
      </c>
    </row>
    <row r="4501" spans="1:8" x14ac:dyDescent="0.4">
      <c r="A4501">
        <v>2004</v>
      </c>
      <c r="B4501" s="2" t="s">
        <v>399</v>
      </c>
      <c r="C4501" s="2" t="s">
        <v>710</v>
      </c>
      <c r="D4501" s="2" t="s">
        <v>37</v>
      </c>
      <c r="E4501" s="70" t="s">
        <v>46</v>
      </c>
      <c r="F4501" s="29">
        <v>0</v>
      </c>
      <c r="G4501" s="29">
        <v>0</v>
      </c>
      <c r="H4501" s="33">
        <v>0</v>
      </c>
    </row>
    <row r="4502" spans="1:8" x14ac:dyDescent="0.4">
      <c r="A4502">
        <v>2004</v>
      </c>
      <c r="B4502" s="2" t="s">
        <v>400</v>
      </c>
      <c r="C4502" s="2" t="s">
        <v>710</v>
      </c>
      <c r="D4502" s="2" t="s">
        <v>37</v>
      </c>
      <c r="E4502" s="70" t="s">
        <v>47</v>
      </c>
      <c r="F4502" s="29">
        <v>61</v>
      </c>
      <c r="G4502" s="29">
        <v>40</v>
      </c>
      <c r="H4502" s="33">
        <v>21</v>
      </c>
    </row>
    <row r="4503" spans="1:8" x14ac:dyDescent="0.4">
      <c r="A4503">
        <v>2004</v>
      </c>
      <c r="B4503" s="2" t="s">
        <v>401</v>
      </c>
      <c r="C4503" s="2" t="s">
        <v>710</v>
      </c>
      <c r="D4503" s="2" t="s">
        <v>37</v>
      </c>
      <c r="E4503" s="70" t="s">
        <v>48</v>
      </c>
      <c r="F4503" s="29">
        <v>37</v>
      </c>
      <c r="G4503" s="29">
        <v>26</v>
      </c>
      <c r="H4503" s="33">
        <v>11</v>
      </c>
    </row>
    <row r="4504" spans="1:8" x14ac:dyDescent="0.4">
      <c r="A4504">
        <v>2004</v>
      </c>
      <c r="B4504" s="2" t="s">
        <v>402</v>
      </c>
      <c r="C4504" s="2" t="s">
        <v>710</v>
      </c>
      <c r="D4504" s="2" t="s">
        <v>37</v>
      </c>
      <c r="E4504" s="70" t="s">
        <v>49</v>
      </c>
      <c r="F4504" s="29">
        <v>269</v>
      </c>
      <c r="G4504" s="29">
        <v>173</v>
      </c>
      <c r="H4504" s="33">
        <v>96</v>
      </c>
    </row>
    <row r="4505" spans="1:8" x14ac:dyDescent="0.4">
      <c r="A4505">
        <v>2004</v>
      </c>
      <c r="B4505" s="2" t="s">
        <v>403</v>
      </c>
      <c r="C4505" s="2" t="s">
        <v>710</v>
      </c>
      <c r="D4505" s="2" t="s">
        <v>37</v>
      </c>
      <c r="E4505" s="70" t="s">
        <v>50</v>
      </c>
      <c r="F4505" s="29">
        <v>119</v>
      </c>
      <c r="G4505" s="29">
        <v>78</v>
      </c>
      <c r="H4505" s="33">
        <v>41</v>
      </c>
    </row>
    <row r="4506" spans="1:8" x14ac:dyDescent="0.4">
      <c r="A4506">
        <v>2004</v>
      </c>
      <c r="B4506" s="2" t="s">
        <v>404</v>
      </c>
      <c r="C4506" s="2" t="s">
        <v>710</v>
      </c>
      <c r="D4506" s="2" t="s">
        <v>37</v>
      </c>
      <c r="E4506" s="70" t="s">
        <v>51</v>
      </c>
      <c r="F4506" s="29">
        <v>285</v>
      </c>
      <c r="G4506" s="29">
        <v>160</v>
      </c>
      <c r="H4506" s="33">
        <v>125</v>
      </c>
    </row>
    <row r="4507" spans="1:8" x14ac:dyDescent="0.4">
      <c r="A4507">
        <v>2004</v>
      </c>
      <c r="B4507" s="2" t="s">
        <v>405</v>
      </c>
      <c r="C4507" s="2" t="s">
        <v>710</v>
      </c>
      <c r="D4507" s="2" t="s">
        <v>37</v>
      </c>
      <c r="E4507" s="70" t="s">
        <v>52</v>
      </c>
      <c r="F4507" s="29">
        <v>44</v>
      </c>
      <c r="G4507" s="29">
        <v>32</v>
      </c>
      <c r="H4507" s="33">
        <v>12</v>
      </c>
    </row>
    <row r="4508" spans="1:8" x14ac:dyDescent="0.4">
      <c r="A4508">
        <v>2004</v>
      </c>
      <c r="B4508" s="2" t="s">
        <v>406</v>
      </c>
      <c r="C4508" s="2" t="s">
        <v>710</v>
      </c>
      <c r="D4508" s="2" t="s">
        <v>37</v>
      </c>
      <c r="E4508" s="70" t="s">
        <v>53</v>
      </c>
      <c r="F4508" s="29">
        <v>40</v>
      </c>
      <c r="G4508" s="29">
        <v>24</v>
      </c>
      <c r="H4508" s="33">
        <v>16</v>
      </c>
    </row>
    <row r="4509" spans="1:8" x14ac:dyDescent="0.4">
      <c r="A4509">
        <v>2004</v>
      </c>
      <c r="B4509" s="2" t="s">
        <v>407</v>
      </c>
      <c r="C4509" s="2" t="s">
        <v>710</v>
      </c>
      <c r="D4509" s="2" t="s">
        <v>37</v>
      </c>
      <c r="E4509" s="70" t="s">
        <v>54</v>
      </c>
      <c r="F4509" s="29">
        <v>439</v>
      </c>
      <c r="G4509" s="29">
        <v>280</v>
      </c>
      <c r="H4509" s="33">
        <v>159</v>
      </c>
    </row>
    <row r="4510" spans="1:8" x14ac:dyDescent="0.4">
      <c r="A4510">
        <v>2004</v>
      </c>
      <c r="B4510" s="2" t="s">
        <v>408</v>
      </c>
      <c r="C4510" s="2" t="s">
        <v>711</v>
      </c>
      <c r="D4510" s="2" t="s">
        <v>56</v>
      </c>
      <c r="E4510" s="70" t="s">
        <v>55</v>
      </c>
      <c r="F4510" s="29">
        <v>110</v>
      </c>
      <c r="G4510" s="29">
        <v>74</v>
      </c>
      <c r="H4510" s="33">
        <v>36</v>
      </c>
    </row>
    <row r="4511" spans="1:8" x14ac:dyDescent="0.4">
      <c r="A4511">
        <v>2004</v>
      </c>
      <c r="B4511" s="2" t="s">
        <v>409</v>
      </c>
      <c r="C4511" s="2" t="s">
        <v>711</v>
      </c>
      <c r="D4511" s="2" t="s">
        <v>56</v>
      </c>
      <c r="E4511" s="70" t="s">
        <v>57</v>
      </c>
      <c r="F4511" s="29">
        <v>0</v>
      </c>
      <c r="G4511" s="29">
        <v>0</v>
      </c>
      <c r="H4511" s="33">
        <v>0</v>
      </c>
    </row>
    <row r="4512" spans="1:8" x14ac:dyDescent="0.4">
      <c r="A4512">
        <v>2004</v>
      </c>
      <c r="B4512" s="2" t="s">
        <v>410</v>
      </c>
      <c r="C4512" s="2" t="s">
        <v>711</v>
      </c>
      <c r="D4512" s="2" t="s">
        <v>56</v>
      </c>
      <c r="E4512" s="70" t="s">
        <v>58</v>
      </c>
      <c r="F4512" s="29">
        <v>198</v>
      </c>
      <c r="G4512" s="29">
        <v>127</v>
      </c>
      <c r="H4512" s="33">
        <v>71</v>
      </c>
    </row>
    <row r="4513" spans="1:8" x14ac:dyDescent="0.4">
      <c r="A4513">
        <v>2004</v>
      </c>
      <c r="B4513" s="2" t="s">
        <v>411</v>
      </c>
      <c r="C4513" s="2" t="s">
        <v>711</v>
      </c>
      <c r="D4513" s="2" t="s">
        <v>56</v>
      </c>
      <c r="E4513" s="70" t="s">
        <v>59</v>
      </c>
      <c r="F4513" s="29">
        <v>45</v>
      </c>
      <c r="G4513" s="29">
        <v>25</v>
      </c>
      <c r="H4513" s="33">
        <v>20</v>
      </c>
    </row>
    <row r="4514" spans="1:8" x14ac:dyDescent="0.4">
      <c r="A4514">
        <v>2004</v>
      </c>
      <c r="B4514" s="2" t="s">
        <v>412</v>
      </c>
      <c r="C4514" s="2" t="s">
        <v>711</v>
      </c>
      <c r="D4514" s="2" t="s">
        <v>56</v>
      </c>
      <c r="E4514" s="70" t="s">
        <v>60</v>
      </c>
      <c r="F4514" s="29">
        <v>1639</v>
      </c>
      <c r="G4514" s="29">
        <v>1016</v>
      </c>
      <c r="H4514" s="33">
        <v>623</v>
      </c>
    </row>
    <row r="4515" spans="1:8" x14ac:dyDescent="0.4">
      <c r="A4515">
        <v>2004</v>
      </c>
      <c r="B4515" s="2" t="s">
        <v>413</v>
      </c>
      <c r="C4515" s="2" t="s">
        <v>711</v>
      </c>
      <c r="D4515" s="2" t="s">
        <v>56</v>
      </c>
      <c r="E4515" s="70" t="s">
        <v>36</v>
      </c>
      <c r="F4515" s="29">
        <v>145</v>
      </c>
      <c r="G4515" s="29">
        <v>91</v>
      </c>
      <c r="H4515" s="33">
        <v>54</v>
      </c>
    </row>
    <row r="4516" spans="1:8" x14ac:dyDescent="0.4">
      <c r="A4516">
        <v>2004</v>
      </c>
      <c r="B4516" s="2" t="s">
        <v>414</v>
      </c>
      <c r="C4516" s="2" t="s">
        <v>711</v>
      </c>
      <c r="D4516" s="2" t="s">
        <v>56</v>
      </c>
      <c r="E4516" s="70" t="s">
        <v>61</v>
      </c>
      <c r="F4516" s="29">
        <v>78</v>
      </c>
      <c r="G4516" s="29">
        <v>51</v>
      </c>
      <c r="H4516" s="33">
        <v>27</v>
      </c>
    </row>
    <row r="4517" spans="1:8" x14ac:dyDescent="0.4">
      <c r="A4517">
        <v>2004</v>
      </c>
      <c r="B4517" s="2" t="s">
        <v>415</v>
      </c>
      <c r="C4517" s="2" t="s">
        <v>711</v>
      </c>
      <c r="D4517" s="2" t="s">
        <v>56</v>
      </c>
      <c r="E4517" s="70" t="s">
        <v>62</v>
      </c>
      <c r="F4517" s="29">
        <v>231</v>
      </c>
      <c r="G4517" s="29">
        <v>139</v>
      </c>
      <c r="H4517" s="33">
        <v>92</v>
      </c>
    </row>
    <row r="4518" spans="1:8" x14ac:dyDescent="0.4">
      <c r="A4518">
        <v>2004</v>
      </c>
      <c r="B4518" s="2" t="s">
        <v>416</v>
      </c>
      <c r="C4518" s="2" t="s">
        <v>711</v>
      </c>
      <c r="D4518" s="2" t="s">
        <v>56</v>
      </c>
      <c r="E4518" s="70" t="s">
        <v>63</v>
      </c>
      <c r="F4518" s="29">
        <v>66</v>
      </c>
      <c r="G4518" s="29">
        <v>41</v>
      </c>
      <c r="H4518" s="33">
        <v>25</v>
      </c>
    </row>
    <row r="4519" spans="1:8" x14ac:dyDescent="0.4">
      <c r="A4519">
        <v>2004</v>
      </c>
      <c r="B4519" s="2" t="s">
        <v>417</v>
      </c>
      <c r="C4519" s="2" t="s">
        <v>711</v>
      </c>
      <c r="D4519" s="2" t="s">
        <v>56</v>
      </c>
      <c r="E4519" s="70" t="s">
        <v>64</v>
      </c>
      <c r="F4519" s="29">
        <v>164</v>
      </c>
      <c r="G4519" s="29">
        <v>94</v>
      </c>
      <c r="H4519" s="33">
        <v>70</v>
      </c>
    </row>
    <row r="4520" spans="1:8" x14ac:dyDescent="0.4">
      <c r="A4520">
        <v>2004</v>
      </c>
      <c r="B4520" s="2" t="s">
        <v>418</v>
      </c>
      <c r="C4520" s="2" t="s">
        <v>711</v>
      </c>
      <c r="D4520" s="2" t="s">
        <v>56</v>
      </c>
      <c r="E4520" s="70" t="s">
        <v>65</v>
      </c>
      <c r="F4520" s="29">
        <v>80</v>
      </c>
      <c r="G4520" s="29">
        <v>51</v>
      </c>
      <c r="H4520" s="33">
        <v>29</v>
      </c>
    </row>
    <row r="4521" spans="1:8" x14ac:dyDescent="0.4">
      <c r="A4521">
        <v>2004</v>
      </c>
      <c r="B4521" s="2" t="s">
        <v>419</v>
      </c>
      <c r="C4521" s="2" t="s">
        <v>711</v>
      </c>
      <c r="D4521" s="2" t="s">
        <v>56</v>
      </c>
      <c r="E4521" s="70" t="s">
        <v>66</v>
      </c>
      <c r="F4521" s="29">
        <v>37</v>
      </c>
      <c r="G4521" s="29">
        <v>22</v>
      </c>
      <c r="H4521" s="33">
        <v>15</v>
      </c>
    </row>
    <row r="4522" spans="1:8" x14ac:dyDescent="0.4">
      <c r="A4522">
        <v>2004</v>
      </c>
      <c r="B4522" s="2" t="s">
        <v>420</v>
      </c>
      <c r="C4522" s="2" t="s">
        <v>712</v>
      </c>
      <c r="D4522" s="2" t="s">
        <v>68</v>
      </c>
      <c r="E4522" s="70" t="s">
        <v>67</v>
      </c>
      <c r="F4522" s="29">
        <v>3411</v>
      </c>
      <c r="G4522" s="29">
        <v>2231</v>
      </c>
      <c r="H4522" s="33">
        <v>1180</v>
      </c>
    </row>
    <row r="4523" spans="1:8" x14ac:dyDescent="0.4">
      <c r="A4523">
        <v>2004</v>
      </c>
      <c r="B4523" s="2" t="s">
        <v>421</v>
      </c>
      <c r="C4523" s="2" t="s">
        <v>712</v>
      </c>
      <c r="D4523" s="2" t="s">
        <v>68</v>
      </c>
      <c r="E4523" s="70" t="s">
        <v>69</v>
      </c>
      <c r="F4523" s="29">
        <v>184</v>
      </c>
      <c r="G4523" s="29">
        <v>95</v>
      </c>
      <c r="H4523" s="33">
        <v>89</v>
      </c>
    </row>
    <row r="4524" spans="1:8" x14ac:dyDescent="0.4">
      <c r="A4524">
        <v>2004</v>
      </c>
      <c r="B4524" s="2" t="s">
        <v>422</v>
      </c>
      <c r="C4524" s="2" t="s">
        <v>712</v>
      </c>
      <c r="D4524" s="2" t="s">
        <v>68</v>
      </c>
      <c r="E4524" s="70" t="s">
        <v>70</v>
      </c>
      <c r="F4524" s="29">
        <v>68</v>
      </c>
      <c r="G4524" s="29">
        <v>44</v>
      </c>
      <c r="H4524" s="33">
        <v>24</v>
      </c>
    </row>
    <row r="4525" spans="1:8" x14ac:dyDescent="0.4">
      <c r="A4525">
        <v>2004</v>
      </c>
      <c r="B4525" s="2" t="s">
        <v>423</v>
      </c>
      <c r="C4525" s="2" t="s">
        <v>712</v>
      </c>
      <c r="D4525" s="2" t="s">
        <v>68</v>
      </c>
      <c r="E4525" s="70" t="s">
        <v>71</v>
      </c>
      <c r="F4525" s="29">
        <v>71</v>
      </c>
      <c r="G4525" s="29">
        <v>48</v>
      </c>
      <c r="H4525" s="33">
        <v>23</v>
      </c>
    </row>
    <row r="4526" spans="1:8" x14ac:dyDescent="0.4">
      <c r="A4526">
        <v>2004</v>
      </c>
      <c r="B4526" s="2" t="s">
        <v>424</v>
      </c>
      <c r="C4526" s="2" t="s">
        <v>712</v>
      </c>
      <c r="D4526" s="2" t="s">
        <v>68</v>
      </c>
      <c r="E4526" s="70" t="s">
        <v>72</v>
      </c>
      <c r="F4526" s="29">
        <v>1918</v>
      </c>
      <c r="G4526" s="29">
        <v>1139</v>
      </c>
      <c r="H4526" s="33">
        <v>779</v>
      </c>
    </row>
    <row r="4527" spans="1:8" x14ac:dyDescent="0.4">
      <c r="A4527">
        <v>2004</v>
      </c>
      <c r="B4527" s="2" t="s">
        <v>425</v>
      </c>
      <c r="C4527" s="2" t="s">
        <v>712</v>
      </c>
      <c r="D4527" s="2" t="s">
        <v>68</v>
      </c>
      <c r="E4527" s="70" t="s">
        <v>73</v>
      </c>
      <c r="F4527" s="29">
        <v>37</v>
      </c>
      <c r="G4527" s="29">
        <v>22</v>
      </c>
      <c r="H4527" s="33">
        <v>15</v>
      </c>
    </row>
    <row r="4528" spans="1:8" x14ac:dyDescent="0.4">
      <c r="A4528">
        <v>2004</v>
      </c>
      <c r="B4528" s="2" t="s">
        <v>426</v>
      </c>
      <c r="C4528" s="2" t="s">
        <v>712</v>
      </c>
      <c r="D4528" s="2" t="s">
        <v>68</v>
      </c>
      <c r="E4528" s="70" t="s">
        <v>74</v>
      </c>
      <c r="F4528" s="29">
        <v>382</v>
      </c>
      <c r="G4528" s="29">
        <v>250</v>
      </c>
      <c r="H4528" s="33">
        <v>132</v>
      </c>
    </row>
    <row r="4529" spans="1:8" x14ac:dyDescent="0.4">
      <c r="A4529">
        <v>2004</v>
      </c>
      <c r="B4529" s="2" t="s">
        <v>427</v>
      </c>
      <c r="C4529" s="2" t="s">
        <v>712</v>
      </c>
      <c r="D4529" s="2" t="s">
        <v>68</v>
      </c>
      <c r="E4529" s="70" t="s">
        <v>75</v>
      </c>
      <c r="F4529" s="29">
        <v>56</v>
      </c>
      <c r="G4529" s="29">
        <v>42</v>
      </c>
      <c r="H4529" s="33">
        <v>14</v>
      </c>
    </row>
    <row r="4530" spans="1:8" x14ac:dyDescent="0.4">
      <c r="A4530">
        <v>2004</v>
      </c>
      <c r="B4530" s="2" t="s">
        <v>428</v>
      </c>
      <c r="C4530" s="2" t="s">
        <v>712</v>
      </c>
      <c r="D4530" s="2" t="s">
        <v>68</v>
      </c>
      <c r="E4530" s="70" t="s">
        <v>76</v>
      </c>
      <c r="F4530" s="29">
        <v>47</v>
      </c>
      <c r="G4530" s="29">
        <v>26</v>
      </c>
      <c r="H4530" s="33">
        <v>21</v>
      </c>
    </row>
    <row r="4531" spans="1:8" x14ac:dyDescent="0.4">
      <c r="A4531">
        <v>2004</v>
      </c>
      <c r="B4531" s="2" t="s">
        <v>429</v>
      </c>
      <c r="C4531" s="2" t="s">
        <v>712</v>
      </c>
      <c r="D4531" s="2" t="s">
        <v>68</v>
      </c>
      <c r="E4531" s="70" t="s">
        <v>77</v>
      </c>
      <c r="F4531" s="29">
        <v>105</v>
      </c>
      <c r="G4531" s="29">
        <v>73</v>
      </c>
      <c r="H4531" s="33">
        <v>32</v>
      </c>
    </row>
    <row r="4532" spans="1:8" x14ac:dyDescent="0.4">
      <c r="A4532">
        <v>2004</v>
      </c>
      <c r="B4532" s="2" t="s">
        <v>430</v>
      </c>
      <c r="C4532" s="2" t="s">
        <v>712</v>
      </c>
      <c r="D4532" s="2" t="s">
        <v>68</v>
      </c>
      <c r="E4532" s="70" t="s">
        <v>51</v>
      </c>
      <c r="F4532" s="29">
        <v>24</v>
      </c>
      <c r="G4532" s="29">
        <v>17</v>
      </c>
      <c r="H4532" s="33">
        <v>7</v>
      </c>
    </row>
    <row r="4533" spans="1:8" x14ac:dyDescent="0.4">
      <c r="A4533">
        <v>2004</v>
      </c>
      <c r="B4533" s="2" t="s">
        <v>431</v>
      </c>
      <c r="C4533" s="2" t="s">
        <v>713</v>
      </c>
      <c r="D4533" s="2" t="s">
        <v>79</v>
      </c>
      <c r="E4533" s="70" t="s">
        <v>78</v>
      </c>
      <c r="F4533" s="29">
        <v>253</v>
      </c>
      <c r="G4533" s="29">
        <v>137</v>
      </c>
      <c r="H4533" s="33">
        <v>116</v>
      </c>
    </row>
    <row r="4534" spans="1:8" x14ac:dyDescent="0.4">
      <c r="A4534">
        <v>2004</v>
      </c>
      <c r="B4534" s="2" t="s">
        <v>432</v>
      </c>
      <c r="C4534" s="2" t="s">
        <v>713</v>
      </c>
      <c r="D4534" s="2" t="s">
        <v>79</v>
      </c>
      <c r="E4534" s="70" t="s">
        <v>80</v>
      </c>
      <c r="F4534" s="29">
        <v>419</v>
      </c>
      <c r="G4534" s="29">
        <v>276</v>
      </c>
      <c r="H4534" s="33">
        <v>143</v>
      </c>
    </row>
    <row r="4535" spans="1:8" x14ac:dyDescent="0.4">
      <c r="A4535">
        <v>2004</v>
      </c>
      <c r="B4535" s="2" t="s">
        <v>433</v>
      </c>
      <c r="C4535" s="2" t="s">
        <v>713</v>
      </c>
      <c r="D4535" s="2" t="s">
        <v>79</v>
      </c>
      <c r="E4535" s="70" t="s">
        <v>81</v>
      </c>
      <c r="F4535" s="29">
        <v>307</v>
      </c>
      <c r="G4535" s="29">
        <v>196</v>
      </c>
      <c r="H4535" s="33">
        <v>111</v>
      </c>
    </row>
    <row r="4536" spans="1:8" x14ac:dyDescent="0.4">
      <c r="A4536">
        <v>2004</v>
      </c>
      <c r="B4536" s="2" t="s">
        <v>434</v>
      </c>
      <c r="C4536" s="2" t="s">
        <v>713</v>
      </c>
      <c r="D4536" s="2" t="s">
        <v>79</v>
      </c>
      <c r="E4536" s="70" t="s">
        <v>82</v>
      </c>
      <c r="F4536" s="29">
        <v>442</v>
      </c>
      <c r="G4536" s="29">
        <v>277</v>
      </c>
      <c r="H4536" s="33">
        <v>165</v>
      </c>
    </row>
    <row r="4537" spans="1:8" x14ac:dyDescent="0.4">
      <c r="A4537">
        <v>2004</v>
      </c>
      <c r="B4537" s="2" t="s">
        <v>435</v>
      </c>
      <c r="C4537" s="2" t="s">
        <v>713</v>
      </c>
      <c r="D4537" s="2" t="s">
        <v>79</v>
      </c>
      <c r="E4537" s="70" t="s">
        <v>83</v>
      </c>
      <c r="F4537" s="29">
        <v>168</v>
      </c>
      <c r="G4537" s="29">
        <v>120</v>
      </c>
      <c r="H4537" s="33">
        <v>48</v>
      </c>
    </row>
    <row r="4538" spans="1:8" x14ac:dyDescent="0.4">
      <c r="A4538">
        <v>2004</v>
      </c>
      <c r="B4538" s="2" t="s">
        <v>436</v>
      </c>
      <c r="C4538" s="2" t="s">
        <v>713</v>
      </c>
      <c r="D4538" s="2" t="s">
        <v>79</v>
      </c>
      <c r="E4538" s="70" t="s">
        <v>44</v>
      </c>
      <c r="F4538" s="29">
        <v>455</v>
      </c>
      <c r="G4538" s="29">
        <v>341</v>
      </c>
      <c r="H4538" s="33">
        <v>114</v>
      </c>
    </row>
    <row r="4539" spans="1:8" x14ac:dyDescent="0.4">
      <c r="A4539">
        <v>2004</v>
      </c>
      <c r="B4539" s="2" t="s">
        <v>437</v>
      </c>
      <c r="C4539" s="2" t="s">
        <v>713</v>
      </c>
      <c r="D4539" s="2" t="s">
        <v>79</v>
      </c>
      <c r="E4539" s="70" t="s">
        <v>84</v>
      </c>
      <c r="F4539" s="29">
        <v>248</v>
      </c>
      <c r="G4539" s="29">
        <v>172</v>
      </c>
      <c r="H4539" s="33">
        <v>76</v>
      </c>
    </row>
    <row r="4540" spans="1:8" x14ac:dyDescent="0.4">
      <c r="A4540">
        <v>2004</v>
      </c>
      <c r="B4540" s="2" t="s">
        <v>438</v>
      </c>
      <c r="C4540" s="2" t="s">
        <v>713</v>
      </c>
      <c r="D4540" s="2" t="s">
        <v>79</v>
      </c>
      <c r="E4540" s="70" t="s">
        <v>85</v>
      </c>
      <c r="F4540" s="29">
        <v>69</v>
      </c>
      <c r="G4540" s="29">
        <v>42</v>
      </c>
      <c r="H4540" s="33">
        <v>27</v>
      </c>
    </row>
    <row r="4541" spans="1:8" x14ac:dyDescent="0.4">
      <c r="A4541">
        <v>2004</v>
      </c>
      <c r="B4541" s="2" t="s">
        <v>439</v>
      </c>
      <c r="C4541" s="2" t="s">
        <v>713</v>
      </c>
      <c r="D4541" s="2" t="s">
        <v>79</v>
      </c>
      <c r="E4541" s="70" t="s">
        <v>86</v>
      </c>
      <c r="F4541" s="29">
        <v>47</v>
      </c>
      <c r="G4541" s="29">
        <v>32</v>
      </c>
      <c r="H4541" s="33">
        <v>15</v>
      </c>
    </row>
    <row r="4542" spans="1:8" x14ac:dyDescent="0.4">
      <c r="A4542">
        <v>2004</v>
      </c>
      <c r="B4542" s="2" t="s">
        <v>440</v>
      </c>
      <c r="C4542" s="2" t="s">
        <v>713</v>
      </c>
      <c r="D4542" s="2" t="s">
        <v>79</v>
      </c>
      <c r="E4542" s="70" t="s">
        <v>87</v>
      </c>
      <c r="F4542" s="29">
        <v>1255</v>
      </c>
      <c r="G4542" s="29">
        <v>706</v>
      </c>
      <c r="H4542" s="33">
        <v>549</v>
      </c>
    </row>
    <row r="4543" spans="1:8" x14ac:dyDescent="0.4">
      <c r="A4543">
        <v>2004</v>
      </c>
      <c r="B4543" s="2" t="s">
        <v>441</v>
      </c>
      <c r="C4543" s="2" t="s">
        <v>713</v>
      </c>
      <c r="D4543" s="2" t="s">
        <v>79</v>
      </c>
      <c r="E4543" s="70" t="s">
        <v>88</v>
      </c>
      <c r="F4543" s="29">
        <v>1088</v>
      </c>
      <c r="G4543" s="29">
        <v>668</v>
      </c>
      <c r="H4543" s="33">
        <v>420</v>
      </c>
    </row>
    <row r="4544" spans="1:8" x14ac:dyDescent="0.4">
      <c r="A4544">
        <v>2004</v>
      </c>
      <c r="B4544" s="2" t="s">
        <v>442</v>
      </c>
      <c r="C4544" s="2" t="s">
        <v>713</v>
      </c>
      <c r="D4544" s="2" t="s">
        <v>79</v>
      </c>
      <c r="E4544" s="70" t="s">
        <v>89</v>
      </c>
      <c r="F4544" s="29">
        <v>107</v>
      </c>
      <c r="G4544" s="29">
        <v>52</v>
      </c>
      <c r="H4544" s="33">
        <v>55</v>
      </c>
    </row>
    <row r="4545" spans="1:8" x14ac:dyDescent="0.4">
      <c r="A4545">
        <v>2004</v>
      </c>
      <c r="B4545" s="2" t="s">
        <v>443</v>
      </c>
      <c r="C4545" s="2" t="s">
        <v>713</v>
      </c>
      <c r="D4545" s="2" t="s">
        <v>79</v>
      </c>
      <c r="E4545" s="70" t="s">
        <v>90</v>
      </c>
      <c r="F4545" s="29">
        <v>141</v>
      </c>
      <c r="G4545" s="29">
        <v>86</v>
      </c>
      <c r="H4545" s="33">
        <v>55</v>
      </c>
    </row>
    <row r="4546" spans="1:8" x14ac:dyDescent="0.4">
      <c r="A4546">
        <v>2004</v>
      </c>
      <c r="B4546" s="2" t="s">
        <v>444</v>
      </c>
      <c r="C4546" s="2" t="s">
        <v>713</v>
      </c>
      <c r="D4546" s="2" t="s">
        <v>79</v>
      </c>
      <c r="E4546" s="70" t="s">
        <v>91</v>
      </c>
      <c r="F4546" s="29">
        <v>4315</v>
      </c>
      <c r="G4546" s="29">
        <v>2582</v>
      </c>
      <c r="H4546" s="33">
        <v>1733</v>
      </c>
    </row>
    <row r="4547" spans="1:8" x14ac:dyDescent="0.4">
      <c r="A4547">
        <v>2004</v>
      </c>
      <c r="B4547" s="2" t="s">
        <v>445</v>
      </c>
      <c r="C4547" s="2" t="s">
        <v>714</v>
      </c>
      <c r="D4547" s="2" t="s">
        <v>93</v>
      </c>
      <c r="E4547" s="70" t="s">
        <v>92</v>
      </c>
      <c r="F4547" s="29">
        <v>42</v>
      </c>
      <c r="G4547" s="29">
        <v>30</v>
      </c>
      <c r="H4547" s="33">
        <v>12</v>
      </c>
    </row>
    <row r="4548" spans="1:8" x14ac:dyDescent="0.4">
      <c r="A4548">
        <v>2004</v>
      </c>
      <c r="B4548" s="2" t="s">
        <v>446</v>
      </c>
      <c r="C4548" s="2" t="s">
        <v>714</v>
      </c>
      <c r="D4548" s="2" t="s">
        <v>93</v>
      </c>
      <c r="E4548" s="70" t="s">
        <v>94</v>
      </c>
      <c r="F4548" s="29">
        <v>329</v>
      </c>
      <c r="G4548" s="29">
        <v>201</v>
      </c>
      <c r="H4548" s="33">
        <v>128</v>
      </c>
    </row>
    <row r="4549" spans="1:8" x14ac:dyDescent="0.4">
      <c r="A4549">
        <v>2004</v>
      </c>
      <c r="B4549" s="2" t="s">
        <v>447</v>
      </c>
      <c r="C4549" s="2" t="s">
        <v>714</v>
      </c>
      <c r="D4549" s="2" t="s">
        <v>93</v>
      </c>
      <c r="E4549" s="70" t="s">
        <v>40</v>
      </c>
      <c r="F4549" s="29">
        <v>28</v>
      </c>
      <c r="G4549" s="29">
        <v>18</v>
      </c>
      <c r="H4549" s="33">
        <v>10</v>
      </c>
    </row>
    <row r="4550" spans="1:8" x14ac:dyDescent="0.4">
      <c r="A4550">
        <v>2004</v>
      </c>
      <c r="B4550" s="2" t="s">
        <v>448</v>
      </c>
      <c r="C4550" s="2" t="s">
        <v>714</v>
      </c>
      <c r="D4550" s="2" t="s">
        <v>93</v>
      </c>
      <c r="E4550" s="70" t="s">
        <v>95</v>
      </c>
      <c r="F4550" s="29">
        <v>25</v>
      </c>
      <c r="G4550" s="29">
        <v>14</v>
      </c>
      <c r="H4550" s="33">
        <v>11</v>
      </c>
    </row>
    <row r="4551" spans="1:8" x14ac:dyDescent="0.4">
      <c r="A4551">
        <v>2004</v>
      </c>
      <c r="B4551" s="2" t="s">
        <v>449</v>
      </c>
      <c r="C4551" s="2" t="s">
        <v>714</v>
      </c>
      <c r="D4551" s="2" t="s">
        <v>93</v>
      </c>
      <c r="E4551" s="70" t="s">
        <v>96</v>
      </c>
      <c r="F4551" s="29">
        <v>59</v>
      </c>
      <c r="G4551" s="29">
        <v>34</v>
      </c>
      <c r="H4551" s="33">
        <v>25</v>
      </c>
    </row>
    <row r="4552" spans="1:8" x14ac:dyDescent="0.4">
      <c r="A4552">
        <v>2004</v>
      </c>
      <c r="B4552" s="2" t="s">
        <v>450</v>
      </c>
      <c r="C4552" s="2" t="s">
        <v>714</v>
      </c>
      <c r="D4552" s="2" t="s">
        <v>93</v>
      </c>
      <c r="E4552" s="70" t="s">
        <v>97</v>
      </c>
      <c r="F4552" s="29">
        <v>19</v>
      </c>
      <c r="G4552" s="29">
        <v>12</v>
      </c>
      <c r="H4552" s="33">
        <v>7</v>
      </c>
    </row>
    <row r="4553" spans="1:8" x14ac:dyDescent="0.4">
      <c r="A4553">
        <v>2004</v>
      </c>
      <c r="B4553" s="2" t="s">
        <v>451</v>
      </c>
      <c r="C4553" s="2" t="s">
        <v>714</v>
      </c>
      <c r="D4553" s="2" t="s">
        <v>93</v>
      </c>
      <c r="E4553" s="70" t="s">
        <v>34</v>
      </c>
      <c r="F4553" s="29">
        <v>42</v>
      </c>
      <c r="G4553" s="29">
        <v>27</v>
      </c>
      <c r="H4553" s="33">
        <v>15</v>
      </c>
    </row>
    <row r="4554" spans="1:8" x14ac:dyDescent="0.4">
      <c r="A4554">
        <v>2004</v>
      </c>
      <c r="B4554" s="2" t="s">
        <v>452</v>
      </c>
      <c r="C4554" s="2" t="s">
        <v>714</v>
      </c>
      <c r="D4554" s="2" t="s">
        <v>93</v>
      </c>
      <c r="E4554" s="70" t="s">
        <v>98</v>
      </c>
      <c r="F4554" s="29">
        <v>551</v>
      </c>
      <c r="G4554" s="29">
        <v>342</v>
      </c>
      <c r="H4554" s="33">
        <v>209</v>
      </c>
    </row>
    <row r="4555" spans="1:8" x14ac:dyDescent="0.4">
      <c r="A4555">
        <v>2004</v>
      </c>
      <c r="B4555" s="2" t="s">
        <v>453</v>
      </c>
      <c r="C4555" s="2" t="s">
        <v>714</v>
      </c>
      <c r="D4555" s="2" t="s">
        <v>93</v>
      </c>
      <c r="E4555" s="70" t="s">
        <v>99</v>
      </c>
      <c r="F4555" s="29">
        <v>90</v>
      </c>
      <c r="G4555" s="29">
        <v>56</v>
      </c>
      <c r="H4555" s="33">
        <v>34</v>
      </c>
    </row>
    <row r="4556" spans="1:8" x14ac:dyDescent="0.4">
      <c r="A4556">
        <v>2004</v>
      </c>
      <c r="B4556" s="2" t="s">
        <v>454</v>
      </c>
      <c r="C4556" s="2" t="s">
        <v>715</v>
      </c>
      <c r="D4556" s="2" t="s">
        <v>101</v>
      </c>
      <c r="E4556" s="70" t="s">
        <v>100</v>
      </c>
      <c r="F4556" s="29">
        <v>46</v>
      </c>
      <c r="G4556" s="29">
        <v>21</v>
      </c>
      <c r="H4556" s="33">
        <v>25</v>
      </c>
    </row>
    <row r="4557" spans="1:8" x14ac:dyDescent="0.4">
      <c r="A4557">
        <v>2004</v>
      </c>
      <c r="B4557" s="2" t="s">
        <v>455</v>
      </c>
      <c r="C4557" s="2" t="s">
        <v>715</v>
      </c>
      <c r="D4557" s="2" t="s">
        <v>101</v>
      </c>
      <c r="E4557" s="70" t="s">
        <v>102</v>
      </c>
      <c r="F4557" s="29">
        <v>43</v>
      </c>
      <c r="G4557" s="29">
        <v>37</v>
      </c>
      <c r="H4557" s="33">
        <v>6</v>
      </c>
    </row>
    <row r="4558" spans="1:8" x14ac:dyDescent="0.4">
      <c r="A4558">
        <v>2004</v>
      </c>
      <c r="B4558" s="2" t="s">
        <v>456</v>
      </c>
      <c r="C4558" s="2" t="s">
        <v>715</v>
      </c>
      <c r="D4558" s="14" t="s">
        <v>101</v>
      </c>
      <c r="E4558" s="69" t="s">
        <v>103</v>
      </c>
      <c r="F4558" s="11">
        <v>17</v>
      </c>
      <c r="G4558" s="11">
        <v>11</v>
      </c>
      <c r="H4558" s="33">
        <v>6</v>
      </c>
    </row>
    <row r="4559" spans="1:8" x14ac:dyDescent="0.4">
      <c r="A4559">
        <v>2004</v>
      </c>
      <c r="B4559" s="2" t="s">
        <v>457</v>
      </c>
      <c r="C4559" s="2" t="s">
        <v>715</v>
      </c>
      <c r="D4559" s="2" t="s">
        <v>101</v>
      </c>
      <c r="E4559" s="70" t="s">
        <v>104</v>
      </c>
      <c r="F4559" s="29">
        <v>310</v>
      </c>
      <c r="G4559" s="29">
        <v>193</v>
      </c>
      <c r="H4559" s="33">
        <v>117</v>
      </c>
    </row>
    <row r="4560" spans="1:8" x14ac:dyDescent="0.4">
      <c r="A4560">
        <v>2004</v>
      </c>
      <c r="B4560" s="2" t="s">
        <v>458</v>
      </c>
      <c r="C4560" s="2" t="s">
        <v>716</v>
      </c>
      <c r="D4560" s="2" t="s">
        <v>129</v>
      </c>
      <c r="E4560" s="70" t="s">
        <v>128</v>
      </c>
      <c r="F4560" s="29">
        <v>44</v>
      </c>
      <c r="G4560" s="29">
        <v>20</v>
      </c>
      <c r="H4560" s="33">
        <v>24</v>
      </c>
    </row>
    <row r="4561" spans="1:8" x14ac:dyDescent="0.4">
      <c r="A4561">
        <v>2004</v>
      </c>
      <c r="B4561" s="2" t="s">
        <v>459</v>
      </c>
      <c r="C4561" s="2" t="s">
        <v>716</v>
      </c>
      <c r="D4561" s="2" t="s">
        <v>129</v>
      </c>
      <c r="E4561" s="70" t="s">
        <v>36</v>
      </c>
      <c r="F4561" s="29">
        <v>17</v>
      </c>
      <c r="G4561" s="29">
        <v>10</v>
      </c>
      <c r="H4561" s="33">
        <v>7</v>
      </c>
    </row>
    <row r="4562" spans="1:8" x14ac:dyDescent="0.4">
      <c r="A4562">
        <v>2004</v>
      </c>
      <c r="B4562" s="2" t="s">
        <v>460</v>
      </c>
      <c r="C4562" s="2" t="s">
        <v>716</v>
      </c>
      <c r="D4562" s="2" t="s">
        <v>129</v>
      </c>
      <c r="E4562" s="70" t="s">
        <v>130</v>
      </c>
      <c r="F4562" s="29">
        <v>50</v>
      </c>
      <c r="G4562" s="29">
        <v>25</v>
      </c>
      <c r="H4562" s="33">
        <v>25</v>
      </c>
    </row>
    <row r="4563" spans="1:8" x14ac:dyDescent="0.4">
      <c r="A4563">
        <v>2004</v>
      </c>
      <c r="B4563" s="2" t="s">
        <v>461</v>
      </c>
      <c r="C4563" s="2" t="s">
        <v>716</v>
      </c>
      <c r="D4563" s="2" t="s">
        <v>129</v>
      </c>
      <c r="E4563" s="70" t="s">
        <v>131</v>
      </c>
      <c r="F4563" s="29">
        <v>23</v>
      </c>
      <c r="G4563" s="29">
        <v>17</v>
      </c>
      <c r="H4563" s="33">
        <v>6</v>
      </c>
    </row>
    <row r="4564" spans="1:8" x14ac:dyDescent="0.4">
      <c r="A4564">
        <v>2004</v>
      </c>
      <c r="B4564" s="2" t="s">
        <v>462</v>
      </c>
      <c r="C4564" s="2" t="s">
        <v>716</v>
      </c>
      <c r="D4564" s="2" t="s">
        <v>129</v>
      </c>
      <c r="E4564" s="70" t="s">
        <v>132</v>
      </c>
      <c r="F4564" s="29">
        <v>670</v>
      </c>
      <c r="G4564" s="29">
        <v>370</v>
      </c>
      <c r="H4564" s="33">
        <v>300</v>
      </c>
    </row>
    <row r="4565" spans="1:8" x14ac:dyDescent="0.4">
      <c r="A4565">
        <v>2004</v>
      </c>
      <c r="B4565" s="2" t="s">
        <v>463</v>
      </c>
      <c r="C4565" s="2" t="s">
        <v>716</v>
      </c>
      <c r="D4565" s="2" t="s">
        <v>129</v>
      </c>
      <c r="E4565" s="70" t="s">
        <v>133</v>
      </c>
      <c r="F4565" s="29">
        <v>59</v>
      </c>
      <c r="G4565" s="29">
        <v>37</v>
      </c>
      <c r="H4565" s="33">
        <v>22</v>
      </c>
    </row>
    <row r="4566" spans="1:8" x14ac:dyDescent="0.4">
      <c r="A4566">
        <v>2004</v>
      </c>
      <c r="B4566" s="2" t="s">
        <v>464</v>
      </c>
      <c r="C4566" s="2" t="s">
        <v>716</v>
      </c>
      <c r="D4566" s="2" t="s">
        <v>129</v>
      </c>
      <c r="E4566" s="70" t="s">
        <v>134</v>
      </c>
      <c r="F4566" s="29">
        <v>55</v>
      </c>
      <c r="G4566" s="29">
        <v>30</v>
      </c>
      <c r="H4566" s="33">
        <v>25</v>
      </c>
    </row>
    <row r="4567" spans="1:8" x14ac:dyDescent="0.4">
      <c r="A4567">
        <v>2004</v>
      </c>
      <c r="B4567" s="2" t="s">
        <v>465</v>
      </c>
      <c r="C4567" s="2" t="s">
        <v>716</v>
      </c>
      <c r="D4567" s="2" t="s">
        <v>129</v>
      </c>
      <c r="E4567" s="70" t="s">
        <v>135</v>
      </c>
      <c r="F4567" s="29">
        <v>25</v>
      </c>
      <c r="G4567" s="29">
        <v>10</v>
      </c>
      <c r="H4567" s="33">
        <v>15</v>
      </c>
    </row>
    <row r="4568" spans="1:8" x14ac:dyDescent="0.4">
      <c r="A4568">
        <v>2004</v>
      </c>
      <c r="B4568" s="2" t="s">
        <v>466</v>
      </c>
      <c r="C4568" s="2" t="s">
        <v>716</v>
      </c>
      <c r="D4568" s="2" t="s">
        <v>129</v>
      </c>
      <c r="E4568" s="70" t="s">
        <v>94</v>
      </c>
      <c r="F4568" s="29">
        <v>67</v>
      </c>
      <c r="G4568" s="29">
        <v>35</v>
      </c>
      <c r="H4568" s="33">
        <v>32</v>
      </c>
    </row>
    <row r="4569" spans="1:8" x14ac:dyDescent="0.4">
      <c r="A4569">
        <v>2004</v>
      </c>
      <c r="B4569" s="2" t="s">
        <v>467</v>
      </c>
      <c r="C4569" s="2" t="s">
        <v>716</v>
      </c>
      <c r="D4569" s="2" t="s">
        <v>129</v>
      </c>
      <c r="E4569" s="70" t="s">
        <v>136</v>
      </c>
      <c r="F4569" s="29">
        <v>92</v>
      </c>
      <c r="G4569" s="29">
        <v>44</v>
      </c>
      <c r="H4569" s="33">
        <v>48</v>
      </c>
    </row>
    <row r="4570" spans="1:8" x14ac:dyDescent="0.4">
      <c r="A4570">
        <v>2004</v>
      </c>
      <c r="B4570" s="2" t="s">
        <v>468</v>
      </c>
      <c r="C4570" s="2" t="s">
        <v>716</v>
      </c>
      <c r="D4570" s="2" t="s">
        <v>129</v>
      </c>
      <c r="E4570" s="70" t="s">
        <v>137</v>
      </c>
      <c r="F4570" s="29">
        <v>23</v>
      </c>
      <c r="G4570" s="29">
        <v>15</v>
      </c>
      <c r="H4570" s="33">
        <v>8</v>
      </c>
    </row>
    <row r="4571" spans="1:8" x14ac:dyDescent="0.4">
      <c r="A4571">
        <v>2004</v>
      </c>
      <c r="B4571" s="2" t="s">
        <v>469</v>
      </c>
      <c r="C4571" s="2" t="s">
        <v>716</v>
      </c>
      <c r="D4571" s="2" t="s">
        <v>129</v>
      </c>
      <c r="E4571" s="70" t="s">
        <v>138</v>
      </c>
      <c r="F4571" s="29">
        <v>110</v>
      </c>
      <c r="G4571" s="29">
        <v>75</v>
      </c>
      <c r="H4571" s="33">
        <v>35</v>
      </c>
    </row>
    <row r="4572" spans="1:8" x14ac:dyDescent="0.4">
      <c r="A4572">
        <v>2004</v>
      </c>
      <c r="B4572" s="2" t="s">
        <v>470</v>
      </c>
      <c r="C4572" s="2" t="s">
        <v>716</v>
      </c>
      <c r="D4572" s="2" t="s">
        <v>129</v>
      </c>
      <c r="E4572" s="70" t="s">
        <v>139</v>
      </c>
      <c r="F4572" s="29">
        <v>84</v>
      </c>
      <c r="G4572" s="29">
        <v>46</v>
      </c>
      <c r="H4572" s="33">
        <v>38</v>
      </c>
    </row>
    <row r="4573" spans="1:8" x14ac:dyDescent="0.4">
      <c r="A4573">
        <v>2004</v>
      </c>
      <c r="B4573" s="2" t="s">
        <v>471</v>
      </c>
      <c r="C4573" s="2" t="s">
        <v>716</v>
      </c>
      <c r="D4573" s="2" t="s">
        <v>129</v>
      </c>
      <c r="E4573" s="70" t="s">
        <v>85</v>
      </c>
      <c r="F4573" s="29">
        <v>1176</v>
      </c>
      <c r="G4573" s="29">
        <v>677</v>
      </c>
      <c r="H4573" s="33">
        <v>499</v>
      </c>
    </row>
    <row r="4574" spans="1:8" x14ac:dyDescent="0.4">
      <c r="A4574">
        <v>2004</v>
      </c>
      <c r="B4574" s="2" t="s">
        <v>472</v>
      </c>
      <c r="C4574" s="2" t="s">
        <v>716</v>
      </c>
      <c r="D4574" s="2" t="s">
        <v>129</v>
      </c>
      <c r="E4574" s="70" t="s">
        <v>140</v>
      </c>
      <c r="F4574" s="29">
        <v>58</v>
      </c>
      <c r="G4574" s="29">
        <v>31</v>
      </c>
      <c r="H4574" s="33">
        <v>27</v>
      </c>
    </row>
    <row r="4575" spans="1:8" x14ac:dyDescent="0.4">
      <c r="A4575">
        <v>2004</v>
      </c>
      <c r="B4575" s="2" t="s">
        <v>473</v>
      </c>
      <c r="C4575" s="2" t="s">
        <v>716</v>
      </c>
      <c r="D4575" s="2" t="s">
        <v>129</v>
      </c>
      <c r="E4575" s="70" t="s">
        <v>141</v>
      </c>
      <c r="F4575" s="29">
        <v>5</v>
      </c>
      <c r="G4575" s="29">
        <v>1</v>
      </c>
      <c r="H4575" s="33">
        <v>4</v>
      </c>
    </row>
    <row r="4576" spans="1:8" x14ac:dyDescent="0.4">
      <c r="A4576">
        <v>2004</v>
      </c>
      <c r="B4576" s="2" t="s">
        <v>474</v>
      </c>
      <c r="C4576" s="2" t="s">
        <v>716</v>
      </c>
      <c r="D4576" s="2" t="s">
        <v>129</v>
      </c>
      <c r="E4576" s="70" t="s">
        <v>143</v>
      </c>
      <c r="F4576" s="29">
        <v>6</v>
      </c>
      <c r="G4576" s="29">
        <v>2</v>
      </c>
      <c r="H4576" s="33">
        <v>4</v>
      </c>
    </row>
    <row r="4577" spans="1:8" x14ac:dyDescent="0.4">
      <c r="A4577">
        <v>2004</v>
      </c>
      <c r="B4577" s="2" t="s">
        <v>475</v>
      </c>
      <c r="C4577" s="2" t="s">
        <v>716</v>
      </c>
      <c r="D4577" s="2" t="s">
        <v>129</v>
      </c>
      <c r="E4577" s="70" t="s">
        <v>21</v>
      </c>
      <c r="F4577" s="29">
        <v>20</v>
      </c>
      <c r="G4577" s="29">
        <v>12</v>
      </c>
      <c r="H4577" s="33">
        <v>8</v>
      </c>
    </row>
    <row r="4578" spans="1:8" x14ac:dyDescent="0.4">
      <c r="A4578">
        <v>2004</v>
      </c>
      <c r="B4578" s="2" t="s">
        <v>476</v>
      </c>
      <c r="C4578" s="2" t="s">
        <v>716</v>
      </c>
      <c r="D4578" s="2" t="s">
        <v>129</v>
      </c>
      <c r="E4578" s="70" t="s">
        <v>144</v>
      </c>
      <c r="F4578" s="29">
        <v>0</v>
      </c>
      <c r="G4578" s="29">
        <v>0</v>
      </c>
      <c r="H4578" s="33">
        <v>0</v>
      </c>
    </row>
    <row r="4579" spans="1:8" x14ac:dyDescent="0.4">
      <c r="A4579">
        <v>2004</v>
      </c>
      <c r="B4579" s="2" t="s">
        <v>477</v>
      </c>
      <c r="C4579" s="2" t="s">
        <v>716</v>
      </c>
      <c r="D4579" s="2" t="s">
        <v>129</v>
      </c>
      <c r="E4579" s="70" t="s">
        <v>145</v>
      </c>
      <c r="F4579" s="29">
        <v>167</v>
      </c>
      <c r="G4579" s="29">
        <v>111</v>
      </c>
      <c r="H4579" s="33">
        <v>56</v>
      </c>
    </row>
    <row r="4580" spans="1:8" x14ac:dyDescent="0.4">
      <c r="A4580">
        <v>2004</v>
      </c>
      <c r="B4580" s="2" t="s">
        <v>478</v>
      </c>
      <c r="C4580" s="2" t="s">
        <v>716</v>
      </c>
      <c r="D4580" s="2" t="s">
        <v>129</v>
      </c>
      <c r="E4580" s="70" t="s">
        <v>51</v>
      </c>
      <c r="F4580" s="29">
        <v>6</v>
      </c>
      <c r="G4580" s="29">
        <v>2</v>
      </c>
      <c r="H4580" s="33">
        <v>4</v>
      </c>
    </row>
    <row r="4581" spans="1:8" x14ac:dyDescent="0.4">
      <c r="A4581">
        <v>2004</v>
      </c>
      <c r="B4581" s="2" t="s">
        <v>479</v>
      </c>
      <c r="C4581" s="2" t="s">
        <v>716</v>
      </c>
      <c r="D4581" s="2" t="s">
        <v>129</v>
      </c>
      <c r="E4581" s="70" t="s">
        <v>146</v>
      </c>
      <c r="F4581" s="29">
        <v>10</v>
      </c>
      <c r="G4581" s="29">
        <v>6</v>
      </c>
      <c r="H4581" s="33">
        <v>4</v>
      </c>
    </row>
    <row r="4582" spans="1:8" x14ac:dyDescent="0.4">
      <c r="A4582">
        <v>2004</v>
      </c>
      <c r="B4582" s="2" t="s">
        <v>480</v>
      </c>
      <c r="C4582" s="2" t="s">
        <v>716</v>
      </c>
      <c r="D4582" s="2" t="s">
        <v>129</v>
      </c>
      <c r="E4582" s="70" t="s">
        <v>147</v>
      </c>
      <c r="F4582" s="29">
        <v>29</v>
      </c>
      <c r="G4582" s="29">
        <v>15</v>
      </c>
      <c r="H4582" s="33">
        <v>14</v>
      </c>
    </row>
    <row r="4583" spans="1:8" x14ac:dyDescent="0.4">
      <c r="A4583">
        <v>2004</v>
      </c>
      <c r="B4583" s="2" t="s">
        <v>481</v>
      </c>
      <c r="C4583" s="2" t="s">
        <v>716</v>
      </c>
      <c r="D4583" s="2" t="s">
        <v>129</v>
      </c>
      <c r="E4583" s="70" t="s">
        <v>148</v>
      </c>
      <c r="F4583" s="29">
        <v>16</v>
      </c>
      <c r="G4583" s="29">
        <v>9</v>
      </c>
      <c r="H4583" s="33">
        <v>7</v>
      </c>
    </row>
    <row r="4584" spans="1:8" x14ac:dyDescent="0.4">
      <c r="A4584">
        <v>2004</v>
      </c>
      <c r="B4584" s="2" t="s">
        <v>482</v>
      </c>
      <c r="C4584" s="2" t="s">
        <v>716</v>
      </c>
      <c r="D4584" s="2" t="s">
        <v>129</v>
      </c>
      <c r="E4584" s="70" t="s">
        <v>54</v>
      </c>
      <c r="F4584" s="29">
        <v>20</v>
      </c>
      <c r="G4584" s="29">
        <v>17</v>
      </c>
      <c r="H4584" s="33">
        <v>3</v>
      </c>
    </row>
    <row r="4585" spans="1:8" x14ac:dyDescent="0.4">
      <c r="A4585">
        <v>2004</v>
      </c>
      <c r="B4585" s="2" t="s">
        <v>483</v>
      </c>
      <c r="C4585" s="2" t="s">
        <v>717</v>
      </c>
      <c r="D4585" s="2" t="s">
        <v>150</v>
      </c>
      <c r="E4585" s="70" t="s">
        <v>149</v>
      </c>
      <c r="F4585" s="29">
        <v>42</v>
      </c>
      <c r="G4585" s="29">
        <v>30</v>
      </c>
      <c r="H4585" s="33">
        <v>12</v>
      </c>
    </row>
    <row r="4586" spans="1:8" x14ac:dyDescent="0.4">
      <c r="A4586">
        <v>2004</v>
      </c>
      <c r="B4586" s="2" t="s">
        <v>484</v>
      </c>
      <c r="C4586" s="2" t="s">
        <v>717</v>
      </c>
      <c r="D4586" s="2" t="s">
        <v>150</v>
      </c>
      <c r="E4586" s="70" t="s">
        <v>151</v>
      </c>
      <c r="F4586" s="29">
        <v>21</v>
      </c>
      <c r="G4586" s="29">
        <v>14</v>
      </c>
      <c r="H4586" s="33">
        <v>7</v>
      </c>
    </row>
    <row r="4587" spans="1:8" x14ac:dyDescent="0.4">
      <c r="A4587">
        <v>2004</v>
      </c>
      <c r="B4587" s="2" t="s">
        <v>485</v>
      </c>
      <c r="C4587" s="2" t="s">
        <v>717</v>
      </c>
      <c r="D4587" s="2" t="s">
        <v>150</v>
      </c>
      <c r="E4587" s="70" t="s">
        <v>152</v>
      </c>
      <c r="F4587" s="29">
        <v>47</v>
      </c>
      <c r="G4587" s="29">
        <v>27</v>
      </c>
      <c r="H4587" s="33">
        <v>20</v>
      </c>
    </row>
    <row r="4588" spans="1:8" x14ac:dyDescent="0.4">
      <c r="A4588">
        <v>2004</v>
      </c>
      <c r="B4588" s="2" t="s">
        <v>486</v>
      </c>
      <c r="C4588" s="2" t="s">
        <v>717</v>
      </c>
      <c r="D4588" s="2" t="s">
        <v>150</v>
      </c>
      <c r="E4588" s="70" t="s">
        <v>153</v>
      </c>
      <c r="F4588" s="29">
        <v>35</v>
      </c>
      <c r="G4588" s="29">
        <v>21</v>
      </c>
      <c r="H4588" s="33">
        <v>14</v>
      </c>
    </row>
    <row r="4589" spans="1:8" x14ac:dyDescent="0.4">
      <c r="A4589">
        <v>2004</v>
      </c>
      <c r="B4589" s="2" t="s">
        <v>487</v>
      </c>
      <c r="C4589" s="2" t="s">
        <v>717</v>
      </c>
      <c r="D4589" s="2" t="s">
        <v>150</v>
      </c>
      <c r="E4589" s="70" t="s">
        <v>154</v>
      </c>
      <c r="F4589" s="29">
        <v>679</v>
      </c>
      <c r="G4589" s="29">
        <v>392</v>
      </c>
      <c r="H4589" s="33">
        <v>287</v>
      </c>
    </row>
    <row r="4590" spans="1:8" x14ac:dyDescent="0.4">
      <c r="A4590">
        <v>2004</v>
      </c>
      <c r="B4590" s="2" t="s">
        <v>488</v>
      </c>
      <c r="C4590" s="2" t="s">
        <v>717</v>
      </c>
      <c r="D4590" s="2" t="s">
        <v>150</v>
      </c>
      <c r="E4590" s="70" t="s">
        <v>155</v>
      </c>
      <c r="F4590" s="29">
        <v>83</v>
      </c>
      <c r="G4590" s="29">
        <v>50</v>
      </c>
      <c r="H4590" s="33">
        <v>33</v>
      </c>
    </row>
    <row r="4591" spans="1:8" x14ac:dyDescent="0.4">
      <c r="A4591">
        <v>2004</v>
      </c>
      <c r="B4591" s="2" t="s">
        <v>489</v>
      </c>
      <c r="C4591" s="2" t="s">
        <v>717</v>
      </c>
      <c r="D4591" s="2" t="s">
        <v>150</v>
      </c>
      <c r="E4591" s="70" t="s">
        <v>156</v>
      </c>
      <c r="F4591" s="29">
        <v>113</v>
      </c>
      <c r="G4591" s="29">
        <v>69</v>
      </c>
      <c r="H4591" s="33">
        <v>44</v>
      </c>
    </row>
    <row r="4592" spans="1:8" x14ac:dyDescent="0.4">
      <c r="A4592">
        <v>2004</v>
      </c>
      <c r="B4592" s="2" t="s">
        <v>490</v>
      </c>
      <c r="C4592" s="2" t="s">
        <v>717</v>
      </c>
      <c r="D4592" s="2" t="s">
        <v>150</v>
      </c>
      <c r="E4592" s="70" t="s">
        <v>85</v>
      </c>
      <c r="F4592" s="29">
        <v>572</v>
      </c>
      <c r="G4592" s="29">
        <v>355</v>
      </c>
      <c r="H4592" s="33">
        <v>217</v>
      </c>
    </row>
    <row r="4593" spans="1:8" x14ac:dyDescent="0.4">
      <c r="A4593">
        <v>2004</v>
      </c>
      <c r="B4593" s="2" t="s">
        <v>491</v>
      </c>
      <c r="C4593" s="2" t="s">
        <v>717</v>
      </c>
      <c r="D4593" s="2" t="s">
        <v>150</v>
      </c>
      <c r="E4593" s="70" t="s">
        <v>157</v>
      </c>
      <c r="F4593" s="29">
        <v>352</v>
      </c>
      <c r="G4593" s="29">
        <v>212</v>
      </c>
      <c r="H4593" s="33">
        <v>140</v>
      </c>
    </row>
    <row r="4594" spans="1:8" x14ac:dyDescent="0.4">
      <c r="A4594">
        <v>2004</v>
      </c>
      <c r="B4594" s="2" t="s">
        <v>492</v>
      </c>
      <c r="C4594" s="2" t="s">
        <v>717</v>
      </c>
      <c r="D4594" s="2" t="s">
        <v>150</v>
      </c>
      <c r="E4594" s="70" t="s">
        <v>158</v>
      </c>
      <c r="F4594" s="29">
        <v>63</v>
      </c>
      <c r="G4594" s="29">
        <v>36</v>
      </c>
      <c r="H4594" s="33">
        <v>27</v>
      </c>
    </row>
    <row r="4595" spans="1:8" x14ac:dyDescent="0.4">
      <c r="A4595">
        <v>2004</v>
      </c>
      <c r="B4595" s="2" t="s">
        <v>493</v>
      </c>
      <c r="C4595" s="2" t="s">
        <v>717</v>
      </c>
      <c r="D4595" s="2" t="s">
        <v>150</v>
      </c>
      <c r="E4595" s="70" t="s">
        <v>159</v>
      </c>
      <c r="F4595" s="29">
        <v>117</v>
      </c>
      <c r="G4595" s="29">
        <v>77</v>
      </c>
      <c r="H4595" s="33">
        <v>40</v>
      </c>
    </row>
    <row r="4596" spans="1:8" x14ac:dyDescent="0.4">
      <c r="A4596">
        <v>2004</v>
      </c>
      <c r="B4596" s="2" t="s">
        <v>494</v>
      </c>
      <c r="C4596" s="2" t="s">
        <v>717</v>
      </c>
      <c r="D4596" s="2" t="s">
        <v>150</v>
      </c>
      <c r="E4596" s="70" t="s">
        <v>76</v>
      </c>
      <c r="F4596" s="29">
        <v>762</v>
      </c>
      <c r="G4596" s="29">
        <v>473</v>
      </c>
      <c r="H4596" s="33">
        <v>289</v>
      </c>
    </row>
    <row r="4597" spans="1:8" x14ac:dyDescent="0.4">
      <c r="A4597">
        <v>2004</v>
      </c>
      <c r="B4597" s="2" t="s">
        <v>495</v>
      </c>
      <c r="C4597" s="2" t="s">
        <v>717</v>
      </c>
      <c r="D4597" s="2" t="s">
        <v>150</v>
      </c>
      <c r="E4597" s="70" t="s">
        <v>160</v>
      </c>
      <c r="F4597" s="29">
        <v>20</v>
      </c>
      <c r="G4597" s="29">
        <v>11</v>
      </c>
      <c r="H4597" s="33">
        <v>9</v>
      </c>
    </row>
    <row r="4598" spans="1:8" x14ac:dyDescent="0.4">
      <c r="A4598">
        <v>2004</v>
      </c>
      <c r="B4598" s="2" t="s">
        <v>496</v>
      </c>
      <c r="C4598" s="2" t="s">
        <v>717</v>
      </c>
      <c r="D4598" s="2" t="s">
        <v>150</v>
      </c>
      <c r="E4598" s="70" t="s">
        <v>161</v>
      </c>
      <c r="F4598" s="29">
        <v>34</v>
      </c>
      <c r="G4598" s="29">
        <v>21</v>
      </c>
      <c r="H4598" s="33">
        <v>13</v>
      </c>
    </row>
    <row r="4599" spans="1:8" x14ac:dyDescent="0.4">
      <c r="A4599">
        <v>2004</v>
      </c>
      <c r="B4599" s="2" t="s">
        <v>497</v>
      </c>
      <c r="C4599" s="2" t="s">
        <v>717</v>
      </c>
      <c r="D4599" s="2" t="s">
        <v>150</v>
      </c>
      <c r="E4599" s="70" t="s">
        <v>162</v>
      </c>
      <c r="F4599" s="29">
        <v>220</v>
      </c>
      <c r="G4599" s="29">
        <v>120</v>
      </c>
      <c r="H4599" s="33">
        <v>100</v>
      </c>
    </row>
    <row r="4600" spans="1:8" x14ac:dyDescent="0.4">
      <c r="A4600">
        <v>2004</v>
      </c>
      <c r="B4600" s="2" t="s">
        <v>498</v>
      </c>
      <c r="C4600" s="2" t="s">
        <v>718</v>
      </c>
      <c r="D4600" s="2" t="s">
        <v>164</v>
      </c>
      <c r="E4600" s="70" t="s">
        <v>163</v>
      </c>
      <c r="F4600" s="29">
        <v>117</v>
      </c>
      <c r="G4600" s="29">
        <v>69</v>
      </c>
      <c r="H4600" s="33">
        <v>48</v>
      </c>
    </row>
    <row r="4601" spans="1:8" x14ac:dyDescent="0.4">
      <c r="A4601">
        <v>2004</v>
      </c>
      <c r="B4601" s="2" t="s">
        <v>499</v>
      </c>
      <c r="C4601" s="2" t="s">
        <v>718</v>
      </c>
      <c r="D4601" s="2" t="s">
        <v>164</v>
      </c>
      <c r="E4601" s="70" t="s">
        <v>165</v>
      </c>
      <c r="F4601" s="29">
        <v>126</v>
      </c>
      <c r="G4601" s="29">
        <v>69</v>
      </c>
      <c r="H4601" s="33">
        <v>57</v>
      </c>
    </row>
    <row r="4602" spans="1:8" x14ac:dyDescent="0.4">
      <c r="A4602">
        <v>2004</v>
      </c>
      <c r="B4602" s="2" t="s">
        <v>500</v>
      </c>
      <c r="C4602" s="2" t="s">
        <v>718</v>
      </c>
      <c r="D4602" s="2" t="s">
        <v>164</v>
      </c>
      <c r="E4602" s="70" t="s">
        <v>166</v>
      </c>
      <c r="F4602" s="29">
        <v>5948</v>
      </c>
      <c r="G4602" s="29">
        <v>3464</v>
      </c>
      <c r="H4602" s="33">
        <v>2484</v>
      </c>
    </row>
    <row r="4603" spans="1:8" x14ac:dyDescent="0.4">
      <c r="A4603">
        <v>2004</v>
      </c>
      <c r="B4603" s="2" t="s">
        <v>501</v>
      </c>
      <c r="C4603" s="2" t="s">
        <v>718</v>
      </c>
      <c r="D4603" s="2" t="s">
        <v>164</v>
      </c>
      <c r="E4603" s="70" t="s">
        <v>167</v>
      </c>
      <c r="F4603" s="29">
        <v>273</v>
      </c>
      <c r="G4603" s="29">
        <v>174</v>
      </c>
      <c r="H4603" s="33">
        <v>99</v>
      </c>
    </row>
    <row r="4604" spans="1:8" x14ac:dyDescent="0.4">
      <c r="A4604">
        <v>2004</v>
      </c>
      <c r="B4604" s="2" t="s">
        <v>502</v>
      </c>
      <c r="C4604" s="2" t="s">
        <v>718</v>
      </c>
      <c r="D4604" s="2" t="s">
        <v>164</v>
      </c>
      <c r="E4604" s="70" t="s">
        <v>168</v>
      </c>
      <c r="F4604" s="29">
        <v>472</v>
      </c>
      <c r="G4604" s="29">
        <v>269</v>
      </c>
      <c r="H4604" s="33">
        <v>203</v>
      </c>
    </row>
    <row r="4605" spans="1:8" x14ac:dyDescent="0.4">
      <c r="A4605">
        <v>2004</v>
      </c>
      <c r="B4605" s="2" t="s">
        <v>503</v>
      </c>
      <c r="C4605" s="2" t="s">
        <v>718</v>
      </c>
      <c r="D4605" s="2" t="s">
        <v>164</v>
      </c>
      <c r="E4605" s="70" t="s">
        <v>169</v>
      </c>
      <c r="F4605" s="29">
        <v>249</v>
      </c>
      <c r="G4605" s="29">
        <v>152</v>
      </c>
      <c r="H4605" s="33">
        <v>97</v>
      </c>
    </row>
    <row r="4606" spans="1:8" x14ac:dyDescent="0.4">
      <c r="A4606">
        <v>2004</v>
      </c>
      <c r="B4606" s="2" t="s">
        <v>504</v>
      </c>
      <c r="C4606" s="2" t="s">
        <v>718</v>
      </c>
      <c r="D4606" s="2" t="s">
        <v>164</v>
      </c>
      <c r="E4606" s="70" t="s">
        <v>170</v>
      </c>
      <c r="F4606" s="29">
        <v>70</v>
      </c>
      <c r="G4606" s="29">
        <v>44</v>
      </c>
      <c r="H4606" s="33">
        <v>26</v>
      </c>
    </row>
    <row r="4607" spans="1:8" x14ac:dyDescent="0.4">
      <c r="A4607">
        <v>2004</v>
      </c>
      <c r="B4607" s="2" t="s">
        <v>505</v>
      </c>
      <c r="C4607" s="2" t="s">
        <v>718</v>
      </c>
      <c r="D4607" s="2" t="s">
        <v>164</v>
      </c>
      <c r="E4607" s="70" t="s">
        <v>171</v>
      </c>
      <c r="F4607" s="29">
        <v>734</v>
      </c>
      <c r="G4607" s="29">
        <v>451</v>
      </c>
      <c r="H4607" s="33">
        <v>283</v>
      </c>
    </row>
    <row r="4608" spans="1:8" x14ac:dyDescent="0.4">
      <c r="A4608">
        <v>2004</v>
      </c>
      <c r="B4608" s="2" t="s">
        <v>506</v>
      </c>
      <c r="C4608" s="2" t="s">
        <v>718</v>
      </c>
      <c r="D4608" s="2" t="s">
        <v>164</v>
      </c>
      <c r="E4608" s="70" t="s">
        <v>53</v>
      </c>
      <c r="F4608" s="29">
        <v>181</v>
      </c>
      <c r="G4608" s="29">
        <v>101</v>
      </c>
      <c r="H4608" s="33">
        <v>80</v>
      </c>
    </row>
    <row r="4609" spans="1:8" x14ac:dyDescent="0.4">
      <c r="A4609">
        <v>2004</v>
      </c>
      <c r="B4609" s="2" t="s">
        <v>507</v>
      </c>
      <c r="C4609" s="2" t="s">
        <v>719</v>
      </c>
      <c r="D4609" s="2" t="s">
        <v>173</v>
      </c>
      <c r="E4609" s="70" t="s">
        <v>172</v>
      </c>
      <c r="F4609" s="29">
        <v>565</v>
      </c>
      <c r="G4609" s="29">
        <v>364</v>
      </c>
      <c r="H4609" s="33">
        <v>201</v>
      </c>
    </row>
    <row r="4610" spans="1:8" x14ac:dyDescent="0.4">
      <c r="A4610">
        <v>2004</v>
      </c>
      <c r="B4610" s="2" t="s">
        <v>508</v>
      </c>
      <c r="C4610" s="2" t="s">
        <v>719</v>
      </c>
      <c r="D4610" s="2" t="s">
        <v>173</v>
      </c>
      <c r="E4610" s="70" t="s">
        <v>174</v>
      </c>
      <c r="F4610" s="29">
        <v>50</v>
      </c>
      <c r="G4610" s="29">
        <v>30</v>
      </c>
      <c r="H4610" s="33">
        <v>20</v>
      </c>
    </row>
    <row r="4611" spans="1:8" x14ac:dyDescent="0.4">
      <c r="A4611">
        <v>2004</v>
      </c>
      <c r="B4611" s="2" t="s">
        <v>509</v>
      </c>
      <c r="C4611" s="2" t="s">
        <v>719</v>
      </c>
      <c r="D4611" s="2" t="s">
        <v>173</v>
      </c>
      <c r="E4611" s="70" t="s">
        <v>175</v>
      </c>
      <c r="F4611" s="29">
        <v>80</v>
      </c>
      <c r="G4611" s="29">
        <v>42</v>
      </c>
      <c r="H4611" s="33">
        <v>38</v>
      </c>
    </row>
    <row r="4612" spans="1:8" x14ac:dyDescent="0.4">
      <c r="A4612">
        <v>2004</v>
      </c>
      <c r="B4612" s="2" t="s">
        <v>510</v>
      </c>
      <c r="C4612" s="2" t="s">
        <v>719</v>
      </c>
      <c r="D4612" s="2" t="s">
        <v>173</v>
      </c>
      <c r="E4612" s="70" t="s">
        <v>176</v>
      </c>
      <c r="F4612" s="29">
        <v>19</v>
      </c>
      <c r="G4612" s="29">
        <v>10</v>
      </c>
      <c r="H4612" s="33">
        <v>9</v>
      </c>
    </row>
    <row r="4613" spans="1:8" x14ac:dyDescent="0.4">
      <c r="A4613">
        <v>2004</v>
      </c>
      <c r="B4613" s="2" t="s">
        <v>511</v>
      </c>
      <c r="C4613" s="2" t="s">
        <v>719</v>
      </c>
      <c r="D4613" s="2" t="s">
        <v>173</v>
      </c>
      <c r="E4613" s="70" t="s">
        <v>177</v>
      </c>
      <c r="F4613" s="29">
        <v>61</v>
      </c>
      <c r="G4613" s="29">
        <v>37</v>
      </c>
      <c r="H4613" s="33">
        <v>24</v>
      </c>
    </row>
    <row r="4614" spans="1:8" x14ac:dyDescent="0.4">
      <c r="A4614">
        <v>2004</v>
      </c>
      <c r="B4614" s="2" t="s">
        <v>512</v>
      </c>
      <c r="C4614" s="2" t="s">
        <v>719</v>
      </c>
      <c r="D4614" s="2" t="s">
        <v>173</v>
      </c>
      <c r="E4614" s="70" t="s">
        <v>178</v>
      </c>
      <c r="F4614" s="29">
        <v>254</v>
      </c>
      <c r="G4614" s="29">
        <v>150</v>
      </c>
      <c r="H4614" s="33">
        <v>104</v>
      </c>
    </row>
    <row r="4615" spans="1:8" x14ac:dyDescent="0.4">
      <c r="A4615">
        <v>2004</v>
      </c>
      <c r="B4615" s="2" t="s">
        <v>513</v>
      </c>
      <c r="C4615" s="2" t="s">
        <v>719</v>
      </c>
      <c r="D4615" s="2" t="s">
        <v>173</v>
      </c>
      <c r="E4615" s="70" t="s">
        <v>179</v>
      </c>
      <c r="F4615" s="29">
        <v>42</v>
      </c>
      <c r="G4615" s="29">
        <v>28</v>
      </c>
      <c r="H4615" s="33">
        <v>14</v>
      </c>
    </row>
    <row r="4616" spans="1:8" x14ac:dyDescent="0.4">
      <c r="A4616">
        <v>2004</v>
      </c>
      <c r="B4616" s="2" t="s">
        <v>514</v>
      </c>
      <c r="C4616" s="2" t="s">
        <v>719</v>
      </c>
      <c r="D4616" s="2" t="s">
        <v>173</v>
      </c>
      <c r="E4616" s="70" t="s">
        <v>180</v>
      </c>
      <c r="F4616" s="29">
        <v>122</v>
      </c>
      <c r="G4616" s="29">
        <v>77</v>
      </c>
      <c r="H4616" s="33">
        <v>45</v>
      </c>
    </row>
    <row r="4617" spans="1:8" x14ac:dyDescent="0.4">
      <c r="A4617">
        <v>2004</v>
      </c>
      <c r="B4617" s="2" t="s">
        <v>515</v>
      </c>
      <c r="C4617" s="2" t="s">
        <v>719</v>
      </c>
      <c r="D4617" s="2" t="s">
        <v>173</v>
      </c>
      <c r="E4617" s="70" t="s">
        <v>181</v>
      </c>
      <c r="F4617" s="29">
        <v>37</v>
      </c>
      <c r="G4617" s="29">
        <v>19</v>
      </c>
      <c r="H4617" s="33">
        <v>18</v>
      </c>
    </row>
    <row r="4618" spans="1:8" x14ac:dyDescent="0.4">
      <c r="A4618">
        <v>2004</v>
      </c>
      <c r="B4618" s="2" t="s">
        <v>516</v>
      </c>
      <c r="C4618" s="2" t="s">
        <v>719</v>
      </c>
      <c r="D4618" s="2" t="s">
        <v>173</v>
      </c>
      <c r="E4618" s="70" t="s">
        <v>182</v>
      </c>
      <c r="F4618" s="29">
        <v>57</v>
      </c>
      <c r="G4618" s="29">
        <v>32</v>
      </c>
      <c r="H4618" s="33">
        <v>25</v>
      </c>
    </row>
    <row r="4619" spans="1:8" x14ac:dyDescent="0.4">
      <c r="A4619">
        <v>2004</v>
      </c>
      <c r="B4619" s="2" t="s">
        <v>517</v>
      </c>
      <c r="C4619" s="2" t="s">
        <v>719</v>
      </c>
      <c r="D4619" s="2" t="s">
        <v>173</v>
      </c>
      <c r="E4619" s="70" t="s">
        <v>183</v>
      </c>
      <c r="F4619" s="29">
        <v>24</v>
      </c>
      <c r="G4619" s="29">
        <v>11</v>
      </c>
      <c r="H4619" s="33">
        <v>13</v>
      </c>
    </row>
    <row r="4620" spans="1:8" x14ac:dyDescent="0.4">
      <c r="A4620">
        <v>2004</v>
      </c>
      <c r="B4620" s="2" t="s">
        <v>518</v>
      </c>
      <c r="C4620" s="2" t="s">
        <v>719</v>
      </c>
      <c r="D4620" s="2" t="s">
        <v>173</v>
      </c>
      <c r="E4620" s="70" t="s">
        <v>44</v>
      </c>
      <c r="F4620" s="29">
        <v>1980</v>
      </c>
      <c r="G4620" s="29">
        <v>1130</v>
      </c>
      <c r="H4620" s="33">
        <v>850</v>
      </c>
    </row>
    <row r="4621" spans="1:8" x14ac:dyDescent="0.4">
      <c r="A4621">
        <v>2004</v>
      </c>
      <c r="B4621" s="2" t="s">
        <v>519</v>
      </c>
      <c r="C4621" s="2" t="s">
        <v>719</v>
      </c>
      <c r="D4621" s="2" t="s">
        <v>173</v>
      </c>
      <c r="E4621" s="70" t="s">
        <v>85</v>
      </c>
      <c r="F4621" s="29">
        <v>84</v>
      </c>
      <c r="G4621" s="29">
        <v>49</v>
      </c>
      <c r="H4621" s="33">
        <v>35</v>
      </c>
    </row>
    <row r="4622" spans="1:8" x14ac:dyDescent="0.4">
      <c r="A4622">
        <v>2004</v>
      </c>
      <c r="B4622" s="2" t="s">
        <v>520</v>
      </c>
      <c r="C4622" s="2" t="s">
        <v>719</v>
      </c>
      <c r="D4622" s="2" t="s">
        <v>173</v>
      </c>
      <c r="E4622" s="70" t="s">
        <v>184</v>
      </c>
      <c r="F4622" s="29">
        <v>102</v>
      </c>
      <c r="G4622" s="29">
        <v>71</v>
      </c>
      <c r="H4622" s="33">
        <v>31</v>
      </c>
    </row>
    <row r="4623" spans="1:8" x14ac:dyDescent="0.4">
      <c r="A4623">
        <v>2004</v>
      </c>
      <c r="B4623" s="2" t="s">
        <v>521</v>
      </c>
      <c r="C4623" s="2" t="s">
        <v>719</v>
      </c>
      <c r="D4623" s="2" t="s">
        <v>173</v>
      </c>
      <c r="E4623" s="70" t="s">
        <v>185</v>
      </c>
      <c r="F4623" s="29">
        <v>5</v>
      </c>
      <c r="G4623" s="29">
        <v>2</v>
      </c>
      <c r="H4623" s="33">
        <v>3</v>
      </c>
    </row>
    <row r="4624" spans="1:8" x14ac:dyDescent="0.4">
      <c r="A4624">
        <v>2004</v>
      </c>
      <c r="B4624" s="2" t="s">
        <v>522</v>
      </c>
      <c r="C4624" s="2" t="s">
        <v>719</v>
      </c>
      <c r="D4624" s="2" t="s">
        <v>173</v>
      </c>
      <c r="E4624" s="70" t="s">
        <v>186</v>
      </c>
      <c r="F4624" s="29">
        <v>28</v>
      </c>
      <c r="G4624" s="29">
        <v>17</v>
      </c>
      <c r="H4624" s="33">
        <v>11</v>
      </c>
    </row>
    <row r="4625" spans="1:8" x14ac:dyDescent="0.4">
      <c r="A4625">
        <v>2004</v>
      </c>
      <c r="B4625" s="2" t="s">
        <v>523</v>
      </c>
      <c r="C4625" s="2" t="s">
        <v>719</v>
      </c>
      <c r="D4625" s="2" t="s">
        <v>173</v>
      </c>
      <c r="E4625" s="70" t="s">
        <v>187</v>
      </c>
      <c r="F4625" s="29">
        <v>72</v>
      </c>
      <c r="G4625" s="29">
        <v>45</v>
      </c>
      <c r="H4625" s="33">
        <v>27</v>
      </c>
    </row>
    <row r="4626" spans="1:8" x14ac:dyDescent="0.4">
      <c r="A4626">
        <v>2004</v>
      </c>
      <c r="B4626" s="2" t="s">
        <v>524</v>
      </c>
      <c r="C4626" s="2" t="s">
        <v>719</v>
      </c>
      <c r="D4626" s="2" t="s">
        <v>173</v>
      </c>
      <c r="E4626" s="70" t="s">
        <v>188</v>
      </c>
      <c r="F4626" s="29">
        <v>57</v>
      </c>
      <c r="G4626" s="29">
        <v>33</v>
      </c>
      <c r="H4626" s="33">
        <v>24</v>
      </c>
    </row>
    <row r="4627" spans="1:8" x14ac:dyDescent="0.4">
      <c r="A4627">
        <v>2004</v>
      </c>
      <c r="B4627" s="2" t="s">
        <v>525</v>
      </c>
      <c r="C4627" s="2" t="s">
        <v>719</v>
      </c>
      <c r="D4627" s="2" t="s">
        <v>173</v>
      </c>
      <c r="E4627" s="70" t="s">
        <v>189</v>
      </c>
      <c r="F4627" s="29">
        <v>43</v>
      </c>
      <c r="G4627" s="29">
        <v>22</v>
      </c>
      <c r="H4627" s="33">
        <v>21</v>
      </c>
    </row>
    <row r="4628" spans="1:8" x14ac:dyDescent="0.4">
      <c r="A4628">
        <v>2004</v>
      </c>
      <c r="B4628" s="2" t="s">
        <v>526</v>
      </c>
      <c r="C4628" s="2" t="s">
        <v>719</v>
      </c>
      <c r="D4628" s="2" t="s">
        <v>173</v>
      </c>
      <c r="E4628" s="70" t="s">
        <v>51</v>
      </c>
      <c r="F4628" s="29">
        <v>159</v>
      </c>
      <c r="G4628" s="29">
        <v>107</v>
      </c>
      <c r="H4628" s="33">
        <v>52</v>
      </c>
    </row>
    <row r="4629" spans="1:8" x14ac:dyDescent="0.4">
      <c r="A4629">
        <v>2004</v>
      </c>
      <c r="B4629" s="2" t="s">
        <v>527</v>
      </c>
      <c r="C4629" s="2" t="s">
        <v>719</v>
      </c>
      <c r="D4629" s="2" t="s">
        <v>173</v>
      </c>
      <c r="E4629" s="70" t="s">
        <v>52</v>
      </c>
      <c r="F4629" s="29">
        <v>150</v>
      </c>
      <c r="G4629" s="29">
        <v>85</v>
      </c>
      <c r="H4629" s="33">
        <v>65</v>
      </c>
    </row>
    <row r="4630" spans="1:8" x14ac:dyDescent="0.4">
      <c r="A4630">
        <v>2004</v>
      </c>
      <c r="B4630" s="2" t="s">
        <v>528</v>
      </c>
      <c r="C4630" s="2" t="s">
        <v>719</v>
      </c>
      <c r="D4630" s="2" t="s">
        <v>173</v>
      </c>
      <c r="E4630" s="70" t="s">
        <v>190</v>
      </c>
      <c r="F4630" s="29">
        <v>99</v>
      </c>
      <c r="G4630" s="29">
        <v>67</v>
      </c>
      <c r="H4630" s="33">
        <v>32</v>
      </c>
    </row>
    <row r="4631" spans="1:8" x14ac:dyDescent="0.4">
      <c r="A4631">
        <v>2004</v>
      </c>
      <c r="B4631" s="2" t="s">
        <v>529</v>
      </c>
      <c r="C4631" s="2" t="s">
        <v>719</v>
      </c>
      <c r="D4631" s="2" t="s">
        <v>173</v>
      </c>
      <c r="E4631" s="70" t="s">
        <v>191</v>
      </c>
      <c r="F4631" s="29">
        <v>49</v>
      </c>
      <c r="G4631" s="29">
        <v>33</v>
      </c>
      <c r="H4631" s="33">
        <v>16</v>
      </c>
    </row>
    <row r="4632" spans="1:8" x14ac:dyDescent="0.4">
      <c r="A4632">
        <v>2004</v>
      </c>
      <c r="B4632" s="2" t="s">
        <v>530</v>
      </c>
      <c r="C4632" s="2" t="s">
        <v>720</v>
      </c>
      <c r="D4632" s="2" t="s">
        <v>193</v>
      </c>
      <c r="E4632" s="70" t="s">
        <v>192</v>
      </c>
      <c r="F4632" s="29">
        <v>319</v>
      </c>
      <c r="G4632" s="29">
        <v>214</v>
      </c>
      <c r="H4632" s="33">
        <v>105</v>
      </c>
    </row>
    <row r="4633" spans="1:8" x14ac:dyDescent="0.4">
      <c r="A4633">
        <v>2004</v>
      </c>
      <c r="B4633" s="2" t="s">
        <v>531</v>
      </c>
      <c r="C4633" s="2" t="s">
        <v>720</v>
      </c>
      <c r="D4633" s="2" t="s">
        <v>193</v>
      </c>
      <c r="E4633" s="70" t="s">
        <v>174</v>
      </c>
      <c r="F4633" s="29">
        <v>44</v>
      </c>
      <c r="G4633" s="29">
        <v>32</v>
      </c>
      <c r="H4633" s="33">
        <v>12</v>
      </c>
    </row>
    <row r="4634" spans="1:8" x14ac:dyDescent="0.4">
      <c r="A4634">
        <v>2004</v>
      </c>
      <c r="B4634" s="2" t="s">
        <v>532</v>
      </c>
      <c r="C4634" s="2" t="s">
        <v>720</v>
      </c>
      <c r="D4634" s="2" t="s">
        <v>193</v>
      </c>
      <c r="E4634" s="70" t="s">
        <v>194</v>
      </c>
      <c r="F4634" s="29">
        <v>1332</v>
      </c>
      <c r="G4634" s="29">
        <v>692</v>
      </c>
      <c r="H4634" s="33">
        <v>640</v>
      </c>
    </row>
    <row r="4635" spans="1:8" x14ac:dyDescent="0.4">
      <c r="A4635">
        <v>2004</v>
      </c>
      <c r="B4635" s="2" t="s">
        <v>533</v>
      </c>
      <c r="C4635" s="2" t="s">
        <v>720</v>
      </c>
      <c r="D4635" s="2" t="s">
        <v>193</v>
      </c>
      <c r="E4635" s="70" t="s">
        <v>195</v>
      </c>
      <c r="F4635" s="29">
        <v>238</v>
      </c>
      <c r="G4635" s="29">
        <v>159</v>
      </c>
      <c r="H4635" s="33">
        <v>79</v>
      </c>
    </row>
    <row r="4636" spans="1:8" x14ac:dyDescent="0.4">
      <c r="A4636">
        <v>2004</v>
      </c>
      <c r="B4636" s="2" t="s">
        <v>534</v>
      </c>
      <c r="C4636" s="2" t="s">
        <v>720</v>
      </c>
      <c r="D4636" s="2" t="s">
        <v>193</v>
      </c>
      <c r="E4636" s="70" t="s">
        <v>196</v>
      </c>
      <c r="F4636" s="29">
        <v>59</v>
      </c>
      <c r="G4636" s="29">
        <v>31</v>
      </c>
      <c r="H4636" s="33">
        <v>28</v>
      </c>
    </row>
    <row r="4637" spans="1:8" x14ac:dyDescent="0.4">
      <c r="A4637">
        <v>2004</v>
      </c>
      <c r="B4637" s="2" t="s">
        <v>535</v>
      </c>
      <c r="C4637" s="2" t="s">
        <v>720</v>
      </c>
      <c r="D4637" s="2" t="s">
        <v>193</v>
      </c>
      <c r="E4637" s="70" t="s">
        <v>197</v>
      </c>
      <c r="F4637" s="29">
        <v>77</v>
      </c>
      <c r="G4637" s="29">
        <v>48</v>
      </c>
      <c r="H4637" s="33">
        <v>29</v>
      </c>
    </row>
    <row r="4638" spans="1:8" x14ac:dyDescent="0.4">
      <c r="A4638">
        <v>2004</v>
      </c>
      <c r="B4638" s="2" t="s">
        <v>536</v>
      </c>
      <c r="C4638" s="2" t="s">
        <v>720</v>
      </c>
      <c r="D4638" s="2" t="s">
        <v>193</v>
      </c>
      <c r="E4638" s="70" t="s">
        <v>198</v>
      </c>
      <c r="F4638" s="29">
        <v>693</v>
      </c>
      <c r="G4638" s="29">
        <v>343</v>
      </c>
      <c r="H4638" s="33">
        <v>350</v>
      </c>
    </row>
    <row r="4639" spans="1:8" x14ac:dyDescent="0.4">
      <c r="A4639">
        <v>2004</v>
      </c>
      <c r="B4639" s="2" t="s">
        <v>537</v>
      </c>
      <c r="C4639" s="2" t="s">
        <v>720</v>
      </c>
      <c r="D4639" s="2" t="s">
        <v>193</v>
      </c>
      <c r="E4639" s="70" t="s">
        <v>199</v>
      </c>
      <c r="F4639" s="29">
        <v>339</v>
      </c>
      <c r="G4639" s="29">
        <v>236</v>
      </c>
      <c r="H4639" s="33">
        <v>103</v>
      </c>
    </row>
    <row r="4640" spans="1:8" x14ac:dyDescent="0.4">
      <c r="A4640">
        <v>2004</v>
      </c>
      <c r="B4640" s="2" t="s">
        <v>538</v>
      </c>
      <c r="C4640" s="2" t="s">
        <v>720</v>
      </c>
      <c r="D4640" s="2" t="s">
        <v>193</v>
      </c>
      <c r="E4640" s="70" t="s">
        <v>200</v>
      </c>
      <c r="F4640" s="29">
        <v>138</v>
      </c>
      <c r="G4640" s="29">
        <v>87</v>
      </c>
      <c r="H4640" s="33">
        <v>51</v>
      </c>
    </row>
    <row r="4641" spans="1:8" x14ac:dyDescent="0.4">
      <c r="A4641">
        <v>2004</v>
      </c>
      <c r="B4641" s="2" t="s">
        <v>539</v>
      </c>
      <c r="C4641" s="2" t="s">
        <v>720</v>
      </c>
      <c r="D4641" s="2" t="s">
        <v>193</v>
      </c>
      <c r="E4641" s="70" t="s">
        <v>201</v>
      </c>
      <c r="F4641" s="29">
        <v>1198</v>
      </c>
      <c r="G4641" s="29">
        <v>719</v>
      </c>
      <c r="H4641" s="33">
        <v>479</v>
      </c>
    </row>
    <row r="4642" spans="1:8" x14ac:dyDescent="0.4">
      <c r="A4642">
        <v>2004</v>
      </c>
      <c r="B4642" s="2" t="s">
        <v>540</v>
      </c>
      <c r="C4642" s="2" t="s">
        <v>720</v>
      </c>
      <c r="D4642" s="2" t="s">
        <v>193</v>
      </c>
      <c r="E4642" s="70" t="s">
        <v>14</v>
      </c>
      <c r="F4642" s="29">
        <v>487</v>
      </c>
      <c r="G4642" s="29">
        <v>337</v>
      </c>
      <c r="H4642" s="33">
        <v>150</v>
      </c>
    </row>
    <row r="4643" spans="1:8" x14ac:dyDescent="0.4">
      <c r="A4643">
        <v>2004</v>
      </c>
      <c r="B4643" s="2" t="s">
        <v>541</v>
      </c>
      <c r="C4643" s="2" t="s">
        <v>720</v>
      </c>
      <c r="D4643" s="2" t="s">
        <v>193</v>
      </c>
      <c r="E4643" s="70" t="s">
        <v>202</v>
      </c>
      <c r="F4643" s="29">
        <v>725</v>
      </c>
      <c r="G4643" s="29">
        <v>468</v>
      </c>
      <c r="H4643" s="33">
        <v>257</v>
      </c>
    </row>
    <row r="4644" spans="1:8" x14ac:dyDescent="0.4">
      <c r="A4644">
        <v>2004</v>
      </c>
      <c r="B4644" s="2" t="s">
        <v>542</v>
      </c>
      <c r="C4644" s="2" t="s">
        <v>720</v>
      </c>
      <c r="D4644" s="2" t="s">
        <v>193</v>
      </c>
      <c r="E4644" s="70" t="s">
        <v>203</v>
      </c>
      <c r="F4644" s="29">
        <v>198</v>
      </c>
      <c r="G4644" s="29">
        <v>110</v>
      </c>
      <c r="H4644" s="33">
        <v>88</v>
      </c>
    </row>
    <row r="4645" spans="1:8" x14ac:dyDescent="0.4">
      <c r="A4645">
        <v>2004</v>
      </c>
      <c r="B4645" s="2" t="s">
        <v>543</v>
      </c>
      <c r="C4645" s="2" t="s">
        <v>720</v>
      </c>
      <c r="D4645" s="2" t="s">
        <v>193</v>
      </c>
      <c r="E4645" s="70" t="s">
        <v>32</v>
      </c>
      <c r="F4645" s="29">
        <v>165</v>
      </c>
      <c r="G4645" s="29">
        <v>110</v>
      </c>
      <c r="H4645" s="33">
        <v>55</v>
      </c>
    </row>
    <row r="4646" spans="1:8" x14ac:dyDescent="0.4">
      <c r="A4646">
        <v>2004</v>
      </c>
      <c r="B4646" s="2" t="s">
        <v>544</v>
      </c>
      <c r="C4646" s="2" t="s">
        <v>720</v>
      </c>
      <c r="D4646" s="2" t="s">
        <v>193</v>
      </c>
      <c r="E4646" s="70" t="s">
        <v>204</v>
      </c>
      <c r="F4646" s="29">
        <v>205</v>
      </c>
      <c r="G4646" s="29">
        <v>144</v>
      </c>
      <c r="H4646" s="33">
        <v>61</v>
      </c>
    </row>
    <row r="4647" spans="1:8" x14ac:dyDescent="0.4">
      <c r="A4647">
        <v>2004</v>
      </c>
      <c r="B4647" s="2" t="s">
        <v>545</v>
      </c>
      <c r="C4647" s="2" t="s">
        <v>720</v>
      </c>
      <c r="D4647" s="2" t="s">
        <v>193</v>
      </c>
      <c r="E4647" s="70" t="s">
        <v>205</v>
      </c>
      <c r="F4647" s="29">
        <v>58</v>
      </c>
      <c r="G4647" s="29">
        <v>35</v>
      </c>
      <c r="H4647" s="33">
        <v>23</v>
      </c>
    </row>
    <row r="4648" spans="1:8" x14ac:dyDescent="0.4">
      <c r="A4648">
        <v>2004</v>
      </c>
      <c r="B4648" s="2" t="s">
        <v>546</v>
      </c>
      <c r="C4648" s="2" t="s">
        <v>720</v>
      </c>
      <c r="D4648" s="2" t="s">
        <v>193</v>
      </c>
      <c r="E4648" s="70" t="s">
        <v>206</v>
      </c>
      <c r="F4648" s="29">
        <v>602</v>
      </c>
      <c r="G4648" s="29">
        <v>373</v>
      </c>
      <c r="H4648" s="33">
        <v>229</v>
      </c>
    </row>
    <row r="4649" spans="1:8" x14ac:dyDescent="0.4">
      <c r="A4649">
        <v>2004</v>
      </c>
      <c r="B4649" s="2" t="s">
        <v>547</v>
      </c>
      <c r="C4649" s="2" t="s">
        <v>720</v>
      </c>
      <c r="D4649" s="2" t="s">
        <v>193</v>
      </c>
      <c r="E4649" s="70" t="s">
        <v>25</v>
      </c>
      <c r="F4649" s="29">
        <v>123</v>
      </c>
      <c r="G4649" s="29">
        <v>95</v>
      </c>
      <c r="H4649" s="33">
        <v>28</v>
      </c>
    </row>
    <row r="4650" spans="1:8" x14ac:dyDescent="0.4">
      <c r="A4650">
        <v>2004</v>
      </c>
      <c r="B4650" s="2" t="s">
        <v>548</v>
      </c>
      <c r="C4650" s="2" t="s">
        <v>720</v>
      </c>
      <c r="D4650" s="2" t="s">
        <v>193</v>
      </c>
      <c r="E4650" s="70" t="s">
        <v>51</v>
      </c>
      <c r="F4650" s="29">
        <v>3231</v>
      </c>
      <c r="G4650" s="29">
        <v>2000</v>
      </c>
      <c r="H4650" s="33">
        <v>1231</v>
      </c>
    </row>
    <row r="4651" spans="1:8" x14ac:dyDescent="0.4">
      <c r="A4651">
        <v>2004</v>
      </c>
      <c r="B4651" s="2" t="s">
        <v>549</v>
      </c>
      <c r="C4651" s="2" t="s">
        <v>720</v>
      </c>
      <c r="D4651" s="2" t="s">
        <v>193</v>
      </c>
      <c r="E4651" s="70" t="s">
        <v>53</v>
      </c>
      <c r="F4651" s="29">
        <v>308</v>
      </c>
      <c r="G4651" s="29">
        <v>198</v>
      </c>
      <c r="H4651" s="33">
        <v>110</v>
      </c>
    </row>
    <row r="4652" spans="1:8" x14ac:dyDescent="0.4">
      <c r="A4652">
        <v>2004</v>
      </c>
      <c r="B4652" s="2" t="s">
        <v>550</v>
      </c>
      <c r="C4652" s="2" t="s">
        <v>720</v>
      </c>
      <c r="D4652" s="2" t="s">
        <v>193</v>
      </c>
      <c r="E4652" s="70" t="s">
        <v>54</v>
      </c>
      <c r="F4652" s="29">
        <v>616</v>
      </c>
      <c r="G4652" s="29">
        <v>374</v>
      </c>
      <c r="H4652" s="33">
        <v>242</v>
      </c>
    </row>
    <row r="4653" spans="1:8" x14ac:dyDescent="0.4">
      <c r="A4653">
        <v>2004</v>
      </c>
      <c r="B4653" s="2" t="s">
        <v>551</v>
      </c>
      <c r="C4653" s="2" t="s">
        <v>721</v>
      </c>
      <c r="D4653" s="2" t="s">
        <v>207</v>
      </c>
      <c r="E4653" s="70" t="s">
        <v>128</v>
      </c>
      <c r="F4653" s="29">
        <v>50</v>
      </c>
      <c r="G4653" s="29">
        <v>33</v>
      </c>
      <c r="H4653" s="33">
        <v>17</v>
      </c>
    </row>
    <row r="4654" spans="1:8" x14ac:dyDescent="0.4">
      <c r="A4654">
        <v>2004</v>
      </c>
      <c r="B4654" s="2" t="s">
        <v>552</v>
      </c>
      <c r="C4654" s="2" t="s">
        <v>721</v>
      </c>
      <c r="D4654" s="2" t="s">
        <v>207</v>
      </c>
      <c r="E4654" s="70" t="s">
        <v>208</v>
      </c>
      <c r="F4654" s="29">
        <v>15</v>
      </c>
      <c r="G4654" s="29">
        <v>13</v>
      </c>
      <c r="H4654" s="33">
        <v>2</v>
      </c>
    </row>
    <row r="4655" spans="1:8" x14ac:dyDescent="0.4">
      <c r="A4655">
        <v>2004</v>
      </c>
      <c r="B4655" s="2" t="s">
        <v>553</v>
      </c>
      <c r="C4655" s="2" t="s">
        <v>721</v>
      </c>
      <c r="D4655" s="2" t="s">
        <v>207</v>
      </c>
      <c r="E4655" s="70" t="s">
        <v>36</v>
      </c>
      <c r="F4655" s="29">
        <v>124</v>
      </c>
      <c r="G4655" s="29">
        <v>72</v>
      </c>
      <c r="H4655" s="33">
        <v>52</v>
      </c>
    </row>
    <row r="4656" spans="1:8" x14ac:dyDescent="0.4">
      <c r="A4656">
        <v>2004</v>
      </c>
      <c r="B4656" s="2" t="s">
        <v>554</v>
      </c>
      <c r="C4656" s="2" t="s">
        <v>721</v>
      </c>
      <c r="D4656" s="2" t="s">
        <v>207</v>
      </c>
      <c r="E4656" s="70" t="s">
        <v>209</v>
      </c>
      <c r="F4656" s="29">
        <v>92</v>
      </c>
      <c r="G4656" s="29">
        <v>56</v>
      </c>
      <c r="H4656" s="33">
        <v>36</v>
      </c>
    </row>
    <row r="4657" spans="1:8" x14ac:dyDescent="0.4">
      <c r="A4657">
        <v>2004</v>
      </c>
      <c r="B4657" s="2" t="s">
        <v>555</v>
      </c>
      <c r="C4657" s="2" t="s">
        <v>721</v>
      </c>
      <c r="D4657" s="2" t="s">
        <v>207</v>
      </c>
      <c r="E4657" s="70" t="s">
        <v>69</v>
      </c>
      <c r="F4657" s="29">
        <v>47</v>
      </c>
      <c r="G4657" s="29">
        <v>27</v>
      </c>
      <c r="H4657" s="33">
        <v>20</v>
      </c>
    </row>
    <row r="4658" spans="1:8" x14ac:dyDescent="0.4">
      <c r="A4658">
        <v>2004</v>
      </c>
      <c r="B4658" s="2" t="s">
        <v>556</v>
      </c>
      <c r="C4658" s="2" t="s">
        <v>721</v>
      </c>
      <c r="D4658" s="2" t="s">
        <v>207</v>
      </c>
      <c r="E4658" s="70" t="s">
        <v>62</v>
      </c>
      <c r="F4658" s="29">
        <v>137</v>
      </c>
      <c r="G4658" s="29">
        <v>78</v>
      </c>
      <c r="H4658" s="33">
        <v>59</v>
      </c>
    </row>
    <row r="4659" spans="1:8" x14ac:dyDescent="0.4">
      <c r="A4659">
        <v>2004</v>
      </c>
      <c r="B4659" s="2" t="s">
        <v>557</v>
      </c>
      <c r="C4659" s="2" t="s">
        <v>721</v>
      </c>
      <c r="D4659" s="2" t="s">
        <v>207</v>
      </c>
      <c r="E4659" s="70" t="s">
        <v>44</v>
      </c>
      <c r="F4659" s="29">
        <v>78</v>
      </c>
      <c r="G4659" s="29">
        <v>41</v>
      </c>
      <c r="H4659" s="33">
        <v>37</v>
      </c>
    </row>
    <row r="4660" spans="1:8" x14ac:dyDescent="0.4">
      <c r="A4660">
        <v>2004</v>
      </c>
      <c r="B4660" s="2" t="s">
        <v>558</v>
      </c>
      <c r="C4660" s="2" t="s">
        <v>721</v>
      </c>
      <c r="D4660" s="2" t="s">
        <v>207</v>
      </c>
      <c r="E4660" s="70" t="s">
        <v>210</v>
      </c>
      <c r="F4660" s="29">
        <v>2407</v>
      </c>
      <c r="G4660" s="29">
        <v>1531</v>
      </c>
      <c r="H4660" s="33">
        <v>876</v>
      </c>
    </row>
    <row r="4661" spans="1:8" x14ac:dyDescent="0.4">
      <c r="A4661">
        <v>2004</v>
      </c>
      <c r="B4661" s="2" t="s">
        <v>559</v>
      </c>
      <c r="C4661" s="2" t="s">
        <v>721</v>
      </c>
      <c r="D4661" s="2" t="s">
        <v>207</v>
      </c>
      <c r="E4661" s="70" t="s">
        <v>74</v>
      </c>
      <c r="F4661" s="29">
        <v>71</v>
      </c>
      <c r="G4661" s="29">
        <v>50</v>
      </c>
      <c r="H4661" s="33">
        <v>21</v>
      </c>
    </row>
    <row r="4662" spans="1:8" x14ac:dyDescent="0.4">
      <c r="A4662">
        <v>2004</v>
      </c>
      <c r="B4662" s="2" t="s">
        <v>560</v>
      </c>
      <c r="C4662" s="2" t="s">
        <v>721</v>
      </c>
      <c r="D4662" s="2" t="s">
        <v>207</v>
      </c>
      <c r="E4662" s="70" t="s">
        <v>211</v>
      </c>
      <c r="F4662" s="29">
        <v>64</v>
      </c>
      <c r="G4662" s="29">
        <v>36</v>
      </c>
      <c r="H4662" s="33">
        <v>28</v>
      </c>
    </row>
    <row r="4663" spans="1:8" x14ac:dyDescent="0.4">
      <c r="A4663">
        <v>2004</v>
      </c>
      <c r="B4663" s="2" t="s">
        <v>561</v>
      </c>
      <c r="C4663" s="2" t="s">
        <v>721</v>
      </c>
      <c r="D4663" s="2" t="s">
        <v>207</v>
      </c>
      <c r="E4663" s="70" t="s">
        <v>212</v>
      </c>
      <c r="F4663" s="29">
        <v>27</v>
      </c>
      <c r="G4663" s="29">
        <v>18</v>
      </c>
      <c r="H4663" s="33">
        <v>9</v>
      </c>
    </row>
    <row r="4664" spans="1:8" x14ac:dyDescent="0.4">
      <c r="A4664">
        <v>2004</v>
      </c>
      <c r="B4664" s="2" t="s">
        <v>562</v>
      </c>
      <c r="C4664" s="2" t="s">
        <v>721</v>
      </c>
      <c r="D4664" s="2" t="s">
        <v>207</v>
      </c>
      <c r="E4664" s="70" t="s">
        <v>213</v>
      </c>
      <c r="F4664" s="29">
        <v>64</v>
      </c>
      <c r="G4664" s="29">
        <v>38</v>
      </c>
      <c r="H4664" s="33">
        <v>26</v>
      </c>
    </row>
    <row r="4665" spans="1:8" x14ac:dyDescent="0.4">
      <c r="A4665">
        <v>2004</v>
      </c>
      <c r="B4665" s="2" t="s">
        <v>563</v>
      </c>
      <c r="C4665" s="2" t="s">
        <v>721</v>
      </c>
      <c r="D4665" s="2" t="s">
        <v>207</v>
      </c>
      <c r="E4665" s="70" t="s">
        <v>214</v>
      </c>
      <c r="F4665" s="29">
        <v>18</v>
      </c>
      <c r="G4665" s="29">
        <v>8</v>
      </c>
      <c r="H4665" s="33">
        <v>10</v>
      </c>
    </row>
    <row r="4666" spans="1:8" x14ac:dyDescent="0.4">
      <c r="A4666">
        <v>2004</v>
      </c>
      <c r="B4666" s="2" t="s">
        <v>564</v>
      </c>
      <c r="C4666" s="2" t="s">
        <v>722</v>
      </c>
      <c r="D4666" s="2" t="s">
        <v>216</v>
      </c>
      <c r="E4666" s="70" t="s">
        <v>215</v>
      </c>
      <c r="F4666" s="29">
        <v>43</v>
      </c>
      <c r="G4666" s="29">
        <v>29</v>
      </c>
      <c r="H4666" s="33">
        <v>14</v>
      </c>
    </row>
    <row r="4667" spans="1:8" x14ac:dyDescent="0.4">
      <c r="A4667">
        <v>2004</v>
      </c>
      <c r="B4667" s="2" t="s">
        <v>565</v>
      </c>
      <c r="C4667" s="2" t="s">
        <v>722</v>
      </c>
      <c r="D4667" s="2" t="s">
        <v>216</v>
      </c>
      <c r="E4667" s="70" t="s">
        <v>59</v>
      </c>
      <c r="F4667" s="29">
        <v>102</v>
      </c>
      <c r="G4667" s="29">
        <v>61</v>
      </c>
      <c r="H4667" s="33">
        <v>41</v>
      </c>
    </row>
    <row r="4668" spans="1:8" x14ac:dyDescent="0.4">
      <c r="A4668">
        <v>2004</v>
      </c>
      <c r="B4668" s="2" t="s">
        <v>566</v>
      </c>
      <c r="C4668" s="2" t="s">
        <v>722</v>
      </c>
      <c r="D4668" s="2" t="s">
        <v>216</v>
      </c>
      <c r="E4668" s="70" t="s">
        <v>217</v>
      </c>
      <c r="F4668" s="29">
        <v>108</v>
      </c>
      <c r="G4668" s="29">
        <v>74</v>
      </c>
      <c r="H4668" s="33">
        <v>34</v>
      </c>
    </row>
    <row r="4669" spans="1:8" x14ac:dyDescent="0.4">
      <c r="A4669">
        <v>2004</v>
      </c>
      <c r="B4669" s="2" t="s">
        <v>567</v>
      </c>
      <c r="C4669" s="2" t="s">
        <v>722</v>
      </c>
      <c r="D4669" s="2" t="s">
        <v>216</v>
      </c>
      <c r="E4669" s="70" t="s">
        <v>218</v>
      </c>
      <c r="F4669" s="29">
        <v>142</v>
      </c>
      <c r="G4669" s="29">
        <v>86</v>
      </c>
      <c r="H4669" s="33">
        <v>56</v>
      </c>
    </row>
    <row r="4670" spans="1:8" x14ac:dyDescent="0.4">
      <c r="A4670">
        <v>2004</v>
      </c>
      <c r="B4670" s="2" t="s">
        <v>568</v>
      </c>
      <c r="C4670" s="2" t="s">
        <v>722</v>
      </c>
      <c r="D4670" s="2" t="s">
        <v>216</v>
      </c>
      <c r="E4670" s="70" t="s">
        <v>219</v>
      </c>
      <c r="F4670" s="29">
        <v>100</v>
      </c>
      <c r="G4670" s="29">
        <v>49</v>
      </c>
      <c r="H4670" s="33">
        <v>51</v>
      </c>
    </row>
    <row r="4671" spans="1:8" x14ac:dyDescent="0.4">
      <c r="A4671">
        <v>2004</v>
      </c>
      <c r="B4671" s="2" t="s">
        <v>569</v>
      </c>
      <c r="C4671" s="2" t="s">
        <v>722</v>
      </c>
      <c r="D4671" s="2" t="s">
        <v>216</v>
      </c>
      <c r="E4671" s="70" t="s">
        <v>220</v>
      </c>
      <c r="F4671" s="29">
        <v>105</v>
      </c>
      <c r="G4671" s="29">
        <v>57</v>
      </c>
      <c r="H4671" s="33">
        <v>48</v>
      </c>
    </row>
    <row r="4672" spans="1:8" x14ac:dyDescent="0.4">
      <c r="A4672">
        <v>2004</v>
      </c>
      <c r="B4672" s="2" t="s">
        <v>570</v>
      </c>
      <c r="C4672" s="2" t="s">
        <v>722</v>
      </c>
      <c r="D4672" s="2" t="s">
        <v>216</v>
      </c>
      <c r="E4672" s="70" t="s">
        <v>221</v>
      </c>
      <c r="F4672" s="29">
        <v>128</v>
      </c>
      <c r="G4672" s="29">
        <v>74</v>
      </c>
      <c r="H4672" s="33">
        <v>54</v>
      </c>
    </row>
    <row r="4673" spans="1:8" x14ac:dyDescent="0.4">
      <c r="A4673">
        <v>2004</v>
      </c>
      <c r="B4673" s="2" t="s">
        <v>571</v>
      </c>
      <c r="C4673" s="2" t="s">
        <v>722</v>
      </c>
      <c r="D4673" s="2" t="s">
        <v>216</v>
      </c>
      <c r="E4673" s="70" t="s">
        <v>222</v>
      </c>
      <c r="F4673" s="29">
        <v>984</v>
      </c>
      <c r="G4673" s="29">
        <v>598</v>
      </c>
      <c r="H4673" s="33">
        <v>386</v>
      </c>
    </row>
    <row r="4674" spans="1:8" x14ac:dyDescent="0.4">
      <c r="A4674">
        <v>2004</v>
      </c>
      <c r="B4674" s="2" t="s">
        <v>572</v>
      </c>
      <c r="C4674" s="2" t="s">
        <v>722</v>
      </c>
      <c r="D4674" s="2" t="s">
        <v>216</v>
      </c>
      <c r="E4674" s="70" t="s">
        <v>223</v>
      </c>
      <c r="F4674" s="29">
        <v>43</v>
      </c>
      <c r="G4674" s="29">
        <v>26</v>
      </c>
      <c r="H4674" s="33">
        <v>17</v>
      </c>
    </row>
    <row r="4675" spans="1:8" x14ac:dyDescent="0.4">
      <c r="A4675">
        <v>2004</v>
      </c>
      <c r="B4675" s="2" t="s">
        <v>573</v>
      </c>
      <c r="C4675" s="2" t="s">
        <v>722</v>
      </c>
      <c r="D4675" s="2" t="s">
        <v>216</v>
      </c>
      <c r="E4675" s="70" t="s">
        <v>224</v>
      </c>
      <c r="F4675" s="29">
        <v>80</v>
      </c>
      <c r="G4675" s="29">
        <v>40</v>
      </c>
      <c r="H4675" s="33">
        <v>40</v>
      </c>
    </row>
    <row r="4676" spans="1:8" x14ac:dyDescent="0.4">
      <c r="A4676">
        <v>2004</v>
      </c>
      <c r="B4676" s="2" t="s">
        <v>574</v>
      </c>
      <c r="C4676" s="2" t="s">
        <v>722</v>
      </c>
      <c r="D4676" s="2" t="s">
        <v>216</v>
      </c>
      <c r="E4676" s="70" t="s">
        <v>225</v>
      </c>
      <c r="F4676" s="29">
        <v>18</v>
      </c>
      <c r="G4676" s="29">
        <v>13</v>
      </c>
      <c r="H4676" s="33">
        <v>5</v>
      </c>
    </row>
    <row r="4677" spans="1:8" x14ac:dyDescent="0.4">
      <c r="A4677">
        <v>2004</v>
      </c>
      <c r="B4677" s="2" t="s">
        <v>575</v>
      </c>
      <c r="C4677" s="2" t="s">
        <v>723</v>
      </c>
      <c r="D4677" s="2" t="s">
        <v>227</v>
      </c>
      <c r="E4677" s="70" t="s">
        <v>226</v>
      </c>
      <c r="F4677" s="29">
        <v>38</v>
      </c>
      <c r="G4677" s="29">
        <v>30</v>
      </c>
      <c r="H4677" s="33">
        <v>8</v>
      </c>
    </row>
    <row r="4678" spans="1:8" x14ac:dyDescent="0.4">
      <c r="A4678">
        <v>2004</v>
      </c>
      <c r="B4678" s="2" t="s">
        <v>576</v>
      </c>
      <c r="C4678" s="2" t="s">
        <v>723</v>
      </c>
      <c r="D4678" s="2" t="s">
        <v>227</v>
      </c>
      <c r="E4678" s="70" t="s">
        <v>228</v>
      </c>
      <c r="F4678" s="29">
        <v>1172</v>
      </c>
      <c r="G4678" s="29">
        <v>736</v>
      </c>
      <c r="H4678" s="33">
        <v>436</v>
      </c>
    </row>
    <row r="4679" spans="1:8" x14ac:dyDescent="0.4">
      <c r="A4679">
        <v>2004</v>
      </c>
      <c r="B4679" s="2" t="s">
        <v>577</v>
      </c>
      <c r="C4679" s="2" t="s">
        <v>723</v>
      </c>
      <c r="D4679" s="2" t="s">
        <v>227</v>
      </c>
      <c r="E4679" s="70" t="s">
        <v>229</v>
      </c>
      <c r="F4679" s="29">
        <v>108</v>
      </c>
      <c r="G4679" s="29">
        <v>55</v>
      </c>
      <c r="H4679" s="33">
        <v>53</v>
      </c>
    </row>
    <row r="4680" spans="1:8" x14ac:dyDescent="0.4">
      <c r="A4680">
        <v>2004</v>
      </c>
      <c r="B4680" s="2" t="s">
        <v>578</v>
      </c>
      <c r="C4680" s="2" t="s">
        <v>723</v>
      </c>
      <c r="D4680" s="2" t="s">
        <v>227</v>
      </c>
      <c r="E4680" s="70" t="s">
        <v>230</v>
      </c>
      <c r="F4680" s="29">
        <v>931</v>
      </c>
      <c r="G4680" s="29">
        <v>581</v>
      </c>
      <c r="H4680" s="33">
        <v>350</v>
      </c>
    </row>
    <row r="4681" spans="1:8" x14ac:dyDescent="0.4">
      <c r="A4681">
        <v>2004</v>
      </c>
      <c r="B4681" s="2" t="s">
        <v>579</v>
      </c>
      <c r="C4681" s="2" t="s">
        <v>723</v>
      </c>
      <c r="D4681" s="2" t="s">
        <v>227</v>
      </c>
      <c r="E4681" s="70" t="s">
        <v>231</v>
      </c>
      <c r="F4681" s="29">
        <v>99</v>
      </c>
      <c r="G4681" s="29">
        <v>57</v>
      </c>
      <c r="H4681" s="33">
        <v>42</v>
      </c>
    </row>
    <row r="4682" spans="1:8" x14ac:dyDescent="0.4">
      <c r="A4682">
        <v>2004</v>
      </c>
      <c r="B4682" s="2" t="s">
        <v>580</v>
      </c>
      <c r="C4682" s="2" t="s">
        <v>723</v>
      </c>
      <c r="D4682" s="2" t="s">
        <v>227</v>
      </c>
      <c r="E4682" s="70" t="s">
        <v>232</v>
      </c>
      <c r="F4682" s="29">
        <v>93</v>
      </c>
      <c r="G4682" s="29">
        <v>59</v>
      </c>
      <c r="H4682" s="33">
        <v>34</v>
      </c>
    </row>
    <row r="4683" spans="1:8" x14ac:dyDescent="0.4">
      <c r="A4683">
        <v>2004</v>
      </c>
      <c r="B4683" s="2" t="s">
        <v>581</v>
      </c>
      <c r="C4683" s="2" t="s">
        <v>723</v>
      </c>
      <c r="D4683" s="2" t="s">
        <v>227</v>
      </c>
      <c r="E4683" s="70" t="s">
        <v>233</v>
      </c>
      <c r="F4683" s="29">
        <v>135</v>
      </c>
      <c r="G4683" s="29">
        <v>86</v>
      </c>
      <c r="H4683" s="33">
        <v>49</v>
      </c>
    </row>
    <row r="4684" spans="1:8" x14ac:dyDescent="0.4">
      <c r="A4684">
        <v>2004</v>
      </c>
      <c r="B4684" s="2" t="s">
        <v>582</v>
      </c>
      <c r="C4684" s="2" t="s">
        <v>723</v>
      </c>
      <c r="D4684" s="2" t="s">
        <v>227</v>
      </c>
      <c r="E4684" s="70" t="s">
        <v>32</v>
      </c>
      <c r="F4684" s="29">
        <v>456</v>
      </c>
      <c r="G4684" s="29">
        <v>281</v>
      </c>
      <c r="H4684" s="33">
        <v>175</v>
      </c>
    </row>
    <row r="4685" spans="1:8" x14ac:dyDescent="0.4">
      <c r="A4685">
        <v>2004</v>
      </c>
      <c r="B4685" s="2" t="s">
        <v>583</v>
      </c>
      <c r="C4685" s="2" t="s">
        <v>723</v>
      </c>
      <c r="D4685" s="2" t="s">
        <v>227</v>
      </c>
      <c r="E4685" s="70" t="s">
        <v>234</v>
      </c>
      <c r="F4685" s="29">
        <v>27</v>
      </c>
      <c r="G4685" s="29">
        <v>17</v>
      </c>
      <c r="H4685" s="33">
        <v>10</v>
      </c>
    </row>
    <row r="4686" spans="1:8" x14ac:dyDescent="0.4">
      <c r="A4686">
        <v>2004</v>
      </c>
      <c r="B4686" s="2" t="s">
        <v>584</v>
      </c>
      <c r="C4686" s="2" t="s">
        <v>723</v>
      </c>
      <c r="D4686" s="2" t="s">
        <v>227</v>
      </c>
      <c r="E4686" s="70" t="s">
        <v>235</v>
      </c>
      <c r="F4686" s="29">
        <v>55</v>
      </c>
      <c r="G4686" s="29">
        <v>38</v>
      </c>
      <c r="H4686" s="33">
        <v>17</v>
      </c>
    </row>
    <row r="4687" spans="1:8" x14ac:dyDescent="0.4">
      <c r="A4687">
        <v>2004</v>
      </c>
      <c r="B4687" s="2" t="s">
        <v>585</v>
      </c>
      <c r="C4687" s="2" t="s">
        <v>723</v>
      </c>
      <c r="D4687" s="2" t="s">
        <v>227</v>
      </c>
      <c r="E4687" s="70" t="s">
        <v>236</v>
      </c>
      <c r="F4687" s="29">
        <v>47</v>
      </c>
      <c r="G4687" s="29">
        <v>33</v>
      </c>
      <c r="H4687" s="33">
        <v>14</v>
      </c>
    </row>
    <row r="4688" spans="1:8" x14ac:dyDescent="0.4">
      <c r="A4688">
        <v>2004</v>
      </c>
      <c r="B4688" s="2" t="s">
        <v>586</v>
      </c>
      <c r="C4688" s="2" t="s">
        <v>723</v>
      </c>
      <c r="D4688" s="2" t="s">
        <v>227</v>
      </c>
      <c r="E4688" s="70" t="s">
        <v>237</v>
      </c>
      <c r="F4688" s="29">
        <v>47</v>
      </c>
      <c r="G4688" s="29">
        <v>32</v>
      </c>
      <c r="H4688" s="33">
        <v>15</v>
      </c>
    </row>
    <row r="4689" spans="1:8" x14ac:dyDescent="0.4">
      <c r="A4689">
        <v>2004</v>
      </c>
      <c r="B4689" s="2" t="s">
        <v>587</v>
      </c>
      <c r="C4689" s="2" t="s">
        <v>723</v>
      </c>
      <c r="D4689" s="2" t="s">
        <v>227</v>
      </c>
      <c r="E4689" s="70" t="s">
        <v>51</v>
      </c>
      <c r="F4689" s="29">
        <v>153</v>
      </c>
      <c r="G4689" s="29">
        <v>101</v>
      </c>
      <c r="H4689" s="33">
        <v>52</v>
      </c>
    </row>
    <row r="4690" spans="1:8" x14ac:dyDescent="0.4">
      <c r="A4690">
        <v>2004</v>
      </c>
      <c r="B4690" s="2" t="s">
        <v>588</v>
      </c>
      <c r="C4690" s="2" t="s">
        <v>723</v>
      </c>
      <c r="D4690" s="2" t="s">
        <v>227</v>
      </c>
      <c r="E4690" s="70" t="s">
        <v>238</v>
      </c>
      <c r="F4690" s="29">
        <v>225</v>
      </c>
      <c r="G4690" s="29">
        <v>132</v>
      </c>
      <c r="H4690" s="33">
        <v>93</v>
      </c>
    </row>
    <row r="4691" spans="1:8" x14ac:dyDescent="0.4">
      <c r="A4691">
        <v>2004</v>
      </c>
      <c r="B4691" s="2" t="s">
        <v>589</v>
      </c>
      <c r="C4691" s="2" t="s">
        <v>724</v>
      </c>
      <c r="D4691" s="2" t="s">
        <v>239</v>
      </c>
      <c r="E4691" s="70" t="s">
        <v>163</v>
      </c>
      <c r="F4691" s="29">
        <v>85</v>
      </c>
      <c r="G4691" s="29">
        <v>55</v>
      </c>
      <c r="H4691" s="33">
        <v>30</v>
      </c>
    </row>
    <row r="4692" spans="1:8" x14ac:dyDescent="0.4">
      <c r="A4692">
        <v>2004</v>
      </c>
      <c r="B4692" s="2" t="s">
        <v>590</v>
      </c>
      <c r="C4692" s="2" t="s">
        <v>724</v>
      </c>
      <c r="D4692" s="2" t="s">
        <v>239</v>
      </c>
      <c r="E4692" s="70" t="s">
        <v>240</v>
      </c>
      <c r="F4692" s="29">
        <v>36</v>
      </c>
      <c r="G4692" s="29">
        <v>22</v>
      </c>
      <c r="H4692" s="33">
        <v>14</v>
      </c>
    </row>
    <row r="4693" spans="1:8" x14ac:dyDescent="0.4">
      <c r="A4693">
        <v>2004</v>
      </c>
      <c r="B4693" s="2" t="s">
        <v>591</v>
      </c>
      <c r="C4693" s="2" t="s">
        <v>724</v>
      </c>
      <c r="D4693" s="2" t="s">
        <v>239</v>
      </c>
      <c r="E4693" s="70" t="s">
        <v>59</v>
      </c>
      <c r="F4693" s="29">
        <v>177</v>
      </c>
      <c r="G4693" s="29">
        <v>91</v>
      </c>
      <c r="H4693" s="33">
        <v>86</v>
      </c>
    </row>
    <row r="4694" spans="1:8" x14ac:dyDescent="0.4">
      <c r="A4694">
        <v>2004</v>
      </c>
      <c r="B4694" s="2" t="s">
        <v>592</v>
      </c>
      <c r="C4694" s="2" t="s">
        <v>724</v>
      </c>
      <c r="D4694" s="2" t="s">
        <v>239</v>
      </c>
      <c r="E4694" s="70" t="s">
        <v>241</v>
      </c>
      <c r="F4694" s="29">
        <v>46</v>
      </c>
      <c r="G4694" s="29">
        <v>30</v>
      </c>
      <c r="H4694" s="33">
        <v>16</v>
      </c>
    </row>
    <row r="4695" spans="1:8" x14ac:dyDescent="0.4">
      <c r="A4695">
        <v>2004</v>
      </c>
      <c r="B4695" s="2" t="s">
        <v>593</v>
      </c>
      <c r="C4695" s="2" t="s">
        <v>724</v>
      </c>
      <c r="D4695" s="2" t="s">
        <v>239</v>
      </c>
      <c r="E4695" s="70" t="s">
        <v>242</v>
      </c>
      <c r="F4695" s="29">
        <v>883</v>
      </c>
      <c r="G4695" s="29">
        <v>500</v>
      </c>
      <c r="H4695" s="33">
        <v>383</v>
      </c>
    </row>
    <row r="4696" spans="1:8" x14ac:dyDescent="0.4">
      <c r="A4696">
        <v>2004</v>
      </c>
      <c r="B4696" s="2" t="s">
        <v>594</v>
      </c>
      <c r="C4696" s="2" t="s">
        <v>724</v>
      </c>
      <c r="D4696" s="2" t="s">
        <v>239</v>
      </c>
      <c r="E4696" s="70" t="s">
        <v>36</v>
      </c>
      <c r="F4696" s="29">
        <v>42</v>
      </c>
      <c r="G4696" s="29">
        <v>21</v>
      </c>
      <c r="H4696" s="33">
        <v>21</v>
      </c>
    </row>
    <row r="4697" spans="1:8" x14ac:dyDescent="0.4">
      <c r="A4697">
        <v>2004</v>
      </c>
      <c r="B4697" s="2" t="s">
        <v>595</v>
      </c>
      <c r="C4697" s="2" t="s">
        <v>724</v>
      </c>
      <c r="D4697" s="2" t="s">
        <v>239</v>
      </c>
      <c r="E4697" s="70" t="s">
        <v>243</v>
      </c>
      <c r="F4697" s="29">
        <v>60</v>
      </c>
      <c r="G4697" s="29">
        <v>33</v>
      </c>
      <c r="H4697" s="33">
        <v>27</v>
      </c>
    </row>
    <row r="4698" spans="1:8" x14ac:dyDescent="0.4">
      <c r="A4698">
        <v>2004</v>
      </c>
      <c r="B4698" s="2" t="s">
        <v>596</v>
      </c>
      <c r="C4698" s="2" t="s">
        <v>724</v>
      </c>
      <c r="D4698" s="2" t="s">
        <v>239</v>
      </c>
      <c r="E4698" s="70" t="s">
        <v>244</v>
      </c>
      <c r="F4698" s="29">
        <v>77</v>
      </c>
      <c r="G4698" s="29">
        <v>47</v>
      </c>
      <c r="H4698" s="33">
        <v>30</v>
      </c>
    </row>
    <row r="4699" spans="1:8" x14ac:dyDescent="0.4">
      <c r="A4699">
        <v>2004</v>
      </c>
      <c r="B4699" s="2" t="s">
        <v>597</v>
      </c>
      <c r="C4699" s="2" t="s">
        <v>724</v>
      </c>
      <c r="D4699" s="2" t="s">
        <v>239</v>
      </c>
      <c r="E4699" s="70" t="s">
        <v>44</v>
      </c>
      <c r="F4699" s="29">
        <v>29</v>
      </c>
      <c r="G4699" s="29">
        <v>16</v>
      </c>
      <c r="H4699" s="33">
        <v>13</v>
      </c>
    </row>
    <row r="4700" spans="1:8" x14ac:dyDescent="0.4">
      <c r="A4700">
        <v>2004</v>
      </c>
      <c r="B4700" s="2" t="s">
        <v>598</v>
      </c>
      <c r="C4700" s="2" t="s">
        <v>724</v>
      </c>
      <c r="D4700" s="2" t="s">
        <v>239</v>
      </c>
      <c r="E4700" s="70" t="s">
        <v>222</v>
      </c>
      <c r="F4700" s="29">
        <v>67</v>
      </c>
      <c r="G4700" s="29">
        <v>49</v>
      </c>
      <c r="H4700" s="33">
        <v>18</v>
      </c>
    </row>
    <row r="4701" spans="1:8" x14ac:dyDescent="0.4">
      <c r="A4701">
        <v>2004</v>
      </c>
      <c r="B4701" s="2" t="s">
        <v>599</v>
      </c>
      <c r="C4701" s="2" t="s">
        <v>724</v>
      </c>
      <c r="D4701" s="2" t="s">
        <v>239</v>
      </c>
      <c r="E4701" s="70" t="s">
        <v>245</v>
      </c>
      <c r="F4701" s="29">
        <v>27</v>
      </c>
      <c r="G4701" s="29">
        <v>19</v>
      </c>
      <c r="H4701" s="33">
        <v>8</v>
      </c>
    </row>
    <row r="4702" spans="1:8" x14ac:dyDescent="0.4">
      <c r="A4702">
        <v>2004</v>
      </c>
      <c r="B4702" s="2" t="s">
        <v>600</v>
      </c>
      <c r="C4702" s="2" t="s">
        <v>724</v>
      </c>
      <c r="D4702" s="2" t="s">
        <v>239</v>
      </c>
      <c r="E4702" s="70" t="s">
        <v>246</v>
      </c>
      <c r="F4702" s="29">
        <v>189</v>
      </c>
      <c r="G4702" s="29">
        <v>118</v>
      </c>
      <c r="H4702" s="33">
        <v>71</v>
      </c>
    </row>
    <row r="4703" spans="1:8" x14ac:dyDescent="0.4">
      <c r="A4703">
        <v>2004</v>
      </c>
      <c r="B4703" s="2" t="s">
        <v>601</v>
      </c>
      <c r="C4703" s="2" t="s">
        <v>724</v>
      </c>
      <c r="D4703" s="2" t="s">
        <v>239</v>
      </c>
      <c r="E4703" s="70" t="s">
        <v>247</v>
      </c>
      <c r="F4703" s="29">
        <v>202</v>
      </c>
      <c r="G4703" s="29">
        <v>120</v>
      </c>
      <c r="H4703" s="33">
        <v>82</v>
      </c>
    </row>
    <row r="4704" spans="1:8" x14ac:dyDescent="0.4">
      <c r="A4704">
        <v>2004</v>
      </c>
      <c r="B4704" s="2" t="s">
        <v>602</v>
      </c>
      <c r="C4704" s="2" t="s">
        <v>724</v>
      </c>
      <c r="D4704" s="2" t="s">
        <v>239</v>
      </c>
      <c r="E4704" s="70" t="s">
        <v>51</v>
      </c>
      <c r="F4704" s="29">
        <v>1730</v>
      </c>
      <c r="G4704" s="29">
        <v>1070</v>
      </c>
      <c r="H4704" s="33">
        <v>660</v>
      </c>
    </row>
    <row r="4705" spans="1:8" x14ac:dyDescent="0.4">
      <c r="A4705">
        <v>2004</v>
      </c>
      <c r="B4705" s="2" t="s">
        <v>603</v>
      </c>
      <c r="C4705" s="2" t="s">
        <v>724</v>
      </c>
      <c r="D4705" s="2" t="s">
        <v>239</v>
      </c>
      <c r="E4705" s="70" t="s">
        <v>248</v>
      </c>
      <c r="F4705" s="29">
        <v>106</v>
      </c>
      <c r="G4705" s="29">
        <v>64</v>
      </c>
      <c r="H4705" s="33">
        <v>42</v>
      </c>
    </row>
    <row r="4706" spans="1:8" x14ac:dyDescent="0.4">
      <c r="A4706">
        <v>2004</v>
      </c>
      <c r="B4706" s="2" t="s">
        <v>604</v>
      </c>
      <c r="C4706" s="2" t="s">
        <v>725</v>
      </c>
      <c r="D4706" s="2" t="s">
        <v>249</v>
      </c>
      <c r="E4706" s="70" t="s">
        <v>174</v>
      </c>
      <c r="F4706" s="29">
        <v>54</v>
      </c>
      <c r="G4706" s="29">
        <v>33</v>
      </c>
      <c r="H4706" s="33">
        <v>21</v>
      </c>
    </row>
    <row r="4707" spans="1:8" x14ac:dyDescent="0.4">
      <c r="A4707">
        <v>2004</v>
      </c>
      <c r="B4707" s="2" t="s">
        <v>605</v>
      </c>
      <c r="C4707" s="2" t="s">
        <v>725</v>
      </c>
      <c r="D4707" s="2" t="s">
        <v>249</v>
      </c>
      <c r="E4707" s="70" t="s">
        <v>250</v>
      </c>
      <c r="F4707" s="29">
        <v>22</v>
      </c>
      <c r="G4707" s="29">
        <v>13</v>
      </c>
      <c r="H4707" s="33">
        <v>9</v>
      </c>
    </row>
    <row r="4708" spans="1:8" x14ac:dyDescent="0.4">
      <c r="A4708">
        <v>2004</v>
      </c>
      <c r="B4708" s="2" t="s">
        <v>606</v>
      </c>
      <c r="C4708" s="2" t="s">
        <v>725</v>
      </c>
      <c r="D4708" s="2" t="s">
        <v>249</v>
      </c>
      <c r="E4708" s="70" t="s">
        <v>251</v>
      </c>
      <c r="F4708" s="29">
        <v>235</v>
      </c>
      <c r="G4708" s="29">
        <v>143</v>
      </c>
      <c r="H4708" s="33">
        <v>92</v>
      </c>
    </row>
    <row r="4709" spans="1:8" x14ac:dyDescent="0.4">
      <c r="A4709">
        <v>2004</v>
      </c>
      <c r="B4709" s="2" t="s">
        <v>607</v>
      </c>
      <c r="C4709" s="2" t="s">
        <v>725</v>
      </c>
      <c r="D4709" s="2" t="s">
        <v>249</v>
      </c>
      <c r="E4709" s="70" t="s">
        <v>36</v>
      </c>
      <c r="F4709" s="29">
        <v>228</v>
      </c>
      <c r="G4709" s="29">
        <v>144</v>
      </c>
      <c r="H4709" s="33">
        <v>84</v>
      </c>
    </row>
    <row r="4710" spans="1:8" x14ac:dyDescent="0.4">
      <c r="A4710">
        <v>2004</v>
      </c>
      <c r="B4710" s="2" t="s">
        <v>608</v>
      </c>
      <c r="C4710" s="2" t="s">
        <v>725</v>
      </c>
      <c r="D4710" s="2" t="s">
        <v>249</v>
      </c>
      <c r="E4710" s="70" t="s">
        <v>252</v>
      </c>
      <c r="F4710" s="29">
        <v>240</v>
      </c>
      <c r="G4710" s="29">
        <v>146</v>
      </c>
      <c r="H4710" s="33">
        <v>94</v>
      </c>
    </row>
    <row r="4711" spans="1:8" x14ac:dyDescent="0.4">
      <c r="A4711">
        <v>2004</v>
      </c>
      <c r="B4711" s="2" t="s">
        <v>609</v>
      </c>
      <c r="C4711" s="2" t="s">
        <v>725</v>
      </c>
      <c r="D4711" s="2" t="s">
        <v>249</v>
      </c>
      <c r="E4711" s="70" t="s">
        <v>253</v>
      </c>
      <c r="F4711" s="29">
        <v>72</v>
      </c>
      <c r="G4711" s="29">
        <v>52</v>
      </c>
      <c r="H4711" s="33">
        <v>20</v>
      </c>
    </row>
    <row r="4712" spans="1:8" x14ac:dyDescent="0.4">
      <c r="A4712">
        <v>2004</v>
      </c>
      <c r="B4712" s="2" t="s">
        <v>610</v>
      </c>
      <c r="C4712" s="2" t="s">
        <v>725</v>
      </c>
      <c r="D4712" s="2" t="s">
        <v>249</v>
      </c>
      <c r="E4712" s="70" t="s">
        <v>254</v>
      </c>
      <c r="F4712" s="29">
        <v>171</v>
      </c>
      <c r="G4712" s="29">
        <v>113</v>
      </c>
      <c r="H4712" s="33">
        <v>58</v>
      </c>
    </row>
    <row r="4713" spans="1:8" x14ac:dyDescent="0.4">
      <c r="A4713">
        <v>2004</v>
      </c>
      <c r="B4713" s="2" t="s">
        <v>611</v>
      </c>
      <c r="C4713" s="2" t="s">
        <v>725</v>
      </c>
      <c r="D4713" s="2" t="s">
        <v>249</v>
      </c>
      <c r="E4713" s="70" t="s">
        <v>11</v>
      </c>
      <c r="F4713" s="29">
        <v>19</v>
      </c>
      <c r="G4713" s="29">
        <v>14</v>
      </c>
      <c r="H4713" s="33">
        <v>5</v>
      </c>
    </row>
    <row r="4714" spans="1:8" x14ac:dyDescent="0.4">
      <c r="A4714">
        <v>2004</v>
      </c>
      <c r="B4714" s="2" t="s">
        <v>612</v>
      </c>
      <c r="C4714" s="2" t="s">
        <v>725</v>
      </c>
      <c r="D4714" s="2" t="s">
        <v>249</v>
      </c>
      <c r="E4714" s="70" t="s">
        <v>255</v>
      </c>
      <c r="F4714" s="29">
        <v>181</v>
      </c>
      <c r="G4714" s="29">
        <v>127</v>
      </c>
      <c r="H4714" s="33">
        <v>54</v>
      </c>
    </row>
    <row r="4715" spans="1:8" x14ac:dyDescent="0.4">
      <c r="A4715">
        <v>2004</v>
      </c>
      <c r="B4715" s="2" t="s">
        <v>613</v>
      </c>
      <c r="C4715" s="2" t="s">
        <v>725</v>
      </c>
      <c r="D4715" s="2" t="s">
        <v>249</v>
      </c>
      <c r="E4715" s="70" t="s">
        <v>256</v>
      </c>
      <c r="F4715" s="29">
        <v>68</v>
      </c>
      <c r="G4715" s="29">
        <v>41</v>
      </c>
      <c r="H4715" s="33">
        <v>27</v>
      </c>
    </row>
    <row r="4716" spans="1:8" x14ac:dyDescent="0.4">
      <c r="A4716">
        <v>2004</v>
      </c>
      <c r="B4716" s="2" t="s">
        <v>614</v>
      </c>
      <c r="C4716" s="2" t="s">
        <v>725</v>
      </c>
      <c r="D4716" s="2" t="s">
        <v>249</v>
      </c>
      <c r="E4716" s="70" t="s">
        <v>14</v>
      </c>
      <c r="F4716" s="29">
        <v>87</v>
      </c>
      <c r="G4716" s="29">
        <v>46</v>
      </c>
      <c r="H4716" s="33">
        <v>41</v>
      </c>
    </row>
    <row r="4717" spans="1:8" x14ac:dyDescent="0.4">
      <c r="A4717">
        <v>2004</v>
      </c>
      <c r="B4717" s="2" t="s">
        <v>615</v>
      </c>
      <c r="C4717" s="2" t="s">
        <v>725</v>
      </c>
      <c r="D4717" s="2" t="s">
        <v>249</v>
      </c>
      <c r="E4717" s="70" t="s">
        <v>257</v>
      </c>
      <c r="F4717" s="29">
        <v>189</v>
      </c>
      <c r="G4717" s="29">
        <v>116</v>
      </c>
      <c r="H4717" s="33">
        <v>73</v>
      </c>
    </row>
    <row r="4718" spans="1:8" x14ac:dyDescent="0.4">
      <c r="A4718">
        <v>2004</v>
      </c>
      <c r="B4718" s="2" t="s">
        <v>616</v>
      </c>
      <c r="C4718" s="2" t="s">
        <v>725</v>
      </c>
      <c r="D4718" s="2" t="s">
        <v>249</v>
      </c>
      <c r="E4718" s="70" t="s">
        <v>258</v>
      </c>
      <c r="F4718" s="29">
        <v>31</v>
      </c>
      <c r="G4718" s="29">
        <v>21</v>
      </c>
      <c r="H4718" s="33">
        <v>10</v>
      </c>
    </row>
    <row r="4719" spans="1:8" x14ac:dyDescent="0.4">
      <c r="A4719">
        <v>2004</v>
      </c>
      <c r="B4719" s="2" t="s">
        <v>617</v>
      </c>
      <c r="C4719" s="2" t="s">
        <v>725</v>
      </c>
      <c r="D4719" s="2" t="s">
        <v>249</v>
      </c>
      <c r="E4719" s="70" t="s">
        <v>259</v>
      </c>
      <c r="F4719" s="29">
        <v>322</v>
      </c>
      <c r="G4719" s="29">
        <v>183</v>
      </c>
      <c r="H4719" s="33">
        <v>139</v>
      </c>
    </row>
    <row r="4720" spans="1:8" x14ac:dyDescent="0.4">
      <c r="A4720">
        <v>2004</v>
      </c>
      <c r="B4720" s="2" t="s">
        <v>618</v>
      </c>
      <c r="C4720" s="2" t="s">
        <v>725</v>
      </c>
      <c r="D4720" s="2" t="s">
        <v>249</v>
      </c>
      <c r="E4720" s="70" t="s">
        <v>18</v>
      </c>
      <c r="F4720" s="29">
        <v>43</v>
      </c>
      <c r="G4720" s="29">
        <v>24</v>
      </c>
      <c r="H4720" s="33">
        <v>19</v>
      </c>
    </row>
    <row r="4721" spans="1:8" x14ac:dyDescent="0.4">
      <c r="A4721">
        <v>2004</v>
      </c>
      <c r="B4721" s="2" t="s">
        <v>619</v>
      </c>
      <c r="C4721" s="2" t="s">
        <v>725</v>
      </c>
      <c r="D4721" s="2" t="s">
        <v>249</v>
      </c>
      <c r="E4721" s="70" t="s">
        <v>44</v>
      </c>
      <c r="F4721" s="29">
        <v>77</v>
      </c>
      <c r="G4721" s="29">
        <v>57</v>
      </c>
      <c r="H4721" s="33">
        <v>20</v>
      </c>
    </row>
    <row r="4722" spans="1:8" x14ac:dyDescent="0.4">
      <c r="A4722">
        <v>2004</v>
      </c>
      <c r="B4722" s="2" t="s">
        <v>620</v>
      </c>
      <c r="C4722" s="2" t="s">
        <v>725</v>
      </c>
      <c r="D4722" s="2" t="s">
        <v>249</v>
      </c>
      <c r="E4722" s="70" t="s">
        <v>260</v>
      </c>
      <c r="F4722" s="29">
        <v>37</v>
      </c>
      <c r="G4722" s="29">
        <v>25</v>
      </c>
      <c r="H4722" s="33">
        <v>12</v>
      </c>
    </row>
    <row r="4723" spans="1:8" x14ac:dyDescent="0.4">
      <c r="A4723">
        <v>2004</v>
      </c>
      <c r="B4723" s="2" t="s">
        <v>621</v>
      </c>
      <c r="C4723" s="2" t="s">
        <v>725</v>
      </c>
      <c r="D4723" s="2" t="s">
        <v>249</v>
      </c>
      <c r="E4723" s="70" t="s">
        <v>261</v>
      </c>
      <c r="F4723" s="29">
        <v>72</v>
      </c>
      <c r="G4723" s="29">
        <v>51</v>
      </c>
      <c r="H4723" s="33">
        <v>21</v>
      </c>
    </row>
    <row r="4724" spans="1:8" x14ac:dyDescent="0.4">
      <c r="A4724">
        <v>2004</v>
      </c>
      <c r="B4724" s="2" t="s">
        <v>622</v>
      </c>
      <c r="C4724" s="2" t="s">
        <v>725</v>
      </c>
      <c r="D4724" s="2" t="s">
        <v>249</v>
      </c>
      <c r="E4724" s="70" t="s">
        <v>262</v>
      </c>
      <c r="F4724" s="29">
        <v>124</v>
      </c>
      <c r="G4724" s="29">
        <v>81</v>
      </c>
      <c r="H4724" s="33">
        <v>43</v>
      </c>
    </row>
    <row r="4725" spans="1:8" x14ac:dyDescent="0.4">
      <c r="A4725">
        <v>2004</v>
      </c>
      <c r="B4725" s="2" t="s">
        <v>623</v>
      </c>
      <c r="C4725" s="2" t="s">
        <v>725</v>
      </c>
      <c r="D4725" s="2" t="s">
        <v>249</v>
      </c>
      <c r="E4725" s="70" t="s">
        <v>263</v>
      </c>
      <c r="F4725" s="29">
        <v>105</v>
      </c>
      <c r="G4725" s="29">
        <v>68</v>
      </c>
      <c r="H4725" s="33">
        <v>37</v>
      </c>
    </row>
    <row r="4726" spans="1:8" x14ac:dyDescent="0.4">
      <c r="A4726">
        <v>2004</v>
      </c>
      <c r="B4726" s="2" t="s">
        <v>624</v>
      </c>
      <c r="C4726" s="2" t="s">
        <v>725</v>
      </c>
      <c r="D4726" s="2" t="s">
        <v>249</v>
      </c>
      <c r="E4726" s="70" t="s">
        <v>264</v>
      </c>
      <c r="F4726" s="29">
        <v>25</v>
      </c>
      <c r="G4726" s="29">
        <v>16</v>
      </c>
      <c r="H4726" s="33">
        <v>9</v>
      </c>
    </row>
    <row r="4727" spans="1:8" x14ac:dyDescent="0.4">
      <c r="A4727">
        <v>2004</v>
      </c>
      <c r="B4727" s="2" t="s">
        <v>625</v>
      </c>
      <c r="C4727" s="2" t="s">
        <v>725</v>
      </c>
      <c r="D4727" s="2" t="s">
        <v>249</v>
      </c>
      <c r="E4727" s="70" t="s">
        <v>265</v>
      </c>
      <c r="F4727" s="29">
        <v>35</v>
      </c>
      <c r="G4727" s="29">
        <v>23</v>
      </c>
      <c r="H4727" s="33">
        <v>12</v>
      </c>
    </row>
    <row r="4728" spans="1:8" x14ac:dyDescent="0.4">
      <c r="A4728">
        <v>2004</v>
      </c>
      <c r="B4728" s="2" t="s">
        <v>626</v>
      </c>
      <c r="C4728" s="2" t="s">
        <v>725</v>
      </c>
      <c r="D4728" s="2" t="s">
        <v>249</v>
      </c>
      <c r="E4728" s="70" t="s">
        <v>266</v>
      </c>
      <c r="F4728" s="29">
        <v>2905</v>
      </c>
      <c r="G4728" s="29">
        <v>1672</v>
      </c>
      <c r="H4728" s="33">
        <v>1233</v>
      </c>
    </row>
    <row r="4729" spans="1:8" x14ac:dyDescent="0.4">
      <c r="A4729">
        <v>2004</v>
      </c>
      <c r="B4729" s="2" t="s">
        <v>627</v>
      </c>
      <c r="C4729" s="2" t="s">
        <v>725</v>
      </c>
      <c r="D4729" s="2" t="s">
        <v>249</v>
      </c>
      <c r="E4729" s="70" t="s">
        <v>267</v>
      </c>
      <c r="F4729" s="29">
        <v>20</v>
      </c>
      <c r="G4729" s="29">
        <v>11</v>
      </c>
      <c r="H4729" s="33">
        <v>9</v>
      </c>
    </row>
    <row r="4730" spans="1:8" x14ac:dyDescent="0.4">
      <c r="A4730">
        <v>2004</v>
      </c>
      <c r="B4730" s="2" t="s">
        <v>628</v>
      </c>
      <c r="C4730" s="2" t="s">
        <v>725</v>
      </c>
      <c r="D4730" s="2" t="s">
        <v>249</v>
      </c>
      <c r="E4730" s="70" t="s">
        <v>268</v>
      </c>
      <c r="F4730" s="29">
        <v>24</v>
      </c>
      <c r="G4730" s="29">
        <v>17</v>
      </c>
      <c r="H4730" s="33">
        <v>7</v>
      </c>
    </row>
    <row r="4731" spans="1:8" x14ac:dyDescent="0.4">
      <c r="A4731">
        <v>2004</v>
      </c>
      <c r="B4731" s="2" t="s">
        <v>629</v>
      </c>
      <c r="C4731" s="2" t="s">
        <v>725</v>
      </c>
      <c r="D4731" s="2" t="s">
        <v>249</v>
      </c>
      <c r="E4731" s="70" t="s">
        <v>26</v>
      </c>
      <c r="F4731" s="29">
        <v>7</v>
      </c>
      <c r="G4731" s="29">
        <v>3</v>
      </c>
      <c r="H4731" s="33">
        <v>4</v>
      </c>
    </row>
    <row r="4732" spans="1:8" x14ac:dyDescent="0.4">
      <c r="A4732">
        <v>2004</v>
      </c>
      <c r="B4732" s="2" t="s">
        <v>630</v>
      </c>
      <c r="C4732" s="2" t="s">
        <v>725</v>
      </c>
      <c r="D4732" s="2" t="s">
        <v>249</v>
      </c>
      <c r="E4732" s="70" t="s">
        <v>51</v>
      </c>
      <c r="F4732" s="29">
        <v>34</v>
      </c>
      <c r="G4732" s="29">
        <v>28</v>
      </c>
      <c r="H4732" s="33">
        <v>6</v>
      </c>
    </row>
    <row r="4733" spans="1:8" x14ac:dyDescent="0.4">
      <c r="A4733">
        <v>2004</v>
      </c>
      <c r="B4733" s="2" t="s">
        <v>631</v>
      </c>
      <c r="C4733" s="2" t="s">
        <v>725</v>
      </c>
      <c r="D4733" s="2" t="s">
        <v>249</v>
      </c>
      <c r="E4733" s="70" t="s">
        <v>269</v>
      </c>
      <c r="F4733" s="29">
        <v>84</v>
      </c>
      <c r="G4733" s="29">
        <v>59</v>
      </c>
      <c r="H4733" s="33">
        <v>25</v>
      </c>
    </row>
    <row r="4734" spans="1:8" x14ac:dyDescent="0.4">
      <c r="A4734">
        <v>2004</v>
      </c>
      <c r="B4734" s="2" t="s">
        <v>632</v>
      </c>
      <c r="C4734" s="2" t="s">
        <v>725</v>
      </c>
      <c r="D4734" s="2" t="s">
        <v>249</v>
      </c>
      <c r="E4734" s="70" t="s">
        <v>270</v>
      </c>
      <c r="F4734" s="29">
        <v>87</v>
      </c>
      <c r="G4734" s="29">
        <v>47</v>
      </c>
      <c r="H4734" s="33">
        <v>40</v>
      </c>
    </row>
    <row r="4735" spans="1:8" x14ac:dyDescent="0.4">
      <c r="A4735">
        <v>2004</v>
      </c>
      <c r="B4735" s="2" t="s">
        <v>633</v>
      </c>
      <c r="C4735" s="2" t="s">
        <v>726</v>
      </c>
      <c r="D4735" s="2" t="s">
        <v>271</v>
      </c>
      <c r="E4735" s="70" t="s">
        <v>174</v>
      </c>
      <c r="F4735" s="29">
        <v>26</v>
      </c>
      <c r="G4735" s="29">
        <v>19</v>
      </c>
      <c r="H4735" s="33">
        <v>7</v>
      </c>
    </row>
    <row r="4736" spans="1:8" x14ac:dyDescent="0.4">
      <c r="A4736">
        <v>2004</v>
      </c>
      <c r="B4736" s="2" t="s">
        <v>634</v>
      </c>
      <c r="C4736" s="2" t="s">
        <v>726</v>
      </c>
      <c r="D4736" s="2" t="s">
        <v>271</v>
      </c>
      <c r="E4736" s="70" t="s">
        <v>272</v>
      </c>
      <c r="F4736" s="29">
        <v>500</v>
      </c>
      <c r="G4736" s="29">
        <v>278</v>
      </c>
      <c r="H4736" s="33">
        <v>222</v>
      </c>
    </row>
    <row r="4737" spans="1:8" x14ac:dyDescent="0.4">
      <c r="A4737">
        <v>2004</v>
      </c>
      <c r="B4737" s="2" t="s">
        <v>635</v>
      </c>
      <c r="C4737" s="2" t="s">
        <v>726</v>
      </c>
      <c r="D4737" s="2" t="s">
        <v>271</v>
      </c>
      <c r="E4737" s="70" t="s">
        <v>36</v>
      </c>
      <c r="F4737" s="29">
        <v>30</v>
      </c>
      <c r="G4737" s="29">
        <v>23</v>
      </c>
      <c r="H4737" s="33">
        <v>7</v>
      </c>
    </row>
    <row r="4738" spans="1:8" x14ac:dyDescent="0.4">
      <c r="A4738">
        <v>2004</v>
      </c>
      <c r="B4738" s="2" t="s">
        <v>636</v>
      </c>
      <c r="C4738" s="2" t="s">
        <v>726</v>
      </c>
      <c r="D4738" s="2" t="s">
        <v>271</v>
      </c>
      <c r="E4738" s="70" t="s">
        <v>273</v>
      </c>
      <c r="F4738" s="29">
        <v>56</v>
      </c>
      <c r="G4738" s="29">
        <v>33</v>
      </c>
      <c r="H4738" s="33">
        <v>23</v>
      </c>
    </row>
    <row r="4739" spans="1:8" x14ac:dyDescent="0.4">
      <c r="A4739">
        <v>2004</v>
      </c>
      <c r="B4739" s="2" t="s">
        <v>637</v>
      </c>
      <c r="C4739" s="2" t="s">
        <v>726</v>
      </c>
      <c r="D4739" s="2" t="s">
        <v>271</v>
      </c>
      <c r="E4739" s="70" t="s">
        <v>274</v>
      </c>
      <c r="F4739" s="29">
        <v>137</v>
      </c>
      <c r="G4739" s="29">
        <v>66</v>
      </c>
      <c r="H4739" s="33">
        <v>71</v>
      </c>
    </row>
    <row r="4740" spans="1:8" x14ac:dyDescent="0.4">
      <c r="A4740">
        <v>2004</v>
      </c>
      <c r="B4740" s="2" t="s">
        <v>638</v>
      </c>
      <c r="C4740" s="2" t="s">
        <v>726</v>
      </c>
      <c r="D4740" s="2" t="s">
        <v>271</v>
      </c>
      <c r="E4740" s="70" t="s">
        <v>275</v>
      </c>
      <c r="F4740" s="29">
        <v>43</v>
      </c>
      <c r="G4740" s="29">
        <v>23</v>
      </c>
      <c r="H4740" s="33">
        <v>20</v>
      </c>
    </row>
    <row r="4741" spans="1:8" x14ac:dyDescent="0.4">
      <c r="A4741">
        <v>2004</v>
      </c>
      <c r="B4741" s="2" t="s">
        <v>639</v>
      </c>
      <c r="C4741" s="2" t="s">
        <v>726</v>
      </c>
      <c r="D4741" s="2" t="s">
        <v>271</v>
      </c>
      <c r="E4741" s="70" t="s">
        <v>276</v>
      </c>
      <c r="F4741" s="29">
        <v>4</v>
      </c>
      <c r="G4741" s="29">
        <v>2</v>
      </c>
      <c r="H4741" s="33">
        <v>2</v>
      </c>
    </row>
    <row r="4742" spans="1:8" x14ac:dyDescent="0.4">
      <c r="A4742">
        <v>2004</v>
      </c>
      <c r="B4742" s="2" t="s">
        <v>640</v>
      </c>
      <c r="C4742" s="2" t="s">
        <v>726</v>
      </c>
      <c r="D4742" s="2" t="s">
        <v>271</v>
      </c>
      <c r="E4742" s="70" t="s">
        <v>277</v>
      </c>
      <c r="F4742" s="29">
        <v>24</v>
      </c>
      <c r="G4742" s="29">
        <v>11</v>
      </c>
      <c r="H4742" s="33">
        <v>13</v>
      </c>
    </row>
    <row r="4743" spans="1:8" x14ac:dyDescent="0.4">
      <c r="A4743">
        <v>2004</v>
      </c>
      <c r="B4743" s="2" t="s">
        <v>641</v>
      </c>
      <c r="C4743" s="2" t="s">
        <v>726</v>
      </c>
      <c r="D4743" s="2" t="s">
        <v>271</v>
      </c>
      <c r="E4743" s="70" t="s">
        <v>278</v>
      </c>
      <c r="F4743" s="29">
        <v>45</v>
      </c>
      <c r="G4743" s="29">
        <v>30</v>
      </c>
      <c r="H4743" s="33">
        <v>15</v>
      </c>
    </row>
    <row r="4744" spans="1:8" x14ac:dyDescent="0.4">
      <c r="A4744">
        <v>2004</v>
      </c>
      <c r="B4744" s="2" t="s">
        <v>642</v>
      </c>
      <c r="C4744" s="2" t="s">
        <v>726</v>
      </c>
      <c r="D4744" s="2" t="s">
        <v>271</v>
      </c>
      <c r="E4744" s="70" t="s">
        <v>85</v>
      </c>
      <c r="F4744" s="29">
        <v>42</v>
      </c>
      <c r="G4744" s="29">
        <v>24</v>
      </c>
      <c r="H4744" s="33">
        <v>18</v>
      </c>
    </row>
    <row r="4745" spans="1:8" x14ac:dyDescent="0.4">
      <c r="A4745">
        <v>2004</v>
      </c>
      <c r="B4745" s="2" t="s">
        <v>643</v>
      </c>
      <c r="C4745" s="2" t="s">
        <v>726</v>
      </c>
      <c r="D4745" s="2" t="s">
        <v>271</v>
      </c>
      <c r="E4745" s="70" t="s">
        <v>279</v>
      </c>
      <c r="F4745" s="29">
        <v>50</v>
      </c>
      <c r="G4745" s="29">
        <v>30</v>
      </c>
      <c r="H4745" s="33">
        <v>20</v>
      </c>
    </row>
    <row r="4746" spans="1:8" x14ac:dyDescent="0.4">
      <c r="A4746">
        <v>2004</v>
      </c>
      <c r="B4746" s="2" t="s">
        <v>644</v>
      </c>
      <c r="C4746" s="2" t="s">
        <v>726</v>
      </c>
      <c r="D4746" s="2" t="s">
        <v>271</v>
      </c>
      <c r="E4746" s="70" t="s">
        <v>280</v>
      </c>
      <c r="F4746" s="29">
        <v>31</v>
      </c>
      <c r="G4746" s="29">
        <v>20</v>
      </c>
      <c r="H4746" s="33">
        <v>11</v>
      </c>
    </row>
    <row r="4747" spans="1:8" x14ac:dyDescent="0.4">
      <c r="A4747">
        <v>2004</v>
      </c>
      <c r="B4747" s="2" t="s">
        <v>645</v>
      </c>
      <c r="C4747" s="2" t="s">
        <v>726</v>
      </c>
      <c r="D4747" s="2" t="s">
        <v>271</v>
      </c>
      <c r="E4747" s="70" t="s">
        <v>281</v>
      </c>
      <c r="F4747" s="29">
        <v>143</v>
      </c>
      <c r="G4747" s="29">
        <v>83</v>
      </c>
      <c r="H4747" s="33">
        <v>60</v>
      </c>
    </row>
    <row r="4748" spans="1:8" x14ac:dyDescent="0.4">
      <c r="A4748">
        <v>2004</v>
      </c>
      <c r="B4748" s="2" t="s">
        <v>646</v>
      </c>
      <c r="C4748" s="2" t="s">
        <v>726</v>
      </c>
      <c r="D4748" s="2" t="s">
        <v>271</v>
      </c>
      <c r="E4748" s="70" t="s">
        <v>282</v>
      </c>
      <c r="F4748" s="29">
        <v>42</v>
      </c>
      <c r="G4748" s="29">
        <v>25</v>
      </c>
      <c r="H4748" s="33">
        <v>17</v>
      </c>
    </row>
    <row r="4749" spans="1:8" x14ac:dyDescent="0.4">
      <c r="A4749">
        <v>2004</v>
      </c>
      <c r="B4749" s="2" t="s">
        <v>647</v>
      </c>
      <c r="C4749" s="2" t="s">
        <v>726</v>
      </c>
      <c r="D4749" s="2" t="s">
        <v>271</v>
      </c>
      <c r="E4749" s="70" t="s">
        <v>283</v>
      </c>
      <c r="F4749" s="29">
        <v>54</v>
      </c>
      <c r="G4749" s="29">
        <v>30</v>
      </c>
      <c r="H4749" s="33">
        <v>24</v>
      </c>
    </row>
    <row r="4750" spans="1:8" x14ac:dyDescent="0.4">
      <c r="A4750">
        <v>2004</v>
      </c>
      <c r="B4750" s="2" t="s">
        <v>648</v>
      </c>
      <c r="C4750" s="2" t="s">
        <v>726</v>
      </c>
      <c r="D4750" s="2" t="s">
        <v>271</v>
      </c>
      <c r="E4750" s="70" t="s">
        <v>284</v>
      </c>
      <c r="F4750" s="29">
        <v>114</v>
      </c>
      <c r="G4750" s="29">
        <v>67</v>
      </c>
      <c r="H4750" s="33">
        <v>47</v>
      </c>
    </row>
    <row r="4751" spans="1:8" x14ac:dyDescent="0.4">
      <c r="A4751">
        <v>2004</v>
      </c>
      <c r="B4751" s="2" t="s">
        <v>649</v>
      </c>
      <c r="C4751" s="2" t="s">
        <v>726</v>
      </c>
      <c r="D4751" s="2" t="s">
        <v>271</v>
      </c>
      <c r="E4751" s="70" t="s">
        <v>51</v>
      </c>
      <c r="F4751" s="29">
        <v>99</v>
      </c>
      <c r="G4751" s="29">
        <v>65</v>
      </c>
      <c r="H4751" s="33">
        <v>34</v>
      </c>
    </row>
    <row r="4752" spans="1:8" x14ac:dyDescent="0.4">
      <c r="A4752">
        <v>2004</v>
      </c>
      <c r="B4752" s="2" t="s">
        <v>650</v>
      </c>
      <c r="C4752" s="2" t="s">
        <v>726</v>
      </c>
      <c r="D4752" s="2" t="s">
        <v>271</v>
      </c>
      <c r="E4752" s="70" t="s">
        <v>285</v>
      </c>
      <c r="F4752" s="29">
        <v>477</v>
      </c>
      <c r="G4752" s="29">
        <v>270</v>
      </c>
      <c r="H4752" s="33">
        <v>207</v>
      </c>
    </row>
    <row r="4753" spans="1:8" x14ac:dyDescent="0.4">
      <c r="A4753">
        <v>2004</v>
      </c>
      <c r="B4753" s="2" t="s">
        <v>651</v>
      </c>
      <c r="C4753" s="2" t="s">
        <v>726</v>
      </c>
      <c r="D4753" s="2" t="s">
        <v>271</v>
      </c>
      <c r="E4753" s="70" t="s">
        <v>53</v>
      </c>
      <c r="F4753" s="29">
        <v>124</v>
      </c>
      <c r="G4753" s="29">
        <v>73</v>
      </c>
      <c r="H4753" s="33">
        <v>51</v>
      </c>
    </row>
    <row r="4754" spans="1:8" x14ac:dyDescent="0.4">
      <c r="A4754">
        <v>2004</v>
      </c>
      <c r="B4754" s="2" t="s">
        <v>652</v>
      </c>
      <c r="C4754" s="2" t="s">
        <v>726</v>
      </c>
      <c r="D4754" s="2" t="s">
        <v>271</v>
      </c>
      <c r="E4754" s="70" t="s">
        <v>286</v>
      </c>
      <c r="F4754" s="29">
        <v>1471</v>
      </c>
      <c r="G4754" s="29">
        <v>865</v>
      </c>
      <c r="H4754" s="33">
        <v>606</v>
      </c>
    </row>
    <row r="4755" spans="1:8" x14ac:dyDescent="0.4">
      <c r="A4755">
        <v>2004</v>
      </c>
      <c r="B4755" s="2" t="s">
        <v>653</v>
      </c>
      <c r="C4755" s="2" t="s">
        <v>727</v>
      </c>
      <c r="D4755" s="2" t="s">
        <v>288</v>
      </c>
      <c r="E4755" s="70" t="s">
        <v>287</v>
      </c>
      <c r="F4755" s="29">
        <v>109</v>
      </c>
      <c r="G4755" s="29">
        <v>75</v>
      </c>
      <c r="H4755" s="33">
        <v>34</v>
      </c>
    </row>
    <row r="4756" spans="1:8" x14ac:dyDescent="0.4">
      <c r="A4756">
        <v>2004</v>
      </c>
      <c r="B4756" s="2" t="s">
        <v>654</v>
      </c>
      <c r="C4756" s="2" t="s">
        <v>727</v>
      </c>
      <c r="D4756" s="2" t="s">
        <v>288</v>
      </c>
      <c r="E4756" s="70" t="s">
        <v>289</v>
      </c>
      <c r="F4756" s="29">
        <v>89</v>
      </c>
      <c r="G4756" s="29">
        <v>68</v>
      </c>
      <c r="H4756" s="33">
        <v>21</v>
      </c>
    </row>
    <row r="4757" spans="1:8" x14ac:dyDescent="0.4">
      <c r="A4757">
        <v>2004</v>
      </c>
      <c r="B4757" s="2" t="s">
        <v>655</v>
      </c>
      <c r="C4757" s="2" t="s">
        <v>727</v>
      </c>
      <c r="D4757" s="2" t="s">
        <v>288</v>
      </c>
      <c r="E4757" s="70" t="s">
        <v>290</v>
      </c>
      <c r="F4757" s="29">
        <v>95</v>
      </c>
      <c r="G4757" s="29">
        <v>60</v>
      </c>
      <c r="H4757" s="33">
        <v>35</v>
      </c>
    </row>
    <row r="4758" spans="1:8" x14ac:dyDescent="0.4">
      <c r="A4758">
        <v>2004</v>
      </c>
      <c r="B4758" s="2" t="s">
        <v>656</v>
      </c>
      <c r="C4758" s="2" t="s">
        <v>727</v>
      </c>
      <c r="D4758" s="2" t="s">
        <v>288</v>
      </c>
      <c r="E4758" s="70" t="s">
        <v>291</v>
      </c>
      <c r="F4758" s="29">
        <v>15</v>
      </c>
      <c r="G4758" s="29">
        <v>12</v>
      </c>
      <c r="H4758" s="33">
        <v>3</v>
      </c>
    </row>
    <row r="4759" spans="1:8" x14ac:dyDescent="0.4">
      <c r="A4759">
        <v>2004</v>
      </c>
      <c r="B4759" s="2" t="s">
        <v>657</v>
      </c>
      <c r="C4759" s="2" t="s">
        <v>727</v>
      </c>
      <c r="D4759" s="2" t="s">
        <v>288</v>
      </c>
      <c r="E4759" s="70" t="s">
        <v>292</v>
      </c>
      <c r="F4759" s="29">
        <v>275</v>
      </c>
      <c r="G4759" s="29">
        <v>195</v>
      </c>
      <c r="H4759" s="33">
        <v>80</v>
      </c>
    </row>
    <row r="4760" spans="1:8" x14ac:dyDescent="0.4">
      <c r="A4760">
        <v>2004</v>
      </c>
      <c r="B4760" s="2" t="s">
        <v>658</v>
      </c>
      <c r="C4760" s="2" t="s">
        <v>727</v>
      </c>
      <c r="D4760" s="2" t="s">
        <v>288</v>
      </c>
      <c r="E4760" s="70" t="s">
        <v>293</v>
      </c>
      <c r="F4760" s="29">
        <v>3</v>
      </c>
      <c r="G4760" s="29">
        <v>2</v>
      </c>
      <c r="H4760" s="33">
        <v>1</v>
      </c>
    </row>
    <row r="4761" spans="1:8" x14ac:dyDescent="0.4">
      <c r="A4761">
        <v>2004</v>
      </c>
      <c r="B4761" s="2" t="s">
        <v>659</v>
      </c>
      <c r="C4761" s="2" t="s">
        <v>727</v>
      </c>
      <c r="D4761" s="2" t="s">
        <v>288</v>
      </c>
      <c r="E4761" s="70" t="s">
        <v>294</v>
      </c>
      <c r="F4761" s="29">
        <v>297</v>
      </c>
      <c r="G4761" s="29">
        <v>191</v>
      </c>
      <c r="H4761" s="33">
        <v>106</v>
      </c>
    </row>
    <row r="4762" spans="1:8" x14ac:dyDescent="0.4">
      <c r="A4762">
        <v>2004</v>
      </c>
      <c r="B4762" s="2" t="s">
        <v>660</v>
      </c>
      <c r="C4762" s="2" t="s">
        <v>727</v>
      </c>
      <c r="D4762" s="2" t="s">
        <v>288</v>
      </c>
      <c r="E4762" s="70" t="s">
        <v>295</v>
      </c>
      <c r="F4762" s="29">
        <v>69</v>
      </c>
      <c r="G4762" s="29">
        <v>41</v>
      </c>
      <c r="H4762" s="33">
        <v>28</v>
      </c>
    </row>
    <row r="4763" spans="1:8" x14ac:dyDescent="0.4">
      <c r="A4763">
        <v>2004</v>
      </c>
      <c r="B4763" s="2" t="s">
        <v>661</v>
      </c>
      <c r="C4763" s="2" t="s">
        <v>727</v>
      </c>
      <c r="D4763" s="2" t="s">
        <v>288</v>
      </c>
      <c r="E4763" s="70" t="s">
        <v>296</v>
      </c>
      <c r="F4763" s="29">
        <v>594</v>
      </c>
      <c r="G4763" s="29">
        <v>397</v>
      </c>
      <c r="H4763" s="33">
        <v>197</v>
      </c>
    </row>
    <row r="4764" spans="1:8" x14ac:dyDescent="0.4">
      <c r="A4764">
        <v>2004</v>
      </c>
      <c r="B4764" s="2" t="s">
        <v>662</v>
      </c>
      <c r="C4764" s="2" t="s">
        <v>727</v>
      </c>
      <c r="D4764" s="2" t="s">
        <v>288</v>
      </c>
      <c r="E4764" s="70" t="s">
        <v>297</v>
      </c>
      <c r="F4764" s="29">
        <v>46</v>
      </c>
      <c r="G4764" s="29">
        <v>36</v>
      </c>
      <c r="H4764" s="33">
        <v>10</v>
      </c>
    </row>
    <row r="4765" spans="1:8" x14ac:dyDescent="0.4">
      <c r="A4765">
        <v>2004</v>
      </c>
      <c r="B4765" s="2" t="s">
        <v>663</v>
      </c>
      <c r="C4765" s="2" t="s">
        <v>727</v>
      </c>
      <c r="D4765" s="2" t="s">
        <v>288</v>
      </c>
      <c r="E4765" s="70" t="s">
        <v>298</v>
      </c>
      <c r="F4765" s="29">
        <v>89</v>
      </c>
      <c r="G4765" s="29">
        <v>62</v>
      </c>
      <c r="H4765" s="33">
        <v>27</v>
      </c>
    </row>
    <row r="4766" spans="1:8" x14ac:dyDescent="0.4">
      <c r="A4766">
        <v>2004</v>
      </c>
      <c r="B4766" s="2" t="s">
        <v>664</v>
      </c>
      <c r="C4766" s="2" t="s">
        <v>728</v>
      </c>
      <c r="D4766" s="2" t="s">
        <v>300</v>
      </c>
      <c r="E4766" s="70" t="s">
        <v>299</v>
      </c>
      <c r="F4766" s="29">
        <v>46</v>
      </c>
      <c r="G4766" s="29">
        <v>25</v>
      </c>
      <c r="H4766" s="33">
        <v>21</v>
      </c>
    </row>
    <row r="4767" spans="1:8" x14ac:dyDescent="0.4">
      <c r="A4767">
        <v>2004</v>
      </c>
      <c r="B4767" s="2" t="s">
        <v>665</v>
      </c>
      <c r="C4767" s="2" t="s">
        <v>728</v>
      </c>
      <c r="D4767" s="2" t="s">
        <v>300</v>
      </c>
      <c r="E4767" s="70" t="s">
        <v>36</v>
      </c>
      <c r="F4767" s="29">
        <v>94</v>
      </c>
      <c r="G4767" s="29">
        <v>64</v>
      </c>
      <c r="H4767" s="33">
        <v>30</v>
      </c>
    </row>
    <row r="4768" spans="1:8" x14ac:dyDescent="0.4">
      <c r="A4768">
        <v>2004</v>
      </c>
      <c r="B4768" s="2" t="s">
        <v>666</v>
      </c>
      <c r="C4768" s="2" t="s">
        <v>728</v>
      </c>
      <c r="D4768" s="2" t="s">
        <v>300</v>
      </c>
      <c r="E4768" s="70" t="s">
        <v>301</v>
      </c>
      <c r="F4768" s="29">
        <v>199</v>
      </c>
      <c r="G4768" s="29">
        <v>118</v>
      </c>
      <c r="H4768" s="33">
        <v>81</v>
      </c>
    </row>
    <row r="4769" spans="1:8" x14ac:dyDescent="0.4">
      <c r="A4769">
        <v>2004</v>
      </c>
      <c r="B4769" s="2" t="s">
        <v>667</v>
      </c>
      <c r="C4769" s="2" t="s">
        <v>728</v>
      </c>
      <c r="D4769" s="2" t="s">
        <v>300</v>
      </c>
      <c r="E4769" s="70" t="s">
        <v>302</v>
      </c>
      <c r="F4769" s="29">
        <v>82</v>
      </c>
      <c r="G4769" s="29">
        <v>60</v>
      </c>
      <c r="H4769" s="33">
        <v>22</v>
      </c>
    </row>
    <row r="4770" spans="1:8" x14ac:dyDescent="0.4">
      <c r="A4770">
        <v>2004</v>
      </c>
      <c r="B4770" s="2" t="s">
        <v>668</v>
      </c>
      <c r="C4770" s="2" t="s">
        <v>728</v>
      </c>
      <c r="D4770" s="2" t="s">
        <v>300</v>
      </c>
      <c r="E4770" s="70" t="s">
        <v>14</v>
      </c>
      <c r="F4770" s="29">
        <v>94</v>
      </c>
      <c r="G4770" s="29">
        <v>51</v>
      </c>
      <c r="H4770" s="33">
        <v>43</v>
      </c>
    </row>
    <row r="4771" spans="1:8" x14ac:dyDescent="0.4">
      <c r="A4771">
        <v>2004</v>
      </c>
      <c r="B4771" s="2" t="s">
        <v>669</v>
      </c>
      <c r="C4771" s="2" t="s">
        <v>728</v>
      </c>
      <c r="D4771" s="2" t="s">
        <v>300</v>
      </c>
      <c r="E4771" s="70" t="s">
        <v>303</v>
      </c>
      <c r="F4771" s="29">
        <v>36</v>
      </c>
      <c r="G4771" s="29">
        <v>19</v>
      </c>
      <c r="H4771" s="33">
        <v>17</v>
      </c>
    </row>
    <row r="4772" spans="1:8" x14ac:dyDescent="0.4">
      <c r="A4772">
        <v>2004</v>
      </c>
      <c r="B4772" s="2" t="s">
        <v>670</v>
      </c>
      <c r="C4772" s="2" t="s">
        <v>728</v>
      </c>
      <c r="D4772" s="2" t="s">
        <v>300</v>
      </c>
      <c r="E4772" s="70" t="s">
        <v>304</v>
      </c>
      <c r="F4772" s="29">
        <v>24</v>
      </c>
      <c r="G4772" s="29">
        <v>14</v>
      </c>
      <c r="H4772" s="33">
        <v>10</v>
      </c>
    </row>
    <row r="4773" spans="1:8" x14ac:dyDescent="0.4">
      <c r="A4773">
        <v>2004</v>
      </c>
      <c r="B4773" s="2" t="s">
        <v>671</v>
      </c>
      <c r="C4773" s="2" t="s">
        <v>728</v>
      </c>
      <c r="D4773" s="2" t="s">
        <v>300</v>
      </c>
      <c r="E4773" s="70" t="s">
        <v>305</v>
      </c>
      <c r="F4773" s="29">
        <v>18</v>
      </c>
      <c r="G4773" s="29">
        <v>13</v>
      </c>
      <c r="H4773" s="33">
        <v>5</v>
      </c>
    </row>
    <row r="4774" spans="1:8" x14ac:dyDescent="0.4">
      <c r="A4774">
        <v>2004</v>
      </c>
      <c r="B4774" s="2" t="s">
        <v>672</v>
      </c>
      <c r="C4774" s="2" t="s">
        <v>728</v>
      </c>
      <c r="D4774" s="2" t="s">
        <v>300</v>
      </c>
      <c r="E4774" s="70" t="s">
        <v>306</v>
      </c>
      <c r="F4774" s="29">
        <v>217</v>
      </c>
      <c r="G4774" s="29">
        <v>133</v>
      </c>
      <c r="H4774" s="33">
        <v>84</v>
      </c>
    </row>
    <row r="4775" spans="1:8" x14ac:dyDescent="0.4">
      <c r="A4775">
        <v>2004</v>
      </c>
      <c r="B4775" s="2" t="s">
        <v>673</v>
      </c>
      <c r="C4775" s="2" t="s">
        <v>728</v>
      </c>
      <c r="D4775" s="2" t="s">
        <v>300</v>
      </c>
      <c r="E4775" s="70" t="s">
        <v>307</v>
      </c>
      <c r="F4775" s="29">
        <v>358</v>
      </c>
      <c r="G4775" s="29">
        <v>215</v>
      </c>
      <c r="H4775" s="33">
        <v>143</v>
      </c>
    </row>
    <row r="4776" spans="1:8" x14ac:dyDescent="0.4">
      <c r="A4776">
        <v>2004</v>
      </c>
      <c r="B4776" s="2" t="s">
        <v>674</v>
      </c>
      <c r="C4776" s="2" t="s">
        <v>728</v>
      </c>
      <c r="D4776" s="14" t="s">
        <v>300</v>
      </c>
      <c r="E4776" s="69" t="s">
        <v>308</v>
      </c>
      <c r="F4776" s="11">
        <v>1126</v>
      </c>
      <c r="G4776" s="11">
        <v>662</v>
      </c>
      <c r="H4776" s="12">
        <v>464</v>
      </c>
    </row>
    <row r="4777" spans="1:8" x14ac:dyDescent="0.4">
      <c r="A4777">
        <v>2004</v>
      </c>
      <c r="B4777" s="2" t="s">
        <v>675</v>
      </c>
      <c r="C4777" s="2" t="s">
        <v>728</v>
      </c>
      <c r="D4777" s="2" t="s">
        <v>300</v>
      </c>
      <c r="E4777" s="70" t="s">
        <v>51</v>
      </c>
      <c r="F4777" s="29">
        <v>44</v>
      </c>
      <c r="G4777" s="29">
        <v>30</v>
      </c>
      <c r="H4777" s="33">
        <v>14</v>
      </c>
    </row>
    <row r="4778" spans="1:8" x14ac:dyDescent="0.4">
      <c r="A4778">
        <v>2004</v>
      </c>
      <c r="B4778" s="2" t="s">
        <v>676</v>
      </c>
      <c r="C4778" s="2" t="s">
        <v>728</v>
      </c>
      <c r="D4778" s="2" t="s">
        <v>300</v>
      </c>
      <c r="E4778" s="70" t="s">
        <v>309</v>
      </c>
      <c r="F4778" s="29">
        <v>68</v>
      </c>
      <c r="G4778" s="29">
        <v>51</v>
      </c>
      <c r="H4778" s="33">
        <v>17</v>
      </c>
    </row>
    <row r="4779" spans="1:8" x14ac:dyDescent="0.4">
      <c r="A4779">
        <v>2004</v>
      </c>
      <c r="B4779" s="2" t="s">
        <v>677</v>
      </c>
      <c r="C4779" s="2" t="s">
        <v>728</v>
      </c>
      <c r="D4779" s="2" t="s">
        <v>300</v>
      </c>
      <c r="E4779" s="70" t="s">
        <v>310</v>
      </c>
      <c r="F4779" s="29">
        <v>45</v>
      </c>
      <c r="G4779" s="29">
        <v>29</v>
      </c>
      <c r="H4779" s="33">
        <v>16</v>
      </c>
    </row>
    <row r="4780" spans="1:8" x14ac:dyDescent="0.4">
      <c r="A4780">
        <v>2004</v>
      </c>
      <c r="B4780" s="2" t="s">
        <v>678</v>
      </c>
      <c r="C4780" s="2" t="s">
        <v>729</v>
      </c>
      <c r="D4780" s="2" t="s">
        <v>312</v>
      </c>
      <c r="E4780" s="70" t="s">
        <v>311</v>
      </c>
      <c r="F4780" s="29">
        <v>19</v>
      </c>
      <c r="G4780" s="29">
        <v>12</v>
      </c>
      <c r="H4780" s="33">
        <v>7</v>
      </c>
    </row>
    <row r="4781" spans="1:8" x14ac:dyDescent="0.4">
      <c r="A4781">
        <v>2004</v>
      </c>
      <c r="B4781" s="2" t="s">
        <v>679</v>
      </c>
      <c r="C4781" s="2" t="s">
        <v>729</v>
      </c>
      <c r="D4781" s="2" t="s">
        <v>312</v>
      </c>
      <c r="E4781" s="70" t="s">
        <v>313</v>
      </c>
      <c r="F4781" s="29">
        <v>270</v>
      </c>
      <c r="G4781" s="29">
        <v>181</v>
      </c>
      <c r="H4781" s="33">
        <v>89</v>
      </c>
    </row>
    <row r="4782" spans="1:8" x14ac:dyDescent="0.4">
      <c r="A4782">
        <v>2004</v>
      </c>
      <c r="B4782" s="2" t="s">
        <v>680</v>
      </c>
      <c r="C4782" s="2" t="s">
        <v>729</v>
      </c>
      <c r="D4782" s="2" t="s">
        <v>312</v>
      </c>
      <c r="E4782" s="70" t="s">
        <v>314</v>
      </c>
      <c r="F4782" s="29">
        <v>1096</v>
      </c>
      <c r="G4782" s="29">
        <v>615</v>
      </c>
      <c r="H4782" s="33">
        <v>481</v>
      </c>
    </row>
    <row r="4783" spans="1:8" x14ac:dyDescent="0.4">
      <c r="A4783">
        <v>2004</v>
      </c>
      <c r="B4783" s="2" t="s">
        <v>681</v>
      </c>
      <c r="C4783" s="2" t="s">
        <v>729</v>
      </c>
      <c r="D4783" s="2" t="s">
        <v>312</v>
      </c>
      <c r="E4783" s="70" t="s">
        <v>315</v>
      </c>
      <c r="F4783" s="29">
        <v>111</v>
      </c>
      <c r="G4783" s="29">
        <v>82</v>
      </c>
      <c r="H4783" s="33">
        <v>29</v>
      </c>
    </row>
    <row r="4784" spans="1:8" x14ac:dyDescent="0.4">
      <c r="A4784">
        <v>2004</v>
      </c>
      <c r="B4784" s="2" t="s">
        <v>682</v>
      </c>
      <c r="C4784" s="2" t="s">
        <v>729</v>
      </c>
      <c r="D4784" s="2" t="s">
        <v>312</v>
      </c>
      <c r="E4784" s="70" t="s">
        <v>316</v>
      </c>
      <c r="F4784" s="29">
        <v>492</v>
      </c>
      <c r="G4784" s="29">
        <v>328</v>
      </c>
      <c r="H4784" s="33">
        <v>164</v>
      </c>
    </row>
    <row r="4785" spans="1:8" x14ac:dyDescent="0.4">
      <c r="A4785">
        <v>2004</v>
      </c>
      <c r="B4785" s="2" t="s">
        <v>683</v>
      </c>
      <c r="C4785" s="2" t="s">
        <v>729</v>
      </c>
      <c r="D4785" s="2" t="s">
        <v>312</v>
      </c>
      <c r="E4785" s="70" t="s">
        <v>317</v>
      </c>
      <c r="F4785" s="29">
        <v>72</v>
      </c>
      <c r="G4785" s="29">
        <v>51</v>
      </c>
      <c r="H4785" s="33">
        <v>21</v>
      </c>
    </row>
    <row r="4786" spans="1:8" x14ac:dyDescent="0.4">
      <c r="A4786">
        <v>2004</v>
      </c>
      <c r="B4786" s="2" t="s">
        <v>684</v>
      </c>
      <c r="C4786" s="2" t="s">
        <v>729</v>
      </c>
      <c r="D4786" s="2" t="s">
        <v>312</v>
      </c>
      <c r="E4786" s="70" t="s">
        <v>318</v>
      </c>
      <c r="F4786" s="29">
        <v>379</v>
      </c>
      <c r="G4786" s="29">
        <v>247</v>
      </c>
      <c r="H4786" s="33">
        <v>132</v>
      </c>
    </row>
    <row r="4787" spans="1:8" x14ac:dyDescent="0.4">
      <c r="A4787">
        <v>2004</v>
      </c>
      <c r="B4787" s="2" t="s">
        <v>685</v>
      </c>
      <c r="C4787" s="2" t="s">
        <v>729</v>
      </c>
      <c r="D4787" s="2" t="s">
        <v>312</v>
      </c>
      <c r="E4787" s="70" t="s">
        <v>319</v>
      </c>
      <c r="F4787" s="29">
        <v>83</v>
      </c>
      <c r="G4787" s="29">
        <v>55</v>
      </c>
      <c r="H4787" s="33">
        <v>28</v>
      </c>
    </row>
    <row r="4788" spans="1:8" x14ac:dyDescent="0.4">
      <c r="A4788">
        <v>2004</v>
      </c>
      <c r="B4788" s="2" t="s">
        <v>686</v>
      </c>
      <c r="C4788" s="2" t="s">
        <v>729</v>
      </c>
      <c r="D4788" s="2" t="s">
        <v>312</v>
      </c>
      <c r="E4788" s="70" t="s">
        <v>320</v>
      </c>
      <c r="F4788" s="29">
        <v>209</v>
      </c>
      <c r="G4788" s="29">
        <v>135</v>
      </c>
      <c r="H4788" s="33">
        <v>74</v>
      </c>
    </row>
    <row r="4789" spans="1:8" x14ac:dyDescent="0.4">
      <c r="A4789">
        <v>2004</v>
      </c>
      <c r="B4789" s="2" t="s">
        <v>687</v>
      </c>
      <c r="C4789" s="2" t="s">
        <v>729</v>
      </c>
      <c r="D4789" s="2" t="s">
        <v>312</v>
      </c>
      <c r="E4789" s="70" t="s">
        <v>321</v>
      </c>
      <c r="F4789" s="29">
        <v>965</v>
      </c>
      <c r="G4789" s="29">
        <v>542</v>
      </c>
      <c r="H4789" s="33">
        <v>423</v>
      </c>
    </row>
    <row r="4790" spans="1:8" x14ac:dyDescent="0.4">
      <c r="A4790">
        <v>2004</v>
      </c>
      <c r="B4790" s="2" t="s">
        <v>688</v>
      </c>
      <c r="C4790" s="2" t="s">
        <v>729</v>
      </c>
      <c r="D4790" s="2" t="s">
        <v>312</v>
      </c>
      <c r="E4790" s="70" t="s">
        <v>322</v>
      </c>
      <c r="F4790" s="29">
        <v>407</v>
      </c>
      <c r="G4790" s="29">
        <v>256</v>
      </c>
      <c r="H4790" s="33">
        <v>151</v>
      </c>
    </row>
    <row r="4791" spans="1:8" x14ac:dyDescent="0.4">
      <c r="A4791">
        <v>2004</v>
      </c>
      <c r="B4791" s="2" t="s">
        <v>689</v>
      </c>
      <c r="C4791" s="2" t="s">
        <v>729</v>
      </c>
      <c r="D4791" s="2" t="s">
        <v>312</v>
      </c>
      <c r="E4791" s="70" t="s">
        <v>323</v>
      </c>
      <c r="F4791" s="29">
        <v>676</v>
      </c>
      <c r="G4791" s="29">
        <v>428</v>
      </c>
      <c r="H4791" s="33">
        <v>248</v>
      </c>
    </row>
    <row r="4792" spans="1:8" x14ac:dyDescent="0.4">
      <c r="A4792">
        <v>2004</v>
      </c>
      <c r="B4792" s="2" t="s">
        <v>690</v>
      </c>
      <c r="C4792" s="2" t="s">
        <v>729</v>
      </c>
      <c r="D4792" s="2" t="s">
        <v>312</v>
      </c>
      <c r="E4792" s="70" t="s">
        <v>324</v>
      </c>
      <c r="F4792" s="29">
        <v>8138</v>
      </c>
      <c r="G4792" s="29">
        <v>4681</v>
      </c>
      <c r="H4792" s="33">
        <v>3457</v>
      </c>
    </row>
    <row r="4793" spans="1:8" x14ac:dyDescent="0.4">
      <c r="A4793">
        <v>2004</v>
      </c>
      <c r="B4793" s="2" t="s">
        <v>691</v>
      </c>
      <c r="C4793" s="2" t="s">
        <v>729</v>
      </c>
      <c r="D4793" s="2" t="s">
        <v>312</v>
      </c>
      <c r="E4793" s="70" t="s">
        <v>85</v>
      </c>
      <c r="F4793" s="29">
        <v>245</v>
      </c>
      <c r="G4793" s="29">
        <v>140</v>
      </c>
      <c r="H4793" s="33">
        <v>105</v>
      </c>
    </row>
    <row r="4794" spans="1:8" x14ac:dyDescent="0.4">
      <c r="A4794">
        <v>2004</v>
      </c>
      <c r="B4794" s="2" t="s">
        <v>692</v>
      </c>
      <c r="C4794" s="2" t="s">
        <v>729</v>
      </c>
      <c r="D4794" s="2" t="s">
        <v>312</v>
      </c>
      <c r="E4794" s="70" t="s">
        <v>32</v>
      </c>
      <c r="F4794" s="29">
        <v>154</v>
      </c>
      <c r="G4794" s="29">
        <v>93</v>
      </c>
      <c r="H4794" s="33">
        <v>61</v>
      </c>
    </row>
    <row r="4795" spans="1:8" x14ac:dyDescent="0.4">
      <c r="A4795">
        <v>2004</v>
      </c>
      <c r="B4795" s="2" t="s">
        <v>693</v>
      </c>
      <c r="C4795" s="2" t="s">
        <v>729</v>
      </c>
      <c r="D4795" s="2" t="s">
        <v>312</v>
      </c>
      <c r="E4795" s="70" t="s">
        <v>325</v>
      </c>
      <c r="F4795" s="29">
        <v>277</v>
      </c>
      <c r="G4795" s="29">
        <v>170</v>
      </c>
      <c r="H4795" s="33">
        <v>107</v>
      </c>
    </row>
    <row r="4796" spans="1:8" x14ac:dyDescent="0.4">
      <c r="A4796">
        <v>2004</v>
      </c>
      <c r="B4796" s="2" t="s">
        <v>694</v>
      </c>
      <c r="C4796" s="2" t="s">
        <v>729</v>
      </c>
      <c r="D4796" s="2" t="s">
        <v>312</v>
      </c>
      <c r="E4796" s="70" t="s">
        <v>144</v>
      </c>
      <c r="F4796" s="29">
        <v>1168</v>
      </c>
      <c r="G4796" s="29">
        <v>681</v>
      </c>
      <c r="H4796" s="33">
        <v>487</v>
      </c>
    </row>
    <row r="4797" spans="1:8" x14ac:dyDescent="0.4">
      <c r="A4797">
        <v>2004</v>
      </c>
      <c r="B4797" s="2" t="s">
        <v>695</v>
      </c>
      <c r="C4797" s="2" t="s">
        <v>729</v>
      </c>
      <c r="D4797" s="2" t="s">
        <v>312</v>
      </c>
      <c r="E4797" s="70" t="s">
        <v>326</v>
      </c>
      <c r="F4797" s="29">
        <v>170</v>
      </c>
      <c r="G4797" s="29">
        <v>127</v>
      </c>
      <c r="H4797" s="33">
        <v>43</v>
      </c>
    </row>
    <row r="4798" spans="1:8" x14ac:dyDescent="0.4">
      <c r="A4798">
        <v>2004</v>
      </c>
      <c r="B4798" s="2" t="s">
        <v>696</v>
      </c>
      <c r="C4798" s="2" t="s">
        <v>729</v>
      </c>
      <c r="D4798" s="2" t="s">
        <v>312</v>
      </c>
      <c r="E4798" s="70" t="s">
        <v>25</v>
      </c>
      <c r="F4798" s="29">
        <v>96</v>
      </c>
      <c r="G4798" s="29">
        <v>66</v>
      </c>
      <c r="H4798" s="33">
        <v>30</v>
      </c>
    </row>
    <row r="4799" spans="1:8" x14ac:dyDescent="0.4">
      <c r="A4799">
        <v>2004</v>
      </c>
      <c r="B4799" s="2" t="s">
        <v>697</v>
      </c>
      <c r="C4799" s="2" t="s">
        <v>729</v>
      </c>
      <c r="D4799" s="2" t="s">
        <v>312</v>
      </c>
      <c r="E4799" s="70" t="s">
        <v>51</v>
      </c>
      <c r="F4799" s="29">
        <v>216</v>
      </c>
      <c r="G4799" s="29">
        <v>135</v>
      </c>
      <c r="H4799" s="33">
        <v>81</v>
      </c>
    </row>
    <row r="4800" spans="1:8" x14ac:dyDescent="0.4">
      <c r="A4800">
        <v>2004</v>
      </c>
      <c r="B4800" s="2" t="s">
        <v>698</v>
      </c>
      <c r="C4800" s="2" t="s">
        <v>729</v>
      </c>
      <c r="D4800" s="2" t="s">
        <v>312</v>
      </c>
      <c r="E4800" s="70" t="s">
        <v>327</v>
      </c>
      <c r="F4800" s="29">
        <v>103</v>
      </c>
      <c r="G4800" s="29">
        <v>57</v>
      </c>
      <c r="H4800" s="33">
        <v>46</v>
      </c>
    </row>
    <row r="4801" spans="1:8" x14ac:dyDescent="0.4">
      <c r="A4801">
        <v>2004</v>
      </c>
      <c r="B4801" s="2" t="s">
        <v>733</v>
      </c>
      <c r="C4801" s="2" t="s">
        <v>715</v>
      </c>
      <c r="D4801" s="2" t="s">
        <v>734</v>
      </c>
      <c r="E4801" s="70" t="s">
        <v>735</v>
      </c>
      <c r="F4801" s="29">
        <v>0</v>
      </c>
      <c r="G4801" s="29">
        <v>0</v>
      </c>
      <c r="H4801" s="33">
        <v>0</v>
      </c>
    </row>
    <row r="4802" spans="1:8" x14ac:dyDescent="0.4">
      <c r="A4802">
        <v>2003</v>
      </c>
      <c r="B4802" s="5" t="str">
        <f>+C4802&amp;"-"&amp;E4802</f>
        <v>VA-Municipio Autónomo Vargas</v>
      </c>
      <c r="C4802" s="5" t="str">
        <f>+MID(D4802,1,2)</f>
        <v>VA</v>
      </c>
      <c r="D4802" s="25" t="s">
        <v>288</v>
      </c>
      <c r="E4802" s="64" t="s">
        <v>757</v>
      </c>
      <c r="F4802" s="2">
        <v>0</v>
      </c>
      <c r="G4802" s="2">
        <v>0</v>
      </c>
      <c r="H4802" s="2">
        <v>0</v>
      </c>
    </row>
    <row r="4803" spans="1:8" x14ac:dyDescent="0.4">
      <c r="A4803">
        <v>2003</v>
      </c>
      <c r="B4803" s="5" t="str">
        <f>+C4803&amp;"-"&amp;E4803</f>
        <v>DI-Municipio Autónomo Libertador</v>
      </c>
      <c r="C4803" s="5" t="str">
        <f>+MID(D4803,1,2)</f>
        <v>DI</v>
      </c>
      <c r="D4803" s="25" t="s">
        <v>106</v>
      </c>
      <c r="E4803" s="64" t="s">
        <v>756</v>
      </c>
      <c r="F4803" s="2">
        <v>0</v>
      </c>
      <c r="G4803" s="2">
        <v>0</v>
      </c>
      <c r="H4803" s="2">
        <v>0</v>
      </c>
    </row>
    <row r="4804" spans="1:8" x14ac:dyDescent="0.4">
      <c r="A4804">
        <v>2003</v>
      </c>
      <c r="B4804" s="2" t="s">
        <v>335</v>
      </c>
      <c r="C4804" s="2" t="s">
        <v>706</v>
      </c>
      <c r="D4804" s="2" t="s">
        <v>106</v>
      </c>
      <c r="E4804" s="70" t="s">
        <v>105</v>
      </c>
      <c r="F4804" s="29">
        <v>69</v>
      </c>
      <c r="G4804" s="29">
        <v>38</v>
      </c>
      <c r="H4804" s="33">
        <v>31</v>
      </c>
    </row>
    <row r="4805" spans="1:8" x14ac:dyDescent="0.4">
      <c r="A4805">
        <v>2003</v>
      </c>
      <c r="B4805" s="2" t="s">
        <v>336</v>
      </c>
      <c r="C4805" s="2" t="s">
        <v>706</v>
      </c>
      <c r="D4805" s="2" t="s">
        <v>106</v>
      </c>
      <c r="E4805" s="70" t="s">
        <v>107</v>
      </c>
      <c r="F4805" s="29">
        <v>784</v>
      </c>
      <c r="G4805" s="29">
        <v>511</v>
      </c>
      <c r="H4805" s="33">
        <v>273</v>
      </c>
    </row>
    <row r="4806" spans="1:8" x14ac:dyDescent="0.4">
      <c r="A4806">
        <v>2003</v>
      </c>
      <c r="B4806" s="2" t="s">
        <v>337</v>
      </c>
      <c r="C4806" s="2" t="s">
        <v>706</v>
      </c>
      <c r="D4806" s="2" t="s">
        <v>106</v>
      </c>
      <c r="E4806" s="70" t="s">
        <v>108</v>
      </c>
      <c r="F4806" s="29">
        <v>227</v>
      </c>
      <c r="G4806" s="29">
        <v>130</v>
      </c>
      <c r="H4806" s="33">
        <v>97</v>
      </c>
    </row>
    <row r="4807" spans="1:8" x14ac:dyDescent="0.4">
      <c r="A4807">
        <v>2003</v>
      </c>
      <c r="B4807" s="2" t="s">
        <v>338</v>
      </c>
      <c r="C4807" s="2" t="s">
        <v>706</v>
      </c>
      <c r="D4807" s="2" t="s">
        <v>106</v>
      </c>
      <c r="E4807" s="70" t="s">
        <v>109</v>
      </c>
      <c r="F4807" s="29">
        <v>361</v>
      </c>
      <c r="G4807" s="29">
        <v>222</v>
      </c>
      <c r="H4807" s="33">
        <v>139</v>
      </c>
    </row>
    <row r="4808" spans="1:8" x14ac:dyDescent="0.4">
      <c r="A4808">
        <v>2003</v>
      </c>
      <c r="B4808" s="2" t="s">
        <v>339</v>
      </c>
      <c r="C4808" s="2" t="s">
        <v>706</v>
      </c>
      <c r="D4808" s="2" t="s">
        <v>106</v>
      </c>
      <c r="E4808" s="70" t="s">
        <v>110</v>
      </c>
      <c r="F4808" s="29">
        <v>32</v>
      </c>
      <c r="G4808" s="29">
        <v>22</v>
      </c>
      <c r="H4808" s="33">
        <v>10</v>
      </c>
    </row>
    <row r="4809" spans="1:8" x14ac:dyDescent="0.4">
      <c r="A4809">
        <v>2003</v>
      </c>
      <c r="B4809" s="2" t="s">
        <v>340</v>
      </c>
      <c r="C4809" s="2" t="s">
        <v>706</v>
      </c>
      <c r="D4809" s="2" t="s">
        <v>106</v>
      </c>
      <c r="E4809" s="70" t="s">
        <v>111</v>
      </c>
      <c r="F4809" s="29">
        <v>731</v>
      </c>
      <c r="G4809" s="29">
        <v>527</v>
      </c>
      <c r="H4809" s="33">
        <v>204</v>
      </c>
    </row>
    <row r="4810" spans="1:8" x14ac:dyDescent="0.4">
      <c r="A4810">
        <v>2003</v>
      </c>
      <c r="B4810" s="2" t="s">
        <v>341</v>
      </c>
      <c r="C4810" s="2" t="s">
        <v>706</v>
      </c>
      <c r="D4810" s="2" t="s">
        <v>106</v>
      </c>
      <c r="E4810" s="70" t="s">
        <v>112</v>
      </c>
      <c r="F4810" s="29">
        <v>92</v>
      </c>
      <c r="G4810" s="29">
        <v>58</v>
      </c>
      <c r="H4810" s="33">
        <v>34</v>
      </c>
    </row>
    <row r="4811" spans="1:8" x14ac:dyDescent="0.4">
      <c r="A4811">
        <v>2003</v>
      </c>
      <c r="B4811" s="2" t="s">
        <v>342</v>
      </c>
      <c r="C4811" s="2" t="s">
        <v>706</v>
      </c>
      <c r="D4811" s="2" t="s">
        <v>106</v>
      </c>
      <c r="E4811" s="70" t="s">
        <v>113</v>
      </c>
      <c r="F4811" s="29">
        <v>1727</v>
      </c>
      <c r="G4811" s="29">
        <v>1130</v>
      </c>
      <c r="H4811" s="33">
        <v>597</v>
      </c>
    </row>
    <row r="4812" spans="1:8" x14ac:dyDescent="0.4">
      <c r="A4812">
        <v>2003</v>
      </c>
      <c r="B4812" s="2" t="s">
        <v>343</v>
      </c>
      <c r="C4812" s="2" t="s">
        <v>706</v>
      </c>
      <c r="D4812" s="2" t="s">
        <v>106</v>
      </c>
      <c r="E4812" s="70" t="s">
        <v>114</v>
      </c>
      <c r="F4812" s="29">
        <v>696</v>
      </c>
      <c r="G4812" s="29">
        <v>385</v>
      </c>
      <c r="H4812" s="33">
        <v>311</v>
      </c>
    </row>
    <row r="4813" spans="1:8" x14ac:dyDescent="0.4">
      <c r="A4813">
        <v>2003</v>
      </c>
      <c r="B4813" s="2" t="s">
        <v>344</v>
      </c>
      <c r="C4813" s="2" t="s">
        <v>706</v>
      </c>
      <c r="D4813" s="2" t="s">
        <v>106</v>
      </c>
      <c r="E4813" s="70" t="s">
        <v>115</v>
      </c>
      <c r="F4813" s="29">
        <v>376</v>
      </c>
      <c r="G4813" s="29">
        <v>235</v>
      </c>
      <c r="H4813" s="33">
        <v>141</v>
      </c>
    </row>
    <row r="4814" spans="1:8" x14ac:dyDescent="0.4">
      <c r="A4814">
        <v>2003</v>
      </c>
      <c r="B4814" s="2" t="s">
        <v>345</v>
      </c>
      <c r="C4814" s="2" t="s">
        <v>706</v>
      </c>
      <c r="D4814" s="2" t="s">
        <v>106</v>
      </c>
      <c r="E4814" s="70" t="s">
        <v>116</v>
      </c>
      <c r="F4814" s="29">
        <v>497</v>
      </c>
      <c r="G4814" s="29">
        <v>322</v>
      </c>
      <c r="H4814" s="33">
        <v>175</v>
      </c>
    </row>
    <row r="4815" spans="1:8" x14ac:dyDescent="0.4">
      <c r="A4815">
        <v>2003</v>
      </c>
      <c r="B4815" s="2" t="s">
        <v>346</v>
      </c>
      <c r="C4815" s="2" t="s">
        <v>706</v>
      </c>
      <c r="D4815" s="2" t="s">
        <v>106</v>
      </c>
      <c r="E4815" s="70" t="s">
        <v>117</v>
      </c>
      <c r="F4815" s="29">
        <v>355</v>
      </c>
      <c r="G4815" s="29">
        <v>205</v>
      </c>
      <c r="H4815" s="33">
        <v>150</v>
      </c>
    </row>
    <row r="4816" spans="1:8" x14ac:dyDescent="0.4">
      <c r="A4816">
        <v>2003</v>
      </c>
      <c r="B4816" s="2" t="s">
        <v>347</v>
      </c>
      <c r="C4816" s="2" t="s">
        <v>706</v>
      </c>
      <c r="D4816" s="2" t="s">
        <v>106</v>
      </c>
      <c r="E4816" s="70" t="s">
        <v>118</v>
      </c>
      <c r="F4816" s="29">
        <v>128</v>
      </c>
      <c r="G4816" s="29">
        <v>104</v>
      </c>
      <c r="H4816" s="33">
        <v>24</v>
      </c>
    </row>
    <row r="4817" spans="1:8" x14ac:dyDescent="0.4">
      <c r="A4817">
        <v>2003</v>
      </c>
      <c r="B4817" s="2" t="s">
        <v>348</v>
      </c>
      <c r="C4817" s="2" t="s">
        <v>706</v>
      </c>
      <c r="D4817" s="2" t="s">
        <v>106</v>
      </c>
      <c r="E4817" s="70" t="s">
        <v>119</v>
      </c>
      <c r="F4817" s="29">
        <v>120</v>
      </c>
      <c r="G4817" s="29">
        <v>87</v>
      </c>
      <c r="H4817" s="33">
        <v>33</v>
      </c>
    </row>
    <row r="4818" spans="1:8" x14ac:dyDescent="0.4">
      <c r="A4818">
        <v>2003</v>
      </c>
      <c r="B4818" s="2" t="s">
        <v>349</v>
      </c>
      <c r="C4818" s="2" t="s">
        <v>706</v>
      </c>
      <c r="D4818" s="2" t="s">
        <v>106</v>
      </c>
      <c r="E4818" s="70" t="s">
        <v>120</v>
      </c>
      <c r="F4818" s="29">
        <v>975</v>
      </c>
      <c r="G4818" s="29">
        <v>517</v>
      </c>
      <c r="H4818" s="33">
        <v>458</v>
      </c>
    </row>
    <row r="4819" spans="1:8" x14ac:dyDescent="0.4">
      <c r="A4819">
        <v>2003</v>
      </c>
      <c r="B4819" s="2" t="s">
        <v>350</v>
      </c>
      <c r="C4819" s="2" t="s">
        <v>706</v>
      </c>
      <c r="D4819" s="2" t="s">
        <v>106</v>
      </c>
      <c r="E4819" s="70" t="s">
        <v>121</v>
      </c>
      <c r="F4819" s="29">
        <v>1553</v>
      </c>
      <c r="G4819" s="29">
        <v>891</v>
      </c>
      <c r="H4819" s="33">
        <v>662</v>
      </c>
    </row>
    <row r="4820" spans="1:8" x14ac:dyDescent="0.4">
      <c r="A4820">
        <v>2003</v>
      </c>
      <c r="B4820" s="2" t="s">
        <v>351</v>
      </c>
      <c r="C4820" s="2" t="s">
        <v>706</v>
      </c>
      <c r="D4820" s="2" t="s">
        <v>106</v>
      </c>
      <c r="E4820" s="70" t="s">
        <v>122</v>
      </c>
      <c r="F4820" s="29">
        <v>1016</v>
      </c>
      <c r="G4820" s="29">
        <v>594</v>
      </c>
      <c r="H4820" s="33">
        <v>422</v>
      </c>
    </row>
    <row r="4821" spans="1:8" x14ac:dyDescent="0.4">
      <c r="A4821">
        <v>2003</v>
      </c>
      <c r="B4821" s="2" t="s">
        <v>352</v>
      </c>
      <c r="C4821" s="2" t="s">
        <v>706</v>
      </c>
      <c r="D4821" s="2" t="s">
        <v>106</v>
      </c>
      <c r="E4821" s="70" t="s">
        <v>123</v>
      </c>
      <c r="F4821" s="29">
        <v>2233</v>
      </c>
      <c r="G4821" s="29">
        <v>1310</v>
      </c>
      <c r="H4821" s="33">
        <v>923</v>
      </c>
    </row>
    <row r="4822" spans="1:8" x14ac:dyDescent="0.4">
      <c r="A4822">
        <v>2003</v>
      </c>
      <c r="B4822" s="2" t="s">
        <v>353</v>
      </c>
      <c r="C4822" s="2" t="s">
        <v>706</v>
      </c>
      <c r="D4822" s="2" t="s">
        <v>106</v>
      </c>
      <c r="E4822" s="70" t="s">
        <v>124</v>
      </c>
      <c r="F4822" s="29">
        <v>402</v>
      </c>
      <c r="G4822" s="29">
        <v>237</v>
      </c>
      <c r="H4822" s="33">
        <v>165</v>
      </c>
    </row>
    <row r="4823" spans="1:8" x14ac:dyDescent="0.4">
      <c r="A4823">
        <v>2003</v>
      </c>
      <c r="B4823" s="2" t="s">
        <v>354</v>
      </c>
      <c r="C4823" s="2" t="s">
        <v>706</v>
      </c>
      <c r="D4823" s="2" t="s">
        <v>106</v>
      </c>
      <c r="E4823" s="70" t="s">
        <v>125</v>
      </c>
      <c r="F4823" s="29">
        <v>48</v>
      </c>
      <c r="G4823" s="29">
        <v>36</v>
      </c>
      <c r="H4823" s="33">
        <v>12</v>
      </c>
    </row>
    <row r="4824" spans="1:8" x14ac:dyDescent="0.4">
      <c r="A4824">
        <v>2003</v>
      </c>
      <c r="B4824" s="2" t="s">
        <v>355</v>
      </c>
      <c r="C4824" s="2" t="s">
        <v>706</v>
      </c>
      <c r="D4824" s="2" t="s">
        <v>106</v>
      </c>
      <c r="E4824" s="70" t="s">
        <v>126</v>
      </c>
      <c r="F4824" s="29">
        <v>1977</v>
      </c>
      <c r="G4824" s="29">
        <v>1316</v>
      </c>
      <c r="H4824" s="33">
        <v>661</v>
      </c>
    </row>
    <row r="4825" spans="1:8" x14ac:dyDescent="0.4">
      <c r="A4825">
        <v>2003</v>
      </c>
      <c r="B4825" s="2" t="s">
        <v>356</v>
      </c>
      <c r="C4825" s="2" t="s">
        <v>706</v>
      </c>
      <c r="D4825" s="2" t="s">
        <v>106</v>
      </c>
      <c r="E4825" s="70" t="s">
        <v>127</v>
      </c>
      <c r="F4825" s="29">
        <v>277</v>
      </c>
      <c r="G4825" s="29">
        <v>178</v>
      </c>
      <c r="H4825" s="33">
        <v>99</v>
      </c>
    </row>
    <row r="4826" spans="1:8" x14ac:dyDescent="0.4">
      <c r="A4826">
        <v>2003</v>
      </c>
      <c r="B4826" s="2" t="s">
        <v>357</v>
      </c>
      <c r="C4826" s="2" t="s">
        <v>707</v>
      </c>
      <c r="D4826" s="2" t="s">
        <v>1</v>
      </c>
      <c r="E4826" s="70" t="s">
        <v>0</v>
      </c>
      <c r="F4826" s="29">
        <v>30</v>
      </c>
      <c r="G4826" s="29">
        <v>18</v>
      </c>
      <c r="H4826" s="33">
        <v>12</v>
      </c>
    </row>
    <row r="4827" spans="1:8" x14ac:dyDescent="0.4">
      <c r="A4827">
        <v>2003</v>
      </c>
      <c r="B4827" s="2" t="s">
        <v>358</v>
      </c>
      <c r="C4827" s="2" t="s">
        <v>707</v>
      </c>
      <c r="D4827" s="2" t="s">
        <v>1</v>
      </c>
      <c r="E4827" s="70" t="s">
        <v>2</v>
      </c>
      <c r="F4827" s="29">
        <v>17</v>
      </c>
      <c r="G4827" s="29">
        <v>10</v>
      </c>
      <c r="H4827" s="33">
        <v>7</v>
      </c>
    </row>
    <row r="4828" spans="1:8" x14ac:dyDescent="0.4">
      <c r="A4828">
        <v>2003</v>
      </c>
      <c r="B4828" s="2" t="s">
        <v>359</v>
      </c>
      <c r="C4828" s="2" t="s">
        <v>707</v>
      </c>
      <c r="D4828" s="2" t="s">
        <v>1</v>
      </c>
      <c r="E4828" s="70" t="s">
        <v>3</v>
      </c>
      <c r="F4828" s="29">
        <v>364</v>
      </c>
      <c r="G4828" s="29">
        <v>205</v>
      </c>
      <c r="H4828" s="33">
        <v>159</v>
      </c>
    </row>
    <row r="4829" spans="1:8" x14ac:dyDescent="0.4">
      <c r="A4829">
        <v>2003</v>
      </c>
      <c r="B4829" s="2" t="s">
        <v>360</v>
      </c>
      <c r="C4829" s="2" t="s">
        <v>707</v>
      </c>
      <c r="D4829" s="2" t="s">
        <v>1</v>
      </c>
      <c r="E4829" s="70" t="s">
        <v>4</v>
      </c>
      <c r="F4829" s="29">
        <v>7</v>
      </c>
      <c r="G4829" s="29">
        <v>4</v>
      </c>
      <c r="H4829" s="33">
        <v>3</v>
      </c>
    </row>
    <row r="4830" spans="1:8" x14ac:dyDescent="0.4">
      <c r="A4830">
        <v>2003</v>
      </c>
      <c r="B4830" s="7" t="s">
        <v>361</v>
      </c>
      <c r="C4830" s="7" t="s">
        <v>707</v>
      </c>
      <c r="D4830" s="7" t="s">
        <v>1</v>
      </c>
      <c r="E4830" s="70" t="s">
        <v>5</v>
      </c>
      <c r="F4830" s="29">
        <v>5</v>
      </c>
      <c r="G4830" s="29">
        <v>1</v>
      </c>
      <c r="H4830" s="33">
        <v>4</v>
      </c>
    </row>
    <row r="4831" spans="1:8" x14ac:dyDescent="0.4">
      <c r="A4831">
        <v>2003</v>
      </c>
      <c r="B4831" s="2" t="s">
        <v>732</v>
      </c>
      <c r="C4831" s="2" t="s">
        <v>707</v>
      </c>
      <c r="D4831" s="2" t="s">
        <v>1</v>
      </c>
      <c r="E4831" s="70" t="s">
        <v>330</v>
      </c>
      <c r="F4831" s="29">
        <v>2</v>
      </c>
      <c r="G4831" s="29">
        <v>2</v>
      </c>
      <c r="H4831" s="33">
        <v>0</v>
      </c>
    </row>
    <row r="4832" spans="1:8" x14ac:dyDescent="0.4">
      <c r="A4832">
        <v>2003</v>
      </c>
      <c r="B4832" s="2" t="s">
        <v>730</v>
      </c>
      <c r="C4832" s="2" t="s">
        <v>707</v>
      </c>
      <c r="D4832" s="2" t="s">
        <v>1</v>
      </c>
      <c r="E4832" s="70" t="s">
        <v>328</v>
      </c>
      <c r="F4832" s="29">
        <v>13</v>
      </c>
      <c r="G4832" s="29">
        <v>8</v>
      </c>
      <c r="H4832" s="33">
        <v>5</v>
      </c>
    </row>
    <row r="4833" spans="1:8" x14ac:dyDescent="0.4">
      <c r="A4833">
        <v>2003</v>
      </c>
      <c r="B4833" s="2" t="s">
        <v>362</v>
      </c>
      <c r="C4833" s="2" t="s">
        <v>708</v>
      </c>
      <c r="D4833" s="2" t="s">
        <v>7</v>
      </c>
      <c r="E4833" s="70" t="s">
        <v>6</v>
      </c>
      <c r="F4833" s="29">
        <v>190</v>
      </c>
      <c r="G4833" s="29">
        <v>118</v>
      </c>
      <c r="H4833" s="33">
        <v>72</v>
      </c>
    </row>
    <row r="4834" spans="1:8" x14ac:dyDescent="0.4">
      <c r="A4834">
        <v>2003</v>
      </c>
      <c r="B4834" s="2" t="s">
        <v>363</v>
      </c>
      <c r="C4834" s="2" t="s">
        <v>708</v>
      </c>
      <c r="D4834" s="2" t="s">
        <v>7</v>
      </c>
      <c r="E4834" s="70" t="s">
        <v>8</v>
      </c>
      <c r="F4834" s="29">
        <v>83</v>
      </c>
      <c r="G4834" s="29">
        <v>44</v>
      </c>
      <c r="H4834" s="33">
        <v>39</v>
      </c>
    </row>
    <row r="4835" spans="1:8" x14ac:dyDescent="0.4">
      <c r="A4835">
        <v>2003</v>
      </c>
      <c r="B4835" s="2" t="s">
        <v>364</v>
      </c>
      <c r="C4835" s="2" t="s">
        <v>708</v>
      </c>
      <c r="D4835" s="2" t="s">
        <v>7</v>
      </c>
      <c r="E4835" s="70" t="s">
        <v>9</v>
      </c>
      <c r="F4835" s="29">
        <v>87</v>
      </c>
      <c r="G4835" s="29">
        <v>50</v>
      </c>
      <c r="H4835" s="33">
        <v>37</v>
      </c>
    </row>
    <row r="4836" spans="1:8" x14ac:dyDescent="0.4">
      <c r="A4836">
        <v>2003</v>
      </c>
      <c r="B4836" s="2" t="s">
        <v>365</v>
      </c>
      <c r="C4836" s="2" t="s">
        <v>708</v>
      </c>
      <c r="D4836" s="2" t="s">
        <v>7</v>
      </c>
      <c r="E4836" s="70" t="s">
        <v>10</v>
      </c>
      <c r="F4836" s="29">
        <v>68</v>
      </c>
      <c r="G4836" s="29">
        <v>45</v>
      </c>
      <c r="H4836" s="33">
        <v>23</v>
      </c>
    </row>
    <row r="4837" spans="1:8" x14ac:dyDescent="0.4">
      <c r="A4837">
        <v>2003</v>
      </c>
      <c r="B4837" s="2" t="s">
        <v>366</v>
      </c>
      <c r="C4837" s="2" t="s">
        <v>708</v>
      </c>
      <c r="D4837" s="2" t="s">
        <v>7</v>
      </c>
      <c r="E4837" s="70" t="s">
        <v>11</v>
      </c>
      <c r="F4837" s="29">
        <v>98</v>
      </c>
      <c r="G4837" s="29">
        <v>50</v>
      </c>
      <c r="H4837" s="33">
        <v>48</v>
      </c>
    </row>
    <row r="4838" spans="1:8" x14ac:dyDescent="0.4">
      <c r="A4838">
        <v>2003</v>
      </c>
      <c r="B4838" s="2" t="s">
        <v>367</v>
      </c>
      <c r="C4838" s="2" t="s">
        <v>708</v>
      </c>
      <c r="D4838" s="2" t="s">
        <v>7</v>
      </c>
      <c r="E4838" s="70" t="s">
        <v>12</v>
      </c>
      <c r="F4838" s="29">
        <v>42</v>
      </c>
      <c r="G4838" s="29">
        <v>23</v>
      </c>
      <c r="H4838" s="33">
        <v>19</v>
      </c>
    </row>
    <row r="4839" spans="1:8" x14ac:dyDescent="0.4">
      <c r="A4839">
        <v>2003</v>
      </c>
      <c r="B4839" s="2" t="s">
        <v>368</v>
      </c>
      <c r="C4839" s="2" t="s">
        <v>708</v>
      </c>
      <c r="D4839" s="2" t="s">
        <v>7</v>
      </c>
      <c r="E4839" s="70" t="s">
        <v>13</v>
      </c>
      <c r="F4839" s="29">
        <v>67</v>
      </c>
      <c r="G4839" s="29">
        <v>48</v>
      </c>
      <c r="H4839" s="33">
        <v>19</v>
      </c>
    </row>
    <row r="4840" spans="1:8" x14ac:dyDescent="0.4">
      <c r="A4840">
        <v>2003</v>
      </c>
      <c r="B4840" s="2" t="s">
        <v>369</v>
      </c>
      <c r="C4840" s="2" t="s">
        <v>708</v>
      </c>
      <c r="D4840" s="2" t="s">
        <v>7</v>
      </c>
      <c r="E4840" s="70" t="s">
        <v>14</v>
      </c>
      <c r="F4840" s="29">
        <v>93</v>
      </c>
      <c r="G4840" s="29">
        <v>57</v>
      </c>
      <c r="H4840" s="33">
        <v>36</v>
      </c>
    </row>
    <row r="4841" spans="1:8" x14ac:dyDescent="0.4">
      <c r="A4841">
        <v>2003</v>
      </c>
      <c r="B4841" s="2" t="s">
        <v>370</v>
      </c>
      <c r="C4841" s="2" t="s">
        <v>708</v>
      </c>
      <c r="D4841" s="2" t="s">
        <v>7</v>
      </c>
      <c r="E4841" s="70" t="s">
        <v>15</v>
      </c>
      <c r="F4841" s="29">
        <v>46</v>
      </c>
      <c r="G4841" s="29">
        <v>28</v>
      </c>
      <c r="H4841" s="33">
        <v>18</v>
      </c>
    </row>
    <row r="4842" spans="1:8" x14ac:dyDescent="0.4">
      <c r="A4842">
        <v>2003</v>
      </c>
      <c r="B4842" s="2" t="s">
        <v>371</v>
      </c>
      <c r="C4842" s="2" t="s">
        <v>708</v>
      </c>
      <c r="D4842" s="2" t="s">
        <v>7</v>
      </c>
      <c r="E4842" s="70" t="s">
        <v>16</v>
      </c>
      <c r="F4842" s="29">
        <v>591</v>
      </c>
      <c r="G4842" s="29">
        <v>359</v>
      </c>
      <c r="H4842" s="33">
        <v>232</v>
      </c>
    </row>
    <row r="4843" spans="1:8" x14ac:dyDescent="0.4">
      <c r="A4843">
        <v>2003</v>
      </c>
      <c r="B4843" s="2" t="s">
        <v>372</v>
      </c>
      <c r="C4843" s="2" t="s">
        <v>708</v>
      </c>
      <c r="D4843" s="2" t="s">
        <v>7</v>
      </c>
      <c r="E4843" s="70" t="s">
        <v>17</v>
      </c>
      <c r="F4843" s="29">
        <v>31</v>
      </c>
      <c r="G4843" s="29">
        <v>15</v>
      </c>
      <c r="H4843" s="33">
        <v>16</v>
      </c>
    </row>
    <row r="4844" spans="1:8" x14ac:dyDescent="0.4">
      <c r="A4844">
        <v>2003</v>
      </c>
      <c r="B4844" s="2" t="s">
        <v>373</v>
      </c>
      <c r="C4844" s="2" t="s">
        <v>708</v>
      </c>
      <c r="D4844" s="2" t="s">
        <v>7</v>
      </c>
      <c r="E4844" s="70" t="s">
        <v>18</v>
      </c>
      <c r="F4844" s="29">
        <v>47</v>
      </c>
      <c r="G4844" s="29">
        <v>34</v>
      </c>
      <c r="H4844" s="33">
        <v>13</v>
      </c>
    </row>
    <row r="4845" spans="1:8" x14ac:dyDescent="0.4">
      <c r="A4845">
        <v>2003</v>
      </c>
      <c r="B4845" s="2" t="s">
        <v>374</v>
      </c>
      <c r="C4845" s="2" t="s">
        <v>708</v>
      </c>
      <c r="D4845" s="2" t="s">
        <v>7</v>
      </c>
      <c r="E4845" s="70" t="s">
        <v>19</v>
      </c>
      <c r="F4845" s="29">
        <v>82</v>
      </c>
      <c r="G4845" s="29">
        <v>58</v>
      </c>
      <c r="H4845" s="33">
        <v>24</v>
      </c>
    </row>
    <row r="4846" spans="1:8" x14ac:dyDescent="0.4">
      <c r="A4846">
        <v>2003</v>
      </c>
      <c r="B4846" s="2" t="s">
        <v>375</v>
      </c>
      <c r="C4846" s="2" t="s">
        <v>708</v>
      </c>
      <c r="D4846" s="2" t="s">
        <v>7</v>
      </c>
      <c r="E4846" s="70" t="s">
        <v>20</v>
      </c>
      <c r="F4846" s="29">
        <v>202</v>
      </c>
      <c r="G4846" s="29">
        <v>119</v>
      </c>
      <c r="H4846" s="33">
        <v>83</v>
      </c>
    </row>
    <row r="4847" spans="1:8" x14ac:dyDescent="0.4">
      <c r="A4847">
        <v>2003</v>
      </c>
      <c r="B4847" s="2" t="s">
        <v>376</v>
      </c>
      <c r="C4847" s="2" t="s">
        <v>708</v>
      </c>
      <c r="D4847" s="2" t="s">
        <v>7</v>
      </c>
      <c r="E4847" s="70" t="s">
        <v>21</v>
      </c>
      <c r="F4847" s="29">
        <v>70</v>
      </c>
      <c r="G4847" s="29">
        <v>45</v>
      </c>
      <c r="H4847" s="33">
        <v>25</v>
      </c>
    </row>
    <row r="4848" spans="1:8" x14ac:dyDescent="0.4">
      <c r="A4848">
        <v>2003</v>
      </c>
      <c r="B4848" s="2" t="s">
        <v>377</v>
      </c>
      <c r="C4848" s="2" t="s">
        <v>708</v>
      </c>
      <c r="D4848" s="2" t="s">
        <v>7</v>
      </c>
      <c r="E4848" s="70" t="s">
        <v>22</v>
      </c>
      <c r="F4848" s="29">
        <v>99</v>
      </c>
      <c r="G4848" s="29">
        <v>53</v>
      </c>
      <c r="H4848" s="33">
        <v>46</v>
      </c>
    </row>
    <row r="4849" spans="1:8" x14ac:dyDescent="0.4">
      <c r="A4849">
        <v>2003</v>
      </c>
      <c r="B4849" s="2" t="s">
        <v>378</v>
      </c>
      <c r="C4849" s="2" t="s">
        <v>708</v>
      </c>
      <c r="D4849" s="2" t="s">
        <v>7</v>
      </c>
      <c r="E4849" s="70" t="s">
        <v>23</v>
      </c>
      <c r="F4849" s="29">
        <v>41</v>
      </c>
      <c r="G4849" s="29">
        <v>25</v>
      </c>
      <c r="H4849" s="33">
        <v>16</v>
      </c>
    </row>
    <row r="4850" spans="1:8" x14ac:dyDescent="0.4">
      <c r="A4850">
        <v>2003</v>
      </c>
      <c r="B4850" s="2" t="s">
        <v>379</v>
      </c>
      <c r="C4850" s="2" t="s">
        <v>708</v>
      </c>
      <c r="D4850" s="2" t="s">
        <v>7</v>
      </c>
      <c r="E4850" s="70" t="s">
        <v>24</v>
      </c>
      <c r="F4850" s="29">
        <v>36</v>
      </c>
      <c r="G4850" s="29">
        <v>19</v>
      </c>
      <c r="H4850" s="33">
        <v>17</v>
      </c>
    </row>
    <row r="4851" spans="1:8" x14ac:dyDescent="0.4">
      <c r="A4851">
        <v>2003</v>
      </c>
      <c r="B4851" s="2" t="s">
        <v>380</v>
      </c>
      <c r="C4851" s="2" t="s">
        <v>708</v>
      </c>
      <c r="D4851" s="2" t="s">
        <v>7</v>
      </c>
      <c r="E4851" s="70" t="s">
        <v>25</v>
      </c>
      <c r="F4851" s="29">
        <v>1227</v>
      </c>
      <c r="G4851" s="29">
        <v>750</v>
      </c>
      <c r="H4851" s="33">
        <v>477</v>
      </c>
    </row>
    <row r="4852" spans="1:8" x14ac:dyDescent="0.4">
      <c r="A4852">
        <v>2003</v>
      </c>
      <c r="B4852" s="2" t="s">
        <v>381</v>
      </c>
      <c r="C4852" s="2" t="s">
        <v>708</v>
      </c>
      <c r="D4852" s="2" t="s">
        <v>7</v>
      </c>
      <c r="E4852" s="70" t="s">
        <v>26</v>
      </c>
      <c r="F4852" s="29">
        <v>508</v>
      </c>
      <c r="G4852" s="29">
        <v>311</v>
      </c>
      <c r="H4852" s="33">
        <v>197</v>
      </c>
    </row>
    <row r="4853" spans="1:8" x14ac:dyDescent="0.4">
      <c r="A4853">
        <v>2003</v>
      </c>
      <c r="B4853" s="2" t="s">
        <v>382</v>
      </c>
      <c r="C4853" s="2" t="s">
        <v>708</v>
      </c>
      <c r="D4853" s="2" t="s">
        <v>7</v>
      </c>
      <c r="E4853" s="70" t="s">
        <v>27</v>
      </c>
      <c r="F4853" s="29">
        <v>36</v>
      </c>
      <c r="G4853" s="29">
        <v>25</v>
      </c>
      <c r="H4853" s="33">
        <v>11</v>
      </c>
    </row>
    <row r="4854" spans="1:8" x14ac:dyDescent="0.4">
      <c r="A4854">
        <v>2003</v>
      </c>
      <c r="B4854" s="2" t="s">
        <v>383</v>
      </c>
      <c r="C4854" s="2" t="s">
        <v>709</v>
      </c>
      <c r="D4854" s="2" t="s">
        <v>29</v>
      </c>
      <c r="E4854" s="70" t="s">
        <v>28</v>
      </c>
      <c r="F4854" s="29">
        <v>199</v>
      </c>
      <c r="G4854" s="29">
        <v>111</v>
      </c>
      <c r="H4854" s="33">
        <v>88</v>
      </c>
    </row>
    <row r="4855" spans="1:8" x14ac:dyDescent="0.4">
      <c r="A4855">
        <v>2003</v>
      </c>
      <c r="B4855" s="2" t="s">
        <v>384</v>
      </c>
      <c r="C4855" s="2" t="s">
        <v>709</v>
      </c>
      <c r="D4855" s="2" t="s">
        <v>29</v>
      </c>
      <c r="E4855" s="70" t="s">
        <v>30</v>
      </c>
      <c r="F4855" s="29">
        <v>99</v>
      </c>
      <c r="G4855" s="29">
        <v>53</v>
      </c>
      <c r="H4855" s="33">
        <v>46</v>
      </c>
    </row>
    <row r="4856" spans="1:8" x14ac:dyDescent="0.4">
      <c r="A4856">
        <v>2003</v>
      </c>
      <c r="B4856" s="2" t="s">
        <v>385</v>
      </c>
      <c r="C4856" s="2" t="s">
        <v>709</v>
      </c>
      <c r="D4856" s="2" t="s">
        <v>29</v>
      </c>
      <c r="E4856" s="70" t="s">
        <v>31</v>
      </c>
      <c r="F4856" s="29">
        <v>62</v>
      </c>
      <c r="G4856" s="29">
        <v>37</v>
      </c>
      <c r="H4856" s="33">
        <v>25</v>
      </c>
    </row>
    <row r="4857" spans="1:8" x14ac:dyDescent="0.4">
      <c r="A4857">
        <v>2003</v>
      </c>
      <c r="B4857" s="2" t="s">
        <v>386</v>
      </c>
      <c r="C4857" s="2" t="s">
        <v>709</v>
      </c>
      <c r="D4857" s="2" t="s">
        <v>29</v>
      </c>
      <c r="E4857" s="70" t="s">
        <v>32</v>
      </c>
      <c r="F4857" s="29">
        <v>278</v>
      </c>
      <c r="G4857" s="29">
        <v>193</v>
      </c>
      <c r="H4857" s="33">
        <v>85</v>
      </c>
    </row>
    <row r="4858" spans="1:8" x14ac:dyDescent="0.4">
      <c r="A4858">
        <v>2003</v>
      </c>
      <c r="B4858" s="2" t="s">
        <v>387</v>
      </c>
      <c r="C4858" s="2" t="s">
        <v>709</v>
      </c>
      <c r="D4858" s="2" t="s">
        <v>29</v>
      </c>
      <c r="E4858" s="70" t="s">
        <v>33</v>
      </c>
      <c r="F4858" s="29">
        <v>49</v>
      </c>
      <c r="G4858" s="29">
        <v>30</v>
      </c>
      <c r="H4858" s="33">
        <v>19</v>
      </c>
    </row>
    <row r="4859" spans="1:8" x14ac:dyDescent="0.4">
      <c r="A4859">
        <v>2003</v>
      </c>
      <c r="B4859" s="2" t="s">
        <v>388</v>
      </c>
      <c r="C4859" s="2" t="s">
        <v>709</v>
      </c>
      <c r="D4859" s="2" t="s">
        <v>29</v>
      </c>
      <c r="E4859" s="70" t="s">
        <v>34</v>
      </c>
      <c r="F4859" s="29">
        <v>46</v>
      </c>
      <c r="G4859" s="29">
        <v>23</v>
      </c>
      <c r="H4859" s="33">
        <v>23</v>
      </c>
    </row>
    <row r="4860" spans="1:8" x14ac:dyDescent="0.4">
      <c r="A4860">
        <v>2003</v>
      </c>
      <c r="B4860" s="2" t="s">
        <v>389</v>
      </c>
      <c r="C4860" s="2" t="s">
        <v>709</v>
      </c>
      <c r="D4860" s="2" t="s">
        <v>29</v>
      </c>
      <c r="E4860" s="70" t="s">
        <v>35</v>
      </c>
      <c r="F4860" s="29">
        <v>893</v>
      </c>
      <c r="G4860" s="29">
        <v>493</v>
      </c>
      <c r="H4860" s="33">
        <v>400</v>
      </c>
    </row>
    <row r="4861" spans="1:8" x14ac:dyDescent="0.4">
      <c r="A4861">
        <v>2003</v>
      </c>
      <c r="B4861" s="2" t="s">
        <v>390</v>
      </c>
      <c r="C4861" s="2" t="s">
        <v>710</v>
      </c>
      <c r="D4861" s="2" t="s">
        <v>37</v>
      </c>
      <c r="E4861" s="70" t="s">
        <v>36</v>
      </c>
      <c r="F4861" s="29">
        <v>129</v>
      </c>
      <c r="G4861" s="29">
        <v>79</v>
      </c>
      <c r="H4861" s="33">
        <v>50</v>
      </c>
    </row>
    <row r="4862" spans="1:8" x14ac:dyDescent="0.4">
      <c r="A4862">
        <v>2003</v>
      </c>
      <c r="B4862" s="2" t="s">
        <v>391</v>
      </c>
      <c r="C4862" s="2" t="s">
        <v>710</v>
      </c>
      <c r="D4862" s="2" t="s">
        <v>37</v>
      </c>
      <c r="E4862" s="70" t="s">
        <v>38</v>
      </c>
      <c r="F4862" s="29">
        <v>68</v>
      </c>
      <c r="G4862" s="29">
        <v>48</v>
      </c>
      <c r="H4862" s="33">
        <v>20</v>
      </c>
    </row>
    <row r="4863" spans="1:8" x14ac:dyDescent="0.4">
      <c r="A4863">
        <v>2003</v>
      </c>
      <c r="B4863" s="2" t="s">
        <v>392</v>
      </c>
      <c r="C4863" s="2" t="s">
        <v>710</v>
      </c>
      <c r="D4863" s="2" t="s">
        <v>37</v>
      </c>
      <c r="E4863" s="70" t="s">
        <v>39</v>
      </c>
      <c r="F4863" s="29">
        <v>238</v>
      </c>
      <c r="G4863" s="29">
        <v>163</v>
      </c>
      <c r="H4863" s="33">
        <v>75</v>
      </c>
    </row>
    <row r="4864" spans="1:8" x14ac:dyDescent="0.4">
      <c r="A4864">
        <v>2003</v>
      </c>
      <c r="B4864" s="2" t="s">
        <v>393</v>
      </c>
      <c r="C4864" s="2" t="s">
        <v>710</v>
      </c>
      <c r="D4864" s="2" t="s">
        <v>37</v>
      </c>
      <c r="E4864" s="70" t="s">
        <v>40</v>
      </c>
      <c r="F4864" s="29">
        <v>3325</v>
      </c>
      <c r="G4864" s="29">
        <v>1891</v>
      </c>
      <c r="H4864" s="33">
        <v>1434</v>
      </c>
    </row>
    <row r="4865" spans="1:8" x14ac:dyDescent="0.4">
      <c r="A4865">
        <v>2003</v>
      </c>
      <c r="B4865" s="2" t="s">
        <v>394</v>
      </c>
      <c r="C4865" s="2" t="s">
        <v>710</v>
      </c>
      <c r="D4865" s="2" t="s">
        <v>37</v>
      </c>
      <c r="E4865" s="70" t="s">
        <v>41</v>
      </c>
      <c r="F4865" s="29">
        <v>90</v>
      </c>
      <c r="G4865" s="29">
        <v>65</v>
      </c>
      <c r="H4865" s="33">
        <v>25</v>
      </c>
    </row>
    <row r="4866" spans="1:8" x14ac:dyDescent="0.4">
      <c r="A4866">
        <v>2003</v>
      </c>
      <c r="B4866" s="2" t="s">
        <v>395</v>
      </c>
      <c r="C4866" s="2" t="s">
        <v>710</v>
      </c>
      <c r="D4866" s="2" t="s">
        <v>37</v>
      </c>
      <c r="E4866" s="70" t="s">
        <v>42</v>
      </c>
      <c r="F4866" s="29">
        <v>921</v>
      </c>
      <c r="G4866" s="29">
        <v>557</v>
      </c>
      <c r="H4866" s="33">
        <v>364</v>
      </c>
    </row>
    <row r="4867" spans="1:8" x14ac:dyDescent="0.4">
      <c r="A4867">
        <v>2003</v>
      </c>
      <c r="B4867" s="2" t="s">
        <v>396</v>
      </c>
      <c r="C4867" s="2" t="s">
        <v>710</v>
      </c>
      <c r="D4867" s="2" t="s">
        <v>37</v>
      </c>
      <c r="E4867" s="70" t="s">
        <v>43</v>
      </c>
      <c r="F4867" s="29">
        <v>129</v>
      </c>
      <c r="G4867" s="29">
        <v>81</v>
      </c>
      <c r="H4867" s="33">
        <v>48</v>
      </c>
    </row>
    <row r="4868" spans="1:8" x14ac:dyDescent="0.4">
      <c r="A4868">
        <v>2003</v>
      </c>
      <c r="B4868" s="2" t="s">
        <v>397</v>
      </c>
      <c r="C4868" s="2" t="s">
        <v>710</v>
      </c>
      <c r="D4868" s="2" t="s">
        <v>37</v>
      </c>
      <c r="E4868" s="70" t="s">
        <v>44</v>
      </c>
      <c r="F4868" s="29">
        <v>491</v>
      </c>
      <c r="G4868" s="29">
        <v>273</v>
      </c>
      <c r="H4868" s="33">
        <v>218</v>
      </c>
    </row>
    <row r="4869" spans="1:8" x14ac:dyDescent="0.4">
      <c r="A4869">
        <v>2003</v>
      </c>
      <c r="B4869" s="2" t="s">
        <v>398</v>
      </c>
      <c r="C4869" s="2" t="s">
        <v>710</v>
      </c>
      <c r="D4869" s="2" t="s">
        <v>37</v>
      </c>
      <c r="E4869" s="70" t="s">
        <v>45</v>
      </c>
      <c r="F4869" s="29">
        <v>286</v>
      </c>
      <c r="G4869" s="29">
        <v>151</v>
      </c>
      <c r="H4869" s="33">
        <v>135</v>
      </c>
    </row>
    <row r="4870" spans="1:8" x14ac:dyDescent="0.4">
      <c r="A4870">
        <v>2003</v>
      </c>
      <c r="B4870" s="2" t="s">
        <v>399</v>
      </c>
      <c r="C4870" s="2" t="s">
        <v>710</v>
      </c>
      <c r="D4870" s="2" t="s">
        <v>37</v>
      </c>
      <c r="E4870" s="70" t="s">
        <v>46</v>
      </c>
      <c r="F4870" s="29">
        <v>0</v>
      </c>
      <c r="G4870" s="29">
        <v>0</v>
      </c>
      <c r="H4870" s="33">
        <v>0</v>
      </c>
    </row>
    <row r="4871" spans="1:8" x14ac:dyDescent="0.4">
      <c r="A4871">
        <v>2003</v>
      </c>
      <c r="B4871" s="2" t="s">
        <v>400</v>
      </c>
      <c r="C4871" s="2" t="s">
        <v>710</v>
      </c>
      <c r="D4871" s="2" t="s">
        <v>37</v>
      </c>
      <c r="E4871" s="70" t="s">
        <v>47</v>
      </c>
      <c r="F4871" s="29">
        <v>77</v>
      </c>
      <c r="G4871" s="29">
        <v>45</v>
      </c>
      <c r="H4871" s="33">
        <v>32</v>
      </c>
    </row>
    <row r="4872" spans="1:8" x14ac:dyDescent="0.4">
      <c r="A4872">
        <v>2003</v>
      </c>
      <c r="B4872" s="2" t="s">
        <v>401</v>
      </c>
      <c r="C4872" s="2" t="s">
        <v>710</v>
      </c>
      <c r="D4872" s="2" t="s">
        <v>37</v>
      </c>
      <c r="E4872" s="70" t="s">
        <v>48</v>
      </c>
      <c r="F4872" s="29">
        <v>68</v>
      </c>
      <c r="G4872" s="29">
        <v>47</v>
      </c>
      <c r="H4872" s="33">
        <v>21</v>
      </c>
    </row>
    <row r="4873" spans="1:8" x14ac:dyDescent="0.4">
      <c r="A4873">
        <v>2003</v>
      </c>
      <c r="B4873" s="2" t="s">
        <v>402</v>
      </c>
      <c r="C4873" s="2" t="s">
        <v>710</v>
      </c>
      <c r="D4873" s="2" t="s">
        <v>37</v>
      </c>
      <c r="E4873" s="70" t="s">
        <v>49</v>
      </c>
      <c r="F4873" s="29">
        <v>356</v>
      </c>
      <c r="G4873" s="29">
        <v>233</v>
      </c>
      <c r="H4873" s="33">
        <v>123</v>
      </c>
    </row>
    <row r="4874" spans="1:8" x14ac:dyDescent="0.4">
      <c r="A4874">
        <v>2003</v>
      </c>
      <c r="B4874" s="2" t="s">
        <v>403</v>
      </c>
      <c r="C4874" s="2" t="s">
        <v>710</v>
      </c>
      <c r="D4874" s="2" t="s">
        <v>37</v>
      </c>
      <c r="E4874" s="70" t="s">
        <v>50</v>
      </c>
      <c r="F4874" s="29">
        <v>150</v>
      </c>
      <c r="G4874" s="29">
        <v>109</v>
      </c>
      <c r="H4874" s="33">
        <v>41</v>
      </c>
    </row>
    <row r="4875" spans="1:8" x14ac:dyDescent="0.4">
      <c r="A4875">
        <v>2003</v>
      </c>
      <c r="B4875" s="2" t="s">
        <v>404</v>
      </c>
      <c r="C4875" s="2" t="s">
        <v>710</v>
      </c>
      <c r="D4875" s="2" t="s">
        <v>37</v>
      </c>
      <c r="E4875" s="70" t="s">
        <v>51</v>
      </c>
      <c r="F4875" s="29">
        <v>365</v>
      </c>
      <c r="G4875" s="29">
        <v>227</v>
      </c>
      <c r="H4875" s="33">
        <v>138</v>
      </c>
    </row>
    <row r="4876" spans="1:8" x14ac:dyDescent="0.4">
      <c r="A4876">
        <v>2003</v>
      </c>
      <c r="B4876" s="2" t="s">
        <v>405</v>
      </c>
      <c r="C4876" s="2" t="s">
        <v>710</v>
      </c>
      <c r="D4876" s="2" t="s">
        <v>37</v>
      </c>
      <c r="E4876" s="70" t="s">
        <v>52</v>
      </c>
      <c r="F4876" s="29">
        <v>44</v>
      </c>
      <c r="G4876" s="29">
        <v>27</v>
      </c>
      <c r="H4876" s="33">
        <v>17</v>
      </c>
    </row>
    <row r="4877" spans="1:8" x14ac:dyDescent="0.4">
      <c r="A4877">
        <v>2003</v>
      </c>
      <c r="B4877" s="2" t="s">
        <v>406</v>
      </c>
      <c r="C4877" s="2" t="s">
        <v>710</v>
      </c>
      <c r="D4877" s="2" t="s">
        <v>37</v>
      </c>
      <c r="E4877" s="70" t="s">
        <v>53</v>
      </c>
      <c r="F4877" s="29">
        <v>68</v>
      </c>
      <c r="G4877" s="29">
        <v>48</v>
      </c>
      <c r="H4877" s="33">
        <v>20</v>
      </c>
    </row>
    <row r="4878" spans="1:8" x14ac:dyDescent="0.4">
      <c r="A4878">
        <v>2003</v>
      </c>
      <c r="B4878" s="2" t="s">
        <v>407</v>
      </c>
      <c r="C4878" s="2" t="s">
        <v>710</v>
      </c>
      <c r="D4878" s="2" t="s">
        <v>37</v>
      </c>
      <c r="E4878" s="70" t="s">
        <v>54</v>
      </c>
      <c r="F4878" s="29">
        <v>509</v>
      </c>
      <c r="G4878" s="29">
        <v>301</v>
      </c>
      <c r="H4878" s="33">
        <v>208</v>
      </c>
    </row>
    <row r="4879" spans="1:8" x14ac:dyDescent="0.4">
      <c r="A4879">
        <v>2003</v>
      </c>
      <c r="B4879" s="2" t="s">
        <v>408</v>
      </c>
      <c r="C4879" s="2" t="s">
        <v>711</v>
      </c>
      <c r="D4879" s="2" t="s">
        <v>56</v>
      </c>
      <c r="E4879" s="70" t="s">
        <v>55</v>
      </c>
      <c r="F4879" s="29">
        <v>162</v>
      </c>
      <c r="G4879" s="29">
        <v>109</v>
      </c>
      <c r="H4879" s="33">
        <v>53</v>
      </c>
    </row>
    <row r="4880" spans="1:8" x14ac:dyDescent="0.4">
      <c r="A4880">
        <v>2003</v>
      </c>
      <c r="B4880" s="2" t="s">
        <v>409</v>
      </c>
      <c r="C4880" s="2" t="s">
        <v>711</v>
      </c>
      <c r="D4880" s="2" t="s">
        <v>56</v>
      </c>
      <c r="E4880" s="70" t="s">
        <v>57</v>
      </c>
      <c r="F4880" s="29">
        <v>0</v>
      </c>
      <c r="G4880" s="29">
        <v>0</v>
      </c>
      <c r="H4880" s="33">
        <v>0</v>
      </c>
    </row>
    <row r="4881" spans="1:8" x14ac:dyDescent="0.4">
      <c r="A4881">
        <v>2003</v>
      </c>
      <c r="B4881" s="2" t="s">
        <v>410</v>
      </c>
      <c r="C4881" s="2" t="s">
        <v>711</v>
      </c>
      <c r="D4881" s="2" t="s">
        <v>56</v>
      </c>
      <c r="E4881" s="70" t="s">
        <v>58</v>
      </c>
      <c r="F4881" s="29">
        <v>227</v>
      </c>
      <c r="G4881" s="29">
        <v>163</v>
      </c>
      <c r="H4881" s="33">
        <v>64</v>
      </c>
    </row>
    <row r="4882" spans="1:8" x14ac:dyDescent="0.4">
      <c r="A4882">
        <v>2003</v>
      </c>
      <c r="B4882" s="2" t="s">
        <v>411</v>
      </c>
      <c r="C4882" s="2" t="s">
        <v>711</v>
      </c>
      <c r="D4882" s="2" t="s">
        <v>56</v>
      </c>
      <c r="E4882" s="70" t="s">
        <v>59</v>
      </c>
      <c r="F4882" s="29">
        <v>43</v>
      </c>
      <c r="G4882" s="29">
        <v>24</v>
      </c>
      <c r="H4882" s="33">
        <v>19</v>
      </c>
    </row>
    <row r="4883" spans="1:8" x14ac:dyDescent="0.4">
      <c r="A4883">
        <v>2003</v>
      </c>
      <c r="B4883" s="2" t="s">
        <v>412</v>
      </c>
      <c r="C4883" s="2" t="s">
        <v>711</v>
      </c>
      <c r="D4883" s="2" t="s">
        <v>56</v>
      </c>
      <c r="E4883" s="70" t="s">
        <v>60</v>
      </c>
      <c r="F4883" s="29">
        <v>1693</v>
      </c>
      <c r="G4883" s="29">
        <v>1011</v>
      </c>
      <c r="H4883" s="33">
        <v>682</v>
      </c>
    </row>
    <row r="4884" spans="1:8" x14ac:dyDescent="0.4">
      <c r="A4884">
        <v>2003</v>
      </c>
      <c r="B4884" s="2" t="s">
        <v>413</v>
      </c>
      <c r="C4884" s="2" t="s">
        <v>711</v>
      </c>
      <c r="D4884" s="2" t="s">
        <v>56</v>
      </c>
      <c r="E4884" s="70" t="s">
        <v>36</v>
      </c>
      <c r="F4884" s="29">
        <v>138</v>
      </c>
      <c r="G4884" s="29">
        <v>85</v>
      </c>
      <c r="H4884" s="33">
        <v>53</v>
      </c>
    </row>
    <row r="4885" spans="1:8" x14ac:dyDescent="0.4">
      <c r="A4885">
        <v>2003</v>
      </c>
      <c r="B4885" s="2" t="s">
        <v>414</v>
      </c>
      <c r="C4885" s="2" t="s">
        <v>711</v>
      </c>
      <c r="D4885" s="2" t="s">
        <v>56</v>
      </c>
      <c r="E4885" s="70" t="s">
        <v>61</v>
      </c>
      <c r="F4885" s="29">
        <v>82</v>
      </c>
      <c r="G4885" s="29">
        <v>49</v>
      </c>
      <c r="H4885" s="33">
        <v>33</v>
      </c>
    </row>
    <row r="4886" spans="1:8" x14ac:dyDescent="0.4">
      <c r="A4886">
        <v>2003</v>
      </c>
      <c r="B4886" s="2" t="s">
        <v>415</v>
      </c>
      <c r="C4886" s="2" t="s">
        <v>711</v>
      </c>
      <c r="D4886" s="2" t="s">
        <v>56</v>
      </c>
      <c r="E4886" s="70" t="s">
        <v>62</v>
      </c>
      <c r="F4886" s="29">
        <v>229</v>
      </c>
      <c r="G4886" s="29">
        <v>135</v>
      </c>
      <c r="H4886" s="33">
        <v>94</v>
      </c>
    </row>
    <row r="4887" spans="1:8" x14ac:dyDescent="0.4">
      <c r="A4887">
        <v>2003</v>
      </c>
      <c r="B4887" s="2" t="s">
        <v>416</v>
      </c>
      <c r="C4887" s="2" t="s">
        <v>711</v>
      </c>
      <c r="D4887" s="2" t="s">
        <v>56</v>
      </c>
      <c r="E4887" s="70" t="s">
        <v>63</v>
      </c>
      <c r="F4887" s="29">
        <v>68</v>
      </c>
      <c r="G4887" s="29">
        <v>52</v>
      </c>
      <c r="H4887" s="33">
        <v>16</v>
      </c>
    </row>
    <row r="4888" spans="1:8" x14ac:dyDescent="0.4">
      <c r="A4888">
        <v>2003</v>
      </c>
      <c r="B4888" s="2" t="s">
        <v>417</v>
      </c>
      <c r="C4888" s="2" t="s">
        <v>711</v>
      </c>
      <c r="D4888" s="2" t="s">
        <v>56</v>
      </c>
      <c r="E4888" s="70" t="s">
        <v>64</v>
      </c>
      <c r="F4888" s="29">
        <v>163</v>
      </c>
      <c r="G4888" s="29">
        <v>111</v>
      </c>
      <c r="H4888" s="33">
        <v>52</v>
      </c>
    </row>
    <row r="4889" spans="1:8" x14ac:dyDescent="0.4">
      <c r="A4889">
        <v>2003</v>
      </c>
      <c r="B4889" s="2" t="s">
        <v>418</v>
      </c>
      <c r="C4889" s="2" t="s">
        <v>711</v>
      </c>
      <c r="D4889" s="2" t="s">
        <v>56</v>
      </c>
      <c r="E4889" s="70" t="s">
        <v>65</v>
      </c>
      <c r="F4889" s="29">
        <v>86</v>
      </c>
      <c r="G4889" s="29">
        <v>50</v>
      </c>
      <c r="H4889" s="33">
        <v>36</v>
      </c>
    </row>
    <row r="4890" spans="1:8" x14ac:dyDescent="0.4">
      <c r="A4890">
        <v>2003</v>
      </c>
      <c r="B4890" s="2" t="s">
        <v>419</v>
      </c>
      <c r="C4890" s="2" t="s">
        <v>711</v>
      </c>
      <c r="D4890" s="2" t="s">
        <v>56</v>
      </c>
      <c r="E4890" s="70" t="s">
        <v>66</v>
      </c>
      <c r="F4890" s="29">
        <v>32</v>
      </c>
      <c r="G4890" s="29">
        <v>20</v>
      </c>
      <c r="H4890" s="33">
        <v>12</v>
      </c>
    </row>
    <row r="4891" spans="1:8" x14ac:dyDescent="0.4">
      <c r="A4891">
        <v>2003</v>
      </c>
      <c r="B4891" s="2" t="s">
        <v>420</v>
      </c>
      <c r="C4891" s="2" t="s">
        <v>712</v>
      </c>
      <c r="D4891" s="2" t="s">
        <v>68</v>
      </c>
      <c r="E4891" s="70" t="s">
        <v>67</v>
      </c>
      <c r="F4891" s="29">
        <v>3616</v>
      </c>
      <c r="G4891" s="29">
        <v>2359</v>
      </c>
      <c r="H4891" s="33">
        <v>1257</v>
      </c>
    </row>
    <row r="4892" spans="1:8" x14ac:dyDescent="0.4">
      <c r="A4892">
        <v>2003</v>
      </c>
      <c r="B4892" s="2" t="s">
        <v>421</v>
      </c>
      <c r="C4892" s="2" t="s">
        <v>712</v>
      </c>
      <c r="D4892" s="2" t="s">
        <v>68</v>
      </c>
      <c r="E4892" s="70" t="s">
        <v>69</v>
      </c>
      <c r="F4892" s="29">
        <v>191</v>
      </c>
      <c r="G4892" s="29">
        <v>123</v>
      </c>
      <c r="H4892" s="33">
        <v>68</v>
      </c>
    </row>
    <row r="4893" spans="1:8" x14ac:dyDescent="0.4">
      <c r="A4893">
        <v>2003</v>
      </c>
      <c r="B4893" s="2" t="s">
        <v>422</v>
      </c>
      <c r="C4893" s="2" t="s">
        <v>712</v>
      </c>
      <c r="D4893" s="2" t="s">
        <v>68</v>
      </c>
      <c r="E4893" s="70" t="s">
        <v>70</v>
      </c>
      <c r="F4893" s="29">
        <v>53</v>
      </c>
      <c r="G4893" s="29">
        <v>36</v>
      </c>
      <c r="H4893" s="33">
        <v>17</v>
      </c>
    </row>
    <row r="4894" spans="1:8" x14ac:dyDescent="0.4">
      <c r="A4894">
        <v>2003</v>
      </c>
      <c r="B4894" s="2" t="s">
        <v>423</v>
      </c>
      <c r="C4894" s="2" t="s">
        <v>712</v>
      </c>
      <c r="D4894" s="2" t="s">
        <v>68</v>
      </c>
      <c r="E4894" s="70" t="s">
        <v>71</v>
      </c>
      <c r="F4894" s="29">
        <v>86</v>
      </c>
      <c r="G4894" s="29">
        <v>45</v>
      </c>
      <c r="H4894" s="33">
        <v>41</v>
      </c>
    </row>
    <row r="4895" spans="1:8" x14ac:dyDescent="0.4">
      <c r="A4895">
        <v>2003</v>
      </c>
      <c r="B4895" s="2" t="s">
        <v>424</v>
      </c>
      <c r="C4895" s="2" t="s">
        <v>712</v>
      </c>
      <c r="D4895" s="2" t="s">
        <v>68</v>
      </c>
      <c r="E4895" s="70" t="s">
        <v>72</v>
      </c>
      <c r="F4895" s="29">
        <v>2021</v>
      </c>
      <c r="G4895" s="29">
        <v>1224</v>
      </c>
      <c r="H4895" s="33">
        <v>797</v>
      </c>
    </row>
    <row r="4896" spans="1:8" x14ac:dyDescent="0.4">
      <c r="A4896">
        <v>2003</v>
      </c>
      <c r="B4896" s="2" t="s">
        <v>425</v>
      </c>
      <c r="C4896" s="2" t="s">
        <v>712</v>
      </c>
      <c r="D4896" s="2" t="s">
        <v>68</v>
      </c>
      <c r="E4896" s="70" t="s">
        <v>73</v>
      </c>
      <c r="F4896" s="29">
        <v>25</v>
      </c>
      <c r="G4896" s="29">
        <v>13</v>
      </c>
      <c r="H4896" s="33">
        <v>12</v>
      </c>
    </row>
    <row r="4897" spans="1:8" x14ac:dyDescent="0.4">
      <c r="A4897">
        <v>2003</v>
      </c>
      <c r="B4897" s="2" t="s">
        <v>426</v>
      </c>
      <c r="C4897" s="2" t="s">
        <v>712</v>
      </c>
      <c r="D4897" s="2" t="s">
        <v>68</v>
      </c>
      <c r="E4897" s="70" t="s">
        <v>74</v>
      </c>
      <c r="F4897" s="29">
        <v>353</v>
      </c>
      <c r="G4897" s="29">
        <v>218</v>
      </c>
      <c r="H4897" s="33">
        <v>135</v>
      </c>
    </row>
    <row r="4898" spans="1:8" x14ac:dyDescent="0.4">
      <c r="A4898">
        <v>2003</v>
      </c>
      <c r="B4898" s="2" t="s">
        <v>427</v>
      </c>
      <c r="C4898" s="2" t="s">
        <v>712</v>
      </c>
      <c r="D4898" s="2" t="s">
        <v>68</v>
      </c>
      <c r="E4898" s="70" t="s">
        <v>75</v>
      </c>
      <c r="F4898" s="29">
        <v>50</v>
      </c>
      <c r="G4898" s="29">
        <v>36</v>
      </c>
      <c r="H4898" s="33">
        <v>14</v>
      </c>
    </row>
    <row r="4899" spans="1:8" x14ac:dyDescent="0.4">
      <c r="A4899">
        <v>2003</v>
      </c>
      <c r="B4899" s="2" t="s">
        <v>428</v>
      </c>
      <c r="C4899" s="2" t="s">
        <v>712</v>
      </c>
      <c r="D4899" s="2" t="s">
        <v>68</v>
      </c>
      <c r="E4899" s="70" t="s">
        <v>76</v>
      </c>
      <c r="F4899" s="29">
        <v>57</v>
      </c>
      <c r="G4899" s="29">
        <v>37</v>
      </c>
      <c r="H4899" s="33">
        <v>20</v>
      </c>
    </row>
    <row r="4900" spans="1:8" x14ac:dyDescent="0.4">
      <c r="A4900">
        <v>2003</v>
      </c>
      <c r="B4900" s="2" t="s">
        <v>429</v>
      </c>
      <c r="C4900" s="2" t="s">
        <v>712</v>
      </c>
      <c r="D4900" s="2" t="s">
        <v>68</v>
      </c>
      <c r="E4900" s="70" t="s">
        <v>77</v>
      </c>
      <c r="F4900" s="29">
        <v>0</v>
      </c>
      <c r="G4900" s="29">
        <v>0</v>
      </c>
      <c r="H4900" s="33">
        <v>0</v>
      </c>
    </row>
    <row r="4901" spans="1:8" x14ac:dyDescent="0.4">
      <c r="A4901">
        <v>2003</v>
      </c>
      <c r="B4901" s="2" t="s">
        <v>430</v>
      </c>
      <c r="C4901" s="2" t="s">
        <v>712</v>
      </c>
      <c r="D4901" s="2" t="s">
        <v>68</v>
      </c>
      <c r="E4901" s="70" t="s">
        <v>51</v>
      </c>
      <c r="F4901" s="29">
        <v>26</v>
      </c>
      <c r="G4901" s="29">
        <v>17</v>
      </c>
      <c r="H4901" s="33">
        <v>9</v>
      </c>
    </row>
    <row r="4902" spans="1:8" x14ac:dyDescent="0.4">
      <c r="A4902">
        <v>2003</v>
      </c>
      <c r="B4902" s="2" t="s">
        <v>431</v>
      </c>
      <c r="C4902" s="2" t="s">
        <v>713</v>
      </c>
      <c r="D4902" s="2" t="s">
        <v>79</v>
      </c>
      <c r="E4902" s="70" t="s">
        <v>78</v>
      </c>
      <c r="F4902" s="29">
        <v>274</v>
      </c>
      <c r="G4902" s="29">
        <v>172</v>
      </c>
      <c r="H4902" s="33">
        <v>102</v>
      </c>
    </row>
    <row r="4903" spans="1:8" x14ac:dyDescent="0.4">
      <c r="A4903">
        <v>2003</v>
      </c>
      <c r="B4903" s="2" t="s">
        <v>432</v>
      </c>
      <c r="C4903" s="2" t="s">
        <v>713</v>
      </c>
      <c r="D4903" s="2" t="s">
        <v>79</v>
      </c>
      <c r="E4903" s="70" t="s">
        <v>80</v>
      </c>
      <c r="F4903" s="29">
        <v>486</v>
      </c>
      <c r="G4903" s="29">
        <v>319</v>
      </c>
      <c r="H4903" s="33">
        <v>167</v>
      </c>
    </row>
    <row r="4904" spans="1:8" x14ac:dyDescent="0.4">
      <c r="A4904">
        <v>2003</v>
      </c>
      <c r="B4904" s="2" t="s">
        <v>433</v>
      </c>
      <c r="C4904" s="2" t="s">
        <v>713</v>
      </c>
      <c r="D4904" s="2" t="s">
        <v>79</v>
      </c>
      <c r="E4904" s="70" t="s">
        <v>81</v>
      </c>
      <c r="F4904" s="29">
        <v>312</v>
      </c>
      <c r="G4904" s="29">
        <v>206</v>
      </c>
      <c r="H4904" s="33">
        <v>106</v>
      </c>
    </row>
    <row r="4905" spans="1:8" x14ac:dyDescent="0.4">
      <c r="A4905">
        <v>2003</v>
      </c>
      <c r="B4905" s="2" t="s">
        <v>434</v>
      </c>
      <c r="C4905" s="2" t="s">
        <v>713</v>
      </c>
      <c r="D4905" s="2" t="s">
        <v>79</v>
      </c>
      <c r="E4905" s="70" t="s">
        <v>82</v>
      </c>
      <c r="F4905" s="29">
        <v>515</v>
      </c>
      <c r="G4905" s="29">
        <v>337</v>
      </c>
      <c r="H4905" s="33">
        <v>178</v>
      </c>
    </row>
    <row r="4906" spans="1:8" x14ac:dyDescent="0.4">
      <c r="A4906">
        <v>2003</v>
      </c>
      <c r="B4906" s="2" t="s">
        <v>435</v>
      </c>
      <c r="C4906" s="2" t="s">
        <v>713</v>
      </c>
      <c r="D4906" s="2" t="s">
        <v>79</v>
      </c>
      <c r="E4906" s="70" t="s">
        <v>83</v>
      </c>
      <c r="F4906" s="29">
        <v>223</v>
      </c>
      <c r="G4906" s="29">
        <v>157</v>
      </c>
      <c r="H4906" s="33">
        <v>66</v>
      </c>
    </row>
    <row r="4907" spans="1:8" x14ac:dyDescent="0.4">
      <c r="A4907">
        <v>2003</v>
      </c>
      <c r="B4907" s="2" t="s">
        <v>436</v>
      </c>
      <c r="C4907" s="2" t="s">
        <v>713</v>
      </c>
      <c r="D4907" s="2" t="s">
        <v>79</v>
      </c>
      <c r="E4907" s="70" t="s">
        <v>44</v>
      </c>
      <c r="F4907" s="29">
        <v>487</v>
      </c>
      <c r="G4907" s="29">
        <v>350</v>
      </c>
      <c r="H4907" s="33">
        <v>137</v>
      </c>
    </row>
    <row r="4908" spans="1:8" x14ac:dyDescent="0.4">
      <c r="A4908">
        <v>2003</v>
      </c>
      <c r="B4908" s="2" t="s">
        <v>437</v>
      </c>
      <c r="C4908" s="2" t="s">
        <v>713</v>
      </c>
      <c r="D4908" s="2" t="s">
        <v>79</v>
      </c>
      <c r="E4908" s="70" t="s">
        <v>84</v>
      </c>
      <c r="F4908" s="29">
        <v>246</v>
      </c>
      <c r="G4908" s="29">
        <v>157</v>
      </c>
      <c r="H4908" s="33">
        <v>89</v>
      </c>
    </row>
    <row r="4909" spans="1:8" x14ac:dyDescent="0.4">
      <c r="A4909">
        <v>2003</v>
      </c>
      <c r="B4909" s="2" t="s">
        <v>438</v>
      </c>
      <c r="C4909" s="2" t="s">
        <v>713</v>
      </c>
      <c r="D4909" s="2" t="s">
        <v>79</v>
      </c>
      <c r="E4909" s="70" t="s">
        <v>85</v>
      </c>
      <c r="F4909" s="29">
        <v>111</v>
      </c>
      <c r="G4909" s="29">
        <v>66</v>
      </c>
      <c r="H4909" s="33">
        <v>45</v>
      </c>
    </row>
    <row r="4910" spans="1:8" x14ac:dyDescent="0.4">
      <c r="A4910">
        <v>2003</v>
      </c>
      <c r="B4910" s="2" t="s">
        <v>439</v>
      </c>
      <c r="C4910" s="2" t="s">
        <v>713</v>
      </c>
      <c r="D4910" s="2" t="s">
        <v>79</v>
      </c>
      <c r="E4910" s="70" t="s">
        <v>86</v>
      </c>
      <c r="F4910" s="29">
        <v>45</v>
      </c>
      <c r="G4910" s="29">
        <v>22</v>
      </c>
      <c r="H4910" s="33">
        <v>23</v>
      </c>
    </row>
    <row r="4911" spans="1:8" x14ac:dyDescent="0.4">
      <c r="A4911">
        <v>2003</v>
      </c>
      <c r="B4911" s="2" t="s">
        <v>440</v>
      </c>
      <c r="C4911" s="2" t="s">
        <v>713</v>
      </c>
      <c r="D4911" s="2" t="s">
        <v>79</v>
      </c>
      <c r="E4911" s="70" t="s">
        <v>87</v>
      </c>
      <c r="F4911" s="29">
        <v>1335</v>
      </c>
      <c r="G4911" s="29">
        <v>752</v>
      </c>
      <c r="H4911" s="33">
        <v>583</v>
      </c>
    </row>
    <row r="4912" spans="1:8" x14ac:dyDescent="0.4">
      <c r="A4912">
        <v>2003</v>
      </c>
      <c r="B4912" s="2" t="s">
        <v>441</v>
      </c>
      <c r="C4912" s="2" t="s">
        <v>713</v>
      </c>
      <c r="D4912" s="2" t="s">
        <v>79</v>
      </c>
      <c r="E4912" s="70" t="s">
        <v>88</v>
      </c>
      <c r="F4912" s="29">
        <v>1196</v>
      </c>
      <c r="G4912" s="29">
        <v>699</v>
      </c>
      <c r="H4912" s="33">
        <v>497</v>
      </c>
    </row>
    <row r="4913" spans="1:8" x14ac:dyDescent="0.4">
      <c r="A4913">
        <v>2003</v>
      </c>
      <c r="B4913" s="2" t="s">
        <v>442</v>
      </c>
      <c r="C4913" s="2" t="s">
        <v>713</v>
      </c>
      <c r="D4913" s="2" t="s">
        <v>79</v>
      </c>
      <c r="E4913" s="70" t="s">
        <v>89</v>
      </c>
      <c r="F4913" s="29">
        <v>111</v>
      </c>
      <c r="G4913" s="29">
        <v>66</v>
      </c>
      <c r="H4913" s="33">
        <v>45</v>
      </c>
    </row>
    <row r="4914" spans="1:8" x14ac:dyDescent="0.4">
      <c r="A4914">
        <v>2003</v>
      </c>
      <c r="B4914" s="2" t="s">
        <v>443</v>
      </c>
      <c r="C4914" s="2" t="s">
        <v>713</v>
      </c>
      <c r="D4914" s="2" t="s">
        <v>79</v>
      </c>
      <c r="E4914" s="70" t="s">
        <v>90</v>
      </c>
      <c r="F4914" s="29">
        <v>139</v>
      </c>
      <c r="G4914" s="29">
        <v>89</v>
      </c>
      <c r="H4914" s="33">
        <v>50</v>
      </c>
    </row>
    <row r="4915" spans="1:8" x14ac:dyDescent="0.4">
      <c r="A4915">
        <v>2003</v>
      </c>
      <c r="B4915" s="2" t="s">
        <v>444</v>
      </c>
      <c r="C4915" s="2" t="s">
        <v>713</v>
      </c>
      <c r="D4915" s="2" t="s">
        <v>79</v>
      </c>
      <c r="E4915" s="70" t="s">
        <v>91</v>
      </c>
      <c r="F4915" s="29">
        <v>4712</v>
      </c>
      <c r="G4915" s="29">
        <v>2900</v>
      </c>
      <c r="H4915" s="33">
        <v>1812</v>
      </c>
    </row>
    <row r="4916" spans="1:8" x14ac:dyDescent="0.4">
      <c r="A4916">
        <v>2003</v>
      </c>
      <c r="B4916" s="2" t="s">
        <v>445</v>
      </c>
      <c r="C4916" s="2" t="s">
        <v>714</v>
      </c>
      <c r="D4916" s="2" t="s">
        <v>93</v>
      </c>
      <c r="E4916" s="70" t="s">
        <v>92</v>
      </c>
      <c r="F4916" s="29">
        <v>45</v>
      </c>
      <c r="G4916" s="29">
        <v>31</v>
      </c>
      <c r="H4916" s="33">
        <v>14</v>
      </c>
    </row>
    <row r="4917" spans="1:8" x14ac:dyDescent="0.4">
      <c r="A4917">
        <v>2003</v>
      </c>
      <c r="B4917" s="2" t="s">
        <v>446</v>
      </c>
      <c r="C4917" s="2" t="s">
        <v>714</v>
      </c>
      <c r="D4917" s="2" t="s">
        <v>93</v>
      </c>
      <c r="E4917" s="70" t="s">
        <v>94</v>
      </c>
      <c r="F4917" s="29">
        <v>351</v>
      </c>
      <c r="G4917" s="29">
        <v>231</v>
      </c>
      <c r="H4917" s="33">
        <v>120</v>
      </c>
    </row>
    <row r="4918" spans="1:8" x14ac:dyDescent="0.4">
      <c r="A4918">
        <v>2003</v>
      </c>
      <c r="B4918" s="2" t="s">
        <v>447</v>
      </c>
      <c r="C4918" s="2" t="s">
        <v>714</v>
      </c>
      <c r="D4918" s="2" t="s">
        <v>93</v>
      </c>
      <c r="E4918" s="70" t="s">
        <v>40</v>
      </c>
      <c r="F4918" s="29">
        <v>33</v>
      </c>
      <c r="G4918" s="29">
        <v>22</v>
      </c>
      <c r="H4918" s="33">
        <v>11</v>
      </c>
    </row>
    <row r="4919" spans="1:8" x14ac:dyDescent="0.4">
      <c r="A4919">
        <v>2003</v>
      </c>
      <c r="B4919" s="2" t="s">
        <v>448</v>
      </c>
      <c r="C4919" s="2" t="s">
        <v>714</v>
      </c>
      <c r="D4919" s="2" t="s">
        <v>93</v>
      </c>
      <c r="E4919" s="70" t="s">
        <v>95</v>
      </c>
      <c r="F4919" s="29">
        <v>15</v>
      </c>
      <c r="G4919" s="29">
        <v>10</v>
      </c>
      <c r="H4919" s="33">
        <v>5</v>
      </c>
    </row>
    <row r="4920" spans="1:8" x14ac:dyDescent="0.4">
      <c r="A4920">
        <v>2003</v>
      </c>
      <c r="B4920" s="2" t="s">
        <v>449</v>
      </c>
      <c r="C4920" s="2" t="s">
        <v>714</v>
      </c>
      <c r="D4920" s="2" t="s">
        <v>93</v>
      </c>
      <c r="E4920" s="70" t="s">
        <v>96</v>
      </c>
      <c r="F4920" s="29">
        <v>58</v>
      </c>
      <c r="G4920" s="29">
        <v>39</v>
      </c>
      <c r="H4920" s="33">
        <v>19</v>
      </c>
    </row>
    <row r="4921" spans="1:8" x14ac:dyDescent="0.4">
      <c r="A4921">
        <v>2003</v>
      </c>
      <c r="B4921" s="2" t="s">
        <v>450</v>
      </c>
      <c r="C4921" s="2" t="s">
        <v>714</v>
      </c>
      <c r="D4921" s="2" t="s">
        <v>93</v>
      </c>
      <c r="E4921" s="70" t="s">
        <v>97</v>
      </c>
      <c r="F4921" s="29">
        <v>38</v>
      </c>
      <c r="G4921" s="29">
        <v>27</v>
      </c>
      <c r="H4921" s="33">
        <v>11</v>
      </c>
    </row>
    <row r="4922" spans="1:8" x14ac:dyDescent="0.4">
      <c r="A4922">
        <v>2003</v>
      </c>
      <c r="B4922" s="2" t="s">
        <v>451</v>
      </c>
      <c r="C4922" s="2" t="s">
        <v>714</v>
      </c>
      <c r="D4922" s="2" t="s">
        <v>93</v>
      </c>
      <c r="E4922" s="70" t="s">
        <v>34</v>
      </c>
      <c r="F4922" s="29">
        <v>51</v>
      </c>
      <c r="G4922" s="29">
        <v>26</v>
      </c>
      <c r="H4922" s="33">
        <v>25</v>
      </c>
    </row>
    <row r="4923" spans="1:8" x14ac:dyDescent="0.4">
      <c r="A4923">
        <v>2003</v>
      </c>
      <c r="B4923" s="2" t="s">
        <v>452</v>
      </c>
      <c r="C4923" s="2" t="s">
        <v>714</v>
      </c>
      <c r="D4923" s="2" t="s">
        <v>93</v>
      </c>
      <c r="E4923" s="70" t="s">
        <v>98</v>
      </c>
      <c r="F4923" s="29">
        <v>638</v>
      </c>
      <c r="G4923" s="29">
        <v>372</v>
      </c>
      <c r="H4923" s="33">
        <v>266</v>
      </c>
    </row>
    <row r="4924" spans="1:8" x14ac:dyDescent="0.4">
      <c r="A4924">
        <v>2003</v>
      </c>
      <c r="B4924" s="2" t="s">
        <v>453</v>
      </c>
      <c r="C4924" s="2" t="s">
        <v>714</v>
      </c>
      <c r="D4924" s="2" t="s">
        <v>93</v>
      </c>
      <c r="E4924" s="70" t="s">
        <v>99</v>
      </c>
      <c r="F4924" s="29">
        <v>85</v>
      </c>
      <c r="G4924" s="29">
        <v>52</v>
      </c>
      <c r="H4924" s="33">
        <v>33</v>
      </c>
    </row>
    <row r="4925" spans="1:8" x14ac:dyDescent="0.4">
      <c r="A4925">
        <v>2003</v>
      </c>
      <c r="B4925" s="2" t="s">
        <v>454</v>
      </c>
      <c r="C4925" s="2" t="s">
        <v>715</v>
      </c>
      <c r="D4925" s="2" t="s">
        <v>101</v>
      </c>
      <c r="E4925" s="70" t="s">
        <v>100</v>
      </c>
      <c r="F4925" s="29">
        <v>35</v>
      </c>
      <c r="G4925" s="29">
        <v>21</v>
      </c>
      <c r="H4925" s="33">
        <v>14</v>
      </c>
    </row>
    <row r="4926" spans="1:8" x14ac:dyDescent="0.4">
      <c r="A4926">
        <v>2003</v>
      </c>
      <c r="B4926" s="2" t="s">
        <v>455</v>
      </c>
      <c r="C4926" s="2" t="s">
        <v>715</v>
      </c>
      <c r="D4926" s="2" t="s">
        <v>101</v>
      </c>
      <c r="E4926" s="70" t="s">
        <v>102</v>
      </c>
      <c r="F4926" s="29">
        <v>37</v>
      </c>
      <c r="G4926" s="29">
        <v>24</v>
      </c>
      <c r="H4926" s="33">
        <v>13</v>
      </c>
    </row>
    <row r="4927" spans="1:8" x14ac:dyDescent="0.4">
      <c r="A4927">
        <v>2003</v>
      </c>
      <c r="B4927" s="2" t="s">
        <v>456</v>
      </c>
      <c r="C4927" s="2" t="s">
        <v>715</v>
      </c>
      <c r="D4927" s="2" t="s">
        <v>101</v>
      </c>
      <c r="E4927" s="70" t="s">
        <v>103</v>
      </c>
      <c r="F4927" s="29">
        <v>20</v>
      </c>
      <c r="G4927" s="29">
        <v>12</v>
      </c>
      <c r="H4927" s="33">
        <v>8</v>
      </c>
    </row>
    <row r="4928" spans="1:8" x14ac:dyDescent="0.4">
      <c r="A4928">
        <v>2003</v>
      </c>
      <c r="B4928" s="2" t="s">
        <v>457</v>
      </c>
      <c r="C4928" s="2" t="s">
        <v>715</v>
      </c>
      <c r="D4928" s="14" t="s">
        <v>101</v>
      </c>
      <c r="E4928" s="69" t="s">
        <v>104</v>
      </c>
      <c r="F4928" s="11">
        <v>366</v>
      </c>
      <c r="G4928" s="11">
        <v>214</v>
      </c>
      <c r="H4928" s="33">
        <v>152</v>
      </c>
    </row>
    <row r="4929" spans="1:8" x14ac:dyDescent="0.4">
      <c r="A4929">
        <v>2003</v>
      </c>
      <c r="B4929" s="2" t="s">
        <v>458</v>
      </c>
      <c r="C4929" s="2" t="s">
        <v>716</v>
      </c>
      <c r="D4929" s="2" t="s">
        <v>129</v>
      </c>
      <c r="E4929" s="70" t="s">
        <v>128</v>
      </c>
      <c r="F4929" s="29">
        <v>22</v>
      </c>
      <c r="G4929" s="29">
        <v>13</v>
      </c>
      <c r="H4929" s="33">
        <v>9</v>
      </c>
    </row>
    <row r="4930" spans="1:8" x14ac:dyDescent="0.4">
      <c r="A4930">
        <v>2003</v>
      </c>
      <c r="B4930" s="2" t="s">
        <v>459</v>
      </c>
      <c r="C4930" s="2" t="s">
        <v>716</v>
      </c>
      <c r="D4930" s="2" t="s">
        <v>129</v>
      </c>
      <c r="E4930" s="70" t="s">
        <v>36</v>
      </c>
      <c r="F4930" s="29">
        <v>27</v>
      </c>
      <c r="G4930" s="29">
        <v>12</v>
      </c>
      <c r="H4930" s="33">
        <v>15</v>
      </c>
    </row>
    <row r="4931" spans="1:8" x14ac:dyDescent="0.4">
      <c r="A4931">
        <v>2003</v>
      </c>
      <c r="B4931" s="2" t="s">
        <v>460</v>
      </c>
      <c r="C4931" s="2" t="s">
        <v>716</v>
      </c>
      <c r="D4931" s="2" t="s">
        <v>129</v>
      </c>
      <c r="E4931" s="70" t="s">
        <v>130</v>
      </c>
      <c r="F4931" s="29">
        <v>41</v>
      </c>
      <c r="G4931" s="29">
        <v>27</v>
      </c>
      <c r="H4931" s="33">
        <v>14</v>
      </c>
    </row>
    <row r="4932" spans="1:8" x14ac:dyDescent="0.4">
      <c r="A4932">
        <v>2003</v>
      </c>
      <c r="B4932" s="2" t="s">
        <v>461</v>
      </c>
      <c r="C4932" s="2" t="s">
        <v>716</v>
      </c>
      <c r="D4932" s="2" t="s">
        <v>129</v>
      </c>
      <c r="E4932" s="70" t="s">
        <v>131</v>
      </c>
      <c r="F4932" s="29">
        <v>25</v>
      </c>
      <c r="G4932" s="29">
        <v>15</v>
      </c>
      <c r="H4932" s="33">
        <v>10</v>
      </c>
    </row>
    <row r="4933" spans="1:8" x14ac:dyDescent="0.4">
      <c r="A4933">
        <v>2003</v>
      </c>
      <c r="B4933" s="2" t="s">
        <v>462</v>
      </c>
      <c r="C4933" s="2" t="s">
        <v>716</v>
      </c>
      <c r="D4933" s="2" t="s">
        <v>129</v>
      </c>
      <c r="E4933" s="70" t="s">
        <v>132</v>
      </c>
      <c r="F4933" s="29">
        <v>645</v>
      </c>
      <c r="G4933" s="29">
        <v>386</v>
      </c>
      <c r="H4933" s="33">
        <v>259</v>
      </c>
    </row>
    <row r="4934" spans="1:8" x14ac:dyDescent="0.4">
      <c r="A4934">
        <v>2003</v>
      </c>
      <c r="B4934" s="2" t="s">
        <v>463</v>
      </c>
      <c r="C4934" s="2" t="s">
        <v>716</v>
      </c>
      <c r="D4934" s="2" t="s">
        <v>129</v>
      </c>
      <c r="E4934" s="70" t="s">
        <v>133</v>
      </c>
      <c r="F4934" s="29">
        <v>77</v>
      </c>
      <c r="G4934" s="29">
        <v>45</v>
      </c>
      <c r="H4934" s="33">
        <v>32</v>
      </c>
    </row>
    <row r="4935" spans="1:8" x14ac:dyDescent="0.4">
      <c r="A4935">
        <v>2003</v>
      </c>
      <c r="B4935" s="2" t="s">
        <v>464</v>
      </c>
      <c r="C4935" s="2" t="s">
        <v>716</v>
      </c>
      <c r="D4935" s="2" t="s">
        <v>129</v>
      </c>
      <c r="E4935" s="70" t="s">
        <v>134</v>
      </c>
      <c r="F4935" s="29">
        <v>57</v>
      </c>
      <c r="G4935" s="29">
        <v>30</v>
      </c>
      <c r="H4935" s="33">
        <v>27</v>
      </c>
    </row>
    <row r="4936" spans="1:8" x14ac:dyDescent="0.4">
      <c r="A4936">
        <v>2003</v>
      </c>
      <c r="B4936" s="2" t="s">
        <v>465</v>
      </c>
      <c r="C4936" s="2" t="s">
        <v>716</v>
      </c>
      <c r="D4936" s="2" t="s">
        <v>129</v>
      </c>
      <c r="E4936" s="70" t="s">
        <v>135</v>
      </c>
      <c r="F4936" s="29">
        <v>14</v>
      </c>
      <c r="G4936" s="29">
        <v>7</v>
      </c>
      <c r="H4936" s="33">
        <v>7</v>
      </c>
    </row>
    <row r="4937" spans="1:8" x14ac:dyDescent="0.4">
      <c r="A4937">
        <v>2003</v>
      </c>
      <c r="B4937" s="2" t="s">
        <v>466</v>
      </c>
      <c r="C4937" s="2" t="s">
        <v>716</v>
      </c>
      <c r="D4937" s="2" t="s">
        <v>129</v>
      </c>
      <c r="E4937" s="70" t="s">
        <v>94</v>
      </c>
      <c r="F4937" s="29">
        <v>132</v>
      </c>
      <c r="G4937" s="29">
        <v>78</v>
      </c>
      <c r="H4937" s="33">
        <v>54</v>
      </c>
    </row>
    <row r="4938" spans="1:8" x14ac:dyDescent="0.4">
      <c r="A4938">
        <v>2003</v>
      </c>
      <c r="B4938" s="2" t="s">
        <v>467</v>
      </c>
      <c r="C4938" s="2" t="s">
        <v>716</v>
      </c>
      <c r="D4938" s="2" t="s">
        <v>129</v>
      </c>
      <c r="E4938" s="70" t="s">
        <v>136</v>
      </c>
      <c r="F4938" s="29">
        <v>88</v>
      </c>
      <c r="G4938" s="29">
        <v>59</v>
      </c>
      <c r="H4938" s="33">
        <v>29</v>
      </c>
    </row>
    <row r="4939" spans="1:8" x14ac:dyDescent="0.4">
      <c r="A4939">
        <v>2003</v>
      </c>
      <c r="B4939" s="2" t="s">
        <v>468</v>
      </c>
      <c r="C4939" s="2" t="s">
        <v>716</v>
      </c>
      <c r="D4939" s="2" t="s">
        <v>129</v>
      </c>
      <c r="E4939" s="70" t="s">
        <v>137</v>
      </c>
      <c r="F4939" s="29">
        <v>21</v>
      </c>
      <c r="G4939" s="29">
        <v>11</v>
      </c>
      <c r="H4939" s="33">
        <v>10</v>
      </c>
    </row>
    <row r="4940" spans="1:8" x14ac:dyDescent="0.4">
      <c r="A4940">
        <v>2003</v>
      </c>
      <c r="B4940" s="2" t="s">
        <v>469</v>
      </c>
      <c r="C4940" s="2" t="s">
        <v>716</v>
      </c>
      <c r="D4940" s="2" t="s">
        <v>129</v>
      </c>
      <c r="E4940" s="70" t="s">
        <v>138</v>
      </c>
      <c r="F4940" s="29">
        <v>138</v>
      </c>
      <c r="G4940" s="29">
        <v>85</v>
      </c>
      <c r="H4940" s="33">
        <v>53</v>
      </c>
    </row>
    <row r="4941" spans="1:8" x14ac:dyDescent="0.4">
      <c r="A4941">
        <v>2003</v>
      </c>
      <c r="B4941" s="2" t="s">
        <v>470</v>
      </c>
      <c r="C4941" s="2" t="s">
        <v>716</v>
      </c>
      <c r="D4941" s="2" t="s">
        <v>129</v>
      </c>
      <c r="E4941" s="70" t="s">
        <v>139</v>
      </c>
      <c r="F4941" s="29">
        <v>83</v>
      </c>
      <c r="G4941" s="29">
        <v>45</v>
      </c>
      <c r="H4941" s="33">
        <v>38</v>
      </c>
    </row>
    <row r="4942" spans="1:8" x14ac:dyDescent="0.4">
      <c r="A4942">
        <v>2003</v>
      </c>
      <c r="B4942" s="2" t="s">
        <v>471</v>
      </c>
      <c r="C4942" s="2" t="s">
        <v>716</v>
      </c>
      <c r="D4942" s="2" t="s">
        <v>129</v>
      </c>
      <c r="E4942" s="70" t="s">
        <v>85</v>
      </c>
      <c r="F4942" s="29">
        <v>1231</v>
      </c>
      <c r="G4942" s="29">
        <v>693</v>
      </c>
      <c r="H4942" s="33">
        <v>538</v>
      </c>
    </row>
    <row r="4943" spans="1:8" x14ac:dyDescent="0.4">
      <c r="A4943">
        <v>2003</v>
      </c>
      <c r="B4943" s="2" t="s">
        <v>472</v>
      </c>
      <c r="C4943" s="2" t="s">
        <v>716</v>
      </c>
      <c r="D4943" s="2" t="s">
        <v>129</v>
      </c>
      <c r="E4943" s="70" t="s">
        <v>140</v>
      </c>
      <c r="F4943" s="29">
        <v>81</v>
      </c>
      <c r="G4943" s="29">
        <v>49</v>
      </c>
      <c r="H4943" s="33">
        <v>32</v>
      </c>
    </row>
    <row r="4944" spans="1:8" x14ac:dyDescent="0.4">
      <c r="A4944">
        <v>2003</v>
      </c>
      <c r="B4944" s="2" t="s">
        <v>473</v>
      </c>
      <c r="C4944" s="2" t="s">
        <v>716</v>
      </c>
      <c r="D4944" s="2" t="s">
        <v>129</v>
      </c>
      <c r="E4944" s="70" t="s">
        <v>141</v>
      </c>
      <c r="F4944" s="29">
        <v>5</v>
      </c>
      <c r="G4944" s="29">
        <v>4</v>
      </c>
      <c r="H4944" s="33">
        <v>1</v>
      </c>
    </row>
    <row r="4945" spans="1:8" x14ac:dyDescent="0.4">
      <c r="A4945">
        <v>2003</v>
      </c>
      <c r="B4945" s="2" t="s">
        <v>474</v>
      </c>
      <c r="C4945" s="2" t="s">
        <v>716</v>
      </c>
      <c r="D4945" s="2" t="s">
        <v>129</v>
      </c>
      <c r="E4945" s="70" t="s">
        <v>143</v>
      </c>
      <c r="F4945" s="29">
        <v>5</v>
      </c>
      <c r="G4945" s="29">
        <v>1</v>
      </c>
      <c r="H4945" s="33">
        <v>4</v>
      </c>
    </row>
    <row r="4946" spans="1:8" x14ac:dyDescent="0.4">
      <c r="A4946">
        <v>2003</v>
      </c>
      <c r="B4946" s="2" t="s">
        <v>475</v>
      </c>
      <c r="C4946" s="2" t="s">
        <v>716</v>
      </c>
      <c r="D4946" s="2" t="s">
        <v>129</v>
      </c>
      <c r="E4946" s="70" t="s">
        <v>21</v>
      </c>
      <c r="F4946" s="29">
        <v>0</v>
      </c>
      <c r="G4946" s="29">
        <v>0</v>
      </c>
      <c r="H4946" s="33">
        <v>0</v>
      </c>
    </row>
    <row r="4947" spans="1:8" x14ac:dyDescent="0.4">
      <c r="A4947">
        <v>2003</v>
      </c>
      <c r="B4947" s="2" t="s">
        <v>476</v>
      </c>
      <c r="C4947" s="2" t="s">
        <v>716</v>
      </c>
      <c r="D4947" s="2" t="s">
        <v>129</v>
      </c>
      <c r="E4947" s="70" t="s">
        <v>144</v>
      </c>
      <c r="F4947" s="29">
        <v>19</v>
      </c>
      <c r="G4947" s="29">
        <v>13</v>
      </c>
      <c r="H4947" s="33">
        <v>6</v>
      </c>
    </row>
    <row r="4948" spans="1:8" x14ac:dyDescent="0.4">
      <c r="A4948">
        <v>2003</v>
      </c>
      <c r="B4948" s="2" t="s">
        <v>477</v>
      </c>
      <c r="C4948" s="2" t="s">
        <v>716</v>
      </c>
      <c r="D4948" s="2" t="s">
        <v>129</v>
      </c>
      <c r="E4948" s="70" t="s">
        <v>145</v>
      </c>
      <c r="F4948" s="29">
        <v>210</v>
      </c>
      <c r="G4948" s="29">
        <v>125</v>
      </c>
      <c r="H4948" s="33">
        <v>85</v>
      </c>
    </row>
    <row r="4949" spans="1:8" x14ac:dyDescent="0.4">
      <c r="A4949">
        <v>2003</v>
      </c>
      <c r="B4949" s="2" t="s">
        <v>478</v>
      </c>
      <c r="C4949" s="2" t="s">
        <v>716</v>
      </c>
      <c r="D4949" s="2" t="s">
        <v>129</v>
      </c>
      <c r="E4949" s="70" t="s">
        <v>51</v>
      </c>
      <c r="F4949" s="29">
        <v>5</v>
      </c>
      <c r="G4949" s="29">
        <v>4</v>
      </c>
      <c r="H4949" s="33">
        <v>1</v>
      </c>
    </row>
    <row r="4950" spans="1:8" x14ac:dyDescent="0.4">
      <c r="A4950">
        <v>2003</v>
      </c>
      <c r="B4950" s="2" t="s">
        <v>479</v>
      </c>
      <c r="C4950" s="2" t="s">
        <v>716</v>
      </c>
      <c r="D4950" s="2" t="s">
        <v>129</v>
      </c>
      <c r="E4950" s="70" t="s">
        <v>146</v>
      </c>
      <c r="F4950" s="29">
        <v>0</v>
      </c>
      <c r="G4950" s="29">
        <v>0</v>
      </c>
      <c r="H4950" s="33">
        <v>0</v>
      </c>
    </row>
    <row r="4951" spans="1:8" x14ac:dyDescent="0.4">
      <c r="A4951">
        <v>2003</v>
      </c>
      <c r="B4951" s="2" t="s">
        <v>480</v>
      </c>
      <c r="C4951" s="2" t="s">
        <v>716</v>
      </c>
      <c r="D4951" s="2" t="s">
        <v>129</v>
      </c>
      <c r="E4951" s="70" t="s">
        <v>147</v>
      </c>
      <c r="F4951" s="29">
        <v>33</v>
      </c>
      <c r="G4951" s="29">
        <v>18</v>
      </c>
      <c r="H4951" s="33">
        <v>15</v>
      </c>
    </row>
    <row r="4952" spans="1:8" x14ac:dyDescent="0.4">
      <c r="A4952">
        <v>2003</v>
      </c>
      <c r="B4952" s="2" t="s">
        <v>481</v>
      </c>
      <c r="C4952" s="2" t="s">
        <v>716</v>
      </c>
      <c r="D4952" s="2" t="s">
        <v>129</v>
      </c>
      <c r="E4952" s="70" t="s">
        <v>148</v>
      </c>
      <c r="F4952" s="29">
        <v>1</v>
      </c>
      <c r="G4952" s="29">
        <v>1</v>
      </c>
      <c r="H4952" s="33">
        <v>0</v>
      </c>
    </row>
    <row r="4953" spans="1:8" x14ac:dyDescent="0.4">
      <c r="A4953">
        <v>2003</v>
      </c>
      <c r="B4953" s="2" t="s">
        <v>482</v>
      </c>
      <c r="C4953" s="2" t="s">
        <v>716</v>
      </c>
      <c r="D4953" s="2" t="s">
        <v>129</v>
      </c>
      <c r="E4953" s="70" t="s">
        <v>54</v>
      </c>
      <c r="F4953" s="29">
        <v>8</v>
      </c>
      <c r="G4953" s="29">
        <v>5</v>
      </c>
      <c r="H4953" s="33">
        <v>3</v>
      </c>
    </row>
    <row r="4954" spans="1:8" x14ac:dyDescent="0.4">
      <c r="A4954">
        <v>2003</v>
      </c>
      <c r="B4954" s="2" t="s">
        <v>483</v>
      </c>
      <c r="C4954" s="2" t="s">
        <v>717</v>
      </c>
      <c r="D4954" s="2" t="s">
        <v>150</v>
      </c>
      <c r="E4954" s="70" t="s">
        <v>149</v>
      </c>
      <c r="F4954" s="29">
        <v>52</v>
      </c>
      <c r="G4954" s="29">
        <v>26</v>
      </c>
      <c r="H4954" s="33">
        <v>26</v>
      </c>
    </row>
    <row r="4955" spans="1:8" x14ac:dyDescent="0.4">
      <c r="A4955">
        <v>2003</v>
      </c>
      <c r="B4955" s="2" t="s">
        <v>484</v>
      </c>
      <c r="C4955" s="2" t="s">
        <v>717</v>
      </c>
      <c r="D4955" s="2" t="s">
        <v>150</v>
      </c>
      <c r="E4955" s="70" t="s">
        <v>151</v>
      </c>
      <c r="F4955" s="29">
        <v>28</v>
      </c>
      <c r="G4955" s="29">
        <v>17</v>
      </c>
      <c r="H4955" s="33">
        <v>11</v>
      </c>
    </row>
    <row r="4956" spans="1:8" x14ac:dyDescent="0.4">
      <c r="A4956">
        <v>2003</v>
      </c>
      <c r="B4956" s="2" t="s">
        <v>485</v>
      </c>
      <c r="C4956" s="2" t="s">
        <v>717</v>
      </c>
      <c r="D4956" s="2" t="s">
        <v>150</v>
      </c>
      <c r="E4956" s="70" t="s">
        <v>152</v>
      </c>
      <c r="F4956" s="29">
        <v>39</v>
      </c>
      <c r="G4956" s="29">
        <v>20</v>
      </c>
      <c r="H4956" s="33">
        <v>19</v>
      </c>
    </row>
    <row r="4957" spans="1:8" x14ac:dyDescent="0.4">
      <c r="A4957">
        <v>2003</v>
      </c>
      <c r="B4957" s="2" t="s">
        <v>486</v>
      </c>
      <c r="C4957" s="2" t="s">
        <v>717</v>
      </c>
      <c r="D4957" s="2" t="s">
        <v>150</v>
      </c>
      <c r="E4957" s="70" t="s">
        <v>153</v>
      </c>
      <c r="F4957" s="29">
        <v>34</v>
      </c>
      <c r="G4957" s="29">
        <v>21</v>
      </c>
      <c r="H4957" s="33">
        <v>13</v>
      </c>
    </row>
    <row r="4958" spans="1:8" x14ac:dyDescent="0.4">
      <c r="A4958">
        <v>2003</v>
      </c>
      <c r="B4958" s="2" t="s">
        <v>487</v>
      </c>
      <c r="C4958" s="2" t="s">
        <v>717</v>
      </c>
      <c r="D4958" s="2" t="s">
        <v>150</v>
      </c>
      <c r="E4958" s="70" t="s">
        <v>154</v>
      </c>
      <c r="F4958" s="29">
        <v>654</v>
      </c>
      <c r="G4958" s="29">
        <v>412</v>
      </c>
      <c r="H4958" s="33">
        <v>242</v>
      </c>
    </row>
    <row r="4959" spans="1:8" x14ac:dyDescent="0.4">
      <c r="A4959">
        <v>2003</v>
      </c>
      <c r="B4959" s="2" t="s">
        <v>488</v>
      </c>
      <c r="C4959" s="2" t="s">
        <v>717</v>
      </c>
      <c r="D4959" s="2" t="s">
        <v>150</v>
      </c>
      <c r="E4959" s="70" t="s">
        <v>155</v>
      </c>
      <c r="F4959" s="29">
        <v>98</v>
      </c>
      <c r="G4959" s="29">
        <v>66</v>
      </c>
      <c r="H4959" s="33">
        <v>32</v>
      </c>
    </row>
    <row r="4960" spans="1:8" x14ac:dyDescent="0.4">
      <c r="A4960">
        <v>2003</v>
      </c>
      <c r="B4960" s="2" t="s">
        <v>489</v>
      </c>
      <c r="C4960" s="2" t="s">
        <v>717</v>
      </c>
      <c r="D4960" s="2" t="s">
        <v>150</v>
      </c>
      <c r="E4960" s="70" t="s">
        <v>156</v>
      </c>
      <c r="F4960" s="29">
        <v>126</v>
      </c>
      <c r="G4960" s="29">
        <v>76</v>
      </c>
      <c r="H4960" s="33">
        <v>50</v>
      </c>
    </row>
    <row r="4961" spans="1:8" x14ac:dyDescent="0.4">
      <c r="A4961">
        <v>2003</v>
      </c>
      <c r="B4961" s="2" t="s">
        <v>490</v>
      </c>
      <c r="C4961" s="2" t="s">
        <v>717</v>
      </c>
      <c r="D4961" s="2" t="s">
        <v>150</v>
      </c>
      <c r="E4961" s="70" t="s">
        <v>85</v>
      </c>
      <c r="F4961" s="29">
        <v>602</v>
      </c>
      <c r="G4961" s="29">
        <v>363</v>
      </c>
      <c r="H4961" s="33">
        <v>239</v>
      </c>
    </row>
    <row r="4962" spans="1:8" x14ac:dyDescent="0.4">
      <c r="A4962">
        <v>2003</v>
      </c>
      <c r="B4962" s="2" t="s">
        <v>491</v>
      </c>
      <c r="C4962" s="2" t="s">
        <v>717</v>
      </c>
      <c r="D4962" s="2" t="s">
        <v>150</v>
      </c>
      <c r="E4962" s="70" t="s">
        <v>157</v>
      </c>
      <c r="F4962" s="29">
        <v>357</v>
      </c>
      <c r="G4962" s="29">
        <v>206</v>
      </c>
      <c r="H4962" s="33">
        <v>151</v>
      </c>
    </row>
    <row r="4963" spans="1:8" x14ac:dyDescent="0.4">
      <c r="A4963">
        <v>2003</v>
      </c>
      <c r="B4963" s="2" t="s">
        <v>492</v>
      </c>
      <c r="C4963" s="2" t="s">
        <v>717</v>
      </c>
      <c r="D4963" s="2" t="s">
        <v>150</v>
      </c>
      <c r="E4963" s="70" t="s">
        <v>158</v>
      </c>
      <c r="F4963" s="29">
        <v>36</v>
      </c>
      <c r="G4963" s="29">
        <v>24</v>
      </c>
      <c r="H4963" s="33">
        <v>12</v>
      </c>
    </row>
    <row r="4964" spans="1:8" x14ac:dyDescent="0.4">
      <c r="A4964">
        <v>2003</v>
      </c>
      <c r="B4964" s="2" t="s">
        <v>493</v>
      </c>
      <c r="C4964" s="2" t="s">
        <v>717</v>
      </c>
      <c r="D4964" s="2" t="s">
        <v>150</v>
      </c>
      <c r="E4964" s="70" t="s">
        <v>159</v>
      </c>
      <c r="F4964" s="29">
        <v>110</v>
      </c>
      <c r="G4964" s="29">
        <v>67</v>
      </c>
      <c r="H4964" s="33">
        <v>43</v>
      </c>
    </row>
    <row r="4965" spans="1:8" x14ac:dyDescent="0.4">
      <c r="A4965">
        <v>2003</v>
      </c>
      <c r="B4965" s="2" t="s">
        <v>494</v>
      </c>
      <c r="C4965" s="2" t="s">
        <v>717</v>
      </c>
      <c r="D4965" s="2" t="s">
        <v>150</v>
      </c>
      <c r="E4965" s="70" t="s">
        <v>76</v>
      </c>
      <c r="F4965" s="29">
        <v>768</v>
      </c>
      <c r="G4965" s="29">
        <v>451</v>
      </c>
      <c r="H4965" s="33">
        <v>317</v>
      </c>
    </row>
    <row r="4966" spans="1:8" x14ac:dyDescent="0.4">
      <c r="A4966">
        <v>2003</v>
      </c>
      <c r="B4966" s="2" t="s">
        <v>495</v>
      </c>
      <c r="C4966" s="2" t="s">
        <v>717</v>
      </c>
      <c r="D4966" s="2" t="s">
        <v>150</v>
      </c>
      <c r="E4966" s="70" t="s">
        <v>160</v>
      </c>
      <c r="F4966" s="29">
        <v>32</v>
      </c>
      <c r="G4966" s="29">
        <v>15</v>
      </c>
      <c r="H4966" s="33">
        <v>17</v>
      </c>
    </row>
    <row r="4967" spans="1:8" x14ac:dyDescent="0.4">
      <c r="A4967">
        <v>2003</v>
      </c>
      <c r="B4967" s="2" t="s">
        <v>496</v>
      </c>
      <c r="C4967" s="2" t="s">
        <v>717</v>
      </c>
      <c r="D4967" s="2" t="s">
        <v>150</v>
      </c>
      <c r="E4967" s="70" t="s">
        <v>161</v>
      </c>
      <c r="F4967" s="29">
        <v>42</v>
      </c>
      <c r="G4967" s="29">
        <v>21</v>
      </c>
      <c r="H4967" s="33">
        <v>21</v>
      </c>
    </row>
    <row r="4968" spans="1:8" x14ac:dyDescent="0.4">
      <c r="A4968">
        <v>2003</v>
      </c>
      <c r="B4968" s="2" t="s">
        <v>497</v>
      </c>
      <c r="C4968" s="2" t="s">
        <v>717</v>
      </c>
      <c r="D4968" s="2" t="s">
        <v>150</v>
      </c>
      <c r="E4968" s="70" t="s">
        <v>162</v>
      </c>
      <c r="F4968" s="29">
        <v>234</v>
      </c>
      <c r="G4968" s="29">
        <v>142</v>
      </c>
      <c r="H4968" s="33">
        <v>92</v>
      </c>
    </row>
    <row r="4969" spans="1:8" x14ac:dyDescent="0.4">
      <c r="A4969">
        <v>2003</v>
      </c>
      <c r="B4969" s="2" t="s">
        <v>498</v>
      </c>
      <c r="C4969" s="2" t="s">
        <v>718</v>
      </c>
      <c r="D4969" s="2" t="s">
        <v>164</v>
      </c>
      <c r="E4969" s="70" t="s">
        <v>163</v>
      </c>
      <c r="F4969" s="29">
        <v>129</v>
      </c>
      <c r="G4969" s="29">
        <v>76</v>
      </c>
      <c r="H4969" s="33">
        <v>53</v>
      </c>
    </row>
    <row r="4970" spans="1:8" x14ac:dyDescent="0.4">
      <c r="A4970">
        <v>2003</v>
      </c>
      <c r="B4970" s="2" t="s">
        <v>499</v>
      </c>
      <c r="C4970" s="2" t="s">
        <v>718</v>
      </c>
      <c r="D4970" s="2" t="s">
        <v>164</v>
      </c>
      <c r="E4970" s="70" t="s">
        <v>165</v>
      </c>
      <c r="F4970" s="29">
        <v>103</v>
      </c>
      <c r="G4970" s="29">
        <v>56</v>
      </c>
      <c r="H4970" s="33">
        <v>47</v>
      </c>
    </row>
    <row r="4971" spans="1:8" x14ac:dyDescent="0.4">
      <c r="A4971">
        <v>2003</v>
      </c>
      <c r="B4971" s="2" t="s">
        <v>500</v>
      </c>
      <c r="C4971" s="2" t="s">
        <v>718</v>
      </c>
      <c r="D4971" s="2" t="s">
        <v>164</v>
      </c>
      <c r="E4971" s="70" t="s">
        <v>166</v>
      </c>
      <c r="F4971" s="29">
        <v>5662</v>
      </c>
      <c r="G4971" s="29">
        <v>3400</v>
      </c>
      <c r="H4971" s="33">
        <v>2262</v>
      </c>
    </row>
    <row r="4972" spans="1:8" x14ac:dyDescent="0.4">
      <c r="A4972">
        <v>2003</v>
      </c>
      <c r="B4972" s="2" t="s">
        <v>501</v>
      </c>
      <c r="C4972" s="2" t="s">
        <v>718</v>
      </c>
      <c r="D4972" s="2" t="s">
        <v>164</v>
      </c>
      <c r="E4972" s="70" t="s">
        <v>167</v>
      </c>
      <c r="F4972" s="29">
        <v>296</v>
      </c>
      <c r="G4972" s="29">
        <v>174</v>
      </c>
      <c r="H4972" s="33">
        <v>122</v>
      </c>
    </row>
    <row r="4973" spans="1:8" x14ac:dyDescent="0.4">
      <c r="A4973">
        <v>2003</v>
      </c>
      <c r="B4973" s="2" t="s">
        <v>502</v>
      </c>
      <c r="C4973" s="2" t="s">
        <v>718</v>
      </c>
      <c r="D4973" s="2" t="s">
        <v>164</v>
      </c>
      <c r="E4973" s="70" t="s">
        <v>168</v>
      </c>
      <c r="F4973" s="29">
        <v>417</v>
      </c>
      <c r="G4973" s="29">
        <v>244</v>
      </c>
      <c r="H4973" s="33">
        <v>173</v>
      </c>
    </row>
    <row r="4974" spans="1:8" x14ac:dyDescent="0.4">
      <c r="A4974">
        <v>2003</v>
      </c>
      <c r="B4974" s="2" t="s">
        <v>503</v>
      </c>
      <c r="C4974" s="2" t="s">
        <v>718</v>
      </c>
      <c r="D4974" s="2" t="s">
        <v>164</v>
      </c>
      <c r="E4974" s="70" t="s">
        <v>169</v>
      </c>
      <c r="F4974" s="29">
        <v>287</v>
      </c>
      <c r="G4974" s="29">
        <v>165</v>
      </c>
      <c r="H4974" s="33">
        <v>122</v>
      </c>
    </row>
    <row r="4975" spans="1:8" x14ac:dyDescent="0.4">
      <c r="A4975">
        <v>2003</v>
      </c>
      <c r="B4975" s="2" t="s">
        <v>504</v>
      </c>
      <c r="C4975" s="2" t="s">
        <v>718</v>
      </c>
      <c r="D4975" s="2" t="s">
        <v>164</v>
      </c>
      <c r="E4975" s="70" t="s">
        <v>170</v>
      </c>
      <c r="F4975" s="29">
        <v>85</v>
      </c>
      <c r="G4975" s="29">
        <v>48</v>
      </c>
      <c r="H4975" s="33">
        <v>37</v>
      </c>
    </row>
    <row r="4976" spans="1:8" x14ac:dyDescent="0.4">
      <c r="A4976">
        <v>2003</v>
      </c>
      <c r="B4976" s="2" t="s">
        <v>505</v>
      </c>
      <c r="C4976" s="2" t="s">
        <v>718</v>
      </c>
      <c r="D4976" s="2" t="s">
        <v>164</v>
      </c>
      <c r="E4976" s="70" t="s">
        <v>171</v>
      </c>
      <c r="F4976" s="29">
        <v>731</v>
      </c>
      <c r="G4976" s="29">
        <v>406</v>
      </c>
      <c r="H4976" s="33">
        <v>325</v>
      </c>
    </row>
    <row r="4977" spans="1:8" x14ac:dyDescent="0.4">
      <c r="A4977">
        <v>2003</v>
      </c>
      <c r="B4977" s="2" t="s">
        <v>506</v>
      </c>
      <c r="C4977" s="2" t="s">
        <v>718</v>
      </c>
      <c r="D4977" s="2" t="s">
        <v>164</v>
      </c>
      <c r="E4977" s="70" t="s">
        <v>53</v>
      </c>
      <c r="F4977" s="29">
        <v>185</v>
      </c>
      <c r="G4977" s="29">
        <v>117</v>
      </c>
      <c r="H4977" s="33">
        <v>68</v>
      </c>
    </row>
    <row r="4978" spans="1:8" x14ac:dyDescent="0.4">
      <c r="A4978">
        <v>2003</v>
      </c>
      <c r="B4978" s="2" t="s">
        <v>507</v>
      </c>
      <c r="C4978" s="2" t="s">
        <v>719</v>
      </c>
      <c r="D4978" s="2" t="s">
        <v>173</v>
      </c>
      <c r="E4978" s="70" t="s">
        <v>172</v>
      </c>
      <c r="F4978" s="29">
        <v>579</v>
      </c>
      <c r="G4978" s="29">
        <v>357</v>
      </c>
      <c r="H4978" s="33">
        <v>222</v>
      </c>
    </row>
    <row r="4979" spans="1:8" x14ac:dyDescent="0.4">
      <c r="A4979">
        <v>2003</v>
      </c>
      <c r="B4979" s="2" t="s">
        <v>508</v>
      </c>
      <c r="C4979" s="2" t="s">
        <v>719</v>
      </c>
      <c r="D4979" s="2" t="s">
        <v>173</v>
      </c>
      <c r="E4979" s="70" t="s">
        <v>174</v>
      </c>
      <c r="F4979" s="29">
        <v>49</v>
      </c>
      <c r="G4979" s="29">
        <v>29</v>
      </c>
      <c r="H4979" s="33">
        <v>20</v>
      </c>
    </row>
    <row r="4980" spans="1:8" x14ac:dyDescent="0.4">
      <c r="A4980">
        <v>2003</v>
      </c>
      <c r="B4980" s="2" t="s">
        <v>509</v>
      </c>
      <c r="C4980" s="2" t="s">
        <v>719</v>
      </c>
      <c r="D4980" s="2" t="s">
        <v>173</v>
      </c>
      <c r="E4980" s="70" t="s">
        <v>175</v>
      </c>
      <c r="F4980" s="29">
        <v>110</v>
      </c>
      <c r="G4980" s="29">
        <v>71</v>
      </c>
      <c r="H4980" s="33">
        <v>39</v>
      </c>
    </row>
    <row r="4981" spans="1:8" x14ac:dyDescent="0.4">
      <c r="A4981">
        <v>2003</v>
      </c>
      <c r="B4981" s="2" t="s">
        <v>510</v>
      </c>
      <c r="C4981" s="2" t="s">
        <v>719</v>
      </c>
      <c r="D4981" s="2" t="s">
        <v>173</v>
      </c>
      <c r="E4981" s="70" t="s">
        <v>176</v>
      </c>
      <c r="F4981" s="29">
        <v>40</v>
      </c>
      <c r="G4981" s="29">
        <v>18</v>
      </c>
      <c r="H4981" s="33">
        <v>22</v>
      </c>
    </row>
    <row r="4982" spans="1:8" x14ac:dyDescent="0.4">
      <c r="A4982">
        <v>2003</v>
      </c>
      <c r="B4982" s="2" t="s">
        <v>511</v>
      </c>
      <c r="C4982" s="2" t="s">
        <v>719</v>
      </c>
      <c r="D4982" s="2" t="s">
        <v>173</v>
      </c>
      <c r="E4982" s="70" t="s">
        <v>177</v>
      </c>
      <c r="F4982" s="29">
        <v>56</v>
      </c>
      <c r="G4982" s="29">
        <v>35</v>
      </c>
      <c r="H4982" s="33">
        <v>21</v>
      </c>
    </row>
    <row r="4983" spans="1:8" x14ac:dyDescent="0.4">
      <c r="A4983">
        <v>2003</v>
      </c>
      <c r="B4983" s="2" t="s">
        <v>512</v>
      </c>
      <c r="C4983" s="2" t="s">
        <v>719</v>
      </c>
      <c r="D4983" s="2" t="s">
        <v>173</v>
      </c>
      <c r="E4983" s="70" t="s">
        <v>178</v>
      </c>
      <c r="F4983" s="29">
        <v>235</v>
      </c>
      <c r="G4983" s="29">
        <v>134</v>
      </c>
      <c r="H4983" s="33">
        <v>101</v>
      </c>
    </row>
    <row r="4984" spans="1:8" x14ac:dyDescent="0.4">
      <c r="A4984">
        <v>2003</v>
      </c>
      <c r="B4984" s="2" t="s">
        <v>513</v>
      </c>
      <c r="C4984" s="2" t="s">
        <v>719</v>
      </c>
      <c r="D4984" s="2" t="s">
        <v>173</v>
      </c>
      <c r="E4984" s="70" t="s">
        <v>179</v>
      </c>
      <c r="F4984" s="29">
        <v>59</v>
      </c>
      <c r="G4984" s="29">
        <v>33</v>
      </c>
      <c r="H4984" s="33">
        <v>26</v>
      </c>
    </row>
    <row r="4985" spans="1:8" x14ac:dyDescent="0.4">
      <c r="A4985">
        <v>2003</v>
      </c>
      <c r="B4985" s="2" t="s">
        <v>514</v>
      </c>
      <c r="C4985" s="2" t="s">
        <v>719</v>
      </c>
      <c r="D4985" s="2" t="s">
        <v>173</v>
      </c>
      <c r="E4985" s="70" t="s">
        <v>180</v>
      </c>
      <c r="F4985" s="29">
        <v>109</v>
      </c>
      <c r="G4985" s="29">
        <v>73</v>
      </c>
      <c r="H4985" s="33">
        <v>36</v>
      </c>
    </row>
    <row r="4986" spans="1:8" x14ac:dyDescent="0.4">
      <c r="A4986">
        <v>2003</v>
      </c>
      <c r="B4986" s="2" t="s">
        <v>515</v>
      </c>
      <c r="C4986" s="2" t="s">
        <v>719</v>
      </c>
      <c r="D4986" s="2" t="s">
        <v>173</v>
      </c>
      <c r="E4986" s="70" t="s">
        <v>181</v>
      </c>
      <c r="F4986" s="29">
        <v>43</v>
      </c>
      <c r="G4986" s="29">
        <v>22</v>
      </c>
      <c r="H4986" s="33">
        <v>21</v>
      </c>
    </row>
    <row r="4987" spans="1:8" x14ac:dyDescent="0.4">
      <c r="A4987">
        <v>2003</v>
      </c>
      <c r="B4987" s="2" t="s">
        <v>516</v>
      </c>
      <c r="C4987" s="2" t="s">
        <v>719</v>
      </c>
      <c r="D4987" s="2" t="s">
        <v>173</v>
      </c>
      <c r="E4987" s="70" t="s">
        <v>182</v>
      </c>
      <c r="F4987" s="29">
        <v>54</v>
      </c>
      <c r="G4987" s="29">
        <v>32</v>
      </c>
      <c r="H4987" s="33">
        <v>22</v>
      </c>
    </row>
    <row r="4988" spans="1:8" x14ac:dyDescent="0.4">
      <c r="A4988">
        <v>2003</v>
      </c>
      <c r="B4988" s="2" t="s">
        <v>517</v>
      </c>
      <c r="C4988" s="2" t="s">
        <v>719</v>
      </c>
      <c r="D4988" s="2" t="s">
        <v>173</v>
      </c>
      <c r="E4988" s="70" t="s">
        <v>183</v>
      </c>
      <c r="F4988" s="29">
        <v>14</v>
      </c>
      <c r="G4988" s="29">
        <v>6</v>
      </c>
      <c r="H4988" s="33">
        <v>8</v>
      </c>
    </row>
    <row r="4989" spans="1:8" x14ac:dyDescent="0.4">
      <c r="A4989">
        <v>2003</v>
      </c>
      <c r="B4989" s="2" t="s">
        <v>518</v>
      </c>
      <c r="C4989" s="2" t="s">
        <v>719</v>
      </c>
      <c r="D4989" s="2" t="s">
        <v>173</v>
      </c>
      <c r="E4989" s="70" t="s">
        <v>44</v>
      </c>
      <c r="F4989" s="29">
        <v>1803</v>
      </c>
      <c r="G4989" s="29">
        <v>1045</v>
      </c>
      <c r="H4989" s="33">
        <v>758</v>
      </c>
    </row>
    <row r="4990" spans="1:8" x14ac:dyDescent="0.4">
      <c r="A4990">
        <v>2003</v>
      </c>
      <c r="B4990" s="2" t="s">
        <v>519</v>
      </c>
      <c r="C4990" s="2" t="s">
        <v>719</v>
      </c>
      <c r="D4990" s="2" t="s">
        <v>173</v>
      </c>
      <c r="E4990" s="70" t="s">
        <v>85</v>
      </c>
      <c r="F4990" s="29">
        <v>107</v>
      </c>
      <c r="G4990" s="29">
        <v>65</v>
      </c>
      <c r="H4990" s="33">
        <v>42</v>
      </c>
    </row>
    <row r="4991" spans="1:8" x14ac:dyDescent="0.4">
      <c r="A4991">
        <v>2003</v>
      </c>
      <c r="B4991" s="2" t="s">
        <v>520</v>
      </c>
      <c r="C4991" s="2" t="s">
        <v>719</v>
      </c>
      <c r="D4991" s="2" t="s">
        <v>173</v>
      </c>
      <c r="E4991" s="70" t="s">
        <v>184</v>
      </c>
      <c r="F4991" s="29">
        <v>73</v>
      </c>
      <c r="G4991" s="29">
        <v>53</v>
      </c>
      <c r="H4991" s="33">
        <v>20</v>
      </c>
    </row>
    <row r="4992" spans="1:8" x14ac:dyDescent="0.4">
      <c r="A4992">
        <v>2003</v>
      </c>
      <c r="B4992" s="2" t="s">
        <v>521</v>
      </c>
      <c r="C4992" s="2" t="s">
        <v>719</v>
      </c>
      <c r="D4992" s="2" t="s">
        <v>173</v>
      </c>
      <c r="E4992" s="70" t="s">
        <v>185</v>
      </c>
      <c r="F4992" s="29">
        <v>10</v>
      </c>
      <c r="G4992" s="29">
        <v>5</v>
      </c>
      <c r="H4992" s="33">
        <v>5</v>
      </c>
    </row>
    <row r="4993" spans="1:8" x14ac:dyDescent="0.4">
      <c r="A4993">
        <v>2003</v>
      </c>
      <c r="B4993" s="2" t="s">
        <v>522</v>
      </c>
      <c r="C4993" s="2" t="s">
        <v>719</v>
      </c>
      <c r="D4993" s="2" t="s">
        <v>173</v>
      </c>
      <c r="E4993" s="70" t="s">
        <v>186</v>
      </c>
      <c r="F4993" s="29">
        <v>29</v>
      </c>
      <c r="G4993" s="29">
        <v>18</v>
      </c>
      <c r="H4993" s="33">
        <v>11</v>
      </c>
    </row>
    <row r="4994" spans="1:8" x14ac:dyDescent="0.4">
      <c r="A4994">
        <v>2003</v>
      </c>
      <c r="B4994" s="2" t="s">
        <v>523</v>
      </c>
      <c r="C4994" s="2" t="s">
        <v>719</v>
      </c>
      <c r="D4994" s="2" t="s">
        <v>173</v>
      </c>
      <c r="E4994" s="70" t="s">
        <v>187</v>
      </c>
      <c r="F4994" s="29">
        <v>69</v>
      </c>
      <c r="G4994" s="29">
        <v>35</v>
      </c>
      <c r="H4994" s="33">
        <v>34</v>
      </c>
    </row>
    <row r="4995" spans="1:8" x14ac:dyDescent="0.4">
      <c r="A4995">
        <v>2003</v>
      </c>
      <c r="B4995" s="2" t="s">
        <v>524</v>
      </c>
      <c r="C4995" s="2" t="s">
        <v>719</v>
      </c>
      <c r="D4995" s="2" t="s">
        <v>173</v>
      </c>
      <c r="E4995" s="70" t="s">
        <v>188</v>
      </c>
      <c r="F4995" s="29">
        <v>0</v>
      </c>
      <c r="G4995" s="29">
        <v>0</v>
      </c>
      <c r="H4995" s="33">
        <v>0</v>
      </c>
    </row>
    <row r="4996" spans="1:8" x14ac:dyDescent="0.4">
      <c r="A4996">
        <v>2003</v>
      </c>
      <c r="B4996" s="2" t="s">
        <v>525</v>
      </c>
      <c r="C4996" s="2" t="s">
        <v>719</v>
      </c>
      <c r="D4996" s="2" t="s">
        <v>173</v>
      </c>
      <c r="E4996" s="70" t="s">
        <v>189</v>
      </c>
      <c r="F4996" s="29">
        <v>53</v>
      </c>
      <c r="G4996" s="29">
        <v>37</v>
      </c>
      <c r="H4996" s="33">
        <v>16</v>
      </c>
    </row>
    <row r="4997" spans="1:8" x14ac:dyDescent="0.4">
      <c r="A4997">
        <v>2003</v>
      </c>
      <c r="B4997" s="2" t="s">
        <v>526</v>
      </c>
      <c r="C4997" s="2" t="s">
        <v>719</v>
      </c>
      <c r="D4997" s="2" t="s">
        <v>173</v>
      </c>
      <c r="E4997" s="70" t="s">
        <v>51</v>
      </c>
      <c r="F4997" s="29">
        <v>183</v>
      </c>
      <c r="G4997" s="29">
        <v>104</v>
      </c>
      <c r="H4997" s="33">
        <v>79</v>
      </c>
    </row>
    <row r="4998" spans="1:8" x14ac:dyDescent="0.4">
      <c r="A4998">
        <v>2003</v>
      </c>
      <c r="B4998" s="2" t="s">
        <v>527</v>
      </c>
      <c r="C4998" s="2" t="s">
        <v>719</v>
      </c>
      <c r="D4998" s="2" t="s">
        <v>173</v>
      </c>
      <c r="E4998" s="70" t="s">
        <v>52</v>
      </c>
      <c r="F4998" s="29">
        <v>153</v>
      </c>
      <c r="G4998" s="29">
        <v>78</v>
      </c>
      <c r="H4998" s="33">
        <v>75</v>
      </c>
    </row>
    <row r="4999" spans="1:8" x14ac:dyDescent="0.4">
      <c r="A4999">
        <v>2003</v>
      </c>
      <c r="B4999" s="2" t="s">
        <v>528</v>
      </c>
      <c r="C4999" s="2" t="s">
        <v>719</v>
      </c>
      <c r="D4999" s="2" t="s">
        <v>173</v>
      </c>
      <c r="E4999" s="70" t="s">
        <v>190</v>
      </c>
      <c r="F4999" s="29">
        <v>101</v>
      </c>
      <c r="G4999" s="29">
        <v>72</v>
      </c>
      <c r="H4999" s="33">
        <v>29</v>
      </c>
    </row>
    <row r="5000" spans="1:8" x14ac:dyDescent="0.4">
      <c r="A5000">
        <v>2003</v>
      </c>
      <c r="B5000" s="2" t="s">
        <v>529</v>
      </c>
      <c r="C5000" s="2" t="s">
        <v>719</v>
      </c>
      <c r="D5000" s="2" t="s">
        <v>173</v>
      </c>
      <c r="E5000" s="70" t="s">
        <v>191</v>
      </c>
      <c r="F5000" s="29">
        <v>33</v>
      </c>
      <c r="G5000" s="29">
        <v>15</v>
      </c>
      <c r="H5000" s="33">
        <v>18</v>
      </c>
    </row>
    <row r="5001" spans="1:8" x14ac:dyDescent="0.4">
      <c r="A5001">
        <v>2003</v>
      </c>
      <c r="B5001" s="2" t="s">
        <v>530</v>
      </c>
      <c r="C5001" s="2" t="s">
        <v>720</v>
      </c>
      <c r="D5001" s="2" t="s">
        <v>193</v>
      </c>
      <c r="E5001" s="70" t="s">
        <v>192</v>
      </c>
      <c r="F5001" s="29">
        <v>328</v>
      </c>
      <c r="G5001" s="29">
        <v>219</v>
      </c>
      <c r="H5001" s="33">
        <v>109</v>
      </c>
    </row>
    <row r="5002" spans="1:8" x14ac:dyDescent="0.4">
      <c r="A5002">
        <v>2003</v>
      </c>
      <c r="B5002" s="2" t="s">
        <v>531</v>
      </c>
      <c r="C5002" s="2" t="s">
        <v>720</v>
      </c>
      <c r="D5002" s="2" t="s">
        <v>193</v>
      </c>
      <c r="E5002" s="70" t="s">
        <v>174</v>
      </c>
      <c r="F5002" s="29">
        <v>68</v>
      </c>
      <c r="G5002" s="29">
        <v>35</v>
      </c>
      <c r="H5002" s="33">
        <v>33</v>
      </c>
    </row>
    <row r="5003" spans="1:8" x14ac:dyDescent="0.4">
      <c r="A5003">
        <v>2003</v>
      </c>
      <c r="B5003" s="2" t="s">
        <v>532</v>
      </c>
      <c r="C5003" s="2" t="s">
        <v>720</v>
      </c>
      <c r="D5003" s="2" t="s">
        <v>193</v>
      </c>
      <c r="E5003" s="70" t="s">
        <v>194</v>
      </c>
      <c r="F5003" s="29">
        <v>1348</v>
      </c>
      <c r="G5003" s="29">
        <v>684</v>
      </c>
      <c r="H5003" s="33">
        <v>664</v>
      </c>
    </row>
    <row r="5004" spans="1:8" x14ac:dyDescent="0.4">
      <c r="A5004">
        <v>2003</v>
      </c>
      <c r="B5004" s="2" t="s">
        <v>533</v>
      </c>
      <c r="C5004" s="2" t="s">
        <v>720</v>
      </c>
      <c r="D5004" s="2" t="s">
        <v>193</v>
      </c>
      <c r="E5004" s="70" t="s">
        <v>195</v>
      </c>
      <c r="F5004" s="29">
        <v>257</v>
      </c>
      <c r="G5004" s="29">
        <v>157</v>
      </c>
      <c r="H5004" s="33">
        <v>100</v>
      </c>
    </row>
    <row r="5005" spans="1:8" x14ac:dyDescent="0.4">
      <c r="A5005">
        <v>2003</v>
      </c>
      <c r="B5005" s="2" t="s">
        <v>534</v>
      </c>
      <c r="C5005" s="2" t="s">
        <v>720</v>
      </c>
      <c r="D5005" s="2" t="s">
        <v>193</v>
      </c>
      <c r="E5005" s="70" t="s">
        <v>196</v>
      </c>
      <c r="F5005" s="29">
        <v>55</v>
      </c>
      <c r="G5005" s="29">
        <v>35</v>
      </c>
      <c r="H5005" s="33">
        <v>20</v>
      </c>
    </row>
    <row r="5006" spans="1:8" x14ac:dyDescent="0.4">
      <c r="A5006">
        <v>2003</v>
      </c>
      <c r="B5006" s="2" t="s">
        <v>535</v>
      </c>
      <c r="C5006" s="2" t="s">
        <v>720</v>
      </c>
      <c r="D5006" s="2" t="s">
        <v>193</v>
      </c>
      <c r="E5006" s="70" t="s">
        <v>197</v>
      </c>
      <c r="F5006" s="29">
        <v>69</v>
      </c>
      <c r="G5006" s="29">
        <v>43</v>
      </c>
      <c r="H5006" s="33">
        <v>26</v>
      </c>
    </row>
    <row r="5007" spans="1:8" x14ac:dyDescent="0.4">
      <c r="A5007">
        <v>2003</v>
      </c>
      <c r="B5007" s="2" t="s">
        <v>536</v>
      </c>
      <c r="C5007" s="2" t="s">
        <v>720</v>
      </c>
      <c r="D5007" s="2" t="s">
        <v>193</v>
      </c>
      <c r="E5007" s="70" t="s">
        <v>198</v>
      </c>
      <c r="F5007" s="29">
        <v>649</v>
      </c>
      <c r="G5007" s="29">
        <v>320</v>
      </c>
      <c r="H5007" s="33">
        <v>329</v>
      </c>
    </row>
    <row r="5008" spans="1:8" x14ac:dyDescent="0.4">
      <c r="A5008">
        <v>2003</v>
      </c>
      <c r="B5008" s="2" t="s">
        <v>537</v>
      </c>
      <c r="C5008" s="2" t="s">
        <v>720</v>
      </c>
      <c r="D5008" s="2" t="s">
        <v>193</v>
      </c>
      <c r="E5008" s="70" t="s">
        <v>199</v>
      </c>
      <c r="F5008" s="29">
        <v>322</v>
      </c>
      <c r="G5008" s="29">
        <v>208</v>
      </c>
      <c r="H5008" s="33">
        <v>114</v>
      </c>
    </row>
    <row r="5009" spans="1:8" x14ac:dyDescent="0.4">
      <c r="A5009">
        <v>2003</v>
      </c>
      <c r="B5009" s="2" t="s">
        <v>538</v>
      </c>
      <c r="C5009" s="2" t="s">
        <v>720</v>
      </c>
      <c r="D5009" s="2" t="s">
        <v>193</v>
      </c>
      <c r="E5009" s="70" t="s">
        <v>200</v>
      </c>
      <c r="F5009" s="29">
        <v>156</v>
      </c>
      <c r="G5009" s="29">
        <v>82</v>
      </c>
      <c r="H5009" s="33">
        <v>74</v>
      </c>
    </row>
    <row r="5010" spans="1:8" x14ac:dyDescent="0.4">
      <c r="A5010">
        <v>2003</v>
      </c>
      <c r="B5010" s="2" t="s">
        <v>539</v>
      </c>
      <c r="C5010" s="2" t="s">
        <v>720</v>
      </c>
      <c r="D5010" s="2" t="s">
        <v>193</v>
      </c>
      <c r="E5010" s="70" t="s">
        <v>201</v>
      </c>
      <c r="F5010" s="29">
        <v>1254</v>
      </c>
      <c r="G5010" s="29">
        <v>755</v>
      </c>
      <c r="H5010" s="33">
        <v>499</v>
      </c>
    </row>
    <row r="5011" spans="1:8" x14ac:dyDescent="0.4">
      <c r="A5011">
        <v>2003</v>
      </c>
      <c r="B5011" s="2" t="s">
        <v>540</v>
      </c>
      <c r="C5011" s="2" t="s">
        <v>720</v>
      </c>
      <c r="D5011" s="2" t="s">
        <v>193</v>
      </c>
      <c r="E5011" s="70" t="s">
        <v>14</v>
      </c>
      <c r="F5011" s="29">
        <v>424</v>
      </c>
      <c r="G5011" s="29">
        <v>278</v>
      </c>
      <c r="H5011" s="33">
        <v>146</v>
      </c>
    </row>
    <row r="5012" spans="1:8" x14ac:dyDescent="0.4">
      <c r="A5012">
        <v>2003</v>
      </c>
      <c r="B5012" s="2" t="s">
        <v>541</v>
      </c>
      <c r="C5012" s="2" t="s">
        <v>720</v>
      </c>
      <c r="D5012" s="2" t="s">
        <v>193</v>
      </c>
      <c r="E5012" s="70" t="s">
        <v>202</v>
      </c>
      <c r="F5012" s="29">
        <v>916</v>
      </c>
      <c r="G5012" s="29">
        <v>579</v>
      </c>
      <c r="H5012" s="33">
        <v>337</v>
      </c>
    </row>
    <row r="5013" spans="1:8" x14ac:dyDescent="0.4">
      <c r="A5013">
        <v>2003</v>
      </c>
      <c r="B5013" s="2" t="s">
        <v>542</v>
      </c>
      <c r="C5013" s="2" t="s">
        <v>720</v>
      </c>
      <c r="D5013" s="2" t="s">
        <v>193</v>
      </c>
      <c r="E5013" s="70" t="s">
        <v>203</v>
      </c>
      <c r="F5013" s="29">
        <v>183</v>
      </c>
      <c r="G5013" s="29">
        <v>100</v>
      </c>
      <c r="H5013" s="33">
        <v>83</v>
      </c>
    </row>
    <row r="5014" spans="1:8" x14ac:dyDescent="0.4">
      <c r="A5014">
        <v>2003</v>
      </c>
      <c r="B5014" s="2" t="s">
        <v>543</v>
      </c>
      <c r="C5014" s="2" t="s">
        <v>720</v>
      </c>
      <c r="D5014" s="2" t="s">
        <v>193</v>
      </c>
      <c r="E5014" s="70" t="s">
        <v>32</v>
      </c>
      <c r="F5014" s="29">
        <v>154</v>
      </c>
      <c r="G5014" s="29">
        <v>86</v>
      </c>
      <c r="H5014" s="33">
        <v>68</v>
      </c>
    </row>
    <row r="5015" spans="1:8" x14ac:dyDescent="0.4">
      <c r="A5015">
        <v>2003</v>
      </c>
      <c r="B5015" s="2" t="s">
        <v>544</v>
      </c>
      <c r="C5015" s="2" t="s">
        <v>720</v>
      </c>
      <c r="D5015" s="2" t="s">
        <v>193</v>
      </c>
      <c r="E5015" s="70" t="s">
        <v>204</v>
      </c>
      <c r="F5015" s="29">
        <v>229</v>
      </c>
      <c r="G5015" s="29">
        <v>167</v>
      </c>
      <c r="H5015" s="33">
        <v>62</v>
      </c>
    </row>
    <row r="5016" spans="1:8" x14ac:dyDescent="0.4">
      <c r="A5016">
        <v>2003</v>
      </c>
      <c r="B5016" s="2" t="s">
        <v>545</v>
      </c>
      <c r="C5016" s="2" t="s">
        <v>720</v>
      </c>
      <c r="D5016" s="2" t="s">
        <v>193</v>
      </c>
      <c r="E5016" s="70" t="s">
        <v>205</v>
      </c>
      <c r="F5016" s="29">
        <v>71</v>
      </c>
      <c r="G5016" s="29">
        <v>41</v>
      </c>
      <c r="H5016" s="33">
        <v>30</v>
      </c>
    </row>
    <row r="5017" spans="1:8" x14ac:dyDescent="0.4">
      <c r="A5017">
        <v>2003</v>
      </c>
      <c r="B5017" s="2" t="s">
        <v>546</v>
      </c>
      <c r="C5017" s="2" t="s">
        <v>720</v>
      </c>
      <c r="D5017" s="2" t="s">
        <v>193</v>
      </c>
      <c r="E5017" s="70" t="s">
        <v>206</v>
      </c>
      <c r="F5017" s="29">
        <v>610</v>
      </c>
      <c r="G5017" s="29">
        <v>390</v>
      </c>
      <c r="H5017" s="33">
        <v>220</v>
      </c>
    </row>
    <row r="5018" spans="1:8" x14ac:dyDescent="0.4">
      <c r="A5018">
        <v>2003</v>
      </c>
      <c r="B5018" s="2" t="s">
        <v>547</v>
      </c>
      <c r="C5018" s="2" t="s">
        <v>720</v>
      </c>
      <c r="D5018" s="2" t="s">
        <v>193</v>
      </c>
      <c r="E5018" s="70" t="s">
        <v>25</v>
      </c>
      <c r="F5018" s="29">
        <v>184</v>
      </c>
      <c r="G5018" s="29">
        <v>149</v>
      </c>
      <c r="H5018" s="33">
        <v>35</v>
      </c>
    </row>
    <row r="5019" spans="1:8" x14ac:dyDescent="0.4">
      <c r="A5019">
        <v>2003</v>
      </c>
      <c r="B5019" s="2" t="s">
        <v>548</v>
      </c>
      <c r="C5019" s="2" t="s">
        <v>720</v>
      </c>
      <c r="D5019" s="2" t="s">
        <v>193</v>
      </c>
      <c r="E5019" s="70" t="s">
        <v>51</v>
      </c>
      <c r="F5019" s="29">
        <v>3323</v>
      </c>
      <c r="G5019" s="29">
        <v>2114</v>
      </c>
      <c r="H5019" s="33">
        <v>1209</v>
      </c>
    </row>
    <row r="5020" spans="1:8" x14ac:dyDescent="0.4">
      <c r="A5020">
        <v>2003</v>
      </c>
      <c r="B5020" s="2" t="s">
        <v>549</v>
      </c>
      <c r="C5020" s="2" t="s">
        <v>720</v>
      </c>
      <c r="D5020" s="2" t="s">
        <v>193</v>
      </c>
      <c r="E5020" s="70" t="s">
        <v>53</v>
      </c>
      <c r="F5020" s="29">
        <v>314</v>
      </c>
      <c r="G5020" s="29">
        <v>191</v>
      </c>
      <c r="H5020" s="33">
        <v>123</v>
      </c>
    </row>
    <row r="5021" spans="1:8" x14ac:dyDescent="0.4">
      <c r="A5021">
        <v>2003</v>
      </c>
      <c r="B5021" s="2" t="s">
        <v>550</v>
      </c>
      <c r="C5021" s="2" t="s">
        <v>720</v>
      </c>
      <c r="D5021" s="2" t="s">
        <v>193</v>
      </c>
      <c r="E5021" s="70" t="s">
        <v>54</v>
      </c>
      <c r="F5021" s="29">
        <v>661</v>
      </c>
      <c r="G5021" s="29">
        <v>434</v>
      </c>
      <c r="H5021" s="33">
        <v>227</v>
      </c>
    </row>
    <row r="5022" spans="1:8" x14ac:dyDescent="0.4">
      <c r="A5022">
        <v>2003</v>
      </c>
      <c r="B5022" s="2" t="s">
        <v>551</v>
      </c>
      <c r="C5022" s="2" t="s">
        <v>721</v>
      </c>
      <c r="D5022" s="2" t="s">
        <v>207</v>
      </c>
      <c r="E5022" s="70" t="s">
        <v>128</v>
      </c>
      <c r="F5022" s="29">
        <v>65</v>
      </c>
      <c r="G5022" s="29">
        <v>38</v>
      </c>
      <c r="H5022" s="33">
        <v>27</v>
      </c>
    </row>
    <row r="5023" spans="1:8" x14ac:dyDescent="0.4">
      <c r="A5023">
        <v>2003</v>
      </c>
      <c r="B5023" s="2" t="s">
        <v>552</v>
      </c>
      <c r="C5023" s="2" t="s">
        <v>721</v>
      </c>
      <c r="D5023" s="2" t="s">
        <v>207</v>
      </c>
      <c r="E5023" s="70" t="s">
        <v>208</v>
      </c>
      <c r="F5023" s="29">
        <v>34</v>
      </c>
      <c r="G5023" s="29">
        <v>19</v>
      </c>
      <c r="H5023" s="33">
        <v>15</v>
      </c>
    </row>
    <row r="5024" spans="1:8" x14ac:dyDescent="0.4">
      <c r="A5024">
        <v>2003</v>
      </c>
      <c r="B5024" s="2" t="s">
        <v>553</v>
      </c>
      <c r="C5024" s="2" t="s">
        <v>721</v>
      </c>
      <c r="D5024" s="2" t="s">
        <v>207</v>
      </c>
      <c r="E5024" s="70" t="s">
        <v>36</v>
      </c>
      <c r="F5024" s="29">
        <v>171</v>
      </c>
      <c r="G5024" s="29">
        <v>113</v>
      </c>
      <c r="H5024" s="33">
        <v>58</v>
      </c>
    </row>
    <row r="5025" spans="1:8" x14ac:dyDescent="0.4">
      <c r="A5025">
        <v>2003</v>
      </c>
      <c r="B5025" s="2" t="s">
        <v>554</v>
      </c>
      <c r="C5025" s="2" t="s">
        <v>721</v>
      </c>
      <c r="D5025" s="2" t="s">
        <v>207</v>
      </c>
      <c r="E5025" s="70" t="s">
        <v>209</v>
      </c>
      <c r="F5025" s="29">
        <v>118</v>
      </c>
      <c r="G5025" s="29">
        <v>74</v>
      </c>
      <c r="H5025" s="33">
        <v>44</v>
      </c>
    </row>
    <row r="5026" spans="1:8" x14ac:dyDescent="0.4">
      <c r="A5026">
        <v>2003</v>
      </c>
      <c r="B5026" s="2" t="s">
        <v>555</v>
      </c>
      <c r="C5026" s="2" t="s">
        <v>721</v>
      </c>
      <c r="D5026" s="2" t="s">
        <v>207</v>
      </c>
      <c r="E5026" s="70" t="s">
        <v>69</v>
      </c>
      <c r="F5026" s="29">
        <v>70</v>
      </c>
      <c r="G5026" s="29">
        <v>46</v>
      </c>
      <c r="H5026" s="33">
        <v>24</v>
      </c>
    </row>
    <row r="5027" spans="1:8" x14ac:dyDescent="0.4">
      <c r="A5027">
        <v>2003</v>
      </c>
      <c r="B5027" s="2" t="s">
        <v>556</v>
      </c>
      <c r="C5027" s="2" t="s">
        <v>721</v>
      </c>
      <c r="D5027" s="2" t="s">
        <v>207</v>
      </c>
      <c r="E5027" s="70" t="s">
        <v>62</v>
      </c>
      <c r="F5027" s="29">
        <v>145</v>
      </c>
      <c r="G5027" s="29">
        <v>103</v>
      </c>
      <c r="H5027" s="33">
        <v>42</v>
      </c>
    </row>
    <row r="5028" spans="1:8" x14ac:dyDescent="0.4">
      <c r="A5028">
        <v>2003</v>
      </c>
      <c r="B5028" s="2" t="s">
        <v>557</v>
      </c>
      <c r="C5028" s="2" t="s">
        <v>721</v>
      </c>
      <c r="D5028" s="2" t="s">
        <v>207</v>
      </c>
      <c r="E5028" s="70" t="s">
        <v>44</v>
      </c>
      <c r="F5028" s="29">
        <v>80</v>
      </c>
      <c r="G5028" s="29">
        <v>49</v>
      </c>
      <c r="H5028" s="33">
        <v>31</v>
      </c>
    </row>
    <row r="5029" spans="1:8" x14ac:dyDescent="0.4">
      <c r="A5029">
        <v>2003</v>
      </c>
      <c r="B5029" s="2" t="s">
        <v>558</v>
      </c>
      <c r="C5029" s="2" t="s">
        <v>721</v>
      </c>
      <c r="D5029" s="2" t="s">
        <v>207</v>
      </c>
      <c r="E5029" s="70" t="s">
        <v>210</v>
      </c>
      <c r="F5029" s="29">
        <v>2446</v>
      </c>
      <c r="G5029" s="29">
        <v>1531</v>
      </c>
      <c r="H5029" s="33">
        <v>915</v>
      </c>
    </row>
    <row r="5030" spans="1:8" x14ac:dyDescent="0.4">
      <c r="A5030">
        <v>2003</v>
      </c>
      <c r="B5030" s="2" t="s">
        <v>559</v>
      </c>
      <c r="C5030" s="2" t="s">
        <v>721</v>
      </c>
      <c r="D5030" s="2" t="s">
        <v>207</v>
      </c>
      <c r="E5030" s="70" t="s">
        <v>74</v>
      </c>
      <c r="F5030" s="29">
        <v>111</v>
      </c>
      <c r="G5030" s="29">
        <v>65</v>
      </c>
      <c r="H5030" s="33">
        <v>46</v>
      </c>
    </row>
    <row r="5031" spans="1:8" x14ac:dyDescent="0.4">
      <c r="A5031">
        <v>2003</v>
      </c>
      <c r="B5031" s="2" t="s">
        <v>560</v>
      </c>
      <c r="C5031" s="2" t="s">
        <v>721</v>
      </c>
      <c r="D5031" s="2" t="s">
        <v>207</v>
      </c>
      <c r="E5031" s="70" t="s">
        <v>211</v>
      </c>
      <c r="F5031" s="29">
        <v>77</v>
      </c>
      <c r="G5031" s="29">
        <v>45</v>
      </c>
      <c r="H5031" s="33">
        <v>32</v>
      </c>
    </row>
    <row r="5032" spans="1:8" x14ac:dyDescent="0.4">
      <c r="A5032">
        <v>2003</v>
      </c>
      <c r="B5032" s="2" t="s">
        <v>561</v>
      </c>
      <c r="C5032" s="2" t="s">
        <v>721</v>
      </c>
      <c r="D5032" s="2" t="s">
        <v>207</v>
      </c>
      <c r="E5032" s="70" t="s">
        <v>212</v>
      </c>
      <c r="F5032" s="29">
        <v>29</v>
      </c>
      <c r="G5032" s="29">
        <v>20</v>
      </c>
      <c r="H5032" s="33">
        <v>9</v>
      </c>
    </row>
    <row r="5033" spans="1:8" x14ac:dyDescent="0.4">
      <c r="A5033">
        <v>2003</v>
      </c>
      <c r="B5033" s="2" t="s">
        <v>562</v>
      </c>
      <c r="C5033" s="2" t="s">
        <v>721</v>
      </c>
      <c r="D5033" s="2" t="s">
        <v>207</v>
      </c>
      <c r="E5033" s="70" t="s">
        <v>213</v>
      </c>
      <c r="F5033" s="29">
        <v>74</v>
      </c>
      <c r="G5033" s="29">
        <v>52</v>
      </c>
      <c r="H5033" s="33">
        <v>22</v>
      </c>
    </row>
    <row r="5034" spans="1:8" x14ac:dyDescent="0.4">
      <c r="A5034">
        <v>2003</v>
      </c>
      <c r="B5034" s="2" t="s">
        <v>563</v>
      </c>
      <c r="C5034" s="2" t="s">
        <v>721</v>
      </c>
      <c r="D5034" s="2" t="s">
        <v>207</v>
      </c>
      <c r="E5034" s="70" t="s">
        <v>214</v>
      </c>
      <c r="F5034" s="29">
        <v>26</v>
      </c>
      <c r="G5034" s="29">
        <v>15</v>
      </c>
      <c r="H5034" s="33">
        <v>11</v>
      </c>
    </row>
    <row r="5035" spans="1:8" x14ac:dyDescent="0.4">
      <c r="A5035">
        <v>2003</v>
      </c>
      <c r="B5035" s="2" t="s">
        <v>564</v>
      </c>
      <c r="C5035" s="2" t="s">
        <v>722</v>
      </c>
      <c r="D5035" s="2" t="s">
        <v>216</v>
      </c>
      <c r="E5035" s="70" t="s">
        <v>215</v>
      </c>
      <c r="F5035" s="29">
        <v>67</v>
      </c>
      <c r="G5035" s="29">
        <v>36</v>
      </c>
      <c r="H5035" s="33">
        <v>31</v>
      </c>
    </row>
    <row r="5036" spans="1:8" x14ac:dyDescent="0.4">
      <c r="A5036">
        <v>2003</v>
      </c>
      <c r="B5036" s="2" t="s">
        <v>565</v>
      </c>
      <c r="C5036" s="2" t="s">
        <v>722</v>
      </c>
      <c r="D5036" s="2" t="s">
        <v>216</v>
      </c>
      <c r="E5036" s="70" t="s">
        <v>59</v>
      </c>
      <c r="F5036" s="29">
        <v>104</v>
      </c>
      <c r="G5036" s="29">
        <v>53</v>
      </c>
      <c r="H5036" s="33">
        <v>51</v>
      </c>
    </row>
    <row r="5037" spans="1:8" x14ac:dyDescent="0.4">
      <c r="A5037">
        <v>2003</v>
      </c>
      <c r="B5037" s="2" t="s">
        <v>566</v>
      </c>
      <c r="C5037" s="2" t="s">
        <v>722</v>
      </c>
      <c r="D5037" s="2" t="s">
        <v>216</v>
      </c>
      <c r="E5037" s="70" t="s">
        <v>217</v>
      </c>
      <c r="F5037" s="29">
        <v>106</v>
      </c>
      <c r="G5037" s="29">
        <v>60</v>
      </c>
      <c r="H5037" s="33">
        <v>46</v>
      </c>
    </row>
    <row r="5038" spans="1:8" x14ac:dyDescent="0.4">
      <c r="A5038">
        <v>2003</v>
      </c>
      <c r="B5038" s="2" t="s">
        <v>567</v>
      </c>
      <c r="C5038" s="2" t="s">
        <v>722</v>
      </c>
      <c r="D5038" s="2" t="s">
        <v>216</v>
      </c>
      <c r="E5038" s="70" t="s">
        <v>218</v>
      </c>
      <c r="F5038" s="29">
        <v>112</v>
      </c>
      <c r="G5038" s="29">
        <v>68</v>
      </c>
      <c r="H5038" s="33">
        <v>44</v>
      </c>
    </row>
    <row r="5039" spans="1:8" x14ac:dyDescent="0.4">
      <c r="A5039">
        <v>2003</v>
      </c>
      <c r="B5039" s="2" t="s">
        <v>568</v>
      </c>
      <c r="C5039" s="2" t="s">
        <v>722</v>
      </c>
      <c r="D5039" s="2" t="s">
        <v>216</v>
      </c>
      <c r="E5039" s="70" t="s">
        <v>219</v>
      </c>
      <c r="F5039" s="29">
        <v>102</v>
      </c>
      <c r="G5039" s="29">
        <v>48</v>
      </c>
      <c r="H5039" s="33">
        <v>54</v>
      </c>
    </row>
    <row r="5040" spans="1:8" x14ac:dyDescent="0.4">
      <c r="A5040">
        <v>2003</v>
      </c>
      <c r="B5040" s="2" t="s">
        <v>569</v>
      </c>
      <c r="C5040" s="2" t="s">
        <v>722</v>
      </c>
      <c r="D5040" s="2" t="s">
        <v>216</v>
      </c>
      <c r="E5040" s="70" t="s">
        <v>220</v>
      </c>
      <c r="F5040" s="29">
        <v>97</v>
      </c>
      <c r="G5040" s="29">
        <v>52</v>
      </c>
      <c r="H5040" s="33">
        <v>45</v>
      </c>
    </row>
    <row r="5041" spans="1:8" x14ac:dyDescent="0.4">
      <c r="A5041">
        <v>2003</v>
      </c>
      <c r="B5041" s="2" t="s">
        <v>570</v>
      </c>
      <c r="C5041" s="2" t="s">
        <v>722</v>
      </c>
      <c r="D5041" s="2" t="s">
        <v>216</v>
      </c>
      <c r="E5041" s="70" t="s">
        <v>221</v>
      </c>
      <c r="F5041" s="29">
        <v>137</v>
      </c>
      <c r="G5041" s="29">
        <v>77</v>
      </c>
      <c r="H5041" s="33">
        <v>60</v>
      </c>
    </row>
    <row r="5042" spans="1:8" x14ac:dyDescent="0.4">
      <c r="A5042">
        <v>2003</v>
      </c>
      <c r="B5042" s="2" t="s">
        <v>571</v>
      </c>
      <c r="C5042" s="2" t="s">
        <v>722</v>
      </c>
      <c r="D5042" s="2" t="s">
        <v>216</v>
      </c>
      <c r="E5042" s="70" t="s">
        <v>222</v>
      </c>
      <c r="F5042" s="29">
        <v>943</v>
      </c>
      <c r="G5042" s="29">
        <v>503</v>
      </c>
      <c r="H5042" s="33">
        <v>440</v>
      </c>
    </row>
    <row r="5043" spans="1:8" x14ac:dyDescent="0.4">
      <c r="A5043">
        <v>2003</v>
      </c>
      <c r="B5043" s="2" t="s">
        <v>572</v>
      </c>
      <c r="C5043" s="2" t="s">
        <v>722</v>
      </c>
      <c r="D5043" s="2" t="s">
        <v>216</v>
      </c>
      <c r="E5043" s="70" t="s">
        <v>223</v>
      </c>
      <c r="F5043" s="29">
        <v>72</v>
      </c>
      <c r="G5043" s="29">
        <v>37</v>
      </c>
      <c r="H5043" s="33">
        <v>35</v>
      </c>
    </row>
    <row r="5044" spans="1:8" x14ac:dyDescent="0.4">
      <c r="A5044">
        <v>2003</v>
      </c>
      <c r="B5044" s="2" t="s">
        <v>573</v>
      </c>
      <c r="C5044" s="2" t="s">
        <v>722</v>
      </c>
      <c r="D5044" s="2" t="s">
        <v>216</v>
      </c>
      <c r="E5044" s="70" t="s">
        <v>224</v>
      </c>
      <c r="F5044" s="29">
        <v>0</v>
      </c>
      <c r="G5044" s="29">
        <v>0</v>
      </c>
      <c r="H5044" s="33">
        <v>0</v>
      </c>
    </row>
    <row r="5045" spans="1:8" x14ac:dyDescent="0.4">
      <c r="A5045">
        <v>2003</v>
      </c>
      <c r="B5045" s="2" t="s">
        <v>574</v>
      </c>
      <c r="C5045" s="2" t="s">
        <v>722</v>
      </c>
      <c r="D5045" s="2" t="s">
        <v>216</v>
      </c>
      <c r="E5045" s="70" t="s">
        <v>225</v>
      </c>
      <c r="F5045" s="29">
        <v>26</v>
      </c>
      <c r="G5045" s="29">
        <v>12</v>
      </c>
      <c r="H5045" s="33">
        <v>14</v>
      </c>
    </row>
    <row r="5046" spans="1:8" x14ac:dyDescent="0.4">
      <c r="A5046">
        <v>2003</v>
      </c>
      <c r="B5046" s="2" t="s">
        <v>575</v>
      </c>
      <c r="C5046" s="2" t="s">
        <v>723</v>
      </c>
      <c r="D5046" s="2" t="s">
        <v>227</v>
      </c>
      <c r="E5046" s="70" t="s">
        <v>226</v>
      </c>
      <c r="F5046" s="29">
        <v>72</v>
      </c>
      <c r="G5046" s="29">
        <v>51</v>
      </c>
      <c r="H5046" s="33">
        <v>21</v>
      </c>
    </row>
    <row r="5047" spans="1:8" x14ac:dyDescent="0.4">
      <c r="A5047">
        <v>2003</v>
      </c>
      <c r="B5047" s="2" t="s">
        <v>576</v>
      </c>
      <c r="C5047" s="2" t="s">
        <v>723</v>
      </c>
      <c r="D5047" s="2" t="s">
        <v>227</v>
      </c>
      <c r="E5047" s="70" t="s">
        <v>228</v>
      </c>
      <c r="F5047" s="29">
        <v>1110</v>
      </c>
      <c r="G5047" s="29">
        <v>658</v>
      </c>
      <c r="H5047" s="33">
        <v>452</v>
      </c>
    </row>
    <row r="5048" spans="1:8" x14ac:dyDescent="0.4">
      <c r="A5048">
        <v>2003</v>
      </c>
      <c r="B5048" s="2" t="s">
        <v>577</v>
      </c>
      <c r="C5048" s="2" t="s">
        <v>723</v>
      </c>
      <c r="D5048" s="2" t="s">
        <v>227</v>
      </c>
      <c r="E5048" s="70" t="s">
        <v>229</v>
      </c>
      <c r="F5048" s="29">
        <v>117</v>
      </c>
      <c r="G5048" s="29">
        <v>74</v>
      </c>
      <c r="H5048" s="33">
        <v>43</v>
      </c>
    </row>
    <row r="5049" spans="1:8" x14ac:dyDescent="0.4">
      <c r="A5049">
        <v>2003</v>
      </c>
      <c r="B5049" s="2" t="s">
        <v>578</v>
      </c>
      <c r="C5049" s="2" t="s">
        <v>723</v>
      </c>
      <c r="D5049" s="2" t="s">
        <v>227</v>
      </c>
      <c r="E5049" s="70" t="s">
        <v>230</v>
      </c>
      <c r="F5049" s="29">
        <v>1058</v>
      </c>
      <c r="G5049" s="29">
        <v>639</v>
      </c>
      <c r="H5049" s="33">
        <v>419</v>
      </c>
    </row>
    <row r="5050" spans="1:8" x14ac:dyDescent="0.4">
      <c r="A5050">
        <v>2003</v>
      </c>
      <c r="B5050" s="2" t="s">
        <v>579</v>
      </c>
      <c r="C5050" s="2" t="s">
        <v>723</v>
      </c>
      <c r="D5050" s="2" t="s">
        <v>227</v>
      </c>
      <c r="E5050" s="70" t="s">
        <v>231</v>
      </c>
      <c r="F5050" s="29">
        <v>96</v>
      </c>
      <c r="G5050" s="29">
        <v>67</v>
      </c>
      <c r="H5050" s="33">
        <v>29</v>
      </c>
    </row>
    <row r="5051" spans="1:8" x14ac:dyDescent="0.4">
      <c r="A5051">
        <v>2003</v>
      </c>
      <c r="B5051" s="2" t="s">
        <v>580</v>
      </c>
      <c r="C5051" s="2" t="s">
        <v>723</v>
      </c>
      <c r="D5051" s="2" t="s">
        <v>227</v>
      </c>
      <c r="E5051" s="70" t="s">
        <v>232</v>
      </c>
      <c r="F5051" s="29">
        <v>101</v>
      </c>
      <c r="G5051" s="29">
        <v>56</v>
      </c>
      <c r="H5051" s="33">
        <v>45</v>
      </c>
    </row>
    <row r="5052" spans="1:8" x14ac:dyDescent="0.4">
      <c r="A5052">
        <v>2003</v>
      </c>
      <c r="B5052" s="2" t="s">
        <v>581</v>
      </c>
      <c r="C5052" s="2" t="s">
        <v>723</v>
      </c>
      <c r="D5052" s="2" t="s">
        <v>227</v>
      </c>
      <c r="E5052" s="70" t="s">
        <v>233</v>
      </c>
      <c r="F5052" s="29">
        <v>124</v>
      </c>
      <c r="G5052" s="29">
        <v>72</v>
      </c>
      <c r="H5052" s="33">
        <v>52</v>
      </c>
    </row>
    <row r="5053" spans="1:8" x14ac:dyDescent="0.4">
      <c r="A5053">
        <v>2003</v>
      </c>
      <c r="B5053" s="2" t="s">
        <v>582</v>
      </c>
      <c r="C5053" s="2" t="s">
        <v>723</v>
      </c>
      <c r="D5053" s="2" t="s">
        <v>227</v>
      </c>
      <c r="E5053" s="70" t="s">
        <v>32</v>
      </c>
      <c r="F5053" s="29">
        <v>566</v>
      </c>
      <c r="G5053" s="29">
        <v>356</v>
      </c>
      <c r="H5053" s="33">
        <v>210</v>
      </c>
    </row>
    <row r="5054" spans="1:8" x14ac:dyDescent="0.4">
      <c r="A5054">
        <v>2003</v>
      </c>
      <c r="B5054" s="2" t="s">
        <v>583</v>
      </c>
      <c r="C5054" s="2" t="s">
        <v>723</v>
      </c>
      <c r="D5054" s="2" t="s">
        <v>227</v>
      </c>
      <c r="E5054" s="70" t="s">
        <v>234</v>
      </c>
      <c r="F5054" s="29">
        <v>29</v>
      </c>
      <c r="G5054" s="29">
        <v>12</v>
      </c>
      <c r="H5054" s="33">
        <v>17</v>
      </c>
    </row>
    <row r="5055" spans="1:8" x14ac:dyDescent="0.4">
      <c r="A5055">
        <v>2003</v>
      </c>
      <c r="B5055" s="2" t="s">
        <v>584</v>
      </c>
      <c r="C5055" s="2" t="s">
        <v>723</v>
      </c>
      <c r="D5055" s="2" t="s">
        <v>227</v>
      </c>
      <c r="E5055" s="70" t="s">
        <v>235</v>
      </c>
      <c r="F5055" s="29">
        <v>54</v>
      </c>
      <c r="G5055" s="29">
        <v>36</v>
      </c>
      <c r="H5055" s="33">
        <v>18</v>
      </c>
    </row>
    <row r="5056" spans="1:8" x14ac:dyDescent="0.4">
      <c r="A5056">
        <v>2003</v>
      </c>
      <c r="B5056" s="2" t="s">
        <v>585</v>
      </c>
      <c r="C5056" s="2" t="s">
        <v>723</v>
      </c>
      <c r="D5056" s="2" t="s">
        <v>227</v>
      </c>
      <c r="E5056" s="70" t="s">
        <v>236</v>
      </c>
      <c r="F5056" s="29">
        <v>29</v>
      </c>
      <c r="G5056" s="29">
        <v>16</v>
      </c>
      <c r="H5056" s="33">
        <v>13</v>
      </c>
    </row>
    <row r="5057" spans="1:8" x14ac:dyDescent="0.4">
      <c r="A5057">
        <v>2003</v>
      </c>
      <c r="B5057" s="2" t="s">
        <v>586</v>
      </c>
      <c r="C5057" s="2" t="s">
        <v>723</v>
      </c>
      <c r="D5057" s="2" t="s">
        <v>227</v>
      </c>
      <c r="E5057" s="70" t="s">
        <v>237</v>
      </c>
      <c r="F5057" s="29">
        <v>40</v>
      </c>
      <c r="G5057" s="29">
        <v>24</v>
      </c>
      <c r="H5057" s="33">
        <v>16</v>
      </c>
    </row>
    <row r="5058" spans="1:8" x14ac:dyDescent="0.4">
      <c r="A5058">
        <v>2003</v>
      </c>
      <c r="B5058" s="2" t="s">
        <v>587</v>
      </c>
      <c r="C5058" s="2" t="s">
        <v>723</v>
      </c>
      <c r="D5058" s="2" t="s">
        <v>227</v>
      </c>
      <c r="E5058" s="70" t="s">
        <v>51</v>
      </c>
      <c r="F5058" s="29">
        <v>240</v>
      </c>
      <c r="G5058" s="29">
        <v>133</v>
      </c>
      <c r="H5058" s="33">
        <v>107</v>
      </c>
    </row>
    <row r="5059" spans="1:8" x14ac:dyDescent="0.4">
      <c r="A5059">
        <v>2003</v>
      </c>
      <c r="B5059" s="2" t="s">
        <v>588</v>
      </c>
      <c r="C5059" s="2" t="s">
        <v>723</v>
      </c>
      <c r="D5059" s="2" t="s">
        <v>227</v>
      </c>
      <c r="E5059" s="70" t="s">
        <v>238</v>
      </c>
      <c r="F5059" s="29">
        <v>196</v>
      </c>
      <c r="G5059" s="29">
        <v>121</v>
      </c>
      <c r="H5059" s="33">
        <v>75</v>
      </c>
    </row>
    <row r="5060" spans="1:8" x14ac:dyDescent="0.4">
      <c r="A5060">
        <v>2003</v>
      </c>
      <c r="B5060" s="2" t="s">
        <v>589</v>
      </c>
      <c r="C5060" s="2" t="s">
        <v>724</v>
      </c>
      <c r="D5060" s="2" t="s">
        <v>239</v>
      </c>
      <c r="E5060" s="70" t="s">
        <v>163</v>
      </c>
      <c r="F5060" s="29">
        <v>85</v>
      </c>
      <c r="G5060" s="29">
        <v>56</v>
      </c>
      <c r="H5060" s="33">
        <v>29</v>
      </c>
    </row>
    <row r="5061" spans="1:8" x14ac:dyDescent="0.4">
      <c r="A5061">
        <v>2003</v>
      </c>
      <c r="B5061" s="2" t="s">
        <v>590</v>
      </c>
      <c r="C5061" s="2" t="s">
        <v>724</v>
      </c>
      <c r="D5061" s="2" t="s">
        <v>239</v>
      </c>
      <c r="E5061" s="70" t="s">
        <v>240</v>
      </c>
      <c r="F5061" s="29">
        <v>24</v>
      </c>
      <c r="G5061" s="29">
        <v>16</v>
      </c>
      <c r="H5061" s="33">
        <v>8</v>
      </c>
    </row>
    <row r="5062" spans="1:8" x14ac:dyDescent="0.4">
      <c r="A5062">
        <v>2003</v>
      </c>
      <c r="B5062" s="2" t="s">
        <v>591</v>
      </c>
      <c r="C5062" s="2" t="s">
        <v>724</v>
      </c>
      <c r="D5062" s="2" t="s">
        <v>239</v>
      </c>
      <c r="E5062" s="70" t="s">
        <v>59</v>
      </c>
      <c r="F5062" s="29">
        <v>196</v>
      </c>
      <c r="G5062" s="29">
        <v>117</v>
      </c>
      <c r="H5062" s="33">
        <v>79</v>
      </c>
    </row>
    <row r="5063" spans="1:8" x14ac:dyDescent="0.4">
      <c r="A5063">
        <v>2003</v>
      </c>
      <c r="B5063" s="2" t="s">
        <v>592</v>
      </c>
      <c r="C5063" s="2" t="s">
        <v>724</v>
      </c>
      <c r="D5063" s="2" t="s">
        <v>239</v>
      </c>
      <c r="E5063" s="70" t="s">
        <v>241</v>
      </c>
      <c r="F5063" s="29">
        <v>26</v>
      </c>
      <c r="G5063" s="29">
        <v>20</v>
      </c>
      <c r="H5063" s="33">
        <v>6</v>
      </c>
    </row>
    <row r="5064" spans="1:8" x14ac:dyDescent="0.4">
      <c r="A5064">
        <v>2003</v>
      </c>
      <c r="B5064" s="2" t="s">
        <v>593</v>
      </c>
      <c r="C5064" s="2" t="s">
        <v>724</v>
      </c>
      <c r="D5064" s="2" t="s">
        <v>239</v>
      </c>
      <c r="E5064" s="70" t="s">
        <v>242</v>
      </c>
      <c r="F5064" s="29">
        <v>925</v>
      </c>
      <c r="G5064" s="29">
        <v>526</v>
      </c>
      <c r="H5064" s="33">
        <v>399</v>
      </c>
    </row>
    <row r="5065" spans="1:8" x14ac:dyDescent="0.4">
      <c r="A5065">
        <v>2003</v>
      </c>
      <c r="B5065" s="2" t="s">
        <v>594</v>
      </c>
      <c r="C5065" s="2" t="s">
        <v>724</v>
      </c>
      <c r="D5065" s="2" t="s">
        <v>239</v>
      </c>
      <c r="E5065" s="70" t="s">
        <v>36</v>
      </c>
      <c r="F5065" s="29">
        <v>40</v>
      </c>
      <c r="G5065" s="29">
        <v>26</v>
      </c>
      <c r="H5065" s="33">
        <v>14</v>
      </c>
    </row>
    <row r="5066" spans="1:8" x14ac:dyDescent="0.4">
      <c r="A5066">
        <v>2003</v>
      </c>
      <c r="B5066" s="2" t="s">
        <v>595</v>
      </c>
      <c r="C5066" s="2" t="s">
        <v>724</v>
      </c>
      <c r="D5066" s="2" t="s">
        <v>239</v>
      </c>
      <c r="E5066" s="70" t="s">
        <v>243</v>
      </c>
      <c r="F5066" s="29">
        <v>88</v>
      </c>
      <c r="G5066" s="29">
        <v>53</v>
      </c>
      <c r="H5066" s="33">
        <v>35</v>
      </c>
    </row>
    <row r="5067" spans="1:8" x14ac:dyDescent="0.4">
      <c r="A5067">
        <v>2003</v>
      </c>
      <c r="B5067" s="2" t="s">
        <v>596</v>
      </c>
      <c r="C5067" s="2" t="s">
        <v>724</v>
      </c>
      <c r="D5067" s="2" t="s">
        <v>239</v>
      </c>
      <c r="E5067" s="70" t="s">
        <v>244</v>
      </c>
      <c r="F5067" s="29">
        <v>95</v>
      </c>
      <c r="G5067" s="29">
        <v>48</v>
      </c>
      <c r="H5067" s="33">
        <v>47</v>
      </c>
    </row>
    <row r="5068" spans="1:8" x14ac:dyDescent="0.4">
      <c r="A5068">
        <v>2003</v>
      </c>
      <c r="B5068" s="2" t="s">
        <v>597</v>
      </c>
      <c r="C5068" s="2" t="s">
        <v>724</v>
      </c>
      <c r="D5068" s="2" t="s">
        <v>239</v>
      </c>
      <c r="E5068" s="70" t="s">
        <v>44</v>
      </c>
      <c r="F5068" s="29">
        <v>35</v>
      </c>
      <c r="G5068" s="29">
        <v>18</v>
      </c>
      <c r="H5068" s="33">
        <v>17</v>
      </c>
    </row>
    <row r="5069" spans="1:8" x14ac:dyDescent="0.4">
      <c r="A5069">
        <v>2003</v>
      </c>
      <c r="B5069" s="2" t="s">
        <v>598</v>
      </c>
      <c r="C5069" s="2" t="s">
        <v>724</v>
      </c>
      <c r="D5069" s="2" t="s">
        <v>239</v>
      </c>
      <c r="E5069" s="70" t="s">
        <v>222</v>
      </c>
      <c r="F5069" s="29">
        <v>94</v>
      </c>
      <c r="G5069" s="29">
        <v>61</v>
      </c>
      <c r="H5069" s="33">
        <v>33</v>
      </c>
    </row>
    <row r="5070" spans="1:8" x14ac:dyDescent="0.4">
      <c r="A5070">
        <v>2003</v>
      </c>
      <c r="B5070" s="2" t="s">
        <v>599</v>
      </c>
      <c r="C5070" s="2" t="s">
        <v>724</v>
      </c>
      <c r="D5070" s="2" t="s">
        <v>239</v>
      </c>
      <c r="E5070" s="70" t="s">
        <v>245</v>
      </c>
      <c r="F5070" s="29">
        <v>25</v>
      </c>
      <c r="G5070" s="29">
        <v>13</v>
      </c>
      <c r="H5070" s="33">
        <v>12</v>
      </c>
    </row>
    <row r="5071" spans="1:8" x14ac:dyDescent="0.4">
      <c r="A5071">
        <v>2003</v>
      </c>
      <c r="B5071" s="2" t="s">
        <v>600</v>
      </c>
      <c r="C5071" s="2" t="s">
        <v>724</v>
      </c>
      <c r="D5071" s="2" t="s">
        <v>239</v>
      </c>
      <c r="E5071" s="70" t="s">
        <v>246</v>
      </c>
      <c r="F5071" s="29">
        <v>174</v>
      </c>
      <c r="G5071" s="29">
        <v>98</v>
      </c>
      <c r="H5071" s="33">
        <v>76</v>
      </c>
    </row>
    <row r="5072" spans="1:8" x14ac:dyDescent="0.4">
      <c r="A5072">
        <v>2003</v>
      </c>
      <c r="B5072" s="2" t="s">
        <v>601</v>
      </c>
      <c r="C5072" s="2" t="s">
        <v>724</v>
      </c>
      <c r="D5072" s="2" t="s">
        <v>239</v>
      </c>
      <c r="E5072" s="70" t="s">
        <v>247</v>
      </c>
      <c r="F5072" s="29">
        <v>172</v>
      </c>
      <c r="G5072" s="29">
        <v>108</v>
      </c>
      <c r="H5072" s="33">
        <v>64</v>
      </c>
    </row>
    <row r="5073" spans="1:8" x14ac:dyDescent="0.4">
      <c r="A5073">
        <v>2003</v>
      </c>
      <c r="B5073" s="2" t="s">
        <v>602</v>
      </c>
      <c r="C5073" s="2" t="s">
        <v>724</v>
      </c>
      <c r="D5073" s="2" t="s">
        <v>239</v>
      </c>
      <c r="E5073" s="70" t="s">
        <v>51</v>
      </c>
      <c r="F5073" s="29">
        <v>1577</v>
      </c>
      <c r="G5073" s="29">
        <v>964</v>
      </c>
      <c r="H5073" s="33">
        <v>613</v>
      </c>
    </row>
    <row r="5074" spans="1:8" x14ac:dyDescent="0.4">
      <c r="A5074">
        <v>2003</v>
      </c>
      <c r="B5074" s="2" t="s">
        <v>603</v>
      </c>
      <c r="C5074" s="2" t="s">
        <v>724</v>
      </c>
      <c r="D5074" s="2" t="s">
        <v>239</v>
      </c>
      <c r="E5074" s="70" t="s">
        <v>248</v>
      </c>
      <c r="F5074" s="29">
        <v>122</v>
      </c>
      <c r="G5074" s="29">
        <v>77</v>
      </c>
      <c r="H5074" s="33">
        <v>45</v>
      </c>
    </row>
    <row r="5075" spans="1:8" x14ac:dyDescent="0.4">
      <c r="A5075">
        <v>2003</v>
      </c>
      <c r="B5075" s="2" t="s">
        <v>604</v>
      </c>
      <c r="C5075" s="2" t="s">
        <v>725</v>
      </c>
      <c r="D5075" s="2" t="s">
        <v>249</v>
      </c>
      <c r="E5075" s="70" t="s">
        <v>174</v>
      </c>
      <c r="F5075" s="29">
        <v>65</v>
      </c>
      <c r="G5075" s="29">
        <v>36</v>
      </c>
      <c r="H5075" s="33">
        <v>29</v>
      </c>
    </row>
    <row r="5076" spans="1:8" x14ac:dyDescent="0.4">
      <c r="A5076">
        <v>2003</v>
      </c>
      <c r="B5076" s="2" t="s">
        <v>605</v>
      </c>
      <c r="C5076" s="2" t="s">
        <v>725</v>
      </c>
      <c r="D5076" s="2" t="s">
        <v>249</v>
      </c>
      <c r="E5076" s="70" t="s">
        <v>250</v>
      </c>
      <c r="F5076" s="29">
        <v>29</v>
      </c>
      <c r="G5076" s="29">
        <v>18</v>
      </c>
      <c r="H5076" s="33">
        <v>11</v>
      </c>
    </row>
    <row r="5077" spans="1:8" x14ac:dyDescent="0.4">
      <c r="A5077">
        <v>2003</v>
      </c>
      <c r="B5077" s="2" t="s">
        <v>606</v>
      </c>
      <c r="C5077" s="2" t="s">
        <v>725</v>
      </c>
      <c r="D5077" s="2" t="s">
        <v>249</v>
      </c>
      <c r="E5077" s="70" t="s">
        <v>251</v>
      </c>
      <c r="F5077" s="29">
        <v>243</v>
      </c>
      <c r="G5077" s="29">
        <v>154</v>
      </c>
      <c r="H5077" s="33">
        <v>89</v>
      </c>
    </row>
    <row r="5078" spans="1:8" x14ac:dyDescent="0.4">
      <c r="A5078">
        <v>2003</v>
      </c>
      <c r="B5078" s="2" t="s">
        <v>607</v>
      </c>
      <c r="C5078" s="2" t="s">
        <v>725</v>
      </c>
      <c r="D5078" s="2" t="s">
        <v>249</v>
      </c>
      <c r="E5078" s="70" t="s">
        <v>36</v>
      </c>
      <c r="F5078" s="29">
        <v>241</v>
      </c>
      <c r="G5078" s="29">
        <v>165</v>
      </c>
      <c r="H5078" s="33">
        <v>76</v>
      </c>
    </row>
    <row r="5079" spans="1:8" x14ac:dyDescent="0.4">
      <c r="A5079">
        <v>2003</v>
      </c>
      <c r="B5079" s="2" t="s">
        <v>608</v>
      </c>
      <c r="C5079" s="2" t="s">
        <v>725</v>
      </c>
      <c r="D5079" s="2" t="s">
        <v>249</v>
      </c>
      <c r="E5079" s="70" t="s">
        <v>252</v>
      </c>
      <c r="F5079" s="29">
        <v>297</v>
      </c>
      <c r="G5079" s="29">
        <v>171</v>
      </c>
      <c r="H5079" s="33">
        <v>126</v>
      </c>
    </row>
    <row r="5080" spans="1:8" x14ac:dyDescent="0.4">
      <c r="A5080">
        <v>2003</v>
      </c>
      <c r="B5080" s="2" t="s">
        <v>609</v>
      </c>
      <c r="C5080" s="2" t="s">
        <v>725</v>
      </c>
      <c r="D5080" s="2" t="s">
        <v>249</v>
      </c>
      <c r="E5080" s="70" t="s">
        <v>253</v>
      </c>
      <c r="F5080" s="29">
        <v>67</v>
      </c>
      <c r="G5080" s="29">
        <v>48</v>
      </c>
      <c r="H5080" s="33">
        <v>19</v>
      </c>
    </row>
    <row r="5081" spans="1:8" x14ac:dyDescent="0.4">
      <c r="A5081">
        <v>2003</v>
      </c>
      <c r="B5081" s="2" t="s">
        <v>610</v>
      </c>
      <c r="C5081" s="2" t="s">
        <v>725</v>
      </c>
      <c r="D5081" s="2" t="s">
        <v>249</v>
      </c>
      <c r="E5081" s="70" t="s">
        <v>254</v>
      </c>
      <c r="F5081" s="29">
        <v>160</v>
      </c>
      <c r="G5081" s="29">
        <v>106</v>
      </c>
      <c r="H5081" s="33">
        <v>54</v>
      </c>
    </row>
    <row r="5082" spans="1:8" x14ac:dyDescent="0.4">
      <c r="A5082">
        <v>2003</v>
      </c>
      <c r="B5082" s="2" t="s">
        <v>611</v>
      </c>
      <c r="C5082" s="2" t="s">
        <v>725</v>
      </c>
      <c r="D5082" s="2" t="s">
        <v>249</v>
      </c>
      <c r="E5082" s="70" t="s">
        <v>11</v>
      </c>
      <c r="F5082" s="29">
        <v>25</v>
      </c>
      <c r="G5082" s="29">
        <v>13</v>
      </c>
      <c r="H5082" s="33">
        <v>12</v>
      </c>
    </row>
    <row r="5083" spans="1:8" x14ac:dyDescent="0.4">
      <c r="A5083">
        <v>2003</v>
      </c>
      <c r="B5083" s="2" t="s">
        <v>612</v>
      </c>
      <c r="C5083" s="2" t="s">
        <v>725</v>
      </c>
      <c r="D5083" s="2" t="s">
        <v>249</v>
      </c>
      <c r="E5083" s="70" t="s">
        <v>255</v>
      </c>
      <c r="F5083" s="29">
        <v>202</v>
      </c>
      <c r="G5083" s="29">
        <v>138</v>
      </c>
      <c r="H5083" s="33">
        <v>64</v>
      </c>
    </row>
    <row r="5084" spans="1:8" x14ac:dyDescent="0.4">
      <c r="A5084">
        <v>2003</v>
      </c>
      <c r="B5084" s="2" t="s">
        <v>613</v>
      </c>
      <c r="C5084" s="2" t="s">
        <v>725</v>
      </c>
      <c r="D5084" s="2" t="s">
        <v>249</v>
      </c>
      <c r="E5084" s="70" t="s">
        <v>256</v>
      </c>
      <c r="F5084" s="29">
        <v>83</v>
      </c>
      <c r="G5084" s="29">
        <v>50</v>
      </c>
      <c r="H5084" s="33">
        <v>33</v>
      </c>
    </row>
    <row r="5085" spans="1:8" x14ac:dyDescent="0.4">
      <c r="A5085">
        <v>2003</v>
      </c>
      <c r="B5085" s="2" t="s">
        <v>614</v>
      </c>
      <c r="C5085" s="2" t="s">
        <v>725</v>
      </c>
      <c r="D5085" s="2" t="s">
        <v>249</v>
      </c>
      <c r="E5085" s="70" t="s">
        <v>14</v>
      </c>
      <c r="F5085" s="29">
        <v>97</v>
      </c>
      <c r="G5085" s="29">
        <v>56</v>
      </c>
      <c r="H5085" s="33">
        <v>41</v>
      </c>
    </row>
    <row r="5086" spans="1:8" x14ac:dyDescent="0.4">
      <c r="A5086">
        <v>2003</v>
      </c>
      <c r="B5086" s="2" t="s">
        <v>615</v>
      </c>
      <c r="C5086" s="2" t="s">
        <v>725</v>
      </c>
      <c r="D5086" s="2" t="s">
        <v>249</v>
      </c>
      <c r="E5086" s="70" t="s">
        <v>257</v>
      </c>
      <c r="F5086" s="29">
        <v>211</v>
      </c>
      <c r="G5086" s="29">
        <v>141</v>
      </c>
      <c r="H5086" s="33">
        <v>70</v>
      </c>
    </row>
    <row r="5087" spans="1:8" x14ac:dyDescent="0.4">
      <c r="A5087">
        <v>2003</v>
      </c>
      <c r="B5087" s="2" t="s">
        <v>616</v>
      </c>
      <c r="C5087" s="2" t="s">
        <v>725</v>
      </c>
      <c r="D5087" s="2" t="s">
        <v>249</v>
      </c>
      <c r="E5087" s="70" t="s">
        <v>258</v>
      </c>
      <c r="F5087" s="29">
        <v>38</v>
      </c>
      <c r="G5087" s="29">
        <v>23</v>
      </c>
      <c r="H5087" s="33">
        <v>15</v>
      </c>
    </row>
    <row r="5088" spans="1:8" x14ac:dyDescent="0.4">
      <c r="A5088">
        <v>2003</v>
      </c>
      <c r="B5088" s="2" t="s">
        <v>617</v>
      </c>
      <c r="C5088" s="2" t="s">
        <v>725</v>
      </c>
      <c r="D5088" s="2" t="s">
        <v>249</v>
      </c>
      <c r="E5088" s="70" t="s">
        <v>259</v>
      </c>
      <c r="F5088" s="29">
        <v>280</v>
      </c>
      <c r="G5088" s="29">
        <v>165</v>
      </c>
      <c r="H5088" s="33">
        <v>115</v>
      </c>
    </row>
    <row r="5089" spans="1:8" x14ac:dyDescent="0.4">
      <c r="A5089">
        <v>2003</v>
      </c>
      <c r="B5089" s="2" t="s">
        <v>618</v>
      </c>
      <c r="C5089" s="2" t="s">
        <v>725</v>
      </c>
      <c r="D5089" s="2" t="s">
        <v>249</v>
      </c>
      <c r="E5089" s="70" t="s">
        <v>18</v>
      </c>
      <c r="F5089" s="29">
        <v>50</v>
      </c>
      <c r="G5089" s="29">
        <v>30</v>
      </c>
      <c r="H5089" s="33">
        <v>20</v>
      </c>
    </row>
    <row r="5090" spans="1:8" x14ac:dyDescent="0.4">
      <c r="A5090">
        <v>2003</v>
      </c>
      <c r="B5090" s="2" t="s">
        <v>619</v>
      </c>
      <c r="C5090" s="2" t="s">
        <v>725</v>
      </c>
      <c r="D5090" s="2" t="s">
        <v>249</v>
      </c>
      <c r="E5090" s="70" t="s">
        <v>44</v>
      </c>
      <c r="F5090" s="29">
        <v>74</v>
      </c>
      <c r="G5090" s="29">
        <v>46</v>
      </c>
      <c r="H5090" s="33">
        <v>28</v>
      </c>
    </row>
    <row r="5091" spans="1:8" x14ac:dyDescent="0.4">
      <c r="A5091">
        <v>2003</v>
      </c>
      <c r="B5091" s="2" t="s">
        <v>620</v>
      </c>
      <c r="C5091" s="2" t="s">
        <v>725</v>
      </c>
      <c r="D5091" s="2" t="s">
        <v>249</v>
      </c>
      <c r="E5091" s="70" t="s">
        <v>260</v>
      </c>
      <c r="F5091" s="29">
        <v>49</v>
      </c>
      <c r="G5091" s="29">
        <v>33</v>
      </c>
      <c r="H5091" s="33">
        <v>16</v>
      </c>
    </row>
    <row r="5092" spans="1:8" x14ac:dyDescent="0.4">
      <c r="A5092">
        <v>2003</v>
      </c>
      <c r="B5092" s="2" t="s">
        <v>621</v>
      </c>
      <c r="C5092" s="2" t="s">
        <v>725</v>
      </c>
      <c r="D5092" s="2" t="s">
        <v>249</v>
      </c>
      <c r="E5092" s="70" t="s">
        <v>261</v>
      </c>
      <c r="F5092" s="29">
        <v>64</v>
      </c>
      <c r="G5092" s="29">
        <v>38</v>
      </c>
      <c r="H5092" s="33">
        <v>26</v>
      </c>
    </row>
    <row r="5093" spans="1:8" x14ac:dyDescent="0.4">
      <c r="A5093">
        <v>2003</v>
      </c>
      <c r="B5093" s="2" t="s">
        <v>622</v>
      </c>
      <c r="C5093" s="2" t="s">
        <v>725</v>
      </c>
      <c r="D5093" s="2" t="s">
        <v>249</v>
      </c>
      <c r="E5093" s="70" t="s">
        <v>262</v>
      </c>
      <c r="F5093" s="29">
        <v>158</v>
      </c>
      <c r="G5093" s="29">
        <v>110</v>
      </c>
      <c r="H5093" s="33">
        <v>48</v>
      </c>
    </row>
    <row r="5094" spans="1:8" x14ac:dyDescent="0.4">
      <c r="A5094">
        <v>2003</v>
      </c>
      <c r="B5094" s="2" t="s">
        <v>623</v>
      </c>
      <c r="C5094" s="2" t="s">
        <v>725</v>
      </c>
      <c r="D5094" s="2" t="s">
        <v>249</v>
      </c>
      <c r="E5094" s="70" t="s">
        <v>263</v>
      </c>
      <c r="F5094" s="29">
        <v>112</v>
      </c>
      <c r="G5094" s="29">
        <v>77</v>
      </c>
      <c r="H5094" s="33">
        <v>35</v>
      </c>
    </row>
    <row r="5095" spans="1:8" x14ac:dyDescent="0.4">
      <c r="A5095">
        <v>2003</v>
      </c>
      <c r="B5095" s="2" t="s">
        <v>624</v>
      </c>
      <c r="C5095" s="2" t="s">
        <v>725</v>
      </c>
      <c r="D5095" s="2" t="s">
        <v>249</v>
      </c>
      <c r="E5095" s="70" t="s">
        <v>264</v>
      </c>
      <c r="F5095" s="29">
        <v>34</v>
      </c>
      <c r="G5095" s="29">
        <v>24</v>
      </c>
      <c r="H5095" s="33">
        <v>10</v>
      </c>
    </row>
    <row r="5096" spans="1:8" x14ac:dyDescent="0.4">
      <c r="A5096">
        <v>2003</v>
      </c>
      <c r="B5096" s="2" t="s">
        <v>625</v>
      </c>
      <c r="C5096" s="2" t="s">
        <v>725</v>
      </c>
      <c r="D5096" s="2" t="s">
        <v>249</v>
      </c>
      <c r="E5096" s="70" t="s">
        <v>265</v>
      </c>
      <c r="F5096" s="29">
        <v>57</v>
      </c>
      <c r="G5096" s="29">
        <v>39</v>
      </c>
      <c r="H5096" s="33">
        <v>18</v>
      </c>
    </row>
    <row r="5097" spans="1:8" x14ac:dyDescent="0.4">
      <c r="A5097">
        <v>2003</v>
      </c>
      <c r="B5097" s="2" t="s">
        <v>626</v>
      </c>
      <c r="C5097" s="2" t="s">
        <v>725</v>
      </c>
      <c r="D5097" s="2" t="s">
        <v>249</v>
      </c>
      <c r="E5097" s="70" t="s">
        <v>266</v>
      </c>
      <c r="F5097" s="29">
        <v>2687</v>
      </c>
      <c r="G5097" s="29">
        <v>1591</v>
      </c>
      <c r="H5097" s="33">
        <v>1096</v>
      </c>
    </row>
    <row r="5098" spans="1:8" x14ac:dyDescent="0.4">
      <c r="A5098">
        <v>2003</v>
      </c>
      <c r="B5098" s="2" t="s">
        <v>627</v>
      </c>
      <c r="C5098" s="2" t="s">
        <v>725</v>
      </c>
      <c r="D5098" s="2" t="s">
        <v>249</v>
      </c>
      <c r="E5098" s="70" t="s">
        <v>267</v>
      </c>
      <c r="F5098" s="29">
        <v>16</v>
      </c>
      <c r="G5098" s="29">
        <v>13</v>
      </c>
      <c r="H5098" s="33">
        <v>3</v>
      </c>
    </row>
    <row r="5099" spans="1:8" x14ac:dyDescent="0.4">
      <c r="A5099">
        <v>2003</v>
      </c>
      <c r="B5099" s="2" t="s">
        <v>628</v>
      </c>
      <c r="C5099" s="2" t="s">
        <v>725</v>
      </c>
      <c r="D5099" s="2" t="s">
        <v>249</v>
      </c>
      <c r="E5099" s="70" t="s">
        <v>268</v>
      </c>
      <c r="F5099" s="29">
        <v>40</v>
      </c>
      <c r="G5099" s="29">
        <v>27</v>
      </c>
      <c r="H5099" s="33">
        <v>13</v>
      </c>
    </row>
    <row r="5100" spans="1:8" x14ac:dyDescent="0.4">
      <c r="A5100">
        <v>2003</v>
      </c>
      <c r="B5100" s="2" t="s">
        <v>629</v>
      </c>
      <c r="C5100" s="2" t="s">
        <v>725</v>
      </c>
      <c r="D5100" s="2" t="s">
        <v>249</v>
      </c>
      <c r="E5100" s="70" t="s">
        <v>26</v>
      </c>
      <c r="F5100" s="29">
        <v>11</v>
      </c>
      <c r="G5100" s="29">
        <v>7</v>
      </c>
      <c r="H5100" s="33">
        <v>4</v>
      </c>
    </row>
    <row r="5101" spans="1:8" x14ac:dyDescent="0.4">
      <c r="A5101">
        <v>2003</v>
      </c>
      <c r="B5101" s="2" t="s">
        <v>630</v>
      </c>
      <c r="C5101" s="2" t="s">
        <v>725</v>
      </c>
      <c r="D5101" s="2" t="s">
        <v>249</v>
      </c>
      <c r="E5101" s="70" t="s">
        <v>51</v>
      </c>
      <c r="F5101" s="29">
        <v>43</v>
      </c>
      <c r="G5101" s="29">
        <v>22</v>
      </c>
      <c r="H5101" s="33">
        <v>21</v>
      </c>
    </row>
    <row r="5102" spans="1:8" x14ac:dyDescent="0.4">
      <c r="A5102">
        <v>2003</v>
      </c>
      <c r="B5102" s="2" t="s">
        <v>631</v>
      </c>
      <c r="C5102" s="2" t="s">
        <v>725</v>
      </c>
      <c r="D5102" s="2" t="s">
        <v>249</v>
      </c>
      <c r="E5102" s="70" t="s">
        <v>269</v>
      </c>
      <c r="F5102" s="29">
        <v>93</v>
      </c>
      <c r="G5102" s="29">
        <v>54</v>
      </c>
      <c r="H5102" s="33">
        <v>39</v>
      </c>
    </row>
    <row r="5103" spans="1:8" x14ac:dyDescent="0.4">
      <c r="A5103">
        <v>2003</v>
      </c>
      <c r="B5103" s="2" t="s">
        <v>632</v>
      </c>
      <c r="C5103" s="2" t="s">
        <v>725</v>
      </c>
      <c r="D5103" s="2" t="s">
        <v>249</v>
      </c>
      <c r="E5103" s="70" t="s">
        <v>270</v>
      </c>
      <c r="F5103" s="29">
        <v>102</v>
      </c>
      <c r="G5103" s="29">
        <v>58</v>
      </c>
      <c r="H5103" s="33">
        <v>44</v>
      </c>
    </row>
    <row r="5104" spans="1:8" x14ac:dyDescent="0.4">
      <c r="A5104">
        <v>2003</v>
      </c>
      <c r="B5104" s="2" t="s">
        <v>633</v>
      </c>
      <c r="C5104" s="2" t="s">
        <v>726</v>
      </c>
      <c r="D5104" s="2" t="s">
        <v>271</v>
      </c>
      <c r="E5104" s="70" t="s">
        <v>174</v>
      </c>
      <c r="F5104" s="29">
        <v>64</v>
      </c>
      <c r="G5104" s="29">
        <v>37</v>
      </c>
      <c r="H5104" s="33">
        <v>27</v>
      </c>
    </row>
    <row r="5105" spans="1:8" x14ac:dyDescent="0.4">
      <c r="A5105">
        <v>2003</v>
      </c>
      <c r="B5105" s="2" t="s">
        <v>634</v>
      </c>
      <c r="C5105" s="2" t="s">
        <v>726</v>
      </c>
      <c r="D5105" s="2" t="s">
        <v>271</v>
      </c>
      <c r="E5105" s="70" t="s">
        <v>272</v>
      </c>
      <c r="F5105" s="29">
        <v>532</v>
      </c>
      <c r="G5105" s="29">
        <v>311</v>
      </c>
      <c r="H5105" s="33">
        <v>221</v>
      </c>
    </row>
    <row r="5106" spans="1:8" x14ac:dyDescent="0.4">
      <c r="A5106">
        <v>2003</v>
      </c>
      <c r="B5106" s="2" t="s">
        <v>635</v>
      </c>
      <c r="C5106" s="2" t="s">
        <v>726</v>
      </c>
      <c r="D5106" s="2" t="s">
        <v>271</v>
      </c>
      <c r="E5106" s="70" t="s">
        <v>36</v>
      </c>
      <c r="F5106" s="29">
        <v>34</v>
      </c>
      <c r="G5106" s="29">
        <v>19</v>
      </c>
      <c r="H5106" s="33">
        <v>15</v>
      </c>
    </row>
    <row r="5107" spans="1:8" x14ac:dyDescent="0.4">
      <c r="A5107">
        <v>2003</v>
      </c>
      <c r="B5107" s="2" t="s">
        <v>636</v>
      </c>
      <c r="C5107" s="2" t="s">
        <v>726</v>
      </c>
      <c r="D5107" s="2" t="s">
        <v>271</v>
      </c>
      <c r="E5107" s="70" t="s">
        <v>273</v>
      </c>
      <c r="F5107" s="29">
        <v>76</v>
      </c>
      <c r="G5107" s="29">
        <v>46</v>
      </c>
      <c r="H5107" s="33">
        <v>30</v>
      </c>
    </row>
    <row r="5108" spans="1:8" x14ac:dyDescent="0.4">
      <c r="A5108">
        <v>2003</v>
      </c>
      <c r="B5108" s="2" t="s">
        <v>637</v>
      </c>
      <c r="C5108" s="2" t="s">
        <v>726</v>
      </c>
      <c r="D5108" s="2" t="s">
        <v>271</v>
      </c>
      <c r="E5108" s="70" t="s">
        <v>274</v>
      </c>
      <c r="F5108" s="29">
        <v>149</v>
      </c>
      <c r="G5108" s="29">
        <v>94</v>
      </c>
      <c r="H5108" s="33">
        <v>55</v>
      </c>
    </row>
    <row r="5109" spans="1:8" x14ac:dyDescent="0.4">
      <c r="A5109">
        <v>2003</v>
      </c>
      <c r="B5109" s="2" t="s">
        <v>638</v>
      </c>
      <c r="C5109" s="2" t="s">
        <v>726</v>
      </c>
      <c r="D5109" s="2" t="s">
        <v>271</v>
      </c>
      <c r="E5109" s="70" t="s">
        <v>275</v>
      </c>
      <c r="F5109" s="29">
        <v>54</v>
      </c>
      <c r="G5109" s="29">
        <v>26</v>
      </c>
      <c r="H5109" s="33">
        <v>28</v>
      </c>
    </row>
    <row r="5110" spans="1:8" x14ac:dyDescent="0.4">
      <c r="A5110">
        <v>2003</v>
      </c>
      <c r="B5110" s="2" t="s">
        <v>639</v>
      </c>
      <c r="C5110" s="2" t="s">
        <v>726</v>
      </c>
      <c r="D5110" s="2" t="s">
        <v>271</v>
      </c>
      <c r="E5110" s="70" t="s">
        <v>276</v>
      </c>
      <c r="F5110" s="29">
        <v>16</v>
      </c>
      <c r="G5110" s="29">
        <v>12</v>
      </c>
      <c r="H5110" s="33">
        <v>4</v>
      </c>
    </row>
    <row r="5111" spans="1:8" x14ac:dyDescent="0.4">
      <c r="A5111">
        <v>2003</v>
      </c>
      <c r="B5111" s="2" t="s">
        <v>640</v>
      </c>
      <c r="C5111" s="2" t="s">
        <v>726</v>
      </c>
      <c r="D5111" s="2" t="s">
        <v>271</v>
      </c>
      <c r="E5111" s="70" t="s">
        <v>277</v>
      </c>
      <c r="F5111" s="29">
        <v>19</v>
      </c>
      <c r="G5111" s="29">
        <v>9</v>
      </c>
      <c r="H5111" s="33">
        <v>10</v>
      </c>
    </row>
    <row r="5112" spans="1:8" x14ac:dyDescent="0.4">
      <c r="A5112">
        <v>2003</v>
      </c>
      <c r="B5112" s="2" t="s">
        <v>641</v>
      </c>
      <c r="C5112" s="2" t="s">
        <v>726</v>
      </c>
      <c r="D5112" s="2" t="s">
        <v>271</v>
      </c>
      <c r="E5112" s="70" t="s">
        <v>278</v>
      </c>
      <c r="F5112" s="29">
        <v>50</v>
      </c>
      <c r="G5112" s="29">
        <v>30</v>
      </c>
      <c r="H5112" s="33">
        <v>20</v>
      </c>
    </row>
    <row r="5113" spans="1:8" x14ac:dyDescent="0.4">
      <c r="A5113">
        <v>2003</v>
      </c>
      <c r="B5113" s="2" t="s">
        <v>642</v>
      </c>
      <c r="C5113" s="2" t="s">
        <v>726</v>
      </c>
      <c r="D5113" s="2" t="s">
        <v>271</v>
      </c>
      <c r="E5113" s="70" t="s">
        <v>85</v>
      </c>
      <c r="F5113" s="29">
        <v>48</v>
      </c>
      <c r="G5113" s="29">
        <v>30</v>
      </c>
      <c r="H5113" s="33">
        <v>18</v>
      </c>
    </row>
    <row r="5114" spans="1:8" x14ac:dyDescent="0.4">
      <c r="A5114">
        <v>2003</v>
      </c>
      <c r="B5114" s="2" t="s">
        <v>643</v>
      </c>
      <c r="C5114" s="2" t="s">
        <v>726</v>
      </c>
      <c r="D5114" s="2" t="s">
        <v>271</v>
      </c>
      <c r="E5114" s="70" t="s">
        <v>279</v>
      </c>
      <c r="F5114" s="29">
        <v>38</v>
      </c>
      <c r="G5114" s="29">
        <v>24</v>
      </c>
      <c r="H5114" s="33">
        <v>14</v>
      </c>
    </row>
    <row r="5115" spans="1:8" x14ac:dyDescent="0.4">
      <c r="A5115">
        <v>2003</v>
      </c>
      <c r="B5115" s="2" t="s">
        <v>644</v>
      </c>
      <c r="C5115" s="2" t="s">
        <v>726</v>
      </c>
      <c r="D5115" s="2" t="s">
        <v>271</v>
      </c>
      <c r="E5115" s="70" t="s">
        <v>280</v>
      </c>
      <c r="F5115" s="29">
        <v>32</v>
      </c>
      <c r="G5115" s="29">
        <v>17</v>
      </c>
      <c r="H5115" s="33">
        <v>15</v>
      </c>
    </row>
    <row r="5116" spans="1:8" x14ac:dyDescent="0.4">
      <c r="A5116">
        <v>2003</v>
      </c>
      <c r="B5116" s="2" t="s">
        <v>645</v>
      </c>
      <c r="C5116" s="2" t="s">
        <v>726</v>
      </c>
      <c r="D5116" s="2" t="s">
        <v>271</v>
      </c>
      <c r="E5116" s="70" t="s">
        <v>281</v>
      </c>
      <c r="F5116" s="29">
        <v>158</v>
      </c>
      <c r="G5116" s="29">
        <v>94</v>
      </c>
      <c r="H5116" s="33">
        <v>64</v>
      </c>
    </row>
    <row r="5117" spans="1:8" x14ac:dyDescent="0.4">
      <c r="A5117">
        <v>2003</v>
      </c>
      <c r="B5117" s="2" t="s">
        <v>646</v>
      </c>
      <c r="C5117" s="2" t="s">
        <v>726</v>
      </c>
      <c r="D5117" s="2" t="s">
        <v>271</v>
      </c>
      <c r="E5117" s="70" t="s">
        <v>282</v>
      </c>
      <c r="F5117" s="29">
        <v>57</v>
      </c>
      <c r="G5117" s="29">
        <v>42</v>
      </c>
      <c r="H5117" s="33">
        <v>15</v>
      </c>
    </row>
    <row r="5118" spans="1:8" x14ac:dyDescent="0.4">
      <c r="A5118">
        <v>2003</v>
      </c>
      <c r="B5118" s="2" t="s">
        <v>647</v>
      </c>
      <c r="C5118" s="2" t="s">
        <v>726</v>
      </c>
      <c r="D5118" s="2" t="s">
        <v>271</v>
      </c>
      <c r="E5118" s="70" t="s">
        <v>283</v>
      </c>
      <c r="F5118" s="29">
        <v>70</v>
      </c>
      <c r="G5118" s="29">
        <v>34</v>
      </c>
      <c r="H5118" s="33">
        <v>36</v>
      </c>
    </row>
    <row r="5119" spans="1:8" x14ac:dyDescent="0.4">
      <c r="A5119">
        <v>2003</v>
      </c>
      <c r="B5119" s="2" t="s">
        <v>648</v>
      </c>
      <c r="C5119" s="2" t="s">
        <v>726</v>
      </c>
      <c r="D5119" s="2" t="s">
        <v>271</v>
      </c>
      <c r="E5119" s="70" t="s">
        <v>284</v>
      </c>
      <c r="F5119" s="29">
        <v>111</v>
      </c>
      <c r="G5119" s="29">
        <v>70</v>
      </c>
      <c r="H5119" s="33">
        <v>41</v>
      </c>
    </row>
    <row r="5120" spans="1:8" x14ac:dyDescent="0.4">
      <c r="A5120">
        <v>2003</v>
      </c>
      <c r="B5120" s="2" t="s">
        <v>649</v>
      </c>
      <c r="C5120" s="2" t="s">
        <v>726</v>
      </c>
      <c r="D5120" s="2" t="s">
        <v>271</v>
      </c>
      <c r="E5120" s="70" t="s">
        <v>51</v>
      </c>
      <c r="F5120" s="29">
        <v>120</v>
      </c>
      <c r="G5120" s="29">
        <v>76</v>
      </c>
      <c r="H5120" s="33">
        <v>44</v>
      </c>
    </row>
    <row r="5121" spans="1:8" x14ac:dyDescent="0.4">
      <c r="A5121">
        <v>2003</v>
      </c>
      <c r="B5121" s="2" t="s">
        <v>650</v>
      </c>
      <c r="C5121" s="2" t="s">
        <v>726</v>
      </c>
      <c r="D5121" s="2" t="s">
        <v>271</v>
      </c>
      <c r="E5121" s="70" t="s">
        <v>285</v>
      </c>
      <c r="F5121" s="29">
        <v>471</v>
      </c>
      <c r="G5121" s="29">
        <v>295</v>
      </c>
      <c r="H5121" s="33">
        <v>176</v>
      </c>
    </row>
    <row r="5122" spans="1:8" x14ac:dyDescent="0.4">
      <c r="A5122">
        <v>2003</v>
      </c>
      <c r="B5122" s="2" t="s">
        <v>651</v>
      </c>
      <c r="C5122" s="2" t="s">
        <v>726</v>
      </c>
      <c r="D5122" s="2" t="s">
        <v>271</v>
      </c>
      <c r="E5122" s="70" t="s">
        <v>53</v>
      </c>
      <c r="F5122" s="29">
        <v>113</v>
      </c>
      <c r="G5122" s="29">
        <v>62</v>
      </c>
      <c r="H5122" s="33">
        <v>51</v>
      </c>
    </row>
    <row r="5123" spans="1:8" x14ac:dyDescent="0.4">
      <c r="A5123">
        <v>2003</v>
      </c>
      <c r="B5123" s="2" t="s">
        <v>652</v>
      </c>
      <c r="C5123" s="2" t="s">
        <v>726</v>
      </c>
      <c r="D5123" s="2" t="s">
        <v>271</v>
      </c>
      <c r="E5123" s="70" t="s">
        <v>286</v>
      </c>
      <c r="F5123" s="29">
        <v>1468</v>
      </c>
      <c r="G5123" s="29">
        <v>882</v>
      </c>
      <c r="H5123" s="33">
        <v>586</v>
      </c>
    </row>
    <row r="5124" spans="1:8" x14ac:dyDescent="0.4">
      <c r="A5124">
        <v>2003</v>
      </c>
      <c r="B5124" s="2" t="s">
        <v>653</v>
      </c>
      <c r="C5124" s="2" t="s">
        <v>727</v>
      </c>
      <c r="D5124" s="2" t="s">
        <v>288</v>
      </c>
      <c r="E5124" s="70" t="s">
        <v>287</v>
      </c>
      <c r="F5124" s="29">
        <v>110</v>
      </c>
      <c r="G5124" s="29">
        <v>78</v>
      </c>
      <c r="H5124" s="33">
        <v>32</v>
      </c>
    </row>
    <row r="5125" spans="1:8" x14ac:dyDescent="0.4">
      <c r="A5125">
        <v>2003</v>
      </c>
      <c r="B5125" s="2" t="s">
        <v>654</v>
      </c>
      <c r="C5125" s="2" t="s">
        <v>727</v>
      </c>
      <c r="D5125" s="2" t="s">
        <v>288</v>
      </c>
      <c r="E5125" s="70" t="s">
        <v>289</v>
      </c>
      <c r="F5125" s="29">
        <v>111</v>
      </c>
      <c r="G5125" s="29">
        <v>77</v>
      </c>
      <c r="H5125" s="33">
        <v>34</v>
      </c>
    </row>
    <row r="5126" spans="1:8" x14ac:dyDescent="0.4">
      <c r="A5126">
        <v>2003</v>
      </c>
      <c r="B5126" s="2" t="s">
        <v>655</v>
      </c>
      <c r="C5126" s="2" t="s">
        <v>727</v>
      </c>
      <c r="D5126" s="2" t="s">
        <v>288</v>
      </c>
      <c r="E5126" s="70" t="s">
        <v>290</v>
      </c>
      <c r="F5126" s="29">
        <v>136</v>
      </c>
      <c r="G5126" s="29">
        <v>92</v>
      </c>
      <c r="H5126" s="33">
        <v>44</v>
      </c>
    </row>
    <row r="5127" spans="1:8" x14ac:dyDescent="0.4">
      <c r="A5127">
        <v>2003</v>
      </c>
      <c r="B5127" s="2" t="s">
        <v>656</v>
      </c>
      <c r="C5127" s="2" t="s">
        <v>727</v>
      </c>
      <c r="D5127" s="2" t="s">
        <v>288</v>
      </c>
      <c r="E5127" s="70" t="s">
        <v>291</v>
      </c>
      <c r="F5127" s="29">
        <v>17</v>
      </c>
      <c r="G5127" s="29">
        <v>11</v>
      </c>
      <c r="H5127" s="33">
        <v>6</v>
      </c>
    </row>
    <row r="5128" spans="1:8" x14ac:dyDescent="0.4">
      <c r="A5128">
        <v>2003</v>
      </c>
      <c r="B5128" s="2" t="s">
        <v>657</v>
      </c>
      <c r="C5128" s="2" t="s">
        <v>727</v>
      </c>
      <c r="D5128" s="2" t="s">
        <v>288</v>
      </c>
      <c r="E5128" s="70" t="s">
        <v>292</v>
      </c>
      <c r="F5128" s="29">
        <v>279</v>
      </c>
      <c r="G5128" s="29">
        <v>199</v>
      </c>
      <c r="H5128" s="33">
        <v>80</v>
      </c>
    </row>
    <row r="5129" spans="1:8" x14ac:dyDescent="0.4">
      <c r="A5129">
        <v>2003</v>
      </c>
      <c r="B5129" s="2" t="s">
        <v>658</v>
      </c>
      <c r="C5129" s="2" t="s">
        <v>727</v>
      </c>
      <c r="D5129" s="2" t="s">
        <v>288</v>
      </c>
      <c r="E5129" s="70" t="s">
        <v>293</v>
      </c>
      <c r="F5129" s="29">
        <v>23</v>
      </c>
      <c r="G5129" s="29">
        <v>16</v>
      </c>
      <c r="H5129" s="33">
        <v>7</v>
      </c>
    </row>
    <row r="5130" spans="1:8" x14ac:dyDescent="0.4">
      <c r="A5130">
        <v>2003</v>
      </c>
      <c r="B5130" s="2" t="s">
        <v>659</v>
      </c>
      <c r="C5130" s="2" t="s">
        <v>727</v>
      </c>
      <c r="D5130" s="2" t="s">
        <v>288</v>
      </c>
      <c r="E5130" s="70" t="s">
        <v>294</v>
      </c>
      <c r="F5130" s="29">
        <v>319</v>
      </c>
      <c r="G5130" s="29">
        <v>205</v>
      </c>
      <c r="H5130" s="33">
        <v>114</v>
      </c>
    </row>
    <row r="5131" spans="1:8" x14ac:dyDescent="0.4">
      <c r="A5131">
        <v>2003</v>
      </c>
      <c r="B5131" s="2" t="s">
        <v>660</v>
      </c>
      <c r="C5131" s="2" t="s">
        <v>727</v>
      </c>
      <c r="D5131" s="2" t="s">
        <v>288</v>
      </c>
      <c r="E5131" s="70" t="s">
        <v>295</v>
      </c>
      <c r="F5131" s="29">
        <v>65</v>
      </c>
      <c r="G5131" s="29">
        <v>39</v>
      </c>
      <c r="H5131" s="33">
        <v>26</v>
      </c>
    </row>
    <row r="5132" spans="1:8" x14ac:dyDescent="0.4">
      <c r="A5132">
        <v>2003</v>
      </c>
      <c r="B5132" s="2" t="s">
        <v>661</v>
      </c>
      <c r="C5132" s="2" t="s">
        <v>727</v>
      </c>
      <c r="D5132" s="2" t="s">
        <v>288</v>
      </c>
      <c r="E5132" s="70" t="s">
        <v>296</v>
      </c>
      <c r="F5132" s="29">
        <v>532</v>
      </c>
      <c r="G5132" s="29">
        <v>325</v>
      </c>
      <c r="H5132" s="33">
        <v>207</v>
      </c>
    </row>
    <row r="5133" spans="1:8" x14ac:dyDescent="0.4">
      <c r="A5133">
        <v>2003</v>
      </c>
      <c r="B5133" s="2" t="s">
        <v>662</v>
      </c>
      <c r="C5133" s="2" t="s">
        <v>727</v>
      </c>
      <c r="D5133" s="2" t="s">
        <v>288</v>
      </c>
      <c r="E5133" s="70" t="s">
        <v>297</v>
      </c>
      <c r="F5133" s="29">
        <v>47</v>
      </c>
      <c r="G5133" s="29">
        <v>31</v>
      </c>
      <c r="H5133" s="33">
        <v>16</v>
      </c>
    </row>
    <row r="5134" spans="1:8" x14ac:dyDescent="0.4">
      <c r="A5134">
        <v>2003</v>
      </c>
      <c r="B5134" s="2" t="s">
        <v>663</v>
      </c>
      <c r="C5134" s="2" t="s">
        <v>727</v>
      </c>
      <c r="D5134" s="2" t="s">
        <v>288</v>
      </c>
      <c r="E5134" s="70" t="s">
        <v>298</v>
      </c>
      <c r="F5134" s="29">
        <v>85</v>
      </c>
      <c r="G5134" s="29">
        <v>57</v>
      </c>
      <c r="H5134" s="33">
        <v>28</v>
      </c>
    </row>
    <row r="5135" spans="1:8" x14ac:dyDescent="0.4">
      <c r="A5135">
        <v>2003</v>
      </c>
      <c r="B5135" s="2" t="s">
        <v>664</v>
      </c>
      <c r="C5135" s="2" t="s">
        <v>728</v>
      </c>
      <c r="D5135" s="2" t="s">
        <v>300</v>
      </c>
      <c r="E5135" s="70" t="s">
        <v>299</v>
      </c>
      <c r="F5135" s="29">
        <v>76</v>
      </c>
      <c r="G5135" s="29">
        <v>44</v>
      </c>
      <c r="H5135" s="33">
        <v>32</v>
      </c>
    </row>
    <row r="5136" spans="1:8" x14ac:dyDescent="0.4">
      <c r="A5136">
        <v>2003</v>
      </c>
      <c r="B5136" s="2" t="s">
        <v>665</v>
      </c>
      <c r="C5136" s="2" t="s">
        <v>728</v>
      </c>
      <c r="D5136" s="2" t="s">
        <v>300</v>
      </c>
      <c r="E5136" s="70" t="s">
        <v>36</v>
      </c>
      <c r="F5136" s="29">
        <v>80</v>
      </c>
      <c r="G5136" s="29">
        <v>48</v>
      </c>
      <c r="H5136" s="33">
        <v>32</v>
      </c>
    </row>
    <row r="5137" spans="1:8" x14ac:dyDescent="0.4">
      <c r="A5137">
        <v>2003</v>
      </c>
      <c r="B5137" s="2" t="s">
        <v>666</v>
      </c>
      <c r="C5137" s="2" t="s">
        <v>728</v>
      </c>
      <c r="D5137" s="2" t="s">
        <v>300</v>
      </c>
      <c r="E5137" s="70" t="s">
        <v>301</v>
      </c>
      <c r="F5137" s="29">
        <v>238</v>
      </c>
      <c r="G5137" s="29">
        <v>147</v>
      </c>
      <c r="H5137" s="33">
        <v>91</v>
      </c>
    </row>
    <row r="5138" spans="1:8" x14ac:dyDescent="0.4">
      <c r="A5138">
        <v>2003</v>
      </c>
      <c r="B5138" s="2" t="s">
        <v>667</v>
      </c>
      <c r="C5138" s="2" t="s">
        <v>728</v>
      </c>
      <c r="D5138" s="2" t="s">
        <v>300</v>
      </c>
      <c r="E5138" s="70" t="s">
        <v>302</v>
      </c>
      <c r="F5138" s="29">
        <v>89</v>
      </c>
      <c r="G5138" s="29">
        <v>62</v>
      </c>
      <c r="H5138" s="33">
        <v>27</v>
      </c>
    </row>
    <row r="5139" spans="1:8" x14ac:dyDescent="0.4">
      <c r="A5139">
        <v>2003</v>
      </c>
      <c r="B5139" s="2" t="s">
        <v>668</v>
      </c>
      <c r="C5139" s="2" t="s">
        <v>728</v>
      </c>
      <c r="D5139" s="2" t="s">
        <v>300</v>
      </c>
      <c r="E5139" s="70" t="s">
        <v>14</v>
      </c>
      <c r="F5139" s="29">
        <v>86</v>
      </c>
      <c r="G5139" s="29">
        <v>56</v>
      </c>
      <c r="H5139" s="33">
        <v>30</v>
      </c>
    </row>
    <row r="5140" spans="1:8" x14ac:dyDescent="0.4">
      <c r="A5140">
        <v>2003</v>
      </c>
      <c r="B5140" s="2" t="s">
        <v>669</v>
      </c>
      <c r="C5140" s="2" t="s">
        <v>728</v>
      </c>
      <c r="D5140" s="2" t="s">
        <v>300</v>
      </c>
      <c r="E5140" s="70" t="s">
        <v>303</v>
      </c>
      <c r="F5140" s="29">
        <v>37</v>
      </c>
      <c r="G5140" s="29">
        <v>23</v>
      </c>
      <c r="H5140" s="33">
        <v>14</v>
      </c>
    </row>
    <row r="5141" spans="1:8" x14ac:dyDescent="0.4">
      <c r="A5141">
        <v>2003</v>
      </c>
      <c r="B5141" s="2" t="s">
        <v>670</v>
      </c>
      <c r="C5141" s="2" t="s">
        <v>728</v>
      </c>
      <c r="D5141" s="2" t="s">
        <v>300</v>
      </c>
      <c r="E5141" s="70" t="s">
        <v>304</v>
      </c>
      <c r="F5141" s="29">
        <v>0</v>
      </c>
      <c r="G5141" s="29">
        <v>0</v>
      </c>
      <c r="H5141" s="33">
        <v>0</v>
      </c>
    </row>
    <row r="5142" spans="1:8" x14ac:dyDescent="0.4">
      <c r="A5142">
        <v>2003</v>
      </c>
      <c r="B5142" s="2" t="s">
        <v>671</v>
      </c>
      <c r="C5142" s="2" t="s">
        <v>728</v>
      </c>
      <c r="D5142" s="2" t="s">
        <v>300</v>
      </c>
      <c r="E5142" s="70" t="s">
        <v>305</v>
      </c>
      <c r="F5142" s="29">
        <v>34</v>
      </c>
      <c r="G5142" s="29">
        <v>23</v>
      </c>
      <c r="H5142" s="33">
        <v>11</v>
      </c>
    </row>
    <row r="5143" spans="1:8" x14ac:dyDescent="0.4">
      <c r="A5143">
        <v>2003</v>
      </c>
      <c r="B5143" s="2" t="s">
        <v>672</v>
      </c>
      <c r="C5143" s="2" t="s">
        <v>728</v>
      </c>
      <c r="D5143" s="2" t="s">
        <v>300</v>
      </c>
      <c r="E5143" s="70" t="s">
        <v>306</v>
      </c>
      <c r="F5143" s="29">
        <v>258</v>
      </c>
      <c r="G5143" s="29">
        <v>154</v>
      </c>
      <c r="H5143" s="33">
        <v>104</v>
      </c>
    </row>
    <row r="5144" spans="1:8" x14ac:dyDescent="0.4">
      <c r="A5144">
        <v>2003</v>
      </c>
      <c r="B5144" s="2" t="s">
        <v>673</v>
      </c>
      <c r="C5144" s="2" t="s">
        <v>728</v>
      </c>
      <c r="D5144" s="2" t="s">
        <v>300</v>
      </c>
      <c r="E5144" s="70" t="s">
        <v>307</v>
      </c>
      <c r="F5144" s="29">
        <v>242</v>
      </c>
      <c r="G5144" s="29">
        <v>157</v>
      </c>
      <c r="H5144" s="33">
        <v>85</v>
      </c>
    </row>
    <row r="5145" spans="1:8" x14ac:dyDescent="0.4">
      <c r="A5145">
        <v>2003</v>
      </c>
      <c r="B5145" s="2" t="s">
        <v>674</v>
      </c>
      <c r="C5145" s="2" t="s">
        <v>728</v>
      </c>
      <c r="D5145" s="2" t="s">
        <v>300</v>
      </c>
      <c r="E5145" s="70" t="s">
        <v>308</v>
      </c>
      <c r="F5145" s="29">
        <v>1249</v>
      </c>
      <c r="G5145" s="29">
        <v>727</v>
      </c>
      <c r="H5145" s="33">
        <v>522</v>
      </c>
    </row>
    <row r="5146" spans="1:8" x14ac:dyDescent="0.4">
      <c r="A5146">
        <v>2003</v>
      </c>
      <c r="B5146" s="2" t="s">
        <v>675</v>
      </c>
      <c r="C5146" s="2" t="s">
        <v>728</v>
      </c>
      <c r="D5146" s="14" t="s">
        <v>300</v>
      </c>
      <c r="E5146" s="69" t="s">
        <v>51</v>
      </c>
      <c r="F5146" s="11">
        <v>46</v>
      </c>
      <c r="G5146" s="11">
        <v>29</v>
      </c>
      <c r="H5146" s="12">
        <v>17</v>
      </c>
    </row>
    <row r="5147" spans="1:8" x14ac:dyDescent="0.4">
      <c r="A5147">
        <v>2003</v>
      </c>
      <c r="B5147" s="2" t="s">
        <v>676</v>
      </c>
      <c r="C5147" s="2" t="s">
        <v>728</v>
      </c>
      <c r="D5147" s="2" t="s">
        <v>300</v>
      </c>
      <c r="E5147" s="70" t="s">
        <v>309</v>
      </c>
      <c r="F5147" s="29">
        <v>55</v>
      </c>
      <c r="G5147" s="29">
        <v>36</v>
      </c>
      <c r="H5147" s="33">
        <v>19</v>
      </c>
    </row>
    <row r="5148" spans="1:8" x14ac:dyDescent="0.4">
      <c r="A5148">
        <v>2003</v>
      </c>
      <c r="B5148" s="2" t="s">
        <v>677</v>
      </c>
      <c r="C5148" s="2" t="s">
        <v>728</v>
      </c>
      <c r="D5148" s="2" t="s">
        <v>300</v>
      </c>
      <c r="E5148" s="70" t="s">
        <v>310</v>
      </c>
      <c r="F5148" s="29">
        <v>63</v>
      </c>
      <c r="G5148" s="29">
        <v>39</v>
      </c>
      <c r="H5148" s="33">
        <v>24</v>
      </c>
    </row>
    <row r="5149" spans="1:8" x14ac:dyDescent="0.4">
      <c r="A5149">
        <v>2003</v>
      </c>
      <c r="B5149" s="2" t="s">
        <v>678</v>
      </c>
      <c r="C5149" s="2" t="s">
        <v>729</v>
      </c>
      <c r="D5149" s="2" t="s">
        <v>312</v>
      </c>
      <c r="E5149" s="70" t="s">
        <v>311</v>
      </c>
      <c r="F5149" s="29">
        <v>23</v>
      </c>
      <c r="G5149" s="29">
        <v>9</v>
      </c>
      <c r="H5149" s="33">
        <v>14</v>
      </c>
    </row>
    <row r="5150" spans="1:8" x14ac:dyDescent="0.4">
      <c r="A5150">
        <v>2003</v>
      </c>
      <c r="B5150" s="2" t="s">
        <v>679</v>
      </c>
      <c r="C5150" s="2" t="s">
        <v>729</v>
      </c>
      <c r="D5150" s="2" t="s">
        <v>312</v>
      </c>
      <c r="E5150" s="70" t="s">
        <v>313</v>
      </c>
      <c r="F5150" s="29">
        <v>246</v>
      </c>
      <c r="G5150" s="29">
        <v>156</v>
      </c>
      <c r="H5150" s="33">
        <v>90</v>
      </c>
    </row>
    <row r="5151" spans="1:8" x14ac:dyDescent="0.4">
      <c r="A5151">
        <v>2003</v>
      </c>
      <c r="B5151" s="2" t="s">
        <v>680</v>
      </c>
      <c r="C5151" s="2" t="s">
        <v>729</v>
      </c>
      <c r="D5151" s="2" t="s">
        <v>312</v>
      </c>
      <c r="E5151" s="70" t="s">
        <v>314</v>
      </c>
      <c r="F5151" s="29">
        <v>1195</v>
      </c>
      <c r="G5151" s="29">
        <v>647</v>
      </c>
      <c r="H5151" s="33">
        <v>548</v>
      </c>
    </row>
    <row r="5152" spans="1:8" x14ac:dyDescent="0.4">
      <c r="A5152">
        <v>2003</v>
      </c>
      <c r="B5152" s="2" t="s">
        <v>681</v>
      </c>
      <c r="C5152" s="2" t="s">
        <v>729</v>
      </c>
      <c r="D5152" s="2" t="s">
        <v>312</v>
      </c>
      <c r="E5152" s="70" t="s">
        <v>315</v>
      </c>
      <c r="F5152" s="29">
        <v>122</v>
      </c>
      <c r="G5152" s="29">
        <v>87</v>
      </c>
      <c r="H5152" s="33">
        <v>35</v>
      </c>
    </row>
    <row r="5153" spans="1:8" x14ac:dyDescent="0.4">
      <c r="A5153">
        <v>2003</v>
      </c>
      <c r="B5153" s="2" t="s">
        <v>682</v>
      </c>
      <c r="C5153" s="2" t="s">
        <v>729</v>
      </c>
      <c r="D5153" s="2" t="s">
        <v>312</v>
      </c>
      <c r="E5153" s="70" t="s">
        <v>316</v>
      </c>
      <c r="F5153" s="29">
        <v>500</v>
      </c>
      <c r="G5153" s="29">
        <v>333</v>
      </c>
      <c r="H5153" s="33">
        <v>167</v>
      </c>
    </row>
    <row r="5154" spans="1:8" x14ac:dyDescent="0.4">
      <c r="A5154">
        <v>2003</v>
      </c>
      <c r="B5154" s="2" t="s">
        <v>683</v>
      </c>
      <c r="C5154" s="2" t="s">
        <v>729</v>
      </c>
      <c r="D5154" s="2" t="s">
        <v>312</v>
      </c>
      <c r="E5154" s="70" t="s">
        <v>317</v>
      </c>
      <c r="F5154" s="29">
        <v>80</v>
      </c>
      <c r="G5154" s="29">
        <v>55</v>
      </c>
      <c r="H5154" s="33">
        <v>25</v>
      </c>
    </row>
    <row r="5155" spans="1:8" x14ac:dyDescent="0.4">
      <c r="A5155">
        <v>2003</v>
      </c>
      <c r="B5155" s="2" t="s">
        <v>684</v>
      </c>
      <c r="C5155" s="2" t="s">
        <v>729</v>
      </c>
      <c r="D5155" s="2" t="s">
        <v>312</v>
      </c>
      <c r="E5155" s="70" t="s">
        <v>318</v>
      </c>
      <c r="F5155" s="29">
        <v>392</v>
      </c>
      <c r="G5155" s="29">
        <v>248</v>
      </c>
      <c r="H5155" s="33">
        <v>144</v>
      </c>
    </row>
    <row r="5156" spans="1:8" x14ac:dyDescent="0.4">
      <c r="A5156">
        <v>2003</v>
      </c>
      <c r="B5156" s="2" t="s">
        <v>685</v>
      </c>
      <c r="C5156" s="2" t="s">
        <v>729</v>
      </c>
      <c r="D5156" s="2" t="s">
        <v>312</v>
      </c>
      <c r="E5156" s="70" t="s">
        <v>319</v>
      </c>
      <c r="F5156" s="29">
        <v>82</v>
      </c>
      <c r="G5156" s="29">
        <v>65</v>
      </c>
      <c r="H5156" s="33">
        <v>17</v>
      </c>
    </row>
    <row r="5157" spans="1:8" x14ac:dyDescent="0.4">
      <c r="A5157">
        <v>2003</v>
      </c>
      <c r="B5157" s="2" t="s">
        <v>686</v>
      </c>
      <c r="C5157" s="2" t="s">
        <v>729</v>
      </c>
      <c r="D5157" s="2" t="s">
        <v>312</v>
      </c>
      <c r="E5157" s="70" t="s">
        <v>320</v>
      </c>
      <c r="F5157" s="29">
        <v>180</v>
      </c>
      <c r="G5157" s="29">
        <v>115</v>
      </c>
      <c r="H5157" s="33">
        <v>65</v>
      </c>
    </row>
    <row r="5158" spans="1:8" x14ac:dyDescent="0.4">
      <c r="A5158">
        <v>2003</v>
      </c>
      <c r="B5158" s="2" t="s">
        <v>687</v>
      </c>
      <c r="C5158" s="2" t="s">
        <v>729</v>
      </c>
      <c r="D5158" s="2" t="s">
        <v>312</v>
      </c>
      <c r="E5158" s="70" t="s">
        <v>321</v>
      </c>
      <c r="F5158" s="29">
        <v>965</v>
      </c>
      <c r="G5158" s="29">
        <v>592</v>
      </c>
      <c r="H5158" s="33">
        <v>373</v>
      </c>
    </row>
    <row r="5159" spans="1:8" x14ac:dyDescent="0.4">
      <c r="A5159">
        <v>2003</v>
      </c>
      <c r="B5159" s="2" t="s">
        <v>688</v>
      </c>
      <c r="C5159" s="2" t="s">
        <v>729</v>
      </c>
      <c r="D5159" s="2" t="s">
        <v>312</v>
      </c>
      <c r="E5159" s="70" t="s">
        <v>322</v>
      </c>
      <c r="F5159" s="29">
        <v>436</v>
      </c>
      <c r="G5159" s="29">
        <v>274</v>
      </c>
      <c r="H5159" s="33">
        <v>162</v>
      </c>
    </row>
    <row r="5160" spans="1:8" x14ac:dyDescent="0.4">
      <c r="A5160">
        <v>2003</v>
      </c>
      <c r="B5160" s="2" t="s">
        <v>689</v>
      </c>
      <c r="C5160" s="2" t="s">
        <v>729</v>
      </c>
      <c r="D5160" s="2" t="s">
        <v>312</v>
      </c>
      <c r="E5160" s="70" t="s">
        <v>323</v>
      </c>
      <c r="F5160" s="29">
        <v>878</v>
      </c>
      <c r="G5160" s="29">
        <v>523</v>
      </c>
      <c r="H5160" s="33">
        <v>355</v>
      </c>
    </row>
    <row r="5161" spans="1:8" x14ac:dyDescent="0.4">
      <c r="A5161">
        <v>2003</v>
      </c>
      <c r="B5161" s="2" t="s">
        <v>690</v>
      </c>
      <c r="C5161" s="2" t="s">
        <v>729</v>
      </c>
      <c r="D5161" s="2" t="s">
        <v>312</v>
      </c>
      <c r="E5161" s="70" t="s">
        <v>324</v>
      </c>
      <c r="F5161" s="29">
        <v>8845</v>
      </c>
      <c r="G5161" s="29">
        <v>5117</v>
      </c>
      <c r="H5161" s="33">
        <v>3728</v>
      </c>
    </row>
    <row r="5162" spans="1:8" x14ac:dyDescent="0.4">
      <c r="A5162">
        <v>2003</v>
      </c>
      <c r="B5162" s="2" t="s">
        <v>691</v>
      </c>
      <c r="C5162" s="2" t="s">
        <v>729</v>
      </c>
      <c r="D5162" s="2" t="s">
        <v>312</v>
      </c>
      <c r="E5162" s="70" t="s">
        <v>85</v>
      </c>
      <c r="F5162" s="29">
        <v>218</v>
      </c>
      <c r="G5162" s="29">
        <v>145</v>
      </c>
      <c r="H5162" s="33">
        <v>73</v>
      </c>
    </row>
    <row r="5163" spans="1:8" x14ac:dyDescent="0.4">
      <c r="A5163">
        <v>2003</v>
      </c>
      <c r="B5163" s="2" t="s">
        <v>692</v>
      </c>
      <c r="C5163" s="2" t="s">
        <v>729</v>
      </c>
      <c r="D5163" s="2" t="s">
        <v>312</v>
      </c>
      <c r="E5163" s="70" t="s">
        <v>32</v>
      </c>
      <c r="F5163" s="29">
        <v>138</v>
      </c>
      <c r="G5163" s="29">
        <v>73</v>
      </c>
      <c r="H5163" s="33">
        <v>65</v>
      </c>
    </row>
    <row r="5164" spans="1:8" x14ac:dyDescent="0.4">
      <c r="A5164">
        <v>2003</v>
      </c>
      <c r="B5164" s="2" t="s">
        <v>693</v>
      </c>
      <c r="C5164" s="2" t="s">
        <v>729</v>
      </c>
      <c r="D5164" s="2" t="s">
        <v>312</v>
      </c>
      <c r="E5164" s="70" t="s">
        <v>325</v>
      </c>
      <c r="F5164" s="29">
        <v>339</v>
      </c>
      <c r="G5164" s="29">
        <v>221</v>
      </c>
      <c r="H5164" s="33">
        <v>118</v>
      </c>
    </row>
    <row r="5165" spans="1:8" x14ac:dyDescent="0.4">
      <c r="A5165">
        <v>2003</v>
      </c>
      <c r="B5165" s="2" t="s">
        <v>694</v>
      </c>
      <c r="C5165" s="2" t="s">
        <v>729</v>
      </c>
      <c r="D5165" s="2" t="s">
        <v>312</v>
      </c>
      <c r="E5165" s="70" t="s">
        <v>144</v>
      </c>
      <c r="F5165" s="29">
        <v>1251</v>
      </c>
      <c r="G5165" s="29">
        <v>729</v>
      </c>
      <c r="H5165" s="33">
        <v>522</v>
      </c>
    </row>
    <row r="5166" spans="1:8" x14ac:dyDescent="0.4">
      <c r="A5166">
        <v>2003</v>
      </c>
      <c r="B5166" s="2" t="s">
        <v>695</v>
      </c>
      <c r="C5166" s="2" t="s">
        <v>729</v>
      </c>
      <c r="D5166" s="2" t="s">
        <v>312</v>
      </c>
      <c r="E5166" s="70" t="s">
        <v>326</v>
      </c>
      <c r="F5166" s="29">
        <v>147</v>
      </c>
      <c r="G5166" s="29">
        <v>99</v>
      </c>
      <c r="H5166" s="33">
        <v>48</v>
      </c>
    </row>
    <row r="5167" spans="1:8" x14ac:dyDescent="0.4">
      <c r="A5167">
        <v>2003</v>
      </c>
      <c r="B5167" s="2" t="s">
        <v>696</v>
      </c>
      <c r="C5167" s="2" t="s">
        <v>729</v>
      </c>
      <c r="D5167" s="2" t="s">
        <v>312</v>
      </c>
      <c r="E5167" s="70" t="s">
        <v>25</v>
      </c>
      <c r="F5167" s="29">
        <v>93</v>
      </c>
      <c r="G5167" s="29">
        <v>68</v>
      </c>
      <c r="H5167" s="33">
        <v>25</v>
      </c>
    </row>
    <row r="5168" spans="1:8" x14ac:dyDescent="0.4">
      <c r="A5168">
        <v>2003</v>
      </c>
      <c r="B5168" s="2" t="s">
        <v>697</v>
      </c>
      <c r="C5168" s="2" t="s">
        <v>729</v>
      </c>
      <c r="D5168" s="2" t="s">
        <v>312</v>
      </c>
      <c r="E5168" s="70" t="s">
        <v>51</v>
      </c>
      <c r="F5168" s="29">
        <v>225</v>
      </c>
      <c r="G5168" s="29">
        <v>146</v>
      </c>
      <c r="H5168" s="33">
        <v>79</v>
      </c>
    </row>
    <row r="5169" spans="1:8" x14ac:dyDescent="0.4">
      <c r="A5169">
        <v>2003</v>
      </c>
      <c r="B5169" s="2" t="s">
        <v>698</v>
      </c>
      <c r="C5169" s="2" t="s">
        <v>729</v>
      </c>
      <c r="D5169" s="2" t="s">
        <v>312</v>
      </c>
      <c r="E5169" s="70" t="s">
        <v>327</v>
      </c>
      <c r="F5169" s="29">
        <v>166</v>
      </c>
      <c r="G5169" s="29">
        <v>95</v>
      </c>
      <c r="H5169" s="33">
        <v>71</v>
      </c>
    </row>
    <row r="5170" spans="1:8" x14ac:dyDescent="0.4">
      <c r="A5170">
        <v>2003</v>
      </c>
      <c r="B5170" s="2" t="s">
        <v>733</v>
      </c>
      <c r="C5170" s="2" t="s">
        <v>715</v>
      </c>
      <c r="D5170" s="2" t="s">
        <v>734</v>
      </c>
      <c r="E5170" s="70" t="s">
        <v>735</v>
      </c>
      <c r="F5170" s="29">
        <v>0</v>
      </c>
      <c r="G5170" s="29">
        <v>0</v>
      </c>
      <c r="H5170" s="33">
        <v>0</v>
      </c>
    </row>
    <row r="5171" spans="1:8" x14ac:dyDescent="0.4">
      <c r="A5171">
        <v>2002</v>
      </c>
      <c r="B5171" s="5" t="str">
        <f>+C5171&amp;"-"&amp;E5171</f>
        <v>VA-Municipio Autónomo Vargas</v>
      </c>
      <c r="C5171" s="5" t="str">
        <f>+MID(D5171,1,2)</f>
        <v>VA</v>
      </c>
      <c r="D5171" s="25" t="s">
        <v>288</v>
      </c>
      <c r="E5171" s="64" t="s">
        <v>757</v>
      </c>
      <c r="F5171" s="2">
        <v>0</v>
      </c>
      <c r="G5171" s="2">
        <v>0</v>
      </c>
      <c r="H5171" s="2">
        <v>0</v>
      </c>
    </row>
    <row r="5172" spans="1:8" x14ac:dyDescent="0.4">
      <c r="A5172">
        <v>2002</v>
      </c>
      <c r="B5172" s="5" t="str">
        <f>+C5172&amp;"-"&amp;E5172</f>
        <v>DI-Municipio Autónomo Libertador</v>
      </c>
      <c r="C5172" s="5" t="str">
        <f>+MID(D5172,1,2)</f>
        <v>DI</v>
      </c>
      <c r="D5172" s="25" t="s">
        <v>106</v>
      </c>
      <c r="E5172" s="64" t="s">
        <v>756</v>
      </c>
      <c r="F5172" s="2">
        <v>0</v>
      </c>
      <c r="G5172" s="2">
        <v>0</v>
      </c>
      <c r="H5172" s="2">
        <v>0</v>
      </c>
    </row>
    <row r="5173" spans="1:8" x14ac:dyDescent="0.4">
      <c r="A5173">
        <v>2002</v>
      </c>
      <c r="B5173" s="2" t="s">
        <v>335</v>
      </c>
      <c r="C5173" s="2" t="s">
        <v>706</v>
      </c>
      <c r="D5173" s="2" t="s">
        <v>106</v>
      </c>
      <c r="E5173" s="70" t="s">
        <v>105</v>
      </c>
      <c r="F5173" s="29">
        <v>121</v>
      </c>
      <c r="G5173" s="29">
        <v>69</v>
      </c>
      <c r="H5173" s="33">
        <v>52</v>
      </c>
    </row>
    <row r="5174" spans="1:8" x14ac:dyDescent="0.4">
      <c r="A5174">
        <v>2002</v>
      </c>
      <c r="B5174" s="2" t="s">
        <v>336</v>
      </c>
      <c r="C5174" s="2" t="s">
        <v>706</v>
      </c>
      <c r="D5174" s="2" t="s">
        <v>106</v>
      </c>
      <c r="E5174" s="70" t="s">
        <v>107</v>
      </c>
      <c r="F5174" s="29">
        <v>561</v>
      </c>
      <c r="G5174" s="29">
        <v>347</v>
      </c>
      <c r="H5174" s="33">
        <v>214</v>
      </c>
    </row>
    <row r="5175" spans="1:8" x14ac:dyDescent="0.4">
      <c r="A5175">
        <v>2002</v>
      </c>
      <c r="B5175" s="2" t="s">
        <v>337</v>
      </c>
      <c r="C5175" s="2" t="s">
        <v>706</v>
      </c>
      <c r="D5175" s="2" t="s">
        <v>106</v>
      </c>
      <c r="E5175" s="70" t="s">
        <v>108</v>
      </c>
      <c r="F5175" s="29">
        <v>223</v>
      </c>
      <c r="G5175" s="29">
        <v>130</v>
      </c>
      <c r="H5175" s="33">
        <v>93</v>
      </c>
    </row>
    <row r="5176" spans="1:8" x14ac:dyDescent="0.4">
      <c r="A5176">
        <v>2002</v>
      </c>
      <c r="B5176" s="2" t="s">
        <v>338</v>
      </c>
      <c r="C5176" s="2" t="s">
        <v>706</v>
      </c>
      <c r="D5176" s="2" t="s">
        <v>106</v>
      </c>
      <c r="E5176" s="70" t="s">
        <v>109</v>
      </c>
      <c r="F5176" s="29">
        <v>378</v>
      </c>
      <c r="G5176" s="29">
        <v>217</v>
      </c>
      <c r="H5176" s="33">
        <v>161</v>
      </c>
    </row>
    <row r="5177" spans="1:8" x14ac:dyDescent="0.4">
      <c r="A5177">
        <v>2002</v>
      </c>
      <c r="B5177" s="2" t="s">
        <v>339</v>
      </c>
      <c r="C5177" s="2" t="s">
        <v>706</v>
      </c>
      <c r="D5177" s="2" t="s">
        <v>106</v>
      </c>
      <c r="E5177" s="70" t="s">
        <v>110</v>
      </c>
      <c r="F5177" s="29">
        <v>93</v>
      </c>
      <c r="G5177" s="29">
        <v>65</v>
      </c>
      <c r="H5177" s="33">
        <v>28</v>
      </c>
    </row>
    <row r="5178" spans="1:8" x14ac:dyDescent="0.4">
      <c r="A5178">
        <v>2002</v>
      </c>
      <c r="B5178" s="2" t="s">
        <v>340</v>
      </c>
      <c r="C5178" s="2" t="s">
        <v>706</v>
      </c>
      <c r="D5178" s="2" t="s">
        <v>106</v>
      </c>
      <c r="E5178" s="70" t="s">
        <v>111</v>
      </c>
      <c r="F5178" s="29">
        <v>689</v>
      </c>
      <c r="G5178" s="29">
        <v>454</v>
      </c>
      <c r="H5178" s="33">
        <v>235</v>
      </c>
    </row>
    <row r="5179" spans="1:8" x14ac:dyDescent="0.4">
      <c r="A5179">
        <v>2002</v>
      </c>
      <c r="B5179" s="2" t="s">
        <v>341</v>
      </c>
      <c r="C5179" s="2" t="s">
        <v>706</v>
      </c>
      <c r="D5179" s="2" t="s">
        <v>106</v>
      </c>
      <c r="E5179" s="70" t="s">
        <v>112</v>
      </c>
      <c r="F5179" s="29">
        <v>93</v>
      </c>
      <c r="G5179" s="29">
        <v>60</v>
      </c>
      <c r="H5179" s="33">
        <v>33</v>
      </c>
    </row>
    <row r="5180" spans="1:8" x14ac:dyDescent="0.4">
      <c r="A5180">
        <v>2002</v>
      </c>
      <c r="B5180" s="2" t="s">
        <v>342</v>
      </c>
      <c r="C5180" s="2" t="s">
        <v>706</v>
      </c>
      <c r="D5180" s="2" t="s">
        <v>106</v>
      </c>
      <c r="E5180" s="70" t="s">
        <v>113</v>
      </c>
      <c r="F5180" s="29">
        <v>1976</v>
      </c>
      <c r="G5180" s="29">
        <v>1175</v>
      </c>
      <c r="H5180" s="33">
        <v>801</v>
      </c>
    </row>
    <row r="5181" spans="1:8" x14ac:dyDescent="0.4">
      <c r="A5181">
        <v>2002</v>
      </c>
      <c r="B5181" s="2" t="s">
        <v>343</v>
      </c>
      <c r="C5181" s="2" t="s">
        <v>706</v>
      </c>
      <c r="D5181" s="2" t="s">
        <v>106</v>
      </c>
      <c r="E5181" s="70" t="s">
        <v>114</v>
      </c>
      <c r="F5181" s="29">
        <v>702</v>
      </c>
      <c r="G5181" s="29">
        <v>346</v>
      </c>
      <c r="H5181" s="33">
        <v>356</v>
      </c>
    </row>
    <row r="5182" spans="1:8" x14ac:dyDescent="0.4">
      <c r="A5182">
        <v>2002</v>
      </c>
      <c r="B5182" s="2" t="s">
        <v>344</v>
      </c>
      <c r="C5182" s="2" t="s">
        <v>706</v>
      </c>
      <c r="D5182" s="2" t="s">
        <v>106</v>
      </c>
      <c r="E5182" s="70" t="s">
        <v>115</v>
      </c>
      <c r="F5182" s="29">
        <v>354</v>
      </c>
      <c r="G5182" s="29">
        <v>218</v>
      </c>
      <c r="H5182" s="33">
        <v>136</v>
      </c>
    </row>
    <row r="5183" spans="1:8" x14ac:dyDescent="0.4">
      <c r="A5183">
        <v>2002</v>
      </c>
      <c r="B5183" s="2" t="s">
        <v>345</v>
      </c>
      <c r="C5183" s="2" t="s">
        <v>706</v>
      </c>
      <c r="D5183" s="2" t="s">
        <v>106</v>
      </c>
      <c r="E5183" s="70" t="s">
        <v>116</v>
      </c>
      <c r="F5183" s="29">
        <v>477</v>
      </c>
      <c r="G5183" s="29">
        <v>287</v>
      </c>
      <c r="H5183" s="33">
        <v>190</v>
      </c>
    </row>
    <row r="5184" spans="1:8" x14ac:dyDescent="0.4">
      <c r="A5184">
        <v>2002</v>
      </c>
      <c r="B5184" s="2" t="s">
        <v>346</v>
      </c>
      <c r="C5184" s="2" t="s">
        <v>706</v>
      </c>
      <c r="D5184" s="2" t="s">
        <v>106</v>
      </c>
      <c r="E5184" s="70" t="s">
        <v>117</v>
      </c>
      <c r="F5184" s="29">
        <v>302</v>
      </c>
      <c r="G5184" s="29">
        <v>160</v>
      </c>
      <c r="H5184" s="33">
        <v>142</v>
      </c>
    </row>
    <row r="5185" spans="1:8" x14ac:dyDescent="0.4">
      <c r="A5185">
        <v>2002</v>
      </c>
      <c r="B5185" s="2" t="s">
        <v>347</v>
      </c>
      <c r="C5185" s="2" t="s">
        <v>706</v>
      </c>
      <c r="D5185" s="2" t="s">
        <v>106</v>
      </c>
      <c r="E5185" s="70" t="s">
        <v>118</v>
      </c>
      <c r="F5185" s="29">
        <v>130</v>
      </c>
      <c r="G5185" s="29">
        <v>83</v>
      </c>
      <c r="H5185" s="33">
        <v>47</v>
      </c>
    </row>
    <row r="5186" spans="1:8" x14ac:dyDescent="0.4">
      <c r="A5186">
        <v>2002</v>
      </c>
      <c r="B5186" s="2" t="s">
        <v>348</v>
      </c>
      <c r="C5186" s="2" t="s">
        <v>706</v>
      </c>
      <c r="D5186" s="2" t="s">
        <v>106</v>
      </c>
      <c r="E5186" s="70" t="s">
        <v>119</v>
      </c>
      <c r="F5186" s="29">
        <v>110</v>
      </c>
      <c r="G5186" s="29">
        <v>70</v>
      </c>
      <c r="H5186" s="33">
        <v>40</v>
      </c>
    </row>
    <row r="5187" spans="1:8" x14ac:dyDescent="0.4">
      <c r="A5187">
        <v>2002</v>
      </c>
      <c r="B5187" s="2" t="s">
        <v>349</v>
      </c>
      <c r="C5187" s="2" t="s">
        <v>706</v>
      </c>
      <c r="D5187" s="2" t="s">
        <v>106</v>
      </c>
      <c r="E5187" s="70" t="s">
        <v>120</v>
      </c>
      <c r="F5187" s="29">
        <v>964</v>
      </c>
      <c r="G5187" s="29">
        <v>488</v>
      </c>
      <c r="H5187" s="33">
        <v>476</v>
      </c>
    </row>
    <row r="5188" spans="1:8" x14ac:dyDescent="0.4">
      <c r="A5188">
        <v>2002</v>
      </c>
      <c r="B5188" s="2" t="s">
        <v>350</v>
      </c>
      <c r="C5188" s="2" t="s">
        <v>706</v>
      </c>
      <c r="D5188" s="2" t="s">
        <v>106</v>
      </c>
      <c r="E5188" s="70" t="s">
        <v>121</v>
      </c>
      <c r="F5188" s="29">
        <v>1499</v>
      </c>
      <c r="G5188" s="29">
        <v>824</v>
      </c>
      <c r="H5188" s="33">
        <v>675</v>
      </c>
    </row>
    <row r="5189" spans="1:8" x14ac:dyDescent="0.4">
      <c r="A5189">
        <v>2002</v>
      </c>
      <c r="B5189" s="2" t="s">
        <v>351</v>
      </c>
      <c r="C5189" s="2" t="s">
        <v>706</v>
      </c>
      <c r="D5189" s="2" t="s">
        <v>106</v>
      </c>
      <c r="E5189" s="70" t="s">
        <v>122</v>
      </c>
      <c r="F5189" s="29">
        <v>982</v>
      </c>
      <c r="G5189" s="29">
        <v>479</v>
      </c>
      <c r="H5189" s="33">
        <v>503</v>
      </c>
    </row>
    <row r="5190" spans="1:8" x14ac:dyDescent="0.4">
      <c r="A5190">
        <v>2002</v>
      </c>
      <c r="B5190" s="2" t="s">
        <v>352</v>
      </c>
      <c r="C5190" s="2" t="s">
        <v>706</v>
      </c>
      <c r="D5190" s="2" t="s">
        <v>106</v>
      </c>
      <c r="E5190" s="70" t="s">
        <v>123</v>
      </c>
      <c r="F5190" s="29">
        <v>2037</v>
      </c>
      <c r="G5190" s="29">
        <v>1059</v>
      </c>
      <c r="H5190" s="33">
        <v>978</v>
      </c>
    </row>
    <row r="5191" spans="1:8" x14ac:dyDescent="0.4">
      <c r="A5191">
        <v>2002</v>
      </c>
      <c r="B5191" s="2" t="s">
        <v>353</v>
      </c>
      <c r="C5191" s="2" t="s">
        <v>706</v>
      </c>
      <c r="D5191" s="2" t="s">
        <v>106</v>
      </c>
      <c r="E5191" s="70" t="s">
        <v>124</v>
      </c>
      <c r="F5191" s="29">
        <v>501</v>
      </c>
      <c r="G5191" s="29">
        <v>275</v>
      </c>
      <c r="H5191" s="33">
        <v>226</v>
      </c>
    </row>
    <row r="5192" spans="1:8" x14ac:dyDescent="0.4">
      <c r="A5192">
        <v>2002</v>
      </c>
      <c r="B5192" s="2" t="s">
        <v>354</v>
      </c>
      <c r="C5192" s="2" t="s">
        <v>706</v>
      </c>
      <c r="D5192" s="2" t="s">
        <v>106</v>
      </c>
      <c r="E5192" s="70" t="s">
        <v>125</v>
      </c>
      <c r="F5192" s="29">
        <v>59</v>
      </c>
      <c r="G5192" s="29">
        <v>32</v>
      </c>
      <c r="H5192" s="33">
        <v>27</v>
      </c>
    </row>
    <row r="5193" spans="1:8" x14ac:dyDescent="0.4">
      <c r="A5193">
        <v>2002</v>
      </c>
      <c r="B5193" s="2" t="s">
        <v>355</v>
      </c>
      <c r="C5193" s="2" t="s">
        <v>706</v>
      </c>
      <c r="D5193" s="2" t="s">
        <v>106</v>
      </c>
      <c r="E5193" s="70" t="s">
        <v>126</v>
      </c>
      <c r="F5193" s="29">
        <v>1868</v>
      </c>
      <c r="G5193" s="29">
        <v>1120</v>
      </c>
      <c r="H5193" s="33">
        <v>748</v>
      </c>
    </row>
    <row r="5194" spans="1:8" x14ac:dyDescent="0.4">
      <c r="A5194">
        <v>2002</v>
      </c>
      <c r="B5194" s="2" t="s">
        <v>356</v>
      </c>
      <c r="C5194" s="2" t="s">
        <v>706</v>
      </c>
      <c r="D5194" s="2" t="s">
        <v>106</v>
      </c>
      <c r="E5194" s="70" t="s">
        <v>127</v>
      </c>
      <c r="F5194" s="29">
        <v>193</v>
      </c>
      <c r="G5194" s="29">
        <v>121</v>
      </c>
      <c r="H5194" s="33">
        <v>72</v>
      </c>
    </row>
    <row r="5195" spans="1:8" x14ac:dyDescent="0.4">
      <c r="A5195">
        <v>2002</v>
      </c>
      <c r="B5195" s="2" t="s">
        <v>357</v>
      </c>
      <c r="C5195" s="2" t="s">
        <v>707</v>
      </c>
      <c r="D5195" s="2" t="s">
        <v>1</v>
      </c>
      <c r="E5195" s="70" t="s">
        <v>0</v>
      </c>
      <c r="F5195" s="29">
        <v>23</v>
      </c>
      <c r="G5195" s="29">
        <v>13</v>
      </c>
      <c r="H5195" s="33">
        <v>10</v>
      </c>
    </row>
    <row r="5196" spans="1:8" x14ac:dyDescent="0.4">
      <c r="A5196">
        <v>2002</v>
      </c>
      <c r="B5196" s="2" t="s">
        <v>358</v>
      </c>
      <c r="C5196" s="2" t="s">
        <v>707</v>
      </c>
      <c r="D5196" s="2" t="s">
        <v>1</v>
      </c>
      <c r="E5196" s="70" t="s">
        <v>2</v>
      </c>
      <c r="F5196" s="29">
        <v>1</v>
      </c>
      <c r="G5196" s="29">
        <v>0</v>
      </c>
      <c r="H5196" s="33">
        <v>1</v>
      </c>
    </row>
    <row r="5197" spans="1:8" x14ac:dyDescent="0.4">
      <c r="A5197">
        <v>2002</v>
      </c>
      <c r="B5197" s="2" t="s">
        <v>359</v>
      </c>
      <c r="C5197" s="2" t="s">
        <v>707</v>
      </c>
      <c r="D5197" s="2" t="s">
        <v>1</v>
      </c>
      <c r="E5197" s="70" t="s">
        <v>3</v>
      </c>
      <c r="F5197" s="29">
        <v>305</v>
      </c>
      <c r="G5197" s="29">
        <v>177</v>
      </c>
      <c r="H5197" s="33">
        <v>128</v>
      </c>
    </row>
    <row r="5198" spans="1:8" x14ac:dyDescent="0.4">
      <c r="A5198">
        <v>2002</v>
      </c>
      <c r="B5198" s="2" t="s">
        <v>360</v>
      </c>
      <c r="C5198" s="2" t="s">
        <v>707</v>
      </c>
      <c r="D5198" s="2" t="s">
        <v>1</v>
      </c>
      <c r="E5198" s="70" t="s">
        <v>4</v>
      </c>
      <c r="F5198" s="29">
        <v>6</v>
      </c>
      <c r="G5198" s="29">
        <v>3</v>
      </c>
      <c r="H5198" s="33">
        <v>3</v>
      </c>
    </row>
    <row r="5199" spans="1:8" x14ac:dyDescent="0.4">
      <c r="A5199">
        <v>2002</v>
      </c>
      <c r="B5199" s="2" t="s">
        <v>361</v>
      </c>
      <c r="C5199" s="2" t="s">
        <v>707</v>
      </c>
      <c r="D5199" s="2" t="s">
        <v>1</v>
      </c>
      <c r="E5199" s="70" t="s">
        <v>5</v>
      </c>
      <c r="F5199" s="29">
        <v>17</v>
      </c>
      <c r="G5199" s="29">
        <v>11</v>
      </c>
      <c r="H5199" s="33">
        <v>6</v>
      </c>
    </row>
    <row r="5200" spans="1:8" x14ac:dyDescent="0.4">
      <c r="A5200">
        <v>2002</v>
      </c>
      <c r="B5200" s="7" t="s">
        <v>732</v>
      </c>
      <c r="C5200" s="7" t="s">
        <v>707</v>
      </c>
      <c r="D5200" s="7" t="s">
        <v>1</v>
      </c>
      <c r="E5200" s="70" t="s">
        <v>330</v>
      </c>
      <c r="F5200" s="29">
        <v>5</v>
      </c>
      <c r="G5200" s="29">
        <v>3</v>
      </c>
      <c r="H5200" s="33">
        <v>2</v>
      </c>
    </row>
    <row r="5201" spans="1:8" x14ac:dyDescent="0.4">
      <c r="A5201">
        <v>2002</v>
      </c>
      <c r="B5201" s="2" t="s">
        <v>730</v>
      </c>
      <c r="C5201" s="2" t="s">
        <v>707</v>
      </c>
      <c r="D5201" s="2" t="s">
        <v>1</v>
      </c>
      <c r="E5201" s="70" t="s">
        <v>328</v>
      </c>
      <c r="F5201" s="29">
        <v>3</v>
      </c>
      <c r="G5201" s="29">
        <v>1</v>
      </c>
      <c r="H5201" s="33">
        <v>2</v>
      </c>
    </row>
    <row r="5202" spans="1:8" x14ac:dyDescent="0.4">
      <c r="A5202">
        <v>2002</v>
      </c>
      <c r="B5202" s="2" t="s">
        <v>362</v>
      </c>
      <c r="C5202" s="2" t="s">
        <v>708</v>
      </c>
      <c r="D5202" s="2" t="s">
        <v>7</v>
      </c>
      <c r="E5202" s="70" t="s">
        <v>6</v>
      </c>
      <c r="F5202" s="29">
        <v>187</v>
      </c>
      <c r="G5202" s="29">
        <v>114</v>
      </c>
      <c r="H5202" s="33">
        <v>73</v>
      </c>
    </row>
    <row r="5203" spans="1:8" x14ac:dyDescent="0.4">
      <c r="A5203">
        <v>2002</v>
      </c>
      <c r="B5203" s="2" t="s">
        <v>363</v>
      </c>
      <c r="C5203" s="2" t="s">
        <v>708</v>
      </c>
      <c r="D5203" s="2" t="s">
        <v>7</v>
      </c>
      <c r="E5203" s="70" t="s">
        <v>8</v>
      </c>
      <c r="F5203" s="29">
        <v>83</v>
      </c>
      <c r="G5203" s="29">
        <v>58</v>
      </c>
      <c r="H5203" s="33">
        <v>25</v>
      </c>
    </row>
    <row r="5204" spans="1:8" x14ac:dyDescent="0.4">
      <c r="A5204">
        <v>2002</v>
      </c>
      <c r="B5204" s="2" t="s">
        <v>364</v>
      </c>
      <c r="C5204" s="2" t="s">
        <v>708</v>
      </c>
      <c r="D5204" s="2" t="s">
        <v>7</v>
      </c>
      <c r="E5204" s="70" t="s">
        <v>9</v>
      </c>
      <c r="F5204" s="29">
        <v>78</v>
      </c>
      <c r="G5204" s="29">
        <v>49</v>
      </c>
      <c r="H5204" s="33">
        <v>29</v>
      </c>
    </row>
    <row r="5205" spans="1:8" x14ac:dyDescent="0.4">
      <c r="A5205">
        <v>2002</v>
      </c>
      <c r="B5205" s="2" t="s">
        <v>365</v>
      </c>
      <c r="C5205" s="2" t="s">
        <v>708</v>
      </c>
      <c r="D5205" s="2" t="s">
        <v>7</v>
      </c>
      <c r="E5205" s="70" t="s">
        <v>10</v>
      </c>
      <c r="F5205" s="29">
        <v>62</v>
      </c>
      <c r="G5205" s="29">
        <v>39</v>
      </c>
      <c r="H5205" s="33">
        <v>23</v>
      </c>
    </row>
    <row r="5206" spans="1:8" x14ac:dyDescent="0.4">
      <c r="A5206">
        <v>2002</v>
      </c>
      <c r="B5206" s="2" t="s">
        <v>366</v>
      </c>
      <c r="C5206" s="2" t="s">
        <v>708</v>
      </c>
      <c r="D5206" s="2" t="s">
        <v>7</v>
      </c>
      <c r="E5206" s="70" t="s">
        <v>11</v>
      </c>
      <c r="F5206" s="29">
        <v>86</v>
      </c>
      <c r="G5206" s="29">
        <v>59</v>
      </c>
      <c r="H5206" s="33">
        <v>27</v>
      </c>
    </row>
    <row r="5207" spans="1:8" x14ac:dyDescent="0.4">
      <c r="A5207">
        <v>2002</v>
      </c>
      <c r="B5207" s="2" t="s">
        <v>367</v>
      </c>
      <c r="C5207" s="2" t="s">
        <v>708</v>
      </c>
      <c r="D5207" s="2" t="s">
        <v>7</v>
      </c>
      <c r="E5207" s="70" t="s">
        <v>12</v>
      </c>
      <c r="F5207" s="29">
        <v>39</v>
      </c>
      <c r="G5207" s="29">
        <v>20</v>
      </c>
      <c r="H5207" s="33">
        <v>19</v>
      </c>
    </row>
    <row r="5208" spans="1:8" x14ac:dyDescent="0.4">
      <c r="A5208">
        <v>2002</v>
      </c>
      <c r="B5208" s="2" t="s">
        <v>368</v>
      </c>
      <c r="C5208" s="2" t="s">
        <v>708</v>
      </c>
      <c r="D5208" s="2" t="s">
        <v>7</v>
      </c>
      <c r="E5208" s="70" t="s">
        <v>13</v>
      </c>
      <c r="F5208" s="29">
        <v>39</v>
      </c>
      <c r="G5208" s="29">
        <v>28</v>
      </c>
      <c r="H5208" s="33">
        <v>11</v>
      </c>
    </row>
    <row r="5209" spans="1:8" x14ac:dyDescent="0.4">
      <c r="A5209">
        <v>2002</v>
      </c>
      <c r="B5209" s="2" t="s">
        <v>369</v>
      </c>
      <c r="C5209" s="2" t="s">
        <v>708</v>
      </c>
      <c r="D5209" s="2" t="s">
        <v>7</v>
      </c>
      <c r="E5209" s="70" t="s">
        <v>14</v>
      </c>
      <c r="F5209" s="29">
        <v>56</v>
      </c>
      <c r="G5209" s="29">
        <v>34</v>
      </c>
      <c r="H5209" s="33">
        <v>22</v>
      </c>
    </row>
    <row r="5210" spans="1:8" x14ac:dyDescent="0.4">
      <c r="A5210">
        <v>2002</v>
      </c>
      <c r="B5210" s="2" t="s">
        <v>370</v>
      </c>
      <c r="C5210" s="2" t="s">
        <v>708</v>
      </c>
      <c r="D5210" s="2" t="s">
        <v>7</v>
      </c>
      <c r="E5210" s="70" t="s">
        <v>15</v>
      </c>
      <c r="F5210" s="29">
        <v>37</v>
      </c>
      <c r="G5210" s="29">
        <v>20</v>
      </c>
      <c r="H5210" s="33">
        <v>17</v>
      </c>
    </row>
    <row r="5211" spans="1:8" x14ac:dyDescent="0.4">
      <c r="A5211">
        <v>2002</v>
      </c>
      <c r="B5211" s="2" t="s">
        <v>371</v>
      </c>
      <c r="C5211" s="2" t="s">
        <v>708</v>
      </c>
      <c r="D5211" s="2" t="s">
        <v>7</v>
      </c>
      <c r="E5211" s="70" t="s">
        <v>16</v>
      </c>
      <c r="F5211" s="29">
        <v>502</v>
      </c>
      <c r="G5211" s="29">
        <v>312</v>
      </c>
      <c r="H5211" s="33">
        <v>190</v>
      </c>
    </row>
    <row r="5212" spans="1:8" x14ac:dyDescent="0.4">
      <c r="A5212">
        <v>2002</v>
      </c>
      <c r="B5212" s="2" t="s">
        <v>372</v>
      </c>
      <c r="C5212" s="2" t="s">
        <v>708</v>
      </c>
      <c r="D5212" s="2" t="s">
        <v>7</v>
      </c>
      <c r="E5212" s="70" t="s">
        <v>17</v>
      </c>
      <c r="F5212" s="29">
        <v>15</v>
      </c>
      <c r="G5212" s="29">
        <v>9</v>
      </c>
      <c r="H5212" s="33">
        <v>6</v>
      </c>
    </row>
    <row r="5213" spans="1:8" x14ac:dyDescent="0.4">
      <c r="A5213">
        <v>2002</v>
      </c>
      <c r="B5213" s="2" t="s">
        <v>373</v>
      </c>
      <c r="C5213" s="2" t="s">
        <v>708</v>
      </c>
      <c r="D5213" s="2" t="s">
        <v>7</v>
      </c>
      <c r="E5213" s="70" t="s">
        <v>18</v>
      </c>
      <c r="F5213" s="29">
        <v>37</v>
      </c>
      <c r="G5213" s="29">
        <v>22</v>
      </c>
      <c r="H5213" s="33">
        <v>15</v>
      </c>
    </row>
    <row r="5214" spans="1:8" x14ac:dyDescent="0.4">
      <c r="A5214">
        <v>2002</v>
      </c>
      <c r="B5214" s="2" t="s">
        <v>374</v>
      </c>
      <c r="C5214" s="2" t="s">
        <v>708</v>
      </c>
      <c r="D5214" s="2" t="s">
        <v>7</v>
      </c>
      <c r="E5214" s="70" t="s">
        <v>19</v>
      </c>
      <c r="F5214" s="29">
        <v>107</v>
      </c>
      <c r="G5214" s="29">
        <v>67</v>
      </c>
      <c r="H5214" s="33">
        <v>40</v>
      </c>
    </row>
    <row r="5215" spans="1:8" x14ac:dyDescent="0.4">
      <c r="A5215">
        <v>2002</v>
      </c>
      <c r="B5215" s="2" t="s">
        <v>375</v>
      </c>
      <c r="C5215" s="2" t="s">
        <v>708</v>
      </c>
      <c r="D5215" s="2" t="s">
        <v>7</v>
      </c>
      <c r="E5215" s="70" t="s">
        <v>20</v>
      </c>
      <c r="F5215" s="29">
        <v>195</v>
      </c>
      <c r="G5215" s="29">
        <v>122</v>
      </c>
      <c r="H5215" s="33">
        <v>73</v>
      </c>
    </row>
    <row r="5216" spans="1:8" x14ac:dyDescent="0.4">
      <c r="A5216">
        <v>2002</v>
      </c>
      <c r="B5216" s="2" t="s">
        <v>376</v>
      </c>
      <c r="C5216" s="2" t="s">
        <v>708</v>
      </c>
      <c r="D5216" s="2" t="s">
        <v>7</v>
      </c>
      <c r="E5216" s="70" t="s">
        <v>21</v>
      </c>
      <c r="F5216" s="29">
        <v>85</v>
      </c>
      <c r="G5216" s="29">
        <v>47</v>
      </c>
      <c r="H5216" s="33">
        <v>38</v>
      </c>
    </row>
    <row r="5217" spans="1:8" x14ac:dyDescent="0.4">
      <c r="A5217">
        <v>2002</v>
      </c>
      <c r="B5217" s="2" t="s">
        <v>377</v>
      </c>
      <c r="C5217" s="2" t="s">
        <v>708</v>
      </c>
      <c r="D5217" s="2" t="s">
        <v>7</v>
      </c>
      <c r="E5217" s="70" t="s">
        <v>22</v>
      </c>
      <c r="F5217" s="29">
        <v>110</v>
      </c>
      <c r="G5217" s="29">
        <v>68</v>
      </c>
      <c r="H5217" s="33">
        <v>42</v>
      </c>
    </row>
    <row r="5218" spans="1:8" x14ac:dyDescent="0.4">
      <c r="A5218">
        <v>2002</v>
      </c>
      <c r="B5218" s="2" t="s">
        <v>378</v>
      </c>
      <c r="C5218" s="2" t="s">
        <v>708</v>
      </c>
      <c r="D5218" s="2" t="s">
        <v>7</v>
      </c>
      <c r="E5218" s="70" t="s">
        <v>23</v>
      </c>
      <c r="F5218" s="29">
        <v>33</v>
      </c>
      <c r="G5218" s="29">
        <v>22</v>
      </c>
      <c r="H5218" s="33">
        <v>11</v>
      </c>
    </row>
    <row r="5219" spans="1:8" x14ac:dyDescent="0.4">
      <c r="A5219">
        <v>2002</v>
      </c>
      <c r="B5219" s="2" t="s">
        <v>379</v>
      </c>
      <c r="C5219" s="2" t="s">
        <v>708</v>
      </c>
      <c r="D5219" s="2" t="s">
        <v>7</v>
      </c>
      <c r="E5219" s="70" t="s">
        <v>24</v>
      </c>
      <c r="F5219" s="29">
        <v>25</v>
      </c>
      <c r="G5219" s="29">
        <v>13</v>
      </c>
      <c r="H5219" s="33">
        <v>12</v>
      </c>
    </row>
    <row r="5220" spans="1:8" x14ac:dyDescent="0.4">
      <c r="A5220">
        <v>2002</v>
      </c>
      <c r="B5220" s="2" t="s">
        <v>380</v>
      </c>
      <c r="C5220" s="2" t="s">
        <v>708</v>
      </c>
      <c r="D5220" s="2" t="s">
        <v>7</v>
      </c>
      <c r="E5220" s="70" t="s">
        <v>25</v>
      </c>
      <c r="F5220" s="29">
        <v>1055</v>
      </c>
      <c r="G5220" s="29">
        <v>647</v>
      </c>
      <c r="H5220" s="33">
        <v>408</v>
      </c>
    </row>
    <row r="5221" spans="1:8" x14ac:dyDescent="0.4">
      <c r="A5221">
        <v>2002</v>
      </c>
      <c r="B5221" s="2" t="s">
        <v>381</v>
      </c>
      <c r="C5221" s="2" t="s">
        <v>708</v>
      </c>
      <c r="D5221" s="2" t="s">
        <v>7</v>
      </c>
      <c r="E5221" s="70" t="s">
        <v>26</v>
      </c>
      <c r="F5221" s="29">
        <v>425</v>
      </c>
      <c r="G5221" s="29">
        <v>272</v>
      </c>
      <c r="H5221" s="33">
        <v>153</v>
      </c>
    </row>
    <row r="5222" spans="1:8" x14ac:dyDescent="0.4">
      <c r="A5222">
        <v>2002</v>
      </c>
      <c r="B5222" s="2" t="s">
        <v>382</v>
      </c>
      <c r="C5222" s="2" t="s">
        <v>708</v>
      </c>
      <c r="D5222" s="2" t="s">
        <v>7</v>
      </c>
      <c r="E5222" s="70" t="s">
        <v>27</v>
      </c>
      <c r="F5222" s="29">
        <v>17</v>
      </c>
      <c r="G5222" s="29">
        <v>12</v>
      </c>
      <c r="H5222" s="33">
        <v>5</v>
      </c>
    </row>
    <row r="5223" spans="1:8" x14ac:dyDescent="0.4">
      <c r="A5223">
        <v>2002</v>
      </c>
      <c r="B5223" s="2" t="s">
        <v>383</v>
      </c>
      <c r="C5223" s="2" t="s">
        <v>709</v>
      </c>
      <c r="D5223" s="2" t="s">
        <v>29</v>
      </c>
      <c r="E5223" s="70" t="s">
        <v>28</v>
      </c>
      <c r="F5223" s="29">
        <v>181</v>
      </c>
      <c r="G5223" s="29">
        <v>103</v>
      </c>
      <c r="H5223" s="33">
        <v>78</v>
      </c>
    </row>
    <row r="5224" spans="1:8" x14ac:dyDescent="0.4">
      <c r="A5224">
        <v>2002</v>
      </c>
      <c r="B5224" s="2" t="s">
        <v>384</v>
      </c>
      <c r="C5224" s="2" t="s">
        <v>709</v>
      </c>
      <c r="D5224" s="2" t="s">
        <v>29</v>
      </c>
      <c r="E5224" s="70" t="s">
        <v>30</v>
      </c>
      <c r="F5224" s="29">
        <v>88</v>
      </c>
      <c r="G5224" s="29">
        <v>52</v>
      </c>
      <c r="H5224" s="33">
        <v>36</v>
      </c>
    </row>
    <row r="5225" spans="1:8" x14ac:dyDescent="0.4">
      <c r="A5225">
        <v>2002</v>
      </c>
      <c r="B5225" s="2" t="s">
        <v>385</v>
      </c>
      <c r="C5225" s="2" t="s">
        <v>709</v>
      </c>
      <c r="D5225" s="2" t="s">
        <v>29</v>
      </c>
      <c r="E5225" s="70" t="s">
        <v>31</v>
      </c>
      <c r="F5225" s="29">
        <v>33</v>
      </c>
      <c r="G5225" s="29">
        <v>19</v>
      </c>
      <c r="H5225" s="33">
        <v>14</v>
      </c>
    </row>
    <row r="5226" spans="1:8" x14ac:dyDescent="0.4">
      <c r="A5226">
        <v>2002</v>
      </c>
      <c r="B5226" s="2" t="s">
        <v>386</v>
      </c>
      <c r="C5226" s="2" t="s">
        <v>709</v>
      </c>
      <c r="D5226" s="2" t="s">
        <v>29</v>
      </c>
      <c r="E5226" s="70" t="s">
        <v>32</v>
      </c>
      <c r="F5226" s="29">
        <v>242</v>
      </c>
      <c r="G5226" s="29">
        <v>152</v>
      </c>
      <c r="H5226" s="33">
        <v>90</v>
      </c>
    </row>
    <row r="5227" spans="1:8" x14ac:dyDescent="0.4">
      <c r="A5227">
        <v>2002</v>
      </c>
      <c r="B5227" s="2" t="s">
        <v>387</v>
      </c>
      <c r="C5227" s="2" t="s">
        <v>709</v>
      </c>
      <c r="D5227" s="2" t="s">
        <v>29</v>
      </c>
      <c r="E5227" s="70" t="s">
        <v>33</v>
      </c>
      <c r="F5227" s="29">
        <v>38</v>
      </c>
      <c r="G5227" s="29">
        <v>23</v>
      </c>
      <c r="H5227" s="33">
        <v>15</v>
      </c>
    </row>
    <row r="5228" spans="1:8" x14ac:dyDescent="0.4">
      <c r="A5228">
        <v>2002</v>
      </c>
      <c r="B5228" s="2" t="s">
        <v>388</v>
      </c>
      <c r="C5228" s="2" t="s">
        <v>709</v>
      </c>
      <c r="D5228" s="2" t="s">
        <v>29</v>
      </c>
      <c r="E5228" s="70" t="s">
        <v>34</v>
      </c>
      <c r="F5228" s="29">
        <v>55</v>
      </c>
      <c r="G5228" s="29">
        <v>26</v>
      </c>
      <c r="H5228" s="33">
        <v>29</v>
      </c>
    </row>
    <row r="5229" spans="1:8" x14ac:dyDescent="0.4">
      <c r="A5229">
        <v>2002</v>
      </c>
      <c r="B5229" s="2" t="s">
        <v>389</v>
      </c>
      <c r="C5229" s="2" t="s">
        <v>709</v>
      </c>
      <c r="D5229" s="2" t="s">
        <v>29</v>
      </c>
      <c r="E5229" s="70" t="s">
        <v>35</v>
      </c>
      <c r="F5229" s="29">
        <v>846</v>
      </c>
      <c r="G5229" s="29">
        <v>462</v>
      </c>
      <c r="H5229" s="33">
        <v>384</v>
      </c>
    </row>
    <row r="5230" spans="1:8" x14ac:dyDescent="0.4">
      <c r="A5230">
        <v>2002</v>
      </c>
      <c r="B5230" s="2" t="s">
        <v>390</v>
      </c>
      <c r="C5230" s="2" t="s">
        <v>710</v>
      </c>
      <c r="D5230" s="2" t="s">
        <v>37</v>
      </c>
      <c r="E5230" s="70" t="s">
        <v>36</v>
      </c>
      <c r="F5230" s="29">
        <v>133</v>
      </c>
      <c r="G5230" s="29">
        <v>83</v>
      </c>
      <c r="H5230" s="33">
        <v>50</v>
      </c>
    </row>
    <row r="5231" spans="1:8" x14ac:dyDescent="0.4">
      <c r="A5231">
        <v>2002</v>
      </c>
      <c r="B5231" s="2" t="s">
        <v>391</v>
      </c>
      <c r="C5231" s="2" t="s">
        <v>710</v>
      </c>
      <c r="D5231" s="2" t="s">
        <v>37</v>
      </c>
      <c r="E5231" s="70" t="s">
        <v>38</v>
      </c>
      <c r="F5231" s="29">
        <v>48</v>
      </c>
      <c r="G5231" s="29">
        <v>34</v>
      </c>
      <c r="H5231" s="33">
        <v>14</v>
      </c>
    </row>
    <row r="5232" spans="1:8" x14ac:dyDescent="0.4">
      <c r="A5232">
        <v>2002</v>
      </c>
      <c r="B5232" s="2" t="s">
        <v>392</v>
      </c>
      <c r="C5232" s="2" t="s">
        <v>710</v>
      </c>
      <c r="D5232" s="2" t="s">
        <v>37</v>
      </c>
      <c r="E5232" s="70" t="s">
        <v>39</v>
      </c>
      <c r="F5232" s="29">
        <v>224</v>
      </c>
      <c r="G5232" s="29">
        <v>142</v>
      </c>
      <c r="H5232" s="33">
        <v>82</v>
      </c>
    </row>
    <row r="5233" spans="1:8" x14ac:dyDescent="0.4">
      <c r="A5233">
        <v>2002</v>
      </c>
      <c r="B5233" s="2" t="s">
        <v>393</v>
      </c>
      <c r="C5233" s="2" t="s">
        <v>710</v>
      </c>
      <c r="D5233" s="2" t="s">
        <v>37</v>
      </c>
      <c r="E5233" s="70" t="s">
        <v>40</v>
      </c>
      <c r="F5233" s="29">
        <v>3301</v>
      </c>
      <c r="G5233" s="29">
        <v>1925</v>
      </c>
      <c r="H5233" s="33">
        <v>1376</v>
      </c>
    </row>
    <row r="5234" spans="1:8" x14ac:dyDescent="0.4">
      <c r="A5234">
        <v>2002</v>
      </c>
      <c r="B5234" s="2" t="s">
        <v>394</v>
      </c>
      <c r="C5234" s="2" t="s">
        <v>710</v>
      </c>
      <c r="D5234" s="2" t="s">
        <v>37</v>
      </c>
      <c r="E5234" s="70" t="s">
        <v>41</v>
      </c>
      <c r="F5234" s="29">
        <v>77</v>
      </c>
      <c r="G5234" s="29">
        <v>46</v>
      </c>
      <c r="H5234" s="33">
        <v>31</v>
      </c>
    </row>
    <row r="5235" spans="1:8" x14ac:dyDescent="0.4">
      <c r="A5235">
        <v>2002</v>
      </c>
      <c r="B5235" s="2" t="s">
        <v>395</v>
      </c>
      <c r="C5235" s="2" t="s">
        <v>710</v>
      </c>
      <c r="D5235" s="2" t="s">
        <v>37</v>
      </c>
      <c r="E5235" s="70" t="s">
        <v>42</v>
      </c>
      <c r="F5235" s="29">
        <v>773</v>
      </c>
      <c r="G5235" s="29">
        <v>450</v>
      </c>
      <c r="H5235" s="33">
        <v>323</v>
      </c>
    </row>
    <row r="5236" spans="1:8" x14ac:dyDescent="0.4">
      <c r="A5236">
        <v>2002</v>
      </c>
      <c r="B5236" s="2" t="s">
        <v>396</v>
      </c>
      <c r="C5236" s="2" t="s">
        <v>710</v>
      </c>
      <c r="D5236" s="2" t="s">
        <v>37</v>
      </c>
      <c r="E5236" s="70" t="s">
        <v>43</v>
      </c>
      <c r="F5236" s="29">
        <v>116</v>
      </c>
      <c r="G5236" s="29">
        <v>68</v>
      </c>
      <c r="H5236" s="33">
        <v>48</v>
      </c>
    </row>
    <row r="5237" spans="1:8" x14ac:dyDescent="0.4">
      <c r="A5237">
        <v>2002</v>
      </c>
      <c r="B5237" s="2" t="s">
        <v>397</v>
      </c>
      <c r="C5237" s="2" t="s">
        <v>710</v>
      </c>
      <c r="D5237" s="2" t="s">
        <v>37</v>
      </c>
      <c r="E5237" s="70" t="s">
        <v>44</v>
      </c>
      <c r="F5237" s="29">
        <v>445</v>
      </c>
      <c r="G5237" s="29">
        <v>240</v>
      </c>
      <c r="H5237" s="33">
        <v>205</v>
      </c>
    </row>
    <row r="5238" spans="1:8" x14ac:dyDescent="0.4">
      <c r="A5238">
        <v>2002</v>
      </c>
      <c r="B5238" s="2" t="s">
        <v>398</v>
      </c>
      <c r="C5238" s="2" t="s">
        <v>710</v>
      </c>
      <c r="D5238" s="2" t="s">
        <v>37</v>
      </c>
      <c r="E5238" s="70" t="s">
        <v>45</v>
      </c>
      <c r="F5238" s="29">
        <v>259</v>
      </c>
      <c r="G5238" s="29">
        <v>138</v>
      </c>
      <c r="H5238" s="33">
        <v>121</v>
      </c>
    </row>
    <row r="5239" spans="1:8" x14ac:dyDescent="0.4">
      <c r="A5239">
        <v>2002</v>
      </c>
      <c r="B5239" s="2" t="s">
        <v>399</v>
      </c>
      <c r="C5239" s="2" t="s">
        <v>710</v>
      </c>
      <c r="D5239" s="2" t="s">
        <v>37</v>
      </c>
      <c r="E5239" s="70" t="s">
        <v>46</v>
      </c>
      <c r="F5239" s="29">
        <v>0</v>
      </c>
      <c r="G5239" s="29">
        <v>0</v>
      </c>
      <c r="H5239" s="33">
        <v>0</v>
      </c>
    </row>
    <row r="5240" spans="1:8" x14ac:dyDescent="0.4">
      <c r="A5240">
        <v>2002</v>
      </c>
      <c r="B5240" s="2" t="s">
        <v>400</v>
      </c>
      <c r="C5240" s="2" t="s">
        <v>710</v>
      </c>
      <c r="D5240" s="2" t="s">
        <v>37</v>
      </c>
      <c r="E5240" s="70" t="s">
        <v>47</v>
      </c>
      <c r="F5240" s="29">
        <v>82</v>
      </c>
      <c r="G5240" s="29">
        <v>52</v>
      </c>
      <c r="H5240" s="33">
        <v>30</v>
      </c>
    </row>
    <row r="5241" spans="1:8" x14ac:dyDescent="0.4">
      <c r="A5241">
        <v>2002</v>
      </c>
      <c r="B5241" s="2" t="s">
        <v>401</v>
      </c>
      <c r="C5241" s="2" t="s">
        <v>710</v>
      </c>
      <c r="D5241" s="2" t="s">
        <v>37</v>
      </c>
      <c r="E5241" s="70" t="s">
        <v>48</v>
      </c>
      <c r="F5241" s="29">
        <v>63</v>
      </c>
      <c r="G5241" s="29">
        <v>37</v>
      </c>
      <c r="H5241" s="33">
        <v>26</v>
      </c>
    </row>
    <row r="5242" spans="1:8" x14ac:dyDescent="0.4">
      <c r="A5242">
        <v>2002</v>
      </c>
      <c r="B5242" s="2" t="s">
        <v>402</v>
      </c>
      <c r="C5242" s="2" t="s">
        <v>710</v>
      </c>
      <c r="D5242" s="2" t="s">
        <v>37</v>
      </c>
      <c r="E5242" s="70" t="s">
        <v>49</v>
      </c>
      <c r="F5242" s="29">
        <v>349</v>
      </c>
      <c r="G5242" s="29">
        <v>231</v>
      </c>
      <c r="H5242" s="33">
        <v>118</v>
      </c>
    </row>
    <row r="5243" spans="1:8" x14ac:dyDescent="0.4">
      <c r="A5243">
        <v>2002</v>
      </c>
      <c r="B5243" s="2" t="s">
        <v>403</v>
      </c>
      <c r="C5243" s="2" t="s">
        <v>710</v>
      </c>
      <c r="D5243" s="2" t="s">
        <v>37</v>
      </c>
      <c r="E5243" s="70" t="s">
        <v>50</v>
      </c>
      <c r="F5243" s="29">
        <v>117</v>
      </c>
      <c r="G5243" s="29">
        <v>82</v>
      </c>
      <c r="H5243" s="33">
        <v>35</v>
      </c>
    </row>
    <row r="5244" spans="1:8" x14ac:dyDescent="0.4">
      <c r="A5244">
        <v>2002</v>
      </c>
      <c r="B5244" s="2" t="s">
        <v>404</v>
      </c>
      <c r="C5244" s="2" t="s">
        <v>710</v>
      </c>
      <c r="D5244" s="2" t="s">
        <v>37</v>
      </c>
      <c r="E5244" s="70" t="s">
        <v>51</v>
      </c>
      <c r="F5244" s="29">
        <v>340</v>
      </c>
      <c r="G5244" s="29">
        <v>213</v>
      </c>
      <c r="H5244" s="33">
        <v>127</v>
      </c>
    </row>
    <row r="5245" spans="1:8" x14ac:dyDescent="0.4">
      <c r="A5245">
        <v>2002</v>
      </c>
      <c r="B5245" s="2" t="s">
        <v>405</v>
      </c>
      <c r="C5245" s="2" t="s">
        <v>710</v>
      </c>
      <c r="D5245" s="2" t="s">
        <v>37</v>
      </c>
      <c r="E5245" s="70" t="s">
        <v>52</v>
      </c>
      <c r="F5245" s="29">
        <v>49</v>
      </c>
      <c r="G5245" s="29">
        <v>30</v>
      </c>
      <c r="H5245" s="33">
        <v>19</v>
      </c>
    </row>
    <row r="5246" spans="1:8" x14ac:dyDescent="0.4">
      <c r="A5246">
        <v>2002</v>
      </c>
      <c r="B5246" s="2" t="s">
        <v>406</v>
      </c>
      <c r="C5246" s="2" t="s">
        <v>710</v>
      </c>
      <c r="D5246" s="2" t="s">
        <v>37</v>
      </c>
      <c r="E5246" s="70" t="s">
        <v>53</v>
      </c>
      <c r="F5246" s="29">
        <v>59</v>
      </c>
      <c r="G5246" s="29">
        <v>35</v>
      </c>
      <c r="H5246" s="33">
        <v>24</v>
      </c>
    </row>
    <row r="5247" spans="1:8" x14ac:dyDescent="0.4">
      <c r="A5247">
        <v>2002</v>
      </c>
      <c r="B5247" s="2" t="s">
        <v>407</v>
      </c>
      <c r="C5247" s="2" t="s">
        <v>710</v>
      </c>
      <c r="D5247" s="2" t="s">
        <v>37</v>
      </c>
      <c r="E5247" s="70" t="s">
        <v>54</v>
      </c>
      <c r="F5247" s="29">
        <v>447</v>
      </c>
      <c r="G5247" s="29">
        <v>277</v>
      </c>
      <c r="H5247" s="33">
        <v>170</v>
      </c>
    </row>
    <row r="5248" spans="1:8" x14ac:dyDescent="0.4">
      <c r="A5248">
        <v>2002</v>
      </c>
      <c r="B5248" s="2" t="s">
        <v>408</v>
      </c>
      <c r="C5248" s="2" t="s">
        <v>711</v>
      </c>
      <c r="D5248" s="2" t="s">
        <v>56</v>
      </c>
      <c r="E5248" s="70" t="s">
        <v>55</v>
      </c>
      <c r="F5248" s="29">
        <v>112</v>
      </c>
      <c r="G5248" s="29">
        <v>59</v>
      </c>
      <c r="H5248" s="33">
        <v>53</v>
      </c>
    </row>
    <row r="5249" spans="1:8" x14ac:dyDescent="0.4">
      <c r="A5249">
        <v>2002</v>
      </c>
      <c r="B5249" s="2" t="s">
        <v>409</v>
      </c>
      <c r="C5249" s="2" t="s">
        <v>711</v>
      </c>
      <c r="D5249" s="2" t="s">
        <v>56</v>
      </c>
      <c r="E5249" s="70" t="s">
        <v>57</v>
      </c>
      <c r="F5249" s="29">
        <v>0</v>
      </c>
      <c r="G5249" s="29">
        <v>0</v>
      </c>
      <c r="H5249" s="33">
        <v>0</v>
      </c>
    </row>
    <row r="5250" spans="1:8" x14ac:dyDescent="0.4">
      <c r="A5250">
        <v>2002</v>
      </c>
      <c r="B5250" s="2" t="s">
        <v>410</v>
      </c>
      <c r="C5250" s="2" t="s">
        <v>711</v>
      </c>
      <c r="D5250" s="2" t="s">
        <v>56</v>
      </c>
      <c r="E5250" s="70" t="s">
        <v>58</v>
      </c>
      <c r="F5250" s="29">
        <v>209</v>
      </c>
      <c r="G5250" s="29">
        <v>128</v>
      </c>
      <c r="H5250" s="33">
        <v>81</v>
      </c>
    </row>
    <row r="5251" spans="1:8" x14ac:dyDescent="0.4">
      <c r="A5251">
        <v>2002</v>
      </c>
      <c r="B5251" s="2" t="s">
        <v>411</v>
      </c>
      <c r="C5251" s="2" t="s">
        <v>711</v>
      </c>
      <c r="D5251" s="2" t="s">
        <v>56</v>
      </c>
      <c r="E5251" s="70" t="s">
        <v>59</v>
      </c>
      <c r="F5251" s="29">
        <v>24</v>
      </c>
      <c r="G5251" s="29">
        <v>18</v>
      </c>
      <c r="H5251" s="33">
        <v>6</v>
      </c>
    </row>
    <row r="5252" spans="1:8" x14ac:dyDescent="0.4">
      <c r="A5252">
        <v>2002</v>
      </c>
      <c r="B5252" s="2" t="s">
        <v>412</v>
      </c>
      <c r="C5252" s="2" t="s">
        <v>711</v>
      </c>
      <c r="D5252" s="2" t="s">
        <v>56</v>
      </c>
      <c r="E5252" s="70" t="s">
        <v>60</v>
      </c>
      <c r="F5252" s="29">
        <v>1469</v>
      </c>
      <c r="G5252" s="29">
        <v>898</v>
      </c>
      <c r="H5252" s="33">
        <v>571</v>
      </c>
    </row>
    <row r="5253" spans="1:8" x14ac:dyDescent="0.4">
      <c r="A5253">
        <v>2002</v>
      </c>
      <c r="B5253" s="2" t="s">
        <v>413</v>
      </c>
      <c r="C5253" s="2" t="s">
        <v>711</v>
      </c>
      <c r="D5253" s="2" t="s">
        <v>56</v>
      </c>
      <c r="E5253" s="70" t="s">
        <v>36</v>
      </c>
      <c r="F5253" s="29">
        <v>98</v>
      </c>
      <c r="G5253" s="29">
        <v>55</v>
      </c>
      <c r="H5253" s="33">
        <v>43</v>
      </c>
    </row>
    <row r="5254" spans="1:8" x14ac:dyDescent="0.4">
      <c r="A5254">
        <v>2002</v>
      </c>
      <c r="B5254" s="2" t="s">
        <v>414</v>
      </c>
      <c r="C5254" s="2" t="s">
        <v>711</v>
      </c>
      <c r="D5254" s="2" t="s">
        <v>56</v>
      </c>
      <c r="E5254" s="70" t="s">
        <v>61</v>
      </c>
      <c r="F5254" s="29">
        <v>55</v>
      </c>
      <c r="G5254" s="29">
        <v>29</v>
      </c>
      <c r="H5254" s="33">
        <v>26</v>
      </c>
    </row>
    <row r="5255" spans="1:8" x14ac:dyDescent="0.4">
      <c r="A5255">
        <v>2002</v>
      </c>
      <c r="B5255" s="2" t="s">
        <v>415</v>
      </c>
      <c r="C5255" s="2" t="s">
        <v>711</v>
      </c>
      <c r="D5255" s="2" t="s">
        <v>56</v>
      </c>
      <c r="E5255" s="70" t="s">
        <v>62</v>
      </c>
      <c r="F5255" s="29">
        <v>189</v>
      </c>
      <c r="G5255" s="29">
        <v>115</v>
      </c>
      <c r="H5255" s="33">
        <v>74</v>
      </c>
    </row>
    <row r="5256" spans="1:8" x14ac:dyDescent="0.4">
      <c r="A5256">
        <v>2002</v>
      </c>
      <c r="B5256" s="2" t="s">
        <v>416</v>
      </c>
      <c r="C5256" s="2" t="s">
        <v>711</v>
      </c>
      <c r="D5256" s="2" t="s">
        <v>56</v>
      </c>
      <c r="E5256" s="70" t="s">
        <v>63</v>
      </c>
      <c r="F5256" s="29">
        <v>43</v>
      </c>
      <c r="G5256" s="29">
        <v>28</v>
      </c>
      <c r="H5256" s="33">
        <v>15</v>
      </c>
    </row>
    <row r="5257" spans="1:8" x14ac:dyDescent="0.4">
      <c r="A5257">
        <v>2002</v>
      </c>
      <c r="B5257" s="2" t="s">
        <v>417</v>
      </c>
      <c r="C5257" s="2" t="s">
        <v>711</v>
      </c>
      <c r="D5257" s="2" t="s">
        <v>56</v>
      </c>
      <c r="E5257" s="70" t="s">
        <v>64</v>
      </c>
      <c r="F5257" s="29">
        <v>172</v>
      </c>
      <c r="G5257" s="29">
        <v>106</v>
      </c>
      <c r="H5257" s="33">
        <v>66</v>
      </c>
    </row>
    <row r="5258" spans="1:8" x14ac:dyDescent="0.4">
      <c r="A5258">
        <v>2002</v>
      </c>
      <c r="B5258" s="2" t="s">
        <v>418</v>
      </c>
      <c r="C5258" s="2" t="s">
        <v>711</v>
      </c>
      <c r="D5258" s="2" t="s">
        <v>56</v>
      </c>
      <c r="E5258" s="70" t="s">
        <v>65</v>
      </c>
      <c r="F5258" s="29">
        <v>76</v>
      </c>
      <c r="G5258" s="29">
        <v>46</v>
      </c>
      <c r="H5258" s="33">
        <v>30</v>
      </c>
    </row>
    <row r="5259" spans="1:8" x14ac:dyDescent="0.4">
      <c r="A5259">
        <v>2002</v>
      </c>
      <c r="B5259" s="2" t="s">
        <v>419</v>
      </c>
      <c r="C5259" s="2" t="s">
        <v>711</v>
      </c>
      <c r="D5259" s="2" t="s">
        <v>56</v>
      </c>
      <c r="E5259" s="70" t="s">
        <v>66</v>
      </c>
      <c r="F5259" s="29">
        <v>35</v>
      </c>
      <c r="G5259" s="29">
        <v>25</v>
      </c>
      <c r="H5259" s="33">
        <v>10</v>
      </c>
    </row>
    <row r="5260" spans="1:8" x14ac:dyDescent="0.4">
      <c r="A5260">
        <v>2002</v>
      </c>
      <c r="B5260" s="2" t="s">
        <v>420</v>
      </c>
      <c r="C5260" s="2" t="s">
        <v>712</v>
      </c>
      <c r="D5260" s="2" t="s">
        <v>68</v>
      </c>
      <c r="E5260" s="70" t="s">
        <v>67</v>
      </c>
      <c r="F5260" s="29">
        <v>3106</v>
      </c>
      <c r="G5260" s="29">
        <v>2056</v>
      </c>
      <c r="H5260" s="33">
        <v>1050</v>
      </c>
    </row>
    <row r="5261" spans="1:8" x14ac:dyDescent="0.4">
      <c r="A5261">
        <v>2002</v>
      </c>
      <c r="B5261" s="2" t="s">
        <v>421</v>
      </c>
      <c r="C5261" s="2" t="s">
        <v>712</v>
      </c>
      <c r="D5261" s="2" t="s">
        <v>68</v>
      </c>
      <c r="E5261" s="70" t="s">
        <v>69</v>
      </c>
      <c r="F5261" s="29">
        <v>162</v>
      </c>
      <c r="G5261" s="29">
        <v>94</v>
      </c>
      <c r="H5261" s="33">
        <v>68</v>
      </c>
    </row>
    <row r="5262" spans="1:8" x14ac:dyDescent="0.4">
      <c r="A5262">
        <v>2002</v>
      </c>
      <c r="B5262" s="2" t="s">
        <v>422</v>
      </c>
      <c r="C5262" s="2" t="s">
        <v>712</v>
      </c>
      <c r="D5262" s="2" t="s">
        <v>68</v>
      </c>
      <c r="E5262" s="70" t="s">
        <v>70</v>
      </c>
      <c r="F5262" s="29">
        <v>79</v>
      </c>
      <c r="G5262" s="29">
        <v>48</v>
      </c>
      <c r="H5262" s="33">
        <v>31</v>
      </c>
    </row>
    <row r="5263" spans="1:8" x14ac:dyDescent="0.4">
      <c r="A5263">
        <v>2002</v>
      </c>
      <c r="B5263" s="2" t="s">
        <v>423</v>
      </c>
      <c r="C5263" s="2" t="s">
        <v>712</v>
      </c>
      <c r="D5263" s="2" t="s">
        <v>68</v>
      </c>
      <c r="E5263" s="70" t="s">
        <v>71</v>
      </c>
      <c r="F5263" s="29">
        <v>60</v>
      </c>
      <c r="G5263" s="29">
        <v>34</v>
      </c>
      <c r="H5263" s="33">
        <v>26</v>
      </c>
    </row>
    <row r="5264" spans="1:8" x14ac:dyDescent="0.4">
      <c r="A5264">
        <v>2002</v>
      </c>
      <c r="B5264" s="2" t="s">
        <v>424</v>
      </c>
      <c r="C5264" s="2" t="s">
        <v>712</v>
      </c>
      <c r="D5264" s="2" t="s">
        <v>68</v>
      </c>
      <c r="E5264" s="70" t="s">
        <v>72</v>
      </c>
      <c r="F5264" s="29">
        <v>1810</v>
      </c>
      <c r="G5264" s="29">
        <v>1060</v>
      </c>
      <c r="H5264" s="33">
        <v>750</v>
      </c>
    </row>
    <row r="5265" spans="1:8" x14ac:dyDescent="0.4">
      <c r="A5265">
        <v>2002</v>
      </c>
      <c r="B5265" s="2" t="s">
        <v>425</v>
      </c>
      <c r="C5265" s="2" t="s">
        <v>712</v>
      </c>
      <c r="D5265" s="2" t="s">
        <v>68</v>
      </c>
      <c r="E5265" s="70" t="s">
        <v>73</v>
      </c>
      <c r="F5265" s="29">
        <v>33</v>
      </c>
      <c r="G5265" s="29">
        <v>17</v>
      </c>
      <c r="H5265" s="33">
        <v>16</v>
      </c>
    </row>
    <row r="5266" spans="1:8" x14ac:dyDescent="0.4">
      <c r="A5266">
        <v>2002</v>
      </c>
      <c r="B5266" s="2" t="s">
        <v>426</v>
      </c>
      <c r="C5266" s="2" t="s">
        <v>712</v>
      </c>
      <c r="D5266" s="2" t="s">
        <v>68</v>
      </c>
      <c r="E5266" s="70" t="s">
        <v>74</v>
      </c>
      <c r="F5266" s="29">
        <v>259</v>
      </c>
      <c r="G5266" s="29">
        <v>141</v>
      </c>
      <c r="H5266" s="33">
        <v>118</v>
      </c>
    </row>
    <row r="5267" spans="1:8" x14ac:dyDescent="0.4">
      <c r="A5267">
        <v>2002</v>
      </c>
      <c r="B5267" s="2" t="s">
        <v>427</v>
      </c>
      <c r="C5267" s="2" t="s">
        <v>712</v>
      </c>
      <c r="D5267" s="2" t="s">
        <v>68</v>
      </c>
      <c r="E5267" s="70" t="s">
        <v>75</v>
      </c>
      <c r="F5267" s="29">
        <v>77</v>
      </c>
      <c r="G5267" s="29">
        <v>44</v>
      </c>
      <c r="H5267" s="33">
        <v>33</v>
      </c>
    </row>
    <row r="5268" spans="1:8" x14ac:dyDescent="0.4">
      <c r="A5268">
        <v>2002</v>
      </c>
      <c r="B5268" s="2" t="s">
        <v>428</v>
      </c>
      <c r="C5268" s="2" t="s">
        <v>712</v>
      </c>
      <c r="D5268" s="2" t="s">
        <v>68</v>
      </c>
      <c r="E5268" s="70" t="s">
        <v>76</v>
      </c>
      <c r="F5268" s="29">
        <v>45</v>
      </c>
      <c r="G5268" s="29">
        <v>28</v>
      </c>
      <c r="H5268" s="33">
        <v>17</v>
      </c>
    </row>
    <row r="5269" spans="1:8" x14ac:dyDescent="0.4">
      <c r="A5269">
        <v>2002</v>
      </c>
      <c r="B5269" s="2" t="s">
        <v>429</v>
      </c>
      <c r="C5269" s="2" t="s">
        <v>712</v>
      </c>
      <c r="D5269" s="2" t="s">
        <v>68</v>
      </c>
      <c r="E5269" s="70" t="s">
        <v>77</v>
      </c>
      <c r="F5269" s="29">
        <v>121</v>
      </c>
      <c r="G5269" s="29">
        <v>82</v>
      </c>
      <c r="H5269" s="33">
        <v>39</v>
      </c>
    </row>
    <row r="5270" spans="1:8" x14ac:dyDescent="0.4">
      <c r="A5270">
        <v>2002</v>
      </c>
      <c r="B5270" s="2" t="s">
        <v>430</v>
      </c>
      <c r="C5270" s="2" t="s">
        <v>712</v>
      </c>
      <c r="D5270" s="2" t="s">
        <v>68</v>
      </c>
      <c r="E5270" s="70" t="s">
        <v>51</v>
      </c>
      <c r="F5270" s="29">
        <v>10</v>
      </c>
      <c r="G5270" s="29">
        <v>7</v>
      </c>
      <c r="H5270" s="33">
        <v>3</v>
      </c>
    </row>
    <row r="5271" spans="1:8" x14ac:dyDescent="0.4">
      <c r="A5271">
        <v>2002</v>
      </c>
      <c r="B5271" s="2" t="s">
        <v>431</v>
      </c>
      <c r="C5271" s="2" t="s">
        <v>713</v>
      </c>
      <c r="D5271" s="2" t="s">
        <v>79</v>
      </c>
      <c r="E5271" s="70" t="s">
        <v>78</v>
      </c>
      <c r="F5271" s="29">
        <v>239</v>
      </c>
      <c r="G5271" s="29">
        <v>140</v>
      </c>
      <c r="H5271" s="33">
        <v>99</v>
      </c>
    </row>
    <row r="5272" spans="1:8" x14ac:dyDescent="0.4">
      <c r="A5272">
        <v>2002</v>
      </c>
      <c r="B5272" s="2" t="s">
        <v>432</v>
      </c>
      <c r="C5272" s="2" t="s">
        <v>713</v>
      </c>
      <c r="D5272" s="2" t="s">
        <v>79</v>
      </c>
      <c r="E5272" s="70" t="s">
        <v>80</v>
      </c>
      <c r="F5272" s="29">
        <v>432</v>
      </c>
      <c r="G5272" s="29">
        <v>296</v>
      </c>
      <c r="H5272" s="33">
        <v>136</v>
      </c>
    </row>
    <row r="5273" spans="1:8" x14ac:dyDescent="0.4">
      <c r="A5273">
        <v>2002</v>
      </c>
      <c r="B5273" s="2" t="s">
        <v>433</v>
      </c>
      <c r="C5273" s="2" t="s">
        <v>713</v>
      </c>
      <c r="D5273" s="2" t="s">
        <v>79</v>
      </c>
      <c r="E5273" s="70" t="s">
        <v>81</v>
      </c>
      <c r="F5273" s="29">
        <v>246</v>
      </c>
      <c r="G5273" s="29">
        <v>152</v>
      </c>
      <c r="H5273" s="33">
        <v>94</v>
      </c>
    </row>
    <row r="5274" spans="1:8" x14ac:dyDescent="0.4">
      <c r="A5274">
        <v>2002</v>
      </c>
      <c r="B5274" s="2" t="s">
        <v>434</v>
      </c>
      <c r="C5274" s="2" t="s">
        <v>713</v>
      </c>
      <c r="D5274" s="2" t="s">
        <v>79</v>
      </c>
      <c r="E5274" s="70" t="s">
        <v>82</v>
      </c>
      <c r="F5274" s="29">
        <v>439</v>
      </c>
      <c r="G5274" s="29">
        <v>273</v>
      </c>
      <c r="H5274" s="33">
        <v>166</v>
      </c>
    </row>
    <row r="5275" spans="1:8" x14ac:dyDescent="0.4">
      <c r="A5275">
        <v>2002</v>
      </c>
      <c r="B5275" s="2" t="s">
        <v>435</v>
      </c>
      <c r="C5275" s="2" t="s">
        <v>713</v>
      </c>
      <c r="D5275" s="2" t="s">
        <v>79</v>
      </c>
      <c r="E5275" s="70" t="s">
        <v>83</v>
      </c>
      <c r="F5275" s="29">
        <v>155</v>
      </c>
      <c r="G5275" s="29">
        <v>106</v>
      </c>
      <c r="H5275" s="33">
        <v>49</v>
      </c>
    </row>
    <row r="5276" spans="1:8" x14ac:dyDescent="0.4">
      <c r="A5276">
        <v>2002</v>
      </c>
      <c r="B5276" s="2" t="s">
        <v>436</v>
      </c>
      <c r="C5276" s="2" t="s">
        <v>713</v>
      </c>
      <c r="D5276" s="2" t="s">
        <v>79</v>
      </c>
      <c r="E5276" s="70" t="s">
        <v>44</v>
      </c>
      <c r="F5276" s="29">
        <v>439</v>
      </c>
      <c r="G5276" s="29">
        <v>327</v>
      </c>
      <c r="H5276" s="33">
        <v>112</v>
      </c>
    </row>
    <row r="5277" spans="1:8" x14ac:dyDescent="0.4">
      <c r="A5277">
        <v>2002</v>
      </c>
      <c r="B5277" s="2" t="s">
        <v>437</v>
      </c>
      <c r="C5277" s="2" t="s">
        <v>713</v>
      </c>
      <c r="D5277" s="2" t="s">
        <v>79</v>
      </c>
      <c r="E5277" s="70" t="s">
        <v>84</v>
      </c>
      <c r="F5277" s="29">
        <v>192</v>
      </c>
      <c r="G5277" s="29">
        <v>135</v>
      </c>
      <c r="H5277" s="33">
        <v>57</v>
      </c>
    </row>
    <row r="5278" spans="1:8" x14ac:dyDescent="0.4">
      <c r="A5278">
        <v>2002</v>
      </c>
      <c r="B5278" s="2" t="s">
        <v>438</v>
      </c>
      <c r="C5278" s="2" t="s">
        <v>713</v>
      </c>
      <c r="D5278" s="2" t="s">
        <v>79</v>
      </c>
      <c r="E5278" s="70" t="s">
        <v>85</v>
      </c>
      <c r="F5278" s="29">
        <v>64</v>
      </c>
      <c r="G5278" s="29">
        <v>31</v>
      </c>
      <c r="H5278" s="33">
        <v>33</v>
      </c>
    </row>
    <row r="5279" spans="1:8" x14ac:dyDescent="0.4">
      <c r="A5279">
        <v>2002</v>
      </c>
      <c r="B5279" s="2" t="s">
        <v>439</v>
      </c>
      <c r="C5279" s="2" t="s">
        <v>713</v>
      </c>
      <c r="D5279" s="2" t="s">
        <v>79</v>
      </c>
      <c r="E5279" s="70" t="s">
        <v>86</v>
      </c>
      <c r="F5279" s="29">
        <v>48</v>
      </c>
      <c r="G5279" s="29">
        <v>27</v>
      </c>
      <c r="H5279" s="33">
        <v>21</v>
      </c>
    </row>
    <row r="5280" spans="1:8" x14ac:dyDescent="0.4">
      <c r="A5280">
        <v>2002</v>
      </c>
      <c r="B5280" s="2" t="s">
        <v>440</v>
      </c>
      <c r="C5280" s="2" t="s">
        <v>713</v>
      </c>
      <c r="D5280" s="2" t="s">
        <v>79</v>
      </c>
      <c r="E5280" s="70" t="s">
        <v>87</v>
      </c>
      <c r="F5280" s="29">
        <v>1294</v>
      </c>
      <c r="G5280" s="29">
        <v>697</v>
      </c>
      <c r="H5280" s="33">
        <v>597</v>
      </c>
    </row>
    <row r="5281" spans="1:8" x14ac:dyDescent="0.4">
      <c r="A5281">
        <v>2002</v>
      </c>
      <c r="B5281" s="2" t="s">
        <v>441</v>
      </c>
      <c r="C5281" s="2" t="s">
        <v>713</v>
      </c>
      <c r="D5281" s="2" t="s">
        <v>79</v>
      </c>
      <c r="E5281" s="70" t="s">
        <v>88</v>
      </c>
      <c r="F5281" s="29">
        <v>1092</v>
      </c>
      <c r="G5281" s="29">
        <v>689</v>
      </c>
      <c r="H5281" s="33">
        <v>403</v>
      </c>
    </row>
    <row r="5282" spans="1:8" x14ac:dyDescent="0.4">
      <c r="A5282">
        <v>2002</v>
      </c>
      <c r="B5282" s="2" t="s">
        <v>442</v>
      </c>
      <c r="C5282" s="2" t="s">
        <v>713</v>
      </c>
      <c r="D5282" s="2" t="s">
        <v>79</v>
      </c>
      <c r="E5282" s="70" t="s">
        <v>89</v>
      </c>
      <c r="F5282" s="29">
        <v>86</v>
      </c>
      <c r="G5282" s="29">
        <v>49</v>
      </c>
      <c r="H5282" s="33">
        <v>37</v>
      </c>
    </row>
    <row r="5283" spans="1:8" x14ac:dyDescent="0.4">
      <c r="A5283">
        <v>2002</v>
      </c>
      <c r="B5283" s="2" t="s">
        <v>443</v>
      </c>
      <c r="C5283" s="2" t="s">
        <v>713</v>
      </c>
      <c r="D5283" s="2" t="s">
        <v>79</v>
      </c>
      <c r="E5283" s="70" t="s">
        <v>90</v>
      </c>
      <c r="F5283" s="29">
        <v>99</v>
      </c>
      <c r="G5283" s="29">
        <v>61</v>
      </c>
      <c r="H5283" s="33">
        <v>38</v>
      </c>
    </row>
    <row r="5284" spans="1:8" x14ac:dyDescent="0.4">
      <c r="A5284">
        <v>2002</v>
      </c>
      <c r="B5284" s="2" t="s">
        <v>444</v>
      </c>
      <c r="C5284" s="2" t="s">
        <v>713</v>
      </c>
      <c r="D5284" s="2" t="s">
        <v>79</v>
      </c>
      <c r="E5284" s="70" t="s">
        <v>91</v>
      </c>
      <c r="F5284" s="29">
        <v>4316</v>
      </c>
      <c r="G5284" s="29">
        <v>2646</v>
      </c>
      <c r="H5284" s="33">
        <v>1670</v>
      </c>
    </row>
    <row r="5285" spans="1:8" x14ac:dyDescent="0.4">
      <c r="A5285">
        <v>2002</v>
      </c>
      <c r="B5285" s="2" t="s">
        <v>445</v>
      </c>
      <c r="C5285" s="2" t="s">
        <v>714</v>
      </c>
      <c r="D5285" s="2" t="s">
        <v>93</v>
      </c>
      <c r="E5285" s="70" t="s">
        <v>92</v>
      </c>
      <c r="F5285" s="29">
        <v>48</v>
      </c>
      <c r="G5285" s="29">
        <v>26</v>
      </c>
      <c r="H5285" s="33">
        <v>22</v>
      </c>
    </row>
    <row r="5286" spans="1:8" x14ac:dyDescent="0.4">
      <c r="A5286">
        <v>2002</v>
      </c>
      <c r="B5286" s="2" t="s">
        <v>446</v>
      </c>
      <c r="C5286" s="2" t="s">
        <v>714</v>
      </c>
      <c r="D5286" s="2" t="s">
        <v>93</v>
      </c>
      <c r="E5286" s="70" t="s">
        <v>94</v>
      </c>
      <c r="F5286" s="29">
        <v>272</v>
      </c>
      <c r="G5286" s="29">
        <v>139</v>
      </c>
      <c r="H5286" s="33">
        <v>133</v>
      </c>
    </row>
    <row r="5287" spans="1:8" x14ac:dyDescent="0.4">
      <c r="A5287">
        <v>2002</v>
      </c>
      <c r="B5287" s="2" t="s">
        <v>447</v>
      </c>
      <c r="C5287" s="2" t="s">
        <v>714</v>
      </c>
      <c r="D5287" s="2" t="s">
        <v>93</v>
      </c>
      <c r="E5287" s="70" t="s">
        <v>40</v>
      </c>
      <c r="F5287" s="29">
        <v>35</v>
      </c>
      <c r="G5287" s="29">
        <v>18</v>
      </c>
      <c r="H5287" s="33">
        <v>17</v>
      </c>
    </row>
    <row r="5288" spans="1:8" x14ac:dyDescent="0.4">
      <c r="A5288">
        <v>2002</v>
      </c>
      <c r="B5288" s="2" t="s">
        <v>448</v>
      </c>
      <c r="C5288" s="2" t="s">
        <v>714</v>
      </c>
      <c r="D5288" s="2" t="s">
        <v>93</v>
      </c>
      <c r="E5288" s="70" t="s">
        <v>95</v>
      </c>
      <c r="F5288" s="29">
        <v>8</v>
      </c>
      <c r="G5288" s="29">
        <v>7</v>
      </c>
      <c r="H5288" s="33">
        <v>1</v>
      </c>
    </row>
    <row r="5289" spans="1:8" x14ac:dyDescent="0.4">
      <c r="A5289">
        <v>2002</v>
      </c>
      <c r="B5289" s="2" t="s">
        <v>449</v>
      </c>
      <c r="C5289" s="2" t="s">
        <v>714</v>
      </c>
      <c r="D5289" s="2" t="s">
        <v>93</v>
      </c>
      <c r="E5289" s="70" t="s">
        <v>96</v>
      </c>
      <c r="F5289" s="29">
        <v>56</v>
      </c>
      <c r="G5289" s="29">
        <v>37</v>
      </c>
      <c r="H5289" s="33">
        <v>19</v>
      </c>
    </row>
    <row r="5290" spans="1:8" x14ac:dyDescent="0.4">
      <c r="A5290">
        <v>2002</v>
      </c>
      <c r="B5290" s="2" t="s">
        <v>450</v>
      </c>
      <c r="C5290" s="2" t="s">
        <v>714</v>
      </c>
      <c r="D5290" s="2" t="s">
        <v>93</v>
      </c>
      <c r="E5290" s="70" t="s">
        <v>97</v>
      </c>
      <c r="F5290" s="29">
        <v>14</v>
      </c>
      <c r="G5290" s="29">
        <v>10</v>
      </c>
      <c r="H5290" s="33">
        <v>4</v>
      </c>
    </row>
    <row r="5291" spans="1:8" x14ac:dyDescent="0.4">
      <c r="A5291">
        <v>2002</v>
      </c>
      <c r="B5291" s="2" t="s">
        <v>451</v>
      </c>
      <c r="C5291" s="2" t="s">
        <v>714</v>
      </c>
      <c r="D5291" s="2" t="s">
        <v>93</v>
      </c>
      <c r="E5291" s="70" t="s">
        <v>34</v>
      </c>
      <c r="F5291" s="29">
        <v>38</v>
      </c>
      <c r="G5291" s="29">
        <v>22</v>
      </c>
      <c r="H5291" s="33">
        <v>16</v>
      </c>
    </row>
    <row r="5292" spans="1:8" x14ac:dyDescent="0.4">
      <c r="A5292">
        <v>2002</v>
      </c>
      <c r="B5292" s="2" t="s">
        <v>452</v>
      </c>
      <c r="C5292" s="2" t="s">
        <v>714</v>
      </c>
      <c r="D5292" s="2" t="s">
        <v>93</v>
      </c>
      <c r="E5292" s="70" t="s">
        <v>98</v>
      </c>
      <c r="F5292" s="29">
        <v>590</v>
      </c>
      <c r="G5292" s="29">
        <v>336</v>
      </c>
      <c r="H5292" s="33">
        <v>254</v>
      </c>
    </row>
    <row r="5293" spans="1:8" x14ac:dyDescent="0.4">
      <c r="A5293">
        <v>2002</v>
      </c>
      <c r="B5293" s="2" t="s">
        <v>453</v>
      </c>
      <c r="C5293" s="2" t="s">
        <v>714</v>
      </c>
      <c r="D5293" s="2" t="s">
        <v>93</v>
      </c>
      <c r="E5293" s="70" t="s">
        <v>99</v>
      </c>
      <c r="F5293" s="29">
        <v>69</v>
      </c>
      <c r="G5293" s="29">
        <v>41</v>
      </c>
      <c r="H5293" s="33">
        <v>28</v>
      </c>
    </row>
    <row r="5294" spans="1:8" x14ac:dyDescent="0.4">
      <c r="A5294">
        <v>2002</v>
      </c>
      <c r="B5294" s="2" t="s">
        <v>454</v>
      </c>
      <c r="C5294" s="2" t="s">
        <v>715</v>
      </c>
      <c r="D5294" s="2" t="s">
        <v>101</v>
      </c>
      <c r="E5294" s="70" t="s">
        <v>100</v>
      </c>
      <c r="F5294" s="29">
        <v>30</v>
      </c>
      <c r="G5294" s="29">
        <v>17</v>
      </c>
      <c r="H5294" s="33">
        <v>13</v>
      </c>
    </row>
    <row r="5295" spans="1:8" x14ac:dyDescent="0.4">
      <c r="A5295">
        <v>2002</v>
      </c>
      <c r="B5295" s="2" t="s">
        <v>455</v>
      </c>
      <c r="C5295" s="2" t="s">
        <v>715</v>
      </c>
      <c r="D5295" s="2" t="s">
        <v>101</v>
      </c>
      <c r="E5295" s="70" t="s">
        <v>102</v>
      </c>
      <c r="F5295" s="29">
        <v>29</v>
      </c>
      <c r="G5295" s="29">
        <v>22</v>
      </c>
      <c r="H5295" s="33">
        <v>7</v>
      </c>
    </row>
    <row r="5296" spans="1:8" x14ac:dyDescent="0.4">
      <c r="A5296">
        <v>2002</v>
      </c>
      <c r="B5296" s="2" t="s">
        <v>456</v>
      </c>
      <c r="C5296" s="2" t="s">
        <v>715</v>
      </c>
      <c r="D5296" s="2" t="s">
        <v>101</v>
      </c>
      <c r="E5296" s="70" t="s">
        <v>103</v>
      </c>
      <c r="F5296" s="29">
        <v>10</v>
      </c>
      <c r="G5296" s="29">
        <v>8</v>
      </c>
      <c r="H5296" s="33">
        <v>2</v>
      </c>
    </row>
    <row r="5297" spans="1:8" x14ac:dyDescent="0.4">
      <c r="A5297">
        <v>2002</v>
      </c>
      <c r="B5297" s="2" t="s">
        <v>457</v>
      </c>
      <c r="C5297" s="2" t="s">
        <v>715</v>
      </c>
      <c r="D5297" s="2" t="s">
        <v>101</v>
      </c>
      <c r="E5297" s="70" t="s">
        <v>104</v>
      </c>
      <c r="F5297" s="29">
        <v>330</v>
      </c>
      <c r="G5297" s="29">
        <v>205</v>
      </c>
      <c r="H5297" s="33">
        <v>125</v>
      </c>
    </row>
    <row r="5298" spans="1:8" x14ac:dyDescent="0.4">
      <c r="A5298">
        <v>2002</v>
      </c>
      <c r="B5298" s="2" t="s">
        <v>458</v>
      </c>
      <c r="C5298" s="2" t="s">
        <v>716</v>
      </c>
      <c r="D5298" s="14" t="s">
        <v>129</v>
      </c>
      <c r="E5298" s="70" t="s">
        <v>128</v>
      </c>
      <c r="F5298" s="29">
        <v>24</v>
      </c>
      <c r="G5298" s="29">
        <v>13</v>
      </c>
      <c r="H5298" s="33">
        <v>11</v>
      </c>
    </row>
    <row r="5299" spans="1:8" x14ac:dyDescent="0.4">
      <c r="A5299">
        <v>2002</v>
      </c>
      <c r="B5299" s="2" t="s">
        <v>459</v>
      </c>
      <c r="C5299" s="2" t="s">
        <v>716</v>
      </c>
      <c r="D5299" s="2" t="s">
        <v>129</v>
      </c>
      <c r="E5299" s="70" t="s">
        <v>36</v>
      </c>
      <c r="F5299" s="29">
        <v>23</v>
      </c>
      <c r="G5299" s="29">
        <v>9</v>
      </c>
      <c r="H5299" s="33">
        <v>14</v>
      </c>
    </row>
    <row r="5300" spans="1:8" x14ac:dyDescent="0.4">
      <c r="A5300">
        <v>2002</v>
      </c>
      <c r="B5300" s="2" t="s">
        <v>460</v>
      </c>
      <c r="C5300" s="2" t="s">
        <v>716</v>
      </c>
      <c r="D5300" s="2" t="s">
        <v>129</v>
      </c>
      <c r="E5300" s="70" t="s">
        <v>130</v>
      </c>
      <c r="F5300" s="29">
        <v>40</v>
      </c>
      <c r="G5300" s="29">
        <v>22</v>
      </c>
      <c r="H5300" s="33">
        <v>18</v>
      </c>
    </row>
    <row r="5301" spans="1:8" x14ac:dyDescent="0.4">
      <c r="A5301">
        <v>2002</v>
      </c>
      <c r="B5301" s="2" t="s">
        <v>461</v>
      </c>
      <c r="C5301" s="2" t="s">
        <v>716</v>
      </c>
      <c r="D5301" s="2" t="s">
        <v>129</v>
      </c>
      <c r="E5301" s="70" t="s">
        <v>131</v>
      </c>
      <c r="F5301" s="29">
        <v>14</v>
      </c>
      <c r="G5301" s="29">
        <v>8</v>
      </c>
      <c r="H5301" s="33">
        <v>6</v>
      </c>
    </row>
    <row r="5302" spans="1:8" x14ac:dyDescent="0.4">
      <c r="A5302">
        <v>2002</v>
      </c>
      <c r="B5302" s="2" t="s">
        <v>462</v>
      </c>
      <c r="C5302" s="2" t="s">
        <v>716</v>
      </c>
      <c r="D5302" s="2" t="s">
        <v>129</v>
      </c>
      <c r="E5302" s="70" t="s">
        <v>132</v>
      </c>
      <c r="F5302" s="29">
        <v>568</v>
      </c>
      <c r="G5302" s="29">
        <v>346</v>
      </c>
      <c r="H5302" s="33">
        <v>222</v>
      </c>
    </row>
    <row r="5303" spans="1:8" x14ac:dyDescent="0.4">
      <c r="A5303">
        <v>2002</v>
      </c>
      <c r="B5303" s="2" t="s">
        <v>463</v>
      </c>
      <c r="C5303" s="2" t="s">
        <v>716</v>
      </c>
      <c r="D5303" s="2" t="s">
        <v>129</v>
      </c>
      <c r="E5303" s="70" t="s">
        <v>133</v>
      </c>
      <c r="F5303" s="29">
        <v>46</v>
      </c>
      <c r="G5303" s="29">
        <v>23</v>
      </c>
      <c r="H5303" s="33">
        <v>23</v>
      </c>
    </row>
    <row r="5304" spans="1:8" x14ac:dyDescent="0.4">
      <c r="A5304">
        <v>2002</v>
      </c>
      <c r="B5304" s="2" t="s">
        <v>464</v>
      </c>
      <c r="C5304" s="2" t="s">
        <v>716</v>
      </c>
      <c r="D5304" s="2" t="s">
        <v>129</v>
      </c>
      <c r="E5304" s="70" t="s">
        <v>134</v>
      </c>
      <c r="F5304" s="29">
        <v>59</v>
      </c>
      <c r="G5304" s="29">
        <v>34</v>
      </c>
      <c r="H5304" s="33">
        <v>25</v>
      </c>
    </row>
    <row r="5305" spans="1:8" x14ac:dyDescent="0.4">
      <c r="A5305">
        <v>2002</v>
      </c>
      <c r="B5305" s="2" t="s">
        <v>465</v>
      </c>
      <c r="C5305" s="2" t="s">
        <v>716</v>
      </c>
      <c r="D5305" s="2" t="s">
        <v>129</v>
      </c>
      <c r="E5305" s="70" t="s">
        <v>135</v>
      </c>
      <c r="F5305" s="29">
        <v>14</v>
      </c>
      <c r="G5305" s="29">
        <v>10</v>
      </c>
      <c r="H5305" s="33">
        <v>4</v>
      </c>
    </row>
    <row r="5306" spans="1:8" x14ac:dyDescent="0.4">
      <c r="A5306">
        <v>2002</v>
      </c>
      <c r="B5306" s="2" t="s">
        <v>466</v>
      </c>
      <c r="C5306" s="2" t="s">
        <v>716</v>
      </c>
      <c r="D5306" s="2" t="s">
        <v>129</v>
      </c>
      <c r="E5306" s="70" t="s">
        <v>94</v>
      </c>
      <c r="F5306" s="29">
        <v>47</v>
      </c>
      <c r="G5306" s="29">
        <v>23</v>
      </c>
      <c r="H5306" s="33">
        <v>24</v>
      </c>
    </row>
    <row r="5307" spans="1:8" x14ac:dyDescent="0.4">
      <c r="A5307">
        <v>2002</v>
      </c>
      <c r="B5307" s="2" t="s">
        <v>467</v>
      </c>
      <c r="C5307" s="2" t="s">
        <v>716</v>
      </c>
      <c r="D5307" s="2" t="s">
        <v>129</v>
      </c>
      <c r="E5307" s="70" t="s">
        <v>136</v>
      </c>
      <c r="F5307" s="29">
        <v>101</v>
      </c>
      <c r="G5307" s="29">
        <v>48</v>
      </c>
      <c r="H5307" s="33">
        <v>53</v>
      </c>
    </row>
    <row r="5308" spans="1:8" x14ac:dyDescent="0.4">
      <c r="A5308">
        <v>2002</v>
      </c>
      <c r="B5308" s="2" t="s">
        <v>468</v>
      </c>
      <c r="C5308" s="2" t="s">
        <v>716</v>
      </c>
      <c r="D5308" s="2" t="s">
        <v>129</v>
      </c>
      <c r="E5308" s="70" t="s">
        <v>137</v>
      </c>
      <c r="F5308" s="29">
        <v>14</v>
      </c>
      <c r="G5308" s="29">
        <v>6</v>
      </c>
      <c r="H5308" s="33">
        <v>8</v>
      </c>
    </row>
    <row r="5309" spans="1:8" x14ac:dyDescent="0.4">
      <c r="A5309">
        <v>2002</v>
      </c>
      <c r="B5309" s="2" t="s">
        <v>469</v>
      </c>
      <c r="C5309" s="2" t="s">
        <v>716</v>
      </c>
      <c r="D5309" s="2" t="s">
        <v>129</v>
      </c>
      <c r="E5309" s="70" t="s">
        <v>138</v>
      </c>
      <c r="F5309" s="29">
        <v>77</v>
      </c>
      <c r="G5309" s="29">
        <v>44</v>
      </c>
      <c r="H5309" s="33">
        <v>33</v>
      </c>
    </row>
    <row r="5310" spans="1:8" x14ac:dyDescent="0.4">
      <c r="A5310">
        <v>2002</v>
      </c>
      <c r="B5310" s="2" t="s">
        <v>470</v>
      </c>
      <c r="C5310" s="2" t="s">
        <v>716</v>
      </c>
      <c r="D5310" s="2" t="s">
        <v>129</v>
      </c>
      <c r="E5310" s="70" t="s">
        <v>139</v>
      </c>
      <c r="F5310" s="29">
        <v>59</v>
      </c>
      <c r="G5310" s="29">
        <v>38</v>
      </c>
      <c r="H5310" s="33">
        <v>21</v>
      </c>
    </row>
    <row r="5311" spans="1:8" x14ac:dyDescent="0.4">
      <c r="A5311">
        <v>2002</v>
      </c>
      <c r="B5311" s="2" t="s">
        <v>471</v>
      </c>
      <c r="C5311" s="2" t="s">
        <v>716</v>
      </c>
      <c r="D5311" s="2" t="s">
        <v>129</v>
      </c>
      <c r="E5311" s="70" t="s">
        <v>85</v>
      </c>
      <c r="F5311" s="29">
        <v>989</v>
      </c>
      <c r="G5311" s="29">
        <v>538</v>
      </c>
      <c r="H5311" s="33">
        <v>451</v>
      </c>
    </row>
    <row r="5312" spans="1:8" x14ac:dyDescent="0.4">
      <c r="A5312">
        <v>2002</v>
      </c>
      <c r="B5312" s="2" t="s">
        <v>472</v>
      </c>
      <c r="C5312" s="2" t="s">
        <v>716</v>
      </c>
      <c r="D5312" s="2" t="s">
        <v>129</v>
      </c>
      <c r="E5312" s="70" t="s">
        <v>140</v>
      </c>
      <c r="F5312" s="29">
        <v>52</v>
      </c>
      <c r="G5312" s="29">
        <v>38</v>
      </c>
      <c r="H5312" s="33">
        <v>14</v>
      </c>
    </row>
    <row r="5313" spans="1:8" x14ac:dyDescent="0.4">
      <c r="A5313">
        <v>2002</v>
      </c>
      <c r="B5313" s="2" t="s">
        <v>473</v>
      </c>
      <c r="C5313" s="2" t="s">
        <v>716</v>
      </c>
      <c r="D5313" s="2" t="s">
        <v>129</v>
      </c>
      <c r="E5313" s="70" t="s">
        <v>141</v>
      </c>
      <c r="F5313" s="29">
        <v>2</v>
      </c>
      <c r="G5313" s="29">
        <v>0</v>
      </c>
      <c r="H5313" s="33">
        <v>2</v>
      </c>
    </row>
    <row r="5314" spans="1:8" x14ac:dyDescent="0.4">
      <c r="A5314">
        <v>2002</v>
      </c>
      <c r="B5314" s="2" t="s">
        <v>474</v>
      </c>
      <c r="C5314" s="2" t="s">
        <v>716</v>
      </c>
      <c r="D5314" s="2" t="s">
        <v>129</v>
      </c>
      <c r="E5314" s="70" t="s">
        <v>143</v>
      </c>
      <c r="F5314" s="29">
        <v>30</v>
      </c>
      <c r="G5314" s="29">
        <v>13</v>
      </c>
      <c r="H5314" s="33">
        <v>17</v>
      </c>
    </row>
    <row r="5315" spans="1:8" x14ac:dyDescent="0.4">
      <c r="A5315">
        <v>2002</v>
      </c>
      <c r="B5315" s="2" t="s">
        <v>475</v>
      </c>
      <c r="C5315" s="2" t="s">
        <v>716</v>
      </c>
      <c r="D5315" s="2" t="s">
        <v>129</v>
      </c>
      <c r="E5315" s="70" t="s">
        <v>21</v>
      </c>
      <c r="F5315" s="29">
        <v>28</v>
      </c>
      <c r="G5315" s="29">
        <v>18</v>
      </c>
      <c r="H5315" s="33">
        <v>10</v>
      </c>
    </row>
    <row r="5316" spans="1:8" x14ac:dyDescent="0.4">
      <c r="A5316">
        <v>2002</v>
      </c>
      <c r="B5316" s="2" t="s">
        <v>476</v>
      </c>
      <c r="C5316" s="2" t="s">
        <v>716</v>
      </c>
      <c r="D5316" s="2" t="s">
        <v>129</v>
      </c>
      <c r="E5316" s="70" t="s">
        <v>144</v>
      </c>
      <c r="F5316" s="29">
        <v>27</v>
      </c>
      <c r="G5316" s="29">
        <v>20</v>
      </c>
      <c r="H5316" s="33">
        <v>7</v>
      </c>
    </row>
    <row r="5317" spans="1:8" x14ac:dyDescent="0.4">
      <c r="A5317">
        <v>2002</v>
      </c>
      <c r="B5317" s="2" t="s">
        <v>477</v>
      </c>
      <c r="C5317" s="2" t="s">
        <v>716</v>
      </c>
      <c r="D5317" s="2" t="s">
        <v>129</v>
      </c>
      <c r="E5317" s="70" t="s">
        <v>145</v>
      </c>
      <c r="F5317" s="29">
        <v>179</v>
      </c>
      <c r="G5317" s="29">
        <v>106</v>
      </c>
      <c r="H5317" s="33">
        <v>73</v>
      </c>
    </row>
    <row r="5318" spans="1:8" x14ac:dyDescent="0.4">
      <c r="A5318">
        <v>2002</v>
      </c>
      <c r="B5318" s="2" t="s">
        <v>478</v>
      </c>
      <c r="C5318" s="2" t="s">
        <v>716</v>
      </c>
      <c r="D5318" s="2" t="s">
        <v>129</v>
      </c>
      <c r="E5318" s="70" t="s">
        <v>51</v>
      </c>
      <c r="F5318" s="29">
        <v>17</v>
      </c>
      <c r="G5318" s="29">
        <v>7</v>
      </c>
      <c r="H5318" s="33">
        <v>10</v>
      </c>
    </row>
    <row r="5319" spans="1:8" x14ac:dyDescent="0.4">
      <c r="A5319">
        <v>2002</v>
      </c>
      <c r="B5319" s="2" t="s">
        <v>479</v>
      </c>
      <c r="C5319" s="2" t="s">
        <v>716</v>
      </c>
      <c r="D5319" s="2" t="s">
        <v>129</v>
      </c>
      <c r="E5319" s="70" t="s">
        <v>146</v>
      </c>
      <c r="F5319" s="29">
        <v>20</v>
      </c>
      <c r="G5319" s="29">
        <v>11</v>
      </c>
      <c r="H5319" s="33">
        <v>9</v>
      </c>
    </row>
    <row r="5320" spans="1:8" x14ac:dyDescent="0.4">
      <c r="A5320">
        <v>2002</v>
      </c>
      <c r="B5320" s="2" t="s">
        <v>480</v>
      </c>
      <c r="C5320" s="2" t="s">
        <v>716</v>
      </c>
      <c r="D5320" s="2" t="s">
        <v>129</v>
      </c>
      <c r="E5320" s="70" t="s">
        <v>147</v>
      </c>
      <c r="F5320" s="29">
        <v>31</v>
      </c>
      <c r="G5320" s="29">
        <v>17</v>
      </c>
      <c r="H5320" s="33">
        <v>14</v>
      </c>
    </row>
    <row r="5321" spans="1:8" x14ac:dyDescent="0.4">
      <c r="A5321">
        <v>2002</v>
      </c>
      <c r="B5321" s="2" t="s">
        <v>481</v>
      </c>
      <c r="C5321" s="2" t="s">
        <v>716</v>
      </c>
      <c r="D5321" s="2" t="s">
        <v>129</v>
      </c>
      <c r="E5321" s="70" t="s">
        <v>148</v>
      </c>
      <c r="F5321" s="29">
        <v>1</v>
      </c>
      <c r="G5321" s="29">
        <v>1</v>
      </c>
      <c r="H5321" s="33">
        <v>0</v>
      </c>
    </row>
    <row r="5322" spans="1:8" x14ac:dyDescent="0.4">
      <c r="A5322">
        <v>2002</v>
      </c>
      <c r="B5322" s="2" t="s">
        <v>482</v>
      </c>
      <c r="C5322" s="2" t="s">
        <v>716</v>
      </c>
      <c r="D5322" s="2" t="s">
        <v>129</v>
      </c>
      <c r="E5322" s="70" t="s">
        <v>54</v>
      </c>
      <c r="F5322" s="29">
        <v>8</v>
      </c>
      <c r="G5322" s="29">
        <v>5</v>
      </c>
      <c r="H5322" s="33">
        <v>3</v>
      </c>
    </row>
    <row r="5323" spans="1:8" x14ac:dyDescent="0.4">
      <c r="A5323">
        <v>2002</v>
      </c>
      <c r="B5323" s="2" t="s">
        <v>483</v>
      </c>
      <c r="C5323" s="2" t="s">
        <v>717</v>
      </c>
      <c r="D5323" s="2" t="s">
        <v>150</v>
      </c>
      <c r="E5323" s="70" t="s">
        <v>149</v>
      </c>
      <c r="F5323" s="29">
        <v>44</v>
      </c>
      <c r="G5323" s="29">
        <v>24</v>
      </c>
      <c r="H5323" s="33">
        <v>20</v>
      </c>
    </row>
    <row r="5324" spans="1:8" x14ac:dyDescent="0.4">
      <c r="A5324">
        <v>2002</v>
      </c>
      <c r="B5324" s="2" t="s">
        <v>484</v>
      </c>
      <c r="C5324" s="2" t="s">
        <v>717</v>
      </c>
      <c r="D5324" s="2" t="s">
        <v>150</v>
      </c>
      <c r="E5324" s="70" t="s">
        <v>151</v>
      </c>
      <c r="F5324" s="29">
        <v>20</v>
      </c>
      <c r="G5324" s="29">
        <v>14</v>
      </c>
      <c r="H5324" s="33">
        <v>6</v>
      </c>
    </row>
    <row r="5325" spans="1:8" x14ac:dyDescent="0.4">
      <c r="A5325">
        <v>2002</v>
      </c>
      <c r="B5325" s="2" t="s">
        <v>485</v>
      </c>
      <c r="C5325" s="2" t="s">
        <v>717</v>
      </c>
      <c r="D5325" s="2" t="s">
        <v>150</v>
      </c>
      <c r="E5325" s="70" t="s">
        <v>152</v>
      </c>
      <c r="F5325" s="29">
        <v>50</v>
      </c>
      <c r="G5325" s="29">
        <v>23</v>
      </c>
      <c r="H5325" s="33">
        <v>27</v>
      </c>
    </row>
    <row r="5326" spans="1:8" x14ac:dyDescent="0.4">
      <c r="A5326">
        <v>2002</v>
      </c>
      <c r="B5326" s="2" t="s">
        <v>486</v>
      </c>
      <c r="C5326" s="2" t="s">
        <v>717</v>
      </c>
      <c r="D5326" s="2" t="s">
        <v>150</v>
      </c>
      <c r="E5326" s="70" t="s">
        <v>153</v>
      </c>
      <c r="F5326" s="29">
        <v>22</v>
      </c>
      <c r="G5326" s="29">
        <v>10</v>
      </c>
      <c r="H5326" s="33">
        <v>12</v>
      </c>
    </row>
    <row r="5327" spans="1:8" x14ac:dyDescent="0.4">
      <c r="A5327">
        <v>2002</v>
      </c>
      <c r="B5327" s="2" t="s">
        <v>487</v>
      </c>
      <c r="C5327" s="2" t="s">
        <v>717</v>
      </c>
      <c r="D5327" s="2" t="s">
        <v>150</v>
      </c>
      <c r="E5327" s="70" t="s">
        <v>154</v>
      </c>
      <c r="F5327" s="29">
        <v>600</v>
      </c>
      <c r="G5327" s="29">
        <v>353</v>
      </c>
      <c r="H5327" s="33">
        <v>247</v>
      </c>
    </row>
    <row r="5328" spans="1:8" x14ac:dyDescent="0.4">
      <c r="A5328">
        <v>2002</v>
      </c>
      <c r="B5328" s="2" t="s">
        <v>488</v>
      </c>
      <c r="C5328" s="2" t="s">
        <v>717</v>
      </c>
      <c r="D5328" s="2" t="s">
        <v>150</v>
      </c>
      <c r="E5328" s="70" t="s">
        <v>155</v>
      </c>
      <c r="F5328" s="29">
        <v>48</v>
      </c>
      <c r="G5328" s="29">
        <v>23</v>
      </c>
      <c r="H5328" s="33">
        <v>25</v>
      </c>
    </row>
    <row r="5329" spans="1:8" x14ac:dyDescent="0.4">
      <c r="A5329">
        <v>2002</v>
      </c>
      <c r="B5329" s="2" t="s">
        <v>489</v>
      </c>
      <c r="C5329" s="2" t="s">
        <v>717</v>
      </c>
      <c r="D5329" s="2" t="s">
        <v>150</v>
      </c>
      <c r="E5329" s="70" t="s">
        <v>156</v>
      </c>
      <c r="F5329" s="29">
        <v>121</v>
      </c>
      <c r="G5329" s="29">
        <v>66</v>
      </c>
      <c r="H5329" s="33">
        <v>55</v>
      </c>
    </row>
    <row r="5330" spans="1:8" x14ac:dyDescent="0.4">
      <c r="A5330">
        <v>2002</v>
      </c>
      <c r="B5330" s="2" t="s">
        <v>490</v>
      </c>
      <c r="C5330" s="2" t="s">
        <v>717</v>
      </c>
      <c r="D5330" s="2" t="s">
        <v>150</v>
      </c>
      <c r="E5330" s="70" t="s">
        <v>85</v>
      </c>
      <c r="F5330" s="29">
        <v>495</v>
      </c>
      <c r="G5330" s="29">
        <v>288</v>
      </c>
      <c r="H5330" s="33">
        <v>207</v>
      </c>
    </row>
    <row r="5331" spans="1:8" x14ac:dyDescent="0.4">
      <c r="A5331">
        <v>2002</v>
      </c>
      <c r="B5331" s="2" t="s">
        <v>491</v>
      </c>
      <c r="C5331" s="2" t="s">
        <v>717</v>
      </c>
      <c r="D5331" s="2" t="s">
        <v>150</v>
      </c>
      <c r="E5331" s="70" t="s">
        <v>157</v>
      </c>
      <c r="F5331" s="29">
        <v>310</v>
      </c>
      <c r="G5331" s="29">
        <v>174</v>
      </c>
      <c r="H5331" s="33">
        <v>136</v>
      </c>
    </row>
    <row r="5332" spans="1:8" x14ac:dyDescent="0.4">
      <c r="A5332">
        <v>2002</v>
      </c>
      <c r="B5332" s="2" t="s">
        <v>492</v>
      </c>
      <c r="C5332" s="2" t="s">
        <v>717</v>
      </c>
      <c r="D5332" s="2" t="s">
        <v>150</v>
      </c>
      <c r="E5332" s="70" t="s">
        <v>158</v>
      </c>
      <c r="F5332" s="29">
        <v>45</v>
      </c>
      <c r="G5332" s="29">
        <v>29</v>
      </c>
      <c r="H5332" s="33">
        <v>16</v>
      </c>
    </row>
    <row r="5333" spans="1:8" x14ac:dyDescent="0.4">
      <c r="A5333">
        <v>2002</v>
      </c>
      <c r="B5333" s="2" t="s">
        <v>493</v>
      </c>
      <c r="C5333" s="2" t="s">
        <v>717</v>
      </c>
      <c r="D5333" s="2" t="s">
        <v>150</v>
      </c>
      <c r="E5333" s="70" t="s">
        <v>159</v>
      </c>
      <c r="F5333" s="29">
        <v>87</v>
      </c>
      <c r="G5333" s="29">
        <v>53</v>
      </c>
      <c r="H5333" s="33">
        <v>34</v>
      </c>
    </row>
    <row r="5334" spans="1:8" x14ac:dyDescent="0.4">
      <c r="A5334">
        <v>2002</v>
      </c>
      <c r="B5334" s="2" t="s">
        <v>494</v>
      </c>
      <c r="C5334" s="2" t="s">
        <v>717</v>
      </c>
      <c r="D5334" s="2" t="s">
        <v>150</v>
      </c>
      <c r="E5334" s="70" t="s">
        <v>76</v>
      </c>
      <c r="F5334" s="29">
        <v>655</v>
      </c>
      <c r="G5334" s="29">
        <v>342</v>
      </c>
      <c r="H5334" s="33">
        <v>313</v>
      </c>
    </row>
    <row r="5335" spans="1:8" x14ac:dyDescent="0.4">
      <c r="A5335">
        <v>2002</v>
      </c>
      <c r="B5335" s="2" t="s">
        <v>495</v>
      </c>
      <c r="C5335" s="2" t="s">
        <v>717</v>
      </c>
      <c r="D5335" s="2" t="s">
        <v>150</v>
      </c>
      <c r="E5335" s="70" t="s">
        <v>160</v>
      </c>
      <c r="F5335" s="29">
        <v>33</v>
      </c>
      <c r="G5335" s="29">
        <v>15</v>
      </c>
      <c r="H5335" s="33">
        <v>18</v>
      </c>
    </row>
    <row r="5336" spans="1:8" x14ac:dyDescent="0.4">
      <c r="A5336">
        <v>2002</v>
      </c>
      <c r="B5336" s="2" t="s">
        <v>496</v>
      </c>
      <c r="C5336" s="2" t="s">
        <v>717</v>
      </c>
      <c r="D5336" s="2" t="s">
        <v>150</v>
      </c>
      <c r="E5336" s="70" t="s">
        <v>161</v>
      </c>
      <c r="F5336" s="29">
        <v>29</v>
      </c>
      <c r="G5336" s="29">
        <v>16</v>
      </c>
      <c r="H5336" s="33">
        <v>13</v>
      </c>
    </row>
    <row r="5337" spans="1:8" x14ac:dyDescent="0.4">
      <c r="A5337">
        <v>2002</v>
      </c>
      <c r="B5337" s="2" t="s">
        <v>497</v>
      </c>
      <c r="C5337" s="2" t="s">
        <v>717</v>
      </c>
      <c r="D5337" s="2" t="s">
        <v>150</v>
      </c>
      <c r="E5337" s="70" t="s">
        <v>162</v>
      </c>
      <c r="F5337" s="29">
        <v>220</v>
      </c>
      <c r="G5337" s="29">
        <v>117</v>
      </c>
      <c r="H5337" s="33">
        <v>103</v>
      </c>
    </row>
    <row r="5338" spans="1:8" x14ac:dyDescent="0.4">
      <c r="A5338">
        <v>2002</v>
      </c>
      <c r="B5338" s="2" t="s">
        <v>498</v>
      </c>
      <c r="C5338" s="2" t="s">
        <v>718</v>
      </c>
      <c r="D5338" s="2" t="s">
        <v>164</v>
      </c>
      <c r="E5338" s="70" t="s">
        <v>163</v>
      </c>
      <c r="F5338" s="29">
        <v>124</v>
      </c>
      <c r="G5338" s="29">
        <v>66</v>
      </c>
      <c r="H5338" s="33">
        <v>58</v>
      </c>
    </row>
    <row r="5339" spans="1:8" x14ac:dyDescent="0.4">
      <c r="A5339">
        <v>2002</v>
      </c>
      <c r="B5339" s="2" t="s">
        <v>499</v>
      </c>
      <c r="C5339" s="2" t="s">
        <v>718</v>
      </c>
      <c r="D5339" s="2" t="s">
        <v>164</v>
      </c>
      <c r="E5339" s="70" t="s">
        <v>165</v>
      </c>
      <c r="F5339" s="29">
        <v>140</v>
      </c>
      <c r="G5339" s="29">
        <v>87</v>
      </c>
      <c r="H5339" s="33">
        <v>53</v>
      </c>
    </row>
    <row r="5340" spans="1:8" x14ac:dyDescent="0.4">
      <c r="A5340">
        <v>2002</v>
      </c>
      <c r="B5340" s="2" t="s">
        <v>500</v>
      </c>
      <c r="C5340" s="2" t="s">
        <v>718</v>
      </c>
      <c r="D5340" s="2" t="s">
        <v>164</v>
      </c>
      <c r="E5340" s="70" t="s">
        <v>166</v>
      </c>
      <c r="F5340" s="29">
        <v>5132</v>
      </c>
      <c r="G5340" s="29">
        <v>2858</v>
      </c>
      <c r="H5340" s="33">
        <v>2274</v>
      </c>
    </row>
    <row r="5341" spans="1:8" x14ac:dyDescent="0.4">
      <c r="A5341">
        <v>2002</v>
      </c>
      <c r="B5341" s="2" t="s">
        <v>501</v>
      </c>
      <c r="C5341" s="2" t="s">
        <v>718</v>
      </c>
      <c r="D5341" s="2" t="s">
        <v>164</v>
      </c>
      <c r="E5341" s="70" t="s">
        <v>167</v>
      </c>
      <c r="F5341" s="29">
        <v>252</v>
      </c>
      <c r="G5341" s="29">
        <v>155</v>
      </c>
      <c r="H5341" s="33">
        <v>97</v>
      </c>
    </row>
    <row r="5342" spans="1:8" x14ac:dyDescent="0.4">
      <c r="A5342">
        <v>2002</v>
      </c>
      <c r="B5342" s="2" t="s">
        <v>502</v>
      </c>
      <c r="C5342" s="2" t="s">
        <v>718</v>
      </c>
      <c r="D5342" s="2" t="s">
        <v>164</v>
      </c>
      <c r="E5342" s="70" t="s">
        <v>168</v>
      </c>
      <c r="F5342" s="29">
        <v>389</v>
      </c>
      <c r="G5342" s="29">
        <v>214</v>
      </c>
      <c r="H5342" s="33">
        <v>175</v>
      </c>
    </row>
    <row r="5343" spans="1:8" x14ac:dyDescent="0.4">
      <c r="A5343">
        <v>2002</v>
      </c>
      <c r="B5343" s="2" t="s">
        <v>503</v>
      </c>
      <c r="C5343" s="2" t="s">
        <v>718</v>
      </c>
      <c r="D5343" s="2" t="s">
        <v>164</v>
      </c>
      <c r="E5343" s="70" t="s">
        <v>169</v>
      </c>
      <c r="F5343" s="29">
        <v>246</v>
      </c>
      <c r="G5343" s="29">
        <v>130</v>
      </c>
      <c r="H5343" s="33">
        <v>116</v>
      </c>
    </row>
    <row r="5344" spans="1:8" x14ac:dyDescent="0.4">
      <c r="A5344">
        <v>2002</v>
      </c>
      <c r="B5344" s="2" t="s">
        <v>504</v>
      </c>
      <c r="C5344" s="2" t="s">
        <v>718</v>
      </c>
      <c r="D5344" s="2" t="s">
        <v>164</v>
      </c>
      <c r="E5344" s="70" t="s">
        <v>170</v>
      </c>
      <c r="F5344" s="29">
        <v>65</v>
      </c>
      <c r="G5344" s="29">
        <v>49</v>
      </c>
      <c r="H5344" s="33">
        <v>16</v>
      </c>
    </row>
    <row r="5345" spans="1:8" x14ac:dyDescent="0.4">
      <c r="A5345">
        <v>2002</v>
      </c>
      <c r="B5345" s="2" t="s">
        <v>505</v>
      </c>
      <c r="C5345" s="2" t="s">
        <v>718</v>
      </c>
      <c r="D5345" s="2" t="s">
        <v>164</v>
      </c>
      <c r="E5345" s="70" t="s">
        <v>171</v>
      </c>
      <c r="F5345" s="29">
        <v>729</v>
      </c>
      <c r="G5345" s="29">
        <v>410</v>
      </c>
      <c r="H5345" s="33">
        <v>319</v>
      </c>
    </row>
    <row r="5346" spans="1:8" x14ac:dyDescent="0.4">
      <c r="A5346">
        <v>2002</v>
      </c>
      <c r="B5346" s="2" t="s">
        <v>506</v>
      </c>
      <c r="C5346" s="2" t="s">
        <v>718</v>
      </c>
      <c r="D5346" s="2" t="s">
        <v>164</v>
      </c>
      <c r="E5346" s="70" t="s">
        <v>53</v>
      </c>
      <c r="F5346" s="29">
        <v>172</v>
      </c>
      <c r="G5346" s="29">
        <v>97</v>
      </c>
      <c r="H5346" s="33">
        <v>75</v>
      </c>
    </row>
    <row r="5347" spans="1:8" x14ac:dyDescent="0.4">
      <c r="A5347">
        <v>2002</v>
      </c>
      <c r="B5347" s="2" t="s">
        <v>507</v>
      </c>
      <c r="C5347" s="2" t="s">
        <v>719</v>
      </c>
      <c r="D5347" s="2" t="s">
        <v>173</v>
      </c>
      <c r="E5347" s="70" t="s">
        <v>172</v>
      </c>
      <c r="F5347" s="29">
        <v>497</v>
      </c>
      <c r="G5347" s="29">
        <v>326</v>
      </c>
      <c r="H5347" s="33">
        <v>171</v>
      </c>
    </row>
    <row r="5348" spans="1:8" x14ac:dyDescent="0.4">
      <c r="A5348">
        <v>2002</v>
      </c>
      <c r="B5348" s="2" t="s">
        <v>508</v>
      </c>
      <c r="C5348" s="2" t="s">
        <v>719</v>
      </c>
      <c r="D5348" s="2" t="s">
        <v>173</v>
      </c>
      <c r="E5348" s="70" t="s">
        <v>174</v>
      </c>
      <c r="F5348" s="29">
        <v>35</v>
      </c>
      <c r="G5348" s="29">
        <v>22</v>
      </c>
      <c r="H5348" s="33">
        <v>13</v>
      </c>
    </row>
    <row r="5349" spans="1:8" x14ac:dyDescent="0.4">
      <c r="A5349">
        <v>2002</v>
      </c>
      <c r="B5349" s="2" t="s">
        <v>509</v>
      </c>
      <c r="C5349" s="2" t="s">
        <v>719</v>
      </c>
      <c r="D5349" s="2" t="s">
        <v>173</v>
      </c>
      <c r="E5349" s="70" t="s">
        <v>175</v>
      </c>
      <c r="F5349" s="29">
        <v>79</v>
      </c>
      <c r="G5349" s="29">
        <v>47</v>
      </c>
      <c r="H5349" s="33">
        <v>32</v>
      </c>
    </row>
    <row r="5350" spans="1:8" x14ac:dyDescent="0.4">
      <c r="A5350">
        <v>2002</v>
      </c>
      <c r="B5350" s="2" t="s">
        <v>510</v>
      </c>
      <c r="C5350" s="2" t="s">
        <v>719</v>
      </c>
      <c r="D5350" s="2" t="s">
        <v>173</v>
      </c>
      <c r="E5350" s="70" t="s">
        <v>176</v>
      </c>
      <c r="F5350" s="29">
        <v>11</v>
      </c>
      <c r="G5350" s="29">
        <v>8</v>
      </c>
      <c r="H5350" s="33">
        <v>3</v>
      </c>
    </row>
    <row r="5351" spans="1:8" x14ac:dyDescent="0.4">
      <c r="A5351">
        <v>2002</v>
      </c>
      <c r="B5351" s="2" t="s">
        <v>511</v>
      </c>
      <c r="C5351" s="2" t="s">
        <v>719</v>
      </c>
      <c r="D5351" s="2" t="s">
        <v>173</v>
      </c>
      <c r="E5351" s="70" t="s">
        <v>177</v>
      </c>
      <c r="F5351" s="29">
        <v>44</v>
      </c>
      <c r="G5351" s="29">
        <v>27</v>
      </c>
      <c r="H5351" s="33">
        <v>17</v>
      </c>
    </row>
    <row r="5352" spans="1:8" x14ac:dyDescent="0.4">
      <c r="A5352">
        <v>2002</v>
      </c>
      <c r="B5352" s="2" t="s">
        <v>512</v>
      </c>
      <c r="C5352" s="2" t="s">
        <v>719</v>
      </c>
      <c r="D5352" s="2" t="s">
        <v>173</v>
      </c>
      <c r="E5352" s="70" t="s">
        <v>178</v>
      </c>
      <c r="F5352" s="29">
        <v>221</v>
      </c>
      <c r="G5352" s="29">
        <v>120</v>
      </c>
      <c r="H5352" s="33">
        <v>101</v>
      </c>
    </row>
    <row r="5353" spans="1:8" x14ac:dyDescent="0.4">
      <c r="A5353">
        <v>2002</v>
      </c>
      <c r="B5353" s="2" t="s">
        <v>513</v>
      </c>
      <c r="C5353" s="2" t="s">
        <v>719</v>
      </c>
      <c r="D5353" s="2" t="s">
        <v>173</v>
      </c>
      <c r="E5353" s="70" t="s">
        <v>179</v>
      </c>
      <c r="F5353" s="29">
        <v>28</v>
      </c>
      <c r="G5353" s="29">
        <v>16</v>
      </c>
      <c r="H5353" s="33">
        <v>12</v>
      </c>
    </row>
    <row r="5354" spans="1:8" x14ac:dyDescent="0.4">
      <c r="A5354">
        <v>2002</v>
      </c>
      <c r="B5354" s="2" t="s">
        <v>514</v>
      </c>
      <c r="C5354" s="2" t="s">
        <v>719</v>
      </c>
      <c r="D5354" s="2" t="s">
        <v>173</v>
      </c>
      <c r="E5354" s="70" t="s">
        <v>180</v>
      </c>
      <c r="F5354" s="29">
        <v>88</v>
      </c>
      <c r="G5354" s="29">
        <v>56</v>
      </c>
      <c r="H5354" s="33">
        <v>32</v>
      </c>
    </row>
    <row r="5355" spans="1:8" x14ac:dyDescent="0.4">
      <c r="A5355">
        <v>2002</v>
      </c>
      <c r="B5355" s="2" t="s">
        <v>515</v>
      </c>
      <c r="C5355" s="2" t="s">
        <v>719</v>
      </c>
      <c r="D5355" s="2" t="s">
        <v>173</v>
      </c>
      <c r="E5355" s="70" t="s">
        <v>181</v>
      </c>
      <c r="F5355" s="29">
        <v>34</v>
      </c>
      <c r="G5355" s="29">
        <v>20</v>
      </c>
      <c r="H5355" s="33">
        <v>14</v>
      </c>
    </row>
    <row r="5356" spans="1:8" x14ac:dyDescent="0.4">
      <c r="A5356">
        <v>2002</v>
      </c>
      <c r="B5356" s="2" t="s">
        <v>516</v>
      </c>
      <c r="C5356" s="2" t="s">
        <v>719</v>
      </c>
      <c r="D5356" s="2" t="s">
        <v>173</v>
      </c>
      <c r="E5356" s="70" t="s">
        <v>182</v>
      </c>
      <c r="F5356" s="29">
        <v>41</v>
      </c>
      <c r="G5356" s="29">
        <v>27</v>
      </c>
      <c r="H5356" s="33">
        <v>14</v>
      </c>
    </row>
    <row r="5357" spans="1:8" x14ac:dyDescent="0.4">
      <c r="A5357">
        <v>2002</v>
      </c>
      <c r="B5357" s="2" t="s">
        <v>517</v>
      </c>
      <c r="C5357" s="2" t="s">
        <v>719</v>
      </c>
      <c r="D5357" s="2" t="s">
        <v>173</v>
      </c>
      <c r="E5357" s="70" t="s">
        <v>183</v>
      </c>
      <c r="F5357" s="29">
        <v>22</v>
      </c>
      <c r="G5357" s="29">
        <v>13</v>
      </c>
      <c r="H5357" s="33">
        <v>9</v>
      </c>
    </row>
    <row r="5358" spans="1:8" x14ac:dyDescent="0.4">
      <c r="A5358">
        <v>2002</v>
      </c>
      <c r="B5358" s="2" t="s">
        <v>518</v>
      </c>
      <c r="C5358" s="2" t="s">
        <v>719</v>
      </c>
      <c r="D5358" s="2" t="s">
        <v>173</v>
      </c>
      <c r="E5358" s="70" t="s">
        <v>44</v>
      </c>
      <c r="F5358" s="29">
        <v>1767</v>
      </c>
      <c r="G5358" s="29">
        <v>1068</v>
      </c>
      <c r="H5358" s="33">
        <v>699</v>
      </c>
    </row>
    <row r="5359" spans="1:8" x14ac:dyDescent="0.4">
      <c r="A5359">
        <v>2002</v>
      </c>
      <c r="B5359" s="2" t="s">
        <v>519</v>
      </c>
      <c r="C5359" s="2" t="s">
        <v>719</v>
      </c>
      <c r="D5359" s="2" t="s">
        <v>173</v>
      </c>
      <c r="E5359" s="70" t="s">
        <v>85</v>
      </c>
      <c r="F5359" s="29">
        <v>91</v>
      </c>
      <c r="G5359" s="29">
        <v>59</v>
      </c>
      <c r="H5359" s="33">
        <v>32</v>
      </c>
    </row>
    <row r="5360" spans="1:8" x14ac:dyDescent="0.4">
      <c r="A5360">
        <v>2002</v>
      </c>
      <c r="B5360" s="2" t="s">
        <v>520</v>
      </c>
      <c r="C5360" s="2" t="s">
        <v>719</v>
      </c>
      <c r="D5360" s="2" t="s">
        <v>173</v>
      </c>
      <c r="E5360" s="70" t="s">
        <v>184</v>
      </c>
      <c r="F5360" s="29">
        <v>92</v>
      </c>
      <c r="G5360" s="29">
        <v>75</v>
      </c>
      <c r="H5360" s="33">
        <v>17</v>
      </c>
    </row>
    <row r="5361" spans="1:8" x14ac:dyDescent="0.4">
      <c r="A5361">
        <v>2002</v>
      </c>
      <c r="B5361" s="2" t="s">
        <v>521</v>
      </c>
      <c r="C5361" s="2" t="s">
        <v>719</v>
      </c>
      <c r="D5361" s="2" t="s">
        <v>173</v>
      </c>
      <c r="E5361" s="70" t="s">
        <v>185</v>
      </c>
      <c r="F5361" s="29">
        <v>3</v>
      </c>
      <c r="G5361" s="29">
        <v>2</v>
      </c>
      <c r="H5361" s="33">
        <v>1</v>
      </c>
    </row>
    <row r="5362" spans="1:8" x14ac:dyDescent="0.4">
      <c r="A5362">
        <v>2002</v>
      </c>
      <c r="B5362" s="2" t="s">
        <v>522</v>
      </c>
      <c r="C5362" s="2" t="s">
        <v>719</v>
      </c>
      <c r="D5362" s="2" t="s">
        <v>173</v>
      </c>
      <c r="E5362" s="70" t="s">
        <v>186</v>
      </c>
      <c r="F5362" s="29">
        <v>23</v>
      </c>
      <c r="G5362" s="29">
        <v>16</v>
      </c>
      <c r="H5362" s="33">
        <v>7</v>
      </c>
    </row>
    <row r="5363" spans="1:8" x14ac:dyDescent="0.4">
      <c r="A5363">
        <v>2002</v>
      </c>
      <c r="B5363" s="2" t="s">
        <v>523</v>
      </c>
      <c r="C5363" s="2" t="s">
        <v>719</v>
      </c>
      <c r="D5363" s="2" t="s">
        <v>173</v>
      </c>
      <c r="E5363" s="70" t="s">
        <v>187</v>
      </c>
      <c r="F5363" s="29">
        <v>50</v>
      </c>
      <c r="G5363" s="29">
        <v>29</v>
      </c>
      <c r="H5363" s="33">
        <v>21</v>
      </c>
    </row>
    <row r="5364" spans="1:8" x14ac:dyDescent="0.4">
      <c r="A5364">
        <v>2002</v>
      </c>
      <c r="B5364" s="2" t="s">
        <v>524</v>
      </c>
      <c r="C5364" s="2" t="s">
        <v>719</v>
      </c>
      <c r="D5364" s="2" t="s">
        <v>173</v>
      </c>
      <c r="E5364" s="70" t="s">
        <v>188</v>
      </c>
      <c r="F5364" s="29">
        <v>63</v>
      </c>
      <c r="G5364" s="29">
        <v>31</v>
      </c>
      <c r="H5364" s="33">
        <v>32</v>
      </c>
    </row>
    <row r="5365" spans="1:8" x14ac:dyDescent="0.4">
      <c r="A5365">
        <v>2002</v>
      </c>
      <c r="B5365" s="2" t="s">
        <v>525</v>
      </c>
      <c r="C5365" s="2" t="s">
        <v>719</v>
      </c>
      <c r="D5365" s="2" t="s">
        <v>173</v>
      </c>
      <c r="E5365" s="70" t="s">
        <v>189</v>
      </c>
      <c r="F5365" s="29">
        <v>45</v>
      </c>
      <c r="G5365" s="29">
        <v>32</v>
      </c>
      <c r="H5365" s="33">
        <v>13</v>
      </c>
    </row>
    <row r="5366" spans="1:8" x14ac:dyDescent="0.4">
      <c r="A5366">
        <v>2002</v>
      </c>
      <c r="B5366" s="2" t="s">
        <v>526</v>
      </c>
      <c r="C5366" s="2" t="s">
        <v>719</v>
      </c>
      <c r="D5366" s="2" t="s">
        <v>173</v>
      </c>
      <c r="E5366" s="70" t="s">
        <v>51</v>
      </c>
      <c r="F5366" s="29">
        <v>157</v>
      </c>
      <c r="G5366" s="29">
        <v>96</v>
      </c>
      <c r="H5366" s="33">
        <v>61</v>
      </c>
    </row>
    <row r="5367" spans="1:8" x14ac:dyDescent="0.4">
      <c r="A5367">
        <v>2002</v>
      </c>
      <c r="B5367" s="2" t="s">
        <v>527</v>
      </c>
      <c r="C5367" s="2" t="s">
        <v>719</v>
      </c>
      <c r="D5367" s="2" t="s">
        <v>173</v>
      </c>
      <c r="E5367" s="70" t="s">
        <v>52</v>
      </c>
      <c r="F5367" s="29">
        <v>130</v>
      </c>
      <c r="G5367" s="29">
        <v>74</v>
      </c>
      <c r="H5367" s="33">
        <v>56</v>
      </c>
    </row>
    <row r="5368" spans="1:8" x14ac:dyDescent="0.4">
      <c r="A5368">
        <v>2002</v>
      </c>
      <c r="B5368" s="2" t="s">
        <v>528</v>
      </c>
      <c r="C5368" s="2" t="s">
        <v>719</v>
      </c>
      <c r="D5368" s="2" t="s">
        <v>173</v>
      </c>
      <c r="E5368" s="70" t="s">
        <v>190</v>
      </c>
      <c r="F5368" s="29">
        <v>80</v>
      </c>
      <c r="G5368" s="29">
        <v>48</v>
      </c>
      <c r="H5368" s="33">
        <v>32</v>
      </c>
    </row>
    <row r="5369" spans="1:8" x14ac:dyDescent="0.4">
      <c r="A5369">
        <v>2002</v>
      </c>
      <c r="B5369" s="2" t="s">
        <v>529</v>
      </c>
      <c r="C5369" s="2" t="s">
        <v>719</v>
      </c>
      <c r="D5369" s="2" t="s">
        <v>173</v>
      </c>
      <c r="E5369" s="70" t="s">
        <v>191</v>
      </c>
      <c r="F5369" s="29">
        <v>38</v>
      </c>
      <c r="G5369" s="29">
        <v>22</v>
      </c>
      <c r="H5369" s="33">
        <v>16</v>
      </c>
    </row>
    <row r="5370" spans="1:8" x14ac:dyDescent="0.4">
      <c r="A5370">
        <v>2002</v>
      </c>
      <c r="B5370" s="2" t="s">
        <v>530</v>
      </c>
      <c r="C5370" s="2" t="s">
        <v>720</v>
      </c>
      <c r="D5370" s="2" t="s">
        <v>193</v>
      </c>
      <c r="E5370" s="70" t="s">
        <v>192</v>
      </c>
      <c r="F5370" s="29">
        <v>307</v>
      </c>
      <c r="G5370" s="29">
        <v>190</v>
      </c>
      <c r="H5370" s="33">
        <v>117</v>
      </c>
    </row>
    <row r="5371" spans="1:8" x14ac:dyDescent="0.4">
      <c r="A5371">
        <v>2002</v>
      </c>
      <c r="B5371" s="2" t="s">
        <v>531</v>
      </c>
      <c r="C5371" s="2" t="s">
        <v>720</v>
      </c>
      <c r="D5371" s="2" t="s">
        <v>193</v>
      </c>
      <c r="E5371" s="70" t="s">
        <v>174</v>
      </c>
      <c r="F5371" s="29">
        <v>64</v>
      </c>
      <c r="G5371" s="29">
        <v>33</v>
      </c>
      <c r="H5371" s="33">
        <v>31</v>
      </c>
    </row>
    <row r="5372" spans="1:8" x14ac:dyDescent="0.4">
      <c r="A5372">
        <v>2002</v>
      </c>
      <c r="B5372" s="2" t="s">
        <v>532</v>
      </c>
      <c r="C5372" s="2" t="s">
        <v>720</v>
      </c>
      <c r="D5372" s="2" t="s">
        <v>193</v>
      </c>
      <c r="E5372" s="70" t="s">
        <v>194</v>
      </c>
      <c r="F5372" s="29">
        <v>1239</v>
      </c>
      <c r="G5372" s="29">
        <v>597</v>
      </c>
      <c r="H5372" s="33">
        <v>642</v>
      </c>
    </row>
    <row r="5373" spans="1:8" x14ac:dyDescent="0.4">
      <c r="A5373">
        <v>2002</v>
      </c>
      <c r="B5373" s="2" t="s">
        <v>533</v>
      </c>
      <c r="C5373" s="2" t="s">
        <v>720</v>
      </c>
      <c r="D5373" s="2" t="s">
        <v>193</v>
      </c>
      <c r="E5373" s="70" t="s">
        <v>195</v>
      </c>
      <c r="F5373" s="29">
        <v>222</v>
      </c>
      <c r="G5373" s="29">
        <v>144</v>
      </c>
      <c r="H5373" s="33">
        <v>78</v>
      </c>
    </row>
    <row r="5374" spans="1:8" x14ac:dyDescent="0.4">
      <c r="A5374">
        <v>2002</v>
      </c>
      <c r="B5374" s="2" t="s">
        <v>534</v>
      </c>
      <c r="C5374" s="2" t="s">
        <v>720</v>
      </c>
      <c r="D5374" s="2" t="s">
        <v>193</v>
      </c>
      <c r="E5374" s="70" t="s">
        <v>196</v>
      </c>
      <c r="F5374" s="29">
        <v>42</v>
      </c>
      <c r="G5374" s="29">
        <v>23</v>
      </c>
      <c r="H5374" s="33">
        <v>19</v>
      </c>
    </row>
    <row r="5375" spans="1:8" x14ac:dyDescent="0.4">
      <c r="A5375">
        <v>2002</v>
      </c>
      <c r="B5375" s="2" t="s">
        <v>535</v>
      </c>
      <c r="C5375" s="2" t="s">
        <v>720</v>
      </c>
      <c r="D5375" s="2" t="s">
        <v>193</v>
      </c>
      <c r="E5375" s="70" t="s">
        <v>197</v>
      </c>
      <c r="F5375" s="29">
        <v>120</v>
      </c>
      <c r="G5375" s="29">
        <v>59</v>
      </c>
      <c r="H5375" s="33">
        <v>61</v>
      </c>
    </row>
    <row r="5376" spans="1:8" x14ac:dyDescent="0.4">
      <c r="A5376">
        <v>2002</v>
      </c>
      <c r="B5376" s="2" t="s">
        <v>536</v>
      </c>
      <c r="C5376" s="2" t="s">
        <v>720</v>
      </c>
      <c r="D5376" s="2" t="s">
        <v>193</v>
      </c>
      <c r="E5376" s="70" t="s">
        <v>198</v>
      </c>
      <c r="F5376" s="29">
        <v>601</v>
      </c>
      <c r="G5376" s="29">
        <v>315</v>
      </c>
      <c r="H5376" s="33">
        <v>286</v>
      </c>
    </row>
    <row r="5377" spans="1:8" x14ac:dyDescent="0.4">
      <c r="A5377">
        <v>2002</v>
      </c>
      <c r="B5377" s="2" t="s">
        <v>537</v>
      </c>
      <c r="C5377" s="2" t="s">
        <v>720</v>
      </c>
      <c r="D5377" s="2" t="s">
        <v>193</v>
      </c>
      <c r="E5377" s="70" t="s">
        <v>199</v>
      </c>
      <c r="F5377" s="29">
        <v>235</v>
      </c>
      <c r="G5377" s="29">
        <v>164</v>
      </c>
      <c r="H5377" s="33">
        <v>71</v>
      </c>
    </row>
    <row r="5378" spans="1:8" x14ac:dyDescent="0.4">
      <c r="A5378">
        <v>2002</v>
      </c>
      <c r="B5378" s="2" t="s">
        <v>538</v>
      </c>
      <c r="C5378" s="2" t="s">
        <v>720</v>
      </c>
      <c r="D5378" s="2" t="s">
        <v>193</v>
      </c>
      <c r="E5378" s="70" t="s">
        <v>200</v>
      </c>
      <c r="F5378" s="29">
        <v>132</v>
      </c>
      <c r="G5378" s="29">
        <v>71</v>
      </c>
      <c r="H5378" s="33">
        <v>61</v>
      </c>
    </row>
    <row r="5379" spans="1:8" x14ac:dyDescent="0.4">
      <c r="A5379">
        <v>2002</v>
      </c>
      <c r="B5379" s="2" t="s">
        <v>539</v>
      </c>
      <c r="C5379" s="2" t="s">
        <v>720</v>
      </c>
      <c r="D5379" s="2" t="s">
        <v>193</v>
      </c>
      <c r="E5379" s="70" t="s">
        <v>201</v>
      </c>
      <c r="F5379" s="29">
        <v>1098</v>
      </c>
      <c r="G5379" s="29">
        <v>685</v>
      </c>
      <c r="H5379" s="33">
        <v>413</v>
      </c>
    </row>
    <row r="5380" spans="1:8" x14ac:dyDescent="0.4">
      <c r="A5380">
        <v>2002</v>
      </c>
      <c r="B5380" s="2" t="s">
        <v>540</v>
      </c>
      <c r="C5380" s="2" t="s">
        <v>720</v>
      </c>
      <c r="D5380" s="2" t="s">
        <v>193</v>
      </c>
      <c r="E5380" s="70" t="s">
        <v>14</v>
      </c>
      <c r="F5380" s="29">
        <v>384</v>
      </c>
      <c r="G5380" s="29">
        <v>248</v>
      </c>
      <c r="H5380" s="33">
        <v>136</v>
      </c>
    </row>
    <row r="5381" spans="1:8" x14ac:dyDescent="0.4">
      <c r="A5381">
        <v>2002</v>
      </c>
      <c r="B5381" s="2" t="s">
        <v>541</v>
      </c>
      <c r="C5381" s="2" t="s">
        <v>720</v>
      </c>
      <c r="D5381" s="2" t="s">
        <v>193</v>
      </c>
      <c r="E5381" s="70" t="s">
        <v>202</v>
      </c>
      <c r="F5381" s="29">
        <v>789</v>
      </c>
      <c r="G5381" s="29">
        <v>503</v>
      </c>
      <c r="H5381" s="33">
        <v>286</v>
      </c>
    </row>
    <row r="5382" spans="1:8" x14ac:dyDescent="0.4">
      <c r="A5382">
        <v>2002</v>
      </c>
      <c r="B5382" s="2" t="s">
        <v>542</v>
      </c>
      <c r="C5382" s="2" t="s">
        <v>720</v>
      </c>
      <c r="D5382" s="2" t="s">
        <v>193</v>
      </c>
      <c r="E5382" s="70" t="s">
        <v>203</v>
      </c>
      <c r="F5382" s="29">
        <v>204</v>
      </c>
      <c r="G5382" s="29">
        <v>107</v>
      </c>
      <c r="H5382" s="33">
        <v>97</v>
      </c>
    </row>
    <row r="5383" spans="1:8" x14ac:dyDescent="0.4">
      <c r="A5383">
        <v>2002</v>
      </c>
      <c r="B5383" s="2" t="s">
        <v>543</v>
      </c>
      <c r="C5383" s="2" t="s">
        <v>720</v>
      </c>
      <c r="D5383" s="2" t="s">
        <v>193</v>
      </c>
      <c r="E5383" s="70" t="s">
        <v>32</v>
      </c>
      <c r="F5383" s="29">
        <v>175</v>
      </c>
      <c r="G5383" s="29">
        <v>105</v>
      </c>
      <c r="H5383" s="33">
        <v>70</v>
      </c>
    </row>
    <row r="5384" spans="1:8" x14ac:dyDescent="0.4">
      <c r="A5384">
        <v>2002</v>
      </c>
      <c r="B5384" s="2" t="s">
        <v>544</v>
      </c>
      <c r="C5384" s="2" t="s">
        <v>720</v>
      </c>
      <c r="D5384" s="2" t="s">
        <v>193</v>
      </c>
      <c r="E5384" s="70" t="s">
        <v>204</v>
      </c>
      <c r="F5384" s="29">
        <v>194</v>
      </c>
      <c r="G5384" s="29">
        <v>115</v>
      </c>
      <c r="H5384" s="33">
        <v>79</v>
      </c>
    </row>
    <row r="5385" spans="1:8" x14ac:dyDescent="0.4">
      <c r="A5385">
        <v>2002</v>
      </c>
      <c r="B5385" s="2" t="s">
        <v>545</v>
      </c>
      <c r="C5385" s="2" t="s">
        <v>720</v>
      </c>
      <c r="D5385" s="2" t="s">
        <v>193</v>
      </c>
      <c r="E5385" s="70" t="s">
        <v>205</v>
      </c>
      <c r="F5385" s="29">
        <v>48</v>
      </c>
      <c r="G5385" s="29">
        <v>33</v>
      </c>
      <c r="H5385" s="33">
        <v>15</v>
      </c>
    </row>
    <row r="5386" spans="1:8" x14ac:dyDescent="0.4">
      <c r="A5386">
        <v>2002</v>
      </c>
      <c r="B5386" s="2" t="s">
        <v>546</v>
      </c>
      <c r="C5386" s="2" t="s">
        <v>720</v>
      </c>
      <c r="D5386" s="2" t="s">
        <v>193</v>
      </c>
      <c r="E5386" s="70" t="s">
        <v>206</v>
      </c>
      <c r="F5386" s="29">
        <v>488</v>
      </c>
      <c r="G5386" s="29">
        <v>308</v>
      </c>
      <c r="H5386" s="33">
        <v>180</v>
      </c>
    </row>
    <row r="5387" spans="1:8" x14ac:dyDescent="0.4">
      <c r="A5387">
        <v>2002</v>
      </c>
      <c r="B5387" s="2" t="s">
        <v>547</v>
      </c>
      <c r="C5387" s="2" t="s">
        <v>720</v>
      </c>
      <c r="D5387" s="2" t="s">
        <v>193</v>
      </c>
      <c r="E5387" s="70" t="s">
        <v>25</v>
      </c>
      <c r="F5387" s="29">
        <v>146</v>
      </c>
      <c r="G5387" s="29">
        <v>105</v>
      </c>
      <c r="H5387" s="33">
        <v>41</v>
      </c>
    </row>
    <row r="5388" spans="1:8" x14ac:dyDescent="0.4">
      <c r="A5388">
        <v>2002</v>
      </c>
      <c r="B5388" s="2" t="s">
        <v>548</v>
      </c>
      <c r="C5388" s="2" t="s">
        <v>720</v>
      </c>
      <c r="D5388" s="2" t="s">
        <v>193</v>
      </c>
      <c r="E5388" s="70" t="s">
        <v>51</v>
      </c>
      <c r="F5388" s="29">
        <v>3147</v>
      </c>
      <c r="G5388" s="29">
        <v>1931</v>
      </c>
      <c r="H5388" s="33">
        <v>1216</v>
      </c>
    </row>
    <row r="5389" spans="1:8" x14ac:dyDescent="0.4">
      <c r="A5389">
        <v>2002</v>
      </c>
      <c r="B5389" s="2" t="s">
        <v>549</v>
      </c>
      <c r="C5389" s="2" t="s">
        <v>720</v>
      </c>
      <c r="D5389" s="2" t="s">
        <v>193</v>
      </c>
      <c r="E5389" s="70" t="s">
        <v>53</v>
      </c>
      <c r="F5389" s="29">
        <v>289</v>
      </c>
      <c r="G5389" s="29">
        <v>185</v>
      </c>
      <c r="H5389" s="33">
        <v>104</v>
      </c>
    </row>
    <row r="5390" spans="1:8" x14ac:dyDescent="0.4">
      <c r="A5390">
        <v>2002</v>
      </c>
      <c r="B5390" s="2" t="s">
        <v>550</v>
      </c>
      <c r="C5390" s="2" t="s">
        <v>720</v>
      </c>
      <c r="D5390" s="2" t="s">
        <v>193</v>
      </c>
      <c r="E5390" s="70" t="s">
        <v>54</v>
      </c>
      <c r="F5390" s="29">
        <v>640</v>
      </c>
      <c r="G5390" s="29">
        <v>402</v>
      </c>
      <c r="H5390" s="33">
        <v>238</v>
      </c>
    </row>
    <row r="5391" spans="1:8" x14ac:dyDescent="0.4">
      <c r="A5391">
        <v>2002</v>
      </c>
      <c r="B5391" s="2" t="s">
        <v>551</v>
      </c>
      <c r="C5391" s="2" t="s">
        <v>721</v>
      </c>
      <c r="D5391" s="2" t="s">
        <v>207</v>
      </c>
      <c r="E5391" s="70" t="s">
        <v>128</v>
      </c>
      <c r="F5391" s="29">
        <v>48</v>
      </c>
      <c r="G5391" s="29">
        <v>36</v>
      </c>
      <c r="H5391" s="33">
        <v>12</v>
      </c>
    </row>
    <row r="5392" spans="1:8" x14ac:dyDescent="0.4">
      <c r="A5392">
        <v>2002</v>
      </c>
      <c r="B5392" s="2" t="s">
        <v>552</v>
      </c>
      <c r="C5392" s="2" t="s">
        <v>721</v>
      </c>
      <c r="D5392" s="2" t="s">
        <v>207</v>
      </c>
      <c r="E5392" s="70" t="s">
        <v>208</v>
      </c>
      <c r="F5392" s="29">
        <v>25</v>
      </c>
      <c r="G5392" s="29">
        <v>16</v>
      </c>
      <c r="H5392" s="33">
        <v>9</v>
      </c>
    </row>
    <row r="5393" spans="1:8" x14ac:dyDescent="0.4">
      <c r="A5393">
        <v>2002</v>
      </c>
      <c r="B5393" s="2" t="s">
        <v>553</v>
      </c>
      <c r="C5393" s="2" t="s">
        <v>721</v>
      </c>
      <c r="D5393" s="2" t="s">
        <v>207</v>
      </c>
      <c r="E5393" s="70" t="s">
        <v>36</v>
      </c>
      <c r="F5393" s="29">
        <v>76</v>
      </c>
      <c r="G5393" s="29">
        <v>43</v>
      </c>
      <c r="H5393" s="33">
        <v>33</v>
      </c>
    </row>
    <row r="5394" spans="1:8" x14ac:dyDescent="0.4">
      <c r="A5394">
        <v>2002</v>
      </c>
      <c r="B5394" s="2" t="s">
        <v>554</v>
      </c>
      <c r="C5394" s="2" t="s">
        <v>721</v>
      </c>
      <c r="D5394" s="2" t="s">
        <v>207</v>
      </c>
      <c r="E5394" s="70" t="s">
        <v>209</v>
      </c>
      <c r="F5394" s="29">
        <v>92</v>
      </c>
      <c r="G5394" s="29">
        <v>56</v>
      </c>
      <c r="H5394" s="33">
        <v>36</v>
      </c>
    </row>
    <row r="5395" spans="1:8" x14ac:dyDescent="0.4">
      <c r="A5395">
        <v>2002</v>
      </c>
      <c r="B5395" s="2" t="s">
        <v>555</v>
      </c>
      <c r="C5395" s="2" t="s">
        <v>721</v>
      </c>
      <c r="D5395" s="2" t="s">
        <v>207</v>
      </c>
      <c r="E5395" s="70" t="s">
        <v>69</v>
      </c>
      <c r="F5395" s="29">
        <v>56</v>
      </c>
      <c r="G5395" s="29">
        <v>32</v>
      </c>
      <c r="H5395" s="33">
        <v>24</v>
      </c>
    </row>
    <row r="5396" spans="1:8" x14ac:dyDescent="0.4">
      <c r="A5396">
        <v>2002</v>
      </c>
      <c r="B5396" s="2" t="s">
        <v>556</v>
      </c>
      <c r="C5396" s="2" t="s">
        <v>721</v>
      </c>
      <c r="D5396" s="2" t="s">
        <v>207</v>
      </c>
      <c r="E5396" s="70" t="s">
        <v>62</v>
      </c>
      <c r="F5396" s="29">
        <v>148</v>
      </c>
      <c r="G5396" s="29">
        <v>88</v>
      </c>
      <c r="H5396" s="33">
        <v>60</v>
      </c>
    </row>
    <row r="5397" spans="1:8" x14ac:dyDescent="0.4">
      <c r="A5397">
        <v>2002</v>
      </c>
      <c r="B5397" s="2" t="s">
        <v>557</v>
      </c>
      <c r="C5397" s="2" t="s">
        <v>721</v>
      </c>
      <c r="D5397" s="2" t="s">
        <v>207</v>
      </c>
      <c r="E5397" s="70" t="s">
        <v>44</v>
      </c>
      <c r="F5397" s="29">
        <v>84</v>
      </c>
      <c r="G5397" s="29">
        <v>55</v>
      </c>
      <c r="H5397" s="33">
        <v>29</v>
      </c>
    </row>
    <row r="5398" spans="1:8" x14ac:dyDescent="0.4">
      <c r="A5398">
        <v>2002</v>
      </c>
      <c r="B5398" s="2" t="s">
        <v>558</v>
      </c>
      <c r="C5398" s="2" t="s">
        <v>721</v>
      </c>
      <c r="D5398" s="2" t="s">
        <v>207</v>
      </c>
      <c r="E5398" s="70" t="s">
        <v>210</v>
      </c>
      <c r="F5398" s="29">
        <v>2276</v>
      </c>
      <c r="G5398" s="29">
        <v>1374</v>
      </c>
      <c r="H5398" s="33">
        <v>902</v>
      </c>
    </row>
    <row r="5399" spans="1:8" x14ac:dyDescent="0.4">
      <c r="A5399">
        <v>2002</v>
      </c>
      <c r="B5399" s="2" t="s">
        <v>559</v>
      </c>
      <c r="C5399" s="2" t="s">
        <v>721</v>
      </c>
      <c r="D5399" s="2" t="s">
        <v>207</v>
      </c>
      <c r="E5399" s="70" t="s">
        <v>74</v>
      </c>
      <c r="F5399" s="29">
        <v>108</v>
      </c>
      <c r="G5399" s="29">
        <v>70</v>
      </c>
      <c r="H5399" s="33">
        <v>38</v>
      </c>
    </row>
    <row r="5400" spans="1:8" x14ac:dyDescent="0.4">
      <c r="A5400">
        <v>2002</v>
      </c>
      <c r="B5400" s="2" t="s">
        <v>560</v>
      </c>
      <c r="C5400" s="2" t="s">
        <v>721</v>
      </c>
      <c r="D5400" s="2" t="s">
        <v>207</v>
      </c>
      <c r="E5400" s="70" t="s">
        <v>211</v>
      </c>
      <c r="F5400" s="29">
        <v>87</v>
      </c>
      <c r="G5400" s="29">
        <v>54</v>
      </c>
      <c r="H5400" s="33">
        <v>33</v>
      </c>
    </row>
    <row r="5401" spans="1:8" x14ac:dyDescent="0.4">
      <c r="A5401">
        <v>2002</v>
      </c>
      <c r="B5401" s="2" t="s">
        <v>561</v>
      </c>
      <c r="C5401" s="2" t="s">
        <v>721</v>
      </c>
      <c r="D5401" s="2" t="s">
        <v>207</v>
      </c>
      <c r="E5401" s="70" t="s">
        <v>212</v>
      </c>
      <c r="F5401" s="29">
        <v>21</v>
      </c>
      <c r="G5401" s="29">
        <v>15</v>
      </c>
      <c r="H5401" s="33">
        <v>6</v>
      </c>
    </row>
    <row r="5402" spans="1:8" x14ac:dyDescent="0.4">
      <c r="A5402">
        <v>2002</v>
      </c>
      <c r="B5402" s="2" t="s">
        <v>562</v>
      </c>
      <c r="C5402" s="2" t="s">
        <v>721</v>
      </c>
      <c r="D5402" s="2" t="s">
        <v>207</v>
      </c>
      <c r="E5402" s="70" t="s">
        <v>213</v>
      </c>
      <c r="F5402" s="29">
        <v>63</v>
      </c>
      <c r="G5402" s="29">
        <v>37</v>
      </c>
      <c r="H5402" s="33">
        <v>26</v>
      </c>
    </row>
    <row r="5403" spans="1:8" x14ac:dyDescent="0.4">
      <c r="A5403">
        <v>2002</v>
      </c>
      <c r="B5403" s="2" t="s">
        <v>563</v>
      </c>
      <c r="C5403" s="2" t="s">
        <v>721</v>
      </c>
      <c r="D5403" s="2" t="s">
        <v>207</v>
      </c>
      <c r="E5403" s="70" t="s">
        <v>214</v>
      </c>
      <c r="F5403" s="29">
        <v>20</v>
      </c>
      <c r="G5403" s="29">
        <v>9</v>
      </c>
      <c r="H5403" s="33">
        <v>11</v>
      </c>
    </row>
    <row r="5404" spans="1:8" x14ac:dyDescent="0.4">
      <c r="A5404">
        <v>2002</v>
      </c>
      <c r="B5404" s="2" t="s">
        <v>564</v>
      </c>
      <c r="C5404" s="2" t="s">
        <v>722</v>
      </c>
      <c r="D5404" s="2" t="s">
        <v>216</v>
      </c>
      <c r="E5404" s="70" t="s">
        <v>215</v>
      </c>
      <c r="F5404" s="29">
        <v>57</v>
      </c>
      <c r="G5404" s="29">
        <v>38</v>
      </c>
      <c r="H5404" s="33">
        <v>19</v>
      </c>
    </row>
    <row r="5405" spans="1:8" x14ac:dyDescent="0.4">
      <c r="A5405">
        <v>2002</v>
      </c>
      <c r="B5405" s="2" t="s">
        <v>565</v>
      </c>
      <c r="C5405" s="2" t="s">
        <v>722</v>
      </c>
      <c r="D5405" s="2" t="s">
        <v>216</v>
      </c>
      <c r="E5405" s="70" t="s">
        <v>59</v>
      </c>
      <c r="F5405" s="29">
        <v>104</v>
      </c>
      <c r="G5405" s="29">
        <v>46</v>
      </c>
      <c r="H5405" s="33">
        <v>58</v>
      </c>
    </row>
    <row r="5406" spans="1:8" x14ac:dyDescent="0.4">
      <c r="A5406">
        <v>2002</v>
      </c>
      <c r="B5406" s="2" t="s">
        <v>566</v>
      </c>
      <c r="C5406" s="2" t="s">
        <v>722</v>
      </c>
      <c r="D5406" s="2" t="s">
        <v>216</v>
      </c>
      <c r="E5406" s="70" t="s">
        <v>217</v>
      </c>
      <c r="F5406" s="29">
        <v>108</v>
      </c>
      <c r="G5406" s="29">
        <v>66</v>
      </c>
      <c r="H5406" s="33">
        <v>42</v>
      </c>
    </row>
    <row r="5407" spans="1:8" x14ac:dyDescent="0.4">
      <c r="A5407">
        <v>2002</v>
      </c>
      <c r="B5407" s="2" t="s">
        <v>567</v>
      </c>
      <c r="C5407" s="2" t="s">
        <v>722</v>
      </c>
      <c r="D5407" s="2" t="s">
        <v>216</v>
      </c>
      <c r="E5407" s="70" t="s">
        <v>218</v>
      </c>
      <c r="F5407" s="29">
        <v>101</v>
      </c>
      <c r="G5407" s="29">
        <v>69</v>
      </c>
      <c r="H5407" s="33">
        <v>32</v>
      </c>
    </row>
    <row r="5408" spans="1:8" x14ac:dyDescent="0.4">
      <c r="A5408">
        <v>2002</v>
      </c>
      <c r="B5408" s="2" t="s">
        <v>568</v>
      </c>
      <c r="C5408" s="2" t="s">
        <v>722</v>
      </c>
      <c r="D5408" s="2" t="s">
        <v>216</v>
      </c>
      <c r="E5408" s="70" t="s">
        <v>219</v>
      </c>
      <c r="F5408" s="29">
        <v>81</v>
      </c>
      <c r="G5408" s="29">
        <v>42</v>
      </c>
      <c r="H5408" s="33">
        <v>39</v>
      </c>
    </row>
    <row r="5409" spans="1:8" x14ac:dyDescent="0.4">
      <c r="A5409">
        <v>2002</v>
      </c>
      <c r="B5409" s="2" t="s">
        <v>569</v>
      </c>
      <c r="C5409" s="2" t="s">
        <v>722</v>
      </c>
      <c r="D5409" s="2" t="s">
        <v>216</v>
      </c>
      <c r="E5409" s="70" t="s">
        <v>220</v>
      </c>
      <c r="F5409" s="29">
        <v>96</v>
      </c>
      <c r="G5409" s="29">
        <v>49</v>
      </c>
      <c r="H5409" s="33">
        <v>47</v>
      </c>
    </row>
    <row r="5410" spans="1:8" x14ac:dyDescent="0.4">
      <c r="A5410">
        <v>2002</v>
      </c>
      <c r="B5410" s="2" t="s">
        <v>570</v>
      </c>
      <c r="C5410" s="2" t="s">
        <v>722</v>
      </c>
      <c r="D5410" s="2" t="s">
        <v>216</v>
      </c>
      <c r="E5410" s="70" t="s">
        <v>221</v>
      </c>
      <c r="F5410" s="29">
        <v>123</v>
      </c>
      <c r="G5410" s="29">
        <v>71</v>
      </c>
      <c r="H5410" s="33">
        <v>52</v>
      </c>
    </row>
    <row r="5411" spans="1:8" x14ac:dyDescent="0.4">
      <c r="A5411">
        <v>2002</v>
      </c>
      <c r="B5411" s="2" t="s">
        <v>571</v>
      </c>
      <c r="C5411" s="2" t="s">
        <v>722</v>
      </c>
      <c r="D5411" s="2" t="s">
        <v>216</v>
      </c>
      <c r="E5411" s="70" t="s">
        <v>222</v>
      </c>
      <c r="F5411" s="29">
        <v>876</v>
      </c>
      <c r="G5411" s="29">
        <v>534</v>
      </c>
      <c r="H5411" s="33">
        <v>342</v>
      </c>
    </row>
    <row r="5412" spans="1:8" x14ac:dyDescent="0.4">
      <c r="A5412">
        <v>2002</v>
      </c>
      <c r="B5412" s="2" t="s">
        <v>572</v>
      </c>
      <c r="C5412" s="2" t="s">
        <v>722</v>
      </c>
      <c r="D5412" s="2" t="s">
        <v>216</v>
      </c>
      <c r="E5412" s="70" t="s">
        <v>223</v>
      </c>
      <c r="F5412" s="29">
        <v>64</v>
      </c>
      <c r="G5412" s="29">
        <v>34</v>
      </c>
      <c r="H5412" s="33">
        <v>30</v>
      </c>
    </row>
    <row r="5413" spans="1:8" x14ac:dyDescent="0.4">
      <c r="A5413">
        <v>2002</v>
      </c>
      <c r="B5413" s="2" t="s">
        <v>573</v>
      </c>
      <c r="C5413" s="2" t="s">
        <v>722</v>
      </c>
      <c r="D5413" s="2" t="s">
        <v>216</v>
      </c>
      <c r="E5413" s="70" t="s">
        <v>224</v>
      </c>
      <c r="F5413" s="29">
        <v>66</v>
      </c>
      <c r="G5413" s="29">
        <v>34</v>
      </c>
      <c r="H5413" s="33">
        <v>32</v>
      </c>
    </row>
    <row r="5414" spans="1:8" x14ac:dyDescent="0.4">
      <c r="A5414">
        <v>2002</v>
      </c>
      <c r="B5414" s="2" t="s">
        <v>574</v>
      </c>
      <c r="C5414" s="2" t="s">
        <v>722</v>
      </c>
      <c r="D5414" s="2" t="s">
        <v>216</v>
      </c>
      <c r="E5414" s="70" t="s">
        <v>225</v>
      </c>
      <c r="F5414" s="29">
        <v>27</v>
      </c>
      <c r="G5414" s="29">
        <v>17</v>
      </c>
      <c r="H5414" s="33">
        <v>10</v>
      </c>
    </row>
    <row r="5415" spans="1:8" x14ac:dyDescent="0.4">
      <c r="A5415">
        <v>2002</v>
      </c>
      <c r="B5415" s="2" t="s">
        <v>575</v>
      </c>
      <c r="C5415" s="2" t="s">
        <v>723</v>
      </c>
      <c r="D5415" s="2" t="s">
        <v>227</v>
      </c>
      <c r="E5415" s="70" t="s">
        <v>226</v>
      </c>
      <c r="F5415" s="29">
        <v>40</v>
      </c>
      <c r="G5415" s="29">
        <v>29</v>
      </c>
      <c r="H5415" s="33">
        <v>11</v>
      </c>
    </row>
    <row r="5416" spans="1:8" x14ac:dyDescent="0.4">
      <c r="A5416">
        <v>2002</v>
      </c>
      <c r="B5416" s="2" t="s">
        <v>576</v>
      </c>
      <c r="C5416" s="2" t="s">
        <v>723</v>
      </c>
      <c r="D5416" s="2" t="s">
        <v>227</v>
      </c>
      <c r="E5416" s="70" t="s">
        <v>228</v>
      </c>
      <c r="F5416" s="29">
        <v>1065</v>
      </c>
      <c r="G5416" s="29">
        <v>652</v>
      </c>
      <c r="H5416" s="33">
        <v>413</v>
      </c>
    </row>
    <row r="5417" spans="1:8" x14ac:dyDescent="0.4">
      <c r="A5417">
        <v>2002</v>
      </c>
      <c r="B5417" s="2" t="s">
        <v>577</v>
      </c>
      <c r="C5417" s="2" t="s">
        <v>723</v>
      </c>
      <c r="D5417" s="2" t="s">
        <v>227</v>
      </c>
      <c r="E5417" s="70" t="s">
        <v>229</v>
      </c>
      <c r="F5417" s="29">
        <v>118</v>
      </c>
      <c r="G5417" s="29">
        <v>74</v>
      </c>
      <c r="H5417" s="33">
        <v>44</v>
      </c>
    </row>
    <row r="5418" spans="1:8" x14ac:dyDescent="0.4">
      <c r="A5418">
        <v>2002</v>
      </c>
      <c r="B5418" s="2" t="s">
        <v>578</v>
      </c>
      <c r="C5418" s="2" t="s">
        <v>723</v>
      </c>
      <c r="D5418" s="2" t="s">
        <v>227</v>
      </c>
      <c r="E5418" s="70" t="s">
        <v>230</v>
      </c>
      <c r="F5418" s="29">
        <v>978</v>
      </c>
      <c r="G5418" s="29">
        <v>605</v>
      </c>
      <c r="H5418" s="33">
        <v>373</v>
      </c>
    </row>
    <row r="5419" spans="1:8" x14ac:dyDescent="0.4">
      <c r="A5419">
        <v>2002</v>
      </c>
      <c r="B5419" s="2" t="s">
        <v>579</v>
      </c>
      <c r="C5419" s="2" t="s">
        <v>723</v>
      </c>
      <c r="D5419" s="2" t="s">
        <v>227</v>
      </c>
      <c r="E5419" s="70" t="s">
        <v>231</v>
      </c>
      <c r="F5419" s="29">
        <v>77</v>
      </c>
      <c r="G5419" s="29">
        <v>51</v>
      </c>
      <c r="H5419" s="33">
        <v>26</v>
      </c>
    </row>
    <row r="5420" spans="1:8" x14ac:dyDescent="0.4">
      <c r="A5420">
        <v>2002</v>
      </c>
      <c r="B5420" s="2" t="s">
        <v>580</v>
      </c>
      <c r="C5420" s="2" t="s">
        <v>723</v>
      </c>
      <c r="D5420" s="2" t="s">
        <v>227</v>
      </c>
      <c r="E5420" s="70" t="s">
        <v>232</v>
      </c>
      <c r="F5420" s="29">
        <v>82</v>
      </c>
      <c r="G5420" s="29">
        <v>42</v>
      </c>
      <c r="H5420" s="33">
        <v>40</v>
      </c>
    </row>
    <row r="5421" spans="1:8" x14ac:dyDescent="0.4">
      <c r="A5421">
        <v>2002</v>
      </c>
      <c r="B5421" s="2" t="s">
        <v>581</v>
      </c>
      <c r="C5421" s="2" t="s">
        <v>723</v>
      </c>
      <c r="D5421" s="2" t="s">
        <v>227</v>
      </c>
      <c r="E5421" s="70" t="s">
        <v>233</v>
      </c>
      <c r="F5421" s="29">
        <v>88</v>
      </c>
      <c r="G5421" s="29">
        <v>55</v>
      </c>
      <c r="H5421" s="33">
        <v>33</v>
      </c>
    </row>
    <row r="5422" spans="1:8" x14ac:dyDescent="0.4">
      <c r="A5422">
        <v>2002</v>
      </c>
      <c r="B5422" s="2" t="s">
        <v>582</v>
      </c>
      <c r="C5422" s="2" t="s">
        <v>723</v>
      </c>
      <c r="D5422" s="2" t="s">
        <v>227</v>
      </c>
      <c r="E5422" s="70" t="s">
        <v>32</v>
      </c>
      <c r="F5422" s="29">
        <v>441</v>
      </c>
      <c r="G5422" s="29">
        <v>290</v>
      </c>
      <c r="H5422" s="33">
        <v>151</v>
      </c>
    </row>
    <row r="5423" spans="1:8" x14ac:dyDescent="0.4">
      <c r="A5423">
        <v>2002</v>
      </c>
      <c r="B5423" s="2" t="s">
        <v>583</v>
      </c>
      <c r="C5423" s="2" t="s">
        <v>723</v>
      </c>
      <c r="D5423" s="2" t="s">
        <v>227</v>
      </c>
      <c r="E5423" s="70" t="s">
        <v>234</v>
      </c>
      <c r="F5423" s="29">
        <v>20</v>
      </c>
      <c r="G5423" s="29">
        <v>18</v>
      </c>
      <c r="H5423" s="33">
        <v>2</v>
      </c>
    </row>
    <row r="5424" spans="1:8" x14ac:dyDescent="0.4">
      <c r="A5424">
        <v>2002</v>
      </c>
      <c r="B5424" s="2" t="s">
        <v>584</v>
      </c>
      <c r="C5424" s="2" t="s">
        <v>723</v>
      </c>
      <c r="D5424" s="2" t="s">
        <v>227</v>
      </c>
      <c r="E5424" s="70" t="s">
        <v>235</v>
      </c>
      <c r="F5424" s="29">
        <v>47</v>
      </c>
      <c r="G5424" s="29">
        <v>32</v>
      </c>
      <c r="H5424" s="33">
        <v>15</v>
      </c>
    </row>
    <row r="5425" spans="1:8" x14ac:dyDescent="0.4">
      <c r="A5425">
        <v>2002</v>
      </c>
      <c r="B5425" s="2" t="s">
        <v>585</v>
      </c>
      <c r="C5425" s="2" t="s">
        <v>723</v>
      </c>
      <c r="D5425" s="2" t="s">
        <v>227</v>
      </c>
      <c r="E5425" s="70" t="s">
        <v>236</v>
      </c>
      <c r="F5425" s="29">
        <v>22</v>
      </c>
      <c r="G5425" s="29">
        <v>15</v>
      </c>
      <c r="H5425" s="33">
        <v>7</v>
      </c>
    </row>
    <row r="5426" spans="1:8" x14ac:dyDescent="0.4">
      <c r="A5426">
        <v>2002</v>
      </c>
      <c r="B5426" s="2" t="s">
        <v>586</v>
      </c>
      <c r="C5426" s="2" t="s">
        <v>723</v>
      </c>
      <c r="D5426" s="2" t="s">
        <v>227</v>
      </c>
      <c r="E5426" s="70" t="s">
        <v>237</v>
      </c>
      <c r="F5426" s="29">
        <v>37</v>
      </c>
      <c r="G5426" s="29">
        <v>22</v>
      </c>
      <c r="H5426" s="33">
        <v>15</v>
      </c>
    </row>
    <row r="5427" spans="1:8" x14ac:dyDescent="0.4">
      <c r="A5427">
        <v>2002</v>
      </c>
      <c r="B5427" s="2" t="s">
        <v>587</v>
      </c>
      <c r="C5427" s="2" t="s">
        <v>723</v>
      </c>
      <c r="D5427" s="2" t="s">
        <v>227</v>
      </c>
      <c r="E5427" s="70" t="s">
        <v>51</v>
      </c>
      <c r="F5427" s="29">
        <v>124</v>
      </c>
      <c r="G5427" s="29">
        <v>69</v>
      </c>
      <c r="H5427" s="33">
        <v>55</v>
      </c>
    </row>
    <row r="5428" spans="1:8" x14ac:dyDescent="0.4">
      <c r="A5428">
        <v>2002</v>
      </c>
      <c r="B5428" s="2" t="s">
        <v>588</v>
      </c>
      <c r="C5428" s="2" t="s">
        <v>723</v>
      </c>
      <c r="D5428" s="2" t="s">
        <v>227</v>
      </c>
      <c r="E5428" s="70" t="s">
        <v>238</v>
      </c>
      <c r="F5428" s="29">
        <v>191</v>
      </c>
      <c r="G5428" s="29">
        <v>112</v>
      </c>
      <c r="H5428" s="33">
        <v>79</v>
      </c>
    </row>
    <row r="5429" spans="1:8" x14ac:dyDescent="0.4">
      <c r="A5429">
        <v>2002</v>
      </c>
      <c r="B5429" s="2" t="s">
        <v>589</v>
      </c>
      <c r="C5429" s="2" t="s">
        <v>724</v>
      </c>
      <c r="D5429" s="2" t="s">
        <v>239</v>
      </c>
      <c r="E5429" s="70" t="s">
        <v>163</v>
      </c>
      <c r="F5429" s="29">
        <v>88</v>
      </c>
      <c r="G5429" s="29">
        <v>53</v>
      </c>
      <c r="H5429" s="33">
        <v>35</v>
      </c>
    </row>
    <row r="5430" spans="1:8" x14ac:dyDescent="0.4">
      <c r="A5430">
        <v>2002</v>
      </c>
      <c r="B5430" s="2" t="s">
        <v>590</v>
      </c>
      <c r="C5430" s="2" t="s">
        <v>724</v>
      </c>
      <c r="D5430" s="2" t="s">
        <v>239</v>
      </c>
      <c r="E5430" s="70" t="s">
        <v>240</v>
      </c>
      <c r="F5430" s="29">
        <v>26</v>
      </c>
      <c r="G5430" s="29">
        <v>17</v>
      </c>
      <c r="H5430" s="33">
        <v>9</v>
      </c>
    </row>
    <row r="5431" spans="1:8" x14ac:dyDescent="0.4">
      <c r="A5431">
        <v>2002</v>
      </c>
      <c r="B5431" s="2" t="s">
        <v>591</v>
      </c>
      <c r="C5431" s="2" t="s">
        <v>724</v>
      </c>
      <c r="D5431" s="2" t="s">
        <v>239</v>
      </c>
      <c r="E5431" s="70" t="s">
        <v>59</v>
      </c>
      <c r="F5431" s="29">
        <v>155</v>
      </c>
      <c r="G5431" s="29">
        <v>79</v>
      </c>
      <c r="H5431" s="33">
        <v>76</v>
      </c>
    </row>
    <row r="5432" spans="1:8" x14ac:dyDescent="0.4">
      <c r="A5432">
        <v>2002</v>
      </c>
      <c r="B5432" s="2" t="s">
        <v>592</v>
      </c>
      <c r="C5432" s="2" t="s">
        <v>724</v>
      </c>
      <c r="D5432" s="2" t="s">
        <v>239</v>
      </c>
      <c r="E5432" s="70" t="s">
        <v>241</v>
      </c>
      <c r="F5432" s="29">
        <v>30</v>
      </c>
      <c r="G5432" s="29">
        <v>20</v>
      </c>
      <c r="H5432" s="33">
        <v>10</v>
      </c>
    </row>
    <row r="5433" spans="1:8" x14ac:dyDescent="0.4">
      <c r="A5433">
        <v>2002</v>
      </c>
      <c r="B5433" s="2" t="s">
        <v>593</v>
      </c>
      <c r="C5433" s="2" t="s">
        <v>724</v>
      </c>
      <c r="D5433" s="2" t="s">
        <v>239</v>
      </c>
      <c r="E5433" s="70" t="s">
        <v>242</v>
      </c>
      <c r="F5433" s="29">
        <v>723</v>
      </c>
      <c r="G5433" s="29">
        <v>390</v>
      </c>
      <c r="H5433" s="33">
        <v>333</v>
      </c>
    </row>
    <row r="5434" spans="1:8" x14ac:dyDescent="0.4">
      <c r="A5434">
        <v>2002</v>
      </c>
      <c r="B5434" s="2" t="s">
        <v>594</v>
      </c>
      <c r="C5434" s="2" t="s">
        <v>724</v>
      </c>
      <c r="D5434" s="2" t="s">
        <v>239</v>
      </c>
      <c r="E5434" s="70" t="s">
        <v>36</v>
      </c>
      <c r="F5434" s="29">
        <v>47</v>
      </c>
      <c r="G5434" s="29">
        <v>27</v>
      </c>
      <c r="H5434" s="33">
        <v>20</v>
      </c>
    </row>
    <row r="5435" spans="1:8" x14ac:dyDescent="0.4">
      <c r="A5435">
        <v>2002</v>
      </c>
      <c r="B5435" s="2" t="s">
        <v>595</v>
      </c>
      <c r="C5435" s="2" t="s">
        <v>724</v>
      </c>
      <c r="D5435" s="2" t="s">
        <v>239</v>
      </c>
      <c r="E5435" s="70" t="s">
        <v>243</v>
      </c>
      <c r="F5435" s="29">
        <v>59</v>
      </c>
      <c r="G5435" s="29">
        <v>34</v>
      </c>
      <c r="H5435" s="33">
        <v>25</v>
      </c>
    </row>
    <row r="5436" spans="1:8" x14ac:dyDescent="0.4">
      <c r="A5436">
        <v>2002</v>
      </c>
      <c r="B5436" s="2" t="s">
        <v>596</v>
      </c>
      <c r="C5436" s="2" t="s">
        <v>724</v>
      </c>
      <c r="D5436" s="2" t="s">
        <v>239</v>
      </c>
      <c r="E5436" s="70" t="s">
        <v>244</v>
      </c>
      <c r="F5436" s="29">
        <v>66</v>
      </c>
      <c r="G5436" s="29">
        <v>37</v>
      </c>
      <c r="H5436" s="33">
        <v>29</v>
      </c>
    </row>
    <row r="5437" spans="1:8" x14ac:dyDescent="0.4">
      <c r="A5437">
        <v>2002</v>
      </c>
      <c r="B5437" s="2" t="s">
        <v>597</v>
      </c>
      <c r="C5437" s="2" t="s">
        <v>724</v>
      </c>
      <c r="D5437" s="2" t="s">
        <v>239</v>
      </c>
      <c r="E5437" s="70" t="s">
        <v>44</v>
      </c>
      <c r="F5437" s="29">
        <v>26</v>
      </c>
      <c r="G5437" s="29">
        <v>14</v>
      </c>
      <c r="H5437" s="33">
        <v>12</v>
      </c>
    </row>
    <row r="5438" spans="1:8" x14ac:dyDescent="0.4">
      <c r="A5438">
        <v>2002</v>
      </c>
      <c r="B5438" s="2" t="s">
        <v>598</v>
      </c>
      <c r="C5438" s="2" t="s">
        <v>724</v>
      </c>
      <c r="D5438" s="2" t="s">
        <v>239</v>
      </c>
      <c r="E5438" s="70" t="s">
        <v>222</v>
      </c>
      <c r="F5438" s="29">
        <v>72</v>
      </c>
      <c r="G5438" s="29">
        <v>42</v>
      </c>
      <c r="H5438" s="33">
        <v>30</v>
      </c>
    </row>
    <row r="5439" spans="1:8" x14ac:dyDescent="0.4">
      <c r="A5439">
        <v>2002</v>
      </c>
      <c r="B5439" s="2" t="s">
        <v>599</v>
      </c>
      <c r="C5439" s="2" t="s">
        <v>724</v>
      </c>
      <c r="D5439" s="2" t="s">
        <v>239</v>
      </c>
      <c r="E5439" s="70" t="s">
        <v>245</v>
      </c>
      <c r="F5439" s="29">
        <v>18</v>
      </c>
      <c r="G5439" s="29">
        <v>14</v>
      </c>
      <c r="H5439" s="33">
        <v>4</v>
      </c>
    </row>
    <row r="5440" spans="1:8" x14ac:dyDescent="0.4">
      <c r="A5440">
        <v>2002</v>
      </c>
      <c r="B5440" s="2" t="s">
        <v>600</v>
      </c>
      <c r="C5440" s="2" t="s">
        <v>724</v>
      </c>
      <c r="D5440" s="2" t="s">
        <v>239</v>
      </c>
      <c r="E5440" s="70" t="s">
        <v>246</v>
      </c>
      <c r="F5440" s="29">
        <v>172</v>
      </c>
      <c r="G5440" s="29">
        <v>101</v>
      </c>
      <c r="H5440" s="33">
        <v>71</v>
      </c>
    </row>
    <row r="5441" spans="1:8" x14ac:dyDescent="0.4">
      <c r="A5441">
        <v>2002</v>
      </c>
      <c r="B5441" s="2" t="s">
        <v>601</v>
      </c>
      <c r="C5441" s="2" t="s">
        <v>724</v>
      </c>
      <c r="D5441" s="2" t="s">
        <v>239</v>
      </c>
      <c r="E5441" s="70" t="s">
        <v>247</v>
      </c>
      <c r="F5441" s="29">
        <v>142</v>
      </c>
      <c r="G5441" s="29">
        <v>84</v>
      </c>
      <c r="H5441" s="33">
        <v>58</v>
      </c>
    </row>
    <row r="5442" spans="1:8" x14ac:dyDescent="0.4">
      <c r="A5442">
        <v>2002</v>
      </c>
      <c r="B5442" s="2" t="s">
        <v>602</v>
      </c>
      <c r="C5442" s="2" t="s">
        <v>724</v>
      </c>
      <c r="D5442" s="2" t="s">
        <v>239</v>
      </c>
      <c r="E5442" s="70" t="s">
        <v>51</v>
      </c>
      <c r="F5442" s="29">
        <v>1354</v>
      </c>
      <c r="G5442" s="29">
        <v>806</v>
      </c>
      <c r="H5442" s="33">
        <v>548</v>
      </c>
    </row>
    <row r="5443" spans="1:8" x14ac:dyDescent="0.4">
      <c r="A5443">
        <v>2002</v>
      </c>
      <c r="B5443" s="2" t="s">
        <v>603</v>
      </c>
      <c r="C5443" s="2" t="s">
        <v>724</v>
      </c>
      <c r="D5443" s="2" t="s">
        <v>239</v>
      </c>
      <c r="E5443" s="70" t="s">
        <v>248</v>
      </c>
      <c r="F5443" s="29">
        <v>90</v>
      </c>
      <c r="G5443" s="29">
        <v>57</v>
      </c>
      <c r="H5443" s="33">
        <v>33</v>
      </c>
    </row>
    <row r="5444" spans="1:8" x14ac:dyDescent="0.4">
      <c r="A5444">
        <v>2002</v>
      </c>
      <c r="B5444" s="2" t="s">
        <v>604</v>
      </c>
      <c r="C5444" s="2" t="s">
        <v>725</v>
      </c>
      <c r="D5444" s="2" t="s">
        <v>249</v>
      </c>
      <c r="E5444" s="70" t="s">
        <v>174</v>
      </c>
      <c r="F5444" s="29">
        <v>43</v>
      </c>
      <c r="G5444" s="29">
        <v>29</v>
      </c>
      <c r="H5444" s="33">
        <v>14</v>
      </c>
    </row>
    <row r="5445" spans="1:8" x14ac:dyDescent="0.4">
      <c r="A5445">
        <v>2002</v>
      </c>
      <c r="B5445" s="2" t="s">
        <v>605</v>
      </c>
      <c r="C5445" s="2" t="s">
        <v>725</v>
      </c>
      <c r="D5445" s="2" t="s">
        <v>249</v>
      </c>
      <c r="E5445" s="70" t="s">
        <v>250</v>
      </c>
      <c r="F5445" s="29">
        <v>33</v>
      </c>
      <c r="G5445" s="29">
        <v>16</v>
      </c>
      <c r="H5445" s="33">
        <v>17</v>
      </c>
    </row>
    <row r="5446" spans="1:8" x14ac:dyDescent="0.4">
      <c r="A5446">
        <v>2002</v>
      </c>
      <c r="B5446" s="2" t="s">
        <v>606</v>
      </c>
      <c r="C5446" s="2" t="s">
        <v>725</v>
      </c>
      <c r="D5446" s="2" t="s">
        <v>249</v>
      </c>
      <c r="E5446" s="70" t="s">
        <v>251</v>
      </c>
      <c r="F5446" s="29">
        <v>226</v>
      </c>
      <c r="G5446" s="29">
        <v>144</v>
      </c>
      <c r="H5446" s="33">
        <v>82</v>
      </c>
    </row>
    <row r="5447" spans="1:8" x14ac:dyDescent="0.4">
      <c r="A5447">
        <v>2002</v>
      </c>
      <c r="B5447" s="2" t="s">
        <v>607</v>
      </c>
      <c r="C5447" s="2" t="s">
        <v>725</v>
      </c>
      <c r="D5447" s="2" t="s">
        <v>249</v>
      </c>
      <c r="E5447" s="70" t="s">
        <v>36</v>
      </c>
      <c r="F5447" s="29">
        <v>178</v>
      </c>
      <c r="G5447" s="29">
        <v>108</v>
      </c>
      <c r="H5447" s="33">
        <v>70</v>
      </c>
    </row>
    <row r="5448" spans="1:8" x14ac:dyDescent="0.4">
      <c r="A5448">
        <v>2002</v>
      </c>
      <c r="B5448" s="2" t="s">
        <v>608</v>
      </c>
      <c r="C5448" s="2" t="s">
        <v>725</v>
      </c>
      <c r="D5448" s="2" t="s">
        <v>249</v>
      </c>
      <c r="E5448" s="70" t="s">
        <v>252</v>
      </c>
      <c r="F5448" s="29">
        <v>229</v>
      </c>
      <c r="G5448" s="29">
        <v>142</v>
      </c>
      <c r="H5448" s="33">
        <v>87</v>
      </c>
    </row>
    <row r="5449" spans="1:8" x14ac:dyDescent="0.4">
      <c r="A5449">
        <v>2002</v>
      </c>
      <c r="B5449" s="2" t="s">
        <v>609</v>
      </c>
      <c r="C5449" s="2" t="s">
        <v>725</v>
      </c>
      <c r="D5449" s="2" t="s">
        <v>249</v>
      </c>
      <c r="E5449" s="70" t="s">
        <v>253</v>
      </c>
      <c r="F5449" s="29">
        <v>76</v>
      </c>
      <c r="G5449" s="29">
        <v>49</v>
      </c>
      <c r="H5449" s="33">
        <v>27</v>
      </c>
    </row>
    <row r="5450" spans="1:8" x14ac:dyDescent="0.4">
      <c r="A5450">
        <v>2002</v>
      </c>
      <c r="B5450" s="2" t="s">
        <v>610</v>
      </c>
      <c r="C5450" s="2" t="s">
        <v>725</v>
      </c>
      <c r="D5450" s="2" t="s">
        <v>249</v>
      </c>
      <c r="E5450" s="70" t="s">
        <v>254</v>
      </c>
      <c r="F5450" s="29">
        <v>116</v>
      </c>
      <c r="G5450" s="29">
        <v>75</v>
      </c>
      <c r="H5450" s="33">
        <v>41</v>
      </c>
    </row>
    <row r="5451" spans="1:8" x14ac:dyDescent="0.4">
      <c r="A5451">
        <v>2002</v>
      </c>
      <c r="B5451" s="2" t="s">
        <v>611</v>
      </c>
      <c r="C5451" s="2" t="s">
        <v>725</v>
      </c>
      <c r="D5451" s="2" t="s">
        <v>249</v>
      </c>
      <c r="E5451" s="70" t="s">
        <v>11</v>
      </c>
      <c r="F5451" s="29">
        <v>17</v>
      </c>
      <c r="G5451" s="29">
        <v>12</v>
      </c>
      <c r="H5451" s="33">
        <v>5</v>
      </c>
    </row>
    <row r="5452" spans="1:8" x14ac:dyDescent="0.4">
      <c r="A5452">
        <v>2002</v>
      </c>
      <c r="B5452" s="2" t="s">
        <v>612</v>
      </c>
      <c r="C5452" s="2" t="s">
        <v>725</v>
      </c>
      <c r="D5452" s="2" t="s">
        <v>249</v>
      </c>
      <c r="E5452" s="70" t="s">
        <v>255</v>
      </c>
      <c r="F5452" s="29">
        <v>167</v>
      </c>
      <c r="G5452" s="29">
        <v>113</v>
      </c>
      <c r="H5452" s="33">
        <v>54</v>
      </c>
    </row>
    <row r="5453" spans="1:8" x14ac:dyDescent="0.4">
      <c r="A5453">
        <v>2002</v>
      </c>
      <c r="B5453" s="2" t="s">
        <v>613</v>
      </c>
      <c r="C5453" s="2" t="s">
        <v>725</v>
      </c>
      <c r="D5453" s="2" t="s">
        <v>249</v>
      </c>
      <c r="E5453" s="70" t="s">
        <v>256</v>
      </c>
      <c r="F5453" s="29">
        <v>63</v>
      </c>
      <c r="G5453" s="29">
        <v>35</v>
      </c>
      <c r="H5453" s="33">
        <v>28</v>
      </c>
    </row>
    <row r="5454" spans="1:8" x14ac:dyDescent="0.4">
      <c r="A5454">
        <v>2002</v>
      </c>
      <c r="B5454" s="2" t="s">
        <v>614</v>
      </c>
      <c r="C5454" s="2" t="s">
        <v>725</v>
      </c>
      <c r="D5454" s="2" t="s">
        <v>249</v>
      </c>
      <c r="E5454" s="70" t="s">
        <v>14</v>
      </c>
      <c r="F5454" s="29">
        <v>74</v>
      </c>
      <c r="G5454" s="29">
        <v>44</v>
      </c>
      <c r="H5454" s="33">
        <v>30</v>
      </c>
    </row>
    <row r="5455" spans="1:8" x14ac:dyDescent="0.4">
      <c r="A5455">
        <v>2002</v>
      </c>
      <c r="B5455" s="2" t="s">
        <v>615</v>
      </c>
      <c r="C5455" s="2" t="s">
        <v>725</v>
      </c>
      <c r="D5455" s="2" t="s">
        <v>249</v>
      </c>
      <c r="E5455" s="70" t="s">
        <v>257</v>
      </c>
      <c r="F5455" s="29">
        <v>212</v>
      </c>
      <c r="G5455" s="29">
        <v>123</v>
      </c>
      <c r="H5455" s="33">
        <v>89</v>
      </c>
    </row>
    <row r="5456" spans="1:8" x14ac:dyDescent="0.4">
      <c r="A5456">
        <v>2002</v>
      </c>
      <c r="B5456" s="2" t="s">
        <v>616</v>
      </c>
      <c r="C5456" s="2" t="s">
        <v>725</v>
      </c>
      <c r="D5456" s="2" t="s">
        <v>249</v>
      </c>
      <c r="E5456" s="70" t="s">
        <v>258</v>
      </c>
      <c r="F5456" s="29">
        <v>20</v>
      </c>
      <c r="G5456" s="29">
        <v>13</v>
      </c>
      <c r="H5456" s="33">
        <v>7</v>
      </c>
    </row>
    <row r="5457" spans="1:8" x14ac:dyDescent="0.4">
      <c r="A5457">
        <v>2002</v>
      </c>
      <c r="B5457" s="2" t="s">
        <v>617</v>
      </c>
      <c r="C5457" s="2" t="s">
        <v>725</v>
      </c>
      <c r="D5457" s="2" t="s">
        <v>249</v>
      </c>
      <c r="E5457" s="70" t="s">
        <v>259</v>
      </c>
      <c r="F5457" s="29">
        <v>236</v>
      </c>
      <c r="G5457" s="29">
        <v>132</v>
      </c>
      <c r="H5457" s="33">
        <v>104</v>
      </c>
    </row>
    <row r="5458" spans="1:8" x14ac:dyDescent="0.4">
      <c r="A5458">
        <v>2002</v>
      </c>
      <c r="B5458" s="2" t="s">
        <v>618</v>
      </c>
      <c r="C5458" s="2" t="s">
        <v>725</v>
      </c>
      <c r="D5458" s="2" t="s">
        <v>249</v>
      </c>
      <c r="E5458" s="70" t="s">
        <v>18</v>
      </c>
      <c r="F5458" s="29">
        <v>45</v>
      </c>
      <c r="G5458" s="29">
        <v>30</v>
      </c>
      <c r="H5458" s="33">
        <v>15</v>
      </c>
    </row>
    <row r="5459" spans="1:8" x14ac:dyDescent="0.4">
      <c r="A5459">
        <v>2002</v>
      </c>
      <c r="B5459" s="2" t="s">
        <v>619</v>
      </c>
      <c r="C5459" s="2" t="s">
        <v>725</v>
      </c>
      <c r="D5459" s="2" t="s">
        <v>249</v>
      </c>
      <c r="E5459" s="70" t="s">
        <v>44</v>
      </c>
      <c r="F5459" s="29">
        <v>71</v>
      </c>
      <c r="G5459" s="29">
        <v>49</v>
      </c>
      <c r="H5459" s="33">
        <v>22</v>
      </c>
    </row>
    <row r="5460" spans="1:8" x14ac:dyDescent="0.4">
      <c r="A5460">
        <v>2002</v>
      </c>
      <c r="B5460" s="2" t="s">
        <v>620</v>
      </c>
      <c r="C5460" s="2" t="s">
        <v>725</v>
      </c>
      <c r="D5460" s="2" t="s">
        <v>249</v>
      </c>
      <c r="E5460" s="70" t="s">
        <v>260</v>
      </c>
      <c r="F5460" s="29">
        <v>51</v>
      </c>
      <c r="G5460" s="29">
        <v>34</v>
      </c>
      <c r="H5460" s="33">
        <v>17</v>
      </c>
    </row>
    <row r="5461" spans="1:8" x14ac:dyDescent="0.4">
      <c r="A5461">
        <v>2002</v>
      </c>
      <c r="B5461" s="2" t="s">
        <v>621</v>
      </c>
      <c r="C5461" s="2" t="s">
        <v>725</v>
      </c>
      <c r="D5461" s="2" t="s">
        <v>249</v>
      </c>
      <c r="E5461" s="70" t="s">
        <v>261</v>
      </c>
      <c r="F5461" s="29">
        <v>69</v>
      </c>
      <c r="G5461" s="29">
        <v>43</v>
      </c>
      <c r="H5461" s="33">
        <v>26</v>
      </c>
    </row>
    <row r="5462" spans="1:8" x14ac:dyDescent="0.4">
      <c r="A5462">
        <v>2002</v>
      </c>
      <c r="B5462" s="2" t="s">
        <v>622</v>
      </c>
      <c r="C5462" s="2" t="s">
        <v>725</v>
      </c>
      <c r="D5462" s="2" t="s">
        <v>249</v>
      </c>
      <c r="E5462" s="70" t="s">
        <v>262</v>
      </c>
      <c r="F5462" s="29">
        <v>137</v>
      </c>
      <c r="G5462" s="29">
        <v>76</v>
      </c>
      <c r="H5462" s="33">
        <v>61</v>
      </c>
    </row>
    <row r="5463" spans="1:8" x14ac:dyDescent="0.4">
      <c r="A5463">
        <v>2002</v>
      </c>
      <c r="B5463" s="2" t="s">
        <v>623</v>
      </c>
      <c r="C5463" s="2" t="s">
        <v>725</v>
      </c>
      <c r="D5463" s="2" t="s">
        <v>249</v>
      </c>
      <c r="E5463" s="70" t="s">
        <v>263</v>
      </c>
      <c r="F5463" s="29">
        <v>125</v>
      </c>
      <c r="G5463" s="29">
        <v>85</v>
      </c>
      <c r="H5463" s="33">
        <v>40</v>
      </c>
    </row>
    <row r="5464" spans="1:8" x14ac:dyDescent="0.4">
      <c r="A5464">
        <v>2002</v>
      </c>
      <c r="B5464" s="2" t="s">
        <v>624</v>
      </c>
      <c r="C5464" s="2" t="s">
        <v>725</v>
      </c>
      <c r="D5464" s="2" t="s">
        <v>249</v>
      </c>
      <c r="E5464" s="70" t="s">
        <v>264</v>
      </c>
      <c r="F5464" s="29">
        <v>24</v>
      </c>
      <c r="G5464" s="29">
        <v>15</v>
      </c>
      <c r="H5464" s="33">
        <v>9</v>
      </c>
    </row>
    <row r="5465" spans="1:8" x14ac:dyDescent="0.4">
      <c r="A5465">
        <v>2002</v>
      </c>
      <c r="B5465" s="2" t="s">
        <v>625</v>
      </c>
      <c r="C5465" s="2" t="s">
        <v>725</v>
      </c>
      <c r="D5465" s="2" t="s">
        <v>249</v>
      </c>
      <c r="E5465" s="70" t="s">
        <v>265</v>
      </c>
      <c r="F5465" s="29">
        <v>52</v>
      </c>
      <c r="G5465" s="29">
        <v>31</v>
      </c>
      <c r="H5465" s="33">
        <v>21</v>
      </c>
    </row>
    <row r="5466" spans="1:8" x14ac:dyDescent="0.4">
      <c r="A5466">
        <v>2002</v>
      </c>
      <c r="B5466" s="2" t="s">
        <v>626</v>
      </c>
      <c r="C5466" s="2" t="s">
        <v>725</v>
      </c>
      <c r="D5466" s="2" t="s">
        <v>249</v>
      </c>
      <c r="E5466" s="70" t="s">
        <v>266</v>
      </c>
      <c r="F5466" s="29">
        <v>2630</v>
      </c>
      <c r="G5466" s="29">
        <v>1584</v>
      </c>
      <c r="H5466" s="33">
        <v>1046</v>
      </c>
    </row>
    <row r="5467" spans="1:8" x14ac:dyDescent="0.4">
      <c r="A5467">
        <v>2002</v>
      </c>
      <c r="B5467" s="2" t="s">
        <v>627</v>
      </c>
      <c r="C5467" s="2" t="s">
        <v>725</v>
      </c>
      <c r="D5467" s="2" t="s">
        <v>249</v>
      </c>
      <c r="E5467" s="70" t="s">
        <v>267</v>
      </c>
      <c r="F5467" s="29">
        <v>32</v>
      </c>
      <c r="G5467" s="29">
        <v>20</v>
      </c>
      <c r="H5467" s="33">
        <v>12</v>
      </c>
    </row>
    <row r="5468" spans="1:8" x14ac:dyDescent="0.4">
      <c r="A5468">
        <v>2002</v>
      </c>
      <c r="B5468" s="2" t="s">
        <v>628</v>
      </c>
      <c r="C5468" s="2" t="s">
        <v>725</v>
      </c>
      <c r="D5468" s="2" t="s">
        <v>249</v>
      </c>
      <c r="E5468" s="70" t="s">
        <v>268</v>
      </c>
      <c r="F5468" s="29">
        <v>26</v>
      </c>
      <c r="G5468" s="29">
        <v>17</v>
      </c>
      <c r="H5468" s="33">
        <v>9</v>
      </c>
    </row>
    <row r="5469" spans="1:8" x14ac:dyDescent="0.4">
      <c r="A5469">
        <v>2002</v>
      </c>
      <c r="B5469" s="2" t="s">
        <v>629</v>
      </c>
      <c r="C5469" s="2" t="s">
        <v>725</v>
      </c>
      <c r="D5469" s="2" t="s">
        <v>249</v>
      </c>
      <c r="E5469" s="70" t="s">
        <v>26</v>
      </c>
      <c r="F5469" s="29">
        <v>8</v>
      </c>
      <c r="G5469" s="29">
        <v>6</v>
      </c>
      <c r="H5469" s="33">
        <v>2</v>
      </c>
    </row>
    <row r="5470" spans="1:8" x14ac:dyDescent="0.4">
      <c r="A5470">
        <v>2002</v>
      </c>
      <c r="B5470" s="2" t="s">
        <v>630</v>
      </c>
      <c r="C5470" s="2" t="s">
        <v>725</v>
      </c>
      <c r="D5470" s="2" t="s">
        <v>249</v>
      </c>
      <c r="E5470" s="70" t="s">
        <v>51</v>
      </c>
      <c r="F5470" s="29">
        <v>42</v>
      </c>
      <c r="G5470" s="29">
        <v>29</v>
      </c>
      <c r="H5470" s="33">
        <v>13</v>
      </c>
    </row>
    <row r="5471" spans="1:8" x14ac:dyDescent="0.4">
      <c r="A5471">
        <v>2002</v>
      </c>
      <c r="B5471" s="2" t="s">
        <v>631</v>
      </c>
      <c r="C5471" s="2" t="s">
        <v>725</v>
      </c>
      <c r="D5471" s="2" t="s">
        <v>249</v>
      </c>
      <c r="E5471" s="70" t="s">
        <v>269</v>
      </c>
      <c r="F5471" s="29">
        <v>72</v>
      </c>
      <c r="G5471" s="29">
        <v>51</v>
      </c>
      <c r="H5471" s="33">
        <v>21</v>
      </c>
    </row>
    <row r="5472" spans="1:8" x14ac:dyDescent="0.4">
      <c r="A5472">
        <v>2002</v>
      </c>
      <c r="B5472" s="2" t="s">
        <v>632</v>
      </c>
      <c r="C5472" s="2" t="s">
        <v>725</v>
      </c>
      <c r="D5472" s="2" t="s">
        <v>249</v>
      </c>
      <c r="E5472" s="70" t="s">
        <v>270</v>
      </c>
      <c r="F5472" s="29">
        <v>89</v>
      </c>
      <c r="G5472" s="29">
        <v>55</v>
      </c>
      <c r="H5472" s="33">
        <v>34</v>
      </c>
    </row>
    <row r="5473" spans="1:8" x14ac:dyDescent="0.4">
      <c r="A5473">
        <v>2002</v>
      </c>
      <c r="B5473" s="2" t="s">
        <v>633</v>
      </c>
      <c r="C5473" s="2" t="s">
        <v>726</v>
      </c>
      <c r="D5473" s="2" t="s">
        <v>271</v>
      </c>
      <c r="E5473" s="70" t="s">
        <v>174</v>
      </c>
      <c r="F5473" s="29">
        <v>62</v>
      </c>
      <c r="G5473" s="29">
        <v>40</v>
      </c>
      <c r="H5473" s="33">
        <v>22</v>
      </c>
    </row>
    <row r="5474" spans="1:8" x14ac:dyDescent="0.4">
      <c r="A5474">
        <v>2002</v>
      </c>
      <c r="B5474" s="2" t="s">
        <v>634</v>
      </c>
      <c r="C5474" s="2" t="s">
        <v>726</v>
      </c>
      <c r="D5474" s="2" t="s">
        <v>271</v>
      </c>
      <c r="E5474" s="70" t="s">
        <v>272</v>
      </c>
      <c r="F5474" s="29">
        <v>511</v>
      </c>
      <c r="G5474" s="29">
        <v>307</v>
      </c>
      <c r="H5474" s="33">
        <v>204</v>
      </c>
    </row>
    <row r="5475" spans="1:8" x14ac:dyDescent="0.4">
      <c r="A5475">
        <v>2002</v>
      </c>
      <c r="B5475" s="2" t="s">
        <v>635</v>
      </c>
      <c r="C5475" s="2" t="s">
        <v>726</v>
      </c>
      <c r="D5475" s="2" t="s">
        <v>271</v>
      </c>
      <c r="E5475" s="70" t="s">
        <v>36</v>
      </c>
      <c r="F5475" s="29">
        <v>29</v>
      </c>
      <c r="G5475" s="29">
        <v>18</v>
      </c>
      <c r="H5475" s="33">
        <v>11</v>
      </c>
    </row>
    <row r="5476" spans="1:8" x14ac:dyDescent="0.4">
      <c r="A5476">
        <v>2002</v>
      </c>
      <c r="B5476" s="2" t="s">
        <v>636</v>
      </c>
      <c r="C5476" s="2" t="s">
        <v>726</v>
      </c>
      <c r="D5476" s="2" t="s">
        <v>271</v>
      </c>
      <c r="E5476" s="70" t="s">
        <v>273</v>
      </c>
      <c r="F5476" s="29">
        <v>87</v>
      </c>
      <c r="G5476" s="29">
        <v>46</v>
      </c>
      <c r="H5476" s="33">
        <v>41</v>
      </c>
    </row>
    <row r="5477" spans="1:8" x14ac:dyDescent="0.4">
      <c r="A5477">
        <v>2002</v>
      </c>
      <c r="B5477" s="2" t="s">
        <v>637</v>
      </c>
      <c r="C5477" s="2" t="s">
        <v>726</v>
      </c>
      <c r="D5477" s="2" t="s">
        <v>271</v>
      </c>
      <c r="E5477" s="70" t="s">
        <v>274</v>
      </c>
      <c r="F5477" s="29">
        <v>161</v>
      </c>
      <c r="G5477" s="29">
        <v>89</v>
      </c>
      <c r="H5477" s="33">
        <v>72</v>
      </c>
    </row>
    <row r="5478" spans="1:8" x14ac:dyDescent="0.4">
      <c r="A5478">
        <v>2002</v>
      </c>
      <c r="B5478" s="2" t="s">
        <v>638</v>
      </c>
      <c r="C5478" s="2" t="s">
        <v>726</v>
      </c>
      <c r="D5478" s="2" t="s">
        <v>271</v>
      </c>
      <c r="E5478" s="70" t="s">
        <v>275</v>
      </c>
      <c r="F5478" s="29">
        <v>52</v>
      </c>
      <c r="G5478" s="29">
        <v>27</v>
      </c>
      <c r="H5478" s="33">
        <v>25</v>
      </c>
    </row>
    <row r="5479" spans="1:8" x14ac:dyDescent="0.4">
      <c r="A5479">
        <v>2002</v>
      </c>
      <c r="B5479" s="2" t="s">
        <v>639</v>
      </c>
      <c r="C5479" s="2" t="s">
        <v>726</v>
      </c>
      <c r="D5479" s="2" t="s">
        <v>271</v>
      </c>
      <c r="E5479" s="70" t="s">
        <v>276</v>
      </c>
      <c r="F5479" s="29">
        <v>9</v>
      </c>
      <c r="G5479" s="29">
        <v>3</v>
      </c>
      <c r="H5479" s="33">
        <v>6</v>
      </c>
    </row>
    <row r="5480" spans="1:8" x14ac:dyDescent="0.4">
      <c r="A5480">
        <v>2002</v>
      </c>
      <c r="B5480" s="2" t="s">
        <v>640</v>
      </c>
      <c r="C5480" s="2" t="s">
        <v>726</v>
      </c>
      <c r="D5480" s="2" t="s">
        <v>271</v>
      </c>
      <c r="E5480" s="70" t="s">
        <v>277</v>
      </c>
      <c r="F5480" s="29">
        <v>19</v>
      </c>
      <c r="G5480" s="29">
        <v>10</v>
      </c>
      <c r="H5480" s="33">
        <v>9</v>
      </c>
    </row>
    <row r="5481" spans="1:8" x14ac:dyDescent="0.4">
      <c r="A5481">
        <v>2002</v>
      </c>
      <c r="B5481" s="2" t="s">
        <v>641</v>
      </c>
      <c r="C5481" s="2" t="s">
        <v>726</v>
      </c>
      <c r="D5481" s="2" t="s">
        <v>271</v>
      </c>
      <c r="E5481" s="70" t="s">
        <v>278</v>
      </c>
      <c r="F5481" s="29">
        <v>38</v>
      </c>
      <c r="G5481" s="29">
        <v>21</v>
      </c>
      <c r="H5481" s="33">
        <v>17</v>
      </c>
    </row>
    <row r="5482" spans="1:8" x14ac:dyDescent="0.4">
      <c r="A5482">
        <v>2002</v>
      </c>
      <c r="B5482" s="2" t="s">
        <v>642</v>
      </c>
      <c r="C5482" s="2" t="s">
        <v>726</v>
      </c>
      <c r="D5482" s="2" t="s">
        <v>271</v>
      </c>
      <c r="E5482" s="70" t="s">
        <v>85</v>
      </c>
      <c r="F5482" s="29">
        <v>44</v>
      </c>
      <c r="G5482" s="29">
        <v>24</v>
      </c>
      <c r="H5482" s="33">
        <v>20</v>
      </c>
    </row>
    <row r="5483" spans="1:8" x14ac:dyDescent="0.4">
      <c r="A5483">
        <v>2002</v>
      </c>
      <c r="B5483" s="2" t="s">
        <v>643</v>
      </c>
      <c r="C5483" s="2" t="s">
        <v>726</v>
      </c>
      <c r="D5483" s="2" t="s">
        <v>271</v>
      </c>
      <c r="E5483" s="70" t="s">
        <v>279</v>
      </c>
      <c r="F5483" s="29">
        <v>32</v>
      </c>
      <c r="G5483" s="29">
        <v>15</v>
      </c>
      <c r="H5483" s="33">
        <v>17</v>
      </c>
    </row>
    <row r="5484" spans="1:8" x14ac:dyDescent="0.4">
      <c r="A5484">
        <v>2002</v>
      </c>
      <c r="B5484" s="2" t="s">
        <v>644</v>
      </c>
      <c r="C5484" s="2" t="s">
        <v>726</v>
      </c>
      <c r="D5484" s="2" t="s">
        <v>271</v>
      </c>
      <c r="E5484" s="70" t="s">
        <v>280</v>
      </c>
      <c r="F5484" s="29">
        <v>40</v>
      </c>
      <c r="G5484" s="29">
        <v>28</v>
      </c>
      <c r="H5484" s="33">
        <v>12</v>
      </c>
    </row>
    <row r="5485" spans="1:8" x14ac:dyDescent="0.4">
      <c r="A5485">
        <v>2002</v>
      </c>
      <c r="B5485" s="2" t="s">
        <v>645</v>
      </c>
      <c r="C5485" s="2" t="s">
        <v>726</v>
      </c>
      <c r="D5485" s="2" t="s">
        <v>271</v>
      </c>
      <c r="E5485" s="70" t="s">
        <v>281</v>
      </c>
      <c r="F5485" s="29">
        <v>139</v>
      </c>
      <c r="G5485" s="29">
        <v>104</v>
      </c>
      <c r="H5485" s="33">
        <v>35</v>
      </c>
    </row>
    <row r="5486" spans="1:8" x14ac:dyDescent="0.4">
      <c r="A5486">
        <v>2002</v>
      </c>
      <c r="B5486" s="2" t="s">
        <v>646</v>
      </c>
      <c r="C5486" s="2" t="s">
        <v>726</v>
      </c>
      <c r="D5486" s="2" t="s">
        <v>271</v>
      </c>
      <c r="E5486" s="70" t="s">
        <v>282</v>
      </c>
      <c r="F5486" s="29">
        <v>45</v>
      </c>
      <c r="G5486" s="29">
        <v>24</v>
      </c>
      <c r="H5486" s="33">
        <v>21</v>
      </c>
    </row>
    <row r="5487" spans="1:8" x14ac:dyDescent="0.4">
      <c r="A5487">
        <v>2002</v>
      </c>
      <c r="B5487" s="2" t="s">
        <v>647</v>
      </c>
      <c r="C5487" s="2" t="s">
        <v>726</v>
      </c>
      <c r="D5487" s="2" t="s">
        <v>271</v>
      </c>
      <c r="E5487" s="70" t="s">
        <v>283</v>
      </c>
      <c r="F5487" s="29">
        <v>66</v>
      </c>
      <c r="G5487" s="29">
        <v>31</v>
      </c>
      <c r="H5487" s="33">
        <v>35</v>
      </c>
    </row>
    <row r="5488" spans="1:8" x14ac:dyDescent="0.4">
      <c r="A5488">
        <v>2002</v>
      </c>
      <c r="B5488" s="2" t="s">
        <v>648</v>
      </c>
      <c r="C5488" s="2" t="s">
        <v>726</v>
      </c>
      <c r="D5488" s="2" t="s">
        <v>271</v>
      </c>
      <c r="E5488" s="70" t="s">
        <v>284</v>
      </c>
      <c r="F5488" s="29">
        <v>113</v>
      </c>
      <c r="G5488" s="29">
        <v>67</v>
      </c>
      <c r="H5488" s="33">
        <v>46</v>
      </c>
    </row>
    <row r="5489" spans="1:8" x14ac:dyDescent="0.4">
      <c r="A5489">
        <v>2002</v>
      </c>
      <c r="B5489" s="2" t="s">
        <v>649</v>
      </c>
      <c r="C5489" s="2" t="s">
        <v>726</v>
      </c>
      <c r="D5489" s="2" t="s">
        <v>271</v>
      </c>
      <c r="E5489" s="70" t="s">
        <v>51</v>
      </c>
      <c r="F5489" s="29">
        <v>127</v>
      </c>
      <c r="G5489" s="29">
        <v>84</v>
      </c>
      <c r="H5489" s="33">
        <v>43</v>
      </c>
    </row>
    <row r="5490" spans="1:8" x14ac:dyDescent="0.4">
      <c r="A5490">
        <v>2002</v>
      </c>
      <c r="B5490" s="2" t="s">
        <v>650</v>
      </c>
      <c r="C5490" s="2" t="s">
        <v>726</v>
      </c>
      <c r="D5490" s="2" t="s">
        <v>271</v>
      </c>
      <c r="E5490" s="70" t="s">
        <v>285</v>
      </c>
      <c r="F5490" s="29">
        <v>438</v>
      </c>
      <c r="G5490" s="29">
        <v>247</v>
      </c>
      <c r="H5490" s="33">
        <v>191</v>
      </c>
    </row>
    <row r="5491" spans="1:8" x14ac:dyDescent="0.4">
      <c r="A5491">
        <v>2002</v>
      </c>
      <c r="B5491" s="2" t="s">
        <v>651</v>
      </c>
      <c r="C5491" s="2" t="s">
        <v>726</v>
      </c>
      <c r="D5491" s="2" t="s">
        <v>271</v>
      </c>
      <c r="E5491" s="70" t="s">
        <v>53</v>
      </c>
      <c r="F5491" s="29">
        <v>131</v>
      </c>
      <c r="G5491" s="29">
        <v>79</v>
      </c>
      <c r="H5491" s="33">
        <v>52</v>
      </c>
    </row>
    <row r="5492" spans="1:8" x14ac:dyDescent="0.4">
      <c r="A5492">
        <v>2002</v>
      </c>
      <c r="B5492" s="2" t="s">
        <v>652</v>
      </c>
      <c r="C5492" s="2" t="s">
        <v>726</v>
      </c>
      <c r="D5492" s="2" t="s">
        <v>271</v>
      </c>
      <c r="E5492" s="70" t="s">
        <v>286</v>
      </c>
      <c r="F5492" s="29">
        <v>1418</v>
      </c>
      <c r="G5492" s="29">
        <v>859</v>
      </c>
      <c r="H5492" s="33">
        <v>559</v>
      </c>
    </row>
    <row r="5493" spans="1:8" x14ac:dyDescent="0.4">
      <c r="A5493">
        <v>2002</v>
      </c>
      <c r="B5493" s="2" t="s">
        <v>653</v>
      </c>
      <c r="C5493" s="2" t="s">
        <v>727</v>
      </c>
      <c r="D5493" s="2" t="s">
        <v>288</v>
      </c>
      <c r="E5493" s="70" t="s">
        <v>287</v>
      </c>
      <c r="F5493" s="29">
        <v>109</v>
      </c>
      <c r="G5493" s="29">
        <v>78</v>
      </c>
      <c r="H5493" s="33">
        <v>31</v>
      </c>
    </row>
    <row r="5494" spans="1:8" x14ac:dyDescent="0.4">
      <c r="A5494">
        <v>2002</v>
      </c>
      <c r="B5494" s="2" t="s">
        <v>654</v>
      </c>
      <c r="C5494" s="2" t="s">
        <v>727</v>
      </c>
      <c r="D5494" s="2" t="s">
        <v>288</v>
      </c>
      <c r="E5494" s="70" t="s">
        <v>289</v>
      </c>
      <c r="F5494" s="29">
        <v>83</v>
      </c>
      <c r="G5494" s="29">
        <v>52</v>
      </c>
      <c r="H5494" s="33">
        <v>31</v>
      </c>
    </row>
    <row r="5495" spans="1:8" x14ac:dyDescent="0.4">
      <c r="A5495">
        <v>2002</v>
      </c>
      <c r="B5495" s="2" t="s">
        <v>655</v>
      </c>
      <c r="C5495" s="2" t="s">
        <v>727</v>
      </c>
      <c r="D5495" s="2" t="s">
        <v>288</v>
      </c>
      <c r="E5495" s="70" t="s">
        <v>290</v>
      </c>
      <c r="F5495" s="29">
        <v>43</v>
      </c>
      <c r="G5495" s="29">
        <v>34</v>
      </c>
      <c r="H5495" s="33">
        <v>9</v>
      </c>
    </row>
    <row r="5496" spans="1:8" x14ac:dyDescent="0.4">
      <c r="A5496">
        <v>2002</v>
      </c>
      <c r="B5496" s="2" t="s">
        <v>656</v>
      </c>
      <c r="C5496" s="2" t="s">
        <v>727</v>
      </c>
      <c r="D5496" s="2" t="s">
        <v>288</v>
      </c>
      <c r="E5496" s="70" t="s">
        <v>291</v>
      </c>
      <c r="F5496" s="29">
        <v>20</v>
      </c>
      <c r="G5496" s="29">
        <v>13</v>
      </c>
      <c r="H5496" s="33">
        <v>7</v>
      </c>
    </row>
    <row r="5497" spans="1:8" x14ac:dyDescent="0.4">
      <c r="A5497">
        <v>2002</v>
      </c>
      <c r="B5497" s="2" t="s">
        <v>657</v>
      </c>
      <c r="C5497" s="2" t="s">
        <v>727</v>
      </c>
      <c r="D5497" s="2" t="s">
        <v>288</v>
      </c>
      <c r="E5497" s="70" t="s">
        <v>292</v>
      </c>
      <c r="F5497" s="29">
        <v>291</v>
      </c>
      <c r="G5497" s="29">
        <v>216</v>
      </c>
      <c r="H5497" s="33">
        <v>75</v>
      </c>
    </row>
    <row r="5498" spans="1:8" x14ac:dyDescent="0.4">
      <c r="A5498">
        <v>2002</v>
      </c>
      <c r="B5498" s="2" t="s">
        <v>658</v>
      </c>
      <c r="C5498" s="2" t="s">
        <v>727</v>
      </c>
      <c r="D5498" s="2" t="s">
        <v>288</v>
      </c>
      <c r="E5498" s="70" t="s">
        <v>293</v>
      </c>
      <c r="F5498" s="29">
        <v>7</v>
      </c>
      <c r="G5498" s="29">
        <v>4</v>
      </c>
      <c r="H5498" s="33">
        <v>3</v>
      </c>
    </row>
    <row r="5499" spans="1:8" x14ac:dyDescent="0.4">
      <c r="A5499">
        <v>2002</v>
      </c>
      <c r="B5499" s="2" t="s">
        <v>659</v>
      </c>
      <c r="C5499" s="2" t="s">
        <v>727</v>
      </c>
      <c r="D5499" s="2" t="s">
        <v>288</v>
      </c>
      <c r="E5499" s="70" t="s">
        <v>294</v>
      </c>
      <c r="F5499" s="29">
        <v>395</v>
      </c>
      <c r="G5499" s="29">
        <v>265</v>
      </c>
      <c r="H5499" s="33">
        <v>130</v>
      </c>
    </row>
    <row r="5500" spans="1:8" x14ac:dyDescent="0.4">
      <c r="A5500">
        <v>2002</v>
      </c>
      <c r="B5500" s="2" t="s">
        <v>660</v>
      </c>
      <c r="C5500" s="2" t="s">
        <v>727</v>
      </c>
      <c r="D5500" s="2" t="s">
        <v>288</v>
      </c>
      <c r="E5500" s="70" t="s">
        <v>295</v>
      </c>
      <c r="F5500" s="29">
        <v>72</v>
      </c>
      <c r="G5500" s="29">
        <v>42</v>
      </c>
      <c r="H5500" s="33">
        <v>30</v>
      </c>
    </row>
    <row r="5501" spans="1:8" x14ac:dyDescent="0.4">
      <c r="A5501">
        <v>2002</v>
      </c>
      <c r="B5501" s="2" t="s">
        <v>661</v>
      </c>
      <c r="C5501" s="2" t="s">
        <v>727</v>
      </c>
      <c r="D5501" s="2" t="s">
        <v>288</v>
      </c>
      <c r="E5501" s="70" t="s">
        <v>296</v>
      </c>
      <c r="F5501" s="29">
        <v>541</v>
      </c>
      <c r="G5501" s="29">
        <v>360</v>
      </c>
      <c r="H5501" s="33">
        <v>181</v>
      </c>
    </row>
    <row r="5502" spans="1:8" x14ac:dyDescent="0.4">
      <c r="A5502">
        <v>2002</v>
      </c>
      <c r="B5502" s="2" t="s">
        <v>662</v>
      </c>
      <c r="C5502" s="2" t="s">
        <v>727</v>
      </c>
      <c r="D5502" s="2" t="s">
        <v>288</v>
      </c>
      <c r="E5502" s="70" t="s">
        <v>297</v>
      </c>
      <c r="F5502" s="29">
        <v>46</v>
      </c>
      <c r="G5502" s="29">
        <v>32</v>
      </c>
      <c r="H5502" s="33">
        <v>14</v>
      </c>
    </row>
    <row r="5503" spans="1:8" x14ac:dyDescent="0.4">
      <c r="A5503">
        <v>2002</v>
      </c>
      <c r="B5503" s="2" t="s">
        <v>663</v>
      </c>
      <c r="C5503" s="2" t="s">
        <v>727</v>
      </c>
      <c r="D5503" s="2" t="s">
        <v>288</v>
      </c>
      <c r="E5503" s="70" t="s">
        <v>298</v>
      </c>
      <c r="F5503" s="29">
        <v>55</v>
      </c>
      <c r="G5503" s="29">
        <v>35</v>
      </c>
      <c r="H5503" s="33">
        <v>20</v>
      </c>
    </row>
    <row r="5504" spans="1:8" x14ac:dyDescent="0.4">
      <c r="A5504">
        <v>2002</v>
      </c>
      <c r="B5504" s="2" t="s">
        <v>664</v>
      </c>
      <c r="C5504" s="2" t="s">
        <v>728</v>
      </c>
      <c r="D5504" s="2" t="s">
        <v>300</v>
      </c>
      <c r="E5504" s="70" t="s">
        <v>299</v>
      </c>
      <c r="F5504" s="29">
        <v>45</v>
      </c>
      <c r="G5504" s="29">
        <v>30</v>
      </c>
      <c r="H5504" s="33">
        <v>15</v>
      </c>
    </row>
    <row r="5505" spans="1:8" x14ac:dyDescent="0.4">
      <c r="A5505">
        <v>2002</v>
      </c>
      <c r="B5505" s="2" t="s">
        <v>665</v>
      </c>
      <c r="C5505" s="2" t="s">
        <v>728</v>
      </c>
      <c r="D5505" s="2" t="s">
        <v>300</v>
      </c>
      <c r="E5505" s="70" t="s">
        <v>36</v>
      </c>
      <c r="F5505" s="29">
        <v>76</v>
      </c>
      <c r="G5505" s="29">
        <v>45</v>
      </c>
      <c r="H5505" s="33">
        <v>31</v>
      </c>
    </row>
    <row r="5506" spans="1:8" x14ac:dyDescent="0.4">
      <c r="A5506">
        <v>2002</v>
      </c>
      <c r="B5506" s="2" t="s">
        <v>666</v>
      </c>
      <c r="C5506" s="2" t="s">
        <v>728</v>
      </c>
      <c r="D5506" s="2" t="s">
        <v>300</v>
      </c>
      <c r="E5506" s="70" t="s">
        <v>301</v>
      </c>
      <c r="F5506" s="29">
        <v>178</v>
      </c>
      <c r="G5506" s="29">
        <v>108</v>
      </c>
      <c r="H5506" s="33">
        <v>70</v>
      </c>
    </row>
    <row r="5507" spans="1:8" x14ac:dyDescent="0.4">
      <c r="A5507">
        <v>2002</v>
      </c>
      <c r="B5507" s="2" t="s">
        <v>667</v>
      </c>
      <c r="C5507" s="2" t="s">
        <v>728</v>
      </c>
      <c r="D5507" s="2" t="s">
        <v>300</v>
      </c>
      <c r="E5507" s="70" t="s">
        <v>302</v>
      </c>
      <c r="F5507" s="29">
        <v>81</v>
      </c>
      <c r="G5507" s="29">
        <v>48</v>
      </c>
      <c r="H5507" s="33">
        <v>33</v>
      </c>
    </row>
    <row r="5508" spans="1:8" x14ac:dyDescent="0.4">
      <c r="A5508">
        <v>2002</v>
      </c>
      <c r="B5508" s="2" t="s">
        <v>668</v>
      </c>
      <c r="C5508" s="2" t="s">
        <v>728</v>
      </c>
      <c r="D5508" s="2" t="s">
        <v>300</v>
      </c>
      <c r="E5508" s="70" t="s">
        <v>14</v>
      </c>
      <c r="F5508" s="29">
        <v>67</v>
      </c>
      <c r="G5508" s="29">
        <v>39</v>
      </c>
      <c r="H5508" s="33">
        <v>28</v>
      </c>
    </row>
    <row r="5509" spans="1:8" x14ac:dyDescent="0.4">
      <c r="A5509">
        <v>2002</v>
      </c>
      <c r="B5509" s="2" t="s">
        <v>669</v>
      </c>
      <c r="C5509" s="2" t="s">
        <v>728</v>
      </c>
      <c r="D5509" s="2" t="s">
        <v>300</v>
      </c>
      <c r="E5509" s="70" t="s">
        <v>303</v>
      </c>
      <c r="F5509" s="29">
        <v>28</v>
      </c>
      <c r="G5509" s="29">
        <v>21</v>
      </c>
      <c r="H5509" s="33">
        <v>7</v>
      </c>
    </row>
    <row r="5510" spans="1:8" x14ac:dyDescent="0.4">
      <c r="A5510">
        <v>2002</v>
      </c>
      <c r="B5510" s="2" t="s">
        <v>670</v>
      </c>
      <c r="C5510" s="2" t="s">
        <v>728</v>
      </c>
      <c r="D5510" s="2" t="s">
        <v>300</v>
      </c>
      <c r="E5510" s="70" t="s">
        <v>304</v>
      </c>
      <c r="F5510" s="29">
        <v>16</v>
      </c>
      <c r="G5510" s="29">
        <v>11</v>
      </c>
      <c r="H5510" s="33">
        <v>5</v>
      </c>
    </row>
    <row r="5511" spans="1:8" x14ac:dyDescent="0.4">
      <c r="A5511">
        <v>2002</v>
      </c>
      <c r="B5511" s="2" t="s">
        <v>671</v>
      </c>
      <c r="C5511" s="2" t="s">
        <v>728</v>
      </c>
      <c r="D5511" s="2" t="s">
        <v>300</v>
      </c>
      <c r="E5511" s="70" t="s">
        <v>305</v>
      </c>
      <c r="F5511" s="29">
        <v>23</v>
      </c>
      <c r="G5511" s="29">
        <v>14</v>
      </c>
      <c r="H5511" s="33">
        <v>9</v>
      </c>
    </row>
    <row r="5512" spans="1:8" x14ac:dyDescent="0.4">
      <c r="A5512">
        <v>2002</v>
      </c>
      <c r="B5512" s="2" t="s">
        <v>672</v>
      </c>
      <c r="C5512" s="2" t="s">
        <v>728</v>
      </c>
      <c r="D5512" s="2" t="s">
        <v>300</v>
      </c>
      <c r="E5512" s="70" t="s">
        <v>306</v>
      </c>
      <c r="F5512" s="29">
        <v>253</v>
      </c>
      <c r="G5512" s="29">
        <v>166</v>
      </c>
      <c r="H5512" s="33">
        <v>87</v>
      </c>
    </row>
    <row r="5513" spans="1:8" x14ac:dyDescent="0.4">
      <c r="A5513">
        <v>2002</v>
      </c>
      <c r="B5513" s="2" t="s">
        <v>673</v>
      </c>
      <c r="C5513" s="2" t="s">
        <v>728</v>
      </c>
      <c r="D5513" s="2" t="s">
        <v>300</v>
      </c>
      <c r="E5513" s="70" t="s">
        <v>307</v>
      </c>
      <c r="F5513" s="29">
        <v>232</v>
      </c>
      <c r="G5513" s="29">
        <v>125</v>
      </c>
      <c r="H5513" s="33">
        <v>107</v>
      </c>
    </row>
    <row r="5514" spans="1:8" x14ac:dyDescent="0.4">
      <c r="A5514">
        <v>2002</v>
      </c>
      <c r="B5514" s="2" t="s">
        <v>674</v>
      </c>
      <c r="C5514" s="2" t="s">
        <v>728</v>
      </c>
      <c r="D5514" s="2" t="s">
        <v>300</v>
      </c>
      <c r="E5514" s="70" t="s">
        <v>308</v>
      </c>
      <c r="F5514" s="29">
        <v>1054</v>
      </c>
      <c r="G5514" s="29">
        <v>621</v>
      </c>
      <c r="H5514" s="33">
        <v>433</v>
      </c>
    </row>
    <row r="5515" spans="1:8" x14ac:dyDescent="0.4">
      <c r="A5515">
        <v>2002</v>
      </c>
      <c r="B5515" s="2" t="s">
        <v>675</v>
      </c>
      <c r="C5515" s="2" t="s">
        <v>728</v>
      </c>
      <c r="D5515" s="2" t="s">
        <v>300</v>
      </c>
      <c r="E5515" s="70" t="s">
        <v>51</v>
      </c>
      <c r="F5515" s="29">
        <v>41</v>
      </c>
      <c r="G5515" s="29">
        <v>31</v>
      </c>
      <c r="H5515" s="33">
        <v>10</v>
      </c>
    </row>
    <row r="5516" spans="1:8" x14ac:dyDescent="0.4">
      <c r="A5516">
        <v>2002</v>
      </c>
      <c r="B5516" s="2" t="s">
        <v>676</v>
      </c>
      <c r="C5516" s="2" t="s">
        <v>728</v>
      </c>
      <c r="D5516" s="14" t="s">
        <v>300</v>
      </c>
      <c r="E5516" s="70" t="s">
        <v>309</v>
      </c>
      <c r="F5516" s="29">
        <v>40</v>
      </c>
      <c r="G5516" s="29">
        <v>28</v>
      </c>
      <c r="H5516" s="33">
        <v>12</v>
      </c>
    </row>
    <row r="5517" spans="1:8" x14ac:dyDescent="0.4">
      <c r="A5517">
        <v>2002</v>
      </c>
      <c r="B5517" s="2" t="s">
        <v>677</v>
      </c>
      <c r="C5517" s="2" t="s">
        <v>728</v>
      </c>
      <c r="D5517" s="2" t="s">
        <v>300</v>
      </c>
      <c r="E5517" s="70" t="s">
        <v>310</v>
      </c>
      <c r="F5517" s="29">
        <v>51</v>
      </c>
      <c r="G5517" s="29">
        <v>30</v>
      </c>
      <c r="H5517" s="33">
        <v>21</v>
      </c>
    </row>
    <row r="5518" spans="1:8" x14ac:dyDescent="0.4">
      <c r="A5518">
        <v>2002</v>
      </c>
      <c r="B5518" s="2" t="s">
        <v>678</v>
      </c>
      <c r="C5518" s="2" t="s">
        <v>729</v>
      </c>
      <c r="D5518" s="2" t="s">
        <v>312</v>
      </c>
      <c r="E5518" s="70" t="s">
        <v>311</v>
      </c>
      <c r="F5518" s="29">
        <v>23</v>
      </c>
      <c r="G5518" s="29">
        <v>15</v>
      </c>
      <c r="H5518" s="33">
        <v>8</v>
      </c>
    </row>
    <row r="5519" spans="1:8" x14ac:dyDescent="0.4">
      <c r="A5519">
        <v>2002</v>
      </c>
      <c r="B5519" s="2" t="s">
        <v>679</v>
      </c>
      <c r="C5519" s="2" t="s">
        <v>729</v>
      </c>
      <c r="D5519" s="2" t="s">
        <v>312</v>
      </c>
      <c r="E5519" s="70" t="s">
        <v>313</v>
      </c>
      <c r="F5519" s="29">
        <v>222</v>
      </c>
      <c r="G5519" s="29">
        <v>146</v>
      </c>
      <c r="H5519" s="33">
        <v>76</v>
      </c>
    </row>
    <row r="5520" spans="1:8" x14ac:dyDescent="0.4">
      <c r="A5520">
        <v>2002</v>
      </c>
      <c r="B5520" s="2" t="s">
        <v>680</v>
      </c>
      <c r="C5520" s="2" t="s">
        <v>729</v>
      </c>
      <c r="D5520" s="2" t="s">
        <v>312</v>
      </c>
      <c r="E5520" s="70" t="s">
        <v>314</v>
      </c>
      <c r="F5520" s="29">
        <v>1066</v>
      </c>
      <c r="G5520" s="29">
        <v>613</v>
      </c>
      <c r="H5520" s="33">
        <v>453</v>
      </c>
    </row>
    <row r="5521" spans="1:8" x14ac:dyDescent="0.4">
      <c r="A5521">
        <v>2002</v>
      </c>
      <c r="B5521" s="2" t="s">
        <v>681</v>
      </c>
      <c r="C5521" s="2" t="s">
        <v>729</v>
      </c>
      <c r="D5521" s="2" t="s">
        <v>312</v>
      </c>
      <c r="E5521" s="70" t="s">
        <v>315</v>
      </c>
      <c r="F5521" s="29">
        <v>86</v>
      </c>
      <c r="G5521" s="29">
        <v>62</v>
      </c>
      <c r="H5521" s="33">
        <v>24</v>
      </c>
    </row>
    <row r="5522" spans="1:8" x14ac:dyDescent="0.4">
      <c r="A5522">
        <v>2002</v>
      </c>
      <c r="B5522" s="2" t="s">
        <v>682</v>
      </c>
      <c r="C5522" s="2" t="s">
        <v>729</v>
      </c>
      <c r="D5522" s="2" t="s">
        <v>312</v>
      </c>
      <c r="E5522" s="70" t="s">
        <v>316</v>
      </c>
      <c r="F5522" s="29">
        <v>423</v>
      </c>
      <c r="G5522" s="29">
        <v>263</v>
      </c>
      <c r="H5522" s="33">
        <v>160</v>
      </c>
    </row>
    <row r="5523" spans="1:8" x14ac:dyDescent="0.4">
      <c r="A5523">
        <v>2002</v>
      </c>
      <c r="B5523" s="2" t="s">
        <v>683</v>
      </c>
      <c r="C5523" s="2" t="s">
        <v>729</v>
      </c>
      <c r="D5523" s="2" t="s">
        <v>312</v>
      </c>
      <c r="E5523" s="70" t="s">
        <v>317</v>
      </c>
      <c r="F5523" s="29">
        <v>83</v>
      </c>
      <c r="G5523" s="29">
        <v>52</v>
      </c>
      <c r="H5523" s="33">
        <v>31</v>
      </c>
    </row>
    <row r="5524" spans="1:8" x14ac:dyDescent="0.4">
      <c r="A5524">
        <v>2002</v>
      </c>
      <c r="B5524" s="2" t="s">
        <v>684</v>
      </c>
      <c r="C5524" s="2" t="s">
        <v>729</v>
      </c>
      <c r="D5524" s="2" t="s">
        <v>312</v>
      </c>
      <c r="E5524" s="70" t="s">
        <v>318</v>
      </c>
      <c r="F5524" s="29">
        <v>282</v>
      </c>
      <c r="G5524" s="29">
        <v>172</v>
      </c>
      <c r="H5524" s="33">
        <v>110</v>
      </c>
    </row>
    <row r="5525" spans="1:8" x14ac:dyDescent="0.4">
      <c r="A5525">
        <v>2002</v>
      </c>
      <c r="B5525" s="2" t="s">
        <v>685</v>
      </c>
      <c r="C5525" s="2" t="s">
        <v>729</v>
      </c>
      <c r="D5525" s="2" t="s">
        <v>312</v>
      </c>
      <c r="E5525" s="70" t="s">
        <v>319</v>
      </c>
      <c r="F5525" s="29">
        <v>68</v>
      </c>
      <c r="G5525" s="29">
        <v>50</v>
      </c>
      <c r="H5525" s="33">
        <v>18</v>
      </c>
    </row>
    <row r="5526" spans="1:8" x14ac:dyDescent="0.4">
      <c r="A5526">
        <v>2002</v>
      </c>
      <c r="B5526" s="2" t="s">
        <v>686</v>
      </c>
      <c r="C5526" s="2" t="s">
        <v>729</v>
      </c>
      <c r="D5526" s="2" t="s">
        <v>312</v>
      </c>
      <c r="E5526" s="70" t="s">
        <v>320</v>
      </c>
      <c r="F5526" s="29">
        <v>214</v>
      </c>
      <c r="G5526" s="29">
        <v>134</v>
      </c>
      <c r="H5526" s="33">
        <v>80</v>
      </c>
    </row>
    <row r="5527" spans="1:8" x14ac:dyDescent="0.4">
      <c r="A5527">
        <v>2002</v>
      </c>
      <c r="B5527" s="2" t="s">
        <v>687</v>
      </c>
      <c r="C5527" s="2" t="s">
        <v>729</v>
      </c>
      <c r="D5527" s="2" t="s">
        <v>312</v>
      </c>
      <c r="E5527" s="70" t="s">
        <v>321</v>
      </c>
      <c r="F5527" s="29">
        <v>864</v>
      </c>
      <c r="G5527" s="29">
        <v>516</v>
      </c>
      <c r="H5527" s="33">
        <v>348</v>
      </c>
    </row>
    <row r="5528" spans="1:8" x14ac:dyDescent="0.4">
      <c r="A5528">
        <v>2002</v>
      </c>
      <c r="B5528" s="2" t="s">
        <v>688</v>
      </c>
      <c r="C5528" s="2" t="s">
        <v>729</v>
      </c>
      <c r="D5528" s="2" t="s">
        <v>312</v>
      </c>
      <c r="E5528" s="70" t="s">
        <v>322</v>
      </c>
      <c r="F5528" s="29">
        <v>350</v>
      </c>
      <c r="G5528" s="29">
        <v>196</v>
      </c>
      <c r="H5528" s="33">
        <v>154</v>
      </c>
    </row>
    <row r="5529" spans="1:8" x14ac:dyDescent="0.4">
      <c r="A5529">
        <v>2002</v>
      </c>
      <c r="B5529" s="2" t="s">
        <v>689</v>
      </c>
      <c r="C5529" s="2" t="s">
        <v>729</v>
      </c>
      <c r="D5529" s="2" t="s">
        <v>312</v>
      </c>
      <c r="E5529" s="70" t="s">
        <v>323</v>
      </c>
      <c r="F5529" s="29">
        <v>594</v>
      </c>
      <c r="G5529" s="29">
        <v>393</v>
      </c>
      <c r="H5529" s="33">
        <v>201</v>
      </c>
    </row>
    <row r="5530" spans="1:8" x14ac:dyDescent="0.4">
      <c r="A5530">
        <v>2002</v>
      </c>
      <c r="B5530" s="2" t="s">
        <v>690</v>
      </c>
      <c r="C5530" s="2" t="s">
        <v>729</v>
      </c>
      <c r="D5530" s="2" t="s">
        <v>312</v>
      </c>
      <c r="E5530" s="70" t="s">
        <v>324</v>
      </c>
      <c r="F5530" s="29">
        <v>7912</v>
      </c>
      <c r="G5530" s="29">
        <v>4623</v>
      </c>
      <c r="H5530" s="33">
        <v>3289</v>
      </c>
    </row>
    <row r="5531" spans="1:8" x14ac:dyDescent="0.4">
      <c r="A5531">
        <v>2002</v>
      </c>
      <c r="B5531" s="2" t="s">
        <v>691</v>
      </c>
      <c r="C5531" s="2" t="s">
        <v>729</v>
      </c>
      <c r="D5531" s="2" t="s">
        <v>312</v>
      </c>
      <c r="E5531" s="70" t="s">
        <v>85</v>
      </c>
      <c r="F5531" s="29">
        <v>221</v>
      </c>
      <c r="G5531" s="29">
        <v>141</v>
      </c>
      <c r="H5531" s="33">
        <v>80</v>
      </c>
    </row>
    <row r="5532" spans="1:8" x14ac:dyDescent="0.4">
      <c r="A5532">
        <v>2002</v>
      </c>
      <c r="B5532" s="2" t="s">
        <v>692</v>
      </c>
      <c r="C5532" s="2" t="s">
        <v>729</v>
      </c>
      <c r="D5532" s="2" t="s">
        <v>312</v>
      </c>
      <c r="E5532" s="70" t="s">
        <v>32</v>
      </c>
      <c r="F5532" s="29">
        <v>154</v>
      </c>
      <c r="G5532" s="29">
        <v>77</v>
      </c>
      <c r="H5532" s="33">
        <v>77</v>
      </c>
    </row>
    <row r="5533" spans="1:8" x14ac:dyDescent="0.4">
      <c r="A5533">
        <v>2002</v>
      </c>
      <c r="B5533" s="2" t="s">
        <v>693</v>
      </c>
      <c r="C5533" s="2" t="s">
        <v>729</v>
      </c>
      <c r="D5533" s="2" t="s">
        <v>312</v>
      </c>
      <c r="E5533" s="70" t="s">
        <v>325</v>
      </c>
      <c r="F5533" s="29">
        <v>278</v>
      </c>
      <c r="G5533" s="29">
        <v>169</v>
      </c>
      <c r="H5533" s="33">
        <v>109</v>
      </c>
    </row>
    <row r="5534" spans="1:8" x14ac:dyDescent="0.4">
      <c r="A5534">
        <v>2002</v>
      </c>
      <c r="B5534" s="2" t="s">
        <v>694</v>
      </c>
      <c r="C5534" s="2" t="s">
        <v>729</v>
      </c>
      <c r="D5534" s="2" t="s">
        <v>312</v>
      </c>
      <c r="E5534" s="70" t="s">
        <v>144</v>
      </c>
      <c r="F5534" s="29">
        <v>1198</v>
      </c>
      <c r="G5534" s="29">
        <v>686</v>
      </c>
      <c r="H5534" s="33">
        <v>512</v>
      </c>
    </row>
    <row r="5535" spans="1:8" x14ac:dyDescent="0.4">
      <c r="A5535">
        <v>2002</v>
      </c>
      <c r="B5535" s="2" t="s">
        <v>695</v>
      </c>
      <c r="C5535" s="2" t="s">
        <v>729</v>
      </c>
      <c r="D5535" s="2" t="s">
        <v>312</v>
      </c>
      <c r="E5535" s="70" t="s">
        <v>326</v>
      </c>
      <c r="F5535" s="29">
        <v>132</v>
      </c>
      <c r="G5535" s="29">
        <v>87</v>
      </c>
      <c r="H5535" s="33">
        <v>45</v>
      </c>
    </row>
    <row r="5536" spans="1:8" x14ac:dyDescent="0.4">
      <c r="A5536">
        <v>2002</v>
      </c>
      <c r="B5536" s="2" t="s">
        <v>696</v>
      </c>
      <c r="C5536" s="2" t="s">
        <v>729</v>
      </c>
      <c r="D5536" s="2" t="s">
        <v>312</v>
      </c>
      <c r="E5536" s="70" t="s">
        <v>25</v>
      </c>
      <c r="F5536" s="29">
        <v>117</v>
      </c>
      <c r="G5536" s="29">
        <v>85</v>
      </c>
      <c r="H5536" s="33">
        <v>32</v>
      </c>
    </row>
    <row r="5537" spans="1:8" x14ac:dyDescent="0.4">
      <c r="A5537">
        <v>2002</v>
      </c>
      <c r="B5537" s="2" t="s">
        <v>697</v>
      </c>
      <c r="C5537" s="2" t="s">
        <v>729</v>
      </c>
      <c r="D5537" s="2" t="s">
        <v>312</v>
      </c>
      <c r="E5537" s="70" t="s">
        <v>51</v>
      </c>
      <c r="F5537" s="29">
        <v>177</v>
      </c>
      <c r="G5537" s="29">
        <v>99</v>
      </c>
      <c r="H5537" s="33">
        <v>78</v>
      </c>
    </row>
    <row r="5538" spans="1:8" x14ac:dyDescent="0.4">
      <c r="A5538">
        <v>2002</v>
      </c>
      <c r="B5538" s="2" t="s">
        <v>698</v>
      </c>
      <c r="C5538" s="2" t="s">
        <v>729</v>
      </c>
      <c r="D5538" s="2" t="s">
        <v>312</v>
      </c>
      <c r="E5538" s="70" t="s">
        <v>327</v>
      </c>
      <c r="F5538" s="29">
        <v>128</v>
      </c>
      <c r="G5538" s="29">
        <v>93</v>
      </c>
      <c r="H5538" s="33">
        <v>35</v>
      </c>
    </row>
    <row r="5539" spans="1:8" x14ac:dyDescent="0.4">
      <c r="A5539">
        <v>2002</v>
      </c>
      <c r="B5539" s="2" t="s">
        <v>733</v>
      </c>
      <c r="C5539" s="2" t="s">
        <v>715</v>
      </c>
      <c r="D5539" s="2" t="s">
        <v>734</v>
      </c>
      <c r="E5539" s="70" t="s">
        <v>735</v>
      </c>
      <c r="F5539" s="29">
        <v>0</v>
      </c>
      <c r="G5539" s="29">
        <v>0</v>
      </c>
      <c r="H5539" s="33">
        <v>0</v>
      </c>
    </row>
    <row r="5540" spans="1:8" x14ac:dyDescent="0.4">
      <c r="A5540">
        <v>2001</v>
      </c>
      <c r="B5540" s="5" t="str">
        <f>+C5540&amp;"-"&amp;E5540</f>
        <v>VA-Municipio Autónomo Vargas</v>
      </c>
      <c r="C5540" s="5" t="str">
        <f>+MID(D5540,1,2)</f>
        <v>VA</v>
      </c>
      <c r="D5540" s="25" t="s">
        <v>288</v>
      </c>
      <c r="E5540" s="64" t="s">
        <v>757</v>
      </c>
      <c r="F5540" s="2">
        <v>0</v>
      </c>
      <c r="G5540" s="2">
        <v>0</v>
      </c>
      <c r="H5540" s="2">
        <v>0</v>
      </c>
    </row>
    <row r="5541" spans="1:8" x14ac:dyDescent="0.4">
      <c r="A5541">
        <v>2001</v>
      </c>
      <c r="B5541" s="5" t="str">
        <f>+C5541&amp;"-"&amp;E5541</f>
        <v>DI-Municipio Autónomo Libertador</v>
      </c>
      <c r="C5541" s="5" t="str">
        <f>+MID(D5541,1,2)</f>
        <v>DI</v>
      </c>
      <c r="D5541" s="25" t="s">
        <v>106</v>
      </c>
      <c r="E5541" s="64" t="s">
        <v>756</v>
      </c>
      <c r="F5541" s="2">
        <v>0</v>
      </c>
      <c r="G5541" s="2">
        <v>0</v>
      </c>
      <c r="H5541" s="2">
        <v>0</v>
      </c>
    </row>
    <row r="5542" spans="1:8" x14ac:dyDescent="0.4">
      <c r="A5542">
        <v>2001</v>
      </c>
      <c r="B5542" s="5" t="s">
        <v>335</v>
      </c>
      <c r="C5542" s="5" t="s">
        <v>706</v>
      </c>
      <c r="D5542" s="25" t="s">
        <v>106</v>
      </c>
      <c r="E5542" s="64" t="s">
        <v>105</v>
      </c>
      <c r="F5542" s="12">
        <v>151</v>
      </c>
      <c r="G5542" s="12">
        <v>83</v>
      </c>
      <c r="H5542" s="12">
        <v>68</v>
      </c>
    </row>
    <row r="5543" spans="1:8" x14ac:dyDescent="0.4">
      <c r="A5543">
        <v>2001</v>
      </c>
      <c r="B5543" s="5" t="s">
        <v>336</v>
      </c>
      <c r="C5543" s="5" t="s">
        <v>706</v>
      </c>
      <c r="D5543" s="25" t="s">
        <v>106</v>
      </c>
      <c r="E5543" s="64" t="s">
        <v>107</v>
      </c>
      <c r="F5543" s="12">
        <v>633</v>
      </c>
      <c r="G5543" s="12">
        <v>446</v>
      </c>
      <c r="H5543" s="12">
        <v>187</v>
      </c>
    </row>
    <row r="5544" spans="1:8" x14ac:dyDescent="0.4">
      <c r="A5544">
        <v>2001</v>
      </c>
      <c r="B5544" s="5" t="s">
        <v>337</v>
      </c>
      <c r="C5544" s="5" t="s">
        <v>706</v>
      </c>
      <c r="D5544" s="25" t="s">
        <v>106</v>
      </c>
      <c r="E5544" s="64" t="s">
        <v>108</v>
      </c>
      <c r="F5544" s="12">
        <v>281</v>
      </c>
      <c r="G5544" s="12">
        <v>171</v>
      </c>
      <c r="H5544" s="12">
        <v>110</v>
      </c>
    </row>
    <row r="5545" spans="1:8" x14ac:dyDescent="0.4">
      <c r="A5545">
        <v>2001</v>
      </c>
      <c r="B5545" s="5" t="s">
        <v>338</v>
      </c>
      <c r="C5545" s="5" t="s">
        <v>706</v>
      </c>
      <c r="D5545" s="25" t="s">
        <v>106</v>
      </c>
      <c r="E5545" s="64" t="s">
        <v>109</v>
      </c>
      <c r="F5545" s="12">
        <v>313</v>
      </c>
      <c r="G5545" s="12">
        <v>168</v>
      </c>
      <c r="H5545" s="12">
        <v>145</v>
      </c>
    </row>
    <row r="5546" spans="1:8" x14ac:dyDescent="0.4">
      <c r="A5546">
        <v>2001</v>
      </c>
      <c r="B5546" s="5" t="s">
        <v>339</v>
      </c>
      <c r="C5546" s="5" t="s">
        <v>706</v>
      </c>
      <c r="D5546" s="25" t="s">
        <v>106</v>
      </c>
      <c r="E5546" s="64" t="s">
        <v>110</v>
      </c>
      <c r="F5546" s="12">
        <v>35</v>
      </c>
      <c r="G5546" s="12">
        <v>26</v>
      </c>
      <c r="H5546" s="12">
        <v>9</v>
      </c>
    </row>
    <row r="5547" spans="1:8" x14ac:dyDescent="0.4">
      <c r="A5547">
        <v>2001</v>
      </c>
      <c r="B5547" s="5" t="s">
        <v>340</v>
      </c>
      <c r="C5547" s="5" t="s">
        <v>706</v>
      </c>
      <c r="D5547" s="25" t="s">
        <v>106</v>
      </c>
      <c r="E5547" s="64" t="s">
        <v>111</v>
      </c>
      <c r="F5547" s="12">
        <v>617</v>
      </c>
      <c r="G5547" s="12">
        <v>413</v>
      </c>
      <c r="H5547" s="12">
        <v>204</v>
      </c>
    </row>
    <row r="5548" spans="1:8" x14ac:dyDescent="0.4">
      <c r="A5548">
        <v>2001</v>
      </c>
      <c r="B5548" s="5" t="s">
        <v>341</v>
      </c>
      <c r="C5548" s="5" t="s">
        <v>706</v>
      </c>
      <c r="D5548" s="25" t="s">
        <v>106</v>
      </c>
      <c r="E5548" s="64" t="s">
        <v>112</v>
      </c>
      <c r="F5548" s="12">
        <v>102</v>
      </c>
      <c r="G5548" s="12">
        <v>73</v>
      </c>
      <c r="H5548" s="12">
        <v>29</v>
      </c>
    </row>
    <row r="5549" spans="1:8" x14ac:dyDescent="0.4">
      <c r="A5549">
        <v>2001</v>
      </c>
      <c r="B5549" s="5" t="s">
        <v>342</v>
      </c>
      <c r="C5549" s="5" t="s">
        <v>706</v>
      </c>
      <c r="D5549" s="25" t="s">
        <v>106</v>
      </c>
      <c r="E5549" s="64" t="s">
        <v>113</v>
      </c>
      <c r="F5549" s="12">
        <v>1699</v>
      </c>
      <c r="G5549" s="12">
        <v>1018</v>
      </c>
      <c r="H5549" s="12">
        <v>681</v>
      </c>
    </row>
    <row r="5550" spans="1:8" x14ac:dyDescent="0.4">
      <c r="A5550">
        <v>2001</v>
      </c>
      <c r="B5550" s="5" t="s">
        <v>343</v>
      </c>
      <c r="C5550" s="5" t="s">
        <v>706</v>
      </c>
      <c r="D5550" s="25" t="s">
        <v>106</v>
      </c>
      <c r="E5550" s="64" t="s">
        <v>114</v>
      </c>
      <c r="F5550" s="12">
        <v>648</v>
      </c>
      <c r="G5550" s="12">
        <v>340</v>
      </c>
      <c r="H5550" s="12">
        <v>308</v>
      </c>
    </row>
    <row r="5551" spans="1:8" x14ac:dyDescent="0.4">
      <c r="A5551">
        <v>2001</v>
      </c>
      <c r="B5551" s="5" t="s">
        <v>344</v>
      </c>
      <c r="C5551" s="5" t="s">
        <v>706</v>
      </c>
      <c r="D5551" s="25" t="s">
        <v>106</v>
      </c>
      <c r="E5551" s="64" t="s">
        <v>115</v>
      </c>
      <c r="F5551" s="12">
        <v>294</v>
      </c>
      <c r="G5551" s="12">
        <v>179</v>
      </c>
      <c r="H5551" s="12">
        <v>115</v>
      </c>
    </row>
    <row r="5552" spans="1:8" x14ac:dyDescent="0.4">
      <c r="A5552">
        <v>2001</v>
      </c>
      <c r="B5552" s="5" t="s">
        <v>345</v>
      </c>
      <c r="C5552" s="5" t="s">
        <v>706</v>
      </c>
      <c r="D5552" s="25" t="s">
        <v>106</v>
      </c>
      <c r="E5552" s="64" t="s">
        <v>116</v>
      </c>
      <c r="F5552" s="12">
        <v>521</v>
      </c>
      <c r="G5552" s="12">
        <v>325</v>
      </c>
      <c r="H5552" s="12">
        <v>196</v>
      </c>
    </row>
    <row r="5553" spans="1:8" x14ac:dyDescent="0.4">
      <c r="A5553">
        <v>2001</v>
      </c>
      <c r="B5553" s="5" t="s">
        <v>346</v>
      </c>
      <c r="C5553" s="5" t="s">
        <v>706</v>
      </c>
      <c r="D5553" s="25" t="s">
        <v>106</v>
      </c>
      <c r="E5553" s="64" t="s">
        <v>117</v>
      </c>
      <c r="F5553" s="12">
        <v>342</v>
      </c>
      <c r="G5553" s="12">
        <v>193</v>
      </c>
      <c r="H5553" s="12">
        <v>149</v>
      </c>
    </row>
    <row r="5554" spans="1:8" x14ac:dyDescent="0.4">
      <c r="A5554">
        <v>2001</v>
      </c>
      <c r="B5554" s="5" t="s">
        <v>347</v>
      </c>
      <c r="C5554" s="5" t="s">
        <v>706</v>
      </c>
      <c r="D5554" s="25" t="s">
        <v>106</v>
      </c>
      <c r="E5554" s="64" t="s">
        <v>118</v>
      </c>
      <c r="F5554" s="12">
        <v>100</v>
      </c>
      <c r="G5554" s="12">
        <v>67</v>
      </c>
      <c r="H5554" s="12">
        <v>33</v>
      </c>
    </row>
    <row r="5555" spans="1:8" x14ac:dyDescent="0.4">
      <c r="A5555">
        <v>2001</v>
      </c>
      <c r="B5555" s="5" t="s">
        <v>348</v>
      </c>
      <c r="C5555" s="5" t="s">
        <v>706</v>
      </c>
      <c r="D5555" s="25" t="s">
        <v>106</v>
      </c>
      <c r="E5555" s="64" t="s">
        <v>119</v>
      </c>
      <c r="F5555" s="12">
        <v>147</v>
      </c>
      <c r="G5555" s="12">
        <v>92</v>
      </c>
      <c r="H5555" s="12">
        <v>55</v>
      </c>
    </row>
    <row r="5556" spans="1:8" x14ac:dyDescent="0.4">
      <c r="A5556">
        <v>2001</v>
      </c>
      <c r="B5556" s="5" t="s">
        <v>349</v>
      </c>
      <c r="C5556" s="5" t="s">
        <v>706</v>
      </c>
      <c r="D5556" s="25" t="s">
        <v>106</v>
      </c>
      <c r="E5556" s="64" t="s">
        <v>120</v>
      </c>
      <c r="F5556" s="12">
        <v>901</v>
      </c>
      <c r="G5556" s="12">
        <v>474</v>
      </c>
      <c r="H5556" s="12">
        <v>427</v>
      </c>
    </row>
    <row r="5557" spans="1:8" x14ac:dyDescent="0.4">
      <c r="A5557">
        <v>2001</v>
      </c>
      <c r="B5557" s="5" t="s">
        <v>350</v>
      </c>
      <c r="C5557" s="5" t="s">
        <v>706</v>
      </c>
      <c r="D5557" s="25" t="s">
        <v>106</v>
      </c>
      <c r="E5557" s="64" t="s">
        <v>121</v>
      </c>
      <c r="F5557" s="12">
        <v>1496</v>
      </c>
      <c r="G5557" s="12">
        <v>874</v>
      </c>
      <c r="H5557" s="12">
        <v>622</v>
      </c>
    </row>
    <row r="5558" spans="1:8" x14ac:dyDescent="0.4">
      <c r="A5558">
        <v>2001</v>
      </c>
      <c r="B5558" s="5" t="s">
        <v>351</v>
      </c>
      <c r="C5558" s="5" t="s">
        <v>706</v>
      </c>
      <c r="D5558" s="25" t="s">
        <v>106</v>
      </c>
      <c r="E5558" s="64" t="s">
        <v>122</v>
      </c>
      <c r="F5558" s="12">
        <v>1004</v>
      </c>
      <c r="G5558" s="12">
        <v>560</v>
      </c>
      <c r="H5558" s="12">
        <v>444</v>
      </c>
    </row>
    <row r="5559" spans="1:8" x14ac:dyDescent="0.4">
      <c r="A5559">
        <v>2001</v>
      </c>
      <c r="B5559" s="5" t="s">
        <v>352</v>
      </c>
      <c r="C5559" s="5" t="s">
        <v>706</v>
      </c>
      <c r="D5559" s="25" t="s">
        <v>106</v>
      </c>
      <c r="E5559" s="64" t="s">
        <v>123</v>
      </c>
      <c r="F5559" s="12">
        <v>2153</v>
      </c>
      <c r="G5559" s="12">
        <v>1245</v>
      </c>
      <c r="H5559" s="12">
        <v>908</v>
      </c>
    </row>
    <row r="5560" spans="1:8" x14ac:dyDescent="0.4">
      <c r="A5560">
        <v>2001</v>
      </c>
      <c r="B5560" s="5" t="s">
        <v>353</v>
      </c>
      <c r="C5560" s="5" t="s">
        <v>706</v>
      </c>
      <c r="D5560" s="25" t="s">
        <v>106</v>
      </c>
      <c r="E5560" s="64" t="s">
        <v>124</v>
      </c>
      <c r="F5560" s="12">
        <v>449</v>
      </c>
      <c r="G5560" s="12">
        <v>243</v>
      </c>
      <c r="H5560" s="12">
        <v>206</v>
      </c>
    </row>
    <row r="5561" spans="1:8" x14ac:dyDescent="0.4">
      <c r="A5561">
        <v>2001</v>
      </c>
      <c r="B5561" s="5" t="s">
        <v>354</v>
      </c>
      <c r="C5561" s="5" t="s">
        <v>706</v>
      </c>
      <c r="D5561" s="25" t="s">
        <v>106</v>
      </c>
      <c r="E5561" s="64" t="s">
        <v>125</v>
      </c>
      <c r="F5561" s="12">
        <v>51</v>
      </c>
      <c r="G5561" s="12">
        <v>36</v>
      </c>
      <c r="H5561" s="12">
        <v>15</v>
      </c>
    </row>
    <row r="5562" spans="1:8" x14ac:dyDescent="0.4">
      <c r="A5562">
        <v>2001</v>
      </c>
      <c r="B5562" s="5" t="s">
        <v>355</v>
      </c>
      <c r="C5562" s="5" t="s">
        <v>706</v>
      </c>
      <c r="D5562" s="25" t="s">
        <v>106</v>
      </c>
      <c r="E5562" s="64" t="s">
        <v>126</v>
      </c>
      <c r="F5562" s="12">
        <v>1913</v>
      </c>
      <c r="G5562" s="12">
        <v>1259</v>
      </c>
      <c r="H5562" s="12">
        <v>654</v>
      </c>
    </row>
    <row r="5563" spans="1:8" x14ac:dyDescent="0.4">
      <c r="A5563">
        <v>2001</v>
      </c>
      <c r="B5563" s="5" t="s">
        <v>356</v>
      </c>
      <c r="C5563" s="5" t="s">
        <v>706</v>
      </c>
      <c r="D5563" s="25" t="s">
        <v>106</v>
      </c>
      <c r="E5563" s="64" t="s">
        <v>127</v>
      </c>
      <c r="F5563" s="12">
        <v>266</v>
      </c>
      <c r="G5563" s="12">
        <v>155</v>
      </c>
      <c r="H5563" s="12">
        <v>111</v>
      </c>
    </row>
    <row r="5564" spans="1:8" x14ac:dyDescent="0.4">
      <c r="A5564">
        <v>2001</v>
      </c>
      <c r="B5564" s="5" t="s">
        <v>357</v>
      </c>
      <c r="C5564" s="5" t="s">
        <v>707</v>
      </c>
      <c r="D5564" s="25" t="s">
        <v>1</v>
      </c>
      <c r="E5564" s="64" t="s">
        <v>0</v>
      </c>
      <c r="F5564" s="12">
        <v>29</v>
      </c>
      <c r="G5564" s="12">
        <v>16</v>
      </c>
      <c r="H5564" s="12">
        <v>13</v>
      </c>
    </row>
    <row r="5565" spans="1:8" x14ac:dyDescent="0.4">
      <c r="A5565">
        <v>2001</v>
      </c>
      <c r="B5565" s="5" t="s">
        <v>358</v>
      </c>
      <c r="C5565" s="5" t="s">
        <v>707</v>
      </c>
      <c r="D5565" s="25" t="s">
        <v>1</v>
      </c>
      <c r="E5565" s="64" t="s">
        <v>2</v>
      </c>
      <c r="F5565" s="12">
        <v>6</v>
      </c>
      <c r="G5565" s="12">
        <v>5</v>
      </c>
      <c r="H5565" s="12">
        <v>1</v>
      </c>
    </row>
    <row r="5566" spans="1:8" x14ac:dyDescent="0.4">
      <c r="A5566">
        <v>2001</v>
      </c>
      <c r="B5566" s="5" t="s">
        <v>359</v>
      </c>
      <c r="C5566" s="5" t="s">
        <v>707</v>
      </c>
      <c r="D5566" s="25" t="s">
        <v>1</v>
      </c>
      <c r="E5566" s="64" t="s">
        <v>3</v>
      </c>
      <c r="F5566" s="12">
        <v>363</v>
      </c>
      <c r="G5566" s="12">
        <v>221</v>
      </c>
      <c r="H5566" s="12">
        <v>142</v>
      </c>
    </row>
    <row r="5567" spans="1:8" x14ac:dyDescent="0.4">
      <c r="A5567">
        <v>2001</v>
      </c>
      <c r="B5567" s="5" t="s">
        <v>360</v>
      </c>
      <c r="C5567" s="5" t="s">
        <v>707</v>
      </c>
      <c r="D5567" s="25" t="s">
        <v>1</v>
      </c>
      <c r="E5567" s="64" t="s">
        <v>4</v>
      </c>
      <c r="F5567" s="12">
        <v>4</v>
      </c>
      <c r="G5567" s="12">
        <v>3</v>
      </c>
      <c r="H5567" s="12">
        <v>1</v>
      </c>
    </row>
    <row r="5568" spans="1:8" x14ac:dyDescent="0.4">
      <c r="A5568">
        <v>2001</v>
      </c>
      <c r="B5568" s="5" t="s">
        <v>361</v>
      </c>
      <c r="C5568" s="5" t="s">
        <v>707</v>
      </c>
      <c r="D5568" s="25" t="s">
        <v>1</v>
      </c>
      <c r="E5568" s="64" t="s">
        <v>5</v>
      </c>
      <c r="F5568" s="12">
        <v>5</v>
      </c>
      <c r="G5568" s="12">
        <v>3</v>
      </c>
      <c r="H5568" s="12">
        <v>2</v>
      </c>
    </row>
    <row r="5569" spans="1:8" x14ac:dyDescent="0.4">
      <c r="A5569">
        <v>2001</v>
      </c>
      <c r="B5569" s="5" t="s">
        <v>732</v>
      </c>
      <c r="C5569" s="5" t="s">
        <v>707</v>
      </c>
      <c r="D5569" s="25" t="s">
        <v>1</v>
      </c>
      <c r="E5569" s="64" t="s">
        <v>330</v>
      </c>
      <c r="F5569" s="2">
        <v>1</v>
      </c>
      <c r="G5569" s="2">
        <v>1</v>
      </c>
      <c r="H5569" s="2">
        <v>0</v>
      </c>
    </row>
    <row r="5570" spans="1:8" x14ac:dyDescent="0.4">
      <c r="A5570">
        <v>2001</v>
      </c>
      <c r="B5570" s="5" t="s">
        <v>730</v>
      </c>
      <c r="C5570" s="5" t="s">
        <v>707</v>
      </c>
      <c r="D5570" s="25" t="s">
        <v>1</v>
      </c>
      <c r="E5570" s="64" t="s">
        <v>328</v>
      </c>
      <c r="F5570" s="12">
        <v>3</v>
      </c>
      <c r="G5570" s="12">
        <v>3</v>
      </c>
      <c r="H5570" s="12">
        <v>0</v>
      </c>
    </row>
    <row r="5571" spans="1:8" x14ac:dyDescent="0.4">
      <c r="A5571">
        <v>2001</v>
      </c>
      <c r="B5571" s="5" t="s">
        <v>362</v>
      </c>
      <c r="C5571" s="5" t="s">
        <v>708</v>
      </c>
      <c r="D5571" s="25" t="s">
        <v>7</v>
      </c>
      <c r="E5571" s="64" t="s">
        <v>6</v>
      </c>
      <c r="F5571" s="12">
        <v>252</v>
      </c>
      <c r="G5571" s="12">
        <v>151</v>
      </c>
      <c r="H5571" s="12">
        <v>101</v>
      </c>
    </row>
    <row r="5572" spans="1:8" x14ac:dyDescent="0.4">
      <c r="A5572">
        <v>2001</v>
      </c>
      <c r="B5572" s="5" t="s">
        <v>363</v>
      </c>
      <c r="C5572" s="5" t="s">
        <v>708</v>
      </c>
      <c r="D5572" s="25" t="s">
        <v>7</v>
      </c>
      <c r="E5572" s="64" t="s">
        <v>8</v>
      </c>
      <c r="F5572" s="12">
        <v>109</v>
      </c>
      <c r="G5572" s="12">
        <v>49</v>
      </c>
      <c r="H5572" s="12">
        <v>60</v>
      </c>
    </row>
    <row r="5573" spans="1:8" x14ac:dyDescent="0.4">
      <c r="A5573">
        <v>2001</v>
      </c>
      <c r="B5573" s="5" t="s">
        <v>364</v>
      </c>
      <c r="C5573" s="5" t="s">
        <v>708</v>
      </c>
      <c r="D5573" s="25" t="s">
        <v>7</v>
      </c>
      <c r="E5573" s="64" t="s">
        <v>9</v>
      </c>
      <c r="F5573" s="12">
        <v>77</v>
      </c>
      <c r="G5573" s="12">
        <v>48</v>
      </c>
      <c r="H5573" s="12">
        <v>29</v>
      </c>
    </row>
    <row r="5574" spans="1:8" x14ac:dyDescent="0.4">
      <c r="A5574">
        <v>2001</v>
      </c>
      <c r="B5574" s="5" t="s">
        <v>365</v>
      </c>
      <c r="C5574" s="5" t="s">
        <v>708</v>
      </c>
      <c r="D5574" s="25" t="s">
        <v>7</v>
      </c>
      <c r="E5574" s="64" t="s">
        <v>10</v>
      </c>
      <c r="F5574" s="12">
        <v>61</v>
      </c>
      <c r="G5574" s="12">
        <v>36</v>
      </c>
      <c r="H5574" s="12">
        <v>25</v>
      </c>
    </row>
    <row r="5575" spans="1:8" x14ac:dyDescent="0.4">
      <c r="A5575">
        <v>2001</v>
      </c>
      <c r="B5575" s="5" t="s">
        <v>366</v>
      </c>
      <c r="C5575" s="5" t="s">
        <v>708</v>
      </c>
      <c r="D5575" s="25" t="s">
        <v>7</v>
      </c>
      <c r="E5575" s="64" t="s">
        <v>11</v>
      </c>
      <c r="F5575" s="30">
        <v>127</v>
      </c>
      <c r="G5575" s="30">
        <v>77</v>
      </c>
      <c r="H5575" s="30">
        <v>50</v>
      </c>
    </row>
    <row r="5576" spans="1:8" x14ac:dyDescent="0.4">
      <c r="A5576">
        <v>2001</v>
      </c>
      <c r="B5576" s="5" t="s">
        <v>367</v>
      </c>
      <c r="C5576" s="5" t="s">
        <v>708</v>
      </c>
      <c r="D5576" s="25" t="s">
        <v>7</v>
      </c>
      <c r="E5576" s="64" t="s">
        <v>12</v>
      </c>
      <c r="F5576" s="30">
        <v>47</v>
      </c>
      <c r="G5576" s="30">
        <v>31</v>
      </c>
      <c r="H5576" s="30">
        <v>16</v>
      </c>
    </row>
    <row r="5577" spans="1:8" x14ac:dyDescent="0.4">
      <c r="A5577">
        <v>2001</v>
      </c>
      <c r="B5577" s="5" t="s">
        <v>368</v>
      </c>
      <c r="C5577" s="5" t="s">
        <v>708</v>
      </c>
      <c r="D5577" s="25" t="s">
        <v>7</v>
      </c>
      <c r="E5577" s="64" t="s">
        <v>13</v>
      </c>
      <c r="F5577" s="30">
        <v>43</v>
      </c>
      <c r="G5577" s="30">
        <v>33</v>
      </c>
      <c r="H5577" s="30">
        <v>10</v>
      </c>
    </row>
    <row r="5578" spans="1:8" x14ac:dyDescent="0.4">
      <c r="A5578">
        <v>2001</v>
      </c>
      <c r="B5578" s="5" t="s">
        <v>369</v>
      </c>
      <c r="C5578" s="5" t="s">
        <v>708</v>
      </c>
      <c r="D5578" s="25" t="s">
        <v>7</v>
      </c>
      <c r="E5578" s="64" t="s">
        <v>14</v>
      </c>
      <c r="F5578" s="30">
        <v>84</v>
      </c>
      <c r="G5578" s="30">
        <v>55</v>
      </c>
      <c r="H5578" s="30">
        <v>29</v>
      </c>
    </row>
    <row r="5579" spans="1:8" x14ac:dyDescent="0.4">
      <c r="A5579">
        <v>2001</v>
      </c>
      <c r="B5579" s="5" t="s">
        <v>370</v>
      </c>
      <c r="C5579" s="5" t="s">
        <v>708</v>
      </c>
      <c r="D5579" s="25" t="s">
        <v>7</v>
      </c>
      <c r="E5579" s="64" t="s">
        <v>15</v>
      </c>
      <c r="F5579" s="30">
        <v>47</v>
      </c>
      <c r="G5579" s="30">
        <v>30</v>
      </c>
      <c r="H5579" s="30">
        <v>17</v>
      </c>
    </row>
    <row r="5580" spans="1:8" x14ac:dyDescent="0.4">
      <c r="A5580">
        <v>2001</v>
      </c>
      <c r="B5580" s="5" t="s">
        <v>371</v>
      </c>
      <c r="C5580" s="5" t="s">
        <v>708</v>
      </c>
      <c r="D5580" s="25" t="s">
        <v>7</v>
      </c>
      <c r="E5580" s="64" t="s">
        <v>16</v>
      </c>
      <c r="F5580" s="30">
        <v>558</v>
      </c>
      <c r="G5580" s="30">
        <v>345</v>
      </c>
      <c r="H5580" s="30">
        <v>213</v>
      </c>
    </row>
    <row r="5581" spans="1:8" x14ac:dyDescent="0.4">
      <c r="A5581">
        <v>2001</v>
      </c>
      <c r="B5581" s="5" t="s">
        <v>372</v>
      </c>
      <c r="C5581" s="5" t="s">
        <v>708</v>
      </c>
      <c r="D5581" s="25" t="s">
        <v>7</v>
      </c>
      <c r="E5581" s="64" t="s">
        <v>17</v>
      </c>
      <c r="F5581" s="30">
        <v>20</v>
      </c>
      <c r="G5581" s="30">
        <v>14</v>
      </c>
      <c r="H5581" s="30">
        <v>6</v>
      </c>
    </row>
    <row r="5582" spans="1:8" x14ac:dyDescent="0.4">
      <c r="A5582">
        <v>2001</v>
      </c>
      <c r="B5582" s="5" t="s">
        <v>373</v>
      </c>
      <c r="C5582" s="5" t="s">
        <v>708</v>
      </c>
      <c r="D5582" s="25" t="s">
        <v>7</v>
      </c>
      <c r="E5582" s="64" t="s">
        <v>18</v>
      </c>
      <c r="F5582" s="30">
        <v>38</v>
      </c>
      <c r="G5582" s="30">
        <v>26</v>
      </c>
      <c r="H5582" s="30">
        <v>12</v>
      </c>
    </row>
    <row r="5583" spans="1:8" x14ac:dyDescent="0.4">
      <c r="A5583">
        <v>2001</v>
      </c>
      <c r="B5583" s="5" t="s">
        <v>374</v>
      </c>
      <c r="C5583" s="5" t="s">
        <v>708</v>
      </c>
      <c r="D5583" s="25" t="s">
        <v>7</v>
      </c>
      <c r="E5583" s="64" t="s">
        <v>19</v>
      </c>
      <c r="F5583" s="30">
        <v>79</v>
      </c>
      <c r="G5583" s="30">
        <v>46</v>
      </c>
      <c r="H5583" s="30">
        <v>33</v>
      </c>
    </row>
    <row r="5584" spans="1:8" x14ac:dyDescent="0.4">
      <c r="A5584">
        <v>2001</v>
      </c>
      <c r="B5584" s="5" t="s">
        <v>375</v>
      </c>
      <c r="C5584" s="5" t="s">
        <v>708</v>
      </c>
      <c r="D5584" s="25" t="s">
        <v>7</v>
      </c>
      <c r="E5584" s="64" t="s">
        <v>20</v>
      </c>
      <c r="F5584" s="30">
        <v>282</v>
      </c>
      <c r="G5584" s="30">
        <v>179</v>
      </c>
      <c r="H5584" s="30">
        <v>103</v>
      </c>
    </row>
    <row r="5585" spans="1:8" x14ac:dyDescent="0.4">
      <c r="A5585">
        <v>2001</v>
      </c>
      <c r="B5585" s="5" t="s">
        <v>376</v>
      </c>
      <c r="C5585" s="5" t="s">
        <v>708</v>
      </c>
      <c r="D5585" s="25" t="s">
        <v>7</v>
      </c>
      <c r="E5585" s="64" t="s">
        <v>21</v>
      </c>
      <c r="F5585" s="30">
        <v>59</v>
      </c>
      <c r="G5585" s="30">
        <v>34</v>
      </c>
      <c r="H5585" s="30">
        <v>25</v>
      </c>
    </row>
    <row r="5586" spans="1:8" x14ac:dyDescent="0.4">
      <c r="A5586">
        <v>2001</v>
      </c>
      <c r="B5586" s="5" t="s">
        <v>377</v>
      </c>
      <c r="C5586" s="5" t="s">
        <v>708</v>
      </c>
      <c r="D5586" s="25" t="s">
        <v>7</v>
      </c>
      <c r="E5586" s="64" t="s">
        <v>22</v>
      </c>
      <c r="F5586" s="30">
        <v>128</v>
      </c>
      <c r="G5586" s="30">
        <v>75</v>
      </c>
      <c r="H5586" s="30">
        <v>53</v>
      </c>
    </row>
    <row r="5587" spans="1:8" x14ac:dyDescent="0.4">
      <c r="A5587">
        <v>2001</v>
      </c>
      <c r="B5587" s="5" t="s">
        <v>378</v>
      </c>
      <c r="C5587" s="5" t="s">
        <v>708</v>
      </c>
      <c r="D5587" s="25" t="s">
        <v>7</v>
      </c>
      <c r="E5587" s="64" t="s">
        <v>23</v>
      </c>
      <c r="F5587" s="30">
        <v>33</v>
      </c>
      <c r="G5587" s="30">
        <v>21</v>
      </c>
      <c r="H5587" s="30">
        <v>12</v>
      </c>
    </row>
    <row r="5588" spans="1:8" x14ac:dyDescent="0.4">
      <c r="A5588">
        <v>2001</v>
      </c>
      <c r="B5588" s="5" t="s">
        <v>379</v>
      </c>
      <c r="C5588" s="5" t="s">
        <v>708</v>
      </c>
      <c r="D5588" s="25" t="s">
        <v>7</v>
      </c>
      <c r="E5588" s="64" t="s">
        <v>24</v>
      </c>
      <c r="F5588" s="30">
        <v>28</v>
      </c>
      <c r="G5588" s="30">
        <v>20</v>
      </c>
      <c r="H5588" s="30">
        <v>8</v>
      </c>
    </row>
    <row r="5589" spans="1:8" x14ac:dyDescent="0.4">
      <c r="A5589">
        <v>2001</v>
      </c>
      <c r="B5589" s="5" t="s">
        <v>380</v>
      </c>
      <c r="C5589" s="5" t="s">
        <v>708</v>
      </c>
      <c r="D5589" s="25" t="s">
        <v>7</v>
      </c>
      <c r="E5589" s="64" t="s">
        <v>25</v>
      </c>
      <c r="F5589" s="30">
        <v>1077</v>
      </c>
      <c r="G5589" s="30">
        <v>649</v>
      </c>
      <c r="H5589" s="30">
        <v>428</v>
      </c>
    </row>
    <row r="5590" spans="1:8" x14ac:dyDescent="0.4">
      <c r="A5590">
        <v>2001</v>
      </c>
      <c r="B5590" s="5" t="s">
        <v>381</v>
      </c>
      <c r="C5590" s="5" t="s">
        <v>708</v>
      </c>
      <c r="D5590" s="25" t="s">
        <v>7</v>
      </c>
      <c r="E5590" s="64" t="s">
        <v>26</v>
      </c>
      <c r="F5590" s="30">
        <v>469</v>
      </c>
      <c r="G5590" s="30">
        <v>294</v>
      </c>
      <c r="H5590" s="30">
        <v>175</v>
      </c>
    </row>
    <row r="5591" spans="1:8" x14ac:dyDescent="0.4">
      <c r="A5591">
        <v>2001</v>
      </c>
      <c r="B5591" s="5" t="s">
        <v>382</v>
      </c>
      <c r="C5591" s="5" t="s">
        <v>708</v>
      </c>
      <c r="D5591" s="25" t="s">
        <v>7</v>
      </c>
      <c r="E5591" s="64" t="s">
        <v>27</v>
      </c>
      <c r="F5591" s="30">
        <v>35</v>
      </c>
      <c r="G5591" s="30">
        <v>20</v>
      </c>
      <c r="H5591" s="30">
        <v>15</v>
      </c>
    </row>
    <row r="5592" spans="1:8" x14ac:dyDescent="0.4">
      <c r="A5592">
        <v>2001</v>
      </c>
      <c r="B5592" s="5" t="s">
        <v>383</v>
      </c>
      <c r="C5592" s="5" t="s">
        <v>709</v>
      </c>
      <c r="D5592" s="25" t="s">
        <v>29</v>
      </c>
      <c r="E5592" s="64" t="s">
        <v>28</v>
      </c>
      <c r="F5592" s="30">
        <v>186</v>
      </c>
      <c r="G5592" s="30">
        <v>104</v>
      </c>
      <c r="H5592" s="30">
        <v>82</v>
      </c>
    </row>
    <row r="5593" spans="1:8" x14ac:dyDescent="0.4">
      <c r="A5593">
        <v>2001</v>
      </c>
      <c r="B5593" s="5" t="s">
        <v>384</v>
      </c>
      <c r="C5593" s="5" t="s">
        <v>709</v>
      </c>
      <c r="D5593" s="25" t="s">
        <v>29</v>
      </c>
      <c r="E5593" s="64" t="s">
        <v>30</v>
      </c>
      <c r="F5593" s="30">
        <v>93</v>
      </c>
      <c r="G5593" s="30">
        <v>52</v>
      </c>
      <c r="H5593" s="30">
        <v>41</v>
      </c>
    </row>
    <row r="5594" spans="1:8" x14ac:dyDescent="0.4">
      <c r="A5594">
        <v>2001</v>
      </c>
      <c r="B5594" s="5" t="s">
        <v>385</v>
      </c>
      <c r="C5594" s="5" t="s">
        <v>709</v>
      </c>
      <c r="D5594" s="25" t="s">
        <v>29</v>
      </c>
      <c r="E5594" s="64" t="s">
        <v>31</v>
      </c>
      <c r="F5594" s="30">
        <v>60</v>
      </c>
      <c r="G5594" s="30">
        <v>37</v>
      </c>
      <c r="H5594" s="30">
        <v>23</v>
      </c>
    </row>
    <row r="5595" spans="1:8" x14ac:dyDescent="0.4">
      <c r="A5595">
        <v>2001</v>
      </c>
      <c r="B5595" s="5" t="s">
        <v>386</v>
      </c>
      <c r="C5595" s="5" t="s">
        <v>709</v>
      </c>
      <c r="D5595" s="25" t="s">
        <v>29</v>
      </c>
      <c r="E5595" s="64" t="s">
        <v>32</v>
      </c>
      <c r="F5595" s="30">
        <v>266</v>
      </c>
      <c r="G5595" s="30">
        <v>175</v>
      </c>
      <c r="H5595" s="30">
        <v>91</v>
      </c>
    </row>
    <row r="5596" spans="1:8" x14ac:dyDescent="0.4">
      <c r="A5596">
        <v>2001</v>
      </c>
      <c r="B5596" s="5" t="s">
        <v>387</v>
      </c>
      <c r="C5596" s="5" t="s">
        <v>709</v>
      </c>
      <c r="D5596" s="25" t="s">
        <v>29</v>
      </c>
      <c r="E5596" s="64" t="s">
        <v>33</v>
      </c>
      <c r="F5596" s="30">
        <v>47</v>
      </c>
      <c r="G5596" s="30">
        <v>27</v>
      </c>
      <c r="H5596" s="30">
        <v>20</v>
      </c>
    </row>
    <row r="5597" spans="1:8" x14ac:dyDescent="0.4">
      <c r="A5597">
        <v>2001</v>
      </c>
      <c r="B5597" s="5" t="s">
        <v>388</v>
      </c>
      <c r="C5597" s="5" t="s">
        <v>709</v>
      </c>
      <c r="D5597" s="25" t="s">
        <v>29</v>
      </c>
      <c r="E5597" s="64" t="s">
        <v>34</v>
      </c>
      <c r="F5597" s="30">
        <v>60</v>
      </c>
      <c r="G5597" s="30">
        <v>36</v>
      </c>
      <c r="H5597" s="30">
        <v>24</v>
      </c>
    </row>
    <row r="5598" spans="1:8" x14ac:dyDescent="0.4">
      <c r="A5598">
        <v>2001</v>
      </c>
      <c r="B5598" s="5" t="s">
        <v>389</v>
      </c>
      <c r="C5598" s="5" t="s">
        <v>709</v>
      </c>
      <c r="D5598" s="25" t="s">
        <v>29</v>
      </c>
      <c r="E5598" s="65" t="s">
        <v>35</v>
      </c>
      <c r="F5598" s="31">
        <v>849</v>
      </c>
      <c r="G5598" s="31">
        <v>479</v>
      </c>
      <c r="H5598" s="31">
        <v>370</v>
      </c>
    </row>
    <row r="5599" spans="1:8" x14ac:dyDescent="0.4">
      <c r="A5599">
        <v>2001</v>
      </c>
      <c r="B5599" s="5" t="s">
        <v>390</v>
      </c>
      <c r="C5599" s="5" t="s">
        <v>710</v>
      </c>
      <c r="D5599" s="25" t="s">
        <v>37</v>
      </c>
      <c r="E5599" s="64" t="s">
        <v>36</v>
      </c>
      <c r="F5599" s="30">
        <v>125</v>
      </c>
      <c r="G5599" s="30">
        <v>82</v>
      </c>
      <c r="H5599" s="30">
        <v>43</v>
      </c>
    </row>
    <row r="5600" spans="1:8" x14ac:dyDescent="0.4">
      <c r="A5600">
        <v>2001</v>
      </c>
      <c r="B5600" s="5" t="s">
        <v>391</v>
      </c>
      <c r="C5600" s="5" t="s">
        <v>710</v>
      </c>
      <c r="D5600" s="25" t="s">
        <v>37</v>
      </c>
      <c r="E5600" s="64" t="s">
        <v>38</v>
      </c>
      <c r="F5600" s="30">
        <v>62</v>
      </c>
      <c r="G5600" s="30">
        <v>38</v>
      </c>
      <c r="H5600" s="30">
        <v>24</v>
      </c>
    </row>
    <row r="5601" spans="1:8" x14ac:dyDescent="0.4">
      <c r="A5601">
        <v>2001</v>
      </c>
      <c r="B5601" s="5" t="s">
        <v>392</v>
      </c>
      <c r="C5601" s="5" t="s">
        <v>710</v>
      </c>
      <c r="D5601" s="25" t="s">
        <v>37</v>
      </c>
      <c r="E5601" s="64" t="s">
        <v>39</v>
      </c>
      <c r="F5601" s="2">
        <v>201</v>
      </c>
      <c r="G5601" s="2">
        <v>137</v>
      </c>
      <c r="H5601" s="2">
        <v>64</v>
      </c>
    </row>
    <row r="5602" spans="1:8" x14ac:dyDescent="0.4">
      <c r="A5602">
        <v>2001</v>
      </c>
      <c r="B5602" s="5" t="s">
        <v>393</v>
      </c>
      <c r="C5602" s="5" t="s">
        <v>710</v>
      </c>
      <c r="D5602" s="25" t="s">
        <v>37</v>
      </c>
      <c r="E5602" s="64" t="s">
        <v>40</v>
      </c>
      <c r="F5602" s="30">
        <v>3235</v>
      </c>
      <c r="G5602" s="30">
        <v>1861</v>
      </c>
      <c r="H5602" s="30">
        <v>1374</v>
      </c>
    </row>
    <row r="5603" spans="1:8" x14ac:dyDescent="0.4">
      <c r="A5603">
        <v>2001</v>
      </c>
      <c r="B5603" s="5" t="s">
        <v>394</v>
      </c>
      <c r="C5603" s="5" t="s">
        <v>710</v>
      </c>
      <c r="D5603" s="25" t="s">
        <v>37</v>
      </c>
      <c r="E5603" s="64" t="s">
        <v>41</v>
      </c>
      <c r="F5603" s="30">
        <v>74</v>
      </c>
      <c r="G5603" s="30">
        <v>46</v>
      </c>
      <c r="H5603" s="30">
        <v>28</v>
      </c>
    </row>
    <row r="5604" spans="1:8" x14ac:dyDescent="0.4">
      <c r="A5604">
        <v>2001</v>
      </c>
      <c r="B5604" s="5" t="s">
        <v>395</v>
      </c>
      <c r="C5604" s="5" t="s">
        <v>710</v>
      </c>
      <c r="D5604" s="25" t="s">
        <v>37</v>
      </c>
      <c r="E5604" s="64" t="s">
        <v>42</v>
      </c>
      <c r="F5604" s="30">
        <v>830</v>
      </c>
      <c r="G5604" s="30">
        <v>495</v>
      </c>
      <c r="H5604" s="30">
        <v>335</v>
      </c>
    </row>
    <row r="5605" spans="1:8" x14ac:dyDescent="0.4">
      <c r="A5605">
        <v>2001</v>
      </c>
      <c r="B5605" s="5" t="s">
        <v>396</v>
      </c>
      <c r="C5605" s="5" t="s">
        <v>710</v>
      </c>
      <c r="D5605" s="25" t="s">
        <v>37</v>
      </c>
      <c r="E5605" s="64" t="s">
        <v>43</v>
      </c>
      <c r="F5605" s="30">
        <v>89</v>
      </c>
      <c r="G5605" s="30">
        <v>61</v>
      </c>
      <c r="H5605" s="30">
        <v>28</v>
      </c>
    </row>
    <row r="5606" spans="1:8" x14ac:dyDescent="0.4">
      <c r="A5606">
        <v>2001</v>
      </c>
      <c r="B5606" s="5" t="s">
        <v>397</v>
      </c>
      <c r="C5606" s="5" t="s">
        <v>710</v>
      </c>
      <c r="D5606" s="25" t="s">
        <v>37</v>
      </c>
      <c r="E5606" s="64" t="s">
        <v>44</v>
      </c>
      <c r="F5606" s="30">
        <v>506</v>
      </c>
      <c r="G5606" s="30">
        <v>288</v>
      </c>
      <c r="H5606" s="30">
        <v>218</v>
      </c>
    </row>
    <row r="5607" spans="1:8" x14ac:dyDescent="0.4">
      <c r="A5607">
        <v>2001</v>
      </c>
      <c r="B5607" s="5" t="s">
        <v>398</v>
      </c>
      <c r="C5607" s="5" t="s">
        <v>710</v>
      </c>
      <c r="D5607" s="25" t="s">
        <v>37</v>
      </c>
      <c r="E5607" s="64" t="s">
        <v>45</v>
      </c>
      <c r="F5607" s="30">
        <v>304</v>
      </c>
      <c r="G5607" s="30">
        <v>162</v>
      </c>
      <c r="H5607" s="30">
        <v>142</v>
      </c>
    </row>
    <row r="5608" spans="1:8" x14ac:dyDescent="0.4">
      <c r="A5608">
        <v>2001</v>
      </c>
      <c r="B5608" s="5" t="s">
        <v>399</v>
      </c>
      <c r="C5608" s="5" t="s">
        <v>710</v>
      </c>
      <c r="D5608" s="25" t="s">
        <v>37</v>
      </c>
      <c r="E5608" s="64" t="s">
        <v>46</v>
      </c>
      <c r="F5608" s="30">
        <v>0</v>
      </c>
      <c r="G5608" s="30">
        <v>0</v>
      </c>
      <c r="H5608" s="30">
        <v>0</v>
      </c>
    </row>
    <row r="5609" spans="1:8" x14ac:dyDescent="0.4">
      <c r="A5609">
        <v>2001</v>
      </c>
      <c r="B5609" s="5" t="s">
        <v>400</v>
      </c>
      <c r="C5609" s="5" t="s">
        <v>710</v>
      </c>
      <c r="D5609" s="25" t="s">
        <v>37</v>
      </c>
      <c r="E5609" s="64" t="s">
        <v>47</v>
      </c>
      <c r="F5609" s="30">
        <v>95</v>
      </c>
      <c r="G5609" s="30">
        <v>53</v>
      </c>
      <c r="H5609" s="30">
        <v>42</v>
      </c>
    </row>
    <row r="5610" spans="1:8" x14ac:dyDescent="0.4">
      <c r="A5610">
        <v>2001</v>
      </c>
      <c r="B5610" s="5" t="s">
        <v>401</v>
      </c>
      <c r="C5610" s="5" t="s">
        <v>710</v>
      </c>
      <c r="D5610" s="25" t="s">
        <v>37</v>
      </c>
      <c r="E5610" s="64" t="s">
        <v>48</v>
      </c>
      <c r="F5610" s="30">
        <v>61</v>
      </c>
      <c r="G5610" s="30">
        <v>43</v>
      </c>
      <c r="H5610" s="30">
        <v>18</v>
      </c>
    </row>
    <row r="5611" spans="1:8" x14ac:dyDescent="0.4">
      <c r="A5611">
        <v>2001</v>
      </c>
      <c r="B5611" s="5" t="s">
        <v>402</v>
      </c>
      <c r="C5611" s="5" t="s">
        <v>710</v>
      </c>
      <c r="D5611" s="25" t="s">
        <v>37</v>
      </c>
      <c r="E5611" s="64" t="s">
        <v>49</v>
      </c>
      <c r="F5611" s="30">
        <v>379</v>
      </c>
      <c r="G5611" s="30">
        <v>239</v>
      </c>
      <c r="H5611" s="30">
        <v>140</v>
      </c>
    </row>
    <row r="5612" spans="1:8" x14ac:dyDescent="0.4">
      <c r="A5612">
        <v>2001</v>
      </c>
      <c r="B5612" s="5" t="s">
        <v>403</v>
      </c>
      <c r="C5612" s="5" t="s">
        <v>710</v>
      </c>
      <c r="D5612" s="25" t="s">
        <v>37</v>
      </c>
      <c r="E5612" s="64" t="s">
        <v>50</v>
      </c>
      <c r="F5612" s="30">
        <v>115</v>
      </c>
      <c r="G5612" s="30">
        <v>81</v>
      </c>
      <c r="H5612" s="30">
        <v>34</v>
      </c>
    </row>
    <row r="5613" spans="1:8" x14ac:dyDescent="0.4">
      <c r="A5613">
        <v>2001</v>
      </c>
      <c r="B5613" s="5" t="s">
        <v>404</v>
      </c>
      <c r="C5613" s="5" t="s">
        <v>710</v>
      </c>
      <c r="D5613" s="25" t="s">
        <v>37</v>
      </c>
      <c r="E5613" s="64" t="s">
        <v>51</v>
      </c>
      <c r="F5613" s="30">
        <v>380</v>
      </c>
      <c r="G5613" s="30">
        <v>244</v>
      </c>
      <c r="H5613" s="30">
        <v>136</v>
      </c>
    </row>
    <row r="5614" spans="1:8" x14ac:dyDescent="0.4">
      <c r="A5614">
        <v>2001</v>
      </c>
      <c r="B5614" s="5" t="s">
        <v>405</v>
      </c>
      <c r="C5614" s="5" t="s">
        <v>710</v>
      </c>
      <c r="D5614" s="25" t="s">
        <v>37</v>
      </c>
      <c r="E5614" s="64" t="s">
        <v>52</v>
      </c>
      <c r="F5614" s="30">
        <v>41</v>
      </c>
      <c r="G5614" s="30">
        <v>29</v>
      </c>
      <c r="H5614" s="30">
        <v>12</v>
      </c>
    </row>
    <row r="5615" spans="1:8" x14ac:dyDescent="0.4">
      <c r="A5615">
        <v>2001</v>
      </c>
      <c r="B5615" s="5" t="s">
        <v>406</v>
      </c>
      <c r="C5615" s="5" t="s">
        <v>710</v>
      </c>
      <c r="D5615" s="25" t="s">
        <v>37</v>
      </c>
      <c r="E5615" s="64" t="s">
        <v>53</v>
      </c>
      <c r="F5615" s="30">
        <v>60</v>
      </c>
      <c r="G5615" s="30">
        <v>40</v>
      </c>
      <c r="H5615" s="30">
        <v>20</v>
      </c>
    </row>
    <row r="5616" spans="1:8" x14ac:dyDescent="0.4">
      <c r="A5616">
        <v>2001</v>
      </c>
      <c r="B5616" s="5" t="s">
        <v>407</v>
      </c>
      <c r="C5616" s="5" t="s">
        <v>710</v>
      </c>
      <c r="D5616" s="25" t="s">
        <v>37</v>
      </c>
      <c r="E5616" s="64" t="s">
        <v>54</v>
      </c>
      <c r="F5616" s="30">
        <v>496</v>
      </c>
      <c r="G5616" s="30">
        <v>304</v>
      </c>
      <c r="H5616" s="30">
        <v>192</v>
      </c>
    </row>
    <row r="5617" spans="1:8" x14ac:dyDescent="0.4">
      <c r="A5617">
        <v>2001</v>
      </c>
      <c r="B5617" s="5" t="s">
        <v>408</v>
      </c>
      <c r="C5617" s="5" t="s">
        <v>711</v>
      </c>
      <c r="D5617" s="25" t="s">
        <v>56</v>
      </c>
      <c r="E5617" s="64" t="s">
        <v>55</v>
      </c>
      <c r="F5617" s="30">
        <v>104</v>
      </c>
      <c r="G5617" s="30">
        <v>64</v>
      </c>
      <c r="H5617" s="30">
        <v>40</v>
      </c>
    </row>
    <row r="5618" spans="1:8" x14ac:dyDescent="0.4">
      <c r="A5618">
        <v>2001</v>
      </c>
      <c r="B5618" s="5" t="s">
        <v>409</v>
      </c>
      <c r="C5618" s="5" t="s">
        <v>711</v>
      </c>
      <c r="D5618" s="25" t="s">
        <v>56</v>
      </c>
      <c r="E5618" s="64" t="s">
        <v>57</v>
      </c>
      <c r="F5618" s="30">
        <v>0</v>
      </c>
      <c r="G5618" s="30">
        <v>0</v>
      </c>
      <c r="H5618" s="30">
        <v>0</v>
      </c>
    </row>
    <row r="5619" spans="1:8" x14ac:dyDescent="0.4">
      <c r="A5619">
        <v>2001</v>
      </c>
      <c r="B5619" s="5" t="s">
        <v>410</v>
      </c>
      <c r="C5619" s="5" t="s">
        <v>711</v>
      </c>
      <c r="D5619" s="25" t="s">
        <v>56</v>
      </c>
      <c r="E5619" s="64" t="s">
        <v>58</v>
      </c>
      <c r="F5619" s="30">
        <v>215</v>
      </c>
      <c r="G5619" s="30">
        <v>133</v>
      </c>
      <c r="H5619" s="30">
        <v>82</v>
      </c>
    </row>
    <row r="5620" spans="1:8" x14ac:dyDescent="0.4">
      <c r="A5620">
        <v>2001</v>
      </c>
      <c r="B5620" s="5" t="s">
        <v>411</v>
      </c>
      <c r="C5620" s="5" t="s">
        <v>711</v>
      </c>
      <c r="D5620" s="25" t="s">
        <v>56</v>
      </c>
      <c r="E5620" s="64" t="s">
        <v>59</v>
      </c>
      <c r="F5620" s="30">
        <v>33</v>
      </c>
      <c r="G5620" s="30">
        <v>24</v>
      </c>
      <c r="H5620" s="30">
        <v>9</v>
      </c>
    </row>
    <row r="5621" spans="1:8" x14ac:dyDescent="0.4">
      <c r="A5621">
        <v>2001</v>
      </c>
      <c r="B5621" s="5" t="s">
        <v>412</v>
      </c>
      <c r="C5621" s="5" t="s">
        <v>711</v>
      </c>
      <c r="D5621" s="25" t="s">
        <v>56</v>
      </c>
      <c r="E5621" s="64" t="s">
        <v>60</v>
      </c>
      <c r="F5621" s="30">
        <v>1386</v>
      </c>
      <c r="G5621" s="30">
        <v>846</v>
      </c>
      <c r="H5621" s="30">
        <v>540</v>
      </c>
    </row>
    <row r="5622" spans="1:8" x14ac:dyDescent="0.4">
      <c r="A5622">
        <v>2001</v>
      </c>
      <c r="B5622" s="5" t="s">
        <v>413</v>
      </c>
      <c r="C5622" s="5" t="s">
        <v>711</v>
      </c>
      <c r="D5622" s="25" t="s">
        <v>56</v>
      </c>
      <c r="E5622" s="64" t="s">
        <v>36</v>
      </c>
      <c r="F5622" s="30">
        <v>133</v>
      </c>
      <c r="G5622" s="30">
        <v>86</v>
      </c>
      <c r="H5622" s="30">
        <v>47</v>
      </c>
    </row>
    <row r="5623" spans="1:8" x14ac:dyDescent="0.4">
      <c r="A5623">
        <v>2001</v>
      </c>
      <c r="B5623" s="5" t="s">
        <v>414</v>
      </c>
      <c r="C5623" s="5" t="s">
        <v>711</v>
      </c>
      <c r="D5623" s="25" t="s">
        <v>56</v>
      </c>
      <c r="E5623" s="64" t="s">
        <v>61</v>
      </c>
      <c r="F5623" s="30">
        <v>54</v>
      </c>
      <c r="G5623" s="30">
        <v>39</v>
      </c>
      <c r="H5623" s="30">
        <v>15</v>
      </c>
    </row>
    <row r="5624" spans="1:8" x14ac:dyDescent="0.4">
      <c r="A5624">
        <v>2001</v>
      </c>
      <c r="B5624" s="5" t="s">
        <v>415</v>
      </c>
      <c r="C5624" s="5" t="s">
        <v>711</v>
      </c>
      <c r="D5624" s="25" t="s">
        <v>56</v>
      </c>
      <c r="E5624" s="64" t="s">
        <v>62</v>
      </c>
      <c r="F5624" s="30">
        <v>219</v>
      </c>
      <c r="G5624" s="30">
        <v>141</v>
      </c>
      <c r="H5624" s="30">
        <v>78</v>
      </c>
    </row>
    <row r="5625" spans="1:8" x14ac:dyDescent="0.4">
      <c r="A5625">
        <v>2001</v>
      </c>
      <c r="B5625" s="5" t="s">
        <v>416</v>
      </c>
      <c r="C5625" s="5" t="s">
        <v>711</v>
      </c>
      <c r="D5625" s="25" t="s">
        <v>56</v>
      </c>
      <c r="E5625" s="64" t="s">
        <v>63</v>
      </c>
      <c r="F5625" s="30">
        <v>62</v>
      </c>
      <c r="G5625" s="30">
        <v>38</v>
      </c>
      <c r="H5625" s="30">
        <v>24</v>
      </c>
    </row>
    <row r="5626" spans="1:8" x14ac:dyDescent="0.4">
      <c r="A5626">
        <v>2001</v>
      </c>
      <c r="B5626" s="5" t="s">
        <v>417</v>
      </c>
      <c r="C5626" s="5" t="s">
        <v>711</v>
      </c>
      <c r="D5626" s="25" t="s">
        <v>56</v>
      </c>
      <c r="E5626" s="64" t="s">
        <v>64</v>
      </c>
      <c r="F5626" s="30">
        <v>130</v>
      </c>
      <c r="G5626" s="30">
        <v>84</v>
      </c>
      <c r="H5626" s="30">
        <v>46</v>
      </c>
    </row>
    <row r="5627" spans="1:8" x14ac:dyDescent="0.4">
      <c r="A5627">
        <v>2001</v>
      </c>
      <c r="B5627" s="5" t="s">
        <v>418</v>
      </c>
      <c r="C5627" s="5" t="s">
        <v>711</v>
      </c>
      <c r="D5627" s="25" t="s">
        <v>56</v>
      </c>
      <c r="E5627" s="64" t="s">
        <v>65</v>
      </c>
      <c r="F5627" s="30">
        <v>50</v>
      </c>
      <c r="G5627" s="30">
        <v>29</v>
      </c>
      <c r="H5627" s="30">
        <v>21</v>
      </c>
    </row>
    <row r="5628" spans="1:8" x14ac:dyDescent="0.4">
      <c r="A5628">
        <v>2001</v>
      </c>
      <c r="B5628" s="5" t="s">
        <v>419</v>
      </c>
      <c r="C5628" s="5" t="s">
        <v>711</v>
      </c>
      <c r="D5628" s="25" t="s">
        <v>56</v>
      </c>
      <c r="E5628" s="64" t="s">
        <v>66</v>
      </c>
      <c r="F5628" s="30">
        <v>32</v>
      </c>
      <c r="G5628" s="30">
        <v>18</v>
      </c>
      <c r="H5628" s="30">
        <v>14</v>
      </c>
    </row>
    <row r="5629" spans="1:8" x14ac:dyDescent="0.4">
      <c r="A5629">
        <v>2001</v>
      </c>
      <c r="B5629" s="5" t="s">
        <v>420</v>
      </c>
      <c r="C5629" s="5" t="s">
        <v>712</v>
      </c>
      <c r="D5629" s="25" t="s">
        <v>68</v>
      </c>
      <c r="E5629" s="64" t="s">
        <v>67</v>
      </c>
      <c r="F5629" s="30">
        <v>3015</v>
      </c>
      <c r="G5629" s="30">
        <v>1906</v>
      </c>
      <c r="H5629" s="30">
        <v>1109</v>
      </c>
    </row>
    <row r="5630" spans="1:8" x14ac:dyDescent="0.4">
      <c r="A5630">
        <v>2001</v>
      </c>
      <c r="B5630" s="5" t="s">
        <v>421</v>
      </c>
      <c r="C5630" s="5" t="s">
        <v>712</v>
      </c>
      <c r="D5630" s="25" t="s">
        <v>68</v>
      </c>
      <c r="E5630" s="64" t="s">
        <v>69</v>
      </c>
      <c r="F5630" s="30">
        <v>169</v>
      </c>
      <c r="G5630" s="30">
        <v>103</v>
      </c>
      <c r="H5630" s="30">
        <v>66</v>
      </c>
    </row>
    <row r="5631" spans="1:8" x14ac:dyDescent="0.4">
      <c r="A5631">
        <v>2001</v>
      </c>
      <c r="B5631" s="5" t="s">
        <v>422</v>
      </c>
      <c r="C5631" s="5" t="s">
        <v>712</v>
      </c>
      <c r="D5631" s="25" t="s">
        <v>68</v>
      </c>
      <c r="E5631" s="64" t="s">
        <v>70</v>
      </c>
      <c r="F5631" s="30">
        <v>67</v>
      </c>
      <c r="G5631" s="30">
        <v>45</v>
      </c>
      <c r="H5631" s="30">
        <v>22</v>
      </c>
    </row>
    <row r="5632" spans="1:8" x14ac:dyDescent="0.4">
      <c r="A5632">
        <v>2001</v>
      </c>
      <c r="B5632" s="5" t="s">
        <v>423</v>
      </c>
      <c r="C5632" s="5" t="s">
        <v>712</v>
      </c>
      <c r="D5632" s="25" t="s">
        <v>68</v>
      </c>
      <c r="E5632" s="64" t="s">
        <v>71</v>
      </c>
      <c r="F5632" s="30">
        <v>59</v>
      </c>
      <c r="G5632" s="30">
        <v>32</v>
      </c>
      <c r="H5632" s="30">
        <v>27</v>
      </c>
    </row>
    <row r="5633" spans="1:8" x14ac:dyDescent="0.4">
      <c r="A5633">
        <v>2001</v>
      </c>
      <c r="B5633" s="5" t="s">
        <v>424</v>
      </c>
      <c r="C5633" s="5" t="s">
        <v>712</v>
      </c>
      <c r="D5633" s="25" t="s">
        <v>68</v>
      </c>
      <c r="E5633" s="64" t="s">
        <v>72</v>
      </c>
      <c r="F5633" s="30">
        <v>1882</v>
      </c>
      <c r="G5633" s="30">
        <v>1089</v>
      </c>
      <c r="H5633" s="30">
        <v>793</v>
      </c>
    </row>
    <row r="5634" spans="1:8" x14ac:dyDescent="0.4">
      <c r="A5634">
        <v>2001</v>
      </c>
      <c r="B5634" s="5" t="s">
        <v>425</v>
      </c>
      <c r="C5634" s="5" t="s">
        <v>712</v>
      </c>
      <c r="D5634" s="25" t="s">
        <v>68</v>
      </c>
      <c r="E5634" s="64" t="s">
        <v>73</v>
      </c>
      <c r="F5634" s="30">
        <v>27</v>
      </c>
      <c r="G5634" s="30">
        <v>15</v>
      </c>
      <c r="H5634" s="30">
        <v>12</v>
      </c>
    </row>
    <row r="5635" spans="1:8" x14ac:dyDescent="0.4">
      <c r="A5635">
        <v>2001</v>
      </c>
      <c r="B5635" s="5" t="s">
        <v>426</v>
      </c>
      <c r="C5635" s="5" t="s">
        <v>712</v>
      </c>
      <c r="D5635" s="25" t="s">
        <v>68</v>
      </c>
      <c r="E5635" s="64" t="s">
        <v>74</v>
      </c>
      <c r="F5635" s="30">
        <v>319</v>
      </c>
      <c r="G5635" s="30">
        <v>188</v>
      </c>
      <c r="H5635" s="30">
        <v>131</v>
      </c>
    </row>
    <row r="5636" spans="1:8" x14ac:dyDescent="0.4">
      <c r="A5636">
        <v>2001</v>
      </c>
      <c r="B5636" s="5" t="s">
        <v>427</v>
      </c>
      <c r="C5636" s="5" t="s">
        <v>712</v>
      </c>
      <c r="D5636" s="25" t="s">
        <v>68</v>
      </c>
      <c r="E5636" s="64" t="s">
        <v>75</v>
      </c>
      <c r="F5636" s="30">
        <v>92</v>
      </c>
      <c r="G5636" s="30">
        <v>77</v>
      </c>
      <c r="H5636" s="30">
        <v>15</v>
      </c>
    </row>
    <row r="5637" spans="1:8" x14ac:dyDescent="0.4">
      <c r="A5637">
        <v>2001</v>
      </c>
      <c r="B5637" s="5" t="s">
        <v>428</v>
      </c>
      <c r="C5637" s="5" t="s">
        <v>712</v>
      </c>
      <c r="D5637" s="25" t="s">
        <v>68</v>
      </c>
      <c r="E5637" s="64" t="s">
        <v>76</v>
      </c>
      <c r="F5637" s="30">
        <v>54</v>
      </c>
      <c r="G5637" s="30">
        <v>33</v>
      </c>
      <c r="H5637" s="30">
        <v>21</v>
      </c>
    </row>
    <row r="5638" spans="1:8" x14ac:dyDescent="0.4">
      <c r="A5638">
        <v>2001</v>
      </c>
      <c r="B5638" s="5" t="s">
        <v>429</v>
      </c>
      <c r="C5638" s="5" t="s">
        <v>712</v>
      </c>
      <c r="D5638" s="25" t="s">
        <v>68</v>
      </c>
      <c r="E5638" s="64" t="s">
        <v>77</v>
      </c>
      <c r="F5638" s="30">
        <v>99</v>
      </c>
      <c r="G5638" s="30">
        <v>65</v>
      </c>
      <c r="H5638" s="30">
        <v>34</v>
      </c>
    </row>
    <row r="5639" spans="1:8" x14ac:dyDescent="0.4">
      <c r="A5639">
        <v>2001</v>
      </c>
      <c r="B5639" s="5" t="s">
        <v>430</v>
      </c>
      <c r="C5639" s="5" t="s">
        <v>712</v>
      </c>
      <c r="D5639" s="25" t="s">
        <v>68</v>
      </c>
      <c r="E5639" s="64" t="s">
        <v>51</v>
      </c>
      <c r="F5639" s="30">
        <v>17</v>
      </c>
      <c r="G5639" s="30">
        <v>12</v>
      </c>
      <c r="H5639" s="30">
        <v>5</v>
      </c>
    </row>
    <row r="5640" spans="1:8" x14ac:dyDescent="0.4">
      <c r="A5640">
        <v>2001</v>
      </c>
      <c r="B5640" s="5" t="s">
        <v>431</v>
      </c>
      <c r="C5640" s="5" t="s">
        <v>713</v>
      </c>
      <c r="D5640" s="25" t="s">
        <v>79</v>
      </c>
      <c r="E5640" s="64" t="s">
        <v>78</v>
      </c>
      <c r="F5640" s="30">
        <v>255</v>
      </c>
      <c r="G5640" s="30">
        <v>142</v>
      </c>
      <c r="H5640" s="30">
        <v>113</v>
      </c>
    </row>
    <row r="5641" spans="1:8" x14ac:dyDescent="0.4">
      <c r="A5641">
        <v>2001</v>
      </c>
      <c r="B5641" s="5" t="s">
        <v>432</v>
      </c>
      <c r="C5641" s="5" t="s">
        <v>713</v>
      </c>
      <c r="D5641" s="25" t="s">
        <v>79</v>
      </c>
      <c r="E5641" s="64" t="s">
        <v>80</v>
      </c>
      <c r="F5641" s="30">
        <v>429</v>
      </c>
      <c r="G5641" s="30">
        <v>259</v>
      </c>
      <c r="H5641" s="30">
        <v>170</v>
      </c>
    </row>
    <row r="5642" spans="1:8" x14ac:dyDescent="0.4">
      <c r="A5642">
        <v>2001</v>
      </c>
      <c r="B5642" s="5" t="s">
        <v>433</v>
      </c>
      <c r="C5642" s="5" t="s">
        <v>713</v>
      </c>
      <c r="D5642" s="25" t="s">
        <v>79</v>
      </c>
      <c r="E5642" s="64" t="s">
        <v>81</v>
      </c>
      <c r="F5642" s="30">
        <v>233</v>
      </c>
      <c r="G5642" s="30">
        <v>135</v>
      </c>
      <c r="H5642" s="30">
        <v>98</v>
      </c>
    </row>
    <row r="5643" spans="1:8" x14ac:dyDescent="0.4">
      <c r="A5643">
        <v>2001</v>
      </c>
      <c r="B5643" s="5" t="s">
        <v>434</v>
      </c>
      <c r="C5643" s="5" t="s">
        <v>713</v>
      </c>
      <c r="D5643" s="25" t="s">
        <v>79</v>
      </c>
      <c r="E5643" s="64" t="s">
        <v>82</v>
      </c>
      <c r="F5643" s="30">
        <v>420</v>
      </c>
      <c r="G5643" s="30">
        <v>253</v>
      </c>
      <c r="H5643" s="30">
        <v>167</v>
      </c>
    </row>
    <row r="5644" spans="1:8" x14ac:dyDescent="0.4">
      <c r="A5644">
        <v>2001</v>
      </c>
      <c r="B5644" s="5" t="s">
        <v>435</v>
      </c>
      <c r="C5644" s="5" t="s">
        <v>713</v>
      </c>
      <c r="D5644" s="25" t="s">
        <v>79</v>
      </c>
      <c r="E5644" s="64" t="s">
        <v>83</v>
      </c>
      <c r="F5644" s="30">
        <v>162</v>
      </c>
      <c r="G5644" s="30">
        <v>109</v>
      </c>
      <c r="H5644" s="30">
        <v>53</v>
      </c>
    </row>
    <row r="5645" spans="1:8" x14ac:dyDescent="0.4">
      <c r="A5645">
        <v>2001</v>
      </c>
      <c r="B5645" s="5" t="s">
        <v>436</v>
      </c>
      <c r="C5645" s="5" t="s">
        <v>713</v>
      </c>
      <c r="D5645" s="25" t="s">
        <v>79</v>
      </c>
      <c r="E5645" s="64" t="s">
        <v>44</v>
      </c>
      <c r="F5645" s="30">
        <v>403</v>
      </c>
      <c r="G5645" s="30">
        <v>296</v>
      </c>
      <c r="H5645" s="30">
        <v>107</v>
      </c>
    </row>
    <row r="5646" spans="1:8" x14ac:dyDescent="0.4">
      <c r="A5646">
        <v>2001</v>
      </c>
      <c r="B5646" s="5" t="s">
        <v>437</v>
      </c>
      <c r="C5646" s="5" t="s">
        <v>713</v>
      </c>
      <c r="D5646" s="25" t="s">
        <v>79</v>
      </c>
      <c r="E5646" s="64" t="s">
        <v>84</v>
      </c>
      <c r="F5646" s="30">
        <v>200</v>
      </c>
      <c r="G5646" s="30">
        <v>131</v>
      </c>
      <c r="H5646" s="30">
        <v>69</v>
      </c>
    </row>
    <row r="5647" spans="1:8" x14ac:dyDescent="0.4">
      <c r="A5647">
        <v>2001</v>
      </c>
      <c r="B5647" s="5" t="s">
        <v>438</v>
      </c>
      <c r="C5647" s="5" t="s">
        <v>713</v>
      </c>
      <c r="D5647" s="25" t="s">
        <v>79</v>
      </c>
      <c r="E5647" s="64" t="s">
        <v>85</v>
      </c>
      <c r="F5647" s="30">
        <v>61</v>
      </c>
      <c r="G5647" s="30">
        <v>37</v>
      </c>
      <c r="H5647" s="30">
        <v>24</v>
      </c>
    </row>
    <row r="5648" spans="1:8" x14ac:dyDescent="0.4">
      <c r="A5648">
        <v>2001</v>
      </c>
      <c r="B5648" s="5" t="s">
        <v>439</v>
      </c>
      <c r="C5648" s="5" t="s">
        <v>713</v>
      </c>
      <c r="D5648" s="25" t="s">
        <v>79</v>
      </c>
      <c r="E5648" s="64" t="s">
        <v>86</v>
      </c>
      <c r="F5648" s="30">
        <v>36</v>
      </c>
      <c r="G5648" s="30">
        <v>23</v>
      </c>
      <c r="H5648" s="30">
        <v>13</v>
      </c>
    </row>
    <row r="5649" spans="1:8" x14ac:dyDescent="0.4">
      <c r="A5649">
        <v>2001</v>
      </c>
      <c r="B5649" s="5" t="s">
        <v>440</v>
      </c>
      <c r="C5649" s="5" t="s">
        <v>713</v>
      </c>
      <c r="D5649" s="25" t="s">
        <v>79</v>
      </c>
      <c r="E5649" s="64" t="s">
        <v>87</v>
      </c>
      <c r="F5649" s="30">
        <v>1360</v>
      </c>
      <c r="G5649" s="30">
        <v>738</v>
      </c>
      <c r="H5649" s="30">
        <v>622</v>
      </c>
    </row>
    <row r="5650" spans="1:8" x14ac:dyDescent="0.4">
      <c r="A5650">
        <v>2001</v>
      </c>
      <c r="B5650" s="5" t="s">
        <v>441</v>
      </c>
      <c r="C5650" s="5" t="s">
        <v>713</v>
      </c>
      <c r="D5650" s="25" t="s">
        <v>79</v>
      </c>
      <c r="E5650" s="64" t="s">
        <v>88</v>
      </c>
      <c r="F5650" s="30">
        <v>1127</v>
      </c>
      <c r="G5650" s="30">
        <v>689</v>
      </c>
      <c r="H5650" s="30">
        <v>438</v>
      </c>
    </row>
    <row r="5651" spans="1:8" x14ac:dyDescent="0.4">
      <c r="A5651">
        <v>2001</v>
      </c>
      <c r="B5651" s="5" t="s">
        <v>442</v>
      </c>
      <c r="C5651" s="5" t="s">
        <v>713</v>
      </c>
      <c r="D5651" s="25" t="s">
        <v>79</v>
      </c>
      <c r="E5651" s="64" t="s">
        <v>89</v>
      </c>
      <c r="F5651" s="30">
        <v>103</v>
      </c>
      <c r="G5651" s="30">
        <v>57</v>
      </c>
      <c r="H5651" s="30">
        <v>46</v>
      </c>
    </row>
    <row r="5652" spans="1:8" x14ac:dyDescent="0.4">
      <c r="A5652">
        <v>2001</v>
      </c>
      <c r="B5652" s="5" t="s">
        <v>443</v>
      </c>
      <c r="C5652" s="5" t="s">
        <v>713</v>
      </c>
      <c r="D5652" s="25" t="s">
        <v>79</v>
      </c>
      <c r="E5652" s="64" t="s">
        <v>90</v>
      </c>
      <c r="F5652" s="30">
        <v>104</v>
      </c>
      <c r="G5652" s="30">
        <v>68</v>
      </c>
      <c r="H5652" s="30">
        <v>36</v>
      </c>
    </row>
    <row r="5653" spans="1:8" x14ac:dyDescent="0.4">
      <c r="A5653">
        <v>2001</v>
      </c>
      <c r="B5653" s="5" t="s">
        <v>444</v>
      </c>
      <c r="C5653" s="5" t="s">
        <v>713</v>
      </c>
      <c r="D5653" s="25" t="s">
        <v>79</v>
      </c>
      <c r="E5653" s="65" t="s">
        <v>91</v>
      </c>
      <c r="F5653" s="31">
        <v>4231</v>
      </c>
      <c r="G5653" s="31">
        <v>2583</v>
      </c>
      <c r="H5653" s="31">
        <v>1648</v>
      </c>
    </row>
    <row r="5654" spans="1:8" x14ac:dyDescent="0.4">
      <c r="A5654">
        <v>2001</v>
      </c>
      <c r="B5654" s="5" t="s">
        <v>445</v>
      </c>
      <c r="C5654" s="5" t="s">
        <v>714</v>
      </c>
      <c r="D5654" s="25" t="s">
        <v>93</v>
      </c>
      <c r="E5654" s="64" t="s">
        <v>92</v>
      </c>
      <c r="F5654" s="30">
        <v>50</v>
      </c>
      <c r="G5654" s="30">
        <v>32</v>
      </c>
      <c r="H5654" s="30">
        <v>18</v>
      </c>
    </row>
    <row r="5655" spans="1:8" x14ac:dyDescent="0.4">
      <c r="A5655">
        <v>2001</v>
      </c>
      <c r="B5655" s="5" t="s">
        <v>446</v>
      </c>
      <c r="C5655" s="5" t="s">
        <v>714</v>
      </c>
      <c r="D5655" s="25" t="s">
        <v>93</v>
      </c>
      <c r="E5655" s="64" t="s">
        <v>94</v>
      </c>
      <c r="F5655" s="30">
        <v>314</v>
      </c>
      <c r="G5655" s="30">
        <v>203</v>
      </c>
      <c r="H5655" s="30">
        <v>111</v>
      </c>
    </row>
    <row r="5656" spans="1:8" x14ac:dyDescent="0.4">
      <c r="A5656">
        <v>2001</v>
      </c>
      <c r="B5656" s="5" t="s">
        <v>447</v>
      </c>
      <c r="C5656" s="5" t="s">
        <v>714</v>
      </c>
      <c r="D5656" s="25" t="s">
        <v>93</v>
      </c>
      <c r="E5656" s="64" t="s">
        <v>40</v>
      </c>
      <c r="F5656" s="30">
        <v>30</v>
      </c>
      <c r="G5656" s="30">
        <v>17</v>
      </c>
      <c r="H5656" s="30">
        <v>13</v>
      </c>
    </row>
    <row r="5657" spans="1:8" x14ac:dyDescent="0.4">
      <c r="A5657">
        <v>2001</v>
      </c>
      <c r="B5657" s="5" t="s">
        <v>448</v>
      </c>
      <c r="C5657" s="5" t="s">
        <v>714</v>
      </c>
      <c r="D5657" s="25" t="s">
        <v>93</v>
      </c>
      <c r="E5657" s="64" t="s">
        <v>95</v>
      </c>
      <c r="F5657" s="30">
        <v>17</v>
      </c>
      <c r="G5657" s="30">
        <v>9</v>
      </c>
      <c r="H5657" s="30">
        <v>8</v>
      </c>
    </row>
    <row r="5658" spans="1:8" x14ac:dyDescent="0.4">
      <c r="A5658">
        <v>2001</v>
      </c>
      <c r="B5658" s="5" t="s">
        <v>449</v>
      </c>
      <c r="C5658" s="5" t="s">
        <v>714</v>
      </c>
      <c r="D5658" s="25" t="s">
        <v>93</v>
      </c>
      <c r="E5658" s="64" t="s">
        <v>96</v>
      </c>
      <c r="F5658" s="30">
        <v>34</v>
      </c>
      <c r="G5658" s="30">
        <v>26</v>
      </c>
      <c r="H5658" s="30">
        <v>8</v>
      </c>
    </row>
    <row r="5659" spans="1:8" x14ac:dyDescent="0.4">
      <c r="A5659">
        <v>2001</v>
      </c>
      <c r="B5659" s="5" t="s">
        <v>450</v>
      </c>
      <c r="C5659" s="5" t="s">
        <v>714</v>
      </c>
      <c r="D5659" s="25" t="s">
        <v>93</v>
      </c>
      <c r="E5659" s="64" t="s">
        <v>97</v>
      </c>
      <c r="F5659" s="30">
        <v>24</v>
      </c>
      <c r="G5659" s="30">
        <v>21</v>
      </c>
      <c r="H5659" s="30">
        <v>3</v>
      </c>
    </row>
    <row r="5660" spans="1:8" x14ac:dyDescent="0.4">
      <c r="A5660">
        <v>2001</v>
      </c>
      <c r="B5660" s="5" t="s">
        <v>451</v>
      </c>
      <c r="C5660" s="5" t="s">
        <v>714</v>
      </c>
      <c r="D5660" s="25" t="s">
        <v>93</v>
      </c>
      <c r="E5660" s="64" t="s">
        <v>34</v>
      </c>
      <c r="F5660" s="30">
        <v>23</v>
      </c>
      <c r="G5660" s="30">
        <v>16</v>
      </c>
      <c r="H5660" s="30">
        <v>7</v>
      </c>
    </row>
    <row r="5661" spans="1:8" x14ac:dyDescent="0.4">
      <c r="A5661">
        <v>2001</v>
      </c>
      <c r="B5661" s="5" t="s">
        <v>452</v>
      </c>
      <c r="C5661" s="5" t="s">
        <v>714</v>
      </c>
      <c r="D5661" s="25" t="s">
        <v>93</v>
      </c>
      <c r="E5661" s="64" t="s">
        <v>98</v>
      </c>
      <c r="F5661" s="30">
        <v>569</v>
      </c>
      <c r="G5661" s="30">
        <v>329</v>
      </c>
      <c r="H5661" s="30">
        <v>240</v>
      </c>
    </row>
    <row r="5662" spans="1:8" x14ac:dyDescent="0.4">
      <c r="A5662">
        <v>2001</v>
      </c>
      <c r="B5662" s="5" t="s">
        <v>453</v>
      </c>
      <c r="C5662" s="5" t="s">
        <v>714</v>
      </c>
      <c r="D5662" s="25" t="s">
        <v>93</v>
      </c>
      <c r="E5662" s="64" t="s">
        <v>99</v>
      </c>
      <c r="F5662" s="30">
        <v>91</v>
      </c>
      <c r="G5662" s="30">
        <v>62</v>
      </c>
      <c r="H5662" s="30">
        <v>29</v>
      </c>
    </row>
    <row r="5663" spans="1:8" x14ac:dyDescent="0.4">
      <c r="A5663">
        <v>2001</v>
      </c>
      <c r="B5663" s="5" t="s">
        <v>454</v>
      </c>
      <c r="C5663" s="5" t="s">
        <v>715</v>
      </c>
      <c r="D5663" s="25" t="s">
        <v>101</v>
      </c>
      <c r="E5663" s="64" t="s">
        <v>100</v>
      </c>
      <c r="F5663" s="30">
        <v>25</v>
      </c>
      <c r="G5663" s="30">
        <v>14</v>
      </c>
      <c r="H5663" s="30">
        <v>11</v>
      </c>
    </row>
    <row r="5664" spans="1:8" x14ac:dyDescent="0.4">
      <c r="A5664">
        <v>2001</v>
      </c>
      <c r="B5664" s="5" t="s">
        <v>455</v>
      </c>
      <c r="C5664" s="5" t="s">
        <v>715</v>
      </c>
      <c r="D5664" s="25" t="s">
        <v>101</v>
      </c>
      <c r="E5664" s="64" t="s">
        <v>102</v>
      </c>
      <c r="F5664" s="30">
        <v>23</v>
      </c>
      <c r="G5664" s="30">
        <v>17</v>
      </c>
      <c r="H5664" s="30">
        <v>6</v>
      </c>
    </row>
    <row r="5665" spans="1:8" x14ac:dyDescent="0.4">
      <c r="A5665">
        <v>2001</v>
      </c>
      <c r="B5665" s="5" t="s">
        <v>456</v>
      </c>
      <c r="C5665" s="5" t="s">
        <v>715</v>
      </c>
      <c r="D5665" s="25" t="s">
        <v>101</v>
      </c>
      <c r="E5665" s="64" t="s">
        <v>103</v>
      </c>
      <c r="F5665" s="30">
        <v>6</v>
      </c>
      <c r="G5665" s="30">
        <v>4</v>
      </c>
      <c r="H5665" s="30">
        <v>2</v>
      </c>
    </row>
    <row r="5666" spans="1:8" x14ac:dyDescent="0.4">
      <c r="A5666">
        <v>2001</v>
      </c>
      <c r="B5666" s="5" t="s">
        <v>457</v>
      </c>
      <c r="C5666" s="5" t="s">
        <v>715</v>
      </c>
      <c r="D5666" s="25" t="s">
        <v>101</v>
      </c>
      <c r="E5666" s="64" t="s">
        <v>104</v>
      </c>
      <c r="F5666" s="30">
        <v>362</v>
      </c>
      <c r="G5666" s="30">
        <v>228</v>
      </c>
      <c r="H5666" s="30">
        <v>134</v>
      </c>
    </row>
    <row r="5667" spans="1:8" x14ac:dyDescent="0.4">
      <c r="A5667">
        <v>2001</v>
      </c>
      <c r="B5667" s="5" t="s">
        <v>458</v>
      </c>
      <c r="C5667" s="5" t="s">
        <v>716</v>
      </c>
      <c r="D5667" s="25" t="s">
        <v>129</v>
      </c>
      <c r="E5667" s="64" t="s">
        <v>128</v>
      </c>
      <c r="F5667" s="30">
        <v>48</v>
      </c>
      <c r="G5667" s="30">
        <v>26</v>
      </c>
      <c r="H5667" s="30">
        <v>22</v>
      </c>
    </row>
    <row r="5668" spans="1:8" x14ac:dyDescent="0.4">
      <c r="A5668">
        <v>2001</v>
      </c>
      <c r="B5668" s="5" t="s">
        <v>459</v>
      </c>
      <c r="C5668" s="5" t="s">
        <v>716</v>
      </c>
      <c r="D5668" s="25" t="s">
        <v>129</v>
      </c>
      <c r="E5668" s="64" t="s">
        <v>36</v>
      </c>
      <c r="F5668" s="30">
        <v>26</v>
      </c>
      <c r="G5668" s="30">
        <v>17</v>
      </c>
      <c r="H5668" s="30">
        <v>9</v>
      </c>
    </row>
    <row r="5669" spans="1:8" x14ac:dyDescent="0.4">
      <c r="A5669">
        <v>2001</v>
      </c>
      <c r="B5669" s="5" t="s">
        <v>460</v>
      </c>
      <c r="C5669" s="5" t="s">
        <v>716</v>
      </c>
      <c r="D5669" s="25" t="s">
        <v>129</v>
      </c>
      <c r="E5669" s="64" t="s">
        <v>130</v>
      </c>
      <c r="F5669" s="30">
        <v>48</v>
      </c>
      <c r="G5669" s="30">
        <v>22</v>
      </c>
      <c r="H5669" s="30">
        <v>26</v>
      </c>
    </row>
    <row r="5670" spans="1:8" x14ac:dyDescent="0.4">
      <c r="A5670">
        <v>2001</v>
      </c>
      <c r="B5670" s="5" t="s">
        <v>461</v>
      </c>
      <c r="C5670" s="5" t="s">
        <v>716</v>
      </c>
      <c r="D5670" s="25" t="s">
        <v>129</v>
      </c>
      <c r="E5670" s="64" t="s">
        <v>131</v>
      </c>
      <c r="F5670" s="30">
        <v>22</v>
      </c>
      <c r="G5670" s="30">
        <v>16</v>
      </c>
      <c r="H5670" s="30">
        <v>6</v>
      </c>
    </row>
    <row r="5671" spans="1:8" x14ac:dyDescent="0.4">
      <c r="A5671">
        <v>2001</v>
      </c>
      <c r="B5671" s="5" t="s">
        <v>462</v>
      </c>
      <c r="C5671" s="5" t="s">
        <v>716</v>
      </c>
      <c r="D5671" s="25" t="s">
        <v>129</v>
      </c>
      <c r="E5671" s="64" t="s">
        <v>132</v>
      </c>
      <c r="F5671" s="30">
        <v>632</v>
      </c>
      <c r="G5671" s="30">
        <v>356</v>
      </c>
      <c r="H5671" s="30">
        <v>276</v>
      </c>
    </row>
    <row r="5672" spans="1:8" x14ac:dyDescent="0.4">
      <c r="A5672">
        <v>2001</v>
      </c>
      <c r="B5672" s="5" t="s">
        <v>463</v>
      </c>
      <c r="C5672" s="5" t="s">
        <v>716</v>
      </c>
      <c r="D5672" s="25" t="s">
        <v>129</v>
      </c>
      <c r="E5672" s="64" t="s">
        <v>133</v>
      </c>
      <c r="F5672" s="30">
        <v>46</v>
      </c>
      <c r="G5672" s="30">
        <v>23</v>
      </c>
      <c r="H5672" s="30">
        <v>23</v>
      </c>
    </row>
    <row r="5673" spans="1:8" x14ac:dyDescent="0.4">
      <c r="A5673">
        <v>2001</v>
      </c>
      <c r="B5673" s="5" t="s">
        <v>464</v>
      </c>
      <c r="C5673" s="5" t="s">
        <v>716</v>
      </c>
      <c r="D5673" s="25" t="s">
        <v>129</v>
      </c>
      <c r="E5673" s="64" t="s">
        <v>134</v>
      </c>
      <c r="F5673" s="30">
        <v>52</v>
      </c>
      <c r="G5673" s="30">
        <v>30</v>
      </c>
      <c r="H5673" s="30">
        <v>22</v>
      </c>
    </row>
    <row r="5674" spans="1:8" x14ac:dyDescent="0.4">
      <c r="A5674">
        <v>2001</v>
      </c>
      <c r="B5674" s="5" t="s">
        <v>465</v>
      </c>
      <c r="C5674" s="5" t="s">
        <v>716</v>
      </c>
      <c r="D5674" s="25" t="s">
        <v>129</v>
      </c>
      <c r="E5674" s="64" t="s">
        <v>135</v>
      </c>
      <c r="F5674" s="30">
        <v>3</v>
      </c>
      <c r="G5674" s="30">
        <v>3</v>
      </c>
      <c r="H5674" s="30">
        <v>0</v>
      </c>
    </row>
    <row r="5675" spans="1:8" x14ac:dyDescent="0.4">
      <c r="A5675">
        <v>2001</v>
      </c>
      <c r="B5675" s="5" t="s">
        <v>466</v>
      </c>
      <c r="C5675" s="5" t="s">
        <v>716</v>
      </c>
      <c r="D5675" s="25" t="s">
        <v>129</v>
      </c>
      <c r="E5675" s="64" t="s">
        <v>94</v>
      </c>
      <c r="F5675" s="30">
        <v>104</v>
      </c>
      <c r="G5675" s="30">
        <v>53</v>
      </c>
      <c r="H5675" s="30">
        <v>51</v>
      </c>
    </row>
    <row r="5676" spans="1:8" x14ac:dyDescent="0.4">
      <c r="A5676">
        <v>2001</v>
      </c>
      <c r="B5676" s="5" t="s">
        <v>467</v>
      </c>
      <c r="C5676" s="5" t="s">
        <v>716</v>
      </c>
      <c r="D5676" s="25" t="s">
        <v>129</v>
      </c>
      <c r="E5676" s="64" t="s">
        <v>136</v>
      </c>
      <c r="F5676" s="30">
        <v>70</v>
      </c>
      <c r="G5676" s="30">
        <v>42</v>
      </c>
      <c r="H5676" s="30">
        <v>28</v>
      </c>
    </row>
    <row r="5677" spans="1:8" x14ac:dyDescent="0.4">
      <c r="A5677">
        <v>2001</v>
      </c>
      <c r="B5677" s="5" t="s">
        <v>468</v>
      </c>
      <c r="C5677" s="5" t="s">
        <v>716</v>
      </c>
      <c r="D5677" s="25" t="s">
        <v>129</v>
      </c>
      <c r="E5677" s="64" t="s">
        <v>137</v>
      </c>
      <c r="F5677" s="30">
        <v>19</v>
      </c>
      <c r="G5677" s="30">
        <v>12</v>
      </c>
      <c r="H5677" s="30">
        <v>7</v>
      </c>
    </row>
    <row r="5678" spans="1:8" x14ac:dyDescent="0.4">
      <c r="A5678">
        <v>2001</v>
      </c>
      <c r="B5678" s="5" t="s">
        <v>469</v>
      </c>
      <c r="C5678" s="5" t="s">
        <v>716</v>
      </c>
      <c r="D5678" s="25" t="s">
        <v>129</v>
      </c>
      <c r="E5678" s="64" t="s">
        <v>138</v>
      </c>
      <c r="F5678" s="30">
        <v>97</v>
      </c>
      <c r="G5678" s="30">
        <v>68</v>
      </c>
      <c r="H5678" s="30">
        <v>29</v>
      </c>
    </row>
    <row r="5679" spans="1:8" x14ac:dyDescent="0.4">
      <c r="A5679">
        <v>2001</v>
      </c>
      <c r="B5679" s="5" t="s">
        <v>470</v>
      </c>
      <c r="C5679" s="5" t="s">
        <v>716</v>
      </c>
      <c r="D5679" s="25" t="s">
        <v>129</v>
      </c>
      <c r="E5679" s="64" t="s">
        <v>139</v>
      </c>
      <c r="F5679" s="30">
        <v>70</v>
      </c>
      <c r="G5679" s="30">
        <v>42</v>
      </c>
      <c r="H5679" s="30">
        <v>28</v>
      </c>
    </row>
    <row r="5680" spans="1:8" x14ac:dyDescent="0.4">
      <c r="A5680">
        <v>2001</v>
      </c>
      <c r="B5680" s="5" t="s">
        <v>471</v>
      </c>
      <c r="C5680" s="5" t="s">
        <v>716</v>
      </c>
      <c r="D5680" s="25" t="s">
        <v>129</v>
      </c>
      <c r="E5680" s="64" t="s">
        <v>85</v>
      </c>
      <c r="F5680" s="30">
        <v>959</v>
      </c>
      <c r="G5680" s="30">
        <v>544</v>
      </c>
      <c r="H5680" s="30">
        <v>415</v>
      </c>
    </row>
    <row r="5681" spans="1:8" x14ac:dyDescent="0.4">
      <c r="A5681">
        <v>2001</v>
      </c>
      <c r="B5681" s="5" t="s">
        <v>472</v>
      </c>
      <c r="C5681" s="5" t="s">
        <v>716</v>
      </c>
      <c r="D5681" s="25" t="s">
        <v>129</v>
      </c>
      <c r="E5681" s="64" t="s">
        <v>140</v>
      </c>
      <c r="F5681" s="30">
        <v>46</v>
      </c>
      <c r="G5681" s="30">
        <v>38</v>
      </c>
      <c r="H5681" s="30">
        <v>8</v>
      </c>
    </row>
    <row r="5682" spans="1:8" x14ac:dyDescent="0.4">
      <c r="A5682">
        <v>2001</v>
      </c>
      <c r="B5682" s="5" t="s">
        <v>473</v>
      </c>
      <c r="C5682" s="5" t="s">
        <v>716</v>
      </c>
      <c r="D5682" s="25" t="s">
        <v>129</v>
      </c>
      <c r="E5682" s="64" t="s">
        <v>141</v>
      </c>
      <c r="F5682" s="30">
        <v>3</v>
      </c>
      <c r="G5682" s="30">
        <v>2</v>
      </c>
      <c r="H5682" s="32">
        <v>1</v>
      </c>
    </row>
    <row r="5683" spans="1:8" x14ac:dyDescent="0.4">
      <c r="A5683">
        <v>2001</v>
      </c>
      <c r="B5683" s="5" t="s">
        <v>474</v>
      </c>
      <c r="C5683" s="5" t="s">
        <v>716</v>
      </c>
      <c r="D5683" s="25" t="s">
        <v>129</v>
      </c>
      <c r="E5683" s="64" t="s">
        <v>143</v>
      </c>
      <c r="F5683" s="30">
        <v>41</v>
      </c>
      <c r="G5683" s="30">
        <v>23</v>
      </c>
      <c r="H5683" s="30">
        <v>18</v>
      </c>
    </row>
    <row r="5684" spans="1:8" x14ac:dyDescent="0.4">
      <c r="A5684">
        <v>2001</v>
      </c>
      <c r="B5684" s="5" t="s">
        <v>475</v>
      </c>
      <c r="C5684" s="5" t="s">
        <v>716</v>
      </c>
      <c r="D5684" s="25" t="s">
        <v>129</v>
      </c>
      <c r="E5684" s="64" t="s">
        <v>21</v>
      </c>
      <c r="F5684" s="30">
        <v>28</v>
      </c>
      <c r="G5684" s="30">
        <v>15</v>
      </c>
      <c r="H5684" s="30">
        <v>13</v>
      </c>
    </row>
    <row r="5685" spans="1:8" x14ac:dyDescent="0.4">
      <c r="A5685">
        <v>2001</v>
      </c>
      <c r="B5685" s="5" t="s">
        <v>476</v>
      </c>
      <c r="C5685" s="5" t="s">
        <v>716</v>
      </c>
      <c r="D5685" s="25" t="s">
        <v>129</v>
      </c>
      <c r="E5685" s="64" t="s">
        <v>144</v>
      </c>
      <c r="F5685" s="30">
        <v>21</v>
      </c>
      <c r="G5685" s="30">
        <v>15</v>
      </c>
      <c r="H5685" s="30">
        <v>6</v>
      </c>
    </row>
    <row r="5686" spans="1:8" x14ac:dyDescent="0.4">
      <c r="A5686">
        <v>2001</v>
      </c>
      <c r="B5686" s="5" t="s">
        <v>477</v>
      </c>
      <c r="C5686" s="5" t="s">
        <v>716</v>
      </c>
      <c r="D5686" s="25" t="s">
        <v>129</v>
      </c>
      <c r="E5686" s="64" t="s">
        <v>145</v>
      </c>
      <c r="F5686" s="30">
        <v>232</v>
      </c>
      <c r="G5686" s="30">
        <v>156</v>
      </c>
      <c r="H5686" s="30">
        <v>76</v>
      </c>
    </row>
    <row r="5687" spans="1:8" x14ac:dyDescent="0.4">
      <c r="A5687">
        <v>2001</v>
      </c>
      <c r="B5687" s="5" t="s">
        <v>478</v>
      </c>
      <c r="C5687" s="5" t="s">
        <v>716</v>
      </c>
      <c r="D5687" s="25" t="s">
        <v>129</v>
      </c>
      <c r="E5687" s="64" t="s">
        <v>51</v>
      </c>
      <c r="F5687" s="30">
        <v>16</v>
      </c>
      <c r="G5687" s="30">
        <v>9</v>
      </c>
      <c r="H5687" s="30">
        <v>7</v>
      </c>
    </row>
    <row r="5688" spans="1:8" x14ac:dyDescent="0.4">
      <c r="A5688">
        <v>2001</v>
      </c>
      <c r="B5688" s="5" t="s">
        <v>479</v>
      </c>
      <c r="C5688" s="5" t="s">
        <v>716</v>
      </c>
      <c r="D5688" s="25" t="s">
        <v>129</v>
      </c>
      <c r="E5688" s="64" t="s">
        <v>146</v>
      </c>
      <c r="F5688" s="30">
        <v>5</v>
      </c>
      <c r="G5688" s="30">
        <v>3</v>
      </c>
      <c r="H5688" s="30">
        <v>2</v>
      </c>
    </row>
    <row r="5689" spans="1:8" x14ac:dyDescent="0.4">
      <c r="A5689">
        <v>2001</v>
      </c>
      <c r="B5689" s="5" t="s">
        <v>480</v>
      </c>
      <c r="C5689" s="5" t="s">
        <v>716</v>
      </c>
      <c r="D5689" s="25" t="s">
        <v>129</v>
      </c>
      <c r="E5689" s="64" t="s">
        <v>147</v>
      </c>
      <c r="F5689" s="30">
        <v>35</v>
      </c>
      <c r="G5689" s="30">
        <v>22</v>
      </c>
      <c r="H5689" s="30">
        <v>13</v>
      </c>
    </row>
    <row r="5690" spans="1:8" x14ac:dyDescent="0.4">
      <c r="A5690">
        <v>2001</v>
      </c>
      <c r="B5690" s="5" t="s">
        <v>481</v>
      </c>
      <c r="C5690" s="5" t="s">
        <v>716</v>
      </c>
      <c r="D5690" s="25" t="s">
        <v>129</v>
      </c>
      <c r="E5690" s="64" t="s">
        <v>148</v>
      </c>
      <c r="F5690" s="30">
        <v>14</v>
      </c>
      <c r="G5690" s="30">
        <v>8</v>
      </c>
      <c r="H5690" s="30">
        <v>6</v>
      </c>
    </row>
    <row r="5691" spans="1:8" x14ac:dyDescent="0.4">
      <c r="A5691">
        <v>2001</v>
      </c>
      <c r="B5691" s="5" t="s">
        <v>482</v>
      </c>
      <c r="C5691" s="5" t="s">
        <v>716</v>
      </c>
      <c r="D5691" s="25" t="s">
        <v>129</v>
      </c>
      <c r="E5691" s="64" t="s">
        <v>54</v>
      </c>
      <c r="F5691" s="30">
        <v>4</v>
      </c>
      <c r="G5691" s="30">
        <v>1</v>
      </c>
      <c r="H5691" s="30">
        <v>3</v>
      </c>
    </row>
    <row r="5692" spans="1:8" x14ac:dyDescent="0.4">
      <c r="A5692">
        <v>2001</v>
      </c>
      <c r="B5692" s="5" t="s">
        <v>483</v>
      </c>
      <c r="C5692" s="5" t="s">
        <v>717</v>
      </c>
      <c r="D5692" s="25" t="s">
        <v>150</v>
      </c>
      <c r="E5692" s="64" t="s">
        <v>149</v>
      </c>
      <c r="F5692" s="30">
        <v>20</v>
      </c>
      <c r="G5692" s="30">
        <v>7</v>
      </c>
      <c r="H5692" s="30">
        <v>13</v>
      </c>
    </row>
    <row r="5693" spans="1:8" x14ac:dyDescent="0.4">
      <c r="A5693">
        <v>2001</v>
      </c>
      <c r="B5693" s="5" t="s">
        <v>484</v>
      </c>
      <c r="C5693" s="5" t="s">
        <v>717</v>
      </c>
      <c r="D5693" s="25" t="s">
        <v>150</v>
      </c>
      <c r="E5693" s="64" t="s">
        <v>151</v>
      </c>
      <c r="F5693" s="30">
        <v>28</v>
      </c>
      <c r="G5693" s="30">
        <v>19</v>
      </c>
      <c r="H5693" s="30">
        <v>9</v>
      </c>
    </row>
    <row r="5694" spans="1:8" x14ac:dyDescent="0.4">
      <c r="A5694">
        <v>2001</v>
      </c>
      <c r="B5694" s="5" t="s">
        <v>485</v>
      </c>
      <c r="C5694" s="5" t="s">
        <v>717</v>
      </c>
      <c r="D5694" s="25" t="s">
        <v>150</v>
      </c>
      <c r="E5694" s="64" t="s">
        <v>152</v>
      </c>
      <c r="F5694" s="30">
        <v>36</v>
      </c>
      <c r="G5694" s="30">
        <v>19</v>
      </c>
      <c r="H5694" s="30">
        <v>17</v>
      </c>
    </row>
    <row r="5695" spans="1:8" x14ac:dyDescent="0.4">
      <c r="A5695">
        <v>2001</v>
      </c>
      <c r="B5695" s="5" t="s">
        <v>486</v>
      </c>
      <c r="C5695" s="5" t="s">
        <v>717</v>
      </c>
      <c r="D5695" s="25" t="s">
        <v>150</v>
      </c>
      <c r="E5695" s="64" t="s">
        <v>153</v>
      </c>
      <c r="F5695" s="30">
        <v>8</v>
      </c>
      <c r="G5695" s="30">
        <v>5</v>
      </c>
      <c r="H5695" s="30">
        <v>3</v>
      </c>
    </row>
    <row r="5696" spans="1:8" x14ac:dyDescent="0.4">
      <c r="A5696">
        <v>2001</v>
      </c>
      <c r="B5696" s="5" t="s">
        <v>487</v>
      </c>
      <c r="C5696" s="5" t="s">
        <v>717</v>
      </c>
      <c r="D5696" s="25" t="s">
        <v>150</v>
      </c>
      <c r="E5696" s="64" t="s">
        <v>154</v>
      </c>
      <c r="F5696" s="30">
        <v>666</v>
      </c>
      <c r="G5696" s="30">
        <v>397</v>
      </c>
      <c r="H5696" s="30">
        <v>269</v>
      </c>
    </row>
    <row r="5697" spans="1:8" x14ac:dyDescent="0.4">
      <c r="A5697">
        <v>2001</v>
      </c>
      <c r="B5697" s="5" t="s">
        <v>488</v>
      </c>
      <c r="C5697" s="5" t="s">
        <v>717</v>
      </c>
      <c r="D5697" s="25" t="s">
        <v>150</v>
      </c>
      <c r="E5697" s="64" t="s">
        <v>155</v>
      </c>
      <c r="F5697" s="30">
        <v>84</v>
      </c>
      <c r="G5697" s="30">
        <v>56</v>
      </c>
      <c r="H5697" s="30">
        <v>28</v>
      </c>
    </row>
    <row r="5698" spans="1:8" x14ac:dyDescent="0.4">
      <c r="A5698">
        <v>2001</v>
      </c>
      <c r="B5698" s="5" t="s">
        <v>489</v>
      </c>
      <c r="C5698" s="5" t="s">
        <v>717</v>
      </c>
      <c r="D5698" s="25" t="s">
        <v>150</v>
      </c>
      <c r="E5698" s="64" t="s">
        <v>156</v>
      </c>
      <c r="F5698" s="30">
        <v>107</v>
      </c>
      <c r="G5698" s="30">
        <v>66</v>
      </c>
      <c r="H5698" s="30">
        <v>41</v>
      </c>
    </row>
    <row r="5699" spans="1:8" x14ac:dyDescent="0.4">
      <c r="A5699">
        <v>2001</v>
      </c>
      <c r="B5699" s="5" t="s">
        <v>490</v>
      </c>
      <c r="C5699" s="5" t="s">
        <v>717</v>
      </c>
      <c r="D5699" s="25" t="s">
        <v>150</v>
      </c>
      <c r="E5699" s="64" t="s">
        <v>85</v>
      </c>
      <c r="F5699" s="30">
        <v>524</v>
      </c>
      <c r="G5699" s="30">
        <v>318</v>
      </c>
      <c r="H5699" s="30">
        <v>206</v>
      </c>
    </row>
    <row r="5700" spans="1:8" x14ac:dyDescent="0.4">
      <c r="A5700">
        <v>2001</v>
      </c>
      <c r="B5700" s="5" t="s">
        <v>491</v>
      </c>
      <c r="C5700" s="5" t="s">
        <v>717</v>
      </c>
      <c r="D5700" s="25" t="s">
        <v>150</v>
      </c>
      <c r="E5700" s="64" t="s">
        <v>157</v>
      </c>
      <c r="F5700" s="30">
        <v>336</v>
      </c>
      <c r="G5700" s="30">
        <v>208</v>
      </c>
      <c r="H5700" s="30">
        <v>128</v>
      </c>
    </row>
    <row r="5701" spans="1:8" x14ac:dyDescent="0.4">
      <c r="A5701">
        <v>2001</v>
      </c>
      <c r="B5701" s="5" t="s">
        <v>492</v>
      </c>
      <c r="C5701" s="5" t="s">
        <v>717</v>
      </c>
      <c r="D5701" s="25" t="s">
        <v>150</v>
      </c>
      <c r="E5701" s="64" t="s">
        <v>158</v>
      </c>
      <c r="F5701" s="30">
        <v>39</v>
      </c>
      <c r="G5701" s="30">
        <v>20</v>
      </c>
      <c r="H5701" s="30">
        <v>19</v>
      </c>
    </row>
    <row r="5702" spans="1:8" x14ac:dyDescent="0.4">
      <c r="A5702">
        <v>2001</v>
      </c>
      <c r="B5702" s="5" t="s">
        <v>493</v>
      </c>
      <c r="C5702" s="5" t="s">
        <v>717</v>
      </c>
      <c r="D5702" s="25" t="s">
        <v>150</v>
      </c>
      <c r="E5702" s="64" t="s">
        <v>159</v>
      </c>
      <c r="F5702" s="30">
        <v>95</v>
      </c>
      <c r="G5702" s="30">
        <v>60</v>
      </c>
      <c r="H5702" s="30">
        <v>35</v>
      </c>
    </row>
    <row r="5703" spans="1:8" x14ac:dyDescent="0.4">
      <c r="A5703">
        <v>2001</v>
      </c>
      <c r="B5703" s="5" t="s">
        <v>494</v>
      </c>
      <c r="C5703" s="5" t="s">
        <v>717</v>
      </c>
      <c r="D5703" s="25" t="s">
        <v>150</v>
      </c>
      <c r="E5703" s="64" t="s">
        <v>76</v>
      </c>
      <c r="F5703" s="30">
        <v>752</v>
      </c>
      <c r="G5703" s="30">
        <v>479</v>
      </c>
      <c r="H5703" s="30">
        <v>273</v>
      </c>
    </row>
    <row r="5704" spans="1:8" x14ac:dyDescent="0.4">
      <c r="A5704">
        <v>2001</v>
      </c>
      <c r="B5704" s="5" t="s">
        <v>495</v>
      </c>
      <c r="C5704" s="5" t="s">
        <v>717</v>
      </c>
      <c r="D5704" s="25" t="s">
        <v>150</v>
      </c>
      <c r="E5704" s="64" t="s">
        <v>160</v>
      </c>
      <c r="F5704" s="30">
        <v>21</v>
      </c>
      <c r="G5704" s="30">
        <v>15</v>
      </c>
      <c r="H5704" s="30">
        <v>6</v>
      </c>
    </row>
    <row r="5705" spans="1:8" x14ac:dyDescent="0.4">
      <c r="A5705">
        <v>2001</v>
      </c>
      <c r="B5705" s="5" t="s">
        <v>496</v>
      </c>
      <c r="C5705" s="5" t="s">
        <v>717</v>
      </c>
      <c r="D5705" s="25" t="s">
        <v>150</v>
      </c>
      <c r="E5705" s="64" t="s">
        <v>161</v>
      </c>
      <c r="F5705" s="30">
        <v>36</v>
      </c>
      <c r="G5705" s="30">
        <v>28</v>
      </c>
      <c r="H5705" s="30">
        <v>8</v>
      </c>
    </row>
    <row r="5706" spans="1:8" x14ac:dyDescent="0.4">
      <c r="A5706">
        <v>2001</v>
      </c>
      <c r="B5706" s="5" t="s">
        <v>497</v>
      </c>
      <c r="C5706" s="5" t="s">
        <v>717</v>
      </c>
      <c r="D5706" s="25" t="s">
        <v>150</v>
      </c>
      <c r="E5706" s="65" t="s">
        <v>162</v>
      </c>
      <c r="F5706" s="31">
        <v>236</v>
      </c>
      <c r="G5706" s="31">
        <v>148</v>
      </c>
      <c r="H5706" s="31">
        <v>88</v>
      </c>
    </row>
    <row r="5707" spans="1:8" x14ac:dyDescent="0.4">
      <c r="A5707">
        <v>2001</v>
      </c>
      <c r="B5707" s="5" t="s">
        <v>498</v>
      </c>
      <c r="C5707" s="5" t="s">
        <v>718</v>
      </c>
      <c r="D5707" s="25" t="s">
        <v>164</v>
      </c>
      <c r="E5707" s="64" t="s">
        <v>163</v>
      </c>
      <c r="F5707" s="30">
        <v>129</v>
      </c>
      <c r="G5707" s="30">
        <v>82</v>
      </c>
      <c r="H5707" s="30">
        <v>47</v>
      </c>
    </row>
    <row r="5708" spans="1:8" x14ac:dyDescent="0.4">
      <c r="A5708">
        <v>2001</v>
      </c>
      <c r="B5708" s="5" t="s">
        <v>499</v>
      </c>
      <c r="C5708" s="5" t="s">
        <v>718</v>
      </c>
      <c r="D5708" s="25" t="s">
        <v>164</v>
      </c>
      <c r="E5708" s="64" t="s">
        <v>165</v>
      </c>
      <c r="F5708" s="30">
        <v>133</v>
      </c>
      <c r="G5708" s="30">
        <v>65</v>
      </c>
      <c r="H5708" s="30">
        <v>68</v>
      </c>
    </row>
    <row r="5709" spans="1:8" x14ac:dyDescent="0.4">
      <c r="A5709">
        <v>2001</v>
      </c>
      <c r="B5709" s="5" t="s">
        <v>500</v>
      </c>
      <c r="C5709" s="5" t="s">
        <v>718</v>
      </c>
      <c r="D5709" s="25" t="s">
        <v>164</v>
      </c>
      <c r="E5709" s="64" t="s">
        <v>166</v>
      </c>
      <c r="F5709" s="30">
        <v>5074</v>
      </c>
      <c r="G5709" s="30">
        <v>2973</v>
      </c>
      <c r="H5709" s="30">
        <v>2101</v>
      </c>
    </row>
    <row r="5710" spans="1:8" x14ac:dyDescent="0.4">
      <c r="A5710">
        <v>2001</v>
      </c>
      <c r="B5710" s="5" t="s">
        <v>501</v>
      </c>
      <c r="C5710" s="5" t="s">
        <v>718</v>
      </c>
      <c r="D5710" s="25" t="s">
        <v>164</v>
      </c>
      <c r="E5710" s="64" t="s">
        <v>167</v>
      </c>
      <c r="F5710" s="30">
        <v>253</v>
      </c>
      <c r="G5710" s="30">
        <v>166</v>
      </c>
      <c r="H5710" s="30">
        <v>87</v>
      </c>
    </row>
    <row r="5711" spans="1:8" x14ac:dyDescent="0.4">
      <c r="A5711">
        <v>2001</v>
      </c>
      <c r="B5711" s="5" t="s">
        <v>502</v>
      </c>
      <c r="C5711" s="5" t="s">
        <v>718</v>
      </c>
      <c r="D5711" s="25" t="s">
        <v>164</v>
      </c>
      <c r="E5711" s="64" t="s">
        <v>168</v>
      </c>
      <c r="F5711" s="30">
        <v>332</v>
      </c>
      <c r="G5711" s="30">
        <v>203</v>
      </c>
      <c r="H5711" s="30">
        <v>129</v>
      </c>
    </row>
    <row r="5712" spans="1:8" x14ac:dyDescent="0.4">
      <c r="A5712">
        <v>2001</v>
      </c>
      <c r="B5712" s="5" t="s">
        <v>503</v>
      </c>
      <c r="C5712" s="5" t="s">
        <v>718</v>
      </c>
      <c r="D5712" s="25" t="s">
        <v>164</v>
      </c>
      <c r="E5712" s="64" t="s">
        <v>169</v>
      </c>
      <c r="F5712" s="30">
        <v>259</v>
      </c>
      <c r="G5712" s="30">
        <v>155</v>
      </c>
      <c r="H5712" s="30">
        <v>104</v>
      </c>
    </row>
    <row r="5713" spans="1:8" x14ac:dyDescent="0.4">
      <c r="A5713">
        <v>2001</v>
      </c>
      <c r="B5713" s="5" t="s">
        <v>504</v>
      </c>
      <c r="C5713" s="5" t="s">
        <v>718</v>
      </c>
      <c r="D5713" s="25" t="s">
        <v>164</v>
      </c>
      <c r="E5713" s="64" t="s">
        <v>170</v>
      </c>
      <c r="F5713" s="30">
        <v>41</v>
      </c>
      <c r="G5713" s="30">
        <v>25</v>
      </c>
      <c r="H5713" s="30">
        <v>16</v>
      </c>
    </row>
    <row r="5714" spans="1:8" x14ac:dyDescent="0.4">
      <c r="A5714">
        <v>2001</v>
      </c>
      <c r="B5714" s="5" t="s">
        <v>505</v>
      </c>
      <c r="C5714" s="5" t="s">
        <v>718</v>
      </c>
      <c r="D5714" s="25" t="s">
        <v>164</v>
      </c>
      <c r="E5714" s="64" t="s">
        <v>171</v>
      </c>
      <c r="F5714" s="30">
        <v>723</v>
      </c>
      <c r="G5714" s="30">
        <v>399</v>
      </c>
      <c r="H5714" s="30">
        <v>324</v>
      </c>
    </row>
    <row r="5715" spans="1:8" x14ac:dyDescent="0.4">
      <c r="A5715">
        <v>2001</v>
      </c>
      <c r="B5715" s="5" t="s">
        <v>506</v>
      </c>
      <c r="C5715" s="5" t="s">
        <v>718</v>
      </c>
      <c r="D5715" s="25" t="s">
        <v>164</v>
      </c>
      <c r="E5715" s="64" t="s">
        <v>53</v>
      </c>
      <c r="F5715" s="30">
        <v>143</v>
      </c>
      <c r="G5715" s="30">
        <v>83</v>
      </c>
      <c r="H5715" s="30">
        <v>60</v>
      </c>
    </row>
    <row r="5716" spans="1:8" x14ac:dyDescent="0.4">
      <c r="A5716">
        <v>2001</v>
      </c>
      <c r="B5716" s="5" t="s">
        <v>507</v>
      </c>
      <c r="C5716" s="5" t="s">
        <v>719</v>
      </c>
      <c r="D5716" s="25" t="s">
        <v>173</v>
      </c>
      <c r="E5716" s="64" t="s">
        <v>172</v>
      </c>
      <c r="F5716" s="30">
        <v>475</v>
      </c>
      <c r="G5716" s="30">
        <v>308</v>
      </c>
      <c r="H5716" s="30">
        <v>167</v>
      </c>
    </row>
    <row r="5717" spans="1:8" x14ac:dyDescent="0.4">
      <c r="A5717">
        <v>2001</v>
      </c>
      <c r="B5717" s="5" t="s">
        <v>508</v>
      </c>
      <c r="C5717" s="5" t="s">
        <v>719</v>
      </c>
      <c r="D5717" s="25" t="s">
        <v>173</v>
      </c>
      <c r="E5717" s="64" t="s">
        <v>174</v>
      </c>
      <c r="F5717" s="30">
        <v>31</v>
      </c>
      <c r="G5717" s="30">
        <v>23</v>
      </c>
      <c r="H5717" s="30">
        <v>8</v>
      </c>
    </row>
    <row r="5718" spans="1:8" x14ac:dyDescent="0.4">
      <c r="A5718">
        <v>2001</v>
      </c>
      <c r="B5718" s="5" t="s">
        <v>509</v>
      </c>
      <c r="C5718" s="5" t="s">
        <v>719</v>
      </c>
      <c r="D5718" s="25" t="s">
        <v>173</v>
      </c>
      <c r="E5718" s="64" t="s">
        <v>175</v>
      </c>
      <c r="F5718" s="30">
        <v>63</v>
      </c>
      <c r="G5718" s="30">
        <v>40</v>
      </c>
      <c r="H5718" s="30">
        <v>23</v>
      </c>
    </row>
    <row r="5719" spans="1:8" x14ac:dyDescent="0.4">
      <c r="A5719">
        <v>2001</v>
      </c>
      <c r="B5719" s="5" t="s">
        <v>510</v>
      </c>
      <c r="C5719" s="5" t="s">
        <v>719</v>
      </c>
      <c r="D5719" s="25" t="s">
        <v>173</v>
      </c>
      <c r="E5719" s="64" t="s">
        <v>176</v>
      </c>
      <c r="F5719" s="30">
        <v>20</v>
      </c>
      <c r="G5719" s="30">
        <v>12</v>
      </c>
      <c r="H5719" s="30">
        <v>8</v>
      </c>
    </row>
    <row r="5720" spans="1:8" x14ac:dyDescent="0.4">
      <c r="A5720">
        <v>2001</v>
      </c>
      <c r="B5720" s="5" t="s">
        <v>511</v>
      </c>
      <c r="C5720" s="5" t="s">
        <v>719</v>
      </c>
      <c r="D5720" s="25" t="s">
        <v>173</v>
      </c>
      <c r="E5720" s="64" t="s">
        <v>177</v>
      </c>
      <c r="F5720" s="30">
        <v>64</v>
      </c>
      <c r="G5720" s="30">
        <v>34</v>
      </c>
      <c r="H5720" s="30">
        <v>30</v>
      </c>
    </row>
    <row r="5721" spans="1:8" x14ac:dyDescent="0.4">
      <c r="A5721">
        <v>2001</v>
      </c>
      <c r="B5721" s="5" t="s">
        <v>512</v>
      </c>
      <c r="C5721" s="5" t="s">
        <v>719</v>
      </c>
      <c r="D5721" s="25" t="s">
        <v>173</v>
      </c>
      <c r="E5721" s="64" t="s">
        <v>178</v>
      </c>
      <c r="F5721" s="30">
        <v>233</v>
      </c>
      <c r="G5721" s="30">
        <v>150</v>
      </c>
      <c r="H5721" s="30">
        <v>83</v>
      </c>
    </row>
    <row r="5722" spans="1:8" x14ac:dyDescent="0.4">
      <c r="A5722">
        <v>2001</v>
      </c>
      <c r="B5722" s="5" t="s">
        <v>513</v>
      </c>
      <c r="C5722" s="5" t="s">
        <v>719</v>
      </c>
      <c r="D5722" s="25" t="s">
        <v>173</v>
      </c>
      <c r="E5722" s="64" t="s">
        <v>179</v>
      </c>
      <c r="F5722" s="30">
        <v>33</v>
      </c>
      <c r="G5722" s="30">
        <v>22</v>
      </c>
      <c r="H5722" s="30">
        <v>11</v>
      </c>
    </row>
    <row r="5723" spans="1:8" x14ac:dyDescent="0.4">
      <c r="A5723">
        <v>2001</v>
      </c>
      <c r="B5723" s="5" t="s">
        <v>514</v>
      </c>
      <c r="C5723" s="5" t="s">
        <v>719</v>
      </c>
      <c r="D5723" s="25" t="s">
        <v>173</v>
      </c>
      <c r="E5723" s="64" t="s">
        <v>180</v>
      </c>
      <c r="F5723" s="30">
        <v>102</v>
      </c>
      <c r="G5723" s="30">
        <v>66</v>
      </c>
      <c r="H5723" s="30">
        <v>36</v>
      </c>
    </row>
    <row r="5724" spans="1:8" x14ac:dyDescent="0.4">
      <c r="A5724">
        <v>2001</v>
      </c>
      <c r="B5724" s="5" t="s">
        <v>515</v>
      </c>
      <c r="C5724" s="5" t="s">
        <v>719</v>
      </c>
      <c r="D5724" s="25" t="s">
        <v>173</v>
      </c>
      <c r="E5724" s="64" t="s">
        <v>181</v>
      </c>
      <c r="F5724" s="30">
        <v>31</v>
      </c>
      <c r="G5724" s="30">
        <v>19</v>
      </c>
      <c r="H5724" s="30">
        <v>12</v>
      </c>
    </row>
    <row r="5725" spans="1:8" x14ac:dyDescent="0.4">
      <c r="A5725">
        <v>2001</v>
      </c>
      <c r="B5725" s="5" t="s">
        <v>516</v>
      </c>
      <c r="C5725" s="5" t="s">
        <v>719</v>
      </c>
      <c r="D5725" s="25" t="s">
        <v>173</v>
      </c>
      <c r="E5725" s="64" t="s">
        <v>182</v>
      </c>
      <c r="F5725" s="30">
        <v>50</v>
      </c>
      <c r="G5725" s="30">
        <v>32</v>
      </c>
      <c r="H5725" s="30">
        <v>18</v>
      </c>
    </row>
    <row r="5726" spans="1:8" x14ac:dyDescent="0.4">
      <c r="A5726">
        <v>2001</v>
      </c>
      <c r="B5726" s="5" t="s">
        <v>517</v>
      </c>
      <c r="C5726" s="5" t="s">
        <v>719</v>
      </c>
      <c r="D5726" s="25" t="s">
        <v>173</v>
      </c>
      <c r="E5726" s="64" t="s">
        <v>183</v>
      </c>
      <c r="F5726" s="30">
        <v>16</v>
      </c>
      <c r="G5726" s="30">
        <v>12</v>
      </c>
      <c r="H5726" s="30">
        <v>4</v>
      </c>
    </row>
    <row r="5727" spans="1:8" x14ac:dyDescent="0.4">
      <c r="A5727">
        <v>2001</v>
      </c>
      <c r="B5727" s="5" t="s">
        <v>518</v>
      </c>
      <c r="C5727" s="5" t="s">
        <v>719</v>
      </c>
      <c r="D5727" s="25" t="s">
        <v>173</v>
      </c>
      <c r="E5727" s="64" t="s">
        <v>44</v>
      </c>
      <c r="F5727" s="30">
        <v>1660</v>
      </c>
      <c r="G5727" s="30">
        <v>959</v>
      </c>
      <c r="H5727" s="30">
        <v>701</v>
      </c>
    </row>
    <row r="5728" spans="1:8" x14ac:dyDescent="0.4">
      <c r="A5728">
        <v>2001</v>
      </c>
      <c r="B5728" s="5" t="s">
        <v>519</v>
      </c>
      <c r="C5728" s="5" t="s">
        <v>719</v>
      </c>
      <c r="D5728" s="25" t="s">
        <v>173</v>
      </c>
      <c r="E5728" s="64" t="s">
        <v>85</v>
      </c>
      <c r="F5728" s="30">
        <v>78</v>
      </c>
      <c r="G5728" s="30">
        <v>49</v>
      </c>
      <c r="H5728" s="30">
        <v>29</v>
      </c>
    </row>
    <row r="5729" spans="1:8" x14ac:dyDescent="0.4">
      <c r="A5729">
        <v>2001</v>
      </c>
      <c r="B5729" s="5" t="s">
        <v>520</v>
      </c>
      <c r="C5729" s="5" t="s">
        <v>719</v>
      </c>
      <c r="D5729" s="25" t="s">
        <v>173</v>
      </c>
      <c r="E5729" s="64" t="s">
        <v>184</v>
      </c>
      <c r="F5729" s="30">
        <v>90</v>
      </c>
      <c r="G5729" s="30">
        <v>66</v>
      </c>
      <c r="H5729" s="30">
        <v>24</v>
      </c>
    </row>
    <row r="5730" spans="1:8" x14ac:dyDescent="0.4">
      <c r="A5730">
        <v>2001</v>
      </c>
      <c r="B5730" s="5" t="s">
        <v>521</v>
      </c>
      <c r="C5730" s="5" t="s">
        <v>719</v>
      </c>
      <c r="D5730" s="25" t="s">
        <v>173</v>
      </c>
      <c r="E5730" s="64" t="s">
        <v>185</v>
      </c>
      <c r="F5730" s="30">
        <v>3</v>
      </c>
      <c r="G5730" s="30">
        <v>1</v>
      </c>
      <c r="H5730" s="30">
        <v>2</v>
      </c>
    </row>
    <row r="5731" spans="1:8" x14ac:dyDescent="0.4">
      <c r="A5731">
        <v>2001</v>
      </c>
      <c r="B5731" s="5" t="s">
        <v>522</v>
      </c>
      <c r="C5731" s="5" t="s">
        <v>719</v>
      </c>
      <c r="D5731" s="25" t="s">
        <v>173</v>
      </c>
      <c r="E5731" s="64" t="s">
        <v>186</v>
      </c>
      <c r="F5731" s="30">
        <v>30</v>
      </c>
      <c r="G5731" s="30">
        <v>20</v>
      </c>
      <c r="H5731" s="30">
        <v>10</v>
      </c>
    </row>
    <row r="5732" spans="1:8" x14ac:dyDescent="0.4">
      <c r="A5732">
        <v>2001</v>
      </c>
      <c r="B5732" s="5" t="s">
        <v>523</v>
      </c>
      <c r="C5732" s="5" t="s">
        <v>719</v>
      </c>
      <c r="D5732" s="25" t="s">
        <v>173</v>
      </c>
      <c r="E5732" s="64" t="s">
        <v>187</v>
      </c>
      <c r="F5732" s="30">
        <v>56</v>
      </c>
      <c r="G5732" s="30">
        <v>32</v>
      </c>
      <c r="H5732" s="30">
        <v>24</v>
      </c>
    </row>
    <row r="5733" spans="1:8" x14ac:dyDescent="0.4">
      <c r="A5733">
        <v>2001</v>
      </c>
      <c r="B5733" s="5" t="s">
        <v>524</v>
      </c>
      <c r="C5733" s="5" t="s">
        <v>719</v>
      </c>
      <c r="D5733" s="25" t="s">
        <v>173</v>
      </c>
      <c r="E5733" s="64" t="s">
        <v>188</v>
      </c>
      <c r="F5733" s="30">
        <v>63</v>
      </c>
      <c r="G5733" s="30">
        <v>37</v>
      </c>
      <c r="H5733" s="30">
        <v>26</v>
      </c>
    </row>
    <row r="5734" spans="1:8" x14ac:dyDescent="0.4">
      <c r="A5734">
        <v>2001</v>
      </c>
      <c r="B5734" s="5" t="s">
        <v>525</v>
      </c>
      <c r="C5734" s="5" t="s">
        <v>719</v>
      </c>
      <c r="D5734" s="25" t="s">
        <v>173</v>
      </c>
      <c r="E5734" s="64" t="s">
        <v>189</v>
      </c>
      <c r="F5734" s="30">
        <v>47</v>
      </c>
      <c r="G5734" s="30">
        <v>30</v>
      </c>
      <c r="H5734" s="30">
        <v>17</v>
      </c>
    </row>
    <row r="5735" spans="1:8" x14ac:dyDescent="0.4">
      <c r="A5735">
        <v>2001</v>
      </c>
      <c r="B5735" s="5" t="s">
        <v>526</v>
      </c>
      <c r="C5735" s="5" t="s">
        <v>719</v>
      </c>
      <c r="D5735" s="25" t="s">
        <v>173</v>
      </c>
      <c r="E5735" s="64" t="s">
        <v>51</v>
      </c>
      <c r="F5735" s="30">
        <v>163</v>
      </c>
      <c r="G5735" s="30">
        <v>105</v>
      </c>
      <c r="H5735" s="30">
        <v>58</v>
      </c>
    </row>
    <row r="5736" spans="1:8" x14ac:dyDescent="0.4">
      <c r="A5736">
        <v>2001</v>
      </c>
      <c r="B5736" s="5" t="s">
        <v>527</v>
      </c>
      <c r="C5736" s="5" t="s">
        <v>719</v>
      </c>
      <c r="D5736" s="25" t="s">
        <v>173</v>
      </c>
      <c r="E5736" s="64" t="s">
        <v>52</v>
      </c>
      <c r="F5736" s="30">
        <v>177</v>
      </c>
      <c r="G5736" s="30">
        <v>94</v>
      </c>
      <c r="H5736" s="30">
        <v>83</v>
      </c>
    </row>
    <row r="5737" spans="1:8" x14ac:dyDescent="0.4">
      <c r="A5737">
        <v>2001</v>
      </c>
      <c r="B5737" s="5" t="s">
        <v>528</v>
      </c>
      <c r="C5737" s="5" t="s">
        <v>719</v>
      </c>
      <c r="D5737" s="25" t="s">
        <v>173</v>
      </c>
      <c r="E5737" s="64" t="s">
        <v>190</v>
      </c>
      <c r="F5737" s="30">
        <v>82</v>
      </c>
      <c r="G5737" s="30">
        <v>52</v>
      </c>
      <c r="H5737" s="30">
        <v>30</v>
      </c>
    </row>
    <row r="5738" spans="1:8" x14ac:dyDescent="0.4">
      <c r="A5738">
        <v>2001</v>
      </c>
      <c r="B5738" s="5" t="s">
        <v>529</v>
      </c>
      <c r="C5738" s="5" t="s">
        <v>719</v>
      </c>
      <c r="D5738" s="25" t="s">
        <v>173</v>
      </c>
      <c r="E5738" s="64" t="s">
        <v>191</v>
      </c>
      <c r="F5738" s="30">
        <v>38</v>
      </c>
      <c r="G5738" s="30">
        <v>23</v>
      </c>
      <c r="H5738" s="30">
        <v>15</v>
      </c>
    </row>
    <row r="5739" spans="1:8" x14ac:dyDescent="0.4">
      <c r="A5739">
        <v>2001</v>
      </c>
      <c r="B5739" s="5" t="s">
        <v>530</v>
      </c>
      <c r="C5739" s="5" t="s">
        <v>720</v>
      </c>
      <c r="D5739" s="25" t="s">
        <v>193</v>
      </c>
      <c r="E5739" s="64" t="s">
        <v>192</v>
      </c>
      <c r="F5739" s="30">
        <v>311</v>
      </c>
      <c r="G5739" s="30">
        <v>214</v>
      </c>
      <c r="H5739" s="30">
        <v>97</v>
      </c>
    </row>
    <row r="5740" spans="1:8" x14ac:dyDescent="0.4">
      <c r="A5740">
        <v>2001</v>
      </c>
      <c r="B5740" s="5" t="s">
        <v>531</v>
      </c>
      <c r="C5740" s="5" t="s">
        <v>720</v>
      </c>
      <c r="D5740" s="25" t="s">
        <v>193</v>
      </c>
      <c r="E5740" s="64" t="s">
        <v>174</v>
      </c>
      <c r="F5740" s="30">
        <v>41</v>
      </c>
      <c r="G5740" s="30">
        <v>23</v>
      </c>
      <c r="H5740" s="30">
        <v>18</v>
      </c>
    </row>
    <row r="5741" spans="1:8" x14ac:dyDescent="0.4">
      <c r="A5741">
        <v>2001</v>
      </c>
      <c r="B5741" s="5" t="s">
        <v>532</v>
      </c>
      <c r="C5741" s="5" t="s">
        <v>720</v>
      </c>
      <c r="D5741" s="25" t="s">
        <v>193</v>
      </c>
      <c r="E5741" s="64" t="s">
        <v>194</v>
      </c>
      <c r="F5741" s="30">
        <v>1174</v>
      </c>
      <c r="G5741" s="30">
        <v>604</v>
      </c>
      <c r="H5741" s="30">
        <v>570</v>
      </c>
    </row>
    <row r="5742" spans="1:8" x14ac:dyDescent="0.4">
      <c r="A5742">
        <v>2001</v>
      </c>
      <c r="B5742" s="5" t="s">
        <v>533</v>
      </c>
      <c r="C5742" s="5" t="s">
        <v>720</v>
      </c>
      <c r="D5742" s="25" t="s">
        <v>193</v>
      </c>
      <c r="E5742" s="64" t="s">
        <v>195</v>
      </c>
      <c r="F5742" s="30">
        <v>209</v>
      </c>
      <c r="G5742" s="30">
        <v>141</v>
      </c>
      <c r="H5742" s="30">
        <v>68</v>
      </c>
    </row>
    <row r="5743" spans="1:8" x14ac:dyDescent="0.4">
      <c r="A5743">
        <v>2001</v>
      </c>
      <c r="B5743" s="5" t="s">
        <v>534</v>
      </c>
      <c r="C5743" s="5" t="s">
        <v>720</v>
      </c>
      <c r="D5743" s="25" t="s">
        <v>193</v>
      </c>
      <c r="E5743" s="64" t="s">
        <v>196</v>
      </c>
      <c r="F5743" s="30">
        <v>59</v>
      </c>
      <c r="G5743" s="30">
        <v>42</v>
      </c>
      <c r="H5743" s="30">
        <v>17</v>
      </c>
    </row>
    <row r="5744" spans="1:8" x14ac:dyDescent="0.4">
      <c r="A5744">
        <v>2001</v>
      </c>
      <c r="B5744" s="5" t="s">
        <v>535</v>
      </c>
      <c r="C5744" s="5" t="s">
        <v>720</v>
      </c>
      <c r="D5744" s="25" t="s">
        <v>193</v>
      </c>
      <c r="E5744" s="64" t="s">
        <v>197</v>
      </c>
      <c r="F5744" s="30">
        <v>93</v>
      </c>
      <c r="G5744" s="30">
        <v>54</v>
      </c>
      <c r="H5744" s="30">
        <v>39</v>
      </c>
    </row>
    <row r="5745" spans="1:8" x14ac:dyDescent="0.4">
      <c r="A5745">
        <v>2001</v>
      </c>
      <c r="B5745" s="5" t="s">
        <v>536</v>
      </c>
      <c r="C5745" s="5" t="s">
        <v>720</v>
      </c>
      <c r="D5745" s="25" t="s">
        <v>193</v>
      </c>
      <c r="E5745" s="64" t="s">
        <v>198</v>
      </c>
      <c r="F5745" s="30">
        <v>652</v>
      </c>
      <c r="G5745" s="30">
        <v>313</v>
      </c>
      <c r="H5745" s="30">
        <v>339</v>
      </c>
    </row>
    <row r="5746" spans="1:8" x14ac:dyDescent="0.4">
      <c r="A5746">
        <v>2001</v>
      </c>
      <c r="B5746" s="5" t="s">
        <v>537</v>
      </c>
      <c r="C5746" s="5" t="s">
        <v>720</v>
      </c>
      <c r="D5746" s="25" t="s">
        <v>193</v>
      </c>
      <c r="E5746" s="64" t="s">
        <v>199</v>
      </c>
      <c r="F5746" s="30">
        <v>278</v>
      </c>
      <c r="G5746" s="30">
        <v>188</v>
      </c>
      <c r="H5746" s="30">
        <v>90</v>
      </c>
    </row>
    <row r="5747" spans="1:8" x14ac:dyDescent="0.4">
      <c r="A5747">
        <v>2001</v>
      </c>
      <c r="B5747" s="5" t="s">
        <v>538</v>
      </c>
      <c r="C5747" s="5" t="s">
        <v>720</v>
      </c>
      <c r="D5747" s="25" t="s">
        <v>193</v>
      </c>
      <c r="E5747" s="64" t="s">
        <v>200</v>
      </c>
      <c r="F5747" s="30">
        <v>138</v>
      </c>
      <c r="G5747" s="30">
        <v>73</v>
      </c>
      <c r="H5747" s="30">
        <v>65</v>
      </c>
    </row>
    <row r="5748" spans="1:8" x14ac:dyDescent="0.4">
      <c r="A5748">
        <v>2001</v>
      </c>
      <c r="B5748" s="5" t="s">
        <v>539</v>
      </c>
      <c r="C5748" s="5" t="s">
        <v>720</v>
      </c>
      <c r="D5748" s="25" t="s">
        <v>193</v>
      </c>
      <c r="E5748" s="64" t="s">
        <v>201</v>
      </c>
      <c r="F5748" s="30">
        <v>1206</v>
      </c>
      <c r="G5748" s="30">
        <v>725</v>
      </c>
      <c r="H5748" s="30">
        <v>481</v>
      </c>
    </row>
    <row r="5749" spans="1:8" x14ac:dyDescent="0.4">
      <c r="A5749">
        <v>2001</v>
      </c>
      <c r="B5749" s="5" t="s">
        <v>540</v>
      </c>
      <c r="C5749" s="5" t="s">
        <v>720</v>
      </c>
      <c r="D5749" s="25" t="s">
        <v>193</v>
      </c>
      <c r="E5749" s="64" t="s">
        <v>14</v>
      </c>
      <c r="F5749" s="30">
        <v>353</v>
      </c>
      <c r="G5749" s="30">
        <v>232</v>
      </c>
      <c r="H5749" s="30">
        <v>121</v>
      </c>
    </row>
    <row r="5750" spans="1:8" x14ac:dyDescent="0.4">
      <c r="A5750">
        <v>2001</v>
      </c>
      <c r="B5750" s="5" t="s">
        <v>541</v>
      </c>
      <c r="C5750" s="5" t="s">
        <v>720</v>
      </c>
      <c r="D5750" s="25" t="s">
        <v>193</v>
      </c>
      <c r="E5750" s="64" t="s">
        <v>202</v>
      </c>
      <c r="F5750" s="30">
        <v>694</v>
      </c>
      <c r="G5750" s="30">
        <v>424</v>
      </c>
      <c r="H5750" s="30">
        <v>270</v>
      </c>
    </row>
    <row r="5751" spans="1:8" x14ac:dyDescent="0.4">
      <c r="A5751">
        <v>2001</v>
      </c>
      <c r="B5751" s="5" t="s">
        <v>542</v>
      </c>
      <c r="C5751" s="5" t="s">
        <v>720</v>
      </c>
      <c r="D5751" s="25" t="s">
        <v>193</v>
      </c>
      <c r="E5751" s="64" t="s">
        <v>203</v>
      </c>
      <c r="F5751" s="30">
        <v>131</v>
      </c>
      <c r="G5751" s="30">
        <v>62</v>
      </c>
      <c r="H5751" s="30">
        <v>69</v>
      </c>
    </row>
    <row r="5752" spans="1:8" x14ac:dyDescent="0.4">
      <c r="A5752">
        <v>2001</v>
      </c>
      <c r="B5752" s="5" t="s">
        <v>543</v>
      </c>
      <c r="C5752" s="5" t="s">
        <v>720</v>
      </c>
      <c r="D5752" s="25" t="s">
        <v>193</v>
      </c>
      <c r="E5752" s="64" t="s">
        <v>32</v>
      </c>
      <c r="F5752" s="30">
        <v>164</v>
      </c>
      <c r="G5752" s="30">
        <v>106</v>
      </c>
      <c r="H5752" s="30">
        <v>58</v>
      </c>
    </row>
    <row r="5753" spans="1:8" x14ac:dyDescent="0.4">
      <c r="A5753">
        <v>2001</v>
      </c>
      <c r="B5753" s="5" t="s">
        <v>544</v>
      </c>
      <c r="C5753" s="5" t="s">
        <v>720</v>
      </c>
      <c r="D5753" s="25" t="s">
        <v>193</v>
      </c>
      <c r="E5753" s="64" t="s">
        <v>204</v>
      </c>
      <c r="F5753" s="30">
        <v>188</v>
      </c>
      <c r="G5753" s="30">
        <v>137</v>
      </c>
      <c r="H5753" s="30">
        <v>51</v>
      </c>
    </row>
    <row r="5754" spans="1:8" x14ac:dyDescent="0.4">
      <c r="A5754">
        <v>2001</v>
      </c>
      <c r="B5754" s="5" t="s">
        <v>545</v>
      </c>
      <c r="C5754" s="5" t="s">
        <v>720</v>
      </c>
      <c r="D5754" s="25" t="s">
        <v>193</v>
      </c>
      <c r="E5754" s="64" t="s">
        <v>205</v>
      </c>
      <c r="F5754" s="30">
        <v>69</v>
      </c>
      <c r="G5754" s="30">
        <v>47</v>
      </c>
      <c r="H5754" s="30">
        <v>22</v>
      </c>
    </row>
    <row r="5755" spans="1:8" x14ac:dyDescent="0.4">
      <c r="A5755">
        <v>2001</v>
      </c>
      <c r="B5755" s="5" t="s">
        <v>546</v>
      </c>
      <c r="C5755" s="5" t="s">
        <v>720</v>
      </c>
      <c r="D5755" s="25" t="s">
        <v>193</v>
      </c>
      <c r="E5755" s="64" t="s">
        <v>206</v>
      </c>
      <c r="F5755" s="30">
        <v>487</v>
      </c>
      <c r="G5755" s="30">
        <v>310</v>
      </c>
      <c r="H5755" s="30">
        <v>177</v>
      </c>
    </row>
    <row r="5756" spans="1:8" x14ac:dyDescent="0.4">
      <c r="A5756">
        <v>2001</v>
      </c>
      <c r="B5756" s="5" t="s">
        <v>547</v>
      </c>
      <c r="C5756" s="5" t="s">
        <v>720</v>
      </c>
      <c r="D5756" s="25" t="s">
        <v>193</v>
      </c>
      <c r="E5756" s="64" t="s">
        <v>25</v>
      </c>
      <c r="F5756" s="30">
        <v>130</v>
      </c>
      <c r="G5756" s="30">
        <v>98</v>
      </c>
      <c r="H5756" s="30">
        <v>32</v>
      </c>
    </row>
    <row r="5757" spans="1:8" x14ac:dyDescent="0.4">
      <c r="A5757">
        <v>2001</v>
      </c>
      <c r="B5757" s="5" t="s">
        <v>548</v>
      </c>
      <c r="C5757" s="5" t="s">
        <v>720</v>
      </c>
      <c r="D5757" s="25" t="s">
        <v>193</v>
      </c>
      <c r="E5757" s="64" t="s">
        <v>51</v>
      </c>
      <c r="F5757" s="30">
        <v>2908</v>
      </c>
      <c r="G5757" s="30">
        <v>1871</v>
      </c>
      <c r="H5757" s="30">
        <v>1037</v>
      </c>
    </row>
    <row r="5758" spans="1:8" x14ac:dyDescent="0.4">
      <c r="A5758">
        <v>2001</v>
      </c>
      <c r="B5758" s="5" t="s">
        <v>549</v>
      </c>
      <c r="C5758" s="5" t="s">
        <v>720</v>
      </c>
      <c r="D5758" s="25" t="s">
        <v>193</v>
      </c>
      <c r="E5758" s="64" t="s">
        <v>53</v>
      </c>
      <c r="F5758" s="30">
        <v>257</v>
      </c>
      <c r="G5758" s="30">
        <v>174</v>
      </c>
      <c r="H5758" s="30">
        <v>83</v>
      </c>
    </row>
    <row r="5759" spans="1:8" x14ac:dyDescent="0.4">
      <c r="A5759">
        <v>2001</v>
      </c>
      <c r="B5759" s="5" t="s">
        <v>550</v>
      </c>
      <c r="C5759" s="5" t="s">
        <v>720</v>
      </c>
      <c r="D5759" s="25" t="s">
        <v>193</v>
      </c>
      <c r="E5759" s="65" t="s">
        <v>54</v>
      </c>
      <c r="F5759" s="31">
        <v>605</v>
      </c>
      <c r="G5759" s="31">
        <v>380</v>
      </c>
      <c r="H5759" s="31">
        <v>225</v>
      </c>
    </row>
    <row r="5760" spans="1:8" x14ac:dyDescent="0.4">
      <c r="A5760">
        <v>2001</v>
      </c>
      <c r="B5760" s="5" t="s">
        <v>551</v>
      </c>
      <c r="C5760" s="5" t="s">
        <v>721</v>
      </c>
      <c r="D5760" s="25" t="s">
        <v>207</v>
      </c>
      <c r="E5760" s="64" t="s">
        <v>128</v>
      </c>
      <c r="F5760" s="30">
        <v>66</v>
      </c>
      <c r="G5760" s="30">
        <v>45</v>
      </c>
      <c r="H5760" s="30">
        <v>21</v>
      </c>
    </row>
    <row r="5761" spans="1:8" x14ac:dyDescent="0.4">
      <c r="A5761">
        <v>2001</v>
      </c>
      <c r="B5761" s="5" t="s">
        <v>552</v>
      </c>
      <c r="C5761" s="5" t="s">
        <v>721</v>
      </c>
      <c r="D5761" s="25" t="s">
        <v>207</v>
      </c>
      <c r="E5761" s="64" t="s">
        <v>208</v>
      </c>
      <c r="F5761" s="30">
        <v>20</v>
      </c>
      <c r="G5761" s="30">
        <v>15</v>
      </c>
      <c r="H5761" s="30">
        <v>5</v>
      </c>
    </row>
    <row r="5762" spans="1:8" x14ac:dyDescent="0.4">
      <c r="A5762">
        <v>2001</v>
      </c>
      <c r="B5762" s="5" t="s">
        <v>553</v>
      </c>
      <c r="C5762" s="5" t="s">
        <v>721</v>
      </c>
      <c r="D5762" s="25" t="s">
        <v>207</v>
      </c>
      <c r="E5762" s="64" t="s">
        <v>36</v>
      </c>
      <c r="F5762" s="30">
        <v>87</v>
      </c>
      <c r="G5762" s="30">
        <v>50</v>
      </c>
      <c r="H5762" s="30">
        <v>37</v>
      </c>
    </row>
    <row r="5763" spans="1:8" x14ac:dyDescent="0.4">
      <c r="A5763">
        <v>2001</v>
      </c>
      <c r="B5763" s="5" t="s">
        <v>554</v>
      </c>
      <c r="C5763" s="5" t="s">
        <v>721</v>
      </c>
      <c r="D5763" s="25" t="s">
        <v>207</v>
      </c>
      <c r="E5763" s="64" t="s">
        <v>209</v>
      </c>
      <c r="F5763" s="30">
        <v>99</v>
      </c>
      <c r="G5763" s="30">
        <v>54</v>
      </c>
      <c r="H5763" s="30">
        <v>45</v>
      </c>
    </row>
    <row r="5764" spans="1:8" x14ac:dyDescent="0.4">
      <c r="A5764">
        <v>2001</v>
      </c>
      <c r="B5764" s="5" t="s">
        <v>555</v>
      </c>
      <c r="C5764" s="5" t="s">
        <v>721</v>
      </c>
      <c r="D5764" s="25" t="s">
        <v>207</v>
      </c>
      <c r="E5764" s="64" t="s">
        <v>69</v>
      </c>
      <c r="F5764" s="30">
        <v>61</v>
      </c>
      <c r="G5764" s="30">
        <v>36</v>
      </c>
      <c r="H5764" s="30">
        <v>25</v>
      </c>
    </row>
    <row r="5765" spans="1:8" x14ac:dyDescent="0.4">
      <c r="A5765">
        <v>2001</v>
      </c>
      <c r="B5765" s="5" t="s">
        <v>556</v>
      </c>
      <c r="C5765" s="5" t="s">
        <v>721</v>
      </c>
      <c r="D5765" s="25" t="s">
        <v>207</v>
      </c>
      <c r="E5765" s="64" t="s">
        <v>62</v>
      </c>
      <c r="F5765" s="30">
        <v>138</v>
      </c>
      <c r="G5765" s="30">
        <v>95</v>
      </c>
      <c r="H5765" s="30">
        <v>43</v>
      </c>
    </row>
    <row r="5766" spans="1:8" x14ac:dyDescent="0.4">
      <c r="A5766">
        <v>2001</v>
      </c>
      <c r="B5766" s="5" t="s">
        <v>557</v>
      </c>
      <c r="C5766" s="5" t="s">
        <v>721</v>
      </c>
      <c r="D5766" s="25" t="s">
        <v>207</v>
      </c>
      <c r="E5766" s="64" t="s">
        <v>44</v>
      </c>
      <c r="F5766" s="30">
        <v>60</v>
      </c>
      <c r="G5766" s="30">
        <v>45</v>
      </c>
      <c r="H5766" s="30">
        <v>15</v>
      </c>
    </row>
    <row r="5767" spans="1:8" x14ac:dyDescent="0.4">
      <c r="A5767">
        <v>2001</v>
      </c>
      <c r="B5767" s="5" t="s">
        <v>558</v>
      </c>
      <c r="C5767" s="5" t="s">
        <v>721</v>
      </c>
      <c r="D5767" s="25" t="s">
        <v>207</v>
      </c>
      <c r="E5767" s="64" t="s">
        <v>210</v>
      </c>
      <c r="F5767" s="30">
        <v>2056</v>
      </c>
      <c r="G5767" s="30">
        <v>1254</v>
      </c>
      <c r="H5767" s="30">
        <v>802</v>
      </c>
    </row>
    <row r="5768" spans="1:8" x14ac:dyDescent="0.4">
      <c r="A5768">
        <v>2001</v>
      </c>
      <c r="B5768" s="5" t="s">
        <v>559</v>
      </c>
      <c r="C5768" s="5" t="s">
        <v>721</v>
      </c>
      <c r="D5768" s="25" t="s">
        <v>207</v>
      </c>
      <c r="E5768" s="64" t="s">
        <v>74</v>
      </c>
      <c r="F5768" s="30">
        <v>85</v>
      </c>
      <c r="G5768" s="30">
        <v>58</v>
      </c>
      <c r="H5768" s="30">
        <v>27</v>
      </c>
    </row>
    <row r="5769" spans="1:8" x14ac:dyDescent="0.4">
      <c r="A5769">
        <v>2001</v>
      </c>
      <c r="B5769" s="5" t="s">
        <v>560</v>
      </c>
      <c r="C5769" s="5" t="s">
        <v>721</v>
      </c>
      <c r="D5769" s="25" t="s">
        <v>207</v>
      </c>
      <c r="E5769" s="64" t="s">
        <v>211</v>
      </c>
      <c r="F5769" s="30">
        <v>74</v>
      </c>
      <c r="G5769" s="30">
        <v>49</v>
      </c>
      <c r="H5769" s="30">
        <v>25</v>
      </c>
    </row>
    <row r="5770" spans="1:8" x14ac:dyDescent="0.4">
      <c r="A5770">
        <v>2001</v>
      </c>
      <c r="B5770" s="5" t="s">
        <v>561</v>
      </c>
      <c r="C5770" s="5" t="s">
        <v>721</v>
      </c>
      <c r="D5770" s="25" t="s">
        <v>207</v>
      </c>
      <c r="E5770" s="64" t="s">
        <v>212</v>
      </c>
      <c r="F5770" s="30">
        <v>17</v>
      </c>
      <c r="G5770" s="30">
        <v>6</v>
      </c>
      <c r="H5770" s="30">
        <v>11</v>
      </c>
    </row>
    <row r="5771" spans="1:8" x14ac:dyDescent="0.4">
      <c r="A5771">
        <v>2001</v>
      </c>
      <c r="B5771" s="5" t="s">
        <v>562</v>
      </c>
      <c r="C5771" s="5" t="s">
        <v>721</v>
      </c>
      <c r="D5771" s="25" t="s">
        <v>207</v>
      </c>
      <c r="E5771" s="64" t="s">
        <v>213</v>
      </c>
      <c r="F5771" s="30">
        <v>62</v>
      </c>
      <c r="G5771" s="30">
        <v>31</v>
      </c>
      <c r="H5771" s="30">
        <v>31</v>
      </c>
    </row>
    <row r="5772" spans="1:8" x14ac:dyDescent="0.4">
      <c r="A5772">
        <v>2001</v>
      </c>
      <c r="B5772" s="5" t="s">
        <v>563</v>
      </c>
      <c r="C5772" s="5" t="s">
        <v>721</v>
      </c>
      <c r="D5772" s="25" t="s">
        <v>207</v>
      </c>
      <c r="E5772" s="64" t="s">
        <v>214</v>
      </c>
      <c r="F5772" s="30">
        <v>23</v>
      </c>
      <c r="G5772" s="30">
        <v>14</v>
      </c>
      <c r="H5772" s="30">
        <v>9</v>
      </c>
    </row>
    <row r="5773" spans="1:8" x14ac:dyDescent="0.4">
      <c r="A5773">
        <v>2001</v>
      </c>
      <c r="B5773" s="5" t="s">
        <v>564</v>
      </c>
      <c r="C5773" s="5" t="s">
        <v>722</v>
      </c>
      <c r="D5773" s="25" t="s">
        <v>216</v>
      </c>
      <c r="E5773" s="64" t="s">
        <v>215</v>
      </c>
      <c r="F5773" s="30">
        <v>47</v>
      </c>
      <c r="G5773" s="30">
        <v>23</v>
      </c>
      <c r="H5773" s="30">
        <v>24</v>
      </c>
    </row>
    <row r="5774" spans="1:8" x14ac:dyDescent="0.4">
      <c r="A5774">
        <v>2001</v>
      </c>
      <c r="B5774" s="5" t="s">
        <v>565</v>
      </c>
      <c r="C5774" s="5" t="s">
        <v>722</v>
      </c>
      <c r="D5774" s="25" t="s">
        <v>216</v>
      </c>
      <c r="E5774" s="64" t="s">
        <v>59</v>
      </c>
      <c r="F5774" s="30">
        <v>103</v>
      </c>
      <c r="G5774" s="30">
        <v>55</v>
      </c>
      <c r="H5774" s="30">
        <v>48</v>
      </c>
    </row>
    <row r="5775" spans="1:8" x14ac:dyDescent="0.4">
      <c r="A5775">
        <v>2001</v>
      </c>
      <c r="B5775" s="5" t="s">
        <v>566</v>
      </c>
      <c r="C5775" s="5" t="s">
        <v>722</v>
      </c>
      <c r="D5775" s="25" t="s">
        <v>216</v>
      </c>
      <c r="E5775" s="64" t="s">
        <v>217</v>
      </c>
      <c r="F5775" s="30">
        <v>107</v>
      </c>
      <c r="G5775" s="30">
        <v>65</v>
      </c>
      <c r="H5775" s="30">
        <v>42</v>
      </c>
    </row>
    <row r="5776" spans="1:8" x14ac:dyDescent="0.4">
      <c r="A5776">
        <v>2001</v>
      </c>
      <c r="B5776" s="5" t="s">
        <v>567</v>
      </c>
      <c r="C5776" s="5" t="s">
        <v>722</v>
      </c>
      <c r="D5776" s="25" t="s">
        <v>216</v>
      </c>
      <c r="E5776" s="64" t="s">
        <v>218</v>
      </c>
      <c r="F5776" s="30">
        <v>120</v>
      </c>
      <c r="G5776" s="30">
        <v>78</v>
      </c>
      <c r="H5776" s="30">
        <v>42</v>
      </c>
    </row>
    <row r="5777" spans="1:8" x14ac:dyDescent="0.4">
      <c r="A5777">
        <v>2001</v>
      </c>
      <c r="B5777" s="5" t="s">
        <v>568</v>
      </c>
      <c r="C5777" s="5" t="s">
        <v>722</v>
      </c>
      <c r="D5777" s="25" t="s">
        <v>216</v>
      </c>
      <c r="E5777" s="64" t="s">
        <v>219</v>
      </c>
      <c r="F5777" s="30">
        <v>82</v>
      </c>
      <c r="G5777" s="30">
        <v>43</v>
      </c>
      <c r="H5777" s="30">
        <v>39</v>
      </c>
    </row>
    <row r="5778" spans="1:8" x14ac:dyDescent="0.4">
      <c r="A5778">
        <v>2001</v>
      </c>
      <c r="B5778" s="5" t="s">
        <v>569</v>
      </c>
      <c r="C5778" s="5" t="s">
        <v>722</v>
      </c>
      <c r="D5778" s="25" t="s">
        <v>216</v>
      </c>
      <c r="E5778" s="64" t="s">
        <v>220</v>
      </c>
      <c r="F5778" s="30">
        <v>106</v>
      </c>
      <c r="G5778" s="30">
        <v>68</v>
      </c>
      <c r="H5778" s="30">
        <v>38</v>
      </c>
    </row>
    <row r="5779" spans="1:8" x14ac:dyDescent="0.4">
      <c r="A5779">
        <v>2001</v>
      </c>
      <c r="B5779" s="5" t="s">
        <v>570</v>
      </c>
      <c r="C5779" s="5" t="s">
        <v>722</v>
      </c>
      <c r="D5779" s="25" t="s">
        <v>216</v>
      </c>
      <c r="E5779" s="64" t="s">
        <v>221</v>
      </c>
      <c r="F5779" s="30">
        <v>112</v>
      </c>
      <c r="G5779" s="30">
        <v>61</v>
      </c>
      <c r="H5779" s="30">
        <v>51</v>
      </c>
    </row>
    <row r="5780" spans="1:8" x14ac:dyDescent="0.4">
      <c r="A5780">
        <v>2001</v>
      </c>
      <c r="B5780" s="5" t="s">
        <v>571</v>
      </c>
      <c r="C5780" s="5" t="s">
        <v>722</v>
      </c>
      <c r="D5780" s="25" t="s">
        <v>216</v>
      </c>
      <c r="E5780" s="64" t="s">
        <v>222</v>
      </c>
      <c r="F5780" s="30">
        <v>905</v>
      </c>
      <c r="G5780" s="30">
        <v>544</v>
      </c>
      <c r="H5780" s="30">
        <v>361</v>
      </c>
    </row>
    <row r="5781" spans="1:8" x14ac:dyDescent="0.4">
      <c r="A5781">
        <v>2001</v>
      </c>
      <c r="B5781" s="5" t="s">
        <v>572</v>
      </c>
      <c r="C5781" s="5" t="s">
        <v>722</v>
      </c>
      <c r="D5781" s="25" t="s">
        <v>216</v>
      </c>
      <c r="E5781" s="64" t="s">
        <v>223</v>
      </c>
      <c r="F5781" s="30">
        <v>59</v>
      </c>
      <c r="G5781" s="30">
        <v>28</v>
      </c>
      <c r="H5781" s="30">
        <v>31</v>
      </c>
    </row>
    <row r="5782" spans="1:8" x14ac:dyDescent="0.4">
      <c r="A5782">
        <v>2001</v>
      </c>
      <c r="B5782" s="5" t="s">
        <v>573</v>
      </c>
      <c r="C5782" s="5" t="s">
        <v>722</v>
      </c>
      <c r="D5782" s="25" t="s">
        <v>216</v>
      </c>
      <c r="E5782" s="64" t="s">
        <v>224</v>
      </c>
      <c r="F5782" s="30">
        <v>62</v>
      </c>
      <c r="G5782" s="30">
        <v>33</v>
      </c>
      <c r="H5782" s="30">
        <v>29</v>
      </c>
    </row>
    <row r="5783" spans="1:8" x14ac:dyDescent="0.4">
      <c r="A5783">
        <v>2001</v>
      </c>
      <c r="B5783" s="5" t="s">
        <v>574</v>
      </c>
      <c r="C5783" s="5" t="s">
        <v>722</v>
      </c>
      <c r="D5783" s="25" t="s">
        <v>216</v>
      </c>
      <c r="E5783" s="64" t="s">
        <v>225</v>
      </c>
      <c r="F5783" s="30">
        <v>21</v>
      </c>
      <c r="G5783" s="30">
        <v>14</v>
      </c>
      <c r="H5783" s="30">
        <v>7</v>
      </c>
    </row>
    <row r="5784" spans="1:8" x14ac:dyDescent="0.4">
      <c r="A5784">
        <v>2001</v>
      </c>
      <c r="B5784" s="5" t="s">
        <v>575</v>
      </c>
      <c r="C5784" s="5" t="s">
        <v>723</v>
      </c>
      <c r="D5784" s="25" t="s">
        <v>227</v>
      </c>
      <c r="E5784" s="64" t="s">
        <v>226</v>
      </c>
      <c r="F5784" s="30">
        <v>38</v>
      </c>
      <c r="G5784" s="30">
        <v>22</v>
      </c>
      <c r="H5784" s="30">
        <v>16</v>
      </c>
    </row>
    <row r="5785" spans="1:8" x14ac:dyDescent="0.4">
      <c r="A5785">
        <v>2001</v>
      </c>
      <c r="B5785" s="5" t="s">
        <v>576</v>
      </c>
      <c r="C5785" s="5" t="s">
        <v>723</v>
      </c>
      <c r="D5785" s="25" t="s">
        <v>227</v>
      </c>
      <c r="E5785" s="64" t="s">
        <v>228</v>
      </c>
      <c r="F5785" s="30">
        <v>1059</v>
      </c>
      <c r="G5785" s="30">
        <v>631</v>
      </c>
      <c r="H5785" s="30">
        <v>428</v>
      </c>
    </row>
    <row r="5786" spans="1:8" x14ac:dyDescent="0.4">
      <c r="A5786">
        <v>2001</v>
      </c>
      <c r="B5786" s="5" t="s">
        <v>577</v>
      </c>
      <c r="C5786" s="5" t="s">
        <v>723</v>
      </c>
      <c r="D5786" s="25" t="s">
        <v>227</v>
      </c>
      <c r="E5786" s="64" t="s">
        <v>229</v>
      </c>
      <c r="F5786" s="30">
        <v>104</v>
      </c>
      <c r="G5786" s="30">
        <v>63</v>
      </c>
      <c r="H5786" s="30">
        <v>41</v>
      </c>
    </row>
    <row r="5787" spans="1:8" x14ac:dyDescent="0.4">
      <c r="A5787">
        <v>2001</v>
      </c>
      <c r="B5787" s="5" t="s">
        <v>578</v>
      </c>
      <c r="C5787" s="5" t="s">
        <v>723</v>
      </c>
      <c r="D5787" s="25" t="s">
        <v>227</v>
      </c>
      <c r="E5787" s="64" t="s">
        <v>230</v>
      </c>
      <c r="F5787" s="30">
        <v>968</v>
      </c>
      <c r="G5787" s="30">
        <v>610</v>
      </c>
      <c r="H5787" s="30">
        <v>358</v>
      </c>
    </row>
    <row r="5788" spans="1:8" x14ac:dyDescent="0.4">
      <c r="A5788">
        <v>2001</v>
      </c>
      <c r="B5788" s="5" t="s">
        <v>579</v>
      </c>
      <c r="C5788" s="5" t="s">
        <v>723</v>
      </c>
      <c r="D5788" s="25" t="s">
        <v>227</v>
      </c>
      <c r="E5788" s="64" t="s">
        <v>231</v>
      </c>
      <c r="F5788" s="30">
        <v>81</v>
      </c>
      <c r="G5788" s="30">
        <v>53</v>
      </c>
      <c r="H5788" s="30">
        <v>28</v>
      </c>
    </row>
    <row r="5789" spans="1:8" ht="23.15" x14ac:dyDescent="0.4">
      <c r="A5789">
        <v>2001</v>
      </c>
      <c r="B5789" s="5" t="s">
        <v>580</v>
      </c>
      <c r="C5789" s="5" t="s">
        <v>723</v>
      </c>
      <c r="D5789" s="25" t="s">
        <v>227</v>
      </c>
      <c r="E5789" s="64" t="s">
        <v>232</v>
      </c>
      <c r="F5789" s="46">
        <v>90</v>
      </c>
      <c r="G5789" s="46">
        <v>54</v>
      </c>
      <c r="H5789" s="46">
        <v>36</v>
      </c>
    </row>
    <row r="5790" spans="1:8" x14ac:dyDescent="0.4">
      <c r="A5790">
        <v>2001</v>
      </c>
      <c r="B5790" s="5" t="s">
        <v>581</v>
      </c>
      <c r="C5790" s="5" t="s">
        <v>723</v>
      </c>
      <c r="D5790" s="25" t="s">
        <v>227</v>
      </c>
      <c r="E5790" s="64" t="s">
        <v>233</v>
      </c>
      <c r="F5790" s="30">
        <v>95</v>
      </c>
      <c r="G5790" s="30">
        <v>67</v>
      </c>
      <c r="H5790" s="30">
        <v>28</v>
      </c>
    </row>
    <row r="5791" spans="1:8" x14ac:dyDescent="0.4">
      <c r="A5791">
        <v>2001</v>
      </c>
      <c r="B5791" s="5" t="s">
        <v>582</v>
      </c>
      <c r="C5791" s="5" t="s">
        <v>723</v>
      </c>
      <c r="D5791" s="25" t="s">
        <v>227</v>
      </c>
      <c r="E5791" s="64" t="s">
        <v>32</v>
      </c>
      <c r="F5791" s="30">
        <v>440</v>
      </c>
      <c r="G5791" s="30">
        <v>284</v>
      </c>
      <c r="H5791" s="30">
        <v>156</v>
      </c>
    </row>
    <row r="5792" spans="1:8" x14ac:dyDescent="0.4">
      <c r="A5792">
        <v>2001</v>
      </c>
      <c r="B5792" s="5" t="s">
        <v>583</v>
      </c>
      <c r="C5792" s="5" t="s">
        <v>723</v>
      </c>
      <c r="D5792" s="25" t="s">
        <v>227</v>
      </c>
      <c r="E5792" s="64" t="s">
        <v>234</v>
      </c>
      <c r="F5792" s="30">
        <v>19</v>
      </c>
      <c r="G5792" s="30">
        <v>11</v>
      </c>
      <c r="H5792" s="30">
        <v>8</v>
      </c>
    </row>
    <row r="5793" spans="1:8" x14ac:dyDescent="0.4">
      <c r="A5793">
        <v>2001</v>
      </c>
      <c r="B5793" s="5" t="s">
        <v>584</v>
      </c>
      <c r="C5793" s="5" t="s">
        <v>723</v>
      </c>
      <c r="D5793" s="25" t="s">
        <v>227</v>
      </c>
      <c r="E5793" s="64" t="s">
        <v>235</v>
      </c>
      <c r="F5793" s="30">
        <v>68</v>
      </c>
      <c r="G5793" s="30">
        <v>42</v>
      </c>
      <c r="H5793" s="30">
        <v>26</v>
      </c>
    </row>
    <row r="5794" spans="1:8" x14ac:dyDescent="0.4">
      <c r="A5794">
        <v>2001</v>
      </c>
      <c r="B5794" s="5" t="s">
        <v>585</v>
      </c>
      <c r="C5794" s="5" t="s">
        <v>723</v>
      </c>
      <c r="D5794" s="25" t="s">
        <v>227</v>
      </c>
      <c r="E5794" s="64" t="s">
        <v>236</v>
      </c>
      <c r="F5794" s="30">
        <v>42</v>
      </c>
      <c r="G5794" s="30">
        <v>29</v>
      </c>
      <c r="H5794" s="30">
        <v>13</v>
      </c>
    </row>
    <row r="5795" spans="1:8" x14ac:dyDescent="0.4">
      <c r="A5795">
        <v>2001</v>
      </c>
      <c r="B5795" s="5" t="s">
        <v>586</v>
      </c>
      <c r="C5795" s="5" t="s">
        <v>723</v>
      </c>
      <c r="D5795" s="25" t="s">
        <v>227</v>
      </c>
      <c r="E5795" s="64" t="s">
        <v>237</v>
      </c>
      <c r="F5795" s="30">
        <v>33</v>
      </c>
      <c r="G5795" s="30">
        <v>20</v>
      </c>
      <c r="H5795" s="30">
        <v>13</v>
      </c>
    </row>
    <row r="5796" spans="1:8" x14ac:dyDescent="0.4">
      <c r="A5796">
        <v>2001</v>
      </c>
      <c r="B5796" s="5" t="s">
        <v>587</v>
      </c>
      <c r="C5796" s="5" t="s">
        <v>723</v>
      </c>
      <c r="D5796" s="25" t="s">
        <v>227</v>
      </c>
      <c r="E5796" s="64" t="s">
        <v>51</v>
      </c>
      <c r="F5796" s="30">
        <v>142</v>
      </c>
      <c r="G5796" s="30">
        <v>90</v>
      </c>
      <c r="H5796" s="30">
        <v>52</v>
      </c>
    </row>
    <row r="5797" spans="1:8" x14ac:dyDescent="0.4">
      <c r="A5797">
        <v>2001</v>
      </c>
      <c r="B5797" s="5" t="s">
        <v>588</v>
      </c>
      <c r="C5797" s="5" t="s">
        <v>723</v>
      </c>
      <c r="D5797" s="25" t="s">
        <v>227</v>
      </c>
      <c r="E5797" s="64" t="s">
        <v>238</v>
      </c>
      <c r="F5797" s="30">
        <v>203</v>
      </c>
      <c r="G5797" s="30">
        <v>110</v>
      </c>
      <c r="H5797" s="30">
        <v>93</v>
      </c>
    </row>
    <row r="5798" spans="1:8" x14ac:dyDescent="0.4">
      <c r="A5798">
        <v>2001</v>
      </c>
      <c r="B5798" s="5" t="s">
        <v>589</v>
      </c>
      <c r="C5798" s="5" t="s">
        <v>724</v>
      </c>
      <c r="D5798" s="25" t="s">
        <v>239</v>
      </c>
      <c r="E5798" s="64" t="s">
        <v>163</v>
      </c>
      <c r="F5798" s="30">
        <v>75</v>
      </c>
      <c r="G5798" s="30">
        <v>39</v>
      </c>
      <c r="H5798" s="30">
        <v>36</v>
      </c>
    </row>
    <row r="5799" spans="1:8" x14ac:dyDescent="0.4">
      <c r="A5799">
        <v>2001</v>
      </c>
      <c r="B5799" s="5" t="s">
        <v>590</v>
      </c>
      <c r="C5799" s="5" t="s">
        <v>724</v>
      </c>
      <c r="D5799" s="25" t="s">
        <v>239</v>
      </c>
      <c r="E5799" s="64" t="s">
        <v>240</v>
      </c>
      <c r="F5799" s="30">
        <v>33</v>
      </c>
      <c r="G5799" s="30">
        <v>21</v>
      </c>
      <c r="H5799" s="30">
        <v>12</v>
      </c>
    </row>
    <row r="5800" spans="1:8" x14ac:dyDescent="0.4">
      <c r="A5800">
        <v>2001</v>
      </c>
      <c r="B5800" s="5" t="s">
        <v>591</v>
      </c>
      <c r="C5800" s="5" t="s">
        <v>724</v>
      </c>
      <c r="D5800" s="25" t="s">
        <v>239</v>
      </c>
      <c r="E5800" s="64" t="s">
        <v>59</v>
      </c>
      <c r="F5800" s="30">
        <v>129</v>
      </c>
      <c r="G5800" s="30">
        <v>74</v>
      </c>
      <c r="H5800" s="30">
        <v>55</v>
      </c>
    </row>
    <row r="5801" spans="1:8" x14ac:dyDescent="0.4">
      <c r="A5801">
        <v>2001</v>
      </c>
      <c r="B5801" s="5" t="s">
        <v>592</v>
      </c>
      <c r="C5801" s="5" t="s">
        <v>724</v>
      </c>
      <c r="D5801" s="25" t="s">
        <v>239</v>
      </c>
      <c r="E5801" s="64" t="s">
        <v>241</v>
      </c>
      <c r="F5801" s="30">
        <v>50</v>
      </c>
      <c r="G5801" s="30">
        <v>28</v>
      </c>
      <c r="H5801" s="30">
        <v>22</v>
      </c>
    </row>
    <row r="5802" spans="1:8" x14ac:dyDescent="0.4">
      <c r="A5802">
        <v>2001</v>
      </c>
      <c r="B5802" s="5" t="s">
        <v>593</v>
      </c>
      <c r="C5802" s="5" t="s">
        <v>724</v>
      </c>
      <c r="D5802" s="25" t="s">
        <v>239</v>
      </c>
      <c r="E5802" s="64" t="s">
        <v>242</v>
      </c>
      <c r="F5802" s="30">
        <v>491</v>
      </c>
      <c r="G5802" s="30">
        <v>266</v>
      </c>
      <c r="H5802" s="30">
        <v>225</v>
      </c>
    </row>
    <row r="5803" spans="1:8" x14ac:dyDescent="0.4">
      <c r="A5803">
        <v>2001</v>
      </c>
      <c r="B5803" s="5" t="s">
        <v>594</v>
      </c>
      <c r="C5803" s="5" t="s">
        <v>724</v>
      </c>
      <c r="D5803" s="25" t="s">
        <v>239</v>
      </c>
      <c r="E5803" s="64" t="s">
        <v>36</v>
      </c>
      <c r="F5803" s="30">
        <v>46</v>
      </c>
      <c r="G5803" s="30">
        <v>27</v>
      </c>
      <c r="H5803" s="30">
        <v>19</v>
      </c>
    </row>
    <row r="5804" spans="1:8" x14ac:dyDescent="0.4">
      <c r="A5804">
        <v>2001</v>
      </c>
      <c r="B5804" s="5" t="s">
        <v>595</v>
      </c>
      <c r="C5804" s="5" t="s">
        <v>724</v>
      </c>
      <c r="D5804" s="25" t="s">
        <v>239</v>
      </c>
      <c r="E5804" s="64" t="s">
        <v>243</v>
      </c>
      <c r="F5804" s="30">
        <v>49</v>
      </c>
      <c r="G5804" s="30">
        <v>26</v>
      </c>
      <c r="H5804" s="30">
        <v>23</v>
      </c>
    </row>
    <row r="5805" spans="1:8" x14ac:dyDescent="0.4">
      <c r="A5805">
        <v>2001</v>
      </c>
      <c r="B5805" s="5" t="s">
        <v>596</v>
      </c>
      <c r="C5805" s="5" t="s">
        <v>724</v>
      </c>
      <c r="D5805" s="25" t="s">
        <v>239</v>
      </c>
      <c r="E5805" s="64" t="s">
        <v>244</v>
      </c>
      <c r="F5805" s="30">
        <v>49</v>
      </c>
      <c r="G5805" s="30">
        <v>22</v>
      </c>
      <c r="H5805" s="30">
        <v>27</v>
      </c>
    </row>
    <row r="5806" spans="1:8" x14ac:dyDescent="0.4">
      <c r="A5806">
        <v>2001</v>
      </c>
      <c r="B5806" s="5" t="s">
        <v>597</v>
      </c>
      <c r="C5806" s="5" t="s">
        <v>724</v>
      </c>
      <c r="D5806" s="25" t="s">
        <v>239</v>
      </c>
      <c r="E5806" s="64" t="s">
        <v>44</v>
      </c>
      <c r="F5806" s="30">
        <v>23</v>
      </c>
      <c r="G5806" s="30">
        <v>15</v>
      </c>
      <c r="H5806" s="30">
        <v>8</v>
      </c>
    </row>
    <row r="5807" spans="1:8" x14ac:dyDescent="0.4">
      <c r="A5807">
        <v>2001</v>
      </c>
      <c r="B5807" s="5" t="s">
        <v>598</v>
      </c>
      <c r="C5807" s="5" t="s">
        <v>724</v>
      </c>
      <c r="D5807" s="25" t="s">
        <v>239</v>
      </c>
      <c r="E5807" s="64" t="s">
        <v>222</v>
      </c>
      <c r="F5807" s="30">
        <v>68</v>
      </c>
      <c r="G5807" s="30">
        <v>37</v>
      </c>
      <c r="H5807" s="30">
        <v>31</v>
      </c>
    </row>
    <row r="5808" spans="1:8" x14ac:dyDescent="0.4">
      <c r="A5808">
        <v>2001</v>
      </c>
      <c r="B5808" s="5" t="s">
        <v>599</v>
      </c>
      <c r="C5808" s="5" t="s">
        <v>724</v>
      </c>
      <c r="D5808" s="25" t="s">
        <v>239</v>
      </c>
      <c r="E5808" s="64" t="s">
        <v>245</v>
      </c>
      <c r="F5808" s="30">
        <v>25</v>
      </c>
      <c r="G5808" s="30">
        <v>14</v>
      </c>
      <c r="H5808" s="30">
        <v>11</v>
      </c>
    </row>
    <row r="5809" spans="1:8" x14ac:dyDescent="0.4">
      <c r="A5809">
        <v>2001</v>
      </c>
      <c r="B5809" s="5" t="s">
        <v>600</v>
      </c>
      <c r="C5809" s="5" t="s">
        <v>724</v>
      </c>
      <c r="D5809" s="25" t="s">
        <v>239</v>
      </c>
      <c r="E5809" s="64" t="s">
        <v>246</v>
      </c>
      <c r="F5809" s="30">
        <v>155</v>
      </c>
      <c r="G5809" s="30">
        <v>81</v>
      </c>
      <c r="H5809" s="30">
        <v>74</v>
      </c>
    </row>
    <row r="5810" spans="1:8" x14ac:dyDescent="0.4">
      <c r="A5810">
        <v>2001</v>
      </c>
      <c r="B5810" s="5" t="s">
        <v>601</v>
      </c>
      <c r="C5810" s="5" t="s">
        <v>724</v>
      </c>
      <c r="D5810" s="25" t="s">
        <v>239</v>
      </c>
      <c r="E5810" s="64" t="s">
        <v>247</v>
      </c>
      <c r="F5810" s="30">
        <v>112</v>
      </c>
      <c r="G5810" s="30">
        <v>61</v>
      </c>
      <c r="H5810" s="30">
        <v>51</v>
      </c>
    </row>
    <row r="5811" spans="1:8" x14ac:dyDescent="0.4">
      <c r="A5811">
        <v>2001</v>
      </c>
      <c r="B5811" s="5" t="s">
        <v>602</v>
      </c>
      <c r="C5811" s="5" t="s">
        <v>724</v>
      </c>
      <c r="D5811" s="25" t="s">
        <v>239</v>
      </c>
      <c r="E5811" s="64" t="s">
        <v>51</v>
      </c>
      <c r="F5811" s="30">
        <v>1416</v>
      </c>
      <c r="G5811" s="30">
        <v>896</v>
      </c>
      <c r="H5811" s="30">
        <v>520</v>
      </c>
    </row>
    <row r="5812" spans="1:8" x14ac:dyDescent="0.4">
      <c r="A5812">
        <v>2001</v>
      </c>
      <c r="B5812" s="5" t="s">
        <v>603</v>
      </c>
      <c r="C5812" s="5" t="s">
        <v>724</v>
      </c>
      <c r="D5812" s="25" t="s">
        <v>239</v>
      </c>
      <c r="E5812" s="65" t="s">
        <v>248</v>
      </c>
      <c r="F5812" s="31">
        <v>100</v>
      </c>
      <c r="G5812" s="31">
        <v>57</v>
      </c>
      <c r="H5812" s="31">
        <v>43</v>
      </c>
    </row>
    <row r="5813" spans="1:8" x14ac:dyDescent="0.4">
      <c r="A5813">
        <v>2001</v>
      </c>
      <c r="B5813" s="5" t="s">
        <v>604</v>
      </c>
      <c r="C5813" s="5" t="s">
        <v>725</v>
      </c>
      <c r="D5813" s="25" t="s">
        <v>249</v>
      </c>
      <c r="E5813" s="64" t="s">
        <v>174</v>
      </c>
      <c r="F5813" s="30">
        <v>48</v>
      </c>
      <c r="G5813" s="30">
        <v>26</v>
      </c>
      <c r="H5813" s="30">
        <v>22</v>
      </c>
    </row>
    <row r="5814" spans="1:8" x14ac:dyDescent="0.4">
      <c r="A5814">
        <v>2001</v>
      </c>
      <c r="B5814" s="5" t="s">
        <v>605</v>
      </c>
      <c r="C5814" s="5" t="s">
        <v>725</v>
      </c>
      <c r="D5814" s="25" t="s">
        <v>249</v>
      </c>
      <c r="E5814" s="64" t="s">
        <v>250</v>
      </c>
      <c r="F5814" s="30">
        <v>18</v>
      </c>
      <c r="G5814" s="30">
        <v>11</v>
      </c>
      <c r="H5814" s="30">
        <v>7</v>
      </c>
    </row>
    <row r="5815" spans="1:8" x14ac:dyDescent="0.4">
      <c r="A5815">
        <v>2001</v>
      </c>
      <c r="B5815" s="5" t="s">
        <v>606</v>
      </c>
      <c r="C5815" s="5" t="s">
        <v>725</v>
      </c>
      <c r="D5815" s="25" t="s">
        <v>249</v>
      </c>
      <c r="E5815" s="64" t="s">
        <v>251</v>
      </c>
      <c r="F5815" s="30">
        <v>233</v>
      </c>
      <c r="G5815" s="30">
        <v>136</v>
      </c>
      <c r="H5815" s="30">
        <v>97</v>
      </c>
    </row>
    <row r="5816" spans="1:8" x14ac:dyDescent="0.4">
      <c r="A5816">
        <v>2001</v>
      </c>
      <c r="B5816" s="5" t="s">
        <v>607</v>
      </c>
      <c r="C5816" s="5" t="s">
        <v>725</v>
      </c>
      <c r="D5816" s="25" t="s">
        <v>249</v>
      </c>
      <c r="E5816" s="64" t="s">
        <v>36</v>
      </c>
      <c r="F5816" s="30">
        <v>190</v>
      </c>
      <c r="G5816" s="30">
        <v>105</v>
      </c>
      <c r="H5816" s="30">
        <v>85</v>
      </c>
    </row>
    <row r="5817" spans="1:8" x14ac:dyDescent="0.4">
      <c r="A5817">
        <v>2001</v>
      </c>
      <c r="B5817" s="5" t="s">
        <v>608</v>
      </c>
      <c r="C5817" s="5" t="s">
        <v>725</v>
      </c>
      <c r="D5817" s="25" t="s">
        <v>249</v>
      </c>
      <c r="E5817" s="64" t="s">
        <v>252</v>
      </c>
      <c r="F5817" s="30">
        <v>223</v>
      </c>
      <c r="G5817" s="30">
        <v>134</v>
      </c>
      <c r="H5817" s="30">
        <v>89</v>
      </c>
    </row>
    <row r="5818" spans="1:8" x14ac:dyDescent="0.4">
      <c r="A5818">
        <v>2001</v>
      </c>
      <c r="B5818" s="5" t="s">
        <v>609</v>
      </c>
      <c r="C5818" s="5" t="s">
        <v>725</v>
      </c>
      <c r="D5818" s="25" t="s">
        <v>249</v>
      </c>
      <c r="E5818" s="64" t="s">
        <v>253</v>
      </c>
      <c r="F5818" s="30">
        <v>76</v>
      </c>
      <c r="G5818" s="30">
        <v>46</v>
      </c>
      <c r="H5818" s="30">
        <v>30</v>
      </c>
    </row>
    <row r="5819" spans="1:8" x14ac:dyDescent="0.4">
      <c r="A5819">
        <v>2001</v>
      </c>
      <c r="B5819" s="5" t="s">
        <v>610</v>
      </c>
      <c r="C5819" s="5" t="s">
        <v>725</v>
      </c>
      <c r="D5819" s="25" t="s">
        <v>249</v>
      </c>
      <c r="E5819" s="64" t="s">
        <v>254</v>
      </c>
      <c r="F5819" s="30">
        <v>141</v>
      </c>
      <c r="G5819" s="30">
        <v>82</v>
      </c>
      <c r="H5819" s="30">
        <v>59</v>
      </c>
    </row>
    <row r="5820" spans="1:8" x14ac:dyDescent="0.4">
      <c r="A5820">
        <v>2001</v>
      </c>
      <c r="B5820" s="5" t="s">
        <v>611</v>
      </c>
      <c r="C5820" s="5" t="s">
        <v>725</v>
      </c>
      <c r="D5820" s="25" t="s">
        <v>249</v>
      </c>
      <c r="E5820" s="64" t="s">
        <v>11</v>
      </c>
      <c r="F5820" s="30">
        <v>11</v>
      </c>
      <c r="G5820" s="30">
        <v>8</v>
      </c>
      <c r="H5820" s="30">
        <v>3</v>
      </c>
    </row>
    <row r="5821" spans="1:8" x14ac:dyDescent="0.4">
      <c r="A5821">
        <v>2001</v>
      </c>
      <c r="B5821" s="5" t="s">
        <v>612</v>
      </c>
      <c r="C5821" s="5" t="s">
        <v>725</v>
      </c>
      <c r="D5821" s="25" t="s">
        <v>249</v>
      </c>
      <c r="E5821" s="64" t="s">
        <v>255</v>
      </c>
      <c r="F5821" s="30">
        <v>174</v>
      </c>
      <c r="G5821" s="30">
        <v>108</v>
      </c>
      <c r="H5821" s="30">
        <v>66</v>
      </c>
    </row>
    <row r="5822" spans="1:8" x14ac:dyDescent="0.4">
      <c r="A5822">
        <v>2001</v>
      </c>
      <c r="B5822" s="5" t="s">
        <v>613</v>
      </c>
      <c r="C5822" s="5" t="s">
        <v>725</v>
      </c>
      <c r="D5822" s="25" t="s">
        <v>249</v>
      </c>
      <c r="E5822" s="64" t="s">
        <v>256</v>
      </c>
      <c r="F5822" s="30">
        <v>73</v>
      </c>
      <c r="G5822" s="30">
        <v>46</v>
      </c>
      <c r="H5822" s="30">
        <v>27</v>
      </c>
    </row>
    <row r="5823" spans="1:8" x14ac:dyDescent="0.4">
      <c r="A5823">
        <v>2001</v>
      </c>
      <c r="B5823" s="5" t="s">
        <v>614</v>
      </c>
      <c r="C5823" s="5" t="s">
        <v>725</v>
      </c>
      <c r="D5823" s="25" t="s">
        <v>249</v>
      </c>
      <c r="E5823" s="64" t="s">
        <v>14</v>
      </c>
      <c r="F5823" s="30">
        <v>74</v>
      </c>
      <c r="G5823" s="30">
        <v>45</v>
      </c>
      <c r="H5823" s="30">
        <v>29</v>
      </c>
    </row>
    <row r="5824" spans="1:8" x14ac:dyDescent="0.4">
      <c r="A5824">
        <v>2001</v>
      </c>
      <c r="B5824" s="5" t="s">
        <v>615</v>
      </c>
      <c r="C5824" s="5" t="s">
        <v>725</v>
      </c>
      <c r="D5824" s="25" t="s">
        <v>249</v>
      </c>
      <c r="E5824" s="64" t="s">
        <v>257</v>
      </c>
      <c r="F5824" s="30">
        <v>227</v>
      </c>
      <c r="G5824" s="30">
        <v>135</v>
      </c>
      <c r="H5824" s="30">
        <v>92</v>
      </c>
    </row>
    <row r="5825" spans="1:8" x14ac:dyDescent="0.4">
      <c r="A5825">
        <v>2001</v>
      </c>
      <c r="B5825" s="5" t="s">
        <v>616</v>
      </c>
      <c r="C5825" s="5" t="s">
        <v>725</v>
      </c>
      <c r="D5825" s="25" t="s">
        <v>249</v>
      </c>
      <c r="E5825" s="64" t="s">
        <v>258</v>
      </c>
      <c r="F5825" s="30">
        <v>41</v>
      </c>
      <c r="G5825" s="30">
        <v>27</v>
      </c>
      <c r="H5825" s="30">
        <v>14</v>
      </c>
    </row>
    <row r="5826" spans="1:8" x14ac:dyDescent="0.4">
      <c r="A5826">
        <v>2001</v>
      </c>
      <c r="B5826" s="5" t="s">
        <v>617</v>
      </c>
      <c r="C5826" s="5" t="s">
        <v>725</v>
      </c>
      <c r="D5826" s="25" t="s">
        <v>249</v>
      </c>
      <c r="E5826" s="64" t="s">
        <v>259</v>
      </c>
      <c r="F5826" s="30">
        <v>265</v>
      </c>
      <c r="G5826" s="30">
        <v>158</v>
      </c>
      <c r="H5826" s="30">
        <v>107</v>
      </c>
    </row>
    <row r="5827" spans="1:8" x14ac:dyDescent="0.4">
      <c r="A5827">
        <v>2001</v>
      </c>
      <c r="B5827" s="5" t="s">
        <v>618</v>
      </c>
      <c r="C5827" s="5" t="s">
        <v>725</v>
      </c>
      <c r="D5827" s="25" t="s">
        <v>249</v>
      </c>
      <c r="E5827" s="64" t="s">
        <v>18</v>
      </c>
      <c r="F5827" s="30">
        <v>60</v>
      </c>
      <c r="G5827" s="30">
        <v>36</v>
      </c>
      <c r="H5827" s="30">
        <v>24</v>
      </c>
    </row>
    <row r="5828" spans="1:8" x14ac:dyDescent="0.4">
      <c r="A5828">
        <v>2001</v>
      </c>
      <c r="B5828" s="5" t="s">
        <v>619</v>
      </c>
      <c r="C5828" s="5" t="s">
        <v>725</v>
      </c>
      <c r="D5828" s="25" t="s">
        <v>249</v>
      </c>
      <c r="E5828" s="64" t="s">
        <v>44</v>
      </c>
      <c r="F5828" s="30">
        <v>66</v>
      </c>
      <c r="G5828" s="30">
        <v>50</v>
      </c>
      <c r="H5828" s="30">
        <v>16</v>
      </c>
    </row>
    <row r="5829" spans="1:8" x14ac:dyDescent="0.4">
      <c r="A5829">
        <v>2001</v>
      </c>
      <c r="B5829" s="5" t="s">
        <v>620</v>
      </c>
      <c r="C5829" s="5" t="s">
        <v>725</v>
      </c>
      <c r="D5829" s="25" t="s">
        <v>249</v>
      </c>
      <c r="E5829" s="64" t="s">
        <v>260</v>
      </c>
      <c r="F5829" s="30">
        <v>33</v>
      </c>
      <c r="G5829" s="30">
        <v>17</v>
      </c>
      <c r="H5829" s="30">
        <v>16</v>
      </c>
    </row>
    <row r="5830" spans="1:8" x14ac:dyDescent="0.4">
      <c r="A5830">
        <v>2001</v>
      </c>
      <c r="B5830" s="5" t="s">
        <v>621</v>
      </c>
      <c r="C5830" s="5" t="s">
        <v>725</v>
      </c>
      <c r="D5830" s="25" t="s">
        <v>249</v>
      </c>
      <c r="E5830" s="64" t="s">
        <v>261</v>
      </c>
      <c r="F5830" s="30">
        <v>71</v>
      </c>
      <c r="G5830" s="30">
        <v>35</v>
      </c>
      <c r="H5830" s="30">
        <v>36</v>
      </c>
    </row>
    <row r="5831" spans="1:8" x14ac:dyDescent="0.4">
      <c r="A5831">
        <v>2001</v>
      </c>
      <c r="B5831" s="5" t="s">
        <v>622</v>
      </c>
      <c r="C5831" s="5" t="s">
        <v>725</v>
      </c>
      <c r="D5831" s="25" t="s">
        <v>249</v>
      </c>
      <c r="E5831" s="64" t="s">
        <v>262</v>
      </c>
      <c r="F5831" s="30">
        <v>135</v>
      </c>
      <c r="G5831" s="30">
        <v>76</v>
      </c>
      <c r="H5831" s="30">
        <v>59</v>
      </c>
    </row>
    <row r="5832" spans="1:8" x14ac:dyDescent="0.4">
      <c r="A5832">
        <v>2001</v>
      </c>
      <c r="B5832" s="5" t="s">
        <v>623</v>
      </c>
      <c r="C5832" s="5" t="s">
        <v>725</v>
      </c>
      <c r="D5832" s="25" t="s">
        <v>249</v>
      </c>
      <c r="E5832" s="64" t="s">
        <v>263</v>
      </c>
      <c r="F5832" s="30">
        <v>100</v>
      </c>
      <c r="G5832" s="30">
        <v>59</v>
      </c>
      <c r="H5832" s="30">
        <v>41</v>
      </c>
    </row>
    <row r="5833" spans="1:8" x14ac:dyDescent="0.4">
      <c r="A5833">
        <v>2001</v>
      </c>
      <c r="B5833" s="5" t="s">
        <v>624</v>
      </c>
      <c r="C5833" s="5" t="s">
        <v>725</v>
      </c>
      <c r="D5833" s="25" t="s">
        <v>249</v>
      </c>
      <c r="E5833" s="64" t="s">
        <v>264</v>
      </c>
      <c r="F5833" s="30">
        <v>17</v>
      </c>
      <c r="G5833" s="30">
        <v>11</v>
      </c>
      <c r="H5833" s="30">
        <v>6</v>
      </c>
    </row>
    <row r="5834" spans="1:8" x14ac:dyDescent="0.4">
      <c r="A5834">
        <v>2001</v>
      </c>
      <c r="B5834" s="5" t="s">
        <v>625</v>
      </c>
      <c r="C5834" s="5" t="s">
        <v>725</v>
      </c>
      <c r="D5834" s="25" t="s">
        <v>249</v>
      </c>
      <c r="E5834" s="64" t="s">
        <v>265</v>
      </c>
      <c r="F5834" s="30">
        <v>51</v>
      </c>
      <c r="G5834" s="30">
        <v>27</v>
      </c>
      <c r="H5834" s="30">
        <v>24</v>
      </c>
    </row>
    <row r="5835" spans="1:8" x14ac:dyDescent="0.4">
      <c r="A5835">
        <v>2001</v>
      </c>
      <c r="B5835" s="5" t="s">
        <v>626</v>
      </c>
      <c r="C5835" s="5" t="s">
        <v>725</v>
      </c>
      <c r="D5835" s="25" t="s">
        <v>249</v>
      </c>
      <c r="E5835" s="64" t="s">
        <v>266</v>
      </c>
      <c r="F5835" s="30">
        <v>2634</v>
      </c>
      <c r="G5835" s="30">
        <v>1518</v>
      </c>
      <c r="H5835" s="30">
        <v>1116</v>
      </c>
    </row>
    <row r="5836" spans="1:8" x14ac:dyDescent="0.4">
      <c r="A5836">
        <v>2001</v>
      </c>
      <c r="B5836" s="5" t="s">
        <v>627</v>
      </c>
      <c r="C5836" s="5" t="s">
        <v>725</v>
      </c>
      <c r="D5836" s="25" t="s">
        <v>249</v>
      </c>
      <c r="E5836" s="64" t="s">
        <v>267</v>
      </c>
      <c r="F5836" s="30">
        <v>20</v>
      </c>
      <c r="G5836" s="30">
        <v>14</v>
      </c>
      <c r="H5836" s="30">
        <v>6</v>
      </c>
    </row>
    <row r="5837" spans="1:8" x14ac:dyDescent="0.4">
      <c r="A5837">
        <v>2001</v>
      </c>
      <c r="B5837" s="5" t="s">
        <v>628</v>
      </c>
      <c r="C5837" s="5" t="s">
        <v>725</v>
      </c>
      <c r="D5837" s="25" t="s">
        <v>249</v>
      </c>
      <c r="E5837" s="64" t="s">
        <v>268</v>
      </c>
      <c r="F5837" s="30">
        <v>32</v>
      </c>
      <c r="G5837" s="30">
        <v>16</v>
      </c>
      <c r="H5837" s="30">
        <v>16</v>
      </c>
    </row>
    <row r="5838" spans="1:8" x14ac:dyDescent="0.4">
      <c r="A5838">
        <v>2001</v>
      </c>
      <c r="B5838" s="5" t="s">
        <v>629</v>
      </c>
      <c r="C5838" s="5" t="s">
        <v>725</v>
      </c>
      <c r="D5838" s="25" t="s">
        <v>249</v>
      </c>
      <c r="E5838" s="64" t="s">
        <v>26</v>
      </c>
      <c r="F5838" s="30">
        <v>8</v>
      </c>
      <c r="G5838" s="30">
        <v>3</v>
      </c>
      <c r="H5838" s="32">
        <v>5</v>
      </c>
    </row>
    <row r="5839" spans="1:8" x14ac:dyDescent="0.4">
      <c r="A5839">
        <v>2001</v>
      </c>
      <c r="B5839" s="5" t="s">
        <v>630</v>
      </c>
      <c r="C5839" s="5" t="s">
        <v>725</v>
      </c>
      <c r="D5839" s="25" t="s">
        <v>249</v>
      </c>
      <c r="E5839" s="64" t="s">
        <v>51</v>
      </c>
      <c r="F5839" s="30">
        <v>49</v>
      </c>
      <c r="G5839" s="30">
        <v>32</v>
      </c>
      <c r="H5839" s="30">
        <v>17</v>
      </c>
    </row>
    <row r="5840" spans="1:8" x14ac:dyDescent="0.4">
      <c r="A5840">
        <v>2001</v>
      </c>
      <c r="B5840" s="5" t="s">
        <v>631</v>
      </c>
      <c r="C5840" s="5" t="s">
        <v>725</v>
      </c>
      <c r="D5840" s="25" t="s">
        <v>249</v>
      </c>
      <c r="E5840" s="64" t="s">
        <v>269</v>
      </c>
      <c r="F5840" s="30">
        <v>78</v>
      </c>
      <c r="G5840" s="30">
        <v>50</v>
      </c>
      <c r="H5840" s="30">
        <v>28</v>
      </c>
    </row>
    <row r="5841" spans="1:8" x14ac:dyDescent="0.4">
      <c r="A5841">
        <v>2001</v>
      </c>
      <c r="B5841" s="5" t="s">
        <v>632</v>
      </c>
      <c r="C5841" s="5" t="s">
        <v>725</v>
      </c>
      <c r="D5841" s="25" t="s">
        <v>249</v>
      </c>
      <c r="E5841" s="64" t="s">
        <v>270</v>
      </c>
      <c r="F5841" s="30">
        <v>84</v>
      </c>
      <c r="G5841" s="30">
        <v>46</v>
      </c>
      <c r="H5841" s="30">
        <v>38</v>
      </c>
    </row>
    <row r="5842" spans="1:8" x14ac:dyDescent="0.4">
      <c r="A5842">
        <v>2001</v>
      </c>
      <c r="B5842" s="5" t="s">
        <v>633</v>
      </c>
      <c r="C5842" s="5" t="s">
        <v>726</v>
      </c>
      <c r="D5842" s="25" t="s">
        <v>271</v>
      </c>
      <c r="E5842" s="64" t="s">
        <v>174</v>
      </c>
      <c r="F5842" s="30">
        <v>52</v>
      </c>
      <c r="G5842" s="30">
        <v>37</v>
      </c>
      <c r="H5842" s="30">
        <v>15</v>
      </c>
    </row>
    <row r="5843" spans="1:8" x14ac:dyDescent="0.4">
      <c r="A5843">
        <v>2001</v>
      </c>
      <c r="B5843" s="5" t="s">
        <v>634</v>
      </c>
      <c r="C5843" s="5" t="s">
        <v>726</v>
      </c>
      <c r="D5843" s="25" t="s">
        <v>271</v>
      </c>
      <c r="E5843" s="64" t="s">
        <v>272</v>
      </c>
      <c r="F5843" s="30">
        <v>566</v>
      </c>
      <c r="G5843" s="30">
        <v>310</v>
      </c>
      <c r="H5843" s="30">
        <v>256</v>
      </c>
    </row>
    <row r="5844" spans="1:8" x14ac:dyDescent="0.4">
      <c r="A5844">
        <v>2001</v>
      </c>
      <c r="B5844" s="5" t="s">
        <v>635</v>
      </c>
      <c r="C5844" s="5" t="s">
        <v>726</v>
      </c>
      <c r="D5844" s="25" t="s">
        <v>271</v>
      </c>
      <c r="E5844" s="64" t="s">
        <v>36</v>
      </c>
      <c r="F5844" s="30">
        <v>30</v>
      </c>
      <c r="G5844" s="30">
        <v>24</v>
      </c>
      <c r="H5844" s="30">
        <v>6</v>
      </c>
    </row>
    <row r="5845" spans="1:8" x14ac:dyDescent="0.4">
      <c r="A5845">
        <v>2001</v>
      </c>
      <c r="B5845" s="5" t="s">
        <v>636</v>
      </c>
      <c r="C5845" s="5" t="s">
        <v>726</v>
      </c>
      <c r="D5845" s="25" t="s">
        <v>271</v>
      </c>
      <c r="E5845" s="64" t="s">
        <v>273</v>
      </c>
      <c r="F5845" s="30">
        <v>90</v>
      </c>
      <c r="G5845" s="30">
        <v>56</v>
      </c>
      <c r="H5845" s="30">
        <v>34</v>
      </c>
    </row>
    <row r="5846" spans="1:8" x14ac:dyDescent="0.4">
      <c r="A5846">
        <v>2001</v>
      </c>
      <c r="B5846" s="5" t="s">
        <v>637</v>
      </c>
      <c r="C5846" s="5" t="s">
        <v>726</v>
      </c>
      <c r="D5846" s="25" t="s">
        <v>271</v>
      </c>
      <c r="E5846" s="64" t="s">
        <v>274</v>
      </c>
      <c r="F5846" s="30">
        <v>120</v>
      </c>
      <c r="G5846" s="30">
        <v>58</v>
      </c>
      <c r="H5846" s="30">
        <v>62</v>
      </c>
    </row>
    <row r="5847" spans="1:8" x14ac:dyDescent="0.4">
      <c r="A5847">
        <v>2001</v>
      </c>
      <c r="B5847" s="5" t="s">
        <v>638</v>
      </c>
      <c r="C5847" s="5" t="s">
        <v>726</v>
      </c>
      <c r="D5847" s="25" t="s">
        <v>271</v>
      </c>
      <c r="E5847" s="64" t="s">
        <v>275</v>
      </c>
      <c r="F5847" s="30">
        <v>44</v>
      </c>
      <c r="G5847" s="30">
        <v>23</v>
      </c>
      <c r="H5847" s="30">
        <v>21</v>
      </c>
    </row>
    <row r="5848" spans="1:8" x14ac:dyDescent="0.4">
      <c r="A5848">
        <v>2001</v>
      </c>
      <c r="B5848" s="5" t="s">
        <v>639</v>
      </c>
      <c r="C5848" s="5" t="s">
        <v>726</v>
      </c>
      <c r="D5848" s="25" t="s">
        <v>271</v>
      </c>
      <c r="E5848" s="64" t="s">
        <v>276</v>
      </c>
      <c r="F5848" s="30">
        <v>6</v>
      </c>
      <c r="G5848" s="30">
        <v>4</v>
      </c>
      <c r="H5848" s="30">
        <v>2</v>
      </c>
    </row>
    <row r="5849" spans="1:8" x14ac:dyDescent="0.4">
      <c r="A5849">
        <v>2001</v>
      </c>
      <c r="B5849" s="5" t="s">
        <v>640</v>
      </c>
      <c r="C5849" s="5" t="s">
        <v>726</v>
      </c>
      <c r="D5849" s="25" t="s">
        <v>271</v>
      </c>
      <c r="E5849" s="64" t="s">
        <v>277</v>
      </c>
      <c r="F5849" s="30">
        <v>20</v>
      </c>
      <c r="G5849" s="30">
        <v>9</v>
      </c>
      <c r="H5849" s="30">
        <v>11</v>
      </c>
    </row>
    <row r="5850" spans="1:8" x14ac:dyDescent="0.4">
      <c r="A5850">
        <v>2001</v>
      </c>
      <c r="B5850" s="5" t="s">
        <v>641</v>
      </c>
      <c r="C5850" s="5" t="s">
        <v>726</v>
      </c>
      <c r="D5850" s="25" t="s">
        <v>271</v>
      </c>
      <c r="E5850" s="64" t="s">
        <v>278</v>
      </c>
      <c r="F5850" s="30">
        <v>53</v>
      </c>
      <c r="G5850" s="30">
        <v>31</v>
      </c>
      <c r="H5850" s="30">
        <v>22</v>
      </c>
    </row>
    <row r="5851" spans="1:8" x14ac:dyDescent="0.4">
      <c r="A5851">
        <v>2001</v>
      </c>
      <c r="B5851" s="5" t="s">
        <v>642</v>
      </c>
      <c r="C5851" s="5" t="s">
        <v>726</v>
      </c>
      <c r="D5851" s="25" t="s">
        <v>271</v>
      </c>
      <c r="E5851" s="64" t="s">
        <v>85</v>
      </c>
      <c r="F5851" s="30">
        <v>36</v>
      </c>
      <c r="G5851" s="30">
        <v>25</v>
      </c>
      <c r="H5851" s="30">
        <v>11</v>
      </c>
    </row>
    <row r="5852" spans="1:8" x14ac:dyDescent="0.4">
      <c r="A5852">
        <v>2001</v>
      </c>
      <c r="B5852" s="5" t="s">
        <v>643</v>
      </c>
      <c r="C5852" s="5" t="s">
        <v>726</v>
      </c>
      <c r="D5852" s="25" t="s">
        <v>271</v>
      </c>
      <c r="E5852" s="64" t="s">
        <v>279</v>
      </c>
      <c r="F5852" s="30">
        <v>32</v>
      </c>
      <c r="G5852" s="30">
        <v>20</v>
      </c>
      <c r="H5852" s="30">
        <v>12</v>
      </c>
    </row>
    <row r="5853" spans="1:8" x14ac:dyDescent="0.4">
      <c r="A5853">
        <v>2001</v>
      </c>
      <c r="B5853" s="5" t="s">
        <v>644</v>
      </c>
      <c r="C5853" s="5" t="s">
        <v>726</v>
      </c>
      <c r="D5853" s="25" t="s">
        <v>271</v>
      </c>
      <c r="E5853" s="64" t="s">
        <v>280</v>
      </c>
      <c r="F5853" s="30">
        <v>17</v>
      </c>
      <c r="G5853" s="30">
        <v>12</v>
      </c>
      <c r="H5853" s="30">
        <v>5</v>
      </c>
    </row>
    <row r="5854" spans="1:8" x14ac:dyDescent="0.4">
      <c r="A5854">
        <v>2001</v>
      </c>
      <c r="B5854" s="5" t="s">
        <v>645</v>
      </c>
      <c r="C5854" s="5" t="s">
        <v>726</v>
      </c>
      <c r="D5854" s="25" t="s">
        <v>271</v>
      </c>
      <c r="E5854" s="64" t="s">
        <v>281</v>
      </c>
      <c r="F5854" s="30">
        <v>128</v>
      </c>
      <c r="G5854" s="30">
        <v>79</v>
      </c>
      <c r="H5854" s="30">
        <v>49</v>
      </c>
    </row>
    <row r="5855" spans="1:8" x14ac:dyDescent="0.4">
      <c r="A5855">
        <v>2001</v>
      </c>
      <c r="B5855" s="5" t="s">
        <v>646</v>
      </c>
      <c r="C5855" s="5" t="s">
        <v>726</v>
      </c>
      <c r="D5855" s="25" t="s">
        <v>271</v>
      </c>
      <c r="E5855" s="64" t="s">
        <v>282</v>
      </c>
      <c r="F5855" s="30">
        <v>32</v>
      </c>
      <c r="G5855" s="30">
        <v>19</v>
      </c>
      <c r="H5855" s="30">
        <v>13</v>
      </c>
    </row>
    <row r="5856" spans="1:8" x14ac:dyDescent="0.4">
      <c r="A5856">
        <v>2001</v>
      </c>
      <c r="B5856" s="5" t="s">
        <v>647</v>
      </c>
      <c r="C5856" s="5" t="s">
        <v>726</v>
      </c>
      <c r="D5856" s="25" t="s">
        <v>271</v>
      </c>
      <c r="E5856" s="64" t="s">
        <v>283</v>
      </c>
      <c r="F5856" s="30">
        <v>61</v>
      </c>
      <c r="G5856" s="30">
        <v>32</v>
      </c>
      <c r="H5856" s="30">
        <v>29</v>
      </c>
    </row>
    <row r="5857" spans="1:8" x14ac:dyDescent="0.4">
      <c r="A5857">
        <v>2001</v>
      </c>
      <c r="B5857" s="5" t="s">
        <v>648</v>
      </c>
      <c r="C5857" s="5" t="s">
        <v>726</v>
      </c>
      <c r="D5857" s="25" t="s">
        <v>271</v>
      </c>
      <c r="E5857" s="64" t="s">
        <v>284</v>
      </c>
      <c r="F5857" s="30">
        <v>126</v>
      </c>
      <c r="G5857" s="30">
        <v>73</v>
      </c>
      <c r="H5857" s="30">
        <v>53</v>
      </c>
    </row>
    <row r="5858" spans="1:8" x14ac:dyDescent="0.4">
      <c r="A5858">
        <v>2001</v>
      </c>
      <c r="B5858" s="5" t="s">
        <v>649</v>
      </c>
      <c r="C5858" s="5" t="s">
        <v>726</v>
      </c>
      <c r="D5858" s="25" t="s">
        <v>271</v>
      </c>
      <c r="E5858" s="64" t="s">
        <v>51</v>
      </c>
      <c r="F5858" s="30">
        <v>115</v>
      </c>
      <c r="G5858" s="30">
        <v>69</v>
      </c>
      <c r="H5858" s="30">
        <v>46</v>
      </c>
    </row>
    <row r="5859" spans="1:8" x14ac:dyDescent="0.4">
      <c r="A5859">
        <v>2001</v>
      </c>
      <c r="B5859" s="5" t="s">
        <v>650</v>
      </c>
      <c r="C5859" s="5" t="s">
        <v>726</v>
      </c>
      <c r="D5859" s="25" t="s">
        <v>271</v>
      </c>
      <c r="E5859" s="64" t="s">
        <v>285</v>
      </c>
      <c r="F5859" s="30">
        <v>459</v>
      </c>
      <c r="G5859" s="30">
        <v>264</v>
      </c>
      <c r="H5859" s="30">
        <v>195</v>
      </c>
    </row>
    <row r="5860" spans="1:8" x14ac:dyDescent="0.4">
      <c r="A5860">
        <v>2001</v>
      </c>
      <c r="B5860" s="5" t="s">
        <v>651</v>
      </c>
      <c r="C5860" s="5" t="s">
        <v>726</v>
      </c>
      <c r="D5860" s="25" t="s">
        <v>271</v>
      </c>
      <c r="E5860" s="64" t="s">
        <v>53</v>
      </c>
      <c r="F5860" s="30">
        <v>159</v>
      </c>
      <c r="G5860" s="30">
        <v>82</v>
      </c>
      <c r="H5860" s="30">
        <v>77</v>
      </c>
    </row>
    <row r="5861" spans="1:8" x14ac:dyDescent="0.4">
      <c r="A5861">
        <v>2001</v>
      </c>
      <c r="B5861" s="5" t="s">
        <v>652</v>
      </c>
      <c r="C5861" s="5" t="s">
        <v>726</v>
      </c>
      <c r="D5861" s="25" t="s">
        <v>271</v>
      </c>
      <c r="E5861" s="65" t="s">
        <v>286</v>
      </c>
      <c r="F5861" s="31">
        <v>1363</v>
      </c>
      <c r="G5861" s="31">
        <v>823</v>
      </c>
      <c r="H5861" s="31">
        <v>540</v>
      </c>
    </row>
    <row r="5862" spans="1:8" x14ac:dyDescent="0.4">
      <c r="A5862">
        <v>2001</v>
      </c>
      <c r="B5862" s="5" t="s">
        <v>653</v>
      </c>
      <c r="C5862" s="5" t="s">
        <v>727</v>
      </c>
      <c r="D5862" s="25" t="s">
        <v>288</v>
      </c>
      <c r="E5862" s="64" t="s">
        <v>287</v>
      </c>
      <c r="F5862" s="30">
        <v>130</v>
      </c>
      <c r="G5862" s="30">
        <v>89</v>
      </c>
      <c r="H5862" s="30">
        <v>41</v>
      </c>
    </row>
    <row r="5863" spans="1:8" x14ac:dyDescent="0.4">
      <c r="A5863">
        <v>2001</v>
      </c>
      <c r="B5863" s="5" t="s">
        <v>654</v>
      </c>
      <c r="C5863" s="5" t="s">
        <v>727</v>
      </c>
      <c r="D5863" s="25" t="s">
        <v>288</v>
      </c>
      <c r="E5863" s="64" t="s">
        <v>289</v>
      </c>
      <c r="F5863" s="30">
        <v>115</v>
      </c>
      <c r="G5863" s="30">
        <v>77</v>
      </c>
      <c r="H5863" s="30">
        <v>38</v>
      </c>
    </row>
    <row r="5864" spans="1:8" x14ac:dyDescent="0.4">
      <c r="A5864">
        <v>2001</v>
      </c>
      <c r="B5864" s="5" t="s">
        <v>655</v>
      </c>
      <c r="C5864" s="5" t="s">
        <v>727</v>
      </c>
      <c r="D5864" s="25" t="s">
        <v>288</v>
      </c>
      <c r="E5864" s="64" t="s">
        <v>290</v>
      </c>
      <c r="F5864" s="30">
        <v>185</v>
      </c>
      <c r="G5864" s="30">
        <v>118</v>
      </c>
      <c r="H5864" s="30">
        <v>67</v>
      </c>
    </row>
    <row r="5865" spans="1:8" x14ac:dyDescent="0.4">
      <c r="A5865">
        <v>2001</v>
      </c>
      <c r="B5865" s="5" t="s">
        <v>656</v>
      </c>
      <c r="C5865" s="5" t="s">
        <v>727</v>
      </c>
      <c r="D5865" s="25" t="s">
        <v>288</v>
      </c>
      <c r="E5865" s="64" t="s">
        <v>291</v>
      </c>
      <c r="F5865" s="30">
        <v>22</v>
      </c>
      <c r="G5865" s="30">
        <v>12</v>
      </c>
      <c r="H5865" s="30">
        <v>10</v>
      </c>
    </row>
    <row r="5866" spans="1:8" x14ac:dyDescent="0.4">
      <c r="A5866">
        <v>2001</v>
      </c>
      <c r="B5866" s="5" t="s">
        <v>657</v>
      </c>
      <c r="C5866" s="5" t="s">
        <v>727</v>
      </c>
      <c r="D5866" s="25" t="s">
        <v>288</v>
      </c>
      <c r="E5866" s="64" t="s">
        <v>292</v>
      </c>
      <c r="F5866" s="30">
        <v>202</v>
      </c>
      <c r="G5866" s="30">
        <v>146</v>
      </c>
      <c r="H5866" s="30">
        <v>56</v>
      </c>
    </row>
    <row r="5867" spans="1:8" x14ac:dyDescent="0.4">
      <c r="A5867">
        <v>2001</v>
      </c>
      <c r="B5867" s="5" t="s">
        <v>658</v>
      </c>
      <c r="C5867" s="5" t="s">
        <v>727</v>
      </c>
      <c r="D5867" s="25" t="s">
        <v>288</v>
      </c>
      <c r="E5867" s="64" t="s">
        <v>293</v>
      </c>
      <c r="F5867" s="30">
        <v>8</v>
      </c>
      <c r="G5867" s="30">
        <v>6</v>
      </c>
      <c r="H5867" s="30">
        <v>2</v>
      </c>
    </row>
    <row r="5868" spans="1:8" x14ac:dyDescent="0.4">
      <c r="A5868">
        <v>2001</v>
      </c>
      <c r="B5868" s="5" t="s">
        <v>659</v>
      </c>
      <c r="C5868" s="5" t="s">
        <v>727</v>
      </c>
      <c r="D5868" s="25" t="s">
        <v>288</v>
      </c>
      <c r="E5868" s="64" t="s">
        <v>294</v>
      </c>
      <c r="F5868" s="30">
        <v>263</v>
      </c>
      <c r="G5868" s="30">
        <v>166</v>
      </c>
      <c r="H5868" s="30">
        <v>97</v>
      </c>
    </row>
    <row r="5869" spans="1:8" x14ac:dyDescent="0.4">
      <c r="A5869">
        <v>2001</v>
      </c>
      <c r="B5869" s="5" t="s">
        <v>660</v>
      </c>
      <c r="C5869" s="5" t="s">
        <v>727</v>
      </c>
      <c r="D5869" s="25" t="s">
        <v>288</v>
      </c>
      <c r="E5869" s="64" t="s">
        <v>295</v>
      </c>
      <c r="F5869" s="30">
        <v>54</v>
      </c>
      <c r="G5869" s="30">
        <v>35</v>
      </c>
      <c r="H5869" s="30">
        <v>19</v>
      </c>
    </row>
    <row r="5870" spans="1:8" x14ac:dyDescent="0.4">
      <c r="A5870">
        <v>2001</v>
      </c>
      <c r="B5870" s="5" t="s">
        <v>661</v>
      </c>
      <c r="C5870" s="5" t="s">
        <v>727</v>
      </c>
      <c r="D5870" s="25" t="s">
        <v>288</v>
      </c>
      <c r="E5870" s="64" t="s">
        <v>296</v>
      </c>
      <c r="F5870" s="30">
        <v>321</v>
      </c>
      <c r="G5870" s="30">
        <v>211</v>
      </c>
      <c r="H5870" s="30">
        <v>110</v>
      </c>
    </row>
    <row r="5871" spans="1:8" x14ac:dyDescent="0.4">
      <c r="A5871">
        <v>2001</v>
      </c>
      <c r="B5871" s="5" t="s">
        <v>662</v>
      </c>
      <c r="C5871" s="5" t="s">
        <v>727</v>
      </c>
      <c r="D5871" s="25" t="s">
        <v>288</v>
      </c>
      <c r="E5871" s="64" t="s">
        <v>297</v>
      </c>
      <c r="F5871" s="30">
        <v>47</v>
      </c>
      <c r="G5871" s="30">
        <v>34</v>
      </c>
      <c r="H5871" s="30">
        <v>13</v>
      </c>
    </row>
    <row r="5872" spans="1:8" x14ac:dyDescent="0.4">
      <c r="A5872">
        <v>2001</v>
      </c>
      <c r="B5872" s="5" t="s">
        <v>663</v>
      </c>
      <c r="C5872" s="5" t="s">
        <v>727</v>
      </c>
      <c r="D5872" s="25" t="s">
        <v>288</v>
      </c>
      <c r="E5872" s="64" t="s">
        <v>298</v>
      </c>
      <c r="F5872" s="30">
        <v>56</v>
      </c>
      <c r="G5872" s="30">
        <v>38</v>
      </c>
      <c r="H5872" s="30">
        <v>18</v>
      </c>
    </row>
    <row r="5873" spans="1:8" x14ac:dyDescent="0.4">
      <c r="A5873">
        <v>2001</v>
      </c>
      <c r="B5873" s="5" t="s">
        <v>664</v>
      </c>
      <c r="C5873" s="5" t="s">
        <v>728</v>
      </c>
      <c r="D5873" s="25" t="s">
        <v>300</v>
      </c>
      <c r="E5873" s="64" t="s">
        <v>299</v>
      </c>
      <c r="F5873" s="30">
        <v>32</v>
      </c>
      <c r="G5873" s="30">
        <v>20</v>
      </c>
      <c r="H5873" s="30">
        <v>12</v>
      </c>
    </row>
    <row r="5874" spans="1:8" x14ac:dyDescent="0.4">
      <c r="A5874">
        <v>2001</v>
      </c>
      <c r="B5874" s="5" t="s">
        <v>665</v>
      </c>
      <c r="C5874" s="5" t="s">
        <v>728</v>
      </c>
      <c r="D5874" s="25" t="s">
        <v>300</v>
      </c>
      <c r="E5874" s="64" t="s">
        <v>36</v>
      </c>
      <c r="F5874" s="30">
        <v>76</v>
      </c>
      <c r="G5874" s="30">
        <v>49</v>
      </c>
      <c r="H5874" s="30">
        <v>27</v>
      </c>
    </row>
    <row r="5875" spans="1:8" x14ac:dyDescent="0.4">
      <c r="A5875">
        <v>2001</v>
      </c>
      <c r="B5875" s="5" t="s">
        <v>666</v>
      </c>
      <c r="C5875" s="5" t="s">
        <v>728</v>
      </c>
      <c r="D5875" s="25" t="s">
        <v>300</v>
      </c>
      <c r="E5875" s="64" t="s">
        <v>301</v>
      </c>
      <c r="F5875" s="30">
        <v>198</v>
      </c>
      <c r="G5875" s="30">
        <v>128</v>
      </c>
      <c r="H5875" s="30">
        <v>70</v>
      </c>
    </row>
    <row r="5876" spans="1:8" x14ac:dyDescent="0.4">
      <c r="A5876">
        <v>2001</v>
      </c>
      <c r="B5876" s="5" t="s">
        <v>667</v>
      </c>
      <c r="C5876" s="5" t="s">
        <v>728</v>
      </c>
      <c r="D5876" s="25" t="s">
        <v>300</v>
      </c>
      <c r="E5876" s="64" t="s">
        <v>302</v>
      </c>
      <c r="F5876" s="30">
        <v>57</v>
      </c>
      <c r="G5876" s="30">
        <v>36</v>
      </c>
      <c r="H5876" s="30">
        <v>21</v>
      </c>
    </row>
    <row r="5877" spans="1:8" x14ac:dyDescent="0.4">
      <c r="A5877">
        <v>2001</v>
      </c>
      <c r="B5877" s="5" t="s">
        <v>668</v>
      </c>
      <c r="C5877" s="5" t="s">
        <v>728</v>
      </c>
      <c r="D5877" s="25" t="s">
        <v>300</v>
      </c>
      <c r="E5877" s="64" t="s">
        <v>14</v>
      </c>
      <c r="F5877" s="30">
        <v>70</v>
      </c>
      <c r="G5877" s="30">
        <v>40</v>
      </c>
      <c r="H5877" s="30">
        <v>30</v>
      </c>
    </row>
    <row r="5878" spans="1:8" x14ac:dyDescent="0.4">
      <c r="A5878">
        <v>2001</v>
      </c>
      <c r="B5878" s="5" t="s">
        <v>669</v>
      </c>
      <c r="C5878" s="5" t="s">
        <v>728</v>
      </c>
      <c r="D5878" s="25" t="s">
        <v>300</v>
      </c>
      <c r="E5878" s="64" t="s">
        <v>303</v>
      </c>
      <c r="F5878" s="30">
        <v>44</v>
      </c>
      <c r="G5878" s="30">
        <v>32</v>
      </c>
      <c r="H5878" s="30">
        <v>12</v>
      </c>
    </row>
    <row r="5879" spans="1:8" x14ac:dyDescent="0.4">
      <c r="A5879">
        <v>2001</v>
      </c>
      <c r="B5879" s="5" t="s">
        <v>670</v>
      </c>
      <c r="C5879" s="5" t="s">
        <v>728</v>
      </c>
      <c r="D5879" s="25" t="s">
        <v>300</v>
      </c>
      <c r="E5879" s="64" t="s">
        <v>304</v>
      </c>
      <c r="F5879" s="30">
        <v>22</v>
      </c>
      <c r="G5879" s="30">
        <v>12</v>
      </c>
      <c r="H5879" s="30">
        <v>10</v>
      </c>
    </row>
    <row r="5880" spans="1:8" x14ac:dyDescent="0.4">
      <c r="A5880">
        <v>2001</v>
      </c>
      <c r="B5880" s="5" t="s">
        <v>671</v>
      </c>
      <c r="C5880" s="5" t="s">
        <v>728</v>
      </c>
      <c r="D5880" s="25" t="s">
        <v>300</v>
      </c>
      <c r="E5880" s="64" t="s">
        <v>305</v>
      </c>
      <c r="F5880" s="30">
        <v>29</v>
      </c>
      <c r="G5880" s="30">
        <v>17</v>
      </c>
      <c r="H5880" s="30">
        <v>12</v>
      </c>
    </row>
    <row r="5881" spans="1:8" x14ac:dyDescent="0.4">
      <c r="A5881">
        <v>2001</v>
      </c>
      <c r="B5881" s="5" t="s">
        <v>672</v>
      </c>
      <c r="C5881" s="5" t="s">
        <v>728</v>
      </c>
      <c r="D5881" s="25" t="s">
        <v>300</v>
      </c>
      <c r="E5881" s="64" t="s">
        <v>306</v>
      </c>
      <c r="F5881" s="30">
        <v>227</v>
      </c>
      <c r="G5881" s="30">
        <v>160</v>
      </c>
      <c r="H5881" s="30">
        <v>67</v>
      </c>
    </row>
    <row r="5882" spans="1:8" x14ac:dyDescent="0.4">
      <c r="A5882">
        <v>2001</v>
      </c>
      <c r="B5882" s="5" t="s">
        <v>673</v>
      </c>
      <c r="C5882" s="5" t="s">
        <v>728</v>
      </c>
      <c r="D5882" s="25" t="s">
        <v>300</v>
      </c>
      <c r="E5882" s="64" t="s">
        <v>307</v>
      </c>
      <c r="F5882" s="30">
        <v>236</v>
      </c>
      <c r="G5882" s="30">
        <v>143</v>
      </c>
      <c r="H5882" s="30">
        <v>93</v>
      </c>
    </row>
    <row r="5883" spans="1:8" x14ac:dyDescent="0.4">
      <c r="A5883">
        <v>2001</v>
      </c>
      <c r="B5883" s="5" t="s">
        <v>674</v>
      </c>
      <c r="C5883" s="5" t="s">
        <v>728</v>
      </c>
      <c r="D5883" s="25" t="s">
        <v>300</v>
      </c>
      <c r="E5883" s="64" t="s">
        <v>308</v>
      </c>
      <c r="F5883" s="30">
        <v>1019</v>
      </c>
      <c r="G5883" s="30">
        <v>585</v>
      </c>
      <c r="H5883" s="30">
        <v>434</v>
      </c>
    </row>
    <row r="5884" spans="1:8" x14ac:dyDescent="0.4">
      <c r="A5884">
        <v>2001</v>
      </c>
      <c r="B5884" s="5" t="s">
        <v>675</v>
      </c>
      <c r="C5884" s="5" t="s">
        <v>728</v>
      </c>
      <c r="D5884" s="25" t="s">
        <v>300</v>
      </c>
      <c r="E5884" s="64" t="s">
        <v>51</v>
      </c>
      <c r="F5884" s="30">
        <v>41</v>
      </c>
      <c r="G5884" s="30">
        <v>19</v>
      </c>
      <c r="H5884" s="30">
        <v>22</v>
      </c>
    </row>
    <row r="5885" spans="1:8" x14ac:dyDescent="0.4">
      <c r="A5885">
        <v>2001</v>
      </c>
      <c r="B5885" s="5" t="s">
        <v>676</v>
      </c>
      <c r="C5885" s="5" t="s">
        <v>728</v>
      </c>
      <c r="D5885" s="25" t="s">
        <v>300</v>
      </c>
      <c r="E5885" s="64" t="s">
        <v>309</v>
      </c>
      <c r="F5885" s="30">
        <v>49</v>
      </c>
      <c r="G5885" s="30">
        <v>28</v>
      </c>
      <c r="H5885" s="30">
        <v>21</v>
      </c>
    </row>
    <row r="5886" spans="1:8" x14ac:dyDescent="0.4">
      <c r="A5886">
        <v>2001</v>
      </c>
      <c r="B5886" s="5" t="s">
        <v>677</v>
      </c>
      <c r="C5886" s="5" t="s">
        <v>728</v>
      </c>
      <c r="D5886" s="25" t="s">
        <v>300</v>
      </c>
      <c r="E5886" s="64" t="s">
        <v>310</v>
      </c>
      <c r="F5886" s="30">
        <v>49</v>
      </c>
      <c r="G5886" s="30">
        <v>35</v>
      </c>
      <c r="H5886" s="30">
        <v>14</v>
      </c>
    </row>
    <row r="5887" spans="1:8" x14ac:dyDescent="0.4">
      <c r="A5887">
        <v>2001</v>
      </c>
      <c r="B5887" s="5" t="s">
        <v>678</v>
      </c>
      <c r="C5887" s="5" t="s">
        <v>729</v>
      </c>
      <c r="D5887" s="25" t="s">
        <v>312</v>
      </c>
      <c r="E5887" s="64" t="s">
        <v>311</v>
      </c>
      <c r="F5887" s="30">
        <v>26</v>
      </c>
      <c r="G5887" s="30">
        <v>16</v>
      </c>
      <c r="H5887" s="30">
        <v>10</v>
      </c>
    </row>
    <row r="5888" spans="1:8" x14ac:dyDescent="0.4">
      <c r="A5888">
        <v>2001</v>
      </c>
      <c r="B5888" s="5" t="s">
        <v>679</v>
      </c>
      <c r="C5888" s="5" t="s">
        <v>729</v>
      </c>
      <c r="D5888" s="25" t="s">
        <v>312</v>
      </c>
      <c r="E5888" s="64" t="s">
        <v>313</v>
      </c>
      <c r="F5888" s="30">
        <v>263</v>
      </c>
      <c r="G5888" s="30">
        <v>171</v>
      </c>
      <c r="H5888" s="30">
        <v>92</v>
      </c>
    </row>
    <row r="5889" spans="1:8" x14ac:dyDescent="0.4">
      <c r="A5889">
        <v>2001</v>
      </c>
      <c r="B5889" s="5" t="s">
        <v>680</v>
      </c>
      <c r="C5889" s="5" t="s">
        <v>729</v>
      </c>
      <c r="D5889" s="25" t="s">
        <v>312</v>
      </c>
      <c r="E5889" s="64" t="s">
        <v>314</v>
      </c>
      <c r="F5889" s="30">
        <v>1104</v>
      </c>
      <c r="G5889" s="30">
        <v>646</v>
      </c>
      <c r="H5889" s="30">
        <v>458</v>
      </c>
    </row>
    <row r="5890" spans="1:8" x14ac:dyDescent="0.4">
      <c r="A5890">
        <v>2001</v>
      </c>
      <c r="B5890" s="5" t="s">
        <v>681</v>
      </c>
      <c r="C5890" s="5" t="s">
        <v>729</v>
      </c>
      <c r="D5890" s="25" t="s">
        <v>312</v>
      </c>
      <c r="E5890" s="64" t="s">
        <v>315</v>
      </c>
      <c r="F5890" s="30">
        <v>75</v>
      </c>
      <c r="G5890" s="30">
        <v>53</v>
      </c>
      <c r="H5890" s="30">
        <v>22</v>
      </c>
    </row>
    <row r="5891" spans="1:8" x14ac:dyDescent="0.4">
      <c r="A5891">
        <v>2001</v>
      </c>
      <c r="B5891" s="5" t="s">
        <v>682</v>
      </c>
      <c r="C5891" s="5" t="s">
        <v>729</v>
      </c>
      <c r="D5891" s="25" t="s">
        <v>312</v>
      </c>
      <c r="E5891" s="64" t="s">
        <v>316</v>
      </c>
      <c r="F5891" s="30">
        <v>465</v>
      </c>
      <c r="G5891" s="30">
        <v>288</v>
      </c>
      <c r="H5891" s="30">
        <v>177</v>
      </c>
    </row>
    <row r="5892" spans="1:8" x14ac:dyDescent="0.4">
      <c r="A5892">
        <v>2001</v>
      </c>
      <c r="B5892" s="5" t="s">
        <v>683</v>
      </c>
      <c r="C5892" s="5" t="s">
        <v>729</v>
      </c>
      <c r="D5892" s="25" t="s">
        <v>312</v>
      </c>
      <c r="E5892" s="64" t="s">
        <v>317</v>
      </c>
      <c r="F5892" s="30">
        <v>73</v>
      </c>
      <c r="G5892" s="30">
        <v>46</v>
      </c>
      <c r="H5892" s="30">
        <v>27</v>
      </c>
    </row>
    <row r="5893" spans="1:8" x14ac:dyDescent="0.4">
      <c r="A5893">
        <v>2001</v>
      </c>
      <c r="B5893" s="5" t="s">
        <v>684</v>
      </c>
      <c r="C5893" s="5" t="s">
        <v>729</v>
      </c>
      <c r="D5893" s="25" t="s">
        <v>312</v>
      </c>
      <c r="E5893" s="64" t="s">
        <v>318</v>
      </c>
      <c r="F5893" s="30">
        <v>404</v>
      </c>
      <c r="G5893" s="30">
        <v>243</v>
      </c>
      <c r="H5893" s="30">
        <v>161</v>
      </c>
    </row>
    <row r="5894" spans="1:8" x14ac:dyDescent="0.4">
      <c r="A5894">
        <v>2001</v>
      </c>
      <c r="B5894" s="5" t="s">
        <v>685</v>
      </c>
      <c r="C5894" s="5" t="s">
        <v>729</v>
      </c>
      <c r="D5894" s="25" t="s">
        <v>312</v>
      </c>
      <c r="E5894" s="64" t="s">
        <v>319</v>
      </c>
      <c r="F5894" s="30">
        <v>102</v>
      </c>
      <c r="G5894" s="30">
        <v>68</v>
      </c>
      <c r="H5894" s="30">
        <v>34</v>
      </c>
    </row>
    <row r="5895" spans="1:8" x14ac:dyDescent="0.4">
      <c r="A5895">
        <v>2001</v>
      </c>
      <c r="B5895" s="5" t="s">
        <v>686</v>
      </c>
      <c r="C5895" s="5" t="s">
        <v>729</v>
      </c>
      <c r="D5895" s="25" t="s">
        <v>312</v>
      </c>
      <c r="E5895" s="64" t="s">
        <v>320</v>
      </c>
      <c r="F5895" s="30">
        <v>197</v>
      </c>
      <c r="G5895" s="30">
        <v>133</v>
      </c>
      <c r="H5895" s="30">
        <v>64</v>
      </c>
    </row>
    <row r="5896" spans="1:8" x14ac:dyDescent="0.4">
      <c r="A5896">
        <v>2001</v>
      </c>
      <c r="B5896" s="5" t="s">
        <v>687</v>
      </c>
      <c r="C5896" s="5" t="s">
        <v>729</v>
      </c>
      <c r="D5896" s="25" t="s">
        <v>312</v>
      </c>
      <c r="E5896" s="64" t="s">
        <v>321</v>
      </c>
      <c r="F5896" s="30">
        <v>1018</v>
      </c>
      <c r="G5896" s="30">
        <v>623</v>
      </c>
      <c r="H5896" s="30">
        <v>395</v>
      </c>
    </row>
    <row r="5897" spans="1:8" x14ac:dyDescent="0.4">
      <c r="A5897">
        <v>2001</v>
      </c>
      <c r="B5897" s="5" t="s">
        <v>688</v>
      </c>
      <c r="C5897" s="5" t="s">
        <v>729</v>
      </c>
      <c r="D5897" s="25" t="s">
        <v>312</v>
      </c>
      <c r="E5897" s="64" t="s">
        <v>322</v>
      </c>
      <c r="F5897" s="30">
        <v>424</v>
      </c>
      <c r="G5897" s="30">
        <v>276</v>
      </c>
      <c r="H5897" s="30">
        <v>148</v>
      </c>
    </row>
    <row r="5898" spans="1:8" x14ac:dyDescent="0.4">
      <c r="A5898">
        <v>2001</v>
      </c>
      <c r="B5898" s="5" t="s">
        <v>689</v>
      </c>
      <c r="C5898" s="5" t="s">
        <v>729</v>
      </c>
      <c r="D5898" s="25" t="s">
        <v>312</v>
      </c>
      <c r="E5898" s="64" t="s">
        <v>323</v>
      </c>
      <c r="F5898" s="30">
        <v>703</v>
      </c>
      <c r="G5898" s="30">
        <v>446</v>
      </c>
      <c r="H5898" s="30">
        <v>257</v>
      </c>
    </row>
    <row r="5899" spans="1:8" x14ac:dyDescent="0.4">
      <c r="A5899">
        <v>2001</v>
      </c>
      <c r="B5899" s="5" t="s">
        <v>690</v>
      </c>
      <c r="C5899" s="5" t="s">
        <v>729</v>
      </c>
      <c r="D5899" s="25" t="s">
        <v>312</v>
      </c>
      <c r="E5899" s="64" t="s">
        <v>324</v>
      </c>
      <c r="F5899" s="30">
        <v>8090</v>
      </c>
      <c r="G5899" s="30">
        <v>4711</v>
      </c>
      <c r="H5899" s="30">
        <v>3379</v>
      </c>
    </row>
    <row r="5900" spans="1:8" x14ac:dyDescent="0.4">
      <c r="A5900">
        <v>2001</v>
      </c>
      <c r="B5900" s="5" t="s">
        <v>691</v>
      </c>
      <c r="C5900" s="5" t="s">
        <v>729</v>
      </c>
      <c r="D5900" s="25" t="s">
        <v>312</v>
      </c>
      <c r="E5900" s="64" t="s">
        <v>85</v>
      </c>
      <c r="F5900" s="30">
        <v>259</v>
      </c>
      <c r="G5900" s="30">
        <v>160</v>
      </c>
      <c r="H5900" s="30">
        <v>99</v>
      </c>
    </row>
    <row r="5901" spans="1:8" x14ac:dyDescent="0.4">
      <c r="A5901">
        <v>2001</v>
      </c>
      <c r="B5901" s="5" t="s">
        <v>692</v>
      </c>
      <c r="C5901" s="5" t="s">
        <v>729</v>
      </c>
      <c r="D5901" s="25" t="s">
        <v>312</v>
      </c>
      <c r="E5901" s="64" t="s">
        <v>32</v>
      </c>
      <c r="F5901" s="30">
        <v>120</v>
      </c>
      <c r="G5901" s="30">
        <v>69</v>
      </c>
      <c r="H5901" s="30">
        <v>51</v>
      </c>
    </row>
    <row r="5902" spans="1:8" x14ac:dyDescent="0.4">
      <c r="A5902">
        <v>2001</v>
      </c>
      <c r="B5902" s="5" t="s">
        <v>693</v>
      </c>
      <c r="C5902" s="5" t="s">
        <v>729</v>
      </c>
      <c r="D5902" s="25" t="s">
        <v>312</v>
      </c>
      <c r="E5902" s="64" t="s">
        <v>325</v>
      </c>
      <c r="F5902" s="30">
        <v>280</v>
      </c>
      <c r="G5902" s="30">
        <v>156</v>
      </c>
      <c r="H5902" s="30">
        <v>124</v>
      </c>
    </row>
    <row r="5903" spans="1:8" x14ac:dyDescent="0.4">
      <c r="A5903">
        <v>2001</v>
      </c>
      <c r="B5903" s="5" t="s">
        <v>694</v>
      </c>
      <c r="C5903" s="5" t="s">
        <v>729</v>
      </c>
      <c r="D5903" s="25" t="s">
        <v>312</v>
      </c>
      <c r="E5903" s="64" t="s">
        <v>144</v>
      </c>
      <c r="F5903" s="30">
        <v>1244</v>
      </c>
      <c r="G5903" s="30">
        <v>713</v>
      </c>
      <c r="H5903" s="30">
        <v>531</v>
      </c>
    </row>
    <row r="5904" spans="1:8" x14ac:dyDescent="0.4">
      <c r="A5904">
        <v>2001</v>
      </c>
      <c r="B5904" s="5" t="s">
        <v>695</v>
      </c>
      <c r="C5904" s="5" t="s">
        <v>729</v>
      </c>
      <c r="D5904" s="25" t="s">
        <v>312</v>
      </c>
      <c r="E5904" s="64" t="s">
        <v>326</v>
      </c>
      <c r="F5904" s="30">
        <v>158</v>
      </c>
      <c r="G5904" s="30">
        <v>91</v>
      </c>
      <c r="H5904" s="30">
        <v>67</v>
      </c>
    </row>
    <row r="5905" spans="1:8" x14ac:dyDescent="0.4">
      <c r="A5905">
        <v>2001</v>
      </c>
      <c r="B5905" s="5" t="s">
        <v>696</v>
      </c>
      <c r="C5905" s="5" t="s">
        <v>729</v>
      </c>
      <c r="D5905" s="25" t="s">
        <v>312</v>
      </c>
      <c r="E5905" s="64" t="s">
        <v>25</v>
      </c>
      <c r="F5905" s="30">
        <v>76</v>
      </c>
      <c r="G5905" s="30">
        <v>53</v>
      </c>
      <c r="H5905" s="30">
        <v>23</v>
      </c>
    </row>
    <row r="5906" spans="1:8" x14ac:dyDescent="0.4">
      <c r="A5906">
        <v>2001</v>
      </c>
      <c r="B5906" s="5" t="s">
        <v>697</v>
      </c>
      <c r="C5906" s="5" t="s">
        <v>729</v>
      </c>
      <c r="D5906" s="25" t="s">
        <v>312</v>
      </c>
      <c r="E5906" s="64" t="s">
        <v>51</v>
      </c>
      <c r="F5906" s="30">
        <v>219</v>
      </c>
      <c r="G5906" s="30">
        <v>152</v>
      </c>
      <c r="H5906" s="30">
        <v>67</v>
      </c>
    </row>
    <row r="5907" spans="1:8" x14ac:dyDescent="0.4">
      <c r="A5907">
        <v>2001</v>
      </c>
      <c r="B5907" s="5" t="s">
        <v>698</v>
      </c>
      <c r="C5907" s="5" t="s">
        <v>729</v>
      </c>
      <c r="D5907" s="25" t="s">
        <v>312</v>
      </c>
      <c r="E5907" s="65" t="s">
        <v>327</v>
      </c>
      <c r="F5907" s="31">
        <v>132</v>
      </c>
      <c r="G5907" s="31">
        <v>96</v>
      </c>
      <c r="H5907" s="31">
        <v>36</v>
      </c>
    </row>
    <row r="5908" spans="1:8" x14ac:dyDescent="0.4">
      <c r="A5908">
        <v>2001</v>
      </c>
      <c r="B5908" s="5" t="s">
        <v>733</v>
      </c>
      <c r="C5908" s="5" t="s">
        <v>715</v>
      </c>
      <c r="D5908" s="25" t="s">
        <v>734</v>
      </c>
      <c r="E5908" s="65" t="s">
        <v>735</v>
      </c>
      <c r="F5908" s="36">
        <v>0</v>
      </c>
      <c r="G5908" s="36">
        <v>0</v>
      </c>
      <c r="H5908" s="36">
        <v>0</v>
      </c>
    </row>
    <row r="5909" spans="1:8" x14ac:dyDescent="0.4">
      <c r="A5909">
        <v>2000</v>
      </c>
      <c r="B5909" s="5" t="str">
        <f>+C5909&amp;"-"&amp;E5909</f>
        <v>VA-Municipio Autónomo Vargas</v>
      </c>
      <c r="C5909" s="5" t="str">
        <f>+MID(D5909,1,2)</f>
        <v>VA</v>
      </c>
      <c r="D5909" s="25" t="s">
        <v>288</v>
      </c>
      <c r="E5909" s="64" t="s">
        <v>757</v>
      </c>
      <c r="F5909" s="2">
        <v>855</v>
      </c>
      <c r="G5909" s="2">
        <v>0</v>
      </c>
      <c r="H5909" s="2">
        <v>0</v>
      </c>
    </row>
    <row r="5910" spans="1:8" x14ac:dyDescent="0.4">
      <c r="A5910">
        <v>2000</v>
      </c>
      <c r="B5910" s="5" t="str">
        <f>+C5910&amp;"-"&amp;E5910</f>
        <v>DI-Municipio Autónomo Libertador</v>
      </c>
      <c r="C5910" s="5" t="str">
        <f>+MID(D5910,1,2)</f>
        <v>DI</v>
      </c>
      <c r="D5910" s="25" t="s">
        <v>106</v>
      </c>
      <c r="E5910" s="64" t="s">
        <v>756</v>
      </c>
      <c r="F5910" s="2">
        <v>14475</v>
      </c>
      <c r="G5910" s="2">
        <v>0</v>
      </c>
      <c r="H5910" s="2">
        <v>0</v>
      </c>
    </row>
    <row r="5911" spans="1:8" x14ac:dyDescent="0.4">
      <c r="A5911">
        <v>2000</v>
      </c>
      <c r="B5911" s="5" t="s">
        <v>335</v>
      </c>
      <c r="C5911" s="5" t="s">
        <v>706</v>
      </c>
      <c r="D5911" s="25" t="s">
        <v>106</v>
      </c>
      <c r="E5911" s="64" t="s">
        <v>105</v>
      </c>
      <c r="F5911" s="2">
        <v>0</v>
      </c>
      <c r="G5911" s="2">
        <v>0</v>
      </c>
      <c r="H5911" s="2">
        <v>0</v>
      </c>
    </row>
    <row r="5912" spans="1:8" x14ac:dyDescent="0.4">
      <c r="A5912">
        <v>2000</v>
      </c>
      <c r="B5912" s="5" t="s">
        <v>336</v>
      </c>
      <c r="C5912" s="5" t="s">
        <v>706</v>
      </c>
      <c r="D5912" s="25" t="s">
        <v>106</v>
      </c>
      <c r="E5912" s="64" t="s">
        <v>107</v>
      </c>
      <c r="F5912" s="2">
        <v>0</v>
      </c>
      <c r="G5912" s="2">
        <v>0</v>
      </c>
      <c r="H5912" s="2">
        <v>0</v>
      </c>
    </row>
    <row r="5913" spans="1:8" x14ac:dyDescent="0.4">
      <c r="A5913">
        <v>2000</v>
      </c>
      <c r="B5913" s="5" t="s">
        <v>337</v>
      </c>
      <c r="C5913" s="5" t="s">
        <v>706</v>
      </c>
      <c r="D5913" s="25" t="s">
        <v>106</v>
      </c>
      <c r="E5913" s="64" t="s">
        <v>108</v>
      </c>
      <c r="F5913" s="2">
        <v>0</v>
      </c>
      <c r="G5913" s="2">
        <v>0</v>
      </c>
      <c r="H5913" s="2">
        <v>0</v>
      </c>
    </row>
    <row r="5914" spans="1:8" x14ac:dyDescent="0.4">
      <c r="A5914">
        <v>2000</v>
      </c>
      <c r="B5914" s="5" t="s">
        <v>338</v>
      </c>
      <c r="C5914" s="5" t="s">
        <v>706</v>
      </c>
      <c r="D5914" s="25" t="s">
        <v>106</v>
      </c>
      <c r="E5914" s="64" t="s">
        <v>109</v>
      </c>
      <c r="F5914" s="2">
        <v>0</v>
      </c>
      <c r="G5914" s="2">
        <v>0</v>
      </c>
      <c r="H5914" s="2">
        <v>0</v>
      </c>
    </row>
    <row r="5915" spans="1:8" x14ac:dyDescent="0.4">
      <c r="A5915">
        <v>2000</v>
      </c>
      <c r="B5915" s="5" t="s">
        <v>339</v>
      </c>
      <c r="C5915" s="5" t="s">
        <v>706</v>
      </c>
      <c r="D5915" s="25" t="s">
        <v>106</v>
      </c>
      <c r="E5915" s="64" t="s">
        <v>110</v>
      </c>
      <c r="F5915" s="2">
        <v>0</v>
      </c>
      <c r="G5915" s="2">
        <v>0</v>
      </c>
      <c r="H5915" s="2">
        <v>0</v>
      </c>
    </row>
    <row r="5916" spans="1:8" x14ac:dyDescent="0.4">
      <c r="A5916">
        <v>2000</v>
      </c>
      <c r="B5916" s="5" t="s">
        <v>340</v>
      </c>
      <c r="C5916" s="5" t="s">
        <v>706</v>
      </c>
      <c r="D5916" s="25" t="s">
        <v>106</v>
      </c>
      <c r="E5916" s="64" t="s">
        <v>111</v>
      </c>
      <c r="F5916" s="2">
        <v>0</v>
      </c>
      <c r="G5916" s="2">
        <v>0</v>
      </c>
      <c r="H5916" s="2">
        <v>0</v>
      </c>
    </row>
    <row r="5917" spans="1:8" x14ac:dyDescent="0.4">
      <c r="A5917">
        <v>2000</v>
      </c>
      <c r="B5917" s="5" t="s">
        <v>341</v>
      </c>
      <c r="C5917" s="5" t="s">
        <v>706</v>
      </c>
      <c r="D5917" s="25" t="s">
        <v>106</v>
      </c>
      <c r="E5917" s="64" t="s">
        <v>112</v>
      </c>
      <c r="F5917" s="2">
        <v>0</v>
      </c>
      <c r="G5917" s="2">
        <v>0</v>
      </c>
      <c r="H5917" s="2">
        <v>0</v>
      </c>
    </row>
    <row r="5918" spans="1:8" x14ac:dyDescent="0.4">
      <c r="A5918">
        <v>2000</v>
      </c>
      <c r="B5918" s="5" t="s">
        <v>342</v>
      </c>
      <c r="C5918" s="5" t="s">
        <v>706</v>
      </c>
      <c r="D5918" s="25" t="s">
        <v>106</v>
      </c>
      <c r="E5918" s="64" t="s">
        <v>113</v>
      </c>
      <c r="F5918" s="2">
        <v>0</v>
      </c>
      <c r="G5918" s="2">
        <v>0</v>
      </c>
      <c r="H5918" s="2">
        <v>0</v>
      </c>
    </row>
    <row r="5919" spans="1:8" x14ac:dyDescent="0.4">
      <c r="A5919">
        <v>2000</v>
      </c>
      <c r="B5919" s="5" t="s">
        <v>343</v>
      </c>
      <c r="C5919" s="5" t="s">
        <v>706</v>
      </c>
      <c r="D5919" s="25" t="s">
        <v>106</v>
      </c>
      <c r="E5919" s="64" t="s">
        <v>114</v>
      </c>
      <c r="F5919" s="2">
        <v>0</v>
      </c>
      <c r="G5919" s="2">
        <v>0</v>
      </c>
      <c r="H5919" s="2">
        <v>0</v>
      </c>
    </row>
    <row r="5920" spans="1:8" x14ac:dyDescent="0.4">
      <c r="A5920">
        <v>2000</v>
      </c>
      <c r="B5920" s="5" t="s">
        <v>344</v>
      </c>
      <c r="C5920" s="5" t="s">
        <v>706</v>
      </c>
      <c r="D5920" s="25" t="s">
        <v>106</v>
      </c>
      <c r="E5920" s="64" t="s">
        <v>115</v>
      </c>
      <c r="F5920" s="2">
        <v>0</v>
      </c>
      <c r="G5920" s="2">
        <v>0</v>
      </c>
      <c r="H5920" s="2">
        <v>0</v>
      </c>
    </row>
    <row r="5921" spans="1:8" x14ac:dyDescent="0.4">
      <c r="A5921">
        <v>2000</v>
      </c>
      <c r="B5921" s="5" t="s">
        <v>345</v>
      </c>
      <c r="C5921" s="5" t="s">
        <v>706</v>
      </c>
      <c r="D5921" s="25" t="s">
        <v>106</v>
      </c>
      <c r="E5921" s="64" t="s">
        <v>116</v>
      </c>
      <c r="F5921" s="2">
        <v>0</v>
      </c>
      <c r="G5921" s="2">
        <v>0</v>
      </c>
      <c r="H5921" s="2">
        <v>0</v>
      </c>
    </row>
    <row r="5922" spans="1:8" x14ac:dyDescent="0.4">
      <c r="A5922">
        <v>2000</v>
      </c>
      <c r="B5922" s="5" t="s">
        <v>346</v>
      </c>
      <c r="C5922" s="5" t="s">
        <v>706</v>
      </c>
      <c r="D5922" s="25" t="s">
        <v>106</v>
      </c>
      <c r="E5922" s="64" t="s">
        <v>117</v>
      </c>
      <c r="F5922" s="2">
        <v>0</v>
      </c>
      <c r="G5922" s="2">
        <v>0</v>
      </c>
      <c r="H5922" s="2">
        <v>0</v>
      </c>
    </row>
    <row r="5923" spans="1:8" x14ac:dyDescent="0.4">
      <c r="A5923">
        <v>2000</v>
      </c>
      <c r="B5923" s="5" t="s">
        <v>347</v>
      </c>
      <c r="C5923" s="5" t="s">
        <v>706</v>
      </c>
      <c r="D5923" s="25" t="s">
        <v>106</v>
      </c>
      <c r="E5923" s="64" t="s">
        <v>118</v>
      </c>
      <c r="F5923" s="2">
        <v>0</v>
      </c>
      <c r="G5923" s="2">
        <v>0</v>
      </c>
      <c r="H5923" s="2">
        <v>0</v>
      </c>
    </row>
    <row r="5924" spans="1:8" x14ac:dyDescent="0.4">
      <c r="A5924">
        <v>2000</v>
      </c>
      <c r="B5924" s="5" t="s">
        <v>348</v>
      </c>
      <c r="C5924" s="5" t="s">
        <v>706</v>
      </c>
      <c r="D5924" s="25" t="s">
        <v>106</v>
      </c>
      <c r="E5924" s="64" t="s">
        <v>119</v>
      </c>
      <c r="F5924" s="2">
        <v>0</v>
      </c>
      <c r="G5924" s="2">
        <v>0</v>
      </c>
      <c r="H5924" s="2">
        <v>0</v>
      </c>
    </row>
    <row r="5925" spans="1:8" x14ac:dyDescent="0.4">
      <c r="A5925">
        <v>2000</v>
      </c>
      <c r="B5925" s="5" t="s">
        <v>349</v>
      </c>
      <c r="C5925" s="5" t="s">
        <v>706</v>
      </c>
      <c r="D5925" s="25" t="s">
        <v>106</v>
      </c>
      <c r="E5925" s="64" t="s">
        <v>120</v>
      </c>
      <c r="F5925" s="2">
        <v>0</v>
      </c>
      <c r="G5925" s="2">
        <v>0</v>
      </c>
      <c r="H5925" s="2">
        <v>0</v>
      </c>
    </row>
    <row r="5926" spans="1:8" x14ac:dyDescent="0.4">
      <c r="A5926">
        <v>2000</v>
      </c>
      <c r="B5926" s="5" t="s">
        <v>350</v>
      </c>
      <c r="C5926" s="5" t="s">
        <v>706</v>
      </c>
      <c r="D5926" s="25" t="s">
        <v>106</v>
      </c>
      <c r="E5926" s="64" t="s">
        <v>121</v>
      </c>
      <c r="F5926" s="2">
        <v>0</v>
      </c>
      <c r="G5926" s="2">
        <v>0</v>
      </c>
      <c r="H5926" s="2">
        <v>0</v>
      </c>
    </row>
    <row r="5927" spans="1:8" x14ac:dyDescent="0.4">
      <c r="A5927">
        <v>2000</v>
      </c>
      <c r="B5927" s="5" t="s">
        <v>351</v>
      </c>
      <c r="C5927" s="5" t="s">
        <v>706</v>
      </c>
      <c r="D5927" s="25" t="s">
        <v>106</v>
      </c>
      <c r="E5927" s="64" t="s">
        <v>122</v>
      </c>
      <c r="F5927" s="2">
        <v>0</v>
      </c>
      <c r="G5927" s="2">
        <v>0</v>
      </c>
      <c r="H5927" s="2">
        <v>0</v>
      </c>
    </row>
    <row r="5928" spans="1:8" x14ac:dyDescent="0.4">
      <c r="A5928">
        <v>2000</v>
      </c>
      <c r="B5928" s="5" t="s">
        <v>352</v>
      </c>
      <c r="C5928" s="5" t="s">
        <v>706</v>
      </c>
      <c r="D5928" s="25" t="s">
        <v>106</v>
      </c>
      <c r="E5928" s="64" t="s">
        <v>123</v>
      </c>
      <c r="F5928" s="2">
        <v>0</v>
      </c>
      <c r="G5928" s="2">
        <v>0</v>
      </c>
      <c r="H5928" s="2">
        <v>0</v>
      </c>
    </row>
    <row r="5929" spans="1:8" x14ac:dyDescent="0.4">
      <c r="A5929">
        <v>2000</v>
      </c>
      <c r="B5929" s="5" t="s">
        <v>353</v>
      </c>
      <c r="C5929" s="5" t="s">
        <v>706</v>
      </c>
      <c r="D5929" s="25" t="s">
        <v>106</v>
      </c>
      <c r="E5929" s="64" t="s">
        <v>124</v>
      </c>
      <c r="F5929" s="2">
        <v>0</v>
      </c>
      <c r="G5929" s="2">
        <v>0</v>
      </c>
      <c r="H5929" s="2">
        <v>0</v>
      </c>
    </row>
    <row r="5930" spans="1:8" x14ac:dyDescent="0.4">
      <c r="A5930">
        <v>2000</v>
      </c>
      <c r="B5930" s="5" t="s">
        <v>354</v>
      </c>
      <c r="C5930" s="5" t="s">
        <v>706</v>
      </c>
      <c r="D5930" s="25" t="s">
        <v>106</v>
      </c>
      <c r="E5930" s="64" t="s">
        <v>125</v>
      </c>
      <c r="F5930" s="2">
        <v>0</v>
      </c>
      <c r="G5930" s="2">
        <v>0</v>
      </c>
      <c r="H5930" s="2">
        <v>0</v>
      </c>
    </row>
    <row r="5931" spans="1:8" x14ac:dyDescent="0.4">
      <c r="A5931">
        <v>2000</v>
      </c>
      <c r="B5931" s="5" t="s">
        <v>355</v>
      </c>
      <c r="C5931" s="5" t="s">
        <v>706</v>
      </c>
      <c r="D5931" s="25" t="s">
        <v>106</v>
      </c>
      <c r="E5931" s="64" t="s">
        <v>126</v>
      </c>
      <c r="F5931" s="2">
        <v>0</v>
      </c>
      <c r="G5931" s="2">
        <v>0</v>
      </c>
      <c r="H5931" s="2">
        <v>0</v>
      </c>
    </row>
    <row r="5932" spans="1:8" x14ac:dyDescent="0.4">
      <c r="A5932">
        <v>2000</v>
      </c>
      <c r="B5932" s="5" t="s">
        <v>356</v>
      </c>
      <c r="C5932" s="5" t="s">
        <v>706</v>
      </c>
      <c r="D5932" s="25" t="s">
        <v>106</v>
      </c>
      <c r="E5932" s="64" t="s">
        <v>127</v>
      </c>
      <c r="F5932" s="2">
        <v>0</v>
      </c>
      <c r="G5932" s="2">
        <v>0</v>
      </c>
      <c r="H5932" s="2">
        <v>0</v>
      </c>
    </row>
    <row r="5933" spans="1:8" x14ac:dyDescent="0.4">
      <c r="A5933">
        <v>2000</v>
      </c>
      <c r="B5933" s="5" t="s">
        <v>357</v>
      </c>
      <c r="C5933" s="5" t="s">
        <v>707</v>
      </c>
      <c r="D5933" s="25" t="s">
        <v>1</v>
      </c>
      <c r="E5933" s="64" t="s">
        <v>0</v>
      </c>
      <c r="F5933" s="2">
        <v>27</v>
      </c>
      <c r="G5933" s="2">
        <v>0</v>
      </c>
      <c r="H5933" s="2">
        <v>0</v>
      </c>
    </row>
    <row r="5934" spans="1:8" x14ac:dyDescent="0.4">
      <c r="A5934">
        <v>2000</v>
      </c>
      <c r="B5934" s="5" t="s">
        <v>358</v>
      </c>
      <c r="C5934" s="5" t="s">
        <v>707</v>
      </c>
      <c r="D5934" s="25" t="s">
        <v>1</v>
      </c>
      <c r="E5934" s="64" t="s">
        <v>2</v>
      </c>
      <c r="F5934" s="2">
        <v>18</v>
      </c>
      <c r="G5934" s="2">
        <v>0</v>
      </c>
      <c r="H5934" s="2">
        <v>0</v>
      </c>
    </row>
    <row r="5935" spans="1:8" x14ac:dyDescent="0.4">
      <c r="A5935">
        <v>2000</v>
      </c>
      <c r="B5935" s="5" t="s">
        <v>359</v>
      </c>
      <c r="C5935" s="5" t="s">
        <v>707</v>
      </c>
      <c r="D5935" s="25" t="s">
        <v>1</v>
      </c>
      <c r="E5935" s="64" t="s">
        <v>3</v>
      </c>
      <c r="F5935" s="2">
        <v>387</v>
      </c>
      <c r="G5935" s="2">
        <v>0</v>
      </c>
      <c r="H5935" s="2">
        <v>0</v>
      </c>
    </row>
    <row r="5936" spans="1:8" x14ac:dyDescent="0.4">
      <c r="A5936">
        <v>2000</v>
      </c>
      <c r="B5936" s="5" t="s">
        <v>360</v>
      </c>
      <c r="C5936" s="5" t="s">
        <v>707</v>
      </c>
      <c r="D5936" s="25" t="s">
        <v>1</v>
      </c>
      <c r="E5936" s="64" t="s">
        <v>4</v>
      </c>
      <c r="F5936" s="2">
        <v>8</v>
      </c>
      <c r="G5936" s="2">
        <v>0</v>
      </c>
      <c r="H5936" s="2">
        <v>0</v>
      </c>
    </row>
    <row r="5937" spans="1:8" x14ac:dyDescent="0.4">
      <c r="A5937">
        <v>2000</v>
      </c>
      <c r="B5937" s="5" t="s">
        <v>361</v>
      </c>
      <c r="C5937" s="5" t="s">
        <v>707</v>
      </c>
      <c r="D5937" s="25" t="s">
        <v>1</v>
      </c>
      <c r="E5937" s="64" t="s">
        <v>5</v>
      </c>
      <c r="F5937" s="2">
        <v>7</v>
      </c>
      <c r="G5937" s="2">
        <v>0</v>
      </c>
      <c r="H5937" s="2">
        <v>0</v>
      </c>
    </row>
    <row r="5938" spans="1:8" x14ac:dyDescent="0.4">
      <c r="A5938">
        <v>2000</v>
      </c>
      <c r="B5938" s="5" t="s">
        <v>732</v>
      </c>
      <c r="C5938" s="5" t="s">
        <v>707</v>
      </c>
      <c r="D5938" s="25" t="s">
        <v>1</v>
      </c>
      <c r="E5938" s="64" t="s">
        <v>330</v>
      </c>
      <c r="F5938" s="2">
        <v>7</v>
      </c>
      <c r="G5938" s="2">
        <v>0</v>
      </c>
      <c r="H5938" s="2">
        <v>0</v>
      </c>
    </row>
    <row r="5939" spans="1:8" x14ac:dyDescent="0.4">
      <c r="A5939">
        <v>2000</v>
      </c>
      <c r="B5939" s="5" t="s">
        <v>730</v>
      </c>
      <c r="C5939" s="5" t="s">
        <v>707</v>
      </c>
      <c r="D5939" s="25" t="s">
        <v>1</v>
      </c>
      <c r="E5939" s="64" t="s">
        <v>328</v>
      </c>
      <c r="F5939" s="2">
        <v>0</v>
      </c>
      <c r="G5939" s="2">
        <v>0</v>
      </c>
      <c r="H5939" s="2">
        <v>0</v>
      </c>
    </row>
    <row r="5940" spans="1:8" x14ac:dyDescent="0.4">
      <c r="A5940">
        <v>2000</v>
      </c>
      <c r="B5940" s="5" t="s">
        <v>362</v>
      </c>
      <c r="C5940" s="5" t="s">
        <v>708</v>
      </c>
      <c r="D5940" s="25" t="s">
        <v>7</v>
      </c>
      <c r="E5940" s="64" t="s">
        <v>6</v>
      </c>
      <c r="F5940" s="2">
        <v>205</v>
      </c>
      <c r="G5940" s="2">
        <v>0</v>
      </c>
      <c r="H5940" s="2">
        <v>0</v>
      </c>
    </row>
    <row r="5941" spans="1:8" x14ac:dyDescent="0.4">
      <c r="A5941">
        <v>2000</v>
      </c>
      <c r="B5941" s="5" t="s">
        <v>363</v>
      </c>
      <c r="C5941" s="5" t="s">
        <v>708</v>
      </c>
      <c r="D5941" s="25" t="s">
        <v>7</v>
      </c>
      <c r="E5941" s="64" t="s">
        <v>8</v>
      </c>
      <c r="F5941" s="2">
        <v>87</v>
      </c>
      <c r="G5941" s="2">
        <v>0</v>
      </c>
      <c r="H5941" s="2">
        <v>0</v>
      </c>
    </row>
    <row r="5942" spans="1:8" x14ac:dyDescent="0.4">
      <c r="A5942">
        <v>2000</v>
      </c>
      <c r="B5942" s="5" t="s">
        <v>364</v>
      </c>
      <c r="C5942" s="5" t="s">
        <v>708</v>
      </c>
      <c r="D5942" s="25" t="s">
        <v>7</v>
      </c>
      <c r="E5942" s="64" t="s">
        <v>9</v>
      </c>
      <c r="F5942" s="2">
        <v>83</v>
      </c>
      <c r="G5942" s="2">
        <v>0</v>
      </c>
      <c r="H5942" s="2">
        <v>0</v>
      </c>
    </row>
    <row r="5943" spans="1:8" x14ac:dyDescent="0.4">
      <c r="A5943">
        <v>2000</v>
      </c>
      <c r="B5943" s="5" t="s">
        <v>365</v>
      </c>
      <c r="C5943" s="5" t="s">
        <v>708</v>
      </c>
      <c r="D5943" s="25" t="s">
        <v>7</v>
      </c>
      <c r="E5943" s="64" t="s">
        <v>10</v>
      </c>
      <c r="F5943" s="2">
        <v>58</v>
      </c>
      <c r="G5943" s="2">
        <v>0</v>
      </c>
      <c r="H5943" s="2">
        <v>0</v>
      </c>
    </row>
    <row r="5944" spans="1:8" x14ac:dyDescent="0.4">
      <c r="A5944">
        <v>2000</v>
      </c>
      <c r="B5944" s="5" t="s">
        <v>366</v>
      </c>
      <c r="C5944" s="5" t="s">
        <v>708</v>
      </c>
      <c r="D5944" s="25" t="s">
        <v>7</v>
      </c>
      <c r="E5944" s="64" t="s">
        <v>11</v>
      </c>
      <c r="F5944" s="2">
        <v>99</v>
      </c>
      <c r="G5944" s="2">
        <v>0</v>
      </c>
      <c r="H5944" s="2">
        <v>0</v>
      </c>
    </row>
    <row r="5945" spans="1:8" x14ac:dyDescent="0.4">
      <c r="A5945">
        <v>2000</v>
      </c>
      <c r="B5945" s="5" t="s">
        <v>367</v>
      </c>
      <c r="C5945" s="5" t="s">
        <v>708</v>
      </c>
      <c r="D5945" s="25" t="s">
        <v>7</v>
      </c>
      <c r="E5945" s="64" t="s">
        <v>12</v>
      </c>
      <c r="F5945" s="2">
        <v>37</v>
      </c>
      <c r="G5945" s="2">
        <v>0</v>
      </c>
      <c r="H5945" s="2">
        <v>0</v>
      </c>
    </row>
    <row r="5946" spans="1:8" x14ac:dyDescent="0.4">
      <c r="A5946">
        <v>2000</v>
      </c>
      <c r="B5946" s="5" t="s">
        <v>368</v>
      </c>
      <c r="C5946" s="5" t="s">
        <v>708</v>
      </c>
      <c r="D5946" s="25" t="s">
        <v>7</v>
      </c>
      <c r="E5946" s="64" t="s">
        <v>13</v>
      </c>
      <c r="F5946" s="2">
        <v>49</v>
      </c>
      <c r="G5946" s="2">
        <v>0</v>
      </c>
      <c r="H5946" s="2">
        <v>0</v>
      </c>
    </row>
    <row r="5947" spans="1:8" x14ac:dyDescent="0.4">
      <c r="A5947">
        <v>2000</v>
      </c>
      <c r="B5947" s="5" t="s">
        <v>369</v>
      </c>
      <c r="C5947" s="5" t="s">
        <v>708</v>
      </c>
      <c r="D5947" s="25" t="s">
        <v>7</v>
      </c>
      <c r="E5947" s="64" t="s">
        <v>14</v>
      </c>
      <c r="F5947" s="2">
        <v>77</v>
      </c>
      <c r="G5947" s="2">
        <v>0</v>
      </c>
      <c r="H5947" s="2">
        <v>0</v>
      </c>
    </row>
    <row r="5948" spans="1:8" x14ac:dyDescent="0.4">
      <c r="A5948">
        <v>2000</v>
      </c>
      <c r="B5948" s="5" t="s">
        <v>370</v>
      </c>
      <c r="C5948" s="5" t="s">
        <v>708</v>
      </c>
      <c r="D5948" s="25" t="s">
        <v>7</v>
      </c>
      <c r="E5948" s="64" t="s">
        <v>15</v>
      </c>
      <c r="F5948" s="2">
        <v>45</v>
      </c>
      <c r="G5948" s="2">
        <v>0</v>
      </c>
      <c r="H5948" s="2">
        <v>0</v>
      </c>
    </row>
    <row r="5949" spans="1:8" x14ac:dyDescent="0.4">
      <c r="A5949">
        <v>2000</v>
      </c>
      <c r="B5949" s="5" t="s">
        <v>371</v>
      </c>
      <c r="C5949" s="5" t="s">
        <v>708</v>
      </c>
      <c r="D5949" s="25" t="s">
        <v>7</v>
      </c>
      <c r="E5949" s="64" t="s">
        <v>16</v>
      </c>
      <c r="F5949" s="2">
        <v>516</v>
      </c>
      <c r="G5949" s="2">
        <v>0</v>
      </c>
      <c r="H5949" s="2">
        <v>0</v>
      </c>
    </row>
    <row r="5950" spans="1:8" x14ac:dyDescent="0.4">
      <c r="A5950">
        <v>2000</v>
      </c>
      <c r="B5950" s="5" t="s">
        <v>372</v>
      </c>
      <c r="C5950" s="5" t="s">
        <v>708</v>
      </c>
      <c r="D5950" s="25" t="s">
        <v>7</v>
      </c>
      <c r="E5950" s="64" t="s">
        <v>17</v>
      </c>
      <c r="F5950" s="2">
        <v>15</v>
      </c>
      <c r="G5950" s="2">
        <v>0</v>
      </c>
      <c r="H5950" s="2">
        <v>0</v>
      </c>
    </row>
    <row r="5951" spans="1:8" x14ac:dyDescent="0.4">
      <c r="A5951">
        <v>2000</v>
      </c>
      <c r="B5951" s="5" t="s">
        <v>373</v>
      </c>
      <c r="C5951" s="5" t="s">
        <v>708</v>
      </c>
      <c r="D5951" s="25" t="s">
        <v>7</v>
      </c>
      <c r="E5951" s="64" t="s">
        <v>18</v>
      </c>
      <c r="F5951" s="2">
        <v>38</v>
      </c>
      <c r="G5951" s="2">
        <v>0</v>
      </c>
      <c r="H5951" s="2">
        <v>0</v>
      </c>
    </row>
    <row r="5952" spans="1:8" x14ac:dyDescent="0.4">
      <c r="A5952">
        <v>2000</v>
      </c>
      <c r="B5952" s="5" t="s">
        <v>374</v>
      </c>
      <c r="C5952" s="5" t="s">
        <v>708</v>
      </c>
      <c r="D5952" s="25" t="s">
        <v>7</v>
      </c>
      <c r="E5952" s="64" t="s">
        <v>19</v>
      </c>
      <c r="F5952" s="2">
        <v>82</v>
      </c>
      <c r="G5952" s="2">
        <v>0</v>
      </c>
      <c r="H5952" s="2">
        <v>0</v>
      </c>
    </row>
    <row r="5953" spans="1:8" x14ac:dyDescent="0.4">
      <c r="A5953">
        <v>2000</v>
      </c>
      <c r="B5953" s="5" t="s">
        <v>375</v>
      </c>
      <c r="C5953" s="5" t="s">
        <v>708</v>
      </c>
      <c r="D5953" s="25" t="s">
        <v>7</v>
      </c>
      <c r="E5953" s="64" t="s">
        <v>20</v>
      </c>
      <c r="F5953" s="2">
        <v>220</v>
      </c>
      <c r="G5953" s="2">
        <v>0</v>
      </c>
      <c r="H5953" s="2">
        <v>0</v>
      </c>
    </row>
    <row r="5954" spans="1:8" x14ac:dyDescent="0.4">
      <c r="A5954">
        <v>2000</v>
      </c>
      <c r="B5954" s="5" t="s">
        <v>376</v>
      </c>
      <c r="C5954" s="5" t="s">
        <v>708</v>
      </c>
      <c r="D5954" s="25" t="s">
        <v>7</v>
      </c>
      <c r="E5954" s="64" t="s">
        <v>21</v>
      </c>
      <c r="F5954" s="2">
        <v>58</v>
      </c>
      <c r="G5954" s="2">
        <v>0</v>
      </c>
      <c r="H5954" s="2">
        <v>0</v>
      </c>
    </row>
    <row r="5955" spans="1:8" x14ac:dyDescent="0.4">
      <c r="A5955">
        <v>2000</v>
      </c>
      <c r="B5955" s="5" t="s">
        <v>377</v>
      </c>
      <c r="C5955" s="5" t="s">
        <v>708</v>
      </c>
      <c r="D5955" s="25" t="s">
        <v>7</v>
      </c>
      <c r="E5955" s="64" t="s">
        <v>22</v>
      </c>
      <c r="F5955" s="2">
        <v>120</v>
      </c>
      <c r="G5955" s="2">
        <v>0</v>
      </c>
      <c r="H5955" s="2">
        <v>0</v>
      </c>
    </row>
    <row r="5956" spans="1:8" x14ac:dyDescent="0.4">
      <c r="A5956">
        <v>2000</v>
      </c>
      <c r="B5956" s="5" t="s">
        <v>378</v>
      </c>
      <c r="C5956" s="5" t="s">
        <v>708</v>
      </c>
      <c r="D5956" s="25" t="s">
        <v>7</v>
      </c>
      <c r="E5956" s="64" t="s">
        <v>23</v>
      </c>
      <c r="F5956" s="2">
        <v>30</v>
      </c>
      <c r="G5956" s="2">
        <v>0</v>
      </c>
      <c r="H5956" s="2">
        <v>0</v>
      </c>
    </row>
    <row r="5957" spans="1:8" x14ac:dyDescent="0.4">
      <c r="A5957">
        <v>2000</v>
      </c>
      <c r="B5957" s="5" t="s">
        <v>379</v>
      </c>
      <c r="C5957" s="5" t="s">
        <v>708</v>
      </c>
      <c r="D5957" s="25" t="s">
        <v>7</v>
      </c>
      <c r="E5957" s="64" t="s">
        <v>24</v>
      </c>
      <c r="F5957" s="2">
        <v>6</v>
      </c>
      <c r="G5957" s="2">
        <v>0</v>
      </c>
      <c r="H5957" s="2">
        <v>0</v>
      </c>
    </row>
    <row r="5958" spans="1:8" x14ac:dyDescent="0.4">
      <c r="A5958">
        <v>2000</v>
      </c>
      <c r="B5958" s="5" t="s">
        <v>380</v>
      </c>
      <c r="C5958" s="5" t="s">
        <v>708</v>
      </c>
      <c r="D5958" s="25" t="s">
        <v>7</v>
      </c>
      <c r="E5958" s="64" t="s">
        <v>25</v>
      </c>
      <c r="F5958" s="2">
        <v>1132</v>
      </c>
      <c r="G5958" s="2">
        <v>0</v>
      </c>
      <c r="H5958" s="2">
        <v>0</v>
      </c>
    </row>
    <row r="5959" spans="1:8" x14ac:dyDescent="0.4">
      <c r="A5959">
        <v>2000</v>
      </c>
      <c r="B5959" s="5" t="s">
        <v>381</v>
      </c>
      <c r="C5959" s="5" t="s">
        <v>708</v>
      </c>
      <c r="D5959" s="25" t="s">
        <v>7</v>
      </c>
      <c r="E5959" s="64" t="s">
        <v>26</v>
      </c>
      <c r="F5959" s="2">
        <v>535</v>
      </c>
      <c r="G5959" s="2">
        <v>0</v>
      </c>
      <c r="H5959" s="2">
        <v>0</v>
      </c>
    </row>
    <row r="5960" spans="1:8" x14ac:dyDescent="0.4">
      <c r="A5960">
        <v>2000</v>
      </c>
      <c r="B5960" s="5" t="s">
        <v>382</v>
      </c>
      <c r="C5960" s="5" t="s">
        <v>708</v>
      </c>
      <c r="D5960" s="25" t="s">
        <v>7</v>
      </c>
      <c r="E5960" s="64" t="s">
        <v>27</v>
      </c>
      <c r="F5960" s="2">
        <v>19</v>
      </c>
      <c r="G5960" s="2">
        <v>0</v>
      </c>
      <c r="H5960" s="2">
        <v>0</v>
      </c>
    </row>
    <row r="5961" spans="1:8" x14ac:dyDescent="0.4">
      <c r="A5961">
        <v>2000</v>
      </c>
      <c r="B5961" s="5" t="s">
        <v>383</v>
      </c>
      <c r="C5961" s="5" t="s">
        <v>709</v>
      </c>
      <c r="D5961" s="25" t="s">
        <v>29</v>
      </c>
      <c r="E5961" s="64" t="s">
        <v>28</v>
      </c>
      <c r="F5961" s="2">
        <v>159</v>
      </c>
      <c r="G5961" s="2">
        <v>0</v>
      </c>
      <c r="H5961" s="2">
        <v>0</v>
      </c>
    </row>
    <row r="5962" spans="1:8" x14ac:dyDescent="0.4">
      <c r="A5962">
        <v>2000</v>
      </c>
      <c r="B5962" s="5" t="s">
        <v>384</v>
      </c>
      <c r="C5962" s="5" t="s">
        <v>709</v>
      </c>
      <c r="D5962" s="25" t="s">
        <v>29</v>
      </c>
      <c r="E5962" s="64" t="s">
        <v>30</v>
      </c>
      <c r="F5962" s="2">
        <v>53</v>
      </c>
      <c r="G5962" s="2">
        <v>0</v>
      </c>
      <c r="H5962" s="2">
        <v>0</v>
      </c>
    </row>
    <row r="5963" spans="1:8" x14ac:dyDescent="0.4">
      <c r="A5963">
        <v>2000</v>
      </c>
      <c r="B5963" s="5" t="s">
        <v>385</v>
      </c>
      <c r="C5963" s="5" t="s">
        <v>709</v>
      </c>
      <c r="D5963" s="25" t="s">
        <v>29</v>
      </c>
      <c r="E5963" s="64" t="s">
        <v>31</v>
      </c>
      <c r="F5963" s="2">
        <v>63</v>
      </c>
      <c r="G5963" s="2">
        <v>0</v>
      </c>
      <c r="H5963" s="2">
        <v>0</v>
      </c>
    </row>
    <row r="5964" spans="1:8" x14ac:dyDescent="0.4">
      <c r="A5964">
        <v>2000</v>
      </c>
      <c r="B5964" s="5" t="s">
        <v>386</v>
      </c>
      <c r="C5964" s="5" t="s">
        <v>709</v>
      </c>
      <c r="D5964" s="25" t="s">
        <v>29</v>
      </c>
      <c r="E5964" s="64" t="s">
        <v>32</v>
      </c>
      <c r="F5964" s="2">
        <v>278</v>
      </c>
      <c r="G5964" s="2">
        <v>0</v>
      </c>
      <c r="H5964" s="2">
        <v>0</v>
      </c>
    </row>
    <row r="5965" spans="1:8" x14ac:dyDescent="0.4">
      <c r="A5965">
        <v>2000</v>
      </c>
      <c r="B5965" s="5" t="s">
        <v>387</v>
      </c>
      <c r="C5965" s="5" t="s">
        <v>709</v>
      </c>
      <c r="D5965" s="25" t="s">
        <v>29</v>
      </c>
      <c r="E5965" s="64" t="s">
        <v>33</v>
      </c>
      <c r="F5965" s="2">
        <v>28</v>
      </c>
      <c r="G5965" s="2">
        <v>0</v>
      </c>
      <c r="H5965" s="2">
        <v>0</v>
      </c>
    </row>
    <row r="5966" spans="1:8" x14ac:dyDescent="0.4">
      <c r="A5966">
        <v>2000</v>
      </c>
      <c r="B5966" s="5" t="s">
        <v>388</v>
      </c>
      <c r="C5966" s="5" t="s">
        <v>709</v>
      </c>
      <c r="D5966" s="25" t="s">
        <v>29</v>
      </c>
      <c r="E5966" s="64" t="s">
        <v>34</v>
      </c>
      <c r="F5966" s="2">
        <v>38</v>
      </c>
      <c r="G5966" s="2">
        <v>0</v>
      </c>
      <c r="H5966" s="2">
        <v>0</v>
      </c>
    </row>
    <row r="5967" spans="1:8" x14ac:dyDescent="0.4">
      <c r="A5967">
        <v>2000</v>
      </c>
      <c r="B5967" s="5" t="s">
        <v>389</v>
      </c>
      <c r="C5967" s="5" t="s">
        <v>709</v>
      </c>
      <c r="D5967" s="25" t="s">
        <v>29</v>
      </c>
      <c r="E5967" s="65" t="s">
        <v>35</v>
      </c>
      <c r="F5967" s="2">
        <v>793</v>
      </c>
      <c r="G5967" s="2">
        <v>0</v>
      </c>
      <c r="H5967" s="2">
        <v>0</v>
      </c>
    </row>
    <row r="5968" spans="1:8" x14ac:dyDescent="0.4">
      <c r="A5968">
        <v>2000</v>
      </c>
      <c r="B5968" s="5" t="s">
        <v>390</v>
      </c>
      <c r="C5968" s="5" t="s">
        <v>710</v>
      </c>
      <c r="D5968" s="25" t="s">
        <v>37</v>
      </c>
      <c r="E5968" s="64" t="s">
        <v>36</v>
      </c>
      <c r="F5968" s="2">
        <v>133</v>
      </c>
      <c r="G5968" s="2">
        <v>0</v>
      </c>
      <c r="H5968" s="2">
        <v>0</v>
      </c>
    </row>
    <row r="5969" spans="1:8" x14ac:dyDescent="0.4">
      <c r="A5969">
        <v>2000</v>
      </c>
      <c r="B5969" s="5" t="s">
        <v>391</v>
      </c>
      <c r="C5969" s="5" t="s">
        <v>710</v>
      </c>
      <c r="D5969" s="25" t="s">
        <v>37</v>
      </c>
      <c r="E5969" s="64" t="s">
        <v>38</v>
      </c>
      <c r="F5969" s="2">
        <v>50</v>
      </c>
      <c r="G5969" s="2">
        <v>0</v>
      </c>
      <c r="H5969" s="2">
        <v>0</v>
      </c>
    </row>
    <row r="5970" spans="1:8" x14ac:dyDescent="0.4">
      <c r="A5970">
        <v>2000</v>
      </c>
      <c r="B5970" s="5" t="s">
        <v>392</v>
      </c>
      <c r="C5970" s="5" t="s">
        <v>710</v>
      </c>
      <c r="D5970" s="25" t="s">
        <v>37</v>
      </c>
      <c r="E5970" s="64" t="s">
        <v>39</v>
      </c>
      <c r="F5970" s="2">
        <v>205</v>
      </c>
      <c r="G5970" s="2">
        <v>0</v>
      </c>
      <c r="H5970" s="2">
        <v>0</v>
      </c>
    </row>
    <row r="5971" spans="1:8" x14ac:dyDescent="0.4">
      <c r="A5971">
        <v>2000</v>
      </c>
      <c r="B5971" s="5" t="s">
        <v>393</v>
      </c>
      <c r="C5971" s="5" t="s">
        <v>710</v>
      </c>
      <c r="D5971" s="25" t="s">
        <v>37</v>
      </c>
      <c r="E5971" s="64" t="s">
        <v>40</v>
      </c>
      <c r="F5971" s="2">
        <v>3170</v>
      </c>
      <c r="G5971" s="2">
        <v>0</v>
      </c>
      <c r="H5971" s="2">
        <v>0</v>
      </c>
    </row>
    <row r="5972" spans="1:8" x14ac:dyDescent="0.4">
      <c r="A5972">
        <v>2000</v>
      </c>
      <c r="B5972" s="5" t="s">
        <v>394</v>
      </c>
      <c r="C5972" s="5" t="s">
        <v>710</v>
      </c>
      <c r="D5972" s="25" t="s">
        <v>37</v>
      </c>
      <c r="E5972" s="64" t="s">
        <v>41</v>
      </c>
      <c r="F5972" s="2">
        <v>67</v>
      </c>
      <c r="G5972" s="2">
        <v>0</v>
      </c>
      <c r="H5972" s="2">
        <v>0</v>
      </c>
    </row>
    <row r="5973" spans="1:8" x14ac:dyDescent="0.4">
      <c r="A5973">
        <v>2000</v>
      </c>
      <c r="B5973" s="5" t="s">
        <v>395</v>
      </c>
      <c r="C5973" s="5" t="s">
        <v>710</v>
      </c>
      <c r="D5973" s="25" t="s">
        <v>37</v>
      </c>
      <c r="E5973" s="64" t="s">
        <v>42</v>
      </c>
      <c r="F5973" s="2">
        <v>757</v>
      </c>
      <c r="G5973" s="2">
        <v>0</v>
      </c>
      <c r="H5973" s="2">
        <v>0</v>
      </c>
    </row>
    <row r="5974" spans="1:8" x14ac:dyDescent="0.4">
      <c r="A5974">
        <v>2000</v>
      </c>
      <c r="B5974" s="5" t="s">
        <v>396</v>
      </c>
      <c r="C5974" s="5" t="s">
        <v>710</v>
      </c>
      <c r="D5974" s="25" t="s">
        <v>37</v>
      </c>
      <c r="E5974" s="64" t="s">
        <v>43</v>
      </c>
      <c r="F5974" s="2">
        <v>114</v>
      </c>
      <c r="G5974" s="2">
        <v>0</v>
      </c>
      <c r="H5974" s="2">
        <v>0</v>
      </c>
    </row>
    <row r="5975" spans="1:8" x14ac:dyDescent="0.4">
      <c r="A5975">
        <v>2000</v>
      </c>
      <c r="B5975" s="5" t="s">
        <v>397</v>
      </c>
      <c r="C5975" s="5" t="s">
        <v>710</v>
      </c>
      <c r="D5975" s="25" t="s">
        <v>37</v>
      </c>
      <c r="E5975" s="64" t="s">
        <v>44</v>
      </c>
      <c r="F5975" s="2">
        <v>443</v>
      </c>
      <c r="G5975" s="2">
        <v>0</v>
      </c>
      <c r="H5975" s="2">
        <v>0</v>
      </c>
    </row>
    <row r="5976" spans="1:8" x14ac:dyDescent="0.4">
      <c r="A5976">
        <v>2000</v>
      </c>
      <c r="B5976" s="5" t="s">
        <v>398</v>
      </c>
      <c r="C5976" s="5" t="s">
        <v>710</v>
      </c>
      <c r="D5976" s="25" t="s">
        <v>37</v>
      </c>
      <c r="E5976" s="64" t="s">
        <v>45</v>
      </c>
      <c r="F5976" s="2">
        <v>250</v>
      </c>
      <c r="G5976" s="2">
        <v>0</v>
      </c>
      <c r="H5976" s="2">
        <v>0</v>
      </c>
    </row>
    <row r="5977" spans="1:8" x14ac:dyDescent="0.4">
      <c r="A5977">
        <v>2000</v>
      </c>
      <c r="B5977" s="5" t="s">
        <v>399</v>
      </c>
      <c r="C5977" s="5" t="s">
        <v>710</v>
      </c>
      <c r="D5977" s="25" t="s">
        <v>37</v>
      </c>
      <c r="E5977" s="64" t="s">
        <v>46</v>
      </c>
      <c r="F5977" s="2">
        <v>0</v>
      </c>
      <c r="G5977" s="2">
        <v>0</v>
      </c>
      <c r="H5977" s="2">
        <v>0</v>
      </c>
    </row>
    <row r="5978" spans="1:8" x14ac:dyDescent="0.4">
      <c r="A5978">
        <v>2000</v>
      </c>
      <c r="B5978" s="5" t="s">
        <v>400</v>
      </c>
      <c r="C5978" s="5" t="s">
        <v>710</v>
      </c>
      <c r="D5978" s="25" t="s">
        <v>37</v>
      </c>
      <c r="E5978" s="64" t="s">
        <v>47</v>
      </c>
      <c r="F5978" s="2">
        <v>97</v>
      </c>
      <c r="G5978" s="2">
        <v>0</v>
      </c>
      <c r="H5978" s="2">
        <v>0</v>
      </c>
    </row>
    <row r="5979" spans="1:8" x14ac:dyDescent="0.4">
      <c r="A5979">
        <v>2000</v>
      </c>
      <c r="B5979" s="5" t="s">
        <v>401</v>
      </c>
      <c r="C5979" s="5" t="s">
        <v>710</v>
      </c>
      <c r="D5979" s="25" t="s">
        <v>37</v>
      </c>
      <c r="E5979" s="64" t="s">
        <v>48</v>
      </c>
      <c r="F5979" s="2">
        <v>61</v>
      </c>
      <c r="G5979" s="2">
        <v>0</v>
      </c>
      <c r="H5979" s="2">
        <v>0</v>
      </c>
    </row>
    <row r="5980" spans="1:8" x14ac:dyDescent="0.4">
      <c r="A5980">
        <v>2000</v>
      </c>
      <c r="B5980" s="5" t="s">
        <v>402</v>
      </c>
      <c r="C5980" s="5" t="s">
        <v>710</v>
      </c>
      <c r="D5980" s="25" t="s">
        <v>37</v>
      </c>
      <c r="E5980" s="64" t="s">
        <v>49</v>
      </c>
      <c r="F5980" s="2">
        <v>358</v>
      </c>
      <c r="G5980" s="2">
        <v>0</v>
      </c>
      <c r="H5980" s="2">
        <v>0</v>
      </c>
    </row>
    <row r="5981" spans="1:8" x14ac:dyDescent="0.4">
      <c r="A5981">
        <v>2000</v>
      </c>
      <c r="B5981" s="5" t="s">
        <v>403</v>
      </c>
      <c r="C5981" s="5" t="s">
        <v>710</v>
      </c>
      <c r="D5981" s="25" t="s">
        <v>37</v>
      </c>
      <c r="E5981" s="64" t="s">
        <v>50</v>
      </c>
      <c r="F5981" s="2">
        <v>120</v>
      </c>
      <c r="G5981" s="2">
        <v>0</v>
      </c>
      <c r="H5981" s="2">
        <v>0</v>
      </c>
    </row>
    <row r="5982" spans="1:8" x14ac:dyDescent="0.4">
      <c r="A5982">
        <v>2000</v>
      </c>
      <c r="B5982" s="5" t="s">
        <v>404</v>
      </c>
      <c r="C5982" s="5" t="s">
        <v>710</v>
      </c>
      <c r="D5982" s="25" t="s">
        <v>37</v>
      </c>
      <c r="E5982" s="64" t="s">
        <v>51</v>
      </c>
      <c r="F5982" s="2">
        <v>367</v>
      </c>
      <c r="G5982" s="2">
        <v>0</v>
      </c>
      <c r="H5982" s="2">
        <v>0</v>
      </c>
    </row>
    <row r="5983" spans="1:8" x14ac:dyDescent="0.4">
      <c r="A5983">
        <v>2000</v>
      </c>
      <c r="B5983" s="5" t="s">
        <v>405</v>
      </c>
      <c r="C5983" s="5" t="s">
        <v>710</v>
      </c>
      <c r="D5983" s="25" t="s">
        <v>37</v>
      </c>
      <c r="E5983" s="64" t="s">
        <v>52</v>
      </c>
      <c r="F5983" s="2">
        <v>28</v>
      </c>
      <c r="G5983" s="2">
        <v>0</v>
      </c>
      <c r="H5983" s="2">
        <v>0</v>
      </c>
    </row>
    <row r="5984" spans="1:8" x14ac:dyDescent="0.4">
      <c r="A5984">
        <v>2000</v>
      </c>
      <c r="B5984" s="5" t="s">
        <v>406</v>
      </c>
      <c r="C5984" s="5" t="s">
        <v>710</v>
      </c>
      <c r="D5984" s="25" t="s">
        <v>37</v>
      </c>
      <c r="E5984" s="64" t="s">
        <v>53</v>
      </c>
      <c r="F5984" s="2">
        <v>66</v>
      </c>
      <c r="G5984" s="2">
        <v>0</v>
      </c>
      <c r="H5984" s="2">
        <v>0</v>
      </c>
    </row>
    <row r="5985" spans="1:8" x14ac:dyDescent="0.4">
      <c r="A5985">
        <v>2000</v>
      </c>
      <c r="B5985" s="5" t="s">
        <v>407</v>
      </c>
      <c r="C5985" s="5" t="s">
        <v>710</v>
      </c>
      <c r="D5985" s="25" t="s">
        <v>37</v>
      </c>
      <c r="E5985" s="64" t="s">
        <v>54</v>
      </c>
      <c r="F5985" s="2">
        <v>405</v>
      </c>
      <c r="G5985" s="2">
        <v>0</v>
      </c>
      <c r="H5985" s="2">
        <v>0</v>
      </c>
    </row>
    <row r="5986" spans="1:8" x14ac:dyDescent="0.4">
      <c r="A5986">
        <v>2000</v>
      </c>
      <c r="B5986" s="5" t="s">
        <v>408</v>
      </c>
      <c r="C5986" s="5" t="s">
        <v>711</v>
      </c>
      <c r="D5986" s="25" t="s">
        <v>56</v>
      </c>
      <c r="E5986" s="64" t="s">
        <v>55</v>
      </c>
      <c r="F5986" s="2">
        <v>91</v>
      </c>
      <c r="G5986" s="2">
        <v>0</v>
      </c>
      <c r="H5986" s="2">
        <v>0</v>
      </c>
    </row>
    <row r="5987" spans="1:8" x14ac:dyDescent="0.4">
      <c r="A5987">
        <v>2000</v>
      </c>
      <c r="B5987" s="5" t="s">
        <v>409</v>
      </c>
      <c r="C5987" s="5" t="s">
        <v>711</v>
      </c>
      <c r="D5987" s="25" t="s">
        <v>56</v>
      </c>
      <c r="E5987" s="64" t="s">
        <v>57</v>
      </c>
      <c r="F5987" s="2">
        <v>0</v>
      </c>
      <c r="G5987" s="2">
        <v>0</v>
      </c>
      <c r="H5987" s="2">
        <v>0</v>
      </c>
    </row>
    <row r="5988" spans="1:8" x14ac:dyDescent="0.4">
      <c r="A5988">
        <v>2000</v>
      </c>
      <c r="B5988" s="5" t="s">
        <v>410</v>
      </c>
      <c r="C5988" s="5" t="s">
        <v>711</v>
      </c>
      <c r="D5988" s="25" t="s">
        <v>56</v>
      </c>
      <c r="E5988" s="64" t="s">
        <v>58</v>
      </c>
      <c r="F5988" s="2">
        <v>207</v>
      </c>
      <c r="G5988" s="2">
        <v>0</v>
      </c>
      <c r="H5988" s="2">
        <v>0</v>
      </c>
    </row>
    <row r="5989" spans="1:8" x14ac:dyDescent="0.4">
      <c r="A5989">
        <v>2000</v>
      </c>
      <c r="B5989" s="5" t="s">
        <v>411</v>
      </c>
      <c r="C5989" s="5" t="s">
        <v>711</v>
      </c>
      <c r="D5989" s="25" t="s">
        <v>56</v>
      </c>
      <c r="E5989" s="64" t="s">
        <v>59</v>
      </c>
      <c r="F5989" s="2">
        <v>25</v>
      </c>
      <c r="G5989" s="2">
        <v>0</v>
      </c>
      <c r="H5989" s="2">
        <v>0</v>
      </c>
    </row>
    <row r="5990" spans="1:8" x14ac:dyDescent="0.4">
      <c r="A5990">
        <v>2000</v>
      </c>
      <c r="B5990" s="5" t="s">
        <v>412</v>
      </c>
      <c r="C5990" s="5" t="s">
        <v>711</v>
      </c>
      <c r="D5990" s="25" t="s">
        <v>56</v>
      </c>
      <c r="E5990" s="64" t="s">
        <v>60</v>
      </c>
      <c r="F5990" s="2">
        <v>1405</v>
      </c>
      <c r="G5990" s="2">
        <v>0</v>
      </c>
      <c r="H5990" s="2">
        <v>0</v>
      </c>
    </row>
    <row r="5991" spans="1:8" x14ac:dyDescent="0.4">
      <c r="A5991">
        <v>2000</v>
      </c>
      <c r="B5991" s="5" t="s">
        <v>413</v>
      </c>
      <c r="C5991" s="5" t="s">
        <v>711</v>
      </c>
      <c r="D5991" s="25" t="s">
        <v>56</v>
      </c>
      <c r="E5991" s="64" t="s">
        <v>36</v>
      </c>
      <c r="F5991" s="2">
        <v>122</v>
      </c>
      <c r="G5991" s="2">
        <v>0</v>
      </c>
      <c r="H5991" s="2">
        <v>0</v>
      </c>
    </row>
    <row r="5992" spans="1:8" x14ac:dyDescent="0.4">
      <c r="A5992">
        <v>2000</v>
      </c>
      <c r="B5992" s="5" t="s">
        <v>414</v>
      </c>
      <c r="C5992" s="5" t="s">
        <v>711</v>
      </c>
      <c r="D5992" s="25" t="s">
        <v>56</v>
      </c>
      <c r="E5992" s="64" t="s">
        <v>61</v>
      </c>
      <c r="F5992" s="2">
        <v>71</v>
      </c>
      <c r="G5992" s="2">
        <v>0</v>
      </c>
      <c r="H5992" s="2">
        <v>0</v>
      </c>
    </row>
    <row r="5993" spans="1:8" x14ac:dyDescent="0.4">
      <c r="A5993">
        <v>2000</v>
      </c>
      <c r="B5993" s="5" t="s">
        <v>415</v>
      </c>
      <c r="C5993" s="5" t="s">
        <v>711</v>
      </c>
      <c r="D5993" s="25" t="s">
        <v>56</v>
      </c>
      <c r="E5993" s="64" t="s">
        <v>62</v>
      </c>
      <c r="F5993" s="2">
        <v>172</v>
      </c>
      <c r="G5993" s="2">
        <v>0</v>
      </c>
      <c r="H5993" s="2">
        <v>0</v>
      </c>
    </row>
    <row r="5994" spans="1:8" x14ac:dyDescent="0.4">
      <c r="A5994">
        <v>2000</v>
      </c>
      <c r="B5994" s="5" t="s">
        <v>416</v>
      </c>
      <c r="C5994" s="5" t="s">
        <v>711</v>
      </c>
      <c r="D5994" s="25" t="s">
        <v>56</v>
      </c>
      <c r="E5994" s="64" t="s">
        <v>63</v>
      </c>
      <c r="F5994" s="2">
        <v>56</v>
      </c>
      <c r="G5994" s="2">
        <v>0</v>
      </c>
      <c r="H5994" s="2">
        <v>0</v>
      </c>
    </row>
    <row r="5995" spans="1:8" x14ac:dyDescent="0.4">
      <c r="A5995">
        <v>2000</v>
      </c>
      <c r="B5995" s="5" t="s">
        <v>417</v>
      </c>
      <c r="C5995" s="5" t="s">
        <v>711</v>
      </c>
      <c r="D5995" s="25" t="s">
        <v>56</v>
      </c>
      <c r="E5995" s="64" t="s">
        <v>64</v>
      </c>
      <c r="F5995" s="2">
        <v>114</v>
      </c>
      <c r="G5995" s="2">
        <v>0</v>
      </c>
      <c r="H5995" s="2">
        <v>0</v>
      </c>
    </row>
    <row r="5996" spans="1:8" x14ac:dyDescent="0.4">
      <c r="A5996">
        <v>2000</v>
      </c>
      <c r="B5996" s="5" t="s">
        <v>418</v>
      </c>
      <c r="C5996" s="5" t="s">
        <v>711</v>
      </c>
      <c r="D5996" s="25" t="s">
        <v>56</v>
      </c>
      <c r="E5996" s="64" t="s">
        <v>65</v>
      </c>
      <c r="F5996" s="2">
        <v>85</v>
      </c>
      <c r="G5996" s="2">
        <v>0</v>
      </c>
      <c r="H5996" s="2">
        <v>0</v>
      </c>
    </row>
    <row r="5997" spans="1:8" x14ac:dyDescent="0.4">
      <c r="A5997">
        <v>2000</v>
      </c>
      <c r="B5997" s="5" t="s">
        <v>419</v>
      </c>
      <c r="C5997" s="5" t="s">
        <v>711</v>
      </c>
      <c r="D5997" s="25" t="s">
        <v>56</v>
      </c>
      <c r="E5997" s="64" t="s">
        <v>66</v>
      </c>
      <c r="F5997" s="2">
        <v>27</v>
      </c>
      <c r="G5997" s="2">
        <v>0</v>
      </c>
      <c r="H5997" s="2">
        <v>0</v>
      </c>
    </row>
    <row r="5998" spans="1:8" x14ac:dyDescent="0.4">
      <c r="A5998">
        <v>2000</v>
      </c>
      <c r="B5998" s="5" t="s">
        <v>420</v>
      </c>
      <c r="C5998" s="5" t="s">
        <v>712</v>
      </c>
      <c r="D5998" s="25" t="s">
        <v>68</v>
      </c>
      <c r="E5998" s="64" t="s">
        <v>67</v>
      </c>
      <c r="F5998" s="2">
        <v>2987</v>
      </c>
      <c r="G5998" s="2">
        <v>0</v>
      </c>
      <c r="H5998" s="2">
        <v>0</v>
      </c>
    </row>
    <row r="5999" spans="1:8" x14ac:dyDescent="0.4">
      <c r="A5999">
        <v>2000</v>
      </c>
      <c r="B5999" s="5" t="s">
        <v>421</v>
      </c>
      <c r="C5999" s="5" t="s">
        <v>712</v>
      </c>
      <c r="D5999" s="25" t="s">
        <v>68</v>
      </c>
      <c r="E5999" s="64" t="s">
        <v>69</v>
      </c>
      <c r="F5999" s="2">
        <v>171</v>
      </c>
      <c r="G5999" s="2">
        <v>0</v>
      </c>
      <c r="H5999" s="2">
        <v>0</v>
      </c>
    </row>
    <row r="6000" spans="1:8" x14ac:dyDescent="0.4">
      <c r="A6000">
        <v>2000</v>
      </c>
      <c r="B6000" s="5" t="s">
        <v>422</v>
      </c>
      <c r="C6000" s="5" t="s">
        <v>712</v>
      </c>
      <c r="D6000" s="25" t="s">
        <v>68</v>
      </c>
      <c r="E6000" s="64" t="s">
        <v>70</v>
      </c>
      <c r="F6000" s="2">
        <v>69</v>
      </c>
      <c r="G6000" s="2">
        <v>0</v>
      </c>
      <c r="H6000" s="2">
        <v>0</v>
      </c>
    </row>
    <row r="6001" spans="1:8" x14ac:dyDescent="0.4">
      <c r="A6001">
        <v>2000</v>
      </c>
      <c r="B6001" s="5" t="s">
        <v>423</v>
      </c>
      <c r="C6001" s="5" t="s">
        <v>712</v>
      </c>
      <c r="D6001" s="25" t="s">
        <v>68</v>
      </c>
      <c r="E6001" s="64" t="s">
        <v>71</v>
      </c>
      <c r="F6001" s="2">
        <v>48</v>
      </c>
      <c r="G6001" s="2">
        <v>0</v>
      </c>
      <c r="H6001" s="2">
        <v>0</v>
      </c>
    </row>
    <row r="6002" spans="1:8" x14ac:dyDescent="0.4">
      <c r="A6002">
        <v>2000</v>
      </c>
      <c r="B6002" s="5" t="s">
        <v>424</v>
      </c>
      <c r="C6002" s="5" t="s">
        <v>712</v>
      </c>
      <c r="D6002" s="25" t="s">
        <v>68</v>
      </c>
      <c r="E6002" s="64" t="s">
        <v>72</v>
      </c>
      <c r="F6002" s="2">
        <v>1808</v>
      </c>
      <c r="G6002" s="2">
        <v>0</v>
      </c>
      <c r="H6002" s="2">
        <v>0</v>
      </c>
    </row>
    <row r="6003" spans="1:8" x14ac:dyDescent="0.4">
      <c r="A6003">
        <v>2000</v>
      </c>
      <c r="B6003" s="5" t="s">
        <v>425</v>
      </c>
      <c r="C6003" s="5" t="s">
        <v>712</v>
      </c>
      <c r="D6003" s="25" t="s">
        <v>68</v>
      </c>
      <c r="E6003" s="64" t="s">
        <v>73</v>
      </c>
      <c r="F6003" s="2">
        <v>31</v>
      </c>
      <c r="G6003" s="2">
        <v>0</v>
      </c>
      <c r="H6003" s="2">
        <v>0</v>
      </c>
    </row>
    <row r="6004" spans="1:8" x14ac:dyDescent="0.4">
      <c r="A6004">
        <v>2000</v>
      </c>
      <c r="B6004" s="5" t="s">
        <v>426</v>
      </c>
      <c r="C6004" s="5" t="s">
        <v>712</v>
      </c>
      <c r="D6004" s="25" t="s">
        <v>68</v>
      </c>
      <c r="E6004" s="64" t="s">
        <v>74</v>
      </c>
      <c r="F6004" s="2">
        <v>319</v>
      </c>
      <c r="G6004" s="2">
        <v>0</v>
      </c>
      <c r="H6004" s="2">
        <v>0</v>
      </c>
    </row>
    <row r="6005" spans="1:8" x14ac:dyDescent="0.4">
      <c r="A6005">
        <v>2000</v>
      </c>
      <c r="B6005" s="5" t="s">
        <v>427</v>
      </c>
      <c r="C6005" s="5" t="s">
        <v>712</v>
      </c>
      <c r="D6005" s="25" t="s">
        <v>68</v>
      </c>
      <c r="E6005" s="64" t="s">
        <v>75</v>
      </c>
      <c r="F6005" s="2">
        <v>34</v>
      </c>
      <c r="G6005" s="2">
        <v>0</v>
      </c>
      <c r="H6005" s="2">
        <v>0</v>
      </c>
    </row>
    <row r="6006" spans="1:8" x14ac:dyDescent="0.4">
      <c r="A6006">
        <v>2000</v>
      </c>
      <c r="B6006" s="5" t="s">
        <v>428</v>
      </c>
      <c r="C6006" s="5" t="s">
        <v>712</v>
      </c>
      <c r="D6006" s="25" t="s">
        <v>68</v>
      </c>
      <c r="E6006" s="64" t="s">
        <v>76</v>
      </c>
      <c r="F6006" s="2">
        <v>40</v>
      </c>
      <c r="G6006" s="2">
        <v>0</v>
      </c>
      <c r="H6006" s="2">
        <v>0</v>
      </c>
    </row>
    <row r="6007" spans="1:8" x14ac:dyDescent="0.4">
      <c r="A6007">
        <v>2000</v>
      </c>
      <c r="B6007" s="5" t="s">
        <v>429</v>
      </c>
      <c r="C6007" s="5" t="s">
        <v>712</v>
      </c>
      <c r="D6007" s="25" t="s">
        <v>68</v>
      </c>
      <c r="E6007" s="64" t="s">
        <v>77</v>
      </c>
      <c r="F6007" s="2">
        <v>101</v>
      </c>
      <c r="G6007" s="2">
        <v>0</v>
      </c>
      <c r="H6007" s="2">
        <v>0</v>
      </c>
    </row>
    <row r="6008" spans="1:8" x14ac:dyDescent="0.4">
      <c r="A6008">
        <v>2000</v>
      </c>
      <c r="B6008" s="5" t="s">
        <v>430</v>
      </c>
      <c r="C6008" s="5" t="s">
        <v>712</v>
      </c>
      <c r="D6008" s="25" t="s">
        <v>68</v>
      </c>
      <c r="E6008" s="64" t="s">
        <v>51</v>
      </c>
      <c r="F6008" s="2">
        <v>15</v>
      </c>
      <c r="G6008" s="2">
        <v>0</v>
      </c>
      <c r="H6008" s="2">
        <v>0</v>
      </c>
    </row>
    <row r="6009" spans="1:8" x14ac:dyDescent="0.4">
      <c r="A6009">
        <v>2000</v>
      </c>
      <c r="B6009" s="5" t="s">
        <v>431</v>
      </c>
      <c r="C6009" s="5" t="s">
        <v>713</v>
      </c>
      <c r="D6009" s="25" t="s">
        <v>79</v>
      </c>
      <c r="E6009" s="64" t="s">
        <v>78</v>
      </c>
      <c r="F6009" s="2">
        <v>273</v>
      </c>
      <c r="G6009" s="2">
        <v>0</v>
      </c>
      <c r="H6009" s="2">
        <v>0</v>
      </c>
    </row>
    <row r="6010" spans="1:8" x14ac:dyDescent="0.4">
      <c r="A6010">
        <v>2000</v>
      </c>
      <c r="B6010" s="5" t="s">
        <v>432</v>
      </c>
      <c r="C6010" s="5" t="s">
        <v>713</v>
      </c>
      <c r="D6010" s="25" t="s">
        <v>79</v>
      </c>
      <c r="E6010" s="64" t="s">
        <v>80</v>
      </c>
      <c r="F6010" s="2">
        <v>425</v>
      </c>
      <c r="G6010" s="2">
        <v>0</v>
      </c>
      <c r="H6010" s="2">
        <v>0</v>
      </c>
    </row>
    <row r="6011" spans="1:8" x14ac:dyDescent="0.4">
      <c r="A6011">
        <v>2000</v>
      </c>
      <c r="B6011" s="5" t="s">
        <v>433</v>
      </c>
      <c r="C6011" s="5" t="s">
        <v>713</v>
      </c>
      <c r="D6011" s="25" t="s">
        <v>79</v>
      </c>
      <c r="E6011" s="64" t="s">
        <v>81</v>
      </c>
      <c r="F6011" s="2">
        <v>267</v>
      </c>
      <c r="G6011" s="2">
        <v>0</v>
      </c>
      <c r="H6011" s="2">
        <v>0</v>
      </c>
    </row>
    <row r="6012" spans="1:8" x14ac:dyDescent="0.4">
      <c r="A6012">
        <v>2000</v>
      </c>
      <c r="B6012" s="5" t="s">
        <v>434</v>
      </c>
      <c r="C6012" s="5" t="s">
        <v>713</v>
      </c>
      <c r="D6012" s="25" t="s">
        <v>79</v>
      </c>
      <c r="E6012" s="64" t="s">
        <v>82</v>
      </c>
      <c r="F6012" s="2">
        <v>441</v>
      </c>
      <c r="G6012" s="2">
        <v>0</v>
      </c>
      <c r="H6012" s="2">
        <v>0</v>
      </c>
    </row>
    <row r="6013" spans="1:8" x14ac:dyDescent="0.4">
      <c r="A6013">
        <v>2000</v>
      </c>
      <c r="B6013" s="5" t="s">
        <v>435</v>
      </c>
      <c r="C6013" s="5" t="s">
        <v>713</v>
      </c>
      <c r="D6013" s="25" t="s">
        <v>79</v>
      </c>
      <c r="E6013" s="64" t="s">
        <v>83</v>
      </c>
      <c r="F6013" s="2">
        <v>195</v>
      </c>
      <c r="G6013" s="2">
        <v>0</v>
      </c>
      <c r="H6013" s="2">
        <v>0</v>
      </c>
    </row>
    <row r="6014" spans="1:8" x14ac:dyDescent="0.4">
      <c r="A6014">
        <v>2000</v>
      </c>
      <c r="B6014" s="5" t="s">
        <v>436</v>
      </c>
      <c r="C6014" s="5" t="s">
        <v>713</v>
      </c>
      <c r="D6014" s="25" t="s">
        <v>79</v>
      </c>
      <c r="E6014" s="64" t="s">
        <v>44</v>
      </c>
      <c r="F6014" s="2">
        <v>373</v>
      </c>
      <c r="G6014" s="2">
        <v>0</v>
      </c>
      <c r="H6014" s="2">
        <v>0</v>
      </c>
    </row>
    <row r="6015" spans="1:8" x14ac:dyDescent="0.4">
      <c r="A6015">
        <v>2000</v>
      </c>
      <c r="B6015" s="5" t="s">
        <v>437</v>
      </c>
      <c r="C6015" s="5" t="s">
        <v>713</v>
      </c>
      <c r="D6015" s="25" t="s">
        <v>79</v>
      </c>
      <c r="E6015" s="64" t="s">
        <v>84</v>
      </c>
      <c r="F6015" s="2">
        <v>208</v>
      </c>
      <c r="G6015" s="2">
        <v>0</v>
      </c>
      <c r="H6015" s="2">
        <v>0</v>
      </c>
    </row>
    <row r="6016" spans="1:8" x14ac:dyDescent="0.4">
      <c r="A6016">
        <v>2000</v>
      </c>
      <c r="B6016" s="5" t="s">
        <v>438</v>
      </c>
      <c r="C6016" s="5" t="s">
        <v>713</v>
      </c>
      <c r="D6016" s="25" t="s">
        <v>79</v>
      </c>
      <c r="E6016" s="64" t="s">
        <v>85</v>
      </c>
      <c r="F6016" s="2">
        <v>85</v>
      </c>
      <c r="G6016" s="2">
        <v>0</v>
      </c>
      <c r="H6016" s="2">
        <v>0</v>
      </c>
    </row>
    <row r="6017" spans="1:8" x14ac:dyDescent="0.4">
      <c r="A6017">
        <v>2000</v>
      </c>
      <c r="B6017" s="5" t="s">
        <v>439</v>
      </c>
      <c r="C6017" s="5" t="s">
        <v>713</v>
      </c>
      <c r="D6017" s="25" t="s">
        <v>79</v>
      </c>
      <c r="E6017" s="64" t="s">
        <v>86</v>
      </c>
      <c r="F6017" s="2">
        <v>51</v>
      </c>
      <c r="G6017" s="2">
        <v>0</v>
      </c>
      <c r="H6017" s="2">
        <v>0</v>
      </c>
    </row>
    <row r="6018" spans="1:8" x14ac:dyDescent="0.4">
      <c r="A6018">
        <v>2000</v>
      </c>
      <c r="B6018" s="5" t="s">
        <v>440</v>
      </c>
      <c r="C6018" s="5" t="s">
        <v>713</v>
      </c>
      <c r="D6018" s="25" t="s">
        <v>79</v>
      </c>
      <c r="E6018" s="64" t="s">
        <v>87</v>
      </c>
      <c r="F6018" s="2">
        <v>1183</v>
      </c>
      <c r="G6018" s="2">
        <v>0</v>
      </c>
      <c r="H6018" s="2">
        <v>0</v>
      </c>
    </row>
    <row r="6019" spans="1:8" x14ac:dyDescent="0.4">
      <c r="A6019">
        <v>2000</v>
      </c>
      <c r="B6019" s="5" t="s">
        <v>441</v>
      </c>
      <c r="C6019" s="5" t="s">
        <v>713</v>
      </c>
      <c r="D6019" s="25" t="s">
        <v>79</v>
      </c>
      <c r="E6019" s="64" t="s">
        <v>88</v>
      </c>
      <c r="F6019" s="2">
        <v>1011</v>
      </c>
      <c r="G6019" s="2">
        <v>0</v>
      </c>
      <c r="H6019" s="2">
        <v>0</v>
      </c>
    </row>
    <row r="6020" spans="1:8" x14ac:dyDescent="0.4">
      <c r="A6020">
        <v>2000</v>
      </c>
      <c r="B6020" s="5" t="s">
        <v>442</v>
      </c>
      <c r="C6020" s="5" t="s">
        <v>713</v>
      </c>
      <c r="D6020" s="25" t="s">
        <v>79</v>
      </c>
      <c r="E6020" s="64" t="s">
        <v>89</v>
      </c>
      <c r="F6020" s="2">
        <v>112</v>
      </c>
      <c r="G6020" s="2">
        <v>0</v>
      </c>
      <c r="H6020" s="2">
        <v>0</v>
      </c>
    </row>
    <row r="6021" spans="1:8" x14ac:dyDescent="0.4">
      <c r="A6021">
        <v>2000</v>
      </c>
      <c r="B6021" s="5" t="s">
        <v>443</v>
      </c>
      <c r="C6021" s="5" t="s">
        <v>713</v>
      </c>
      <c r="D6021" s="25" t="s">
        <v>79</v>
      </c>
      <c r="E6021" s="64" t="s">
        <v>90</v>
      </c>
      <c r="F6021" s="2">
        <v>103</v>
      </c>
      <c r="G6021" s="2">
        <v>0</v>
      </c>
      <c r="H6021" s="2">
        <v>0</v>
      </c>
    </row>
    <row r="6022" spans="1:8" x14ac:dyDescent="0.4">
      <c r="A6022">
        <v>2000</v>
      </c>
      <c r="B6022" s="5" t="s">
        <v>444</v>
      </c>
      <c r="C6022" s="5" t="s">
        <v>713</v>
      </c>
      <c r="D6022" s="25" t="s">
        <v>79</v>
      </c>
      <c r="E6022" s="65" t="s">
        <v>91</v>
      </c>
      <c r="F6022" s="2">
        <v>4402</v>
      </c>
      <c r="G6022" s="2">
        <v>0</v>
      </c>
      <c r="H6022" s="2">
        <v>0</v>
      </c>
    </row>
    <row r="6023" spans="1:8" x14ac:dyDescent="0.4">
      <c r="A6023">
        <v>2000</v>
      </c>
      <c r="B6023" s="5" t="s">
        <v>445</v>
      </c>
      <c r="C6023" s="5" t="s">
        <v>714</v>
      </c>
      <c r="D6023" s="25" t="s">
        <v>93</v>
      </c>
      <c r="E6023" s="64" t="s">
        <v>92</v>
      </c>
      <c r="F6023" s="2">
        <v>94</v>
      </c>
      <c r="G6023" s="2">
        <v>0</v>
      </c>
      <c r="H6023" s="2">
        <v>0</v>
      </c>
    </row>
    <row r="6024" spans="1:8" x14ac:dyDescent="0.4">
      <c r="A6024">
        <v>2000</v>
      </c>
      <c r="B6024" s="5" t="s">
        <v>446</v>
      </c>
      <c r="C6024" s="5" t="s">
        <v>714</v>
      </c>
      <c r="D6024" s="25" t="s">
        <v>93</v>
      </c>
      <c r="E6024" s="64" t="s">
        <v>94</v>
      </c>
      <c r="F6024" s="2">
        <v>303</v>
      </c>
      <c r="G6024" s="2">
        <v>0</v>
      </c>
      <c r="H6024" s="2">
        <v>0</v>
      </c>
    </row>
    <row r="6025" spans="1:8" x14ac:dyDescent="0.4">
      <c r="A6025">
        <v>2000</v>
      </c>
      <c r="B6025" s="5" t="s">
        <v>447</v>
      </c>
      <c r="C6025" s="5" t="s">
        <v>714</v>
      </c>
      <c r="D6025" s="25" t="s">
        <v>93</v>
      </c>
      <c r="E6025" s="64" t="s">
        <v>40</v>
      </c>
      <c r="F6025" s="2">
        <v>30</v>
      </c>
      <c r="G6025" s="2">
        <v>0</v>
      </c>
      <c r="H6025" s="2">
        <v>0</v>
      </c>
    </row>
    <row r="6026" spans="1:8" x14ac:dyDescent="0.4">
      <c r="A6026">
        <v>2000</v>
      </c>
      <c r="B6026" s="5" t="s">
        <v>448</v>
      </c>
      <c r="C6026" s="5" t="s">
        <v>714</v>
      </c>
      <c r="D6026" s="25" t="s">
        <v>93</v>
      </c>
      <c r="E6026" s="64" t="s">
        <v>95</v>
      </c>
      <c r="F6026" s="2">
        <v>22</v>
      </c>
      <c r="G6026" s="2">
        <v>0</v>
      </c>
      <c r="H6026" s="2">
        <v>0</v>
      </c>
    </row>
    <row r="6027" spans="1:8" x14ac:dyDescent="0.4">
      <c r="A6027">
        <v>2000</v>
      </c>
      <c r="B6027" s="5" t="s">
        <v>449</v>
      </c>
      <c r="C6027" s="5" t="s">
        <v>714</v>
      </c>
      <c r="D6027" s="25" t="s">
        <v>93</v>
      </c>
      <c r="E6027" s="64" t="s">
        <v>96</v>
      </c>
      <c r="F6027" s="2">
        <v>44</v>
      </c>
      <c r="G6027" s="2">
        <v>0</v>
      </c>
      <c r="H6027" s="2">
        <v>0</v>
      </c>
    </row>
    <row r="6028" spans="1:8" x14ac:dyDescent="0.4">
      <c r="A6028">
        <v>2000</v>
      </c>
      <c r="B6028" s="5" t="s">
        <v>450</v>
      </c>
      <c r="C6028" s="5" t="s">
        <v>714</v>
      </c>
      <c r="D6028" s="25" t="s">
        <v>93</v>
      </c>
      <c r="E6028" s="64" t="s">
        <v>97</v>
      </c>
      <c r="F6028" s="2">
        <v>19</v>
      </c>
      <c r="G6028" s="2">
        <v>0</v>
      </c>
      <c r="H6028" s="2">
        <v>0</v>
      </c>
    </row>
    <row r="6029" spans="1:8" x14ac:dyDescent="0.4">
      <c r="A6029">
        <v>2000</v>
      </c>
      <c r="B6029" s="5" t="s">
        <v>451</v>
      </c>
      <c r="C6029" s="5" t="s">
        <v>714</v>
      </c>
      <c r="D6029" s="25" t="s">
        <v>93</v>
      </c>
      <c r="E6029" s="64" t="s">
        <v>34</v>
      </c>
      <c r="F6029" s="2">
        <v>33</v>
      </c>
      <c r="G6029" s="2">
        <v>0</v>
      </c>
      <c r="H6029" s="2">
        <v>0</v>
      </c>
    </row>
    <row r="6030" spans="1:8" x14ac:dyDescent="0.4">
      <c r="A6030">
        <v>2000</v>
      </c>
      <c r="B6030" s="5" t="s">
        <v>452</v>
      </c>
      <c r="C6030" s="5" t="s">
        <v>714</v>
      </c>
      <c r="D6030" s="25" t="s">
        <v>93</v>
      </c>
      <c r="E6030" s="64" t="s">
        <v>98</v>
      </c>
      <c r="F6030" s="2">
        <v>430</v>
      </c>
      <c r="G6030" s="2">
        <v>0</v>
      </c>
      <c r="H6030" s="2">
        <v>0</v>
      </c>
    </row>
    <row r="6031" spans="1:8" x14ac:dyDescent="0.4">
      <c r="A6031">
        <v>2000</v>
      </c>
      <c r="B6031" s="5" t="s">
        <v>453</v>
      </c>
      <c r="C6031" s="5" t="s">
        <v>714</v>
      </c>
      <c r="D6031" s="25" t="s">
        <v>93</v>
      </c>
      <c r="E6031" s="64" t="s">
        <v>99</v>
      </c>
      <c r="F6031" s="2">
        <v>76</v>
      </c>
      <c r="G6031" s="2">
        <v>0</v>
      </c>
      <c r="H6031" s="2">
        <v>0</v>
      </c>
    </row>
    <row r="6032" spans="1:8" x14ac:dyDescent="0.4">
      <c r="A6032">
        <v>2000</v>
      </c>
      <c r="B6032" s="5" t="s">
        <v>454</v>
      </c>
      <c r="C6032" s="5" t="s">
        <v>715</v>
      </c>
      <c r="D6032" s="25" t="s">
        <v>101</v>
      </c>
      <c r="E6032" s="64" t="s">
        <v>100</v>
      </c>
      <c r="F6032" s="2">
        <v>42</v>
      </c>
      <c r="G6032" s="2">
        <v>0</v>
      </c>
      <c r="H6032" s="2">
        <v>0</v>
      </c>
    </row>
    <row r="6033" spans="1:8" x14ac:dyDescent="0.4">
      <c r="A6033">
        <v>2000</v>
      </c>
      <c r="B6033" s="5" t="s">
        <v>455</v>
      </c>
      <c r="C6033" s="5" t="s">
        <v>715</v>
      </c>
      <c r="D6033" s="25" t="s">
        <v>101</v>
      </c>
      <c r="E6033" s="64" t="s">
        <v>102</v>
      </c>
      <c r="F6033" s="2">
        <v>35</v>
      </c>
      <c r="G6033" s="2">
        <v>0</v>
      </c>
      <c r="H6033" s="2">
        <v>0</v>
      </c>
    </row>
    <row r="6034" spans="1:8" x14ac:dyDescent="0.4">
      <c r="A6034">
        <v>2000</v>
      </c>
      <c r="B6034" s="5" t="s">
        <v>456</v>
      </c>
      <c r="C6034" s="5" t="s">
        <v>715</v>
      </c>
      <c r="D6034" s="25" t="s">
        <v>101</v>
      </c>
      <c r="E6034" s="64" t="s">
        <v>103</v>
      </c>
      <c r="F6034" s="2">
        <v>10</v>
      </c>
      <c r="G6034" s="2">
        <v>0</v>
      </c>
      <c r="H6034" s="2">
        <v>0</v>
      </c>
    </row>
    <row r="6035" spans="1:8" x14ac:dyDescent="0.4">
      <c r="A6035">
        <v>2000</v>
      </c>
      <c r="B6035" s="5" t="s">
        <v>457</v>
      </c>
      <c r="C6035" s="5" t="s">
        <v>715</v>
      </c>
      <c r="D6035" s="25" t="s">
        <v>101</v>
      </c>
      <c r="E6035" s="64" t="s">
        <v>104</v>
      </c>
      <c r="F6035" s="2">
        <v>338</v>
      </c>
      <c r="G6035" s="2">
        <v>0</v>
      </c>
      <c r="H6035" s="2">
        <v>0</v>
      </c>
    </row>
    <row r="6036" spans="1:8" x14ac:dyDescent="0.4">
      <c r="A6036">
        <v>2000</v>
      </c>
      <c r="B6036" s="5" t="s">
        <v>458</v>
      </c>
      <c r="C6036" s="5" t="s">
        <v>716</v>
      </c>
      <c r="D6036" s="25" t="s">
        <v>129</v>
      </c>
      <c r="E6036" s="64" t="s">
        <v>128</v>
      </c>
      <c r="F6036" s="2">
        <v>19</v>
      </c>
      <c r="G6036" s="2">
        <v>0</v>
      </c>
      <c r="H6036" s="2">
        <v>0</v>
      </c>
    </row>
    <row r="6037" spans="1:8" x14ac:dyDescent="0.4">
      <c r="A6037">
        <v>2000</v>
      </c>
      <c r="B6037" s="5" t="s">
        <v>459</v>
      </c>
      <c r="C6037" s="5" t="s">
        <v>716</v>
      </c>
      <c r="D6037" s="25" t="s">
        <v>129</v>
      </c>
      <c r="E6037" s="64" t="s">
        <v>36</v>
      </c>
      <c r="F6037" s="2">
        <v>21</v>
      </c>
      <c r="G6037" s="2">
        <v>0</v>
      </c>
      <c r="H6037" s="2">
        <v>0</v>
      </c>
    </row>
    <row r="6038" spans="1:8" x14ac:dyDescent="0.4">
      <c r="A6038">
        <v>2000</v>
      </c>
      <c r="B6038" s="5" t="s">
        <v>460</v>
      </c>
      <c r="C6038" s="5" t="s">
        <v>716</v>
      </c>
      <c r="D6038" s="25" t="s">
        <v>129</v>
      </c>
      <c r="E6038" s="64" t="s">
        <v>130</v>
      </c>
      <c r="F6038" s="2">
        <v>38</v>
      </c>
      <c r="G6038" s="2">
        <v>0</v>
      </c>
      <c r="H6038" s="2">
        <v>0</v>
      </c>
    </row>
    <row r="6039" spans="1:8" x14ac:dyDescent="0.4">
      <c r="A6039">
        <v>2000</v>
      </c>
      <c r="B6039" s="5" t="s">
        <v>461</v>
      </c>
      <c r="C6039" s="5" t="s">
        <v>716</v>
      </c>
      <c r="D6039" s="25" t="s">
        <v>129</v>
      </c>
      <c r="E6039" s="64" t="s">
        <v>131</v>
      </c>
      <c r="F6039" s="2">
        <v>18</v>
      </c>
      <c r="G6039" s="2">
        <v>0</v>
      </c>
      <c r="H6039" s="2">
        <v>0</v>
      </c>
    </row>
    <row r="6040" spans="1:8" x14ac:dyDescent="0.4">
      <c r="A6040">
        <v>2000</v>
      </c>
      <c r="B6040" s="5" t="s">
        <v>462</v>
      </c>
      <c r="C6040" s="5" t="s">
        <v>716</v>
      </c>
      <c r="D6040" s="25" t="s">
        <v>129</v>
      </c>
      <c r="E6040" s="64" t="s">
        <v>132</v>
      </c>
      <c r="F6040" s="2">
        <v>654</v>
      </c>
      <c r="G6040" s="2">
        <v>0</v>
      </c>
      <c r="H6040" s="2">
        <v>0</v>
      </c>
    </row>
    <row r="6041" spans="1:8" x14ac:dyDescent="0.4">
      <c r="A6041">
        <v>2000</v>
      </c>
      <c r="B6041" s="5" t="s">
        <v>463</v>
      </c>
      <c r="C6041" s="5" t="s">
        <v>716</v>
      </c>
      <c r="D6041" s="25" t="s">
        <v>129</v>
      </c>
      <c r="E6041" s="64" t="s">
        <v>133</v>
      </c>
      <c r="F6041" s="2">
        <v>52</v>
      </c>
      <c r="G6041" s="2">
        <v>0</v>
      </c>
      <c r="H6041" s="2">
        <v>0</v>
      </c>
    </row>
    <row r="6042" spans="1:8" x14ac:dyDescent="0.4">
      <c r="A6042">
        <v>2000</v>
      </c>
      <c r="B6042" s="5" t="s">
        <v>464</v>
      </c>
      <c r="C6042" s="5" t="s">
        <v>716</v>
      </c>
      <c r="D6042" s="25" t="s">
        <v>129</v>
      </c>
      <c r="E6042" s="64" t="s">
        <v>134</v>
      </c>
      <c r="F6042" s="2">
        <v>45</v>
      </c>
      <c r="G6042" s="2">
        <v>0</v>
      </c>
      <c r="H6042" s="2">
        <v>0</v>
      </c>
    </row>
    <row r="6043" spans="1:8" x14ac:dyDescent="0.4">
      <c r="A6043">
        <v>2000</v>
      </c>
      <c r="B6043" s="5" t="s">
        <v>465</v>
      </c>
      <c r="C6043" s="5" t="s">
        <v>716</v>
      </c>
      <c r="D6043" s="25" t="s">
        <v>129</v>
      </c>
      <c r="E6043" s="64" t="s">
        <v>135</v>
      </c>
      <c r="F6043" s="2">
        <v>20</v>
      </c>
      <c r="G6043" s="2">
        <v>0</v>
      </c>
      <c r="H6043" s="2">
        <v>0</v>
      </c>
    </row>
    <row r="6044" spans="1:8" x14ac:dyDescent="0.4">
      <c r="A6044">
        <v>2000</v>
      </c>
      <c r="B6044" s="5" t="s">
        <v>466</v>
      </c>
      <c r="C6044" s="5" t="s">
        <v>716</v>
      </c>
      <c r="D6044" s="25" t="s">
        <v>129</v>
      </c>
      <c r="E6044" s="64" t="s">
        <v>94</v>
      </c>
      <c r="F6044" s="2">
        <v>67</v>
      </c>
      <c r="G6044" s="2">
        <v>0</v>
      </c>
      <c r="H6044" s="2">
        <v>0</v>
      </c>
    </row>
    <row r="6045" spans="1:8" x14ac:dyDescent="0.4">
      <c r="A6045">
        <v>2000</v>
      </c>
      <c r="B6045" s="5" t="s">
        <v>467</v>
      </c>
      <c r="C6045" s="5" t="s">
        <v>716</v>
      </c>
      <c r="D6045" s="25" t="s">
        <v>129</v>
      </c>
      <c r="E6045" s="64" t="s">
        <v>136</v>
      </c>
      <c r="F6045" s="2">
        <v>68</v>
      </c>
      <c r="G6045" s="2">
        <v>0</v>
      </c>
      <c r="H6045" s="2">
        <v>0</v>
      </c>
    </row>
    <row r="6046" spans="1:8" x14ac:dyDescent="0.4">
      <c r="A6046">
        <v>2000</v>
      </c>
      <c r="B6046" s="5" t="s">
        <v>468</v>
      </c>
      <c r="C6046" s="5" t="s">
        <v>716</v>
      </c>
      <c r="D6046" s="25" t="s">
        <v>129</v>
      </c>
      <c r="E6046" s="64" t="s">
        <v>137</v>
      </c>
      <c r="F6046" s="2">
        <v>14</v>
      </c>
      <c r="G6046" s="2">
        <v>0</v>
      </c>
      <c r="H6046" s="2">
        <v>0</v>
      </c>
    </row>
    <row r="6047" spans="1:8" x14ac:dyDescent="0.4">
      <c r="A6047">
        <v>2000</v>
      </c>
      <c r="B6047" s="5" t="s">
        <v>469</v>
      </c>
      <c r="C6047" s="5" t="s">
        <v>716</v>
      </c>
      <c r="D6047" s="25" t="s">
        <v>129</v>
      </c>
      <c r="E6047" s="64" t="s">
        <v>138</v>
      </c>
      <c r="F6047" s="2">
        <v>65</v>
      </c>
      <c r="G6047" s="2">
        <v>0</v>
      </c>
      <c r="H6047" s="2">
        <v>0</v>
      </c>
    </row>
    <row r="6048" spans="1:8" x14ac:dyDescent="0.4">
      <c r="A6048">
        <v>2000</v>
      </c>
      <c r="B6048" s="5" t="s">
        <v>470</v>
      </c>
      <c r="C6048" s="5" t="s">
        <v>716</v>
      </c>
      <c r="D6048" s="25" t="s">
        <v>129</v>
      </c>
      <c r="E6048" s="64" t="s">
        <v>139</v>
      </c>
      <c r="F6048" s="2">
        <v>47</v>
      </c>
      <c r="G6048" s="2">
        <v>0</v>
      </c>
      <c r="H6048" s="2">
        <v>0</v>
      </c>
    </row>
    <row r="6049" spans="1:8" x14ac:dyDescent="0.4">
      <c r="A6049">
        <v>2000</v>
      </c>
      <c r="B6049" s="5" t="s">
        <v>471</v>
      </c>
      <c r="C6049" s="5" t="s">
        <v>716</v>
      </c>
      <c r="D6049" s="25" t="s">
        <v>129</v>
      </c>
      <c r="E6049" s="64" t="s">
        <v>85</v>
      </c>
      <c r="F6049" s="2">
        <v>903</v>
      </c>
      <c r="G6049" s="2">
        <v>0</v>
      </c>
      <c r="H6049" s="2">
        <v>0</v>
      </c>
    </row>
    <row r="6050" spans="1:8" x14ac:dyDescent="0.4">
      <c r="A6050">
        <v>2000</v>
      </c>
      <c r="B6050" s="5" t="s">
        <v>472</v>
      </c>
      <c r="C6050" s="5" t="s">
        <v>716</v>
      </c>
      <c r="D6050" s="25" t="s">
        <v>129</v>
      </c>
      <c r="E6050" s="64" t="s">
        <v>140</v>
      </c>
      <c r="F6050" s="2">
        <v>23</v>
      </c>
      <c r="G6050" s="2">
        <v>0</v>
      </c>
      <c r="H6050" s="2">
        <v>0</v>
      </c>
    </row>
    <row r="6051" spans="1:8" x14ac:dyDescent="0.4">
      <c r="A6051">
        <v>2000</v>
      </c>
      <c r="B6051" s="5" t="s">
        <v>473</v>
      </c>
      <c r="C6051" s="5" t="s">
        <v>716</v>
      </c>
      <c r="D6051" s="25" t="s">
        <v>129</v>
      </c>
      <c r="E6051" s="64" t="s">
        <v>141</v>
      </c>
      <c r="F6051" s="2">
        <v>4</v>
      </c>
      <c r="G6051" s="2">
        <v>0</v>
      </c>
      <c r="H6051" s="2">
        <v>0</v>
      </c>
    </row>
    <row r="6052" spans="1:8" x14ac:dyDescent="0.4">
      <c r="A6052">
        <v>2000</v>
      </c>
      <c r="B6052" s="5" t="s">
        <v>474</v>
      </c>
      <c r="C6052" s="5" t="s">
        <v>716</v>
      </c>
      <c r="D6052" s="25" t="s">
        <v>129</v>
      </c>
      <c r="E6052" s="64" t="s">
        <v>143</v>
      </c>
      <c r="F6052" s="2">
        <v>31</v>
      </c>
      <c r="G6052" s="2">
        <v>0</v>
      </c>
      <c r="H6052" s="2">
        <v>0</v>
      </c>
    </row>
    <row r="6053" spans="1:8" x14ac:dyDescent="0.4">
      <c r="A6053">
        <v>2000</v>
      </c>
      <c r="B6053" s="5" t="s">
        <v>475</v>
      </c>
      <c r="C6053" s="5" t="s">
        <v>716</v>
      </c>
      <c r="D6053" s="25" t="s">
        <v>129</v>
      </c>
      <c r="E6053" s="64" t="s">
        <v>21</v>
      </c>
      <c r="F6053" s="2">
        <v>36</v>
      </c>
      <c r="G6053" s="2">
        <v>0</v>
      </c>
      <c r="H6053" s="2">
        <v>0</v>
      </c>
    </row>
    <row r="6054" spans="1:8" x14ac:dyDescent="0.4">
      <c r="A6054">
        <v>2000</v>
      </c>
      <c r="B6054" s="5" t="s">
        <v>476</v>
      </c>
      <c r="C6054" s="5" t="s">
        <v>716</v>
      </c>
      <c r="D6054" s="25" t="s">
        <v>129</v>
      </c>
      <c r="E6054" s="64" t="s">
        <v>144</v>
      </c>
      <c r="F6054" s="2">
        <v>23</v>
      </c>
      <c r="G6054" s="2">
        <v>0</v>
      </c>
      <c r="H6054" s="2">
        <v>0</v>
      </c>
    </row>
    <row r="6055" spans="1:8" x14ac:dyDescent="0.4">
      <c r="A6055">
        <v>2000</v>
      </c>
      <c r="B6055" s="5" t="s">
        <v>477</v>
      </c>
      <c r="C6055" s="5" t="s">
        <v>716</v>
      </c>
      <c r="D6055" s="25" t="s">
        <v>129</v>
      </c>
      <c r="E6055" s="64" t="s">
        <v>145</v>
      </c>
      <c r="F6055" s="2">
        <v>45</v>
      </c>
      <c r="G6055" s="2">
        <v>0</v>
      </c>
      <c r="H6055" s="2">
        <v>0</v>
      </c>
    </row>
    <row r="6056" spans="1:8" x14ac:dyDescent="0.4">
      <c r="A6056">
        <v>2000</v>
      </c>
      <c r="B6056" s="5" t="s">
        <v>478</v>
      </c>
      <c r="C6056" s="5" t="s">
        <v>716</v>
      </c>
      <c r="D6056" s="25" t="s">
        <v>129</v>
      </c>
      <c r="E6056" s="64" t="s">
        <v>51</v>
      </c>
      <c r="F6056" s="2">
        <v>11</v>
      </c>
      <c r="G6056" s="2">
        <v>0</v>
      </c>
      <c r="H6056" s="2">
        <v>0</v>
      </c>
    </row>
    <row r="6057" spans="1:8" x14ac:dyDescent="0.4">
      <c r="A6057">
        <v>2000</v>
      </c>
      <c r="B6057" s="5" t="s">
        <v>479</v>
      </c>
      <c r="C6057" s="5" t="s">
        <v>716</v>
      </c>
      <c r="D6057" s="25" t="s">
        <v>129</v>
      </c>
      <c r="E6057" s="64" t="s">
        <v>146</v>
      </c>
      <c r="F6057" s="2">
        <v>0</v>
      </c>
      <c r="G6057" s="2">
        <v>0</v>
      </c>
      <c r="H6057" s="2">
        <v>0</v>
      </c>
    </row>
    <row r="6058" spans="1:8" x14ac:dyDescent="0.4">
      <c r="A6058">
        <v>2000</v>
      </c>
      <c r="B6058" s="5" t="s">
        <v>480</v>
      </c>
      <c r="C6058" s="5" t="s">
        <v>716</v>
      </c>
      <c r="D6058" s="25" t="s">
        <v>129</v>
      </c>
      <c r="E6058" s="64" t="s">
        <v>147</v>
      </c>
      <c r="F6058" s="2">
        <v>28</v>
      </c>
      <c r="G6058" s="2">
        <v>0</v>
      </c>
      <c r="H6058" s="2">
        <v>0</v>
      </c>
    </row>
    <row r="6059" spans="1:8" x14ac:dyDescent="0.4">
      <c r="A6059">
        <v>2000</v>
      </c>
      <c r="B6059" s="5" t="s">
        <v>481</v>
      </c>
      <c r="C6059" s="5" t="s">
        <v>716</v>
      </c>
      <c r="D6059" s="25" t="s">
        <v>129</v>
      </c>
      <c r="E6059" s="64" t="s">
        <v>148</v>
      </c>
      <c r="F6059" s="2">
        <v>16</v>
      </c>
      <c r="G6059" s="2">
        <v>0</v>
      </c>
      <c r="H6059" s="2">
        <v>0</v>
      </c>
    </row>
    <row r="6060" spans="1:8" x14ac:dyDescent="0.4">
      <c r="A6060">
        <v>2000</v>
      </c>
      <c r="B6060" s="5" t="s">
        <v>482</v>
      </c>
      <c r="C6060" s="5" t="s">
        <v>716</v>
      </c>
      <c r="D6060" s="25" t="s">
        <v>129</v>
      </c>
      <c r="E6060" s="64" t="s">
        <v>54</v>
      </c>
      <c r="F6060" s="2">
        <v>72</v>
      </c>
      <c r="G6060" s="2">
        <v>0</v>
      </c>
      <c r="H6060" s="2">
        <v>0</v>
      </c>
    </row>
    <row r="6061" spans="1:8" x14ac:dyDescent="0.4">
      <c r="A6061">
        <v>2000</v>
      </c>
      <c r="B6061" s="5" t="s">
        <v>483</v>
      </c>
      <c r="C6061" s="5" t="s">
        <v>717</v>
      </c>
      <c r="D6061" s="25" t="s">
        <v>150</v>
      </c>
      <c r="E6061" s="64" t="s">
        <v>149</v>
      </c>
      <c r="F6061" s="2">
        <v>62</v>
      </c>
      <c r="G6061" s="2">
        <v>0</v>
      </c>
      <c r="H6061" s="2">
        <v>0</v>
      </c>
    </row>
    <row r="6062" spans="1:8" x14ac:dyDescent="0.4">
      <c r="A6062">
        <v>2000</v>
      </c>
      <c r="B6062" s="5" t="s">
        <v>484</v>
      </c>
      <c r="C6062" s="5" t="s">
        <v>717</v>
      </c>
      <c r="D6062" s="25" t="s">
        <v>150</v>
      </c>
      <c r="E6062" s="64" t="s">
        <v>151</v>
      </c>
      <c r="F6062" s="2">
        <v>26</v>
      </c>
      <c r="G6062" s="2">
        <v>0</v>
      </c>
      <c r="H6062" s="2">
        <v>0</v>
      </c>
    </row>
    <row r="6063" spans="1:8" x14ac:dyDescent="0.4">
      <c r="A6063">
        <v>2000</v>
      </c>
      <c r="B6063" s="5" t="s">
        <v>485</v>
      </c>
      <c r="C6063" s="5" t="s">
        <v>717</v>
      </c>
      <c r="D6063" s="25" t="s">
        <v>150</v>
      </c>
      <c r="E6063" s="64" t="s">
        <v>152</v>
      </c>
      <c r="F6063" s="2">
        <v>30</v>
      </c>
      <c r="G6063" s="2">
        <v>0</v>
      </c>
      <c r="H6063" s="2">
        <v>0</v>
      </c>
    </row>
    <row r="6064" spans="1:8" x14ac:dyDescent="0.4">
      <c r="A6064">
        <v>2000</v>
      </c>
      <c r="B6064" s="5" t="s">
        <v>486</v>
      </c>
      <c r="C6064" s="5" t="s">
        <v>717</v>
      </c>
      <c r="D6064" s="25" t="s">
        <v>150</v>
      </c>
      <c r="E6064" s="64" t="s">
        <v>153</v>
      </c>
      <c r="F6064" s="2">
        <v>20</v>
      </c>
      <c r="G6064" s="2">
        <v>0</v>
      </c>
      <c r="H6064" s="2">
        <v>0</v>
      </c>
    </row>
    <row r="6065" spans="1:8" x14ac:dyDescent="0.4">
      <c r="A6065">
        <v>2000</v>
      </c>
      <c r="B6065" s="5" t="s">
        <v>487</v>
      </c>
      <c r="C6065" s="5" t="s">
        <v>717</v>
      </c>
      <c r="D6065" s="25" t="s">
        <v>150</v>
      </c>
      <c r="E6065" s="64" t="s">
        <v>154</v>
      </c>
      <c r="F6065" s="2">
        <v>597</v>
      </c>
      <c r="G6065" s="2">
        <v>0</v>
      </c>
      <c r="H6065" s="2">
        <v>0</v>
      </c>
    </row>
    <row r="6066" spans="1:8" x14ac:dyDescent="0.4">
      <c r="A6066">
        <v>2000</v>
      </c>
      <c r="B6066" s="5" t="s">
        <v>488</v>
      </c>
      <c r="C6066" s="5" t="s">
        <v>717</v>
      </c>
      <c r="D6066" s="25" t="s">
        <v>150</v>
      </c>
      <c r="E6066" s="64" t="s">
        <v>155</v>
      </c>
      <c r="F6066" s="2">
        <v>72</v>
      </c>
      <c r="G6066" s="2">
        <v>0</v>
      </c>
      <c r="H6066" s="2">
        <v>0</v>
      </c>
    </row>
    <row r="6067" spans="1:8" x14ac:dyDescent="0.4">
      <c r="A6067">
        <v>2000</v>
      </c>
      <c r="B6067" s="5" t="s">
        <v>489</v>
      </c>
      <c r="C6067" s="5" t="s">
        <v>717</v>
      </c>
      <c r="D6067" s="25" t="s">
        <v>150</v>
      </c>
      <c r="E6067" s="64" t="s">
        <v>156</v>
      </c>
      <c r="F6067" s="2">
        <v>119</v>
      </c>
      <c r="G6067" s="2">
        <v>0</v>
      </c>
      <c r="H6067" s="2">
        <v>0</v>
      </c>
    </row>
    <row r="6068" spans="1:8" x14ac:dyDescent="0.4">
      <c r="A6068">
        <v>2000</v>
      </c>
      <c r="B6068" s="5" t="s">
        <v>490</v>
      </c>
      <c r="C6068" s="5" t="s">
        <v>717</v>
      </c>
      <c r="D6068" s="25" t="s">
        <v>150</v>
      </c>
      <c r="E6068" s="64" t="s">
        <v>85</v>
      </c>
      <c r="F6068" s="2">
        <v>475</v>
      </c>
      <c r="G6068" s="2">
        <v>0</v>
      </c>
      <c r="H6068" s="2">
        <v>0</v>
      </c>
    </row>
    <row r="6069" spans="1:8" x14ac:dyDescent="0.4">
      <c r="A6069">
        <v>2000</v>
      </c>
      <c r="B6069" s="5" t="s">
        <v>491</v>
      </c>
      <c r="C6069" s="5" t="s">
        <v>717</v>
      </c>
      <c r="D6069" s="25" t="s">
        <v>150</v>
      </c>
      <c r="E6069" s="64" t="s">
        <v>157</v>
      </c>
      <c r="F6069" s="2">
        <v>296</v>
      </c>
      <c r="G6069" s="2">
        <v>0</v>
      </c>
      <c r="H6069" s="2">
        <v>0</v>
      </c>
    </row>
    <row r="6070" spans="1:8" x14ac:dyDescent="0.4">
      <c r="A6070">
        <v>2000</v>
      </c>
      <c r="B6070" s="5" t="s">
        <v>492</v>
      </c>
      <c r="C6070" s="5" t="s">
        <v>717</v>
      </c>
      <c r="D6070" s="25" t="s">
        <v>150</v>
      </c>
      <c r="E6070" s="64" t="s">
        <v>158</v>
      </c>
      <c r="F6070" s="2">
        <v>27</v>
      </c>
      <c r="G6070" s="2">
        <v>0</v>
      </c>
      <c r="H6070" s="2">
        <v>0</v>
      </c>
    </row>
    <row r="6071" spans="1:8" x14ac:dyDescent="0.4">
      <c r="A6071">
        <v>2000</v>
      </c>
      <c r="B6071" s="5" t="s">
        <v>493</v>
      </c>
      <c r="C6071" s="5" t="s">
        <v>717</v>
      </c>
      <c r="D6071" s="25" t="s">
        <v>150</v>
      </c>
      <c r="E6071" s="64" t="s">
        <v>159</v>
      </c>
      <c r="F6071" s="2">
        <v>107</v>
      </c>
      <c r="G6071" s="2">
        <v>0</v>
      </c>
      <c r="H6071" s="2">
        <v>0</v>
      </c>
    </row>
    <row r="6072" spans="1:8" x14ac:dyDescent="0.4">
      <c r="A6072">
        <v>2000</v>
      </c>
      <c r="B6072" s="5" t="s">
        <v>494</v>
      </c>
      <c r="C6072" s="5" t="s">
        <v>717</v>
      </c>
      <c r="D6072" s="25" t="s">
        <v>150</v>
      </c>
      <c r="E6072" s="64" t="s">
        <v>76</v>
      </c>
      <c r="F6072" s="2">
        <v>596</v>
      </c>
      <c r="G6072" s="2">
        <v>0</v>
      </c>
      <c r="H6072" s="2">
        <v>0</v>
      </c>
    </row>
    <row r="6073" spans="1:8" x14ac:dyDescent="0.4">
      <c r="A6073">
        <v>2000</v>
      </c>
      <c r="B6073" s="5" t="s">
        <v>495</v>
      </c>
      <c r="C6073" s="5" t="s">
        <v>717</v>
      </c>
      <c r="D6073" s="25" t="s">
        <v>150</v>
      </c>
      <c r="E6073" s="64" t="s">
        <v>160</v>
      </c>
      <c r="F6073" s="2">
        <v>23</v>
      </c>
      <c r="G6073" s="2">
        <v>0</v>
      </c>
      <c r="H6073" s="2">
        <v>0</v>
      </c>
    </row>
    <row r="6074" spans="1:8" x14ac:dyDescent="0.4">
      <c r="A6074">
        <v>2000</v>
      </c>
      <c r="B6074" s="5" t="s">
        <v>496</v>
      </c>
      <c r="C6074" s="5" t="s">
        <v>717</v>
      </c>
      <c r="D6074" s="25" t="s">
        <v>150</v>
      </c>
      <c r="E6074" s="64" t="s">
        <v>161</v>
      </c>
      <c r="F6074" s="2">
        <v>45</v>
      </c>
      <c r="G6074" s="2">
        <v>0</v>
      </c>
      <c r="H6074" s="2">
        <v>0</v>
      </c>
    </row>
    <row r="6075" spans="1:8" x14ac:dyDescent="0.4">
      <c r="A6075">
        <v>2000</v>
      </c>
      <c r="B6075" s="5" t="s">
        <v>497</v>
      </c>
      <c r="C6075" s="5" t="s">
        <v>717</v>
      </c>
      <c r="D6075" s="25" t="s">
        <v>150</v>
      </c>
      <c r="E6075" s="65" t="s">
        <v>162</v>
      </c>
      <c r="F6075" s="2">
        <v>228</v>
      </c>
      <c r="G6075" s="2">
        <v>0</v>
      </c>
      <c r="H6075" s="2">
        <v>0</v>
      </c>
    </row>
    <row r="6076" spans="1:8" x14ac:dyDescent="0.4">
      <c r="A6076">
        <v>2000</v>
      </c>
      <c r="B6076" s="5" t="s">
        <v>498</v>
      </c>
      <c r="C6076" s="5" t="s">
        <v>718</v>
      </c>
      <c r="D6076" s="25" t="s">
        <v>164</v>
      </c>
      <c r="E6076" s="64" t="s">
        <v>163</v>
      </c>
      <c r="F6076" s="2">
        <v>104</v>
      </c>
      <c r="G6076" s="2">
        <v>0</v>
      </c>
      <c r="H6076" s="2">
        <v>0</v>
      </c>
    </row>
    <row r="6077" spans="1:8" x14ac:dyDescent="0.4">
      <c r="A6077">
        <v>2000</v>
      </c>
      <c r="B6077" s="5" t="s">
        <v>499</v>
      </c>
      <c r="C6077" s="5" t="s">
        <v>718</v>
      </c>
      <c r="D6077" s="25" t="s">
        <v>164</v>
      </c>
      <c r="E6077" s="64" t="s">
        <v>165</v>
      </c>
      <c r="F6077" s="2">
        <v>102</v>
      </c>
      <c r="G6077" s="2">
        <v>0</v>
      </c>
      <c r="H6077" s="2">
        <v>0</v>
      </c>
    </row>
    <row r="6078" spans="1:8" x14ac:dyDescent="0.4">
      <c r="A6078">
        <v>2000</v>
      </c>
      <c r="B6078" s="5" t="s">
        <v>500</v>
      </c>
      <c r="C6078" s="5" t="s">
        <v>718</v>
      </c>
      <c r="D6078" s="25" t="s">
        <v>164</v>
      </c>
      <c r="E6078" s="64" t="s">
        <v>166</v>
      </c>
      <c r="F6078" s="2">
        <v>5268</v>
      </c>
      <c r="G6078" s="2">
        <v>0</v>
      </c>
      <c r="H6078" s="2">
        <v>0</v>
      </c>
    </row>
    <row r="6079" spans="1:8" x14ac:dyDescent="0.4">
      <c r="A6079">
        <v>2000</v>
      </c>
      <c r="B6079" s="5" t="s">
        <v>501</v>
      </c>
      <c r="C6079" s="5" t="s">
        <v>718</v>
      </c>
      <c r="D6079" s="25" t="s">
        <v>164</v>
      </c>
      <c r="E6079" s="64" t="s">
        <v>167</v>
      </c>
      <c r="F6079" s="2">
        <v>257</v>
      </c>
      <c r="G6079" s="2">
        <v>0</v>
      </c>
      <c r="H6079" s="2">
        <v>0</v>
      </c>
    </row>
    <row r="6080" spans="1:8" x14ac:dyDescent="0.4">
      <c r="A6080">
        <v>2000</v>
      </c>
      <c r="B6080" s="5" t="s">
        <v>502</v>
      </c>
      <c r="C6080" s="5" t="s">
        <v>718</v>
      </c>
      <c r="D6080" s="25" t="s">
        <v>164</v>
      </c>
      <c r="E6080" s="64" t="s">
        <v>168</v>
      </c>
      <c r="F6080" s="2">
        <v>388</v>
      </c>
      <c r="G6080" s="2">
        <v>0</v>
      </c>
      <c r="H6080" s="2">
        <v>0</v>
      </c>
    </row>
    <row r="6081" spans="1:8" x14ac:dyDescent="0.4">
      <c r="A6081">
        <v>2000</v>
      </c>
      <c r="B6081" s="5" t="s">
        <v>503</v>
      </c>
      <c r="C6081" s="5" t="s">
        <v>718</v>
      </c>
      <c r="D6081" s="25" t="s">
        <v>164</v>
      </c>
      <c r="E6081" s="64" t="s">
        <v>169</v>
      </c>
      <c r="F6081" s="2">
        <v>258</v>
      </c>
      <c r="G6081" s="2">
        <v>0</v>
      </c>
      <c r="H6081" s="2">
        <v>0</v>
      </c>
    </row>
    <row r="6082" spans="1:8" x14ac:dyDescent="0.4">
      <c r="A6082">
        <v>2000</v>
      </c>
      <c r="B6082" s="5" t="s">
        <v>504</v>
      </c>
      <c r="C6082" s="5" t="s">
        <v>718</v>
      </c>
      <c r="D6082" s="25" t="s">
        <v>164</v>
      </c>
      <c r="E6082" s="64" t="s">
        <v>170</v>
      </c>
      <c r="F6082" s="2">
        <v>44</v>
      </c>
      <c r="G6082" s="2">
        <v>0</v>
      </c>
      <c r="H6082" s="2">
        <v>0</v>
      </c>
    </row>
    <row r="6083" spans="1:8" x14ac:dyDescent="0.4">
      <c r="A6083">
        <v>2000</v>
      </c>
      <c r="B6083" s="5" t="s">
        <v>505</v>
      </c>
      <c r="C6083" s="5" t="s">
        <v>718</v>
      </c>
      <c r="D6083" s="25" t="s">
        <v>164</v>
      </c>
      <c r="E6083" s="64" t="s">
        <v>171</v>
      </c>
      <c r="F6083" s="2">
        <v>632</v>
      </c>
      <c r="G6083" s="2">
        <v>0</v>
      </c>
      <c r="H6083" s="2">
        <v>0</v>
      </c>
    </row>
    <row r="6084" spans="1:8" x14ac:dyDescent="0.4">
      <c r="A6084">
        <v>2000</v>
      </c>
      <c r="B6084" s="5" t="s">
        <v>506</v>
      </c>
      <c r="C6084" s="5" t="s">
        <v>718</v>
      </c>
      <c r="D6084" s="25" t="s">
        <v>164</v>
      </c>
      <c r="E6084" s="64" t="s">
        <v>53</v>
      </c>
      <c r="F6084" s="2">
        <v>140</v>
      </c>
      <c r="G6084" s="2">
        <v>0</v>
      </c>
      <c r="H6084" s="2">
        <v>0</v>
      </c>
    </row>
    <row r="6085" spans="1:8" x14ac:dyDescent="0.4">
      <c r="A6085">
        <v>2000</v>
      </c>
      <c r="B6085" s="5" t="s">
        <v>507</v>
      </c>
      <c r="C6085" s="5" t="s">
        <v>719</v>
      </c>
      <c r="D6085" s="25" t="s">
        <v>173</v>
      </c>
      <c r="E6085" s="64" t="s">
        <v>172</v>
      </c>
      <c r="F6085" s="2">
        <v>494</v>
      </c>
      <c r="G6085" s="2">
        <v>0</v>
      </c>
      <c r="H6085" s="2">
        <v>0</v>
      </c>
    </row>
    <row r="6086" spans="1:8" x14ac:dyDescent="0.4">
      <c r="A6086">
        <v>2000</v>
      </c>
      <c r="B6086" s="5" t="s">
        <v>508</v>
      </c>
      <c r="C6086" s="5" t="s">
        <v>719</v>
      </c>
      <c r="D6086" s="25" t="s">
        <v>173</v>
      </c>
      <c r="E6086" s="64" t="s">
        <v>174</v>
      </c>
      <c r="F6086" s="2">
        <v>38</v>
      </c>
      <c r="G6086" s="2">
        <v>0</v>
      </c>
      <c r="H6086" s="2">
        <v>0</v>
      </c>
    </row>
    <row r="6087" spans="1:8" x14ac:dyDescent="0.4">
      <c r="A6087">
        <v>2000</v>
      </c>
      <c r="B6087" s="5" t="s">
        <v>509</v>
      </c>
      <c r="C6087" s="5" t="s">
        <v>719</v>
      </c>
      <c r="D6087" s="25" t="s">
        <v>173</v>
      </c>
      <c r="E6087" s="64" t="s">
        <v>175</v>
      </c>
      <c r="F6087" s="2">
        <v>71</v>
      </c>
      <c r="G6087" s="2">
        <v>0</v>
      </c>
      <c r="H6087" s="2">
        <v>0</v>
      </c>
    </row>
    <row r="6088" spans="1:8" x14ac:dyDescent="0.4">
      <c r="A6088">
        <v>2000</v>
      </c>
      <c r="B6088" s="5" t="s">
        <v>510</v>
      </c>
      <c r="C6088" s="5" t="s">
        <v>719</v>
      </c>
      <c r="D6088" s="25" t="s">
        <v>173</v>
      </c>
      <c r="E6088" s="64" t="s">
        <v>176</v>
      </c>
      <c r="F6088" s="2">
        <v>21</v>
      </c>
      <c r="G6088" s="2">
        <v>0</v>
      </c>
      <c r="H6088" s="2">
        <v>0</v>
      </c>
    </row>
    <row r="6089" spans="1:8" x14ac:dyDescent="0.4">
      <c r="A6089">
        <v>2000</v>
      </c>
      <c r="B6089" s="5" t="s">
        <v>511</v>
      </c>
      <c r="C6089" s="5" t="s">
        <v>719</v>
      </c>
      <c r="D6089" s="25" t="s">
        <v>173</v>
      </c>
      <c r="E6089" s="64" t="s">
        <v>177</v>
      </c>
      <c r="F6089" s="2">
        <v>53</v>
      </c>
      <c r="G6089" s="2">
        <v>0</v>
      </c>
      <c r="H6089" s="2">
        <v>0</v>
      </c>
    </row>
    <row r="6090" spans="1:8" x14ac:dyDescent="0.4">
      <c r="A6090">
        <v>2000</v>
      </c>
      <c r="B6090" s="5" t="s">
        <v>512</v>
      </c>
      <c r="C6090" s="5" t="s">
        <v>719</v>
      </c>
      <c r="D6090" s="25" t="s">
        <v>173</v>
      </c>
      <c r="E6090" s="64" t="s">
        <v>178</v>
      </c>
      <c r="F6090" s="2">
        <v>240</v>
      </c>
      <c r="G6090" s="2">
        <v>0</v>
      </c>
      <c r="H6090" s="2">
        <v>0</v>
      </c>
    </row>
    <row r="6091" spans="1:8" x14ac:dyDescent="0.4">
      <c r="A6091">
        <v>2000</v>
      </c>
      <c r="B6091" s="5" t="s">
        <v>513</v>
      </c>
      <c r="C6091" s="5" t="s">
        <v>719</v>
      </c>
      <c r="D6091" s="25" t="s">
        <v>173</v>
      </c>
      <c r="E6091" s="64" t="s">
        <v>179</v>
      </c>
      <c r="F6091" s="2">
        <v>38</v>
      </c>
      <c r="G6091" s="2">
        <v>0</v>
      </c>
      <c r="H6091" s="2">
        <v>0</v>
      </c>
    </row>
    <row r="6092" spans="1:8" x14ac:dyDescent="0.4">
      <c r="A6092">
        <v>2000</v>
      </c>
      <c r="B6092" s="5" t="s">
        <v>514</v>
      </c>
      <c r="C6092" s="5" t="s">
        <v>719</v>
      </c>
      <c r="D6092" s="25" t="s">
        <v>173</v>
      </c>
      <c r="E6092" s="64" t="s">
        <v>180</v>
      </c>
      <c r="F6092" s="2">
        <v>102</v>
      </c>
      <c r="G6092" s="2">
        <v>0</v>
      </c>
      <c r="H6092" s="2">
        <v>0</v>
      </c>
    </row>
    <row r="6093" spans="1:8" x14ac:dyDescent="0.4">
      <c r="A6093">
        <v>2000</v>
      </c>
      <c r="B6093" s="5" t="s">
        <v>515</v>
      </c>
      <c r="C6093" s="5" t="s">
        <v>719</v>
      </c>
      <c r="D6093" s="25" t="s">
        <v>173</v>
      </c>
      <c r="E6093" s="64" t="s">
        <v>181</v>
      </c>
      <c r="F6093" s="2">
        <v>34</v>
      </c>
      <c r="G6093" s="2">
        <v>0</v>
      </c>
      <c r="H6093" s="2">
        <v>0</v>
      </c>
    </row>
    <row r="6094" spans="1:8" x14ac:dyDescent="0.4">
      <c r="A6094">
        <v>2000</v>
      </c>
      <c r="B6094" s="5" t="s">
        <v>516</v>
      </c>
      <c r="C6094" s="5" t="s">
        <v>719</v>
      </c>
      <c r="D6094" s="25" t="s">
        <v>173</v>
      </c>
      <c r="E6094" s="64" t="s">
        <v>182</v>
      </c>
      <c r="F6094" s="2">
        <v>34</v>
      </c>
      <c r="G6094" s="2">
        <v>0</v>
      </c>
      <c r="H6094" s="2">
        <v>0</v>
      </c>
    </row>
    <row r="6095" spans="1:8" x14ac:dyDescent="0.4">
      <c r="A6095">
        <v>2000</v>
      </c>
      <c r="B6095" s="5" t="s">
        <v>517</v>
      </c>
      <c r="C6095" s="5" t="s">
        <v>719</v>
      </c>
      <c r="D6095" s="25" t="s">
        <v>173</v>
      </c>
      <c r="E6095" s="64" t="s">
        <v>183</v>
      </c>
      <c r="F6095" s="2">
        <v>17</v>
      </c>
      <c r="G6095" s="2">
        <v>0</v>
      </c>
      <c r="H6095" s="2">
        <v>0</v>
      </c>
    </row>
    <row r="6096" spans="1:8" x14ac:dyDescent="0.4">
      <c r="A6096">
        <v>2000</v>
      </c>
      <c r="B6096" s="5" t="s">
        <v>518</v>
      </c>
      <c r="C6096" s="5" t="s">
        <v>719</v>
      </c>
      <c r="D6096" s="25" t="s">
        <v>173</v>
      </c>
      <c r="E6096" s="64" t="s">
        <v>44</v>
      </c>
      <c r="F6096" s="2">
        <v>1612</v>
      </c>
      <c r="G6096" s="2">
        <v>0</v>
      </c>
      <c r="H6096" s="2">
        <v>0</v>
      </c>
    </row>
    <row r="6097" spans="1:8" x14ac:dyDescent="0.4">
      <c r="A6097">
        <v>2000</v>
      </c>
      <c r="B6097" s="5" t="s">
        <v>519</v>
      </c>
      <c r="C6097" s="5" t="s">
        <v>719</v>
      </c>
      <c r="D6097" s="25" t="s">
        <v>173</v>
      </c>
      <c r="E6097" s="64" t="s">
        <v>85</v>
      </c>
      <c r="F6097" s="2">
        <v>89</v>
      </c>
      <c r="G6097" s="2">
        <v>0</v>
      </c>
      <c r="H6097" s="2">
        <v>0</v>
      </c>
    </row>
    <row r="6098" spans="1:8" x14ac:dyDescent="0.4">
      <c r="A6098">
        <v>2000</v>
      </c>
      <c r="B6098" s="5" t="s">
        <v>520</v>
      </c>
      <c r="C6098" s="5" t="s">
        <v>719</v>
      </c>
      <c r="D6098" s="25" t="s">
        <v>173</v>
      </c>
      <c r="E6098" s="64" t="s">
        <v>184</v>
      </c>
      <c r="F6098" s="2">
        <v>73</v>
      </c>
      <c r="G6098" s="2">
        <v>0</v>
      </c>
      <c r="H6098" s="2">
        <v>0</v>
      </c>
    </row>
    <row r="6099" spans="1:8" x14ac:dyDescent="0.4">
      <c r="A6099">
        <v>2000</v>
      </c>
      <c r="B6099" s="5" t="s">
        <v>521</v>
      </c>
      <c r="C6099" s="5" t="s">
        <v>719</v>
      </c>
      <c r="D6099" s="25" t="s">
        <v>173</v>
      </c>
      <c r="E6099" s="64" t="s">
        <v>185</v>
      </c>
      <c r="F6099" s="2">
        <v>10</v>
      </c>
      <c r="G6099" s="2">
        <v>0</v>
      </c>
      <c r="H6099" s="2">
        <v>0</v>
      </c>
    </row>
    <row r="6100" spans="1:8" x14ac:dyDescent="0.4">
      <c r="A6100">
        <v>2000</v>
      </c>
      <c r="B6100" s="5" t="s">
        <v>522</v>
      </c>
      <c r="C6100" s="5" t="s">
        <v>719</v>
      </c>
      <c r="D6100" s="25" t="s">
        <v>173</v>
      </c>
      <c r="E6100" s="64" t="s">
        <v>186</v>
      </c>
      <c r="F6100" s="2">
        <v>75</v>
      </c>
      <c r="G6100" s="2">
        <v>0</v>
      </c>
      <c r="H6100" s="2">
        <v>0</v>
      </c>
    </row>
    <row r="6101" spans="1:8" x14ac:dyDescent="0.4">
      <c r="A6101">
        <v>2000</v>
      </c>
      <c r="B6101" s="5" t="s">
        <v>523</v>
      </c>
      <c r="C6101" s="5" t="s">
        <v>719</v>
      </c>
      <c r="D6101" s="25" t="s">
        <v>173</v>
      </c>
      <c r="E6101" s="64" t="s">
        <v>187</v>
      </c>
      <c r="F6101" s="2">
        <v>63</v>
      </c>
      <c r="G6101" s="2">
        <v>0</v>
      </c>
      <c r="H6101" s="2">
        <v>0</v>
      </c>
    </row>
    <row r="6102" spans="1:8" x14ac:dyDescent="0.4">
      <c r="A6102">
        <v>2000</v>
      </c>
      <c r="B6102" s="5" t="s">
        <v>524</v>
      </c>
      <c r="C6102" s="5" t="s">
        <v>719</v>
      </c>
      <c r="D6102" s="25" t="s">
        <v>173</v>
      </c>
      <c r="E6102" s="64" t="s">
        <v>188</v>
      </c>
      <c r="F6102" s="2">
        <v>51</v>
      </c>
      <c r="G6102" s="2">
        <v>0</v>
      </c>
      <c r="H6102" s="2">
        <v>0</v>
      </c>
    </row>
    <row r="6103" spans="1:8" x14ac:dyDescent="0.4">
      <c r="A6103">
        <v>2000</v>
      </c>
      <c r="B6103" s="5" t="s">
        <v>525</v>
      </c>
      <c r="C6103" s="5" t="s">
        <v>719</v>
      </c>
      <c r="D6103" s="25" t="s">
        <v>173</v>
      </c>
      <c r="E6103" s="64" t="s">
        <v>189</v>
      </c>
      <c r="F6103" s="2">
        <v>38</v>
      </c>
      <c r="G6103" s="2">
        <v>0</v>
      </c>
      <c r="H6103" s="2">
        <v>0</v>
      </c>
    </row>
    <row r="6104" spans="1:8" x14ac:dyDescent="0.4">
      <c r="A6104">
        <v>2000</v>
      </c>
      <c r="B6104" s="5" t="s">
        <v>526</v>
      </c>
      <c r="C6104" s="5" t="s">
        <v>719</v>
      </c>
      <c r="D6104" s="25" t="s">
        <v>173</v>
      </c>
      <c r="E6104" s="64" t="s">
        <v>51</v>
      </c>
      <c r="F6104" s="2">
        <v>179</v>
      </c>
      <c r="G6104" s="2">
        <v>0</v>
      </c>
      <c r="H6104" s="2">
        <v>0</v>
      </c>
    </row>
    <row r="6105" spans="1:8" x14ac:dyDescent="0.4">
      <c r="A6105">
        <v>2000</v>
      </c>
      <c r="B6105" s="5" t="s">
        <v>527</v>
      </c>
      <c r="C6105" s="5" t="s">
        <v>719</v>
      </c>
      <c r="D6105" s="25" t="s">
        <v>173</v>
      </c>
      <c r="E6105" s="64" t="s">
        <v>52</v>
      </c>
      <c r="F6105" s="2">
        <v>145</v>
      </c>
      <c r="G6105" s="2">
        <v>0</v>
      </c>
      <c r="H6105" s="2">
        <v>0</v>
      </c>
    </row>
    <row r="6106" spans="1:8" x14ac:dyDescent="0.4">
      <c r="A6106">
        <v>2000</v>
      </c>
      <c r="B6106" s="5" t="s">
        <v>528</v>
      </c>
      <c r="C6106" s="5" t="s">
        <v>719</v>
      </c>
      <c r="D6106" s="25" t="s">
        <v>173</v>
      </c>
      <c r="E6106" s="64" t="s">
        <v>190</v>
      </c>
      <c r="F6106" s="2">
        <v>67</v>
      </c>
      <c r="G6106" s="2">
        <v>0</v>
      </c>
      <c r="H6106" s="2">
        <v>0</v>
      </c>
    </row>
    <row r="6107" spans="1:8" x14ac:dyDescent="0.4">
      <c r="A6107">
        <v>2000</v>
      </c>
      <c r="B6107" s="5" t="s">
        <v>529</v>
      </c>
      <c r="C6107" s="5" t="s">
        <v>719</v>
      </c>
      <c r="D6107" s="25" t="s">
        <v>173</v>
      </c>
      <c r="E6107" s="64" t="s">
        <v>191</v>
      </c>
      <c r="F6107" s="2">
        <v>36</v>
      </c>
      <c r="G6107" s="2">
        <v>0</v>
      </c>
      <c r="H6107" s="2">
        <v>0</v>
      </c>
    </row>
    <row r="6108" spans="1:8" x14ac:dyDescent="0.4">
      <c r="A6108">
        <v>2000</v>
      </c>
      <c r="B6108" s="5" t="s">
        <v>530</v>
      </c>
      <c r="C6108" s="5" t="s">
        <v>720</v>
      </c>
      <c r="D6108" s="25" t="s">
        <v>193</v>
      </c>
      <c r="E6108" s="64" t="s">
        <v>192</v>
      </c>
      <c r="F6108" s="2">
        <v>286</v>
      </c>
      <c r="G6108" s="2">
        <v>0</v>
      </c>
      <c r="H6108" s="2">
        <v>0</v>
      </c>
    </row>
    <row r="6109" spans="1:8" x14ac:dyDescent="0.4">
      <c r="A6109">
        <v>2000</v>
      </c>
      <c r="B6109" s="5" t="s">
        <v>531</v>
      </c>
      <c r="C6109" s="5" t="s">
        <v>720</v>
      </c>
      <c r="D6109" s="25" t="s">
        <v>193</v>
      </c>
      <c r="E6109" s="64" t="s">
        <v>174</v>
      </c>
      <c r="F6109" s="2">
        <v>35</v>
      </c>
      <c r="G6109" s="2">
        <v>0</v>
      </c>
      <c r="H6109" s="2">
        <v>0</v>
      </c>
    </row>
    <row r="6110" spans="1:8" x14ac:dyDescent="0.4">
      <c r="A6110">
        <v>2000</v>
      </c>
      <c r="B6110" s="5" t="s">
        <v>532</v>
      </c>
      <c r="C6110" s="5" t="s">
        <v>720</v>
      </c>
      <c r="D6110" s="25" t="s">
        <v>193</v>
      </c>
      <c r="E6110" s="64" t="s">
        <v>194</v>
      </c>
      <c r="F6110" s="2">
        <v>1139</v>
      </c>
      <c r="G6110" s="2">
        <v>0</v>
      </c>
      <c r="H6110" s="2">
        <v>0</v>
      </c>
    </row>
    <row r="6111" spans="1:8" x14ac:dyDescent="0.4">
      <c r="A6111">
        <v>2000</v>
      </c>
      <c r="B6111" s="5" t="s">
        <v>533</v>
      </c>
      <c r="C6111" s="5" t="s">
        <v>720</v>
      </c>
      <c r="D6111" s="25" t="s">
        <v>193</v>
      </c>
      <c r="E6111" s="64" t="s">
        <v>195</v>
      </c>
      <c r="F6111" s="2">
        <v>218</v>
      </c>
      <c r="G6111" s="2">
        <v>0</v>
      </c>
      <c r="H6111" s="2">
        <v>0</v>
      </c>
    </row>
    <row r="6112" spans="1:8" x14ac:dyDescent="0.4">
      <c r="A6112">
        <v>2000</v>
      </c>
      <c r="B6112" s="5" t="s">
        <v>534</v>
      </c>
      <c r="C6112" s="5" t="s">
        <v>720</v>
      </c>
      <c r="D6112" s="25" t="s">
        <v>193</v>
      </c>
      <c r="E6112" s="64" t="s">
        <v>196</v>
      </c>
      <c r="F6112" s="2">
        <v>37</v>
      </c>
      <c r="G6112" s="2">
        <v>0</v>
      </c>
      <c r="H6112" s="2">
        <v>0</v>
      </c>
    </row>
    <row r="6113" spans="1:8" x14ac:dyDescent="0.4">
      <c r="A6113">
        <v>2000</v>
      </c>
      <c r="B6113" s="5" t="s">
        <v>535</v>
      </c>
      <c r="C6113" s="5" t="s">
        <v>720</v>
      </c>
      <c r="D6113" s="25" t="s">
        <v>193</v>
      </c>
      <c r="E6113" s="64" t="s">
        <v>197</v>
      </c>
      <c r="F6113" s="2">
        <v>60</v>
      </c>
      <c r="G6113" s="2">
        <v>0</v>
      </c>
      <c r="H6113" s="2">
        <v>0</v>
      </c>
    </row>
    <row r="6114" spans="1:8" x14ac:dyDescent="0.4">
      <c r="A6114">
        <v>2000</v>
      </c>
      <c r="B6114" s="5" t="s">
        <v>536</v>
      </c>
      <c r="C6114" s="5" t="s">
        <v>720</v>
      </c>
      <c r="D6114" s="25" t="s">
        <v>193</v>
      </c>
      <c r="E6114" s="64" t="s">
        <v>198</v>
      </c>
      <c r="F6114" s="2">
        <v>592</v>
      </c>
      <c r="G6114" s="2">
        <v>0</v>
      </c>
      <c r="H6114" s="2">
        <v>0</v>
      </c>
    </row>
    <row r="6115" spans="1:8" x14ac:dyDescent="0.4">
      <c r="A6115">
        <v>2000</v>
      </c>
      <c r="B6115" s="5" t="s">
        <v>537</v>
      </c>
      <c r="C6115" s="5" t="s">
        <v>720</v>
      </c>
      <c r="D6115" s="25" t="s">
        <v>193</v>
      </c>
      <c r="E6115" s="64" t="s">
        <v>199</v>
      </c>
      <c r="F6115" s="2">
        <v>222</v>
      </c>
      <c r="G6115" s="2">
        <v>0</v>
      </c>
      <c r="H6115" s="2">
        <v>0</v>
      </c>
    </row>
    <row r="6116" spans="1:8" x14ac:dyDescent="0.4">
      <c r="A6116">
        <v>2000</v>
      </c>
      <c r="B6116" s="5" t="s">
        <v>538</v>
      </c>
      <c r="C6116" s="5" t="s">
        <v>720</v>
      </c>
      <c r="D6116" s="25" t="s">
        <v>193</v>
      </c>
      <c r="E6116" s="64" t="s">
        <v>200</v>
      </c>
      <c r="F6116" s="2">
        <v>102</v>
      </c>
      <c r="G6116" s="2">
        <v>0</v>
      </c>
      <c r="H6116" s="2">
        <v>0</v>
      </c>
    </row>
    <row r="6117" spans="1:8" x14ac:dyDescent="0.4">
      <c r="A6117">
        <v>2000</v>
      </c>
      <c r="B6117" s="5" t="s">
        <v>539</v>
      </c>
      <c r="C6117" s="5" t="s">
        <v>720</v>
      </c>
      <c r="D6117" s="25" t="s">
        <v>193</v>
      </c>
      <c r="E6117" s="64" t="s">
        <v>201</v>
      </c>
      <c r="F6117" s="2">
        <v>1067</v>
      </c>
      <c r="G6117" s="2">
        <v>0</v>
      </c>
      <c r="H6117" s="2">
        <v>0</v>
      </c>
    </row>
    <row r="6118" spans="1:8" x14ac:dyDescent="0.4">
      <c r="A6118">
        <v>2000</v>
      </c>
      <c r="B6118" s="5" t="s">
        <v>540</v>
      </c>
      <c r="C6118" s="5" t="s">
        <v>720</v>
      </c>
      <c r="D6118" s="25" t="s">
        <v>193</v>
      </c>
      <c r="E6118" s="64" t="s">
        <v>14</v>
      </c>
      <c r="F6118" s="2">
        <v>344</v>
      </c>
      <c r="G6118" s="2">
        <v>0</v>
      </c>
      <c r="H6118" s="2">
        <v>0</v>
      </c>
    </row>
    <row r="6119" spans="1:8" x14ac:dyDescent="0.4">
      <c r="A6119">
        <v>2000</v>
      </c>
      <c r="B6119" s="5" t="s">
        <v>541</v>
      </c>
      <c r="C6119" s="5" t="s">
        <v>720</v>
      </c>
      <c r="D6119" s="25" t="s">
        <v>193</v>
      </c>
      <c r="E6119" s="64" t="s">
        <v>202</v>
      </c>
      <c r="F6119" s="2">
        <v>714</v>
      </c>
      <c r="G6119" s="2">
        <v>0</v>
      </c>
      <c r="H6119" s="2">
        <v>0</v>
      </c>
    </row>
    <row r="6120" spans="1:8" x14ac:dyDescent="0.4">
      <c r="A6120">
        <v>2000</v>
      </c>
      <c r="B6120" s="5" t="s">
        <v>542</v>
      </c>
      <c r="C6120" s="5" t="s">
        <v>720</v>
      </c>
      <c r="D6120" s="25" t="s">
        <v>193</v>
      </c>
      <c r="E6120" s="64" t="s">
        <v>203</v>
      </c>
      <c r="F6120" s="2">
        <v>150</v>
      </c>
      <c r="G6120" s="2">
        <v>0</v>
      </c>
      <c r="H6120" s="2">
        <v>0</v>
      </c>
    </row>
    <row r="6121" spans="1:8" x14ac:dyDescent="0.4">
      <c r="A6121">
        <v>2000</v>
      </c>
      <c r="B6121" s="5" t="s">
        <v>543</v>
      </c>
      <c r="C6121" s="5" t="s">
        <v>720</v>
      </c>
      <c r="D6121" s="25" t="s">
        <v>193</v>
      </c>
      <c r="E6121" s="64" t="s">
        <v>32</v>
      </c>
      <c r="F6121" s="2">
        <v>128</v>
      </c>
      <c r="G6121" s="2">
        <v>0</v>
      </c>
      <c r="H6121" s="2">
        <v>0</v>
      </c>
    </row>
    <row r="6122" spans="1:8" x14ac:dyDescent="0.4">
      <c r="A6122">
        <v>2000</v>
      </c>
      <c r="B6122" s="5" t="s">
        <v>544</v>
      </c>
      <c r="C6122" s="5" t="s">
        <v>720</v>
      </c>
      <c r="D6122" s="25" t="s">
        <v>193</v>
      </c>
      <c r="E6122" s="64" t="s">
        <v>204</v>
      </c>
      <c r="F6122" s="2">
        <v>150</v>
      </c>
      <c r="G6122" s="2">
        <v>0</v>
      </c>
      <c r="H6122" s="2">
        <v>0</v>
      </c>
    </row>
    <row r="6123" spans="1:8" x14ac:dyDescent="0.4">
      <c r="A6123">
        <v>2000</v>
      </c>
      <c r="B6123" s="5" t="s">
        <v>545</v>
      </c>
      <c r="C6123" s="5" t="s">
        <v>720</v>
      </c>
      <c r="D6123" s="25" t="s">
        <v>193</v>
      </c>
      <c r="E6123" s="64" t="s">
        <v>205</v>
      </c>
      <c r="F6123" s="2">
        <v>69</v>
      </c>
      <c r="G6123" s="2">
        <v>0</v>
      </c>
      <c r="H6123" s="2">
        <v>0</v>
      </c>
    </row>
    <row r="6124" spans="1:8" x14ac:dyDescent="0.4">
      <c r="A6124">
        <v>2000</v>
      </c>
      <c r="B6124" s="5" t="s">
        <v>546</v>
      </c>
      <c r="C6124" s="5" t="s">
        <v>720</v>
      </c>
      <c r="D6124" s="25" t="s">
        <v>193</v>
      </c>
      <c r="E6124" s="64" t="s">
        <v>206</v>
      </c>
      <c r="F6124" s="2">
        <v>480</v>
      </c>
      <c r="G6124" s="2">
        <v>0</v>
      </c>
      <c r="H6124" s="2">
        <v>0</v>
      </c>
    </row>
    <row r="6125" spans="1:8" x14ac:dyDescent="0.4">
      <c r="A6125">
        <v>2000</v>
      </c>
      <c r="B6125" s="5" t="s">
        <v>547</v>
      </c>
      <c r="C6125" s="5" t="s">
        <v>720</v>
      </c>
      <c r="D6125" s="25" t="s">
        <v>193</v>
      </c>
      <c r="E6125" s="64" t="s">
        <v>25</v>
      </c>
      <c r="F6125" s="2">
        <v>100</v>
      </c>
      <c r="G6125" s="2">
        <v>0</v>
      </c>
      <c r="H6125" s="2">
        <v>0</v>
      </c>
    </row>
    <row r="6126" spans="1:8" x14ac:dyDescent="0.4">
      <c r="A6126">
        <v>2000</v>
      </c>
      <c r="B6126" s="5" t="s">
        <v>548</v>
      </c>
      <c r="C6126" s="5" t="s">
        <v>720</v>
      </c>
      <c r="D6126" s="25" t="s">
        <v>193</v>
      </c>
      <c r="E6126" s="64" t="s">
        <v>51</v>
      </c>
      <c r="F6126" s="2">
        <v>2881</v>
      </c>
      <c r="G6126" s="2">
        <v>0</v>
      </c>
      <c r="H6126" s="2">
        <v>0</v>
      </c>
    </row>
    <row r="6127" spans="1:8" x14ac:dyDescent="0.4">
      <c r="A6127">
        <v>2000</v>
      </c>
      <c r="B6127" s="5" t="s">
        <v>549</v>
      </c>
      <c r="C6127" s="5" t="s">
        <v>720</v>
      </c>
      <c r="D6127" s="25" t="s">
        <v>193</v>
      </c>
      <c r="E6127" s="64" t="s">
        <v>53</v>
      </c>
      <c r="F6127" s="2">
        <v>305</v>
      </c>
      <c r="G6127" s="2">
        <v>0</v>
      </c>
      <c r="H6127" s="2">
        <v>0</v>
      </c>
    </row>
    <row r="6128" spans="1:8" x14ac:dyDescent="0.4">
      <c r="A6128">
        <v>2000</v>
      </c>
      <c r="B6128" s="5" t="s">
        <v>550</v>
      </c>
      <c r="C6128" s="5" t="s">
        <v>720</v>
      </c>
      <c r="D6128" s="25" t="s">
        <v>193</v>
      </c>
      <c r="E6128" s="65" t="s">
        <v>54</v>
      </c>
      <c r="F6128" s="2">
        <v>555</v>
      </c>
      <c r="G6128" s="2">
        <v>0</v>
      </c>
      <c r="H6128" s="2">
        <v>0</v>
      </c>
    </row>
    <row r="6129" spans="1:8" x14ac:dyDescent="0.4">
      <c r="A6129">
        <v>2000</v>
      </c>
      <c r="B6129" s="5" t="s">
        <v>551</v>
      </c>
      <c r="C6129" s="5" t="s">
        <v>721</v>
      </c>
      <c r="D6129" s="25" t="s">
        <v>207</v>
      </c>
      <c r="E6129" s="64" t="s">
        <v>128</v>
      </c>
      <c r="F6129" s="2">
        <v>54</v>
      </c>
      <c r="G6129" s="2">
        <v>0</v>
      </c>
      <c r="H6129" s="2">
        <v>0</v>
      </c>
    </row>
    <row r="6130" spans="1:8" x14ac:dyDescent="0.4">
      <c r="A6130">
        <v>2000</v>
      </c>
      <c r="B6130" s="5" t="s">
        <v>552</v>
      </c>
      <c r="C6130" s="5" t="s">
        <v>721</v>
      </c>
      <c r="D6130" s="25" t="s">
        <v>207</v>
      </c>
      <c r="E6130" s="64" t="s">
        <v>208</v>
      </c>
      <c r="F6130" s="2">
        <v>19</v>
      </c>
      <c r="G6130" s="2">
        <v>0</v>
      </c>
      <c r="H6130" s="2">
        <v>0</v>
      </c>
    </row>
    <row r="6131" spans="1:8" x14ac:dyDescent="0.4">
      <c r="A6131">
        <v>2000</v>
      </c>
      <c r="B6131" s="5" t="s">
        <v>553</v>
      </c>
      <c r="C6131" s="5" t="s">
        <v>721</v>
      </c>
      <c r="D6131" s="25" t="s">
        <v>207</v>
      </c>
      <c r="E6131" s="64" t="s">
        <v>36</v>
      </c>
      <c r="F6131" s="2">
        <v>69</v>
      </c>
      <c r="G6131" s="2">
        <v>0</v>
      </c>
      <c r="H6131" s="2">
        <v>0</v>
      </c>
    </row>
    <row r="6132" spans="1:8" x14ac:dyDescent="0.4">
      <c r="A6132">
        <v>2000</v>
      </c>
      <c r="B6132" s="5" t="s">
        <v>554</v>
      </c>
      <c r="C6132" s="5" t="s">
        <v>721</v>
      </c>
      <c r="D6132" s="25" t="s">
        <v>207</v>
      </c>
      <c r="E6132" s="64" t="s">
        <v>209</v>
      </c>
      <c r="F6132" s="2">
        <v>97</v>
      </c>
      <c r="G6132" s="2">
        <v>0</v>
      </c>
      <c r="H6132" s="2">
        <v>0</v>
      </c>
    </row>
    <row r="6133" spans="1:8" x14ac:dyDescent="0.4">
      <c r="A6133">
        <v>2000</v>
      </c>
      <c r="B6133" s="5" t="s">
        <v>555</v>
      </c>
      <c r="C6133" s="5" t="s">
        <v>721</v>
      </c>
      <c r="D6133" s="25" t="s">
        <v>207</v>
      </c>
      <c r="E6133" s="64" t="s">
        <v>69</v>
      </c>
      <c r="F6133" s="2">
        <v>62</v>
      </c>
      <c r="G6133" s="2">
        <v>0</v>
      </c>
      <c r="H6133" s="2">
        <v>0</v>
      </c>
    </row>
    <row r="6134" spans="1:8" x14ac:dyDescent="0.4">
      <c r="A6134">
        <v>2000</v>
      </c>
      <c r="B6134" s="5" t="s">
        <v>556</v>
      </c>
      <c r="C6134" s="5" t="s">
        <v>721</v>
      </c>
      <c r="D6134" s="25" t="s">
        <v>207</v>
      </c>
      <c r="E6134" s="64" t="s">
        <v>62</v>
      </c>
      <c r="F6134" s="2">
        <v>101</v>
      </c>
      <c r="G6134" s="2">
        <v>0</v>
      </c>
      <c r="H6134" s="2">
        <v>0</v>
      </c>
    </row>
    <row r="6135" spans="1:8" x14ac:dyDescent="0.4">
      <c r="A6135">
        <v>2000</v>
      </c>
      <c r="B6135" s="5" t="s">
        <v>557</v>
      </c>
      <c r="C6135" s="5" t="s">
        <v>721</v>
      </c>
      <c r="D6135" s="25" t="s">
        <v>207</v>
      </c>
      <c r="E6135" s="64" t="s">
        <v>44</v>
      </c>
      <c r="F6135" s="2">
        <v>90</v>
      </c>
      <c r="G6135" s="2">
        <v>0</v>
      </c>
      <c r="H6135" s="2">
        <v>0</v>
      </c>
    </row>
    <row r="6136" spans="1:8" x14ac:dyDescent="0.4">
      <c r="A6136">
        <v>2000</v>
      </c>
      <c r="B6136" s="5" t="s">
        <v>558</v>
      </c>
      <c r="C6136" s="5" t="s">
        <v>721</v>
      </c>
      <c r="D6136" s="25" t="s">
        <v>207</v>
      </c>
      <c r="E6136" s="64" t="s">
        <v>210</v>
      </c>
      <c r="F6136" s="2">
        <v>1960</v>
      </c>
      <c r="G6136" s="2">
        <v>0</v>
      </c>
      <c r="H6136" s="2">
        <v>0</v>
      </c>
    </row>
    <row r="6137" spans="1:8" x14ac:dyDescent="0.4">
      <c r="A6137">
        <v>2000</v>
      </c>
      <c r="B6137" s="5" t="s">
        <v>559</v>
      </c>
      <c r="C6137" s="5" t="s">
        <v>721</v>
      </c>
      <c r="D6137" s="25" t="s">
        <v>207</v>
      </c>
      <c r="E6137" s="64" t="s">
        <v>74</v>
      </c>
      <c r="F6137" s="2">
        <v>82</v>
      </c>
      <c r="G6137" s="2">
        <v>0</v>
      </c>
      <c r="H6137" s="2">
        <v>0</v>
      </c>
    </row>
    <row r="6138" spans="1:8" x14ac:dyDescent="0.4">
      <c r="A6138">
        <v>2000</v>
      </c>
      <c r="B6138" s="5" t="s">
        <v>560</v>
      </c>
      <c r="C6138" s="5" t="s">
        <v>721</v>
      </c>
      <c r="D6138" s="25" t="s">
        <v>207</v>
      </c>
      <c r="E6138" s="64" t="s">
        <v>211</v>
      </c>
      <c r="F6138" s="2">
        <v>53</v>
      </c>
      <c r="G6138" s="2">
        <v>0</v>
      </c>
      <c r="H6138" s="2">
        <v>0</v>
      </c>
    </row>
    <row r="6139" spans="1:8" x14ac:dyDescent="0.4">
      <c r="A6139">
        <v>2000</v>
      </c>
      <c r="B6139" s="5" t="s">
        <v>561</v>
      </c>
      <c r="C6139" s="5" t="s">
        <v>721</v>
      </c>
      <c r="D6139" s="25" t="s">
        <v>207</v>
      </c>
      <c r="E6139" s="64" t="s">
        <v>212</v>
      </c>
      <c r="F6139" s="2">
        <v>15</v>
      </c>
      <c r="G6139" s="2">
        <v>0</v>
      </c>
      <c r="H6139" s="2">
        <v>0</v>
      </c>
    </row>
    <row r="6140" spans="1:8" x14ac:dyDescent="0.4">
      <c r="A6140">
        <v>2000</v>
      </c>
      <c r="B6140" s="5" t="s">
        <v>562</v>
      </c>
      <c r="C6140" s="5" t="s">
        <v>721</v>
      </c>
      <c r="D6140" s="25" t="s">
        <v>207</v>
      </c>
      <c r="E6140" s="64" t="s">
        <v>213</v>
      </c>
      <c r="F6140" s="2">
        <v>41</v>
      </c>
      <c r="G6140" s="2">
        <v>0</v>
      </c>
      <c r="H6140" s="2">
        <v>0</v>
      </c>
    </row>
    <row r="6141" spans="1:8" x14ac:dyDescent="0.4">
      <c r="A6141">
        <v>2000</v>
      </c>
      <c r="B6141" s="5" t="s">
        <v>563</v>
      </c>
      <c r="C6141" s="5" t="s">
        <v>721</v>
      </c>
      <c r="D6141" s="25" t="s">
        <v>207</v>
      </c>
      <c r="E6141" s="64" t="s">
        <v>214</v>
      </c>
      <c r="F6141" s="2">
        <v>23</v>
      </c>
      <c r="G6141" s="2">
        <v>0</v>
      </c>
      <c r="H6141" s="2">
        <v>0</v>
      </c>
    </row>
    <row r="6142" spans="1:8" x14ac:dyDescent="0.4">
      <c r="A6142">
        <v>2000</v>
      </c>
      <c r="B6142" s="5" t="s">
        <v>564</v>
      </c>
      <c r="C6142" s="5" t="s">
        <v>722</v>
      </c>
      <c r="D6142" s="25" t="s">
        <v>216</v>
      </c>
      <c r="E6142" s="64" t="s">
        <v>215</v>
      </c>
      <c r="F6142" s="2">
        <v>65</v>
      </c>
      <c r="G6142" s="2">
        <v>0</v>
      </c>
      <c r="H6142" s="2">
        <v>0</v>
      </c>
    </row>
    <row r="6143" spans="1:8" x14ac:dyDescent="0.4">
      <c r="A6143">
        <v>2000</v>
      </c>
      <c r="B6143" s="5" t="s">
        <v>565</v>
      </c>
      <c r="C6143" s="5" t="s">
        <v>722</v>
      </c>
      <c r="D6143" s="25" t="s">
        <v>216</v>
      </c>
      <c r="E6143" s="64" t="s">
        <v>59</v>
      </c>
      <c r="F6143" s="2">
        <v>71</v>
      </c>
      <c r="G6143" s="2">
        <v>0</v>
      </c>
      <c r="H6143" s="2">
        <v>0</v>
      </c>
    </row>
    <row r="6144" spans="1:8" x14ac:dyDescent="0.4">
      <c r="A6144">
        <v>2000</v>
      </c>
      <c r="B6144" s="5" t="s">
        <v>566</v>
      </c>
      <c r="C6144" s="5" t="s">
        <v>722</v>
      </c>
      <c r="D6144" s="25" t="s">
        <v>216</v>
      </c>
      <c r="E6144" s="64" t="s">
        <v>217</v>
      </c>
      <c r="F6144" s="2">
        <v>95</v>
      </c>
      <c r="G6144" s="2">
        <v>0</v>
      </c>
      <c r="H6144" s="2">
        <v>0</v>
      </c>
    </row>
    <row r="6145" spans="1:8" x14ac:dyDescent="0.4">
      <c r="A6145">
        <v>2000</v>
      </c>
      <c r="B6145" s="5" t="s">
        <v>567</v>
      </c>
      <c r="C6145" s="5" t="s">
        <v>722</v>
      </c>
      <c r="D6145" s="25" t="s">
        <v>216</v>
      </c>
      <c r="E6145" s="64" t="s">
        <v>218</v>
      </c>
      <c r="F6145" s="2">
        <v>88</v>
      </c>
      <c r="G6145" s="2">
        <v>0</v>
      </c>
      <c r="H6145" s="2">
        <v>0</v>
      </c>
    </row>
    <row r="6146" spans="1:8" x14ac:dyDescent="0.4">
      <c r="A6146">
        <v>2000</v>
      </c>
      <c r="B6146" s="5" t="s">
        <v>568</v>
      </c>
      <c r="C6146" s="5" t="s">
        <v>722</v>
      </c>
      <c r="D6146" s="25" t="s">
        <v>216</v>
      </c>
      <c r="E6146" s="64" t="s">
        <v>219</v>
      </c>
      <c r="F6146" s="2">
        <v>75</v>
      </c>
      <c r="G6146" s="2">
        <v>0</v>
      </c>
      <c r="H6146" s="2">
        <v>0</v>
      </c>
    </row>
    <row r="6147" spans="1:8" x14ac:dyDescent="0.4">
      <c r="A6147">
        <v>2000</v>
      </c>
      <c r="B6147" s="5" t="s">
        <v>569</v>
      </c>
      <c r="C6147" s="5" t="s">
        <v>722</v>
      </c>
      <c r="D6147" s="25" t="s">
        <v>216</v>
      </c>
      <c r="E6147" s="64" t="s">
        <v>220</v>
      </c>
      <c r="F6147" s="2">
        <v>87</v>
      </c>
      <c r="G6147" s="2">
        <v>0</v>
      </c>
      <c r="H6147" s="2">
        <v>0</v>
      </c>
    </row>
    <row r="6148" spans="1:8" x14ac:dyDescent="0.4">
      <c r="A6148">
        <v>2000</v>
      </c>
      <c r="B6148" s="5" t="s">
        <v>570</v>
      </c>
      <c r="C6148" s="5" t="s">
        <v>722</v>
      </c>
      <c r="D6148" s="25" t="s">
        <v>216</v>
      </c>
      <c r="E6148" s="64" t="s">
        <v>221</v>
      </c>
      <c r="F6148" s="2">
        <v>91</v>
      </c>
      <c r="G6148" s="2">
        <v>0</v>
      </c>
      <c r="H6148" s="2">
        <v>0</v>
      </c>
    </row>
    <row r="6149" spans="1:8" x14ac:dyDescent="0.4">
      <c r="A6149">
        <v>2000</v>
      </c>
      <c r="B6149" s="5" t="s">
        <v>571</v>
      </c>
      <c r="C6149" s="5" t="s">
        <v>722</v>
      </c>
      <c r="D6149" s="25" t="s">
        <v>216</v>
      </c>
      <c r="E6149" s="64" t="s">
        <v>222</v>
      </c>
      <c r="F6149" s="2">
        <v>910</v>
      </c>
      <c r="G6149" s="2">
        <v>0</v>
      </c>
      <c r="H6149" s="2">
        <v>0</v>
      </c>
    </row>
    <row r="6150" spans="1:8" x14ac:dyDescent="0.4">
      <c r="A6150">
        <v>2000</v>
      </c>
      <c r="B6150" s="5" t="s">
        <v>572</v>
      </c>
      <c r="C6150" s="5" t="s">
        <v>722</v>
      </c>
      <c r="D6150" s="25" t="s">
        <v>216</v>
      </c>
      <c r="E6150" s="64" t="s">
        <v>223</v>
      </c>
      <c r="F6150" s="2">
        <v>54</v>
      </c>
      <c r="G6150" s="2">
        <v>0</v>
      </c>
      <c r="H6150" s="2">
        <v>0</v>
      </c>
    </row>
    <row r="6151" spans="1:8" x14ac:dyDescent="0.4">
      <c r="A6151">
        <v>2000</v>
      </c>
      <c r="B6151" s="5" t="s">
        <v>573</v>
      </c>
      <c r="C6151" s="5" t="s">
        <v>722</v>
      </c>
      <c r="D6151" s="25" t="s">
        <v>216</v>
      </c>
      <c r="E6151" s="64" t="s">
        <v>224</v>
      </c>
      <c r="F6151" s="2">
        <v>65</v>
      </c>
      <c r="G6151" s="2">
        <v>0</v>
      </c>
      <c r="H6151" s="2">
        <v>0</v>
      </c>
    </row>
    <row r="6152" spans="1:8" x14ac:dyDescent="0.4">
      <c r="A6152">
        <v>2000</v>
      </c>
      <c r="B6152" s="5" t="s">
        <v>574</v>
      </c>
      <c r="C6152" s="5" t="s">
        <v>722</v>
      </c>
      <c r="D6152" s="25" t="s">
        <v>216</v>
      </c>
      <c r="E6152" s="64" t="s">
        <v>225</v>
      </c>
      <c r="F6152" s="2">
        <v>30</v>
      </c>
      <c r="G6152" s="2">
        <v>0</v>
      </c>
      <c r="H6152" s="2">
        <v>0</v>
      </c>
    </row>
    <row r="6153" spans="1:8" x14ac:dyDescent="0.4">
      <c r="A6153">
        <v>2000</v>
      </c>
      <c r="B6153" s="5" t="s">
        <v>575</v>
      </c>
      <c r="C6153" s="5" t="s">
        <v>723</v>
      </c>
      <c r="D6153" s="25" t="s">
        <v>227</v>
      </c>
      <c r="E6153" s="64" t="s">
        <v>226</v>
      </c>
      <c r="F6153" s="2">
        <v>46</v>
      </c>
      <c r="G6153" s="2">
        <v>0</v>
      </c>
      <c r="H6153" s="2">
        <v>0</v>
      </c>
    </row>
    <row r="6154" spans="1:8" x14ac:dyDescent="0.4">
      <c r="A6154">
        <v>2000</v>
      </c>
      <c r="B6154" s="5" t="s">
        <v>576</v>
      </c>
      <c r="C6154" s="5" t="s">
        <v>723</v>
      </c>
      <c r="D6154" s="25" t="s">
        <v>227</v>
      </c>
      <c r="E6154" s="64" t="s">
        <v>228</v>
      </c>
      <c r="F6154" s="2">
        <v>956</v>
      </c>
      <c r="G6154" s="2">
        <v>0</v>
      </c>
      <c r="H6154" s="2">
        <v>0</v>
      </c>
    </row>
    <row r="6155" spans="1:8" x14ac:dyDescent="0.4">
      <c r="A6155">
        <v>2000</v>
      </c>
      <c r="B6155" s="5" t="s">
        <v>577</v>
      </c>
      <c r="C6155" s="5" t="s">
        <v>723</v>
      </c>
      <c r="D6155" s="25" t="s">
        <v>227</v>
      </c>
      <c r="E6155" s="64" t="s">
        <v>229</v>
      </c>
      <c r="F6155" s="2">
        <v>119</v>
      </c>
      <c r="G6155" s="2">
        <v>0</v>
      </c>
      <c r="H6155" s="2">
        <v>0</v>
      </c>
    </row>
    <row r="6156" spans="1:8" x14ac:dyDescent="0.4">
      <c r="A6156">
        <v>2000</v>
      </c>
      <c r="B6156" s="5" t="s">
        <v>578</v>
      </c>
      <c r="C6156" s="5" t="s">
        <v>723</v>
      </c>
      <c r="D6156" s="25" t="s">
        <v>227</v>
      </c>
      <c r="E6156" s="64" t="s">
        <v>230</v>
      </c>
      <c r="F6156" s="2">
        <v>516</v>
      </c>
      <c r="G6156" s="2">
        <v>0</v>
      </c>
      <c r="H6156" s="2">
        <v>0</v>
      </c>
    </row>
    <row r="6157" spans="1:8" x14ac:dyDescent="0.4">
      <c r="A6157">
        <v>2000</v>
      </c>
      <c r="B6157" s="5" t="s">
        <v>579</v>
      </c>
      <c r="C6157" s="5" t="s">
        <v>723</v>
      </c>
      <c r="D6157" s="25" t="s">
        <v>227</v>
      </c>
      <c r="E6157" s="64" t="s">
        <v>231</v>
      </c>
      <c r="F6157" s="2">
        <v>68</v>
      </c>
      <c r="G6157" s="2">
        <v>0</v>
      </c>
      <c r="H6157" s="2">
        <v>0</v>
      </c>
    </row>
    <row r="6158" spans="1:8" ht="23.15" x14ac:dyDescent="0.4">
      <c r="A6158">
        <v>2000</v>
      </c>
      <c r="B6158" s="5" t="s">
        <v>580</v>
      </c>
      <c r="C6158" s="5" t="s">
        <v>723</v>
      </c>
      <c r="D6158" s="25" t="s">
        <v>227</v>
      </c>
      <c r="E6158" s="64" t="s">
        <v>232</v>
      </c>
      <c r="F6158" s="2">
        <v>78</v>
      </c>
      <c r="G6158" s="2">
        <v>0</v>
      </c>
      <c r="H6158" s="2">
        <v>0</v>
      </c>
    </row>
    <row r="6159" spans="1:8" x14ac:dyDescent="0.4">
      <c r="A6159">
        <v>2000</v>
      </c>
      <c r="B6159" s="5" t="s">
        <v>581</v>
      </c>
      <c r="C6159" s="5" t="s">
        <v>723</v>
      </c>
      <c r="D6159" s="25" t="s">
        <v>227</v>
      </c>
      <c r="E6159" s="64" t="s">
        <v>233</v>
      </c>
      <c r="F6159" s="2">
        <v>110</v>
      </c>
      <c r="G6159" s="2">
        <v>0</v>
      </c>
      <c r="H6159" s="2">
        <v>0</v>
      </c>
    </row>
    <row r="6160" spans="1:8" x14ac:dyDescent="0.4">
      <c r="A6160">
        <v>2000</v>
      </c>
      <c r="B6160" s="5" t="s">
        <v>582</v>
      </c>
      <c r="C6160" s="5" t="s">
        <v>723</v>
      </c>
      <c r="D6160" s="25" t="s">
        <v>227</v>
      </c>
      <c r="E6160" s="64" t="s">
        <v>32</v>
      </c>
      <c r="F6160" s="2">
        <v>404</v>
      </c>
      <c r="G6160" s="2">
        <v>0</v>
      </c>
      <c r="H6160" s="2">
        <v>0</v>
      </c>
    </row>
    <row r="6161" spans="1:8" x14ac:dyDescent="0.4">
      <c r="A6161">
        <v>2000</v>
      </c>
      <c r="B6161" s="5" t="s">
        <v>583</v>
      </c>
      <c r="C6161" s="5" t="s">
        <v>723</v>
      </c>
      <c r="D6161" s="25" t="s">
        <v>227</v>
      </c>
      <c r="E6161" s="64" t="s">
        <v>234</v>
      </c>
      <c r="F6161" s="2">
        <v>20</v>
      </c>
      <c r="G6161" s="2">
        <v>0</v>
      </c>
      <c r="H6161" s="2">
        <v>0</v>
      </c>
    </row>
    <row r="6162" spans="1:8" x14ac:dyDescent="0.4">
      <c r="A6162">
        <v>2000</v>
      </c>
      <c r="B6162" s="5" t="s">
        <v>584</v>
      </c>
      <c r="C6162" s="5" t="s">
        <v>723</v>
      </c>
      <c r="D6162" s="25" t="s">
        <v>227</v>
      </c>
      <c r="E6162" s="64" t="s">
        <v>235</v>
      </c>
      <c r="F6162" s="2">
        <v>62</v>
      </c>
      <c r="G6162" s="2">
        <v>0</v>
      </c>
      <c r="H6162" s="2">
        <v>0</v>
      </c>
    </row>
    <row r="6163" spans="1:8" x14ac:dyDescent="0.4">
      <c r="A6163">
        <v>2000</v>
      </c>
      <c r="B6163" s="5" t="s">
        <v>585</v>
      </c>
      <c r="C6163" s="5" t="s">
        <v>723</v>
      </c>
      <c r="D6163" s="25" t="s">
        <v>227</v>
      </c>
      <c r="E6163" s="64" t="s">
        <v>236</v>
      </c>
      <c r="F6163" s="2">
        <v>45</v>
      </c>
      <c r="G6163" s="2">
        <v>0</v>
      </c>
      <c r="H6163" s="2">
        <v>0</v>
      </c>
    </row>
    <row r="6164" spans="1:8" x14ac:dyDescent="0.4">
      <c r="A6164">
        <v>2000</v>
      </c>
      <c r="B6164" s="5" t="s">
        <v>586</v>
      </c>
      <c r="C6164" s="5" t="s">
        <v>723</v>
      </c>
      <c r="D6164" s="25" t="s">
        <v>227</v>
      </c>
      <c r="E6164" s="64" t="s">
        <v>237</v>
      </c>
      <c r="F6164" s="2">
        <v>36</v>
      </c>
      <c r="G6164" s="2">
        <v>0</v>
      </c>
      <c r="H6164" s="2">
        <v>0</v>
      </c>
    </row>
    <row r="6165" spans="1:8" x14ac:dyDescent="0.4">
      <c r="A6165">
        <v>2000</v>
      </c>
      <c r="B6165" s="5" t="s">
        <v>587</v>
      </c>
      <c r="C6165" s="5" t="s">
        <v>723</v>
      </c>
      <c r="D6165" s="25" t="s">
        <v>227</v>
      </c>
      <c r="E6165" s="64" t="s">
        <v>51</v>
      </c>
      <c r="F6165" s="2">
        <v>110</v>
      </c>
      <c r="G6165" s="2">
        <v>0</v>
      </c>
      <c r="H6165" s="2">
        <v>0</v>
      </c>
    </row>
    <row r="6166" spans="1:8" x14ac:dyDescent="0.4">
      <c r="A6166">
        <v>2000</v>
      </c>
      <c r="B6166" s="5" t="s">
        <v>588</v>
      </c>
      <c r="C6166" s="5" t="s">
        <v>723</v>
      </c>
      <c r="D6166" s="25" t="s">
        <v>227</v>
      </c>
      <c r="E6166" s="64" t="s">
        <v>238</v>
      </c>
      <c r="F6166" s="2">
        <v>165</v>
      </c>
      <c r="G6166" s="2">
        <v>0</v>
      </c>
      <c r="H6166" s="2">
        <v>0</v>
      </c>
    </row>
    <row r="6167" spans="1:8" x14ac:dyDescent="0.4">
      <c r="A6167">
        <v>2000</v>
      </c>
      <c r="B6167" s="5" t="s">
        <v>589</v>
      </c>
      <c r="C6167" s="5" t="s">
        <v>724</v>
      </c>
      <c r="D6167" s="25" t="s">
        <v>239</v>
      </c>
      <c r="E6167" s="64" t="s">
        <v>163</v>
      </c>
      <c r="F6167" s="2">
        <v>67</v>
      </c>
      <c r="G6167" s="2">
        <v>0</v>
      </c>
      <c r="H6167" s="2">
        <v>0</v>
      </c>
    </row>
    <row r="6168" spans="1:8" x14ac:dyDescent="0.4">
      <c r="A6168">
        <v>2000</v>
      </c>
      <c r="B6168" s="5" t="s">
        <v>590</v>
      </c>
      <c r="C6168" s="5" t="s">
        <v>724</v>
      </c>
      <c r="D6168" s="25" t="s">
        <v>239</v>
      </c>
      <c r="E6168" s="64" t="s">
        <v>240</v>
      </c>
      <c r="F6168" s="2">
        <v>37</v>
      </c>
      <c r="G6168" s="2">
        <v>0</v>
      </c>
      <c r="H6168" s="2">
        <v>0</v>
      </c>
    </row>
    <row r="6169" spans="1:8" x14ac:dyDescent="0.4">
      <c r="A6169">
        <v>2000</v>
      </c>
      <c r="B6169" s="5" t="s">
        <v>591</v>
      </c>
      <c r="C6169" s="5" t="s">
        <v>724</v>
      </c>
      <c r="D6169" s="25" t="s">
        <v>239</v>
      </c>
      <c r="E6169" s="64" t="s">
        <v>59</v>
      </c>
      <c r="F6169" s="2">
        <v>148</v>
      </c>
      <c r="G6169" s="2">
        <v>0</v>
      </c>
      <c r="H6169" s="2">
        <v>0</v>
      </c>
    </row>
    <row r="6170" spans="1:8" x14ac:dyDescent="0.4">
      <c r="A6170">
        <v>2000</v>
      </c>
      <c r="B6170" s="5" t="s">
        <v>592</v>
      </c>
      <c r="C6170" s="5" t="s">
        <v>724</v>
      </c>
      <c r="D6170" s="25" t="s">
        <v>239</v>
      </c>
      <c r="E6170" s="64" t="s">
        <v>241</v>
      </c>
      <c r="F6170" s="2">
        <v>56</v>
      </c>
      <c r="G6170" s="2">
        <v>0</v>
      </c>
      <c r="H6170" s="2">
        <v>0</v>
      </c>
    </row>
    <row r="6171" spans="1:8" x14ac:dyDescent="0.4">
      <c r="A6171">
        <v>2000</v>
      </c>
      <c r="B6171" s="5" t="s">
        <v>593</v>
      </c>
      <c r="C6171" s="5" t="s">
        <v>724</v>
      </c>
      <c r="D6171" s="25" t="s">
        <v>239</v>
      </c>
      <c r="E6171" s="64" t="s">
        <v>242</v>
      </c>
      <c r="F6171" s="2">
        <v>621</v>
      </c>
      <c r="G6171" s="2">
        <v>0</v>
      </c>
      <c r="H6171" s="2">
        <v>0</v>
      </c>
    </row>
    <row r="6172" spans="1:8" x14ac:dyDescent="0.4">
      <c r="A6172">
        <v>2000</v>
      </c>
      <c r="B6172" s="5" t="s">
        <v>594</v>
      </c>
      <c r="C6172" s="5" t="s">
        <v>724</v>
      </c>
      <c r="D6172" s="25" t="s">
        <v>239</v>
      </c>
      <c r="E6172" s="64" t="s">
        <v>36</v>
      </c>
      <c r="F6172" s="2">
        <v>34</v>
      </c>
      <c r="G6172" s="2">
        <v>0</v>
      </c>
      <c r="H6172" s="2">
        <v>0</v>
      </c>
    </row>
    <row r="6173" spans="1:8" x14ac:dyDescent="0.4">
      <c r="A6173">
        <v>2000</v>
      </c>
      <c r="B6173" s="5" t="s">
        <v>595</v>
      </c>
      <c r="C6173" s="5" t="s">
        <v>724</v>
      </c>
      <c r="D6173" s="25" t="s">
        <v>239</v>
      </c>
      <c r="E6173" s="64" t="s">
        <v>243</v>
      </c>
      <c r="F6173" s="2">
        <v>67</v>
      </c>
      <c r="G6173" s="2">
        <v>0</v>
      </c>
      <c r="H6173" s="2">
        <v>0</v>
      </c>
    </row>
    <row r="6174" spans="1:8" x14ac:dyDescent="0.4">
      <c r="A6174">
        <v>2000</v>
      </c>
      <c r="B6174" s="5" t="s">
        <v>596</v>
      </c>
      <c r="C6174" s="5" t="s">
        <v>724</v>
      </c>
      <c r="D6174" s="25" t="s">
        <v>239</v>
      </c>
      <c r="E6174" s="64" t="s">
        <v>244</v>
      </c>
      <c r="F6174" s="2">
        <v>68</v>
      </c>
      <c r="G6174" s="2">
        <v>0</v>
      </c>
      <c r="H6174" s="2">
        <v>0</v>
      </c>
    </row>
    <row r="6175" spans="1:8" x14ac:dyDescent="0.4">
      <c r="A6175">
        <v>2000</v>
      </c>
      <c r="B6175" s="5" t="s">
        <v>597</v>
      </c>
      <c r="C6175" s="5" t="s">
        <v>724</v>
      </c>
      <c r="D6175" s="25" t="s">
        <v>239</v>
      </c>
      <c r="E6175" s="64" t="s">
        <v>44</v>
      </c>
      <c r="F6175" s="2">
        <v>16</v>
      </c>
      <c r="G6175" s="2">
        <v>0</v>
      </c>
      <c r="H6175" s="2">
        <v>0</v>
      </c>
    </row>
    <row r="6176" spans="1:8" x14ac:dyDescent="0.4">
      <c r="A6176">
        <v>2000</v>
      </c>
      <c r="B6176" s="5" t="s">
        <v>598</v>
      </c>
      <c r="C6176" s="5" t="s">
        <v>724</v>
      </c>
      <c r="D6176" s="25" t="s">
        <v>239</v>
      </c>
      <c r="E6176" s="64" t="s">
        <v>222</v>
      </c>
      <c r="F6176" s="2">
        <v>44</v>
      </c>
      <c r="G6176" s="2">
        <v>0</v>
      </c>
      <c r="H6176" s="2">
        <v>0</v>
      </c>
    </row>
    <row r="6177" spans="1:8" x14ac:dyDescent="0.4">
      <c r="A6177">
        <v>2000</v>
      </c>
      <c r="B6177" s="5" t="s">
        <v>599</v>
      </c>
      <c r="C6177" s="5" t="s">
        <v>724</v>
      </c>
      <c r="D6177" s="25" t="s">
        <v>239</v>
      </c>
      <c r="E6177" s="64" t="s">
        <v>245</v>
      </c>
      <c r="F6177" s="2">
        <v>9</v>
      </c>
      <c r="G6177" s="2">
        <v>0</v>
      </c>
      <c r="H6177" s="2">
        <v>0</v>
      </c>
    </row>
    <row r="6178" spans="1:8" x14ac:dyDescent="0.4">
      <c r="A6178">
        <v>2000</v>
      </c>
      <c r="B6178" s="5" t="s">
        <v>600</v>
      </c>
      <c r="C6178" s="5" t="s">
        <v>724</v>
      </c>
      <c r="D6178" s="25" t="s">
        <v>239</v>
      </c>
      <c r="E6178" s="64" t="s">
        <v>246</v>
      </c>
      <c r="F6178" s="2">
        <v>185</v>
      </c>
      <c r="G6178" s="2">
        <v>0</v>
      </c>
      <c r="H6178" s="2">
        <v>0</v>
      </c>
    </row>
    <row r="6179" spans="1:8" x14ac:dyDescent="0.4">
      <c r="A6179">
        <v>2000</v>
      </c>
      <c r="B6179" s="5" t="s">
        <v>601</v>
      </c>
      <c r="C6179" s="5" t="s">
        <v>724</v>
      </c>
      <c r="D6179" s="25" t="s">
        <v>239</v>
      </c>
      <c r="E6179" s="64" t="s">
        <v>247</v>
      </c>
      <c r="F6179" s="2">
        <v>156</v>
      </c>
      <c r="G6179" s="2">
        <v>0</v>
      </c>
      <c r="H6179" s="2">
        <v>0</v>
      </c>
    </row>
    <row r="6180" spans="1:8" x14ac:dyDescent="0.4">
      <c r="A6180">
        <v>2000</v>
      </c>
      <c r="B6180" s="5" t="s">
        <v>602</v>
      </c>
      <c r="C6180" s="5" t="s">
        <v>724</v>
      </c>
      <c r="D6180" s="25" t="s">
        <v>239</v>
      </c>
      <c r="E6180" s="64" t="s">
        <v>51</v>
      </c>
      <c r="F6180" s="2">
        <v>1100</v>
      </c>
      <c r="G6180" s="2">
        <v>0</v>
      </c>
      <c r="H6180" s="2">
        <v>0</v>
      </c>
    </row>
    <row r="6181" spans="1:8" x14ac:dyDescent="0.4">
      <c r="A6181">
        <v>2000</v>
      </c>
      <c r="B6181" s="5" t="s">
        <v>603</v>
      </c>
      <c r="C6181" s="5" t="s">
        <v>724</v>
      </c>
      <c r="D6181" s="25" t="s">
        <v>239</v>
      </c>
      <c r="E6181" s="65" t="s">
        <v>248</v>
      </c>
      <c r="F6181" s="2">
        <v>82</v>
      </c>
      <c r="G6181" s="2">
        <v>0</v>
      </c>
      <c r="H6181" s="2">
        <v>0</v>
      </c>
    </row>
    <row r="6182" spans="1:8" x14ac:dyDescent="0.4">
      <c r="A6182">
        <v>2000</v>
      </c>
      <c r="B6182" s="5" t="s">
        <v>604</v>
      </c>
      <c r="C6182" s="5" t="s">
        <v>725</v>
      </c>
      <c r="D6182" s="25" t="s">
        <v>249</v>
      </c>
      <c r="E6182" s="64" t="s">
        <v>174</v>
      </c>
      <c r="F6182" s="2">
        <v>58</v>
      </c>
      <c r="G6182" s="2">
        <v>0</v>
      </c>
      <c r="H6182" s="2">
        <v>0</v>
      </c>
    </row>
    <row r="6183" spans="1:8" x14ac:dyDescent="0.4">
      <c r="A6183">
        <v>2000</v>
      </c>
      <c r="B6183" s="5" t="s">
        <v>605</v>
      </c>
      <c r="C6183" s="5" t="s">
        <v>725</v>
      </c>
      <c r="D6183" s="25" t="s">
        <v>249</v>
      </c>
      <c r="E6183" s="64" t="s">
        <v>250</v>
      </c>
      <c r="F6183" s="2">
        <v>28</v>
      </c>
      <c r="G6183" s="2">
        <v>0</v>
      </c>
      <c r="H6183" s="2">
        <v>0</v>
      </c>
    </row>
    <row r="6184" spans="1:8" x14ac:dyDescent="0.4">
      <c r="A6184">
        <v>2000</v>
      </c>
      <c r="B6184" s="5" t="s">
        <v>606</v>
      </c>
      <c r="C6184" s="5" t="s">
        <v>725</v>
      </c>
      <c r="D6184" s="25" t="s">
        <v>249</v>
      </c>
      <c r="E6184" s="64" t="s">
        <v>251</v>
      </c>
      <c r="F6184" s="2">
        <v>228</v>
      </c>
      <c r="G6184" s="2">
        <v>0</v>
      </c>
      <c r="H6184" s="2">
        <v>0</v>
      </c>
    </row>
    <row r="6185" spans="1:8" x14ac:dyDescent="0.4">
      <c r="A6185">
        <v>2000</v>
      </c>
      <c r="B6185" s="5" t="s">
        <v>607</v>
      </c>
      <c r="C6185" s="5" t="s">
        <v>725</v>
      </c>
      <c r="D6185" s="25" t="s">
        <v>249</v>
      </c>
      <c r="E6185" s="64" t="s">
        <v>36</v>
      </c>
      <c r="F6185" s="2">
        <v>208</v>
      </c>
      <c r="G6185" s="2">
        <v>0</v>
      </c>
      <c r="H6185" s="2">
        <v>0</v>
      </c>
    </row>
    <row r="6186" spans="1:8" x14ac:dyDescent="0.4">
      <c r="A6186">
        <v>2000</v>
      </c>
      <c r="B6186" s="5" t="s">
        <v>608</v>
      </c>
      <c r="C6186" s="5" t="s">
        <v>725</v>
      </c>
      <c r="D6186" s="25" t="s">
        <v>249</v>
      </c>
      <c r="E6186" s="64" t="s">
        <v>252</v>
      </c>
      <c r="F6186" s="2">
        <v>233</v>
      </c>
      <c r="G6186" s="2">
        <v>0</v>
      </c>
      <c r="H6186" s="2">
        <v>0</v>
      </c>
    </row>
    <row r="6187" spans="1:8" x14ac:dyDescent="0.4">
      <c r="A6187">
        <v>2000</v>
      </c>
      <c r="B6187" s="5" t="s">
        <v>609</v>
      </c>
      <c r="C6187" s="5" t="s">
        <v>725</v>
      </c>
      <c r="D6187" s="25" t="s">
        <v>249</v>
      </c>
      <c r="E6187" s="64" t="s">
        <v>253</v>
      </c>
      <c r="F6187" s="2">
        <v>83</v>
      </c>
      <c r="G6187" s="2">
        <v>0</v>
      </c>
      <c r="H6187" s="2">
        <v>0</v>
      </c>
    </row>
    <row r="6188" spans="1:8" x14ac:dyDescent="0.4">
      <c r="A6188">
        <v>2000</v>
      </c>
      <c r="B6188" s="5" t="s">
        <v>610</v>
      </c>
      <c r="C6188" s="5" t="s">
        <v>725</v>
      </c>
      <c r="D6188" s="25" t="s">
        <v>249</v>
      </c>
      <c r="E6188" s="64" t="s">
        <v>254</v>
      </c>
      <c r="F6188" s="2">
        <v>148</v>
      </c>
      <c r="G6188" s="2">
        <v>0</v>
      </c>
      <c r="H6188" s="2">
        <v>0</v>
      </c>
    </row>
    <row r="6189" spans="1:8" x14ac:dyDescent="0.4">
      <c r="A6189">
        <v>2000</v>
      </c>
      <c r="B6189" s="5" t="s">
        <v>611</v>
      </c>
      <c r="C6189" s="5" t="s">
        <v>725</v>
      </c>
      <c r="D6189" s="25" t="s">
        <v>249</v>
      </c>
      <c r="E6189" s="64" t="s">
        <v>11</v>
      </c>
      <c r="F6189" s="2">
        <v>15</v>
      </c>
      <c r="G6189" s="2">
        <v>0</v>
      </c>
      <c r="H6189" s="2">
        <v>0</v>
      </c>
    </row>
    <row r="6190" spans="1:8" x14ac:dyDescent="0.4">
      <c r="A6190">
        <v>2000</v>
      </c>
      <c r="B6190" s="5" t="s">
        <v>612</v>
      </c>
      <c r="C6190" s="5" t="s">
        <v>725</v>
      </c>
      <c r="D6190" s="25" t="s">
        <v>249</v>
      </c>
      <c r="E6190" s="64" t="s">
        <v>255</v>
      </c>
      <c r="F6190" s="2">
        <v>146</v>
      </c>
      <c r="G6190" s="2">
        <v>0</v>
      </c>
      <c r="H6190" s="2">
        <v>0</v>
      </c>
    </row>
    <row r="6191" spans="1:8" x14ac:dyDescent="0.4">
      <c r="A6191">
        <v>2000</v>
      </c>
      <c r="B6191" s="5" t="s">
        <v>613</v>
      </c>
      <c r="C6191" s="5" t="s">
        <v>725</v>
      </c>
      <c r="D6191" s="25" t="s">
        <v>249</v>
      </c>
      <c r="E6191" s="64" t="s">
        <v>256</v>
      </c>
      <c r="F6191" s="2">
        <v>55</v>
      </c>
      <c r="G6191" s="2">
        <v>0</v>
      </c>
      <c r="H6191" s="2">
        <v>0</v>
      </c>
    </row>
    <row r="6192" spans="1:8" x14ac:dyDescent="0.4">
      <c r="A6192">
        <v>2000</v>
      </c>
      <c r="B6192" s="5" t="s">
        <v>614</v>
      </c>
      <c r="C6192" s="5" t="s">
        <v>725</v>
      </c>
      <c r="D6192" s="25" t="s">
        <v>249</v>
      </c>
      <c r="E6192" s="64" t="s">
        <v>14</v>
      </c>
      <c r="F6192" s="2">
        <v>77</v>
      </c>
      <c r="G6192" s="2">
        <v>0</v>
      </c>
      <c r="H6192" s="2">
        <v>0</v>
      </c>
    </row>
    <row r="6193" spans="1:8" x14ac:dyDescent="0.4">
      <c r="A6193">
        <v>2000</v>
      </c>
      <c r="B6193" s="5" t="s">
        <v>615</v>
      </c>
      <c r="C6193" s="5" t="s">
        <v>725</v>
      </c>
      <c r="D6193" s="25" t="s">
        <v>249</v>
      </c>
      <c r="E6193" s="64" t="s">
        <v>257</v>
      </c>
      <c r="F6193" s="2">
        <v>187</v>
      </c>
      <c r="G6193" s="2">
        <v>0</v>
      </c>
      <c r="H6193" s="2">
        <v>0</v>
      </c>
    </row>
    <row r="6194" spans="1:8" x14ac:dyDescent="0.4">
      <c r="A6194">
        <v>2000</v>
      </c>
      <c r="B6194" s="5" t="s">
        <v>616</v>
      </c>
      <c r="C6194" s="5" t="s">
        <v>725</v>
      </c>
      <c r="D6194" s="25" t="s">
        <v>249</v>
      </c>
      <c r="E6194" s="64" t="s">
        <v>258</v>
      </c>
      <c r="F6194" s="2">
        <v>34</v>
      </c>
      <c r="G6194" s="2">
        <v>0</v>
      </c>
      <c r="H6194" s="2">
        <v>0</v>
      </c>
    </row>
    <row r="6195" spans="1:8" x14ac:dyDescent="0.4">
      <c r="A6195">
        <v>2000</v>
      </c>
      <c r="B6195" s="5" t="s">
        <v>617</v>
      </c>
      <c r="C6195" s="5" t="s">
        <v>725</v>
      </c>
      <c r="D6195" s="25" t="s">
        <v>249</v>
      </c>
      <c r="E6195" s="64" t="s">
        <v>259</v>
      </c>
      <c r="F6195" s="2">
        <v>261</v>
      </c>
      <c r="G6195" s="2">
        <v>0</v>
      </c>
      <c r="H6195" s="2">
        <v>0</v>
      </c>
    </row>
    <row r="6196" spans="1:8" x14ac:dyDescent="0.4">
      <c r="A6196">
        <v>2000</v>
      </c>
      <c r="B6196" s="5" t="s">
        <v>618</v>
      </c>
      <c r="C6196" s="5" t="s">
        <v>725</v>
      </c>
      <c r="D6196" s="25" t="s">
        <v>249</v>
      </c>
      <c r="E6196" s="64" t="s">
        <v>18</v>
      </c>
      <c r="F6196" s="2">
        <v>62</v>
      </c>
      <c r="G6196" s="2">
        <v>0</v>
      </c>
      <c r="H6196" s="2">
        <v>0</v>
      </c>
    </row>
    <row r="6197" spans="1:8" x14ac:dyDescent="0.4">
      <c r="A6197">
        <v>2000</v>
      </c>
      <c r="B6197" s="5" t="s">
        <v>619</v>
      </c>
      <c r="C6197" s="5" t="s">
        <v>725</v>
      </c>
      <c r="D6197" s="25" t="s">
        <v>249</v>
      </c>
      <c r="E6197" s="64" t="s">
        <v>44</v>
      </c>
      <c r="F6197" s="2">
        <v>57</v>
      </c>
      <c r="G6197" s="2">
        <v>0</v>
      </c>
      <c r="H6197" s="2">
        <v>0</v>
      </c>
    </row>
    <row r="6198" spans="1:8" x14ac:dyDescent="0.4">
      <c r="A6198">
        <v>2000</v>
      </c>
      <c r="B6198" s="5" t="s">
        <v>620</v>
      </c>
      <c r="C6198" s="5" t="s">
        <v>725</v>
      </c>
      <c r="D6198" s="25" t="s">
        <v>249</v>
      </c>
      <c r="E6198" s="64" t="s">
        <v>260</v>
      </c>
      <c r="F6198" s="2">
        <v>38</v>
      </c>
      <c r="G6198" s="2">
        <v>0</v>
      </c>
      <c r="H6198" s="2">
        <v>0</v>
      </c>
    </row>
    <row r="6199" spans="1:8" x14ac:dyDescent="0.4">
      <c r="A6199">
        <v>2000</v>
      </c>
      <c r="B6199" s="5" t="s">
        <v>621</v>
      </c>
      <c r="C6199" s="5" t="s">
        <v>725</v>
      </c>
      <c r="D6199" s="25" t="s">
        <v>249</v>
      </c>
      <c r="E6199" s="64" t="s">
        <v>261</v>
      </c>
      <c r="F6199" s="2">
        <v>74</v>
      </c>
      <c r="G6199" s="2">
        <v>0</v>
      </c>
      <c r="H6199" s="2">
        <v>0</v>
      </c>
    </row>
    <row r="6200" spans="1:8" x14ac:dyDescent="0.4">
      <c r="A6200">
        <v>2000</v>
      </c>
      <c r="B6200" s="5" t="s">
        <v>622</v>
      </c>
      <c r="C6200" s="5" t="s">
        <v>725</v>
      </c>
      <c r="D6200" s="25" t="s">
        <v>249</v>
      </c>
      <c r="E6200" s="64" t="s">
        <v>262</v>
      </c>
      <c r="F6200" s="2">
        <v>111</v>
      </c>
      <c r="G6200" s="2">
        <v>0</v>
      </c>
      <c r="H6200" s="2">
        <v>0</v>
      </c>
    </row>
    <row r="6201" spans="1:8" x14ac:dyDescent="0.4">
      <c r="A6201">
        <v>2000</v>
      </c>
      <c r="B6201" s="5" t="s">
        <v>623</v>
      </c>
      <c r="C6201" s="5" t="s">
        <v>725</v>
      </c>
      <c r="D6201" s="25" t="s">
        <v>249</v>
      </c>
      <c r="E6201" s="64" t="s">
        <v>263</v>
      </c>
      <c r="F6201" s="2">
        <v>100</v>
      </c>
      <c r="G6201" s="2">
        <v>0</v>
      </c>
      <c r="H6201" s="2">
        <v>0</v>
      </c>
    </row>
    <row r="6202" spans="1:8" x14ac:dyDescent="0.4">
      <c r="A6202">
        <v>2000</v>
      </c>
      <c r="B6202" s="5" t="s">
        <v>624</v>
      </c>
      <c r="C6202" s="5" t="s">
        <v>725</v>
      </c>
      <c r="D6202" s="25" t="s">
        <v>249</v>
      </c>
      <c r="E6202" s="64" t="s">
        <v>264</v>
      </c>
      <c r="F6202" s="2">
        <v>19</v>
      </c>
      <c r="G6202" s="2">
        <v>0</v>
      </c>
      <c r="H6202" s="2">
        <v>0</v>
      </c>
    </row>
    <row r="6203" spans="1:8" x14ac:dyDescent="0.4">
      <c r="A6203">
        <v>2000</v>
      </c>
      <c r="B6203" s="5" t="s">
        <v>625</v>
      </c>
      <c r="C6203" s="5" t="s">
        <v>725</v>
      </c>
      <c r="D6203" s="25" t="s">
        <v>249</v>
      </c>
      <c r="E6203" s="64" t="s">
        <v>265</v>
      </c>
      <c r="F6203" s="2">
        <v>46</v>
      </c>
      <c r="G6203" s="2">
        <v>0</v>
      </c>
      <c r="H6203" s="2">
        <v>0</v>
      </c>
    </row>
    <row r="6204" spans="1:8" x14ac:dyDescent="0.4">
      <c r="A6204">
        <v>2000</v>
      </c>
      <c r="B6204" s="5" t="s">
        <v>626</v>
      </c>
      <c r="C6204" s="5" t="s">
        <v>725</v>
      </c>
      <c r="D6204" s="25" t="s">
        <v>249</v>
      </c>
      <c r="E6204" s="64" t="s">
        <v>266</v>
      </c>
      <c r="F6204" s="2">
        <v>2352</v>
      </c>
      <c r="G6204" s="2">
        <v>0</v>
      </c>
      <c r="H6204" s="2">
        <v>0</v>
      </c>
    </row>
    <row r="6205" spans="1:8" x14ac:dyDescent="0.4">
      <c r="A6205">
        <v>2000</v>
      </c>
      <c r="B6205" s="5" t="s">
        <v>627</v>
      </c>
      <c r="C6205" s="5" t="s">
        <v>725</v>
      </c>
      <c r="D6205" s="25" t="s">
        <v>249</v>
      </c>
      <c r="E6205" s="64" t="s">
        <v>267</v>
      </c>
      <c r="F6205" s="2">
        <v>11</v>
      </c>
      <c r="G6205" s="2">
        <v>0</v>
      </c>
      <c r="H6205" s="2">
        <v>0</v>
      </c>
    </row>
    <row r="6206" spans="1:8" x14ac:dyDescent="0.4">
      <c r="A6206">
        <v>2000</v>
      </c>
      <c r="B6206" s="5" t="s">
        <v>628</v>
      </c>
      <c r="C6206" s="5" t="s">
        <v>725</v>
      </c>
      <c r="D6206" s="25" t="s">
        <v>249</v>
      </c>
      <c r="E6206" s="64" t="s">
        <v>268</v>
      </c>
      <c r="F6206" s="2">
        <v>35</v>
      </c>
      <c r="G6206" s="2">
        <v>0</v>
      </c>
      <c r="H6206" s="2">
        <v>0</v>
      </c>
    </row>
    <row r="6207" spans="1:8" x14ac:dyDescent="0.4">
      <c r="A6207">
        <v>2000</v>
      </c>
      <c r="B6207" s="5" t="s">
        <v>629</v>
      </c>
      <c r="C6207" s="5" t="s">
        <v>725</v>
      </c>
      <c r="D6207" s="25" t="s">
        <v>249</v>
      </c>
      <c r="E6207" s="64" t="s">
        <v>26</v>
      </c>
      <c r="F6207" s="2">
        <v>16</v>
      </c>
      <c r="G6207" s="2">
        <v>0</v>
      </c>
      <c r="H6207" s="2">
        <v>0</v>
      </c>
    </row>
    <row r="6208" spans="1:8" x14ac:dyDescent="0.4">
      <c r="A6208">
        <v>2000</v>
      </c>
      <c r="B6208" s="5" t="s">
        <v>630</v>
      </c>
      <c r="C6208" s="5" t="s">
        <v>725</v>
      </c>
      <c r="D6208" s="25" t="s">
        <v>249</v>
      </c>
      <c r="E6208" s="64" t="s">
        <v>51</v>
      </c>
      <c r="F6208" s="2">
        <v>35</v>
      </c>
      <c r="G6208" s="2">
        <v>0</v>
      </c>
      <c r="H6208" s="2">
        <v>0</v>
      </c>
    </row>
    <row r="6209" spans="1:8" x14ac:dyDescent="0.4">
      <c r="A6209">
        <v>2000</v>
      </c>
      <c r="B6209" s="5" t="s">
        <v>631</v>
      </c>
      <c r="C6209" s="5" t="s">
        <v>725</v>
      </c>
      <c r="D6209" s="25" t="s">
        <v>249</v>
      </c>
      <c r="E6209" s="64" t="s">
        <v>269</v>
      </c>
      <c r="F6209" s="2">
        <v>80</v>
      </c>
      <c r="G6209" s="2">
        <v>0</v>
      </c>
      <c r="H6209" s="2">
        <v>0</v>
      </c>
    </row>
    <row r="6210" spans="1:8" x14ac:dyDescent="0.4">
      <c r="A6210">
        <v>2000</v>
      </c>
      <c r="B6210" s="5" t="s">
        <v>632</v>
      </c>
      <c r="C6210" s="5" t="s">
        <v>725</v>
      </c>
      <c r="D6210" s="25" t="s">
        <v>249</v>
      </c>
      <c r="E6210" s="64" t="s">
        <v>270</v>
      </c>
      <c r="F6210" s="2">
        <v>81</v>
      </c>
      <c r="G6210" s="2">
        <v>0</v>
      </c>
      <c r="H6210" s="2">
        <v>0</v>
      </c>
    </row>
    <row r="6211" spans="1:8" x14ac:dyDescent="0.4">
      <c r="A6211">
        <v>2000</v>
      </c>
      <c r="B6211" s="5" t="s">
        <v>633</v>
      </c>
      <c r="C6211" s="5" t="s">
        <v>726</v>
      </c>
      <c r="D6211" s="25" t="s">
        <v>271</v>
      </c>
      <c r="E6211" s="64" t="s">
        <v>174</v>
      </c>
      <c r="F6211" s="2">
        <v>47</v>
      </c>
      <c r="G6211" s="2">
        <v>0</v>
      </c>
      <c r="H6211" s="2">
        <v>0</v>
      </c>
    </row>
    <row r="6212" spans="1:8" x14ac:dyDescent="0.4">
      <c r="A6212">
        <v>2000</v>
      </c>
      <c r="B6212" s="5" t="s">
        <v>634</v>
      </c>
      <c r="C6212" s="5" t="s">
        <v>726</v>
      </c>
      <c r="D6212" s="25" t="s">
        <v>271</v>
      </c>
      <c r="E6212" s="64" t="s">
        <v>272</v>
      </c>
      <c r="F6212" s="2">
        <v>574</v>
      </c>
      <c r="G6212" s="2">
        <v>0</v>
      </c>
      <c r="H6212" s="2">
        <v>0</v>
      </c>
    </row>
    <row r="6213" spans="1:8" x14ac:dyDescent="0.4">
      <c r="A6213">
        <v>2000</v>
      </c>
      <c r="B6213" s="5" t="s">
        <v>635</v>
      </c>
      <c r="C6213" s="5" t="s">
        <v>726</v>
      </c>
      <c r="D6213" s="25" t="s">
        <v>271</v>
      </c>
      <c r="E6213" s="64" t="s">
        <v>36</v>
      </c>
      <c r="F6213" s="2">
        <v>32</v>
      </c>
      <c r="G6213" s="2">
        <v>0</v>
      </c>
      <c r="H6213" s="2">
        <v>0</v>
      </c>
    </row>
    <row r="6214" spans="1:8" x14ac:dyDescent="0.4">
      <c r="A6214">
        <v>2000</v>
      </c>
      <c r="B6214" s="5" t="s">
        <v>636</v>
      </c>
      <c r="C6214" s="5" t="s">
        <v>726</v>
      </c>
      <c r="D6214" s="25" t="s">
        <v>271</v>
      </c>
      <c r="E6214" s="64" t="s">
        <v>273</v>
      </c>
      <c r="F6214" s="2">
        <v>65</v>
      </c>
      <c r="G6214" s="2">
        <v>0</v>
      </c>
      <c r="H6214" s="2">
        <v>0</v>
      </c>
    </row>
    <row r="6215" spans="1:8" x14ac:dyDescent="0.4">
      <c r="A6215">
        <v>2000</v>
      </c>
      <c r="B6215" s="5" t="s">
        <v>637</v>
      </c>
      <c r="C6215" s="5" t="s">
        <v>726</v>
      </c>
      <c r="D6215" s="25" t="s">
        <v>271</v>
      </c>
      <c r="E6215" s="64" t="s">
        <v>274</v>
      </c>
      <c r="F6215" s="2">
        <v>157</v>
      </c>
      <c r="G6215" s="2">
        <v>0</v>
      </c>
      <c r="H6215" s="2">
        <v>0</v>
      </c>
    </row>
    <row r="6216" spans="1:8" x14ac:dyDescent="0.4">
      <c r="A6216">
        <v>2000</v>
      </c>
      <c r="B6216" s="5" t="s">
        <v>638</v>
      </c>
      <c r="C6216" s="5" t="s">
        <v>726</v>
      </c>
      <c r="D6216" s="25" t="s">
        <v>271</v>
      </c>
      <c r="E6216" s="64" t="s">
        <v>275</v>
      </c>
      <c r="F6216" s="2">
        <v>65</v>
      </c>
      <c r="G6216" s="2">
        <v>0</v>
      </c>
      <c r="H6216" s="2">
        <v>0</v>
      </c>
    </row>
    <row r="6217" spans="1:8" x14ac:dyDescent="0.4">
      <c r="A6217">
        <v>2000</v>
      </c>
      <c r="B6217" s="5" t="s">
        <v>639</v>
      </c>
      <c r="C6217" s="5" t="s">
        <v>726</v>
      </c>
      <c r="D6217" s="25" t="s">
        <v>271</v>
      </c>
      <c r="E6217" s="64" t="s">
        <v>276</v>
      </c>
      <c r="F6217" s="2">
        <v>11</v>
      </c>
      <c r="G6217" s="2">
        <v>0</v>
      </c>
      <c r="H6217" s="2">
        <v>0</v>
      </c>
    </row>
    <row r="6218" spans="1:8" x14ac:dyDescent="0.4">
      <c r="A6218">
        <v>2000</v>
      </c>
      <c r="B6218" s="5" t="s">
        <v>640</v>
      </c>
      <c r="C6218" s="5" t="s">
        <v>726</v>
      </c>
      <c r="D6218" s="25" t="s">
        <v>271</v>
      </c>
      <c r="E6218" s="64" t="s">
        <v>277</v>
      </c>
      <c r="F6218" s="2">
        <v>26</v>
      </c>
      <c r="G6218" s="2">
        <v>0</v>
      </c>
      <c r="H6218" s="2">
        <v>0</v>
      </c>
    </row>
    <row r="6219" spans="1:8" x14ac:dyDescent="0.4">
      <c r="A6219">
        <v>2000</v>
      </c>
      <c r="B6219" s="5" t="s">
        <v>641</v>
      </c>
      <c r="C6219" s="5" t="s">
        <v>726</v>
      </c>
      <c r="D6219" s="25" t="s">
        <v>271</v>
      </c>
      <c r="E6219" s="64" t="s">
        <v>278</v>
      </c>
      <c r="F6219" s="2">
        <v>43</v>
      </c>
      <c r="G6219" s="2">
        <v>0</v>
      </c>
      <c r="H6219" s="2">
        <v>0</v>
      </c>
    </row>
    <row r="6220" spans="1:8" x14ac:dyDescent="0.4">
      <c r="A6220">
        <v>2000</v>
      </c>
      <c r="B6220" s="5" t="s">
        <v>642</v>
      </c>
      <c r="C6220" s="5" t="s">
        <v>726</v>
      </c>
      <c r="D6220" s="25" t="s">
        <v>271</v>
      </c>
      <c r="E6220" s="64" t="s">
        <v>85</v>
      </c>
      <c r="F6220" s="2">
        <v>33</v>
      </c>
      <c r="G6220" s="2">
        <v>0</v>
      </c>
      <c r="H6220" s="2">
        <v>0</v>
      </c>
    </row>
    <row r="6221" spans="1:8" x14ac:dyDescent="0.4">
      <c r="A6221">
        <v>2000</v>
      </c>
      <c r="B6221" s="5" t="s">
        <v>643</v>
      </c>
      <c r="C6221" s="5" t="s">
        <v>726</v>
      </c>
      <c r="D6221" s="25" t="s">
        <v>271</v>
      </c>
      <c r="E6221" s="64" t="s">
        <v>279</v>
      </c>
      <c r="F6221" s="2">
        <v>49</v>
      </c>
      <c r="G6221" s="2">
        <v>0</v>
      </c>
      <c r="H6221" s="2">
        <v>0</v>
      </c>
    </row>
    <row r="6222" spans="1:8" x14ac:dyDescent="0.4">
      <c r="A6222">
        <v>2000</v>
      </c>
      <c r="B6222" s="5" t="s">
        <v>644</v>
      </c>
      <c r="C6222" s="5" t="s">
        <v>726</v>
      </c>
      <c r="D6222" s="25" t="s">
        <v>271</v>
      </c>
      <c r="E6222" s="64" t="s">
        <v>280</v>
      </c>
      <c r="F6222" s="2">
        <v>34</v>
      </c>
      <c r="G6222" s="2">
        <v>0</v>
      </c>
      <c r="H6222" s="2">
        <v>0</v>
      </c>
    </row>
    <row r="6223" spans="1:8" x14ac:dyDescent="0.4">
      <c r="A6223">
        <v>2000</v>
      </c>
      <c r="B6223" s="5" t="s">
        <v>645</v>
      </c>
      <c r="C6223" s="5" t="s">
        <v>726</v>
      </c>
      <c r="D6223" s="25" t="s">
        <v>271</v>
      </c>
      <c r="E6223" s="64" t="s">
        <v>281</v>
      </c>
      <c r="F6223" s="2">
        <v>143</v>
      </c>
      <c r="G6223" s="2">
        <v>0</v>
      </c>
      <c r="H6223" s="2">
        <v>0</v>
      </c>
    </row>
    <row r="6224" spans="1:8" x14ac:dyDescent="0.4">
      <c r="A6224">
        <v>2000</v>
      </c>
      <c r="B6224" s="5" t="s">
        <v>646</v>
      </c>
      <c r="C6224" s="5" t="s">
        <v>726</v>
      </c>
      <c r="D6224" s="25" t="s">
        <v>271</v>
      </c>
      <c r="E6224" s="64" t="s">
        <v>282</v>
      </c>
      <c r="F6224" s="2">
        <v>26</v>
      </c>
      <c r="G6224" s="2">
        <v>0</v>
      </c>
      <c r="H6224" s="2">
        <v>0</v>
      </c>
    </row>
    <row r="6225" spans="1:8" x14ac:dyDescent="0.4">
      <c r="A6225">
        <v>2000</v>
      </c>
      <c r="B6225" s="5" t="s">
        <v>647</v>
      </c>
      <c r="C6225" s="5" t="s">
        <v>726</v>
      </c>
      <c r="D6225" s="25" t="s">
        <v>271</v>
      </c>
      <c r="E6225" s="64" t="s">
        <v>283</v>
      </c>
      <c r="F6225" s="2">
        <v>64</v>
      </c>
      <c r="G6225" s="2">
        <v>0</v>
      </c>
      <c r="H6225" s="2">
        <v>0</v>
      </c>
    </row>
    <row r="6226" spans="1:8" x14ac:dyDescent="0.4">
      <c r="A6226">
        <v>2000</v>
      </c>
      <c r="B6226" s="5" t="s">
        <v>648</v>
      </c>
      <c r="C6226" s="5" t="s">
        <v>726</v>
      </c>
      <c r="D6226" s="25" t="s">
        <v>271</v>
      </c>
      <c r="E6226" s="64" t="s">
        <v>284</v>
      </c>
      <c r="F6226" s="2">
        <v>133</v>
      </c>
      <c r="G6226" s="2">
        <v>0</v>
      </c>
      <c r="H6226" s="2">
        <v>0</v>
      </c>
    </row>
    <row r="6227" spans="1:8" x14ac:dyDescent="0.4">
      <c r="A6227">
        <v>2000</v>
      </c>
      <c r="B6227" s="5" t="s">
        <v>649</v>
      </c>
      <c r="C6227" s="5" t="s">
        <v>726</v>
      </c>
      <c r="D6227" s="25" t="s">
        <v>271</v>
      </c>
      <c r="E6227" s="64" t="s">
        <v>51</v>
      </c>
      <c r="F6227" s="2">
        <v>116</v>
      </c>
      <c r="G6227" s="2">
        <v>0</v>
      </c>
      <c r="H6227" s="2">
        <v>0</v>
      </c>
    </row>
    <row r="6228" spans="1:8" x14ac:dyDescent="0.4">
      <c r="A6228">
        <v>2000</v>
      </c>
      <c r="B6228" s="5" t="s">
        <v>650</v>
      </c>
      <c r="C6228" s="5" t="s">
        <v>726</v>
      </c>
      <c r="D6228" s="25" t="s">
        <v>271</v>
      </c>
      <c r="E6228" s="64" t="s">
        <v>285</v>
      </c>
      <c r="F6228" s="2">
        <v>481</v>
      </c>
      <c r="G6228" s="2">
        <v>0</v>
      </c>
      <c r="H6228" s="2">
        <v>0</v>
      </c>
    </row>
    <row r="6229" spans="1:8" x14ac:dyDescent="0.4">
      <c r="A6229">
        <v>2000</v>
      </c>
      <c r="B6229" s="5" t="s">
        <v>651</v>
      </c>
      <c r="C6229" s="5" t="s">
        <v>726</v>
      </c>
      <c r="D6229" s="25" t="s">
        <v>271</v>
      </c>
      <c r="E6229" s="64" t="s">
        <v>53</v>
      </c>
      <c r="F6229" s="2">
        <v>134</v>
      </c>
      <c r="G6229" s="2">
        <v>0</v>
      </c>
      <c r="H6229" s="2">
        <v>0</v>
      </c>
    </row>
    <row r="6230" spans="1:8" x14ac:dyDescent="0.4">
      <c r="A6230">
        <v>2000</v>
      </c>
      <c r="B6230" s="5" t="s">
        <v>652</v>
      </c>
      <c r="C6230" s="5" t="s">
        <v>726</v>
      </c>
      <c r="D6230" s="25" t="s">
        <v>271</v>
      </c>
      <c r="E6230" s="65" t="s">
        <v>286</v>
      </c>
      <c r="F6230" s="2">
        <v>1372</v>
      </c>
      <c r="G6230" s="2">
        <v>0</v>
      </c>
      <c r="H6230" s="2">
        <v>0</v>
      </c>
    </row>
    <row r="6231" spans="1:8" x14ac:dyDescent="0.4">
      <c r="A6231">
        <v>2000</v>
      </c>
      <c r="B6231" s="5" t="s">
        <v>653</v>
      </c>
      <c r="C6231" s="5" t="s">
        <v>727</v>
      </c>
      <c r="D6231" s="25" t="s">
        <v>288</v>
      </c>
      <c r="E6231" s="64" t="s">
        <v>287</v>
      </c>
      <c r="F6231" s="2">
        <v>0</v>
      </c>
      <c r="G6231" s="2">
        <v>0</v>
      </c>
      <c r="H6231" s="2">
        <v>0</v>
      </c>
    </row>
    <row r="6232" spans="1:8" x14ac:dyDescent="0.4">
      <c r="A6232">
        <v>2000</v>
      </c>
      <c r="B6232" s="5" t="s">
        <v>654</v>
      </c>
      <c r="C6232" s="5" t="s">
        <v>727</v>
      </c>
      <c r="D6232" s="25" t="s">
        <v>288</v>
      </c>
      <c r="E6232" s="64" t="s">
        <v>289</v>
      </c>
      <c r="F6232" s="2">
        <v>0</v>
      </c>
      <c r="G6232" s="2">
        <v>0</v>
      </c>
      <c r="H6232" s="2">
        <v>0</v>
      </c>
    </row>
    <row r="6233" spans="1:8" x14ac:dyDescent="0.4">
      <c r="A6233">
        <v>2000</v>
      </c>
      <c r="B6233" s="5" t="s">
        <v>655</v>
      </c>
      <c r="C6233" s="5" t="s">
        <v>727</v>
      </c>
      <c r="D6233" s="25" t="s">
        <v>288</v>
      </c>
      <c r="E6233" s="64" t="s">
        <v>290</v>
      </c>
      <c r="F6233" s="2">
        <v>0</v>
      </c>
      <c r="G6233" s="2">
        <v>0</v>
      </c>
      <c r="H6233" s="2">
        <v>0</v>
      </c>
    </row>
    <row r="6234" spans="1:8" x14ac:dyDescent="0.4">
      <c r="A6234">
        <v>2000</v>
      </c>
      <c r="B6234" s="5" t="s">
        <v>656</v>
      </c>
      <c r="C6234" s="5" t="s">
        <v>727</v>
      </c>
      <c r="D6234" s="25" t="s">
        <v>288</v>
      </c>
      <c r="E6234" s="64" t="s">
        <v>291</v>
      </c>
      <c r="F6234" s="2">
        <v>0</v>
      </c>
      <c r="G6234" s="2">
        <v>0</v>
      </c>
      <c r="H6234" s="2">
        <v>0</v>
      </c>
    </row>
    <row r="6235" spans="1:8" x14ac:dyDescent="0.4">
      <c r="A6235">
        <v>2000</v>
      </c>
      <c r="B6235" s="5" t="s">
        <v>657</v>
      </c>
      <c r="C6235" s="5" t="s">
        <v>727</v>
      </c>
      <c r="D6235" s="25" t="s">
        <v>288</v>
      </c>
      <c r="E6235" s="64" t="s">
        <v>292</v>
      </c>
      <c r="F6235" s="2">
        <v>0</v>
      </c>
      <c r="G6235" s="2">
        <v>0</v>
      </c>
      <c r="H6235" s="2">
        <v>0</v>
      </c>
    </row>
    <row r="6236" spans="1:8" x14ac:dyDescent="0.4">
      <c r="A6236">
        <v>2000</v>
      </c>
      <c r="B6236" s="5" t="s">
        <v>658</v>
      </c>
      <c r="C6236" s="5" t="s">
        <v>727</v>
      </c>
      <c r="D6236" s="25" t="s">
        <v>288</v>
      </c>
      <c r="E6236" s="64" t="s">
        <v>293</v>
      </c>
      <c r="F6236" s="2">
        <v>0</v>
      </c>
      <c r="G6236" s="2">
        <v>0</v>
      </c>
      <c r="H6236" s="2">
        <v>0</v>
      </c>
    </row>
    <row r="6237" spans="1:8" x14ac:dyDescent="0.4">
      <c r="A6237">
        <v>2000</v>
      </c>
      <c r="B6237" s="5" t="s">
        <v>659</v>
      </c>
      <c r="C6237" s="5" t="s">
        <v>727</v>
      </c>
      <c r="D6237" s="25" t="s">
        <v>288</v>
      </c>
      <c r="E6237" s="64" t="s">
        <v>294</v>
      </c>
      <c r="F6237" s="2">
        <v>0</v>
      </c>
      <c r="G6237" s="2">
        <v>0</v>
      </c>
      <c r="H6237" s="2">
        <v>0</v>
      </c>
    </row>
    <row r="6238" spans="1:8" x14ac:dyDescent="0.4">
      <c r="A6238">
        <v>2000</v>
      </c>
      <c r="B6238" s="5" t="s">
        <v>660</v>
      </c>
      <c r="C6238" s="5" t="s">
        <v>727</v>
      </c>
      <c r="D6238" s="25" t="s">
        <v>288</v>
      </c>
      <c r="E6238" s="64" t="s">
        <v>295</v>
      </c>
      <c r="F6238" s="2">
        <v>0</v>
      </c>
      <c r="G6238" s="2">
        <v>0</v>
      </c>
      <c r="H6238" s="2">
        <v>0</v>
      </c>
    </row>
    <row r="6239" spans="1:8" x14ac:dyDescent="0.4">
      <c r="A6239">
        <v>2000</v>
      </c>
      <c r="B6239" s="5" t="s">
        <v>661</v>
      </c>
      <c r="C6239" s="5" t="s">
        <v>727</v>
      </c>
      <c r="D6239" s="25" t="s">
        <v>288</v>
      </c>
      <c r="E6239" s="64" t="s">
        <v>296</v>
      </c>
      <c r="F6239" s="2">
        <v>0</v>
      </c>
      <c r="G6239" s="2">
        <v>0</v>
      </c>
      <c r="H6239" s="2">
        <v>0</v>
      </c>
    </row>
    <row r="6240" spans="1:8" x14ac:dyDescent="0.4">
      <c r="A6240">
        <v>2000</v>
      </c>
      <c r="B6240" s="5" t="s">
        <v>662</v>
      </c>
      <c r="C6240" s="5" t="s">
        <v>727</v>
      </c>
      <c r="D6240" s="25" t="s">
        <v>288</v>
      </c>
      <c r="E6240" s="64" t="s">
        <v>297</v>
      </c>
      <c r="F6240" s="2">
        <v>0</v>
      </c>
      <c r="G6240" s="2">
        <v>0</v>
      </c>
      <c r="H6240" s="2">
        <v>0</v>
      </c>
    </row>
    <row r="6241" spans="1:8" x14ac:dyDescent="0.4">
      <c r="A6241">
        <v>2000</v>
      </c>
      <c r="B6241" s="5" t="s">
        <v>663</v>
      </c>
      <c r="C6241" s="5" t="s">
        <v>727</v>
      </c>
      <c r="D6241" s="25" t="s">
        <v>288</v>
      </c>
      <c r="E6241" s="64" t="s">
        <v>298</v>
      </c>
      <c r="F6241" s="2">
        <v>0</v>
      </c>
      <c r="G6241" s="2">
        <v>0</v>
      </c>
      <c r="H6241" s="2">
        <v>0</v>
      </c>
    </row>
    <row r="6242" spans="1:8" x14ac:dyDescent="0.4">
      <c r="A6242">
        <v>2000</v>
      </c>
      <c r="B6242" s="5" t="s">
        <v>664</v>
      </c>
      <c r="C6242" s="5" t="s">
        <v>728</v>
      </c>
      <c r="D6242" s="25" t="s">
        <v>300</v>
      </c>
      <c r="E6242" s="64" t="s">
        <v>299</v>
      </c>
      <c r="F6242" s="2">
        <v>37</v>
      </c>
      <c r="G6242" s="2">
        <v>0</v>
      </c>
      <c r="H6242" s="2">
        <v>0</v>
      </c>
    </row>
    <row r="6243" spans="1:8" x14ac:dyDescent="0.4">
      <c r="A6243">
        <v>2000</v>
      </c>
      <c r="B6243" s="5" t="s">
        <v>665</v>
      </c>
      <c r="C6243" s="5" t="s">
        <v>728</v>
      </c>
      <c r="D6243" s="25" t="s">
        <v>300</v>
      </c>
      <c r="E6243" s="64" t="s">
        <v>36</v>
      </c>
      <c r="F6243" s="2">
        <v>92</v>
      </c>
      <c r="G6243" s="2">
        <v>0</v>
      </c>
      <c r="H6243" s="2">
        <v>0</v>
      </c>
    </row>
    <row r="6244" spans="1:8" x14ac:dyDescent="0.4">
      <c r="A6244">
        <v>2000</v>
      </c>
      <c r="B6244" s="5" t="s">
        <v>666</v>
      </c>
      <c r="C6244" s="5" t="s">
        <v>728</v>
      </c>
      <c r="D6244" s="25" t="s">
        <v>300</v>
      </c>
      <c r="E6244" s="64" t="s">
        <v>301</v>
      </c>
      <c r="F6244" s="2">
        <v>184</v>
      </c>
      <c r="G6244" s="2">
        <v>0</v>
      </c>
      <c r="H6244" s="2">
        <v>0</v>
      </c>
    </row>
    <row r="6245" spans="1:8" x14ac:dyDescent="0.4">
      <c r="A6245">
        <v>2000</v>
      </c>
      <c r="B6245" s="5" t="s">
        <v>667</v>
      </c>
      <c r="C6245" s="5" t="s">
        <v>728</v>
      </c>
      <c r="D6245" s="25" t="s">
        <v>300</v>
      </c>
      <c r="E6245" s="64" t="s">
        <v>302</v>
      </c>
      <c r="F6245" s="2">
        <v>80</v>
      </c>
      <c r="G6245" s="2">
        <v>0</v>
      </c>
      <c r="H6245" s="2">
        <v>0</v>
      </c>
    </row>
    <row r="6246" spans="1:8" x14ac:dyDescent="0.4">
      <c r="A6246">
        <v>2000</v>
      </c>
      <c r="B6246" s="5" t="s">
        <v>668</v>
      </c>
      <c r="C6246" s="5" t="s">
        <v>728</v>
      </c>
      <c r="D6246" s="25" t="s">
        <v>300</v>
      </c>
      <c r="E6246" s="64" t="s">
        <v>14</v>
      </c>
      <c r="F6246" s="2">
        <v>75</v>
      </c>
      <c r="G6246" s="2">
        <v>0</v>
      </c>
      <c r="H6246" s="2">
        <v>0</v>
      </c>
    </row>
    <row r="6247" spans="1:8" x14ac:dyDescent="0.4">
      <c r="A6247">
        <v>2000</v>
      </c>
      <c r="B6247" s="5" t="s">
        <v>669</v>
      </c>
      <c r="C6247" s="5" t="s">
        <v>728</v>
      </c>
      <c r="D6247" s="25" t="s">
        <v>300</v>
      </c>
      <c r="E6247" s="64" t="s">
        <v>303</v>
      </c>
      <c r="F6247" s="2">
        <v>24</v>
      </c>
      <c r="G6247" s="2">
        <v>0</v>
      </c>
      <c r="H6247" s="2">
        <v>0</v>
      </c>
    </row>
    <row r="6248" spans="1:8" x14ac:dyDescent="0.4">
      <c r="A6248">
        <v>2000</v>
      </c>
      <c r="B6248" s="5" t="s">
        <v>670</v>
      </c>
      <c r="C6248" s="5" t="s">
        <v>728</v>
      </c>
      <c r="D6248" s="25" t="s">
        <v>300</v>
      </c>
      <c r="E6248" s="64" t="s">
        <v>304</v>
      </c>
      <c r="F6248" s="2">
        <v>16</v>
      </c>
      <c r="G6248" s="2">
        <v>0</v>
      </c>
      <c r="H6248" s="2">
        <v>0</v>
      </c>
    </row>
    <row r="6249" spans="1:8" x14ac:dyDescent="0.4">
      <c r="A6249">
        <v>2000</v>
      </c>
      <c r="B6249" s="5" t="s">
        <v>671</v>
      </c>
      <c r="C6249" s="5" t="s">
        <v>728</v>
      </c>
      <c r="D6249" s="25" t="s">
        <v>300</v>
      </c>
      <c r="E6249" s="64" t="s">
        <v>305</v>
      </c>
      <c r="F6249" s="2">
        <v>15</v>
      </c>
      <c r="G6249" s="2">
        <v>0</v>
      </c>
      <c r="H6249" s="2">
        <v>0</v>
      </c>
    </row>
    <row r="6250" spans="1:8" x14ac:dyDescent="0.4">
      <c r="A6250">
        <v>2000</v>
      </c>
      <c r="B6250" s="5" t="s">
        <v>672</v>
      </c>
      <c r="C6250" s="5" t="s">
        <v>728</v>
      </c>
      <c r="D6250" s="25" t="s">
        <v>300</v>
      </c>
      <c r="E6250" s="64" t="s">
        <v>306</v>
      </c>
      <c r="F6250" s="2">
        <v>210</v>
      </c>
      <c r="G6250" s="2">
        <v>0</v>
      </c>
      <c r="H6250" s="2">
        <v>0</v>
      </c>
    </row>
    <row r="6251" spans="1:8" x14ac:dyDescent="0.4">
      <c r="A6251">
        <v>2000</v>
      </c>
      <c r="B6251" s="5" t="s">
        <v>673</v>
      </c>
      <c r="C6251" s="5" t="s">
        <v>728</v>
      </c>
      <c r="D6251" s="25" t="s">
        <v>300</v>
      </c>
      <c r="E6251" s="64" t="s">
        <v>307</v>
      </c>
      <c r="F6251" s="2">
        <v>246</v>
      </c>
      <c r="G6251" s="2">
        <v>0</v>
      </c>
      <c r="H6251" s="2">
        <v>0</v>
      </c>
    </row>
    <row r="6252" spans="1:8" x14ac:dyDescent="0.4">
      <c r="A6252">
        <v>2000</v>
      </c>
      <c r="B6252" s="5" t="s">
        <v>674</v>
      </c>
      <c r="C6252" s="5" t="s">
        <v>728</v>
      </c>
      <c r="D6252" s="25" t="s">
        <v>300</v>
      </c>
      <c r="E6252" s="64" t="s">
        <v>308</v>
      </c>
      <c r="F6252" s="2">
        <v>1127</v>
      </c>
      <c r="G6252" s="2">
        <v>0</v>
      </c>
      <c r="H6252" s="2">
        <v>0</v>
      </c>
    </row>
    <row r="6253" spans="1:8" x14ac:dyDescent="0.4">
      <c r="A6253">
        <v>2000</v>
      </c>
      <c r="B6253" s="5" t="s">
        <v>675</v>
      </c>
      <c r="C6253" s="5" t="s">
        <v>728</v>
      </c>
      <c r="D6253" s="25" t="s">
        <v>300</v>
      </c>
      <c r="E6253" s="64" t="s">
        <v>51</v>
      </c>
      <c r="F6253" s="2">
        <v>40</v>
      </c>
      <c r="G6253" s="2">
        <v>0</v>
      </c>
      <c r="H6253" s="2">
        <v>0</v>
      </c>
    </row>
    <row r="6254" spans="1:8" x14ac:dyDescent="0.4">
      <c r="A6254">
        <v>2000</v>
      </c>
      <c r="B6254" s="5" t="s">
        <v>676</v>
      </c>
      <c r="C6254" s="5" t="s">
        <v>728</v>
      </c>
      <c r="D6254" s="25" t="s">
        <v>300</v>
      </c>
      <c r="E6254" s="64" t="s">
        <v>309</v>
      </c>
      <c r="F6254" s="2">
        <v>45</v>
      </c>
      <c r="G6254" s="2">
        <v>0</v>
      </c>
      <c r="H6254" s="2">
        <v>0</v>
      </c>
    </row>
    <row r="6255" spans="1:8" x14ac:dyDescent="0.4">
      <c r="A6255">
        <v>2000</v>
      </c>
      <c r="B6255" s="5" t="s">
        <v>677</v>
      </c>
      <c r="C6255" s="5" t="s">
        <v>728</v>
      </c>
      <c r="D6255" s="25" t="s">
        <v>300</v>
      </c>
      <c r="E6255" s="64" t="s">
        <v>310</v>
      </c>
      <c r="F6255" s="2">
        <v>51</v>
      </c>
      <c r="G6255" s="2">
        <v>0</v>
      </c>
      <c r="H6255" s="2">
        <v>0</v>
      </c>
    </row>
    <row r="6256" spans="1:8" x14ac:dyDescent="0.4">
      <c r="A6256">
        <v>2000</v>
      </c>
      <c r="B6256" s="5" t="s">
        <v>678</v>
      </c>
      <c r="C6256" s="5" t="s">
        <v>729</v>
      </c>
      <c r="D6256" s="25" t="s">
        <v>312</v>
      </c>
      <c r="E6256" s="64" t="s">
        <v>311</v>
      </c>
      <c r="F6256" s="2">
        <v>26</v>
      </c>
      <c r="G6256" s="2">
        <v>0</v>
      </c>
      <c r="H6256" s="2">
        <v>0</v>
      </c>
    </row>
    <row r="6257" spans="1:8" x14ac:dyDescent="0.4">
      <c r="A6257">
        <v>2000</v>
      </c>
      <c r="B6257" s="5" t="s">
        <v>679</v>
      </c>
      <c r="C6257" s="5" t="s">
        <v>729</v>
      </c>
      <c r="D6257" s="25" t="s">
        <v>312</v>
      </c>
      <c r="E6257" s="64" t="s">
        <v>313</v>
      </c>
      <c r="F6257" s="2">
        <v>256</v>
      </c>
      <c r="G6257" s="2">
        <v>0</v>
      </c>
      <c r="H6257" s="2">
        <v>0</v>
      </c>
    </row>
    <row r="6258" spans="1:8" x14ac:dyDescent="0.4">
      <c r="A6258">
        <v>2000</v>
      </c>
      <c r="B6258" s="5" t="s">
        <v>680</v>
      </c>
      <c r="C6258" s="5" t="s">
        <v>729</v>
      </c>
      <c r="D6258" s="25" t="s">
        <v>312</v>
      </c>
      <c r="E6258" s="64" t="s">
        <v>314</v>
      </c>
      <c r="F6258" s="2">
        <v>1003</v>
      </c>
      <c r="G6258" s="2">
        <v>0</v>
      </c>
      <c r="H6258" s="2">
        <v>0</v>
      </c>
    </row>
    <row r="6259" spans="1:8" x14ac:dyDescent="0.4">
      <c r="A6259">
        <v>2000</v>
      </c>
      <c r="B6259" s="5" t="s">
        <v>681</v>
      </c>
      <c r="C6259" s="5" t="s">
        <v>729</v>
      </c>
      <c r="D6259" s="25" t="s">
        <v>312</v>
      </c>
      <c r="E6259" s="64" t="s">
        <v>315</v>
      </c>
      <c r="F6259" s="2">
        <v>86</v>
      </c>
      <c r="G6259" s="2">
        <v>0</v>
      </c>
      <c r="H6259" s="2">
        <v>0</v>
      </c>
    </row>
    <row r="6260" spans="1:8" x14ac:dyDescent="0.4">
      <c r="A6260">
        <v>2000</v>
      </c>
      <c r="B6260" s="5" t="s">
        <v>682</v>
      </c>
      <c r="C6260" s="5" t="s">
        <v>729</v>
      </c>
      <c r="D6260" s="25" t="s">
        <v>312</v>
      </c>
      <c r="E6260" s="64" t="s">
        <v>316</v>
      </c>
      <c r="F6260" s="2">
        <v>407</v>
      </c>
      <c r="G6260" s="2">
        <v>0</v>
      </c>
      <c r="H6260" s="2">
        <v>0</v>
      </c>
    </row>
    <row r="6261" spans="1:8" x14ac:dyDescent="0.4">
      <c r="A6261">
        <v>2000</v>
      </c>
      <c r="B6261" s="5" t="s">
        <v>683</v>
      </c>
      <c r="C6261" s="5" t="s">
        <v>729</v>
      </c>
      <c r="D6261" s="25" t="s">
        <v>312</v>
      </c>
      <c r="E6261" s="64" t="s">
        <v>317</v>
      </c>
      <c r="F6261" s="2">
        <v>63</v>
      </c>
      <c r="G6261" s="2">
        <v>0</v>
      </c>
      <c r="H6261" s="2">
        <v>0</v>
      </c>
    </row>
    <row r="6262" spans="1:8" x14ac:dyDescent="0.4">
      <c r="A6262">
        <v>2000</v>
      </c>
      <c r="B6262" s="5" t="s">
        <v>684</v>
      </c>
      <c r="C6262" s="5" t="s">
        <v>729</v>
      </c>
      <c r="D6262" s="25" t="s">
        <v>312</v>
      </c>
      <c r="E6262" s="64" t="s">
        <v>318</v>
      </c>
      <c r="F6262" s="2">
        <v>327</v>
      </c>
      <c r="G6262" s="2">
        <v>0</v>
      </c>
      <c r="H6262" s="2">
        <v>0</v>
      </c>
    </row>
    <row r="6263" spans="1:8" x14ac:dyDescent="0.4">
      <c r="A6263">
        <v>2000</v>
      </c>
      <c r="B6263" s="5" t="s">
        <v>685</v>
      </c>
      <c r="C6263" s="5" t="s">
        <v>729</v>
      </c>
      <c r="D6263" s="25" t="s">
        <v>312</v>
      </c>
      <c r="E6263" s="64" t="s">
        <v>319</v>
      </c>
      <c r="F6263" s="2">
        <v>56</v>
      </c>
      <c r="G6263" s="2">
        <v>0</v>
      </c>
      <c r="H6263" s="2">
        <v>0</v>
      </c>
    </row>
    <row r="6264" spans="1:8" x14ac:dyDescent="0.4">
      <c r="A6264">
        <v>2000</v>
      </c>
      <c r="B6264" s="5" t="s">
        <v>686</v>
      </c>
      <c r="C6264" s="5" t="s">
        <v>729</v>
      </c>
      <c r="D6264" s="25" t="s">
        <v>312</v>
      </c>
      <c r="E6264" s="64" t="s">
        <v>320</v>
      </c>
      <c r="F6264" s="2">
        <v>140</v>
      </c>
      <c r="G6264" s="2">
        <v>0</v>
      </c>
      <c r="H6264" s="2">
        <v>0</v>
      </c>
    </row>
    <row r="6265" spans="1:8" x14ac:dyDescent="0.4">
      <c r="A6265">
        <v>2000</v>
      </c>
      <c r="B6265" s="5" t="s">
        <v>687</v>
      </c>
      <c r="C6265" s="5" t="s">
        <v>729</v>
      </c>
      <c r="D6265" s="25" t="s">
        <v>312</v>
      </c>
      <c r="E6265" s="64" t="s">
        <v>321</v>
      </c>
      <c r="F6265" s="2">
        <v>843</v>
      </c>
      <c r="G6265" s="2">
        <v>0</v>
      </c>
      <c r="H6265" s="2">
        <v>0</v>
      </c>
    </row>
    <row r="6266" spans="1:8" x14ac:dyDescent="0.4">
      <c r="A6266">
        <v>2000</v>
      </c>
      <c r="B6266" s="5" t="s">
        <v>688</v>
      </c>
      <c r="C6266" s="5" t="s">
        <v>729</v>
      </c>
      <c r="D6266" s="25" t="s">
        <v>312</v>
      </c>
      <c r="E6266" s="64" t="s">
        <v>322</v>
      </c>
      <c r="F6266" s="2">
        <v>356</v>
      </c>
      <c r="G6266" s="2">
        <v>0</v>
      </c>
      <c r="H6266" s="2">
        <v>0</v>
      </c>
    </row>
    <row r="6267" spans="1:8" x14ac:dyDescent="0.4">
      <c r="A6267">
        <v>2000</v>
      </c>
      <c r="B6267" s="5" t="s">
        <v>689</v>
      </c>
      <c r="C6267" s="5" t="s">
        <v>729</v>
      </c>
      <c r="D6267" s="25" t="s">
        <v>312</v>
      </c>
      <c r="E6267" s="64" t="s">
        <v>323</v>
      </c>
      <c r="F6267" s="2">
        <v>633</v>
      </c>
      <c r="G6267" s="2">
        <v>0</v>
      </c>
      <c r="H6267" s="2">
        <v>0</v>
      </c>
    </row>
    <row r="6268" spans="1:8" x14ac:dyDescent="0.4">
      <c r="A6268">
        <v>2000</v>
      </c>
      <c r="B6268" s="5" t="s">
        <v>690</v>
      </c>
      <c r="C6268" s="5" t="s">
        <v>729</v>
      </c>
      <c r="D6268" s="25" t="s">
        <v>312</v>
      </c>
      <c r="E6268" s="64" t="s">
        <v>324</v>
      </c>
      <c r="F6268" s="2">
        <v>7660</v>
      </c>
      <c r="G6268" s="2">
        <v>0</v>
      </c>
      <c r="H6268" s="2">
        <v>0</v>
      </c>
    </row>
    <row r="6269" spans="1:8" x14ac:dyDescent="0.4">
      <c r="A6269">
        <v>2000</v>
      </c>
      <c r="B6269" s="5" t="s">
        <v>691</v>
      </c>
      <c r="C6269" s="5" t="s">
        <v>729</v>
      </c>
      <c r="D6269" s="25" t="s">
        <v>312</v>
      </c>
      <c r="E6269" s="64" t="s">
        <v>85</v>
      </c>
      <c r="F6269" s="2">
        <v>251</v>
      </c>
      <c r="G6269" s="2">
        <v>0</v>
      </c>
      <c r="H6269" s="2">
        <v>0</v>
      </c>
    </row>
    <row r="6270" spans="1:8" x14ac:dyDescent="0.4">
      <c r="A6270">
        <v>2000</v>
      </c>
      <c r="B6270" s="5" t="s">
        <v>692</v>
      </c>
      <c r="C6270" s="5" t="s">
        <v>729</v>
      </c>
      <c r="D6270" s="25" t="s">
        <v>312</v>
      </c>
      <c r="E6270" s="64" t="s">
        <v>32</v>
      </c>
      <c r="F6270" s="2">
        <v>106</v>
      </c>
      <c r="G6270" s="2">
        <v>0</v>
      </c>
      <c r="H6270" s="2">
        <v>0</v>
      </c>
    </row>
    <row r="6271" spans="1:8" x14ac:dyDescent="0.4">
      <c r="A6271">
        <v>2000</v>
      </c>
      <c r="B6271" s="5" t="s">
        <v>693</v>
      </c>
      <c r="C6271" s="5" t="s">
        <v>729</v>
      </c>
      <c r="D6271" s="25" t="s">
        <v>312</v>
      </c>
      <c r="E6271" s="64" t="s">
        <v>325</v>
      </c>
      <c r="F6271" s="2">
        <v>223</v>
      </c>
      <c r="G6271" s="2">
        <v>0</v>
      </c>
      <c r="H6271" s="2">
        <v>0</v>
      </c>
    </row>
    <row r="6272" spans="1:8" x14ac:dyDescent="0.4">
      <c r="A6272">
        <v>2000</v>
      </c>
      <c r="B6272" s="5" t="s">
        <v>694</v>
      </c>
      <c r="C6272" s="5" t="s">
        <v>729</v>
      </c>
      <c r="D6272" s="25" t="s">
        <v>312</v>
      </c>
      <c r="E6272" s="64" t="s">
        <v>144</v>
      </c>
      <c r="F6272" s="2">
        <v>1045</v>
      </c>
      <c r="G6272" s="2">
        <v>0</v>
      </c>
      <c r="H6272" s="2">
        <v>0</v>
      </c>
    </row>
    <row r="6273" spans="1:8" x14ac:dyDescent="0.4">
      <c r="A6273">
        <v>2000</v>
      </c>
      <c r="B6273" s="5" t="s">
        <v>695</v>
      </c>
      <c r="C6273" s="5" t="s">
        <v>729</v>
      </c>
      <c r="D6273" s="25" t="s">
        <v>312</v>
      </c>
      <c r="E6273" s="64" t="s">
        <v>326</v>
      </c>
      <c r="F6273" s="2">
        <v>142</v>
      </c>
      <c r="G6273" s="2">
        <v>0</v>
      </c>
      <c r="H6273" s="2">
        <v>0</v>
      </c>
    </row>
    <row r="6274" spans="1:8" x14ac:dyDescent="0.4">
      <c r="A6274">
        <v>2000</v>
      </c>
      <c r="B6274" s="5" t="s">
        <v>696</v>
      </c>
      <c r="C6274" s="5" t="s">
        <v>729</v>
      </c>
      <c r="D6274" s="25" t="s">
        <v>312</v>
      </c>
      <c r="E6274" s="64" t="s">
        <v>25</v>
      </c>
      <c r="F6274" s="2">
        <v>59</v>
      </c>
      <c r="G6274" s="2">
        <v>0</v>
      </c>
      <c r="H6274" s="2">
        <v>0</v>
      </c>
    </row>
    <row r="6275" spans="1:8" x14ac:dyDescent="0.4">
      <c r="A6275">
        <v>2000</v>
      </c>
      <c r="B6275" s="5" t="s">
        <v>697</v>
      </c>
      <c r="C6275" s="5" t="s">
        <v>729</v>
      </c>
      <c r="D6275" s="25" t="s">
        <v>312</v>
      </c>
      <c r="E6275" s="64" t="s">
        <v>51</v>
      </c>
      <c r="F6275" s="2">
        <v>234</v>
      </c>
      <c r="G6275" s="2">
        <v>0</v>
      </c>
      <c r="H6275" s="2">
        <v>0</v>
      </c>
    </row>
    <row r="6276" spans="1:8" x14ac:dyDescent="0.4">
      <c r="A6276">
        <v>2000</v>
      </c>
      <c r="B6276" s="5" t="s">
        <v>698</v>
      </c>
      <c r="C6276" s="5" t="s">
        <v>729</v>
      </c>
      <c r="D6276" s="25" t="s">
        <v>312</v>
      </c>
      <c r="E6276" s="65" t="s">
        <v>327</v>
      </c>
      <c r="F6276" s="2">
        <v>133</v>
      </c>
      <c r="G6276" s="2">
        <v>0</v>
      </c>
      <c r="H6276" s="2">
        <v>0</v>
      </c>
    </row>
    <row r="6277" spans="1:8" x14ac:dyDescent="0.4">
      <c r="A6277">
        <v>2000</v>
      </c>
      <c r="B6277" s="5" t="s">
        <v>733</v>
      </c>
      <c r="C6277" s="5" t="s">
        <v>715</v>
      </c>
      <c r="D6277" s="25" t="s">
        <v>734</v>
      </c>
      <c r="E6277" s="65" t="s">
        <v>735</v>
      </c>
      <c r="F6277" s="2">
        <v>0</v>
      </c>
      <c r="G6277" s="2">
        <v>0</v>
      </c>
      <c r="H6277" s="2">
        <v>0</v>
      </c>
    </row>
    <row r="6278" spans="1:8" x14ac:dyDescent="0.4">
      <c r="A6278">
        <v>1999</v>
      </c>
      <c r="B6278" s="2" t="s">
        <v>760</v>
      </c>
      <c r="C6278" s="2" t="s">
        <v>727</v>
      </c>
      <c r="D6278" s="2" t="s">
        <v>288</v>
      </c>
      <c r="E6278" s="70" t="s">
        <v>757</v>
      </c>
      <c r="F6278" s="29">
        <v>1579</v>
      </c>
      <c r="G6278" s="29">
        <v>0</v>
      </c>
      <c r="H6278" s="33">
        <v>0</v>
      </c>
    </row>
    <row r="6279" spans="1:8" x14ac:dyDescent="0.4">
      <c r="A6279">
        <v>1999</v>
      </c>
      <c r="B6279" s="2" t="s">
        <v>761</v>
      </c>
      <c r="C6279" s="2" t="s">
        <v>706</v>
      </c>
      <c r="D6279" s="2" t="s">
        <v>106</v>
      </c>
      <c r="E6279" s="70" t="s">
        <v>756</v>
      </c>
      <c r="F6279" s="29">
        <v>14242</v>
      </c>
      <c r="G6279" s="29">
        <v>0</v>
      </c>
      <c r="H6279" s="33">
        <v>0</v>
      </c>
    </row>
    <row r="6280" spans="1:8" x14ac:dyDescent="0.4">
      <c r="A6280">
        <v>1999</v>
      </c>
      <c r="B6280" s="2" t="s">
        <v>335</v>
      </c>
      <c r="C6280" s="2" t="s">
        <v>706</v>
      </c>
      <c r="D6280" s="2" t="s">
        <v>106</v>
      </c>
      <c r="E6280" s="70" t="s">
        <v>105</v>
      </c>
      <c r="F6280" s="29">
        <v>0</v>
      </c>
      <c r="G6280" s="29">
        <v>0</v>
      </c>
      <c r="H6280" s="33">
        <v>0</v>
      </c>
    </row>
    <row r="6281" spans="1:8" x14ac:dyDescent="0.4">
      <c r="A6281">
        <v>1999</v>
      </c>
      <c r="B6281" s="2" t="s">
        <v>336</v>
      </c>
      <c r="C6281" s="2" t="s">
        <v>706</v>
      </c>
      <c r="D6281" s="2" t="s">
        <v>106</v>
      </c>
      <c r="E6281" s="70" t="s">
        <v>107</v>
      </c>
      <c r="F6281" s="29">
        <v>0</v>
      </c>
      <c r="G6281" s="29">
        <v>0</v>
      </c>
      <c r="H6281" s="33">
        <v>0</v>
      </c>
    </row>
    <row r="6282" spans="1:8" x14ac:dyDescent="0.4">
      <c r="A6282">
        <v>1999</v>
      </c>
      <c r="B6282" s="2" t="s">
        <v>337</v>
      </c>
      <c r="C6282" s="2" t="s">
        <v>706</v>
      </c>
      <c r="D6282" s="2" t="s">
        <v>106</v>
      </c>
      <c r="E6282" s="70" t="s">
        <v>108</v>
      </c>
      <c r="F6282" s="29">
        <v>0</v>
      </c>
      <c r="G6282" s="29">
        <v>0</v>
      </c>
      <c r="H6282" s="33">
        <v>0</v>
      </c>
    </row>
    <row r="6283" spans="1:8" x14ac:dyDescent="0.4">
      <c r="A6283">
        <v>1999</v>
      </c>
      <c r="B6283" s="2" t="s">
        <v>338</v>
      </c>
      <c r="C6283" s="2" t="s">
        <v>706</v>
      </c>
      <c r="D6283" s="2" t="s">
        <v>106</v>
      </c>
      <c r="E6283" s="70" t="s">
        <v>109</v>
      </c>
      <c r="F6283" s="29">
        <v>0</v>
      </c>
      <c r="G6283" s="29">
        <v>0</v>
      </c>
      <c r="H6283" s="33">
        <v>0</v>
      </c>
    </row>
    <row r="6284" spans="1:8" x14ac:dyDescent="0.4">
      <c r="A6284">
        <v>1999</v>
      </c>
      <c r="B6284" s="2" t="s">
        <v>339</v>
      </c>
      <c r="C6284" s="2" t="s">
        <v>706</v>
      </c>
      <c r="D6284" s="2" t="s">
        <v>106</v>
      </c>
      <c r="E6284" s="70" t="s">
        <v>110</v>
      </c>
      <c r="F6284" s="29">
        <v>0</v>
      </c>
      <c r="G6284" s="29">
        <v>0</v>
      </c>
      <c r="H6284" s="33">
        <v>0</v>
      </c>
    </row>
    <row r="6285" spans="1:8" x14ac:dyDescent="0.4">
      <c r="A6285">
        <v>1999</v>
      </c>
      <c r="B6285" s="2" t="s">
        <v>340</v>
      </c>
      <c r="C6285" s="2" t="s">
        <v>706</v>
      </c>
      <c r="D6285" s="2" t="s">
        <v>106</v>
      </c>
      <c r="E6285" s="70" t="s">
        <v>111</v>
      </c>
      <c r="F6285" s="29">
        <v>0</v>
      </c>
      <c r="G6285" s="29">
        <v>0</v>
      </c>
      <c r="H6285" s="33">
        <v>0</v>
      </c>
    </row>
    <row r="6286" spans="1:8" x14ac:dyDescent="0.4">
      <c r="A6286">
        <v>1999</v>
      </c>
      <c r="B6286" s="2" t="s">
        <v>341</v>
      </c>
      <c r="C6286" s="2" t="s">
        <v>706</v>
      </c>
      <c r="D6286" s="2" t="s">
        <v>106</v>
      </c>
      <c r="E6286" s="70" t="s">
        <v>112</v>
      </c>
      <c r="F6286" s="29">
        <v>0</v>
      </c>
      <c r="G6286" s="29">
        <v>0</v>
      </c>
      <c r="H6286" s="33">
        <v>0</v>
      </c>
    </row>
    <row r="6287" spans="1:8" x14ac:dyDescent="0.4">
      <c r="A6287">
        <v>1999</v>
      </c>
      <c r="B6287" s="2" t="s">
        <v>342</v>
      </c>
      <c r="C6287" s="2" t="s">
        <v>706</v>
      </c>
      <c r="D6287" s="2" t="s">
        <v>106</v>
      </c>
      <c r="E6287" s="70" t="s">
        <v>113</v>
      </c>
      <c r="F6287" s="29">
        <v>0</v>
      </c>
      <c r="G6287" s="29">
        <v>0</v>
      </c>
      <c r="H6287" s="33">
        <v>0</v>
      </c>
    </row>
    <row r="6288" spans="1:8" x14ac:dyDescent="0.4">
      <c r="A6288">
        <v>1999</v>
      </c>
      <c r="B6288" s="2" t="s">
        <v>343</v>
      </c>
      <c r="C6288" s="2" t="s">
        <v>706</v>
      </c>
      <c r="D6288" s="2" t="s">
        <v>106</v>
      </c>
      <c r="E6288" s="70" t="s">
        <v>114</v>
      </c>
      <c r="F6288" s="29">
        <v>0</v>
      </c>
      <c r="G6288" s="29">
        <v>0</v>
      </c>
      <c r="H6288" s="33">
        <v>0</v>
      </c>
    </row>
    <row r="6289" spans="1:8" x14ac:dyDescent="0.4">
      <c r="A6289">
        <v>1999</v>
      </c>
      <c r="B6289" s="2" t="s">
        <v>344</v>
      </c>
      <c r="C6289" s="2" t="s">
        <v>706</v>
      </c>
      <c r="D6289" s="2" t="s">
        <v>106</v>
      </c>
      <c r="E6289" s="70" t="s">
        <v>115</v>
      </c>
      <c r="F6289" s="29">
        <v>0</v>
      </c>
      <c r="G6289" s="29">
        <v>0</v>
      </c>
      <c r="H6289" s="33">
        <v>0</v>
      </c>
    </row>
    <row r="6290" spans="1:8" x14ac:dyDescent="0.4">
      <c r="A6290">
        <v>1999</v>
      </c>
      <c r="B6290" s="2" t="s">
        <v>345</v>
      </c>
      <c r="C6290" s="2" t="s">
        <v>706</v>
      </c>
      <c r="D6290" s="2" t="s">
        <v>106</v>
      </c>
      <c r="E6290" s="70" t="s">
        <v>116</v>
      </c>
      <c r="F6290" s="29">
        <v>0</v>
      </c>
      <c r="G6290" s="29">
        <v>0</v>
      </c>
      <c r="H6290" s="33">
        <v>0</v>
      </c>
    </row>
    <row r="6291" spans="1:8" x14ac:dyDescent="0.4">
      <c r="A6291">
        <v>1999</v>
      </c>
      <c r="B6291" s="2" t="s">
        <v>346</v>
      </c>
      <c r="C6291" s="2" t="s">
        <v>706</v>
      </c>
      <c r="D6291" s="2" t="s">
        <v>106</v>
      </c>
      <c r="E6291" s="70" t="s">
        <v>117</v>
      </c>
      <c r="F6291" s="29">
        <v>0</v>
      </c>
      <c r="G6291" s="29">
        <v>0</v>
      </c>
      <c r="H6291" s="33">
        <v>0</v>
      </c>
    </row>
    <row r="6292" spans="1:8" x14ac:dyDescent="0.4">
      <c r="A6292">
        <v>1999</v>
      </c>
      <c r="B6292" s="2" t="s">
        <v>347</v>
      </c>
      <c r="C6292" s="2" t="s">
        <v>706</v>
      </c>
      <c r="D6292" s="2" t="s">
        <v>106</v>
      </c>
      <c r="E6292" s="70" t="s">
        <v>118</v>
      </c>
      <c r="F6292" s="29">
        <v>0</v>
      </c>
      <c r="G6292" s="29">
        <v>0</v>
      </c>
      <c r="H6292" s="33">
        <v>0</v>
      </c>
    </row>
    <row r="6293" spans="1:8" x14ac:dyDescent="0.4">
      <c r="A6293">
        <v>1999</v>
      </c>
      <c r="B6293" s="2" t="s">
        <v>348</v>
      </c>
      <c r="C6293" s="2" t="s">
        <v>706</v>
      </c>
      <c r="D6293" s="2" t="s">
        <v>106</v>
      </c>
      <c r="E6293" s="70" t="s">
        <v>119</v>
      </c>
      <c r="F6293" s="29">
        <v>0</v>
      </c>
      <c r="G6293" s="29">
        <v>0</v>
      </c>
      <c r="H6293" s="33">
        <v>0</v>
      </c>
    </row>
    <row r="6294" spans="1:8" x14ac:dyDescent="0.4">
      <c r="A6294">
        <v>1999</v>
      </c>
      <c r="B6294" s="2" t="s">
        <v>349</v>
      </c>
      <c r="C6294" s="2" t="s">
        <v>706</v>
      </c>
      <c r="D6294" s="2" t="s">
        <v>106</v>
      </c>
      <c r="E6294" s="70" t="s">
        <v>120</v>
      </c>
      <c r="F6294" s="29">
        <v>0</v>
      </c>
      <c r="G6294" s="29">
        <v>0</v>
      </c>
      <c r="H6294" s="33">
        <v>0</v>
      </c>
    </row>
    <row r="6295" spans="1:8" x14ac:dyDescent="0.4">
      <c r="A6295">
        <v>1999</v>
      </c>
      <c r="B6295" s="2" t="s">
        <v>350</v>
      </c>
      <c r="C6295" s="2" t="s">
        <v>706</v>
      </c>
      <c r="D6295" s="2" t="s">
        <v>106</v>
      </c>
      <c r="E6295" s="70" t="s">
        <v>121</v>
      </c>
      <c r="F6295" s="29">
        <v>0</v>
      </c>
      <c r="G6295" s="29">
        <v>0</v>
      </c>
      <c r="H6295" s="33">
        <v>0</v>
      </c>
    </row>
    <row r="6296" spans="1:8" x14ac:dyDescent="0.4">
      <c r="A6296">
        <v>1999</v>
      </c>
      <c r="B6296" s="2" t="s">
        <v>351</v>
      </c>
      <c r="C6296" s="2" t="s">
        <v>706</v>
      </c>
      <c r="D6296" s="2" t="s">
        <v>106</v>
      </c>
      <c r="E6296" s="70" t="s">
        <v>122</v>
      </c>
      <c r="F6296" s="29">
        <v>0</v>
      </c>
      <c r="G6296" s="29">
        <v>0</v>
      </c>
      <c r="H6296" s="33">
        <v>0</v>
      </c>
    </row>
    <row r="6297" spans="1:8" x14ac:dyDescent="0.4">
      <c r="A6297">
        <v>1999</v>
      </c>
      <c r="B6297" s="2" t="s">
        <v>352</v>
      </c>
      <c r="C6297" s="2" t="s">
        <v>706</v>
      </c>
      <c r="D6297" s="2" t="s">
        <v>106</v>
      </c>
      <c r="E6297" s="70" t="s">
        <v>123</v>
      </c>
      <c r="F6297" s="29">
        <v>0</v>
      </c>
      <c r="G6297" s="29">
        <v>0</v>
      </c>
      <c r="H6297" s="33">
        <v>0</v>
      </c>
    </row>
    <row r="6298" spans="1:8" x14ac:dyDescent="0.4">
      <c r="A6298">
        <v>1999</v>
      </c>
      <c r="B6298" s="2" t="s">
        <v>353</v>
      </c>
      <c r="C6298" s="2" t="s">
        <v>706</v>
      </c>
      <c r="D6298" s="2" t="s">
        <v>106</v>
      </c>
      <c r="E6298" s="70" t="s">
        <v>124</v>
      </c>
      <c r="F6298" s="29">
        <v>0</v>
      </c>
      <c r="G6298" s="29">
        <v>0</v>
      </c>
      <c r="H6298" s="33">
        <v>0</v>
      </c>
    </row>
    <row r="6299" spans="1:8" x14ac:dyDescent="0.4">
      <c r="A6299">
        <v>1999</v>
      </c>
      <c r="B6299" s="2" t="s">
        <v>354</v>
      </c>
      <c r="C6299" s="2" t="s">
        <v>706</v>
      </c>
      <c r="D6299" s="2" t="s">
        <v>106</v>
      </c>
      <c r="E6299" s="70" t="s">
        <v>125</v>
      </c>
      <c r="F6299" s="29">
        <v>0</v>
      </c>
      <c r="G6299" s="29">
        <v>0</v>
      </c>
      <c r="H6299" s="33">
        <v>0</v>
      </c>
    </row>
    <row r="6300" spans="1:8" x14ac:dyDescent="0.4">
      <c r="A6300">
        <v>1999</v>
      </c>
      <c r="B6300" s="2" t="s">
        <v>355</v>
      </c>
      <c r="C6300" s="2" t="s">
        <v>706</v>
      </c>
      <c r="D6300" s="2" t="s">
        <v>106</v>
      </c>
      <c r="E6300" s="70" t="s">
        <v>126</v>
      </c>
      <c r="F6300" s="29">
        <v>0</v>
      </c>
      <c r="G6300" s="29">
        <v>0</v>
      </c>
      <c r="H6300" s="33">
        <v>0</v>
      </c>
    </row>
    <row r="6301" spans="1:8" x14ac:dyDescent="0.4">
      <c r="A6301">
        <v>1999</v>
      </c>
      <c r="B6301" s="2" t="s">
        <v>356</v>
      </c>
      <c r="C6301" s="2" t="s">
        <v>706</v>
      </c>
      <c r="D6301" s="2" t="s">
        <v>106</v>
      </c>
      <c r="E6301" s="70" t="s">
        <v>127</v>
      </c>
      <c r="F6301" s="29">
        <v>0</v>
      </c>
      <c r="G6301" s="29">
        <v>0</v>
      </c>
      <c r="H6301" s="33">
        <v>0</v>
      </c>
    </row>
    <row r="6302" spans="1:8" x14ac:dyDescent="0.4">
      <c r="A6302">
        <v>1999</v>
      </c>
      <c r="B6302" s="2" t="s">
        <v>357</v>
      </c>
      <c r="C6302" s="2" t="s">
        <v>707</v>
      </c>
      <c r="D6302" s="2" t="s">
        <v>1</v>
      </c>
      <c r="E6302" s="70" t="s">
        <v>0</v>
      </c>
      <c r="F6302" s="29">
        <v>29</v>
      </c>
      <c r="G6302" s="29">
        <v>0</v>
      </c>
      <c r="H6302" s="33">
        <v>0</v>
      </c>
    </row>
    <row r="6303" spans="1:8" x14ac:dyDescent="0.4">
      <c r="A6303">
        <v>1999</v>
      </c>
      <c r="B6303" s="2" t="s">
        <v>358</v>
      </c>
      <c r="C6303" s="2" t="s">
        <v>707</v>
      </c>
      <c r="D6303" s="2" t="s">
        <v>1</v>
      </c>
      <c r="E6303" s="70" t="s">
        <v>2</v>
      </c>
      <c r="F6303" s="29">
        <v>3</v>
      </c>
      <c r="G6303" s="29">
        <v>0</v>
      </c>
      <c r="H6303" s="33">
        <v>0</v>
      </c>
    </row>
    <row r="6304" spans="1:8" x14ac:dyDescent="0.4">
      <c r="A6304">
        <v>1999</v>
      </c>
      <c r="B6304" s="2" t="s">
        <v>359</v>
      </c>
      <c r="C6304" s="2" t="s">
        <v>707</v>
      </c>
      <c r="D6304" s="2" t="s">
        <v>1</v>
      </c>
      <c r="E6304" s="70" t="s">
        <v>3</v>
      </c>
      <c r="F6304" s="29">
        <v>359</v>
      </c>
      <c r="G6304" s="29">
        <v>0</v>
      </c>
      <c r="H6304" s="33">
        <v>0</v>
      </c>
    </row>
    <row r="6305" spans="1:8" x14ac:dyDescent="0.4">
      <c r="A6305">
        <v>1999</v>
      </c>
      <c r="B6305" s="2" t="s">
        <v>360</v>
      </c>
      <c r="C6305" s="2" t="s">
        <v>707</v>
      </c>
      <c r="D6305" s="2" t="s">
        <v>1</v>
      </c>
      <c r="E6305" s="70" t="s">
        <v>4</v>
      </c>
      <c r="F6305" s="29">
        <v>20</v>
      </c>
      <c r="G6305" s="29">
        <v>0</v>
      </c>
      <c r="H6305" s="33">
        <v>0</v>
      </c>
    </row>
    <row r="6306" spans="1:8" x14ac:dyDescent="0.4">
      <c r="A6306">
        <v>1999</v>
      </c>
      <c r="B6306" s="7" t="s">
        <v>361</v>
      </c>
      <c r="C6306" s="7" t="s">
        <v>707</v>
      </c>
      <c r="D6306" s="7" t="s">
        <v>1</v>
      </c>
      <c r="E6306" s="70" t="s">
        <v>5</v>
      </c>
      <c r="F6306" s="29">
        <v>3</v>
      </c>
      <c r="G6306" s="29">
        <v>0</v>
      </c>
      <c r="H6306" s="33">
        <v>0</v>
      </c>
    </row>
    <row r="6307" spans="1:8" x14ac:dyDescent="0.4">
      <c r="A6307">
        <v>1999</v>
      </c>
      <c r="B6307" s="2" t="s">
        <v>732</v>
      </c>
      <c r="C6307" s="2" t="s">
        <v>707</v>
      </c>
      <c r="D6307" s="2" t="s">
        <v>1</v>
      </c>
      <c r="E6307" s="70" t="s">
        <v>330</v>
      </c>
      <c r="F6307" s="29">
        <v>5</v>
      </c>
      <c r="G6307" s="29">
        <v>0</v>
      </c>
      <c r="H6307" s="33">
        <v>0</v>
      </c>
    </row>
    <row r="6308" spans="1:8" x14ac:dyDescent="0.4">
      <c r="A6308">
        <v>1999</v>
      </c>
      <c r="B6308" s="2" t="s">
        <v>730</v>
      </c>
      <c r="C6308" s="2" t="s">
        <v>707</v>
      </c>
      <c r="D6308" s="2" t="s">
        <v>1</v>
      </c>
      <c r="E6308" s="70" t="s">
        <v>328</v>
      </c>
      <c r="F6308" s="29">
        <v>0</v>
      </c>
      <c r="G6308" s="29">
        <v>0</v>
      </c>
      <c r="H6308" s="33">
        <v>0</v>
      </c>
    </row>
    <row r="6309" spans="1:8" x14ac:dyDescent="0.4">
      <c r="A6309">
        <v>1999</v>
      </c>
      <c r="B6309" s="2" t="s">
        <v>362</v>
      </c>
      <c r="C6309" s="2" t="s">
        <v>708</v>
      </c>
      <c r="D6309" s="2" t="s">
        <v>7</v>
      </c>
      <c r="E6309" s="70" t="s">
        <v>6</v>
      </c>
      <c r="F6309" s="29">
        <v>204</v>
      </c>
      <c r="G6309" s="29">
        <v>0</v>
      </c>
      <c r="H6309" s="33">
        <v>0</v>
      </c>
    </row>
    <row r="6310" spans="1:8" x14ac:dyDescent="0.4">
      <c r="A6310">
        <v>1999</v>
      </c>
      <c r="B6310" s="2" t="s">
        <v>363</v>
      </c>
      <c r="C6310" s="2" t="s">
        <v>708</v>
      </c>
      <c r="D6310" s="2" t="s">
        <v>7</v>
      </c>
      <c r="E6310" s="70" t="s">
        <v>8</v>
      </c>
      <c r="F6310" s="29">
        <v>103</v>
      </c>
      <c r="G6310" s="29">
        <v>0</v>
      </c>
      <c r="H6310" s="33">
        <v>0</v>
      </c>
    </row>
    <row r="6311" spans="1:8" x14ac:dyDescent="0.4">
      <c r="A6311">
        <v>1999</v>
      </c>
      <c r="B6311" s="2" t="s">
        <v>364</v>
      </c>
      <c r="C6311" s="2" t="s">
        <v>708</v>
      </c>
      <c r="D6311" s="2" t="s">
        <v>7</v>
      </c>
      <c r="E6311" s="70" t="s">
        <v>9</v>
      </c>
      <c r="F6311" s="29">
        <v>57</v>
      </c>
      <c r="G6311" s="29">
        <v>0</v>
      </c>
      <c r="H6311" s="33">
        <v>0</v>
      </c>
    </row>
    <row r="6312" spans="1:8" x14ac:dyDescent="0.4">
      <c r="A6312">
        <v>1999</v>
      </c>
      <c r="B6312" s="2" t="s">
        <v>365</v>
      </c>
      <c r="C6312" s="2" t="s">
        <v>708</v>
      </c>
      <c r="D6312" s="2" t="s">
        <v>7</v>
      </c>
      <c r="E6312" s="70" t="s">
        <v>10</v>
      </c>
      <c r="F6312" s="29">
        <v>39</v>
      </c>
      <c r="G6312" s="29">
        <v>0</v>
      </c>
      <c r="H6312" s="33">
        <v>0</v>
      </c>
    </row>
    <row r="6313" spans="1:8" x14ac:dyDescent="0.4">
      <c r="A6313">
        <v>1999</v>
      </c>
      <c r="B6313" s="2" t="s">
        <v>366</v>
      </c>
      <c r="C6313" s="2" t="s">
        <v>708</v>
      </c>
      <c r="D6313" s="2" t="s">
        <v>7</v>
      </c>
      <c r="E6313" s="70" t="s">
        <v>11</v>
      </c>
      <c r="F6313" s="29">
        <v>95</v>
      </c>
      <c r="G6313" s="29">
        <v>0</v>
      </c>
      <c r="H6313" s="33">
        <v>0</v>
      </c>
    </row>
    <row r="6314" spans="1:8" x14ac:dyDescent="0.4">
      <c r="A6314">
        <v>1999</v>
      </c>
      <c r="B6314" s="2" t="s">
        <v>367</v>
      </c>
      <c r="C6314" s="2" t="s">
        <v>708</v>
      </c>
      <c r="D6314" s="2" t="s">
        <v>7</v>
      </c>
      <c r="E6314" s="70" t="s">
        <v>12</v>
      </c>
      <c r="F6314" s="29">
        <v>45</v>
      </c>
      <c r="G6314" s="29">
        <v>0</v>
      </c>
      <c r="H6314" s="33">
        <v>0</v>
      </c>
    </row>
    <row r="6315" spans="1:8" x14ac:dyDescent="0.4">
      <c r="A6315">
        <v>1999</v>
      </c>
      <c r="B6315" s="2" t="s">
        <v>368</v>
      </c>
      <c r="C6315" s="2" t="s">
        <v>708</v>
      </c>
      <c r="D6315" s="2" t="s">
        <v>7</v>
      </c>
      <c r="E6315" s="70" t="s">
        <v>13</v>
      </c>
      <c r="F6315" s="29">
        <v>45</v>
      </c>
      <c r="G6315" s="29">
        <v>0</v>
      </c>
      <c r="H6315" s="33">
        <v>0</v>
      </c>
    </row>
    <row r="6316" spans="1:8" x14ac:dyDescent="0.4">
      <c r="A6316">
        <v>1999</v>
      </c>
      <c r="B6316" s="2" t="s">
        <v>369</v>
      </c>
      <c r="C6316" s="2" t="s">
        <v>708</v>
      </c>
      <c r="D6316" s="2" t="s">
        <v>7</v>
      </c>
      <c r="E6316" s="70" t="s">
        <v>14</v>
      </c>
      <c r="F6316" s="29">
        <v>76</v>
      </c>
      <c r="G6316" s="29">
        <v>0</v>
      </c>
      <c r="H6316" s="33">
        <v>0</v>
      </c>
    </row>
    <row r="6317" spans="1:8" x14ac:dyDescent="0.4">
      <c r="A6317">
        <v>1999</v>
      </c>
      <c r="B6317" s="2" t="s">
        <v>370</v>
      </c>
      <c r="C6317" s="2" t="s">
        <v>708</v>
      </c>
      <c r="D6317" s="2" t="s">
        <v>7</v>
      </c>
      <c r="E6317" s="70" t="s">
        <v>15</v>
      </c>
      <c r="F6317" s="29">
        <v>37</v>
      </c>
      <c r="G6317" s="29">
        <v>0</v>
      </c>
      <c r="H6317" s="33">
        <v>0</v>
      </c>
    </row>
    <row r="6318" spans="1:8" x14ac:dyDescent="0.4">
      <c r="A6318">
        <v>1999</v>
      </c>
      <c r="B6318" s="2" t="s">
        <v>371</v>
      </c>
      <c r="C6318" s="2" t="s">
        <v>708</v>
      </c>
      <c r="D6318" s="2" t="s">
        <v>7</v>
      </c>
      <c r="E6318" s="70" t="s">
        <v>16</v>
      </c>
      <c r="F6318" s="29">
        <v>457</v>
      </c>
      <c r="G6318" s="29">
        <v>0</v>
      </c>
      <c r="H6318" s="33">
        <v>0</v>
      </c>
    </row>
    <row r="6319" spans="1:8" x14ac:dyDescent="0.4">
      <c r="A6319">
        <v>1999</v>
      </c>
      <c r="B6319" s="2" t="s">
        <v>372</v>
      </c>
      <c r="C6319" s="2" t="s">
        <v>708</v>
      </c>
      <c r="D6319" s="2" t="s">
        <v>7</v>
      </c>
      <c r="E6319" s="70" t="s">
        <v>17</v>
      </c>
      <c r="F6319" s="29">
        <v>29</v>
      </c>
      <c r="G6319" s="29">
        <v>0</v>
      </c>
      <c r="H6319" s="33">
        <v>0</v>
      </c>
    </row>
    <row r="6320" spans="1:8" x14ac:dyDescent="0.4">
      <c r="A6320">
        <v>1999</v>
      </c>
      <c r="B6320" s="2" t="s">
        <v>373</v>
      </c>
      <c r="C6320" s="2" t="s">
        <v>708</v>
      </c>
      <c r="D6320" s="2" t="s">
        <v>7</v>
      </c>
      <c r="E6320" s="70" t="s">
        <v>18</v>
      </c>
      <c r="F6320" s="29">
        <v>36</v>
      </c>
      <c r="G6320" s="29">
        <v>0</v>
      </c>
      <c r="H6320" s="33">
        <v>0</v>
      </c>
    </row>
    <row r="6321" spans="1:8" x14ac:dyDescent="0.4">
      <c r="A6321">
        <v>1999</v>
      </c>
      <c r="B6321" s="2" t="s">
        <v>374</v>
      </c>
      <c r="C6321" s="2" t="s">
        <v>708</v>
      </c>
      <c r="D6321" s="2" t="s">
        <v>7</v>
      </c>
      <c r="E6321" s="70" t="s">
        <v>19</v>
      </c>
      <c r="F6321" s="29">
        <v>82</v>
      </c>
      <c r="G6321" s="29">
        <v>0</v>
      </c>
      <c r="H6321" s="33">
        <v>0</v>
      </c>
    </row>
    <row r="6322" spans="1:8" x14ac:dyDescent="0.4">
      <c r="A6322">
        <v>1999</v>
      </c>
      <c r="B6322" s="2" t="s">
        <v>375</v>
      </c>
      <c r="C6322" s="2" t="s">
        <v>708</v>
      </c>
      <c r="D6322" s="2" t="s">
        <v>7</v>
      </c>
      <c r="E6322" s="70" t="s">
        <v>20</v>
      </c>
      <c r="F6322" s="29">
        <v>238</v>
      </c>
      <c r="G6322" s="29">
        <v>0</v>
      </c>
      <c r="H6322" s="33">
        <v>0</v>
      </c>
    </row>
    <row r="6323" spans="1:8" x14ac:dyDescent="0.4">
      <c r="A6323">
        <v>1999</v>
      </c>
      <c r="B6323" s="2" t="s">
        <v>376</v>
      </c>
      <c r="C6323" s="2" t="s">
        <v>708</v>
      </c>
      <c r="D6323" s="2" t="s">
        <v>7</v>
      </c>
      <c r="E6323" s="70" t="s">
        <v>21</v>
      </c>
      <c r="F6323" s="29">
        <v>78</v>
      </c>
      <c r="G6323" s="29">
        <v>0</v>
      </c>
      <c r="H6323" s="33">
        <v>0</v>
      </c>
    </row>
    <row r="6324" spans="1:8" x14ac:dyDescent="0.4">
      <c r="A6324">
        <v>1999</v>
      </c>
      <c r="B6324" s="2" t="s">
        <v>377</v>
      </c>
      <c r="C6324" s="2" t="s">
        <v>708</v>
      </c>
      <c r="D6324" s="2" t="s">
        <v>7</v>
      </c>
      <c r="E6324" s="70" t="s">
        <v>22</v>
      </c>
      <c r="F6324" s="29">
        <v>119</v>
      </c>
      <c r="G6324" s="29">
        <v>0</v>
      </c>
      <c r="H6324" s="33">
        <v>0</v>
      </c>
    </row>
    <row r="6325" spans="1:8" x14ac:dyDescent="0.4">
      <c r="A6325">
        <v>1999</v>
      </c>
      <c r="B6325" s="2" t="s">
        <v>378</v>
      </c>
      <c r="C6325" s="2" t="s">
        <v>708</v>
      </c>
      <c r="D6325" s="2" t="s">
        <v>7</v>
      </c>
      <c r="E6325" s="70" t="s">
        <v>23</v>
      </c>
      <c r="F6325" s="29">
        <v>35</v>
      </c>
      <c r="G6325" s="29">
        <v>0</v>
      </c>
      <c r="H6325" s="33">
        <v>0</v>
      </c>
    </row>
    <row r="6326" spans="1:8" x14ac:dyDescent="0.4">
      <c r="A6326">
        <v>1999</v>
      </c>
      <c r="B6326" s="2" t="s">
        <v>379</v>
      </c>
      <c r="C6326" s="2" t="s">
        <v>708</v>
      </c>
      <c r="D6326" s="2" t="s">
        <v>7</v>
      </c>
      <c r="E6326" s="70" t="s">
        <v>24</v>
      </c>
      <c r="F6326" s="29">
        <v>21</v>
      </c>
      <c r="G6326" s="29">
        <v>0</v>
      </c>
      <c r="H6326" s="33">
        <v>0</v>
      </c>
    </row>
    <row r="6327" spans="1:8" x14ac:dyDescent="0.4">
      <c r="A6327">
        <v>1999</v>
      </c>
      <c r="B6327" s="2" t="s">
        <v>380</v>
      </c>
      <c r="C6327" s="2" t="s">
        <v>708</v>
      </c>
      <c r="D6327" s="2" t="s">
        <v>7</v>
      </c>
      <c r="E6327" s="70" t="s">
        <v>25</v>
      </c>
      <c r="F6327" s="29">
        <v>1112</v>
      </c>
      <c r="G6327" s="29">
        <v>0</v>
      </c>
      <c r="H6327" s="33">
        <v>0</v>
      </c>
    </row>
    <row r="6328" spans="1:8" x14ac:dyDescent="0.4">
      <c r="A6328">
        <v>1999</v>
      </c>
      <c r="B6328" s="2" t="s">
        <v>381</v>
      </c>
      <c r="C6328" s="2" t="s">
        <v>708</v>
      </c>
      <c r="D6328" s="2" t="s">
        <v>7</v>
      </c>
      <c r="E6328" s="70" t="s">
        <v>26</v>
      </c>
      <c r="F6328" s="29">
        <v>524</v>
      </c>
      <c r="G6328" s="29">
        <v>0</v>
      </c>
      <c r="H6328" s="33">
        <v>0</v>
      </c>
    </row>
    <row r="6329" spans="1:8" x14ac:dyDescent="0.4">
      <c r="A6329">
        <v>1999</v>
      </c>
      <c r="B6329" s="2" t="s">
        <v>382</v>
      </c>
      <c r="C6329" s="2" t="s">
        <v>708</v>
      </c>
      <c r="D6329" s="2" t="s">
        <v>7</v>
      </c>
      <c r="E6329" s="70" t="s">
        <v>27</v>
      </c>
      <c r="F6329" s="29">
        <v>25</v>
      </c>
      <c r="G6329" s="29">
        <v>0</v>
      </c>
      <c r="H6329" s="33">
        <v>0</v>
      </c>
    </row>
    <row r="6330" spans="1:8" x14ac:dyDescent="0.4">
      <c r="A6330">
        <v>1999</v>
      </c>
      <c r="B6330" s="2" t="s">
        <v>383</v>
      </c>
      <c r="C6330" s="2" t="s">
        <v>709</v>
      </c>
      <c r="D6330" s="2" t="s">
        <v>29</v>
      </c>
      <c r="E6330" s="70" t="s">
        <v>28</v>
      </c>
      <c r="F6330" s="29">
        <v>147</v>
      </c>
      <c r="G6330" s="29">
        <v>0</v>
      </c>
      <c r="H6330" s="33">
        <v>0</v>
      </c>
    </row>
    <row r="6331" spans="1:8" x14ac:dyDescent="0.4">
      <c r="A6331">
        <v>1999</v>
      </c>
      <c r="B6331" s="2" t="s">
        <v>384</v>
      </c>
      <c r="C6331" s="2" t="s">
        <v>709</v>
      </c>
      <c r="D6331" s="2" t="s">
        <v>29</v>
      </c>
      <c r="E6331" s="70" t="s">
        <v>30</v>
      </c>
      <c r="F6331" s="29">
        <v>61</v>
      </c>
      <c r="G6331" s="29">
        <v>0</v>
      </c>
      <c r="H6331" s="33">
        <v>0</v>
      </c>
    </row>
    <row r="6332" spans="1:8" x14ac:dyDescent="0.4">
      <c r="A6332">
        <v>1999</v>
      </c>
      <c r="B6332" s="2" t="s">
        <v>385</v>
      </c>
      <c r="C6332" s="2" t="s">
        <v>709</v>
      </c>
      <c r="D6332" s="2" t="s">
        <v>29</v>
      </c>
      <c r="E6332" s="70" t="s">
        <v>31</v>
      </c>
      <c r="F6332" s="29">
        <v>40</v>
      </c>
      <c r="G6332" s="29">
        <v>0</v>
      </c>
      <c r="H6332" s="33">
        <v>0</v>
      </c>
    </row>
    <row r="6333" spans="1:8" x14ac:dyDescent="0.4">
      <c r="A6333">
        <v>1999</v>
      </c>
      <c r="B6333" s="2" t="s">
        <v>386</v>
      </c>
      <c r="C6333" s="2" t="s">
        <v>709</v>
      </c>
      <c r="D6333" s="2" t="s">
        <v>29</v>
      </c>
      <c r="E6333" s="70" t="s">
        <v>32</v>
      </c>
      <c r="F6333" s="29">
        <v>289</v>
      </c>
      <c r="G6333" s="29">
        <v>0</v>
      </c>
      <c r="H6333" s="33">
        <v>0</v>
      </c>
    </row>
    <row r="6334" spans="1:8" x14ac:dyDescent="0.4">
      <c r="A6334">
        <v>1999</v>
      </c>
      <c r="B6334" s="2" t="s">
        <v>387</v>
      </c>
      <c r="C6334" s="2" t="s">
        <v>709</v>
      </c>
      <c r="D6334" s="2" t="s">
        <v>29</v>
      </c>
      <c r="E6334" s="70" t="s">
        <v>33</v>
      </c>
      <c r="F6334" s="29">
        <v>27</v>
      </c>
      <c r="G6334" s="29">
        <v>0</v>
      </c>
      <c r="H6334" s="33">
        <v>0</v>
      </c>
    </row>
    <row r="6335" spans="1:8" x14ac:dyDescent="0.4">
      <c r="A6335">
        <v>1999</v>
      </c>
      <c r="B6335" s="2" t="s">
        <v>388</v>
      </c>
      <c r="C6335" s="2" t="s">
        <v>709</v>
      </c>
      <c r="D6335" s="2" t="s">
        <v>29</v>
      </c>
      <c r="E6335" s="70" t="s">
        <v>34</v>
      </c>
      <c r="F6335" s="29">
        <v>30</v>
      </c>
      <c r="G6335" s="29">
        <v>0</v>
      </c>
      <c r="H6335" s="33">
        <v>0</v>
      </c>
    </row>
    <row r="6336" spans="1:8" x14ac:dyDescent="0.4">
      <c r="A6336">
        <v>1999</v>
      </c>
      <c r="B6336" s="2" t="s">
        <v>389</v>
      </c>
      <c r="C6336" s="2" t="s">
        <v>709</v>
      </c>
      <c r="D6336" s="2" t="s">
        <v>29</v>
      </c>
      <c r="E6336" s="70" t="s">
        <v>35</v>
      </c>
      <c r="F6336" s="29">
        <v>814</v>
      </c>
      <c r="G6336" s="29">
        <v>0</v>
      </c>
      <c r="H6336" s="33">
        <v>0</v>
      </c>
    </row>
    <row r="6337" spans="1:8" x14ac:dyDescent="0.4">
      <c r="A6337">
        <v>1999</v>
      </c>
      <c r="B6337" s="2" t="s">
        <v>390</v>
      </c>
      <c r="C6337" s="2" t="s">
        <v>710</v>
      </c>
      <c r="D6337" s="2" t="s">
        <v>37</v>
      </c>
      <c r="E6337" s="70" t="s">
        <v>36</v>
      </c>
      <c r="F6337" s="29">
        <v>103</v>
      </c>
      <c r="G6337" s="29">
        <v>0</v>
      </c>
      <c r="H6337" s="33">
        <v>0</v>
      </c>
    </row>
    <row r="6338" spans="1:8" x14ac:dyDescent="0.4">
      <c r="A6338">
        <v>1999</v>
      </c>
      <c r="B6338" s="2" t="s">
        <v>391</v>
      </c>
      <c r="C6338" s="2" t="s">
        <v>710</v>
      </c>
      <c r="D6338" s="2" t="s">
        <v>37</v>
      </c>
      <c r="E6338" s="70" t="s">
        <v>38</v>
      </c>
      <c r="F6338" s="29">
        <v>44</v>
      </c>
      <c r="G6338" s="29">
        <v>0</v>
      </c>
      <c r="H6338" s="33">
        <v>0</v>
      </c>
    </row>
    <row r="6339" spans="1:8" x14ac:dyDescent="0.4">
      <c r="A6339">
        <v>1999</v>
      </c>
      <c r="B6339" s="2" t="s">
        <v>392</v>
      </c>
      <c r="C6339" s="2" t="s">
        <v>710</v>
      </c>
      <c r="D6339" s="2" t="s">
        <v>37</v>
      </c>
      <c r="E6339" s="70" t="s">
        <v>39</v>
      </c>
      <c r="F6339" s="29">
        <v>169</v>
      </c>
      <c r="G6339" s="29">
        <v>0</v>
      </c>
      <c r="H6339" s="33">
        <v>0</v>
      </c>
    </row>
    <row r="6340" spans="1:8" x14ac:dyDescent="0.4">
      <c r="A6340">
        <v>1999</v>
      </c>
      <c r="B6340" s="2" t="s">
        <v>393</v>
      </c>
      <c r="C6340" s="2" t="s">
        <v>710</v>
      </c>
      <c r="D6340" s="2" t="s">
        <v>37</v>
      </c>
      <c r="E6340" s="70" t="s">
        <v>40</v>
      </c>
      <c r="F6340" s="29">
        <v>3270</v>
      </c>
      <c r="G6340" s="29">
        <v>0</v>
      </c>
      <c r="H6340" s="33">
        <v>0</v>
      </c>
    </row>
    <row r="6341" spans="1:8" x14ac:dyDescent="0.4">
      <c r="A6341">
        <v>1999</v>
      </c>
      <c r="B6341" s="2" t="s">
        <v>394</v>
      </c>
      <c r="C6341" s="2" t="s">
        <v>710</v>
      </c>
      <c r="D6341" s="2" t="s">
        <v>37</v>
      </c>
      <c r="E6341" s="70" t="s">
        <v>41</v>
      </c>
      <c r="F6341" s="29">
        <v>61</v>
      </c>
      <c r="G6341" s="29">
        <v>0</v>
      </c>
      <c r="H6341" s="33">
        <v>0</v>
      </c>
    </row>
    <row r="6342" spans="1:8" x14ac:dyDescent="0.4">
      <c r="A6342">
        <v>1999</v>
      </c>
      <c r="B6342" s="2" t="s">
        <v>395</v>
      </c>
      <c r="C6342" s="2" t="s">
        <v>710</v>
      </c>
      <c r="D6342" s="2" t="s">
        <v>37</v>
      </c>
      <c r="E6342" s="70" t="s">
        <v>42</v>
      </c>
      <c r="F6342" s="29">
        <v>798</v>
      </c>
      <c r="G6342" s="29">
        <v>0</v>
      </c>
      <c r="H6342" s="33">
        <v>0</v>
      </c>
    </row>
    <row r="6343" spans="1:8" x14ac:dyDescent="0.4">
      <c r="A6343">
        <v>1999</v>
      </c>
      <c r="B6343" s="2" t="s">
        <v>396</v>
      </c>
      <c r="C6343" s="2" t="s">
        <v>710</v>
      </c>
      <c r="D6343" s="2" t="s">
        <v>37</v>
      </c>
      <c r="E6343" s="70" t="s">
        <v>43</v>
      </c>
      <c r="F6343" s="29">
        <v>90</v>
      </c>
      <c r="G6343" s="29">
        <v>0</v>
      </c>
      <c r="H6343" s="33">
        <v>0</v>
      </c>
    </row>
    <row r="6344" spans="1:8" x14ac:dyDescent="0.4">
      <c r="A6344">
        <v>1999</v>
      </c>
      <c r="B6344" s="2" t="s">
        <v>397</v>
      </c>
      <c r="C6344" s="2" t="s">
        <v>710</v>
      </c>
      <c r="D6344" s="2" t="s">
        <v>37</v>
      </c>
      <c r="E6344" s="70" t="s">
        <v>44</v>
      </c>
      <c r="F6344" s="29">
        <v>396</v>
      </c>
      <c r="G6344" s="29">
        <v>0</v>
      </c>
      <c r="H6344" s="33">
        <v>0</v>
      </c>
    </row>
    <row r="6345" spans="1:8" x14ac:dyDescent="0.4">
      <c r="A6345">
        <v>1999</v>
      </c>
      <c r="B6345" s="2" t="s">
        <v>398</v>
      </c>
      <c r="C6345" s="2" t="s">
        <v>710</v>
      </c>
      <c r="D6345" s="2" t="s">
        <v>37</v>
      </c>
      <c r="E6345" s="70" t="s">
        <v>45</v>
      </c>
      <c r="F6345" s="29">
        <v>257</v>
      </c>
      <c r="G6345" s="29">
        <v>0</v>
      </c>
      <c r="H6345" s="33">
        <v>0</v>
      </c>
    </row>
    <row r="6346" spans="1:8" x14ac:dyDescent="0.4">
      <c r="A6346">
        <v>1999</v>
      </c>
      <c r="B6346" s="2" t="s">
        <v>399</v>
      </c>
      <c r="C6346" s="2" t="s">
        <v>710</v>
      </c>
      <c r="D6346" s="2" t="s">
        <v>37</v>
      </c>
      <c r="E6346" s="70" t="s">
        <v>46</v>
      </c>
      <c r="F6346" s="29">
        <v>0</v>
      </c>
      <c r="G6346" s="29">
        <v>0</v>
      </c>
      <c r="H6346" s="33">
        <v>0</v>
      </c>
    </row>
    <row r="6347" spans="1:8" x14ac:dyDescent="0.4">
      <c r="A6347">
        <v>1999</v>
      </c>
      <c r="B6347" s="2" t="s">
        <v>400</v>
      </c>
      <c r="C6347" s="2" t="s">
        <v>710</v>
      </c>
      <c r="D6347" s="2" t="s">
        <v>37</v>
      </c>
      <c r="E6347" s="70" t="s">
        <v>47</v>
      </c>
      <c r="F6347" s="29">
        <v>79</v>
      </c>
      <c r="G6347" s="29">
        <v>0</v>
      </c>
      <c r="H6347" s="33">
        <v>0</v>
      </c>
    </row>
    <row r="6348" spans="1:8" x14ac:dyDescent="0.4">
      <c r="A6348">
        <v>1999</v>
      </c>
      <c r="B6348" s="2" t="s">
        <v>401</v>
      </c>
      <c r="C6348" s="2" t="s">
        <v>710</v>
      </c>
      <c r="D6348" s="2" t="s">
        <v>37</v>
      </c>
      <c r="E6348" s="70" t="s">
        <v>48</v>
      </c>
      <c r="F6348" s="29">
        <v>70</v>
      </c>
      <c r="G6348" s="29">
        <v>0</v>
      </c>
      <c r="H6348" s="33">
        <v>0</v>
      </c>
    </row>
    <row r="6349" spans="1:8" x14ac:dyDescent="0.4">
      <c r="A6349">
        <v>1999</v>
      </c>
      <c r="B6349" s="2" t="s">
        <v>402</v>
      </c>
      <c r="C6349" s="2" t="s">
        <v>710</v>
      </c>
      <c r="D6349" s="2" t="s">
        <v>37</v>
      </c>
      <c r="E6349" s="70" t="s">
        <v>49</v>
      </c>
      <c r="F6349" s="29">
        <v>357</v>
      </c>
      <c r="G6349" s="29">
        <v>0</v>
      </c>
      <c r="H6349" s="33">
        <v>0</v>
      </c>
    </row>
    <row r="6350" spans="1:8" x14ac:dyDescent="0.4">
      <c r="A6350">
        <v>1999</v>
      </c>
      <c r="B6350" s="2" t="s">
        <v>403</v>
      </c>
      <c r="C6350" s="2" t="s">
        <v>710</v>
      </c>
      <c r="D6350" s="2" t="s">
        <v>37</v>
      </c>
      <c r="E6350" s="70" t="s">
        <v>50</v>
      </c>
      <c r="F6350" s="29">
        <v>100</v>
      </c>
      <c r="G6350" s="29">
        <v>0</v>
      </c>
      <c r="H6350" s="33">
        <v>0</v>
      </c>
    </row>
    <row r="6351" spans="1:8" x14ac:dyDescent="0.4">
      <c r="A6351">
        <v>1999</v>
      </c>
      <c r="B6351" s="2" t="s">
        <v>404</v>
      </c>
      <c r="C6351" s="2" t="s">
        <v>710</v>
      </c>
      <c r="D6351" s="2" t="s">
        <v>37</v>
      </c>
      <c r="E6351" s="70" t="s">
        <v>51</v>
      </c>
      <c r="F6351" s="29">
        <v>352</v>
      </c>
      <c r="G6351" s="29">
        <v>0</v>
      </c>
      <c r="H6351" s="33">
        <v>0</v>
      </c>
    </row>
    <row r="6352" spans="1:8" x14ac:dyDescent="0.4">
      <c r="A6352">
        <v>1999</v>
      </c>
      <c r="B6352" s="2" t="s">
        <v>405</v>
      </c>
      <c r="C6352" s="2" t="s">
        <v>710</v>
      </c>
      <c r="D6352" s="2" t="s">
        <v>37</v>
      </c>
      <c r="E6352" s="70" t="s">
        <v>52</v>
      </c>
      <c r="F6352" s="29">
        <v>39</v>
      </c>
      <c r="G6352" s="29">
        <v>0</v>
      </c>
      <c r="H6352" s="33">
        <v>0</v>
      </c>
    </row>
    <row r="6353" spans="1:8" x14ac:dyDescent="0.4">
      <c r="A6353">
        <v>1999</v>
      </c>
      <c r="B6353" s="2" t="s">
        <v>406</v>
      </c>
      <c r="C6353" s="2" t="s">
        <v>710</v>
      </c>
      <c r="D6353" s="2" t="s">
        <v>37</v>
      </c>
      <c r="E6353" s="70" t="s">
        <v>53</v>
      </c>
      <c r="F6353" s="29">
        <v>85</v>
      </c>
      <c r="G6353" s="29">
        <v>0</v>
      </c>
      <c r="H6353" s="33">
        <v>0</v>
      </c>
    </row>
    <row r="6354" spans="1:8" x14ac:dyDescent="0.4">
      <c r="A6354">
        <v>1999</v>
      </c>
      <c r="B6354" s="2" t="s">
        <v>407</v>
      </c>
      <c r="C6354" s="2" t="s">
        <v>710</v>
      </c>
      <c r="D6354" s="2" t="s">
        <v>37</v>
      </c>
      <c r="E6354" s="70" t="s">
        <v>54</v>
      </c>
      <c r="F6354" s="29">
        <v>520</v>
      </c>
      <c r="G6354" s="29">
        <v>0</v>
      </c>
      <c r="H6354" s="33">
        <v>0</v>
      </c>
    </row>
    <row r="6355" spans="1:8" x14ac:dyDescent="0.4">
      <c r="A6355">
        <v>1999</v>
      </c>
      <c r="B6355" s="2" t="s">
        <v>408</v>
      </c>
      <c r="C6355" s="2" t="s">
        <v>711</v>
      </c>
      <c r="D6355" s="2" t="s">
        <v>56</v>
      </c>
      <c r="E6355" s="70" t="s">
        <v>55</v>
      </c>
      <c r="F6355" s="29">
        <v>107</v>
      </c>
      <c r="G6355" s="29">
        <v>0</v>
      </c>
      <c r="H6355" s="33">
        <v>0</v>
      </c>
    </row>
    <row r="6356" spans="1:8" x14ac:dyDescent="0.4">
      <c r="A6356">
        <v>1999</v>
      </c>
      <c r="B6356" s="2" t="s">
        <v>409</v>
      </c>
      <c r="C6356" s="2" t="s">
        <v>711</v>
      </c>
      <c r="D6356" s="2" t="s">
        <v>56</v>
      </c>
      <c r="E6356" s="70" t="s">
        <v>57</v>
      </c>
      <c r="F6356" s="29">
        <v>0</v>
      </c>
      <c r="G6356" s="29">
        <v>0</v>
      </c>
      <c r="H6356" s="33">
        <v>0</v>
      </c>
    </row>
    <row r="6357" spans="1:8" x14ac:dyDescent="0.4">
      <c r="A6357">
        <v>1999</v>
      </c>
      <c r="B6357" s="2" t="s">
        <v>410</v>
      </c>
      <c r="C6357" s="2" t="s">
        <v>711</v>
      </c>
      <c r="D6357" s="2" t="s">
        <v>56</v>
      </c>
      <c r="E6357" s="70" t="s">
        <v>58</v>
      </c>
      <c r="F6357" s="29">
        <v>191</v>
      </c>
      <c r="G6357" s="29">
        <v>0</v>
      </c>
      <c r="H6357" s="33">
        <v>0</v>
      </c>
    </row>
    <row r="6358" spans="1:8" x14ac:dyDescent="0.4">
      <c r="A6358">
        <v>1999</v>
      </c>
      <c r="B6358" s="2" t="s">
        <v>411</v>
      </c>
      <c r="C6358" s="2" t="s">
        <v>711</v>
      </c>
      <c r="D6358" s="2" t="s">
        <v>56</v>
      </c>
      <c r="E6358" s="70" t="s">
        <v>59</v>
      </c>
      <c r="F6358" s="29">
        <v>23</v>
      </c>
      <c r="G6358" s="29">
        <v>0</v>
      </c>
      <c r="H6358" s="33">
        <v>0</v>
      </c>
    </row>
    <row r="6359" spans="1:8" x14ac:dyDescent="0.4">
      <c r="A6359">
        <v>1999</v>
      </c>
      <c r="B6359" s="2" t="s">
        <v>412</v>
      </c>
      <c r="C6359" s="2" t="s">
        <v>711</v>
      </c>
      <c r="D6359" s="2" t="s">
        <v>56</v>
      </c>
      <c r="E6359" s="70" t="s">
        <v>60</v>
      </c>
      <c r="F6359" s="29">
        <v>1295</v>
      </c>
      <c r="G6359" s="29">
        <v>0</v>
      </c>
      <c r="H6359" s="33">
        <v>0</v>
      </c>
    </row>
    <row r="6360" spans="1:8" x14ac:dyDescent="0.4">
      <c r="A6360">
        <v>1999</v>
      </c>
      <c r="B6360" s="2" t="s">
        <v>413</v>
      </c>
      <c r="C6360" s="2" t="s">
        <v>711</v>
      </c>
      <c r="D6360" s="2" t="s">
        <v>56</v>
      </c>
      <c r="E6360" s="70" t="s">
        <v>36</v>
      </c>
      <c r="F6360" s="29">
        <v>142</v>
      </c>
      <c r="G6360" s="29">
        <v>0</v>
      </c>
      <c r="H6360" s="33">
        <v>0</v>
      </c>
    </row>
    <row r="6361" spans="1:8" x14ac:dyDescent="0.4">
      <c r="A6361">
        <v>1999</v>
      </c>
      <c r="B6361" s="2" t="s">
        <v>414</v>
      </c>
      <c r="C6361" s="2" t="s">
        <v>711</v>
      </c>
      <c r="D6361" s="2" t="s">
        <v>56</v>
      </c>
      <c r="E6361" s="70" t="s">
        <v>61</v>
      </c>
      <c r="F6361" s="29">
        <v>47</v>
      </c>
      <c r="G6361" s="29">
        <v>0</v>
      </c>
      <c r="H6361" s="33">
        <v>0</v>
      </c>
    </row>
    <row r="6362" spans="1:8" x14ac:dyDescent="0.4">
      <c r="A6362">
        <v>1999</v>
      </c>
      <c r="B6362" s="2" t="s">
        <v>415</v>
      </c>
      <c r="C6362" s="2" t="s">
        <v>711</v>
      </c>
      <c r="D6362" s="2" t="s">
        <v>56</v>
      </c>
      <c r="E6362" s="70" t="s">
        <v>62</v>
      </c>
      <c r="F6362" s="29">
        <v>195</v>
      </c>
      <c r="G6362" s="29">
        <v>0</v>
      </c>
      <c r="H6362" s="33">
        <v>0</v>
      </c>
    </row>
    <row r="6363" spans="1:8" x14ac:dyDescent="0.4">
      <c r="A6363">
        <v>1999</v>
      </c>
      <c r="B6363" s="2" t="s">
        <v>416</v>
      </c>
      <c r="C6363" s="2" t="s">
        <v>711</v>
      </c>
      <c r="D6363" s="2" t="s">
        <v>56</v>
      </c>
      <c r="E6363" s="70" t="s">
        <v>63</v>
      </c>
      <c r="F6363" s="29">
        <v>46</v>
      </c>
      <c r="G6363" s="29">
        <v>0</v>
      </c>
      <c r="H6363" s="33">
        <v>0</v>
      </c>
    </row>
    <row r="6364" spans="1:8" x14ac:dyDescent="0.4">
      <c r="A6364">
        <v>1999</v>
      </c>
      <c r="B6364" s="2" t="s">
        <v>417</v>
      </c>
      <c r="C6364" s="2" t="s">
        <v>711</v>
      </c>
      <c r="D6364" s="2" t="s">
        <v>56</v>
      </c>
      <c r="E6364" s="70" t="s">
        <v>64</v>
      </c>
      <c r="F6364" s="29">
        <v>146</v>
      </c>
      <c r="G6364" s="29">
        <v>0</v>
      </c>
      <c r="H6364" s="33">
        <v>0</v>
      </c>
    </row>
    <row r="6365" spans="1:8" x14ac:dyDescent="0.4">
      <c r="A6365">
        <v>1999</v>
      </c>
      <c r="B6365" s="2" t="s">
        <v>418</v>
      </c>
      <c r="C6365" s="2" t="s">
        <v>711</v>
      </c>
      <c r="D6365" s="2" t="s">
        <v>56</v>
      </c>
      <c r="E6365" s="70" t="s">
        <v>65</v>
      </c>
      <c r="F6365" s="29">
        <v>60</v>
      </c>
      <c r="G6365" s="29">
        <v>0</v>
      </c>
      <c r="H6365" s="33">
        <v>0</v>
      </c>
    </row>
    <row r="6366" spans="1:8" x14ac:dyDescent="0.4">
      <c r="A6366">
        <v>1999</v>
      </c>
      <c r="B6366" s="2" t="s">
        <v>419</v>
      </c>
      <c r="C6366" s="2" t="s">
        <v>711</v>
      </c>
      <c r="D6366" s="2" t="s">
        <v>56</v>
      </c>
      <c r="E6366" s="70" t="s">
        <v>66</v>
      </c>
      <c r="F6366" s="29">
        <v>22</v>
      </c>
      <c r="G6366" s="29">
        <v>0</v>
      </c>
      <c r="H6366" s="33">
        <v>0</v>
      </c>
    </row>
    <row r="6367" spans="1:8" x14ac:dyDescent="0.4">
      <c r="A6367">
        <v>1999</v>
      </c>
      <c r="B6367" s="2" t="s">
        <v>420</v>
      </c>
      <c r="C6367" s="2" t="s">
        <v>712</v>
      </c>
      <c r="D6367" s="2" t="s">
        <v>68</v>
      </c>
      <c r="E6367" s="70" t="s">
        <v>67</v>
      </c>
      <c r="F6367" s="29">
        <v>2649</v>
      </c>
      <c r="G6367" s="29">
        <v>0</v>
      </c>
      <c r="H6367" s="33">
        <v>0</v>
      </c>
    </row>
    <row r="6368" spans="1:8" x14ac:dyDescent="0.4">
      <c r="A6368">
        <v>1999</v>
      </c>
      <c r="B6368" s="2" t="s">
        <v>421</v>
      </c>
      <c r="C6368" s="2" t="s">
        <v>712</v>
      </c>
      <c r="D6368" s="2" t="s">
        <v>68</v>
      </c>
      <c r="E6368" s="70" t="s">
        <v>69</v>
      </c>
      <c r="F6368" s="29">
        <v>212</v>
      </c>
      <c r="G6368" s="29">
        <v>0</v>
      </c>
      <c r="H6368" s="33">
        <v>0</v>
      </c>
    </row>
    <row r="6369" spans="1:8" x14ac:dyDescent="0.4">
      <c r="A6369">
        <v>1999</v>
      </c>
      <c r="B6369" s="2" t="s">
        <v>422</v>
      </c>
      <c r="C6369" s="2" t="s">
        <v>712</v>
      </c>
      <c r="D6369" s="2" t="s">
        <v>68</v>
      </c>
      <c r="E6369" s="70" t="s">
        <v>70</v>
      </c>
      <c r="F6369" s="29">
        <v>64</v>
      </c>
      <c r="G6369" s="29">
        <v>0</v>
      </c>
      <c r="H6369" s="33">
        <v>0</v>
      </c>
    </row>
    <row r="6370" spans="1:8" x14ac:dyDescent="0.4">
      <c r="A6370">
        <v>1999</v>
      </c>
      <c r="B6370" s="2" t="s">
        <v>423</v>
      </c>
      <c r="C6370" s="2" t="s">
        <v>712</v>
      </c>
      <c r="D6370" s="2" t="s">
        <v>68</v>
      </c>
      <c r="E6370" s="70" t="s">
        <v>71</v>
      </c>
      <c r="F6370" s="29">
        <v>45</v>
      </c>
      <c r="G6370" s="29">
        <v>0</v>
      </c>
      <c r="H6370" s="33">
        <v>0</v>
      </c>
    </row>
    <row r="6371" spans="1:8" x14ac:dyDescent="0.4">
      <c r="A6371">
        <v>1999</v>
      </c>
      <c r="B6371" s="2" t="s">
        <v>424</v>
      </c>
      <c r="C6371" s="2" t="s">
        <v>712</v>
      </c>
      <c r="D6371" s="2" t="s">
        <v>68</v>
      </c>
      <c r="E6371" s="70" t="s">
        <v>72</v>
      </c>
      <c r="F6371" s="29">
        <v>1747</v>
      </c>
      <c r="G6371" s="29">
        <v>0</v>
      </c>
      <c r="H6371" s="33">
        <v>0</v>
      </c>
    </row>
    <row r="6372" spans="1:8" x14ac:dyDescent="0.4">
      <c r="A6372">
        <v>1999</v>
      </c>
      <c r="B6372" s="2" t="s">
        <v>425</v>
      </c>
      <c r="C6372" s="2" t="s">
        <v>712</v>
      </c>
      <c r="D6372" s="2" t="s">
        <v>68</v>
      </c>
      <c r="E6372" s="70" t="s">
        <v>73</v>
      </c>
      <c r="F6372" s="29">
        <v>28</v>
      </c>
      <c r="G6372" s="29">
        <v>0</v>
      </c>
      <c r="H6372" s="33">
        <v>0</v>
      </c>
    </row>
    <row r="6373" spans="1:8" x14ac:dyDescent="0.4">
      <c r="A6373">
        <v>1999</v>
      </c>
      <c r="B6373" s="2" t="s">
        <v>426</v>
      </c>
      <c r="C6373" s="2" t="s">
        <v>712</v>
      </c>
      <c r="D6373" s="2" t="s">
        <v>68</v>
      </c>
      <c r="E6373" s="70" t="s">
        <v>74</v>
      </c>
      <c r="F6373" s="29">
        <v>340</v>
      </c>
      <c r="G6373" s="29">
        <v>0</v>
      </c>
      <c r="H6373" s="33">
        <v>0</v>
      </c>
    </row>
    <row r="6374" spans="1:8" x14ac:dyDescent="0.4">
      <c r="A6374">
        <v>1999</v>
      </c>
      <c r="B6374" s="2" t="s">
        <v>427</v>
      </c>
      <c r="C6374" s="2" t="s">
        <v>712</v>
      </c>
      <c r="D6374" s="2" t="s">
        <v>68</v>
      </c>
      <c r="E6374" s="70" t="s">
        <v>75</v>
      </c>
      <c r="F6374" s="29">
        <v>24</v>
      </c>
      <c r="G6374" s="29">
        <v>0</v>
      </c>
      <c r="H6374" s="33">
        <v>0</v>
      </c>
    </row>
    <row r="6375" spans="1:8" x14ac:dyDescent="0.4">
      <c r="A6375">
        <v>1999</v>
      </c>
      <c r="B6375" s="2" t="s">
        <v>428</v>
      </c>
      <c r="C6375" s="2" t="s">
        <v>712</v>
      </c>
      <c r="D6375" s="2" t="s">
        <v>68</v>
      </c>
      <c r="E6375" s="70" t="s">
        <v>76</v>
      </c>
      <c r="F6375" s="29">
        <v>45</v>
      </c>
      <c r="G6375" s="29">
        <v>0</v>
      </c>
      <c r="H6375" s="33">
        <v>0</v>
      </c>
    </row>
    <row r="6376" spans="1:8" x14ac:dyDescent="0.4">
      <c r="A6376">
        <v>1999</v>
      </c>
      <c r="B6376" s="2" t="s">
        <v>429</v>
      </c>
      <c r="C6376" s="2" t="s">
        <v>712</v>
      </c>
      <c r="D6376" s="2" t="s">
        <v>68</v>
      </c>
      <c r="E6376" s="70" t="s">
        <v>77</v>
      </c>
      <c r="F6376" s="29">
        <v>108</v>
      </c>
      <c r="G6376" s="29">
        <v>0</v>
      </c>
      <c r="H6376" s="33">
        <v>0</v>
      </c>
    </row>
    <row r="6377" spans="1:8" x14ac:dyDescent="0.4">
      <c r="A6377">
        <v>1999</v>
      </c>
      <c r="B6377" s="2" t="s">
        <v>430</v>
      </c>
      <c r="C6377" s="2" t="s">
        <v>712</v>
      </c>
      <c r="D6377" s="2" t="s">
        <v>68</v>
      </c>
      <c r="E6377" s="70" t="s">
        <v>51</v>
      </c>
      <c r="F6377" s="29">
        <v>23</v>
      </c>
      <c r="G6377" s="29">
        <v>0</v>
      </c>
      <c r="H6377" s="33">
        <v>0</v>
      </c>
    </row>
    <row r="6378" spans="1:8" x14ac:dyDescent="0.4">
      <c r="A6378">
        <v>1999</v>
      </c>
      <c r="B6378" s="2" t="s">
        <v>431</v>
      </c>
      <c r="C6378" s="2" t="s">
        <v>713</v>
      </c>
      <c r="D6378" s="2" t="s">
        <v>79</v>
      </c>
      <c r="E6378" s="70" t="s">
        <v>78</v>
      </c>
      <c r="F6378" s="29">
        <v>234</v>
      </c>
      <c r="G6378" s="29">
        <v>0</v>
      </c>
      <c r="H6378" s="33">
        <v>0</v>
      </c>
    </row>
    <row r="6379" spans="1:8" x14ac:dyDescent="0.4">
      <c r="A6379">
        <v>1999</v>
      </c>
      <c r="B6379" s="2" t="s">
        <v>432</v>
      </c>
      <c r="C6379" s="2" t="s">
        <v>713</v>
      </c>
      <c r="D6379" s="2" t="s">
        <v>79</v>
      </c>
      <c r="E6379" s="70" t="s">
        <v>80</v>
      </c>
      <c r="F6379" s="29">
        <v>372</v>
      </c>
      <c r="G6379" s="29">
        <v>0</v>
      </c>
      <c r="H6379" s="33">
        <v>0</v>
      </c>
    </row>
    <row r="6380" spans="1:8" x14ac:dyDescent="0.4">
      <c r="A6380">
        <v>1999</v>
      </c>
      <c r="B6380" s="2" t="s">
        <v>433</v>
      </c>
      <c r="C6380" s="2" t="s">
        <v>713</v>
      </c>
      <c r="D6380" s="2" t="s">
        <v>79</v>
      </c>
      <c r="E6380" s="70" t="s">
        <v>81</v>
      </c>
      <c r="F6380" s="29">
        <v>231</v>
      </c>
      <c r="G6380" s="29">
        <v>0</v>
      </c>
      <c r="H6380" s="33">
        <v>0</v>
      </c>
    </row>
    <row r="6381" spans="1:8" x14ac:dyDescent="0.4">
      <c r="A6381">
        <v>1999</v>
      </c>
      <c r="B6381" s="2" t="s">
        <v>434</v>
      </c>
      <c r="C6381" s="2" t="s">
        <v>713</v>
      </c>
      <c r="D6381" s="2" t="s">
        <v>79</v>
      </c>
      <c r="E6381" s="70" t="s">
        <v>82</v>
      </c>
      <c r="F6381" s="29">
        <v>390</v>
      </c>
      <c r="G6381" s="29">
        <v>0</v>
      </c>
      <c r="H6381" s="33">
        <v>0</v>
      </c>
    </row>
    <row r="6382" spans="1:8" x14ac:dyDescent="0.4">
      <c r="A6382">
        <v>1999</v>
      </c>
      <c r="B6382" s="2" t="s">
        <v>435</v>
      </c>
      <c r="C6382" s="2" t="s">
        <v>713</v>
      </c>
      <c r="D6382" s="2" t="s">
        <v>79</v>
      </c>
      <c r="E6382" s="70" t="s">
        <v>83</v>
      </c>
      <c r="F6382" s="29">
        <v>131</v>
      </c>
      <c r="G6382" s="29">
        <v>0</v>
      </c>
      <c r="H6382" s="33">
        <v>0</v>
      </c>
    </row>
    <row r="6383" spans="1:8" x14ac:dyDescent="0.4">
      <c r="A6383">
        <v>1999</v>
      </c>
      <c r="B6383" s="2" t="s">
        <v>436</v>
      </c>
      <c r="C6383" s="2" t="s">
        <v>713</v>
      </c>
      <c r="D6383" s="2" t="s">
        <v>79</v>
      </c>
      <c r="E6383" s="70" t="s">
        <v>44</v>
      </c>
      <c r="F6383" s="29">
        <v>373</v>
      </c>
      <c r="G6383" s="29">
        <v>0</v>
      </c>
      <c r="H6383" s="33">
        <v>0</v>
      </c>
    </row>
    <row r="6384" spans="1:8" x14ac:dyDescent="0.4">
      <c r="A6384">
        <v>1999</v>
      </c>
      <c r="B6384" s="2" t="s">
        <v>437</v>
      </c>
      <c r="C6384" s="2" t="s">
        <v>713</v>
      </c>
      <c r="D6384" s="2" t="s">
        <v>79</v>
      </c>
      <c r="E6384" s="70" t="s">
        <v>84</v>
      </c>
      <c r="F6384" s="29">
        <v>194</v>
      </c>
      <c r="G6384" s="29">
        <v>0</v>
      </c>
      <c r="H6384" s="33">
        <v>0</v>
      </c>
    </row>
    <row r="6385" spans="1:8" x14ac:dyDescent="0.4">
      <c r="A6385">
        <v>1999</v>
      </c>
      <c r="B6385" s="2" t="s">
        <v>438</v>
      </c>
      <c r="C6385" s="2" t="s">
        <v>713</v>
      </c>
      <c r="D6385" s="2" t="s">
        <v>79</v>
      </c>
      <c r="E6385" s="70" t="s">
        <v>85</v>
      </c>
      <c r="F6385" s="29">
        <v>54</v>
      </c>
      <c r="G6385" s="29">
        <v>0</v>
      </c>
      <c r="H6385" s="33">
        <v>0</v>
      </c>
    </row>
    <row r="6386" spans="1:8" x14ac:dyDescent="0.4">
      <c r="A6386">
        <v>1999</v>
      </c>
      <c r="B6386" s="2" t="s">
        <v>439</v>
      </c>
      <c r="C6386" s="2" t="s">
        <v>713</v>
      </c>
      <c r="D6386" s="2" t="s">
        <v>79</v>
      </c>
      <c r="E6386" s="70" t="s">
        <v>86</v>
      </c>
      <c r="F6386" s="29">
        <v>56</v>
      </c>
      <c r="G6386" s="29">
        <v>0</v>
      </c>
      <c r="H6386" s="33">
        <v>0</v>
      </c>
    </row>
    <row r="6387" spans="1:8" x14ac:dyDescent="0.4">
      <c r="A6387">
        <v>1999</v>
      </c>
      <c r="B6387" s="2" t="s">
        <v>440</v>
      </c>
      <c r="C6387" s="2" t="s">
        <v>713</v>
      </c>
      <c r="D6387" s="2" t="s">
        <v>79</v>
      </c>
      <c r="E6387" s="70" t="s">
        <v>87</v>
      </c>
      <c r="F6387" s="29">
        <v>992</v>
      </c>
      <c r="G6387" s="29">
        <v>0</v>
      </c>
      <c r="H6387" s="33">
        <v>0</v>
      </c>
    </row>
    <row r="6388" spans="1:8" x14ac:dyDescent="0.4">
      <c r="A6388">
        <v>1999</v>
      </c>
      <c r="B6388" s="2" t="s">
        <v>441</v>
      </c>
      <c r="C6388" s="2" t="s">
        <v>713</v>
      </c>
      <c r="D6388" s="2" t="s">
        <v>79</v>
      </c>
      <c r="E6388" s="70" t="s">
        <v>88</v>
      </c>
      <c r="F6388" s="29">
        <v>945</v>
      </c>
      <c r="G6388" s="29">
        <v>0</v>
      </c>
      <c r="H6388" s="33">
        <v>0</v>
      </c>
    </row>
    <row r="6389" spans="1:8" x14ac:dyDescent="0.4">
      <c r="A6389">
        <v>1999</v>
      </c>
      <c r="B6389" s="2" t="s">
        <v>442</v>
      </c>
      <c r="C6389" s="2" t="s">
        <v>713</v>
      </c>
      <c r="D6389" s="2" t="s">
        <v>79</v>
      </c>
      <c r="E6389" s="70" t="s">
        <v>89</v>
      </c>
      <c r="F6389" s="29">
        <v>105</v>
      </c>
      <c r="G6389" s="29">
        <v>0</v>
      </c>
      <c r="H6389" s="33">
        <v>0</v>
      </c>
    </row>
    <row r="6390" spans="1:8" x14ac:dyDescent="0.4">
      <c r="A6390">
        <v>1999</v>
      </c>
      <c r="B6390" s="2" t="s">
        <v>443</v>
      </c>
      <c r="C6390" s="2" t="s">
        <v>713</v>
      </c>
      <c r="D6390" s="2" t="s">
        <v>79</v>
      </c>
      <c r="E6390" s="70" t="s">
        <v>90</v>
      </c>
      <c r="F6390" s="29">
        <v>109</v>
      </c>
      <c r="G6390" s="29">
        <v>0</v>
      </c>
      <c r="H6390" s="33">
        <v>0</v>
      </c>
    </row>
    <row r="6391" spans="1:8" x14ac:dyDescent="0.4">
      <c r="A6391">
        <v>1999</v>
      </c>
      <c r="B6391" s="2" t="s">
        <v>444</v>
      </c>
      <c r="C6391" s="2" t="s">
        <v>713</v>
      </c>
      <c r="D6391" s="2" t="s">
        <v>79</v>
      </c>
      <c r="E6391" s="70" t="s">
        <v>91</v>
      </c>
      <c r="F6391" s="29">
        <v>4231</v>
      </c>
      <c r="G6391" s="29">
        <v>0</v>
      </c>
      <c r="H6391" s="33">
        <v>0</v>
      </c>
    </row>
    <row r="6392" spans="1:8" x14ac:dyDescent="0.4">
      <c r="A6392">
        <v>1999</v>
      </c>
      <c r="B6392" s="2" t="s">
        <v>445</v>
      </c>
      <c r="C6392" s="2" t="s">
        <v>714</v>
      </c>
      <c r="D6392" s="2" t="s">
        <v>93</v>
      </c>
      <c r="E6392" s="70" t="s">
        <v>92</v>
      </c>
      <c r="F6392" s="29">
        <v>311</v>
      </c>
      <c r="G6392" s="29">
        <v>0</v>
      </c>
      <c r="H6392" s="33">
        <v>0</v>
      </c>
    </row>
    <row r="6393" spans="1:8" x14ac:dyDescent="0.4">
      <c r="A6393">
        <v>1999</v>
      </c>
      <c r="B6393" s="2" t="s">
        <v>446</v>
      </c>
      <c r="C6393" s="2" t="s">
        <v>714</v>
      </c>
      <c r="D6393" s="2" t="s">
        <v>93</v>
      </c>
      <c r="E6393" s="70" t="s">
        <v>94</v>
      </c>
      <c r="F6393" s="29">
        <v>264</v>
      </c>
      <c r="G6393" s="29">
        <v>0</v>
      </c>
      <c r="H6393" s="33">
        <v>0</v>
      </c>
    </row>
    <row r="6394" spans="1:8" x14ac:dyDescent="0.4">
      <c r="A6394">
        <v>1999</v>
      </c>
      <c r="B6394" s="2" t="s">
        <v>447</v>
      </c>
      <c r="C6394" s="2" t="s">
        <v>714</v>
      </c>
      <c r="D6394" s="2" t="s">
        <v>93</v>
      </c>
      <c r="E6394" s="70" t="s">
        <v>40</v>
      </c>
      <c r="F6394" s="29">
        <v>27</v>
      </c>
      <c r="G6394" s="29">
        <v>0</v>
      </c>
      <c r="H6394" s="33">
        <v>0</v>
      </c>
    </row>
    <row r="6395" spans="1:8" x14ac:dyDescent="0.4">
      <c r="A6395">
        <v>1999</v>
      </c>
      <c r="B6395" s="2" t="s">
        <v>448</v>
      </c>
      <c r="C6395" s="2" t="s">
        <v>714</v>
      </c>
      <c r="D6395" s="2" t="s">
        <v>93</v>
      </c>
      <c r="E6395" s="70" t="s">
        <v>95</v>
      </c>
      <c r="F6395" s="29">
        <v>24</v>
      </c>
      <c r="G6395" s="29">
        <v>0</v>
      </c>
      <c r="H6395" s="33">
        <v>0</v>
      </c>
    </row>
    <row r="6396" spans="1:8" x14ac:dyDescent="0.4">
      <c r="A6396">
        <v>1999</v>
      </c>
      <c r="B6396" s="2" t="s">
        <v>449</v>
      </c>
      <c r="C6396" s="2" t="s">
        <v>714</v>
      </c>
      <c r="D6396" s="2" t="s">
        <v>93</v>
      </c>
      <c r="E6396" s="70" t="s">
        <v>96</v>
      </c>
      <c r="F6396" s="29">
        <v>24</v>
      </c>
      <c r="G6396" s="29">
        <v>0</v>
      </c>
      <c r="H6396" s="33">
        <v>0</v>
      </c>
    </row>
    <row r="6397" spans="1:8" x14ac:dyDescent="0.4">
      <c r="A6397">
        <v>1999</v>
      </c>
      <c r="B6397" s="2" t="s">
        <v>450</v>
      </c>
      <c r="C6397" s="2" t="s">
        <v>714</v>
      </c>
      <c r="D6397" s="2" t="s">
        <v>93</v>
      </c>
      <c r="E6397" s="70" t="s">
        <v>97</v>
      </c>
      <c r="F6397" s="29">
        <v>21</v>
      </c>
      <c r="G6397" s="29">
        <v>0</v>
      </c>
      <c r="H6397" s="33">
        <v>0</v>
      </c>
    </row>
    <row r="6398" spans="1:8" x14ac:dyDescent="0.4">
      <c r="A6398">
        <v>1999</v>
      </c>
      <c r="B6398" s="2" t="s">
        <v>451</v>
      </c>
      <c r="C6398" s="2" t="s">
        <v>714</v>
      </c>
      <c r="D6398" s="2" t="s">
        <v>93</v>
      </c>
      <c r="E6398" s="70" t="s">
        <v>34</v>
      </c>
      <c r="F6398" s="29">
        <v>31</v>
      </c>
      <c r="G6398" s="29">
        <v>0</v>
      </c>
      <c r="H6398" s="33">
        <v>0</v>
      </c>
    </row>
    <row r="6399" spans="1:8" x14ac:dyDescent="0.4">
      <c r="A6399">
        <v>1999</v>
      </c>
      <c r="B6399" s="2" t="s">
        <v>452</v>
      </c>
      <c r="C6399" s="2" t="s">
        <v>714</v>
      </c>
      <c r="D6399" s="2" t="s">
        <v>93</v>
      </c>
      <c r="E6399" s="70" t="s">
        <v>98</v>
      </c>
      <c r="F6399" s="29">
        <v>263</v>
      </c>
      <c r="G6399" s="29">
        <v>0</v>
      </c>
      <c r="H6399" s="33">
        <v>0</v>
      </c>
    </row>
    <row r="6400" spans="1:8" x14ac:dyDescent="0.4">
      <c r="A6400">
        <v>1999</v>
      </c>
      <c r="B6400" s="2" t="s">
        <v>453</v>
      </c>
      <c r="C6400" s="2" t="s">
        <v>714</v>
      </c>
      <c r="D6400" s="2" t="s">
        <v>93</v>
      </c>
      <c r="E6400" s="70" t="s">
        <v>99</v>
      </c>
      <c r="F6400" s="29">
        <v>71</v>
      </c>
      <c r="G6400" s="29">
        <v>0</v>
      </c>
      <c r="H6400" s="33">
        <v>0</v>
      </c>
    </row>
    <row r="6401" spans="1:8" x14ac:dyDescent="0.4">
      <c r="A6401">
        <v>1999</v>
      </c>
      <c r="B6401" s="2" t="s">
        <v>454</v>
      </c>
      <c r="C6401" s="2" t="s">
        <v>715</v>
      </c>
      <c r="D6401" s="2" t="s">
        <v>101</v>
      </c>
      <c r="E6401" s="70" t="s">
        <v>100</v>
      </c>
      <c r="F6401" s="29">
        <v>26</v>
      </c>
      <c r="G6401" s="29">
        <v>0</v>
      </c>
      <c r="H6401" s="33">
        <v>0</v>
      </c>
    </row>
    <row r="6402" spans="1:8" x14ac:dyDescent="0.4">
      <c r="A6402">
        <v>1999</v>
      </c>
      <c r="B6402" s="2" t="s">
        <v>455</v>
      </c>
      <c r="C6402" s="2" t="s">
        <v>715</v>
      </c>
      <c r="D6402" s="2" t="s">
        <v>101</v>
      </c>
      <c r="E6402" s="70" t="s">
        <v>102</v>
      </c>
      <c r="F6402" s="29">
        <v>39</v>
      </c>
      <c r="G6402" s="29">
        <v>0</v>
      </c>
      <c r="H6402" s="33">
        <v>0</v>
      </c>
    </row>
    <row r="6403" spans="1:8" x14ac:dyDescent="0.4">
      <c r="A6403">
        <v>1999</v>
      </c>
      <c r="B6403" s="2" t="s">
        <v>456</v>
      </c>
      <c r="C6403" s="2" t="s">
        <v>715</v>
      </c>
      <c r="D6403" s="2" t="s">
        <v>101</v>
      </c>
      <c r="E6403" s="70" t="s">
        <v>103</v>
      </c>
      <c r="F6403" s="29">
        <v>26</v>
      </c>
      <c r="G6403" s="29">
        <v>0</v>
      </c>
      <c r="H6403" s="33">
        <v>0</v>
      </c>
    </row>
    <row r="6404" spans="1:8" x14ac:dyDescent="0.4">
      <c r="A6404">
        <v>1999</v>
      </c>
      <c r="B6404" s="2" t="s">
        <v>457</v>
      </c>
      <c r="C6404" s="2" t="s">
        <v>715</v>
      </c>
      <c r="D6404" s="14" t="s">
        <v>101</v>
      </c>
      <c r="E6404" s="70" t="s">
        <v>104</v>
      </c>
      <c r="F6404" s="29">
        <v>351</v>
      </c>
      <c r="G6404" s="29">
        <v>0</v>
      </c>
      <c r="H6404" s="33">
        <v>0</v>
      </c>
    </row>
    <row r="6405" spans="1:8" x14ac:dyDescent="0.4">
      <c r="A6405">
        <v>1999</v>
      </c>
      <c r="B6405" s="2" t="s">
        <v>458</v>
      </c>
      <c r="C6405" s="2" t="s">
        <v>716</v>
      </c>
      <c r="D6405" s="2" t="s">
        <v>129</v>
      </c>
      <c r="E6405" s="70" t="s">
        <v>128</v>
      </c>
      <c r="F6405" s="29">
        <v>47</v>
      </c>
      <c r="G6405" s="29">
        <v>0</v>
      </c>
      <c r="H6405" s="33">
        <v>0</v>
      </c>
    </row>
    <row r="6406" spans="1:8" x14ac:dyDescent="0.4">
      <c r="A6406">
        <v>1999</v>
      </c>
      <c r="B6406" s="2" t="s">
        <v>459</v>
      </c>
      <c r="C6406" s="2" t="s">
        <v>716</v>
      </c>
      <c r="D6406" s="2" t="s">
        <v>129</v>
      </c>
      <c r="E6406" s="70" t="s">
        <v>36</v>
      </c>
      <c r="F6406" s="29">
        <v>23</v>
      </c>
      <c r="G6406" s="29">
        <v>0</v>
      </c>
      <c r="H6406" s="33">
        <v>0</v>
      </c>
    </row>
    <row r="6407" spans="1:8" x14ac:dyDescent="0.4">
      <c r="A6407">
        <v>1999</v>
      </c>
      <c r="B6407" s="2" t="s">
        <v>460</v>
      </c>
      <c r="C6407" s="2" t="s">
        <v>716</v>
      </c>
      <c r="D6407" s="2" t="s">
        <v>129</v>
      </c>
      <c r="E6407" s="70" t="s">
        <v>130</v>
      </c>
      <c r="F6407" s="29">
        <v>66</v>
      </c>
      <c r="G6407" s="29">
        <v>0</v>
      </c>
      <c r="H6407" s="33">
        <v>0</v>
      </c>
    </row>
    <row r="6408" spans="1:8" x14ac:dyDescent="0.4">
      <c r="A6408">
        <v>1999</v>
      </c>
      <c r="B6408" s="2" t="s">
        <v>461</v>
      </c>
      <c r="C6408" s="2" t="s">
        <v>716</v>
      </c>
      <c r="D6408" s="2" t="s">
        <v>129</v>
      </c>
      <c r="E6408" s="70" t="s">
        <v>131</v>
      </c>
      <c r="F6408" s="29">
        <v>10</v>
      </c>
      <c r="G6408" s="29">
        <v>0</v>
      </c>
      <c r="H6408" s="33">
        <v>0</v>
      </c>
    </row>
    <row r="6409" spans="1:8" x14ac:dyDescent="0.4">
      <c r="A6409">
        <v>1999</v>
      </c>
      <c r="B6409" s="2" t="s">
        <v>462</v>
      </c>
      <c r="C6409" s="2" t="s">
        <v>716</v>
      </c>
      <c r="D6409" s="2" t="s">
        <v>129</v>
      </c>
      <c r="E6409" s="70" t="s">
        <v>132</v>
      </c>
      <c r="F6409" s="29">
        <v>744</v>
      </c>
      <c r="G6409" s="29">
        <v>0</v>
      </c>
      <c r="H6409" s="33">
        <v>0</v>
      </c>
    </row>
    <row r="6410" spans="1:8" x14ac:dyDescent="0.4">
      <c r="A6410">
        <v>1999</v>
      </c>
      <c r="B6410" s="2" t="s">
        <v>463</v>
      </c>
      <c r="C6410" s="2" t="s">
        <v>716</v>
      </c>
      <c r="D6410" s="2" t="s">
        <v>129</v>
      </c>
      <c r="E6410" s="70" t="s">
        <v>133</v>
      </c>
      <c r="F6410" s="29">
        <v>55</v>
      </c>
      <c r="G6410" s="29">
        <v>0</v>
      </c>
      <c r="H6410" s="33">
        <v>0</v>
      </c>
    </row>
    <row r="6411" spans="1:8" x14ac:dyDescent="0.4">
      <c r="A6411">
        <v>1999</v>
      </c>
      <c r="B6411" s="2" t="s">
        <v>464</v>
      </c>
      <c r="C6411" s="2" t="s">
        <v>716</v>
      </c>
      <c r="D6411" s="2" t="s">
        <v>129</v>
      </c>
      <c r="E6411" s="70" t="s">
        <v>134</v>
      </c>
      <c r="F6411" s="29">
        <v>44</v>
      </c>
      <c r="G6411" s="29">
        <v>0</v>
      </c>
      <c r="H6411" s="33">
        <v>0</v>
      </c>
    </row>
    <row r="6412" spans="1:8" x14ac:dyDescent="0.4">
      <c r="A6412">
        <v>1999</v>
      </c>
      <c r="B6412" s="2" t="s">
        <v>465</v>
      </c>
      <c r="C6412" s="2" t="s">
        <v>716</v>
      </c>
      <c r="D6412" s="2" t="s">
        <v>129</v>
      </c>
      <c r="E6412" s="70" t="s">
        <v>135</v>
      </c>
      <c r="F6412" s="29">
        <v>9</v>
      </c>
      <c r="G6412" s="29">
        <v>0</v>
      </c>
      <c r="H6412" s="33">
        <v>0</v>
      </c>
    </row>
    <row r="6413" spans="1:8" x14ac:dyDescent="0.4">
      <c r="A6413">
        <v>1999</v>
      </c>
      <c r="B6413" s="2" t="s">
        <v>466</v>
      </c>
      <c r="C6413" s="2" t="s">
        <v>716</v>
      </c>
      <c r="D6413" s="2" t="s">
        <v>129</v>
      </c>
      <c r="E6413" s="70" t="s">
        <v>94</v>
      </c>
      <c r="F6413" s="29">
        <v>124</v>
      </c>
      <c r="G6413" s="29">
        <v>0</v>
      </c>
      <c r="H6413" s="33">
        <v>0</v>
      </c>
    </row>
    <row r="6414" spans="1:8" x14ac:dyDescent="0.4">
      <c r="A6414">
        <v>1999</v>
      </c>
      <c r="B6414" s="2" t="s">
        <v>467</v>
      </c>
      <c r="C6414" s="2" t="s">
        <v>716</v>
      </c>
      <c r="D6414" s="2" t="s">
        <v>129</v>
      </c>
      <c r="E6414" s="70" t="s">
        <v>136</v>
      </c>
      <c r="F6414" s="29">
        <v>81</v>
      </c>
      <c r="G6414" s="29">
        <v>0</v>
      </c>
      <c r="H6414" s="33">
        <v>0</v>
      </c>
    </row>
    <row r="6415" spans="1:8" x14ac:dyDescent="0.4">
      <c r="A6415">
        <v>1999</v>
      </c>
      <c r="B6415" s="2" t="s">
        <v>468</v>
      </c>
      <c r="C6415" s="2" t="s">
        <v>716</v>
      </c>
      <c r="D6415" s="2" t="s">
        <v>129</v>
      </c>
      <c r="E6415" s="70" t="s">
        <v>137</v>
      </c>
      <c r="F6415" s="29">
        <v>14</v>
      </c>
      <c r="G6415" s="29">
        <v>0</v>
      </c>
      <c r="H6415" s="33">
        <v>0</v>
      </c>
    </row>
    <row r="6416" spans="1:8" x14ac:dyDescent="0.4">
      <c r="A6416">
        <v>1999</v>
      </c>
      <c r="B6416" s="2" t="s">
        <v>469</v>
      </c>
      <c r="C6416" s="2" t="s">
        <v>716</v>
      </c>
      <c r="D6416" s="2" t="s">
        <v>129</v>
      </c>
      <c r="E6416" s="70" t="s">
        <v>138</v>
      </c>
      <c r="F6416" s="29">
        <v>65</v>
      </c>
      <c r="G6416" s="29">
        <v>0</v>
      </c>
      <c r="H6416" s="33">
        <v>0</v>
      </c>
    </row>
    <row r="6417" spans="1:8" x14ac:dyDescent="0.4">
      <c r="A6417">
        <v>1999</v>
      </c>
      <c r="B6417" s="2" t="s">
        <v>470</v>
      </c>
      <c r="C6417" s="2" t="s">
        <v>716</v>
      </c>
      <c r="D6417" s="2" t="s">
        <v>129</v>
      </c>
      <c r="E6417" s="70" t="s">
        <v>139</v>
      </c>
      <c r="F6417" s="29">
        <v>71</v>
      </c>
      <c r="G6417" s="29">
        <v>0</v>
      </c>
      <c r="H6417" s="33">
        <v>0</v>
      </c>
    </row>
    <row r="6418" spans="1:8" x14ac:dyDescent="0.4">
      <c r="A6418">
        <v>1999</v>
      </c>
      <c r="B6418" s="2" t="s">
        <v>471</v>
      </c>
      <c r="C6418" s="2" t="s">
        <v>716</v>
      </c>
      <c r="D6418" s="2" t="s">
        <v>129</v>
      </c>
      <c r="E6418" s="70" t="s">
        <v>85</v>
      </c>
      <c r="F6418" s="29">
        <v>904</v>
      </c>
      <c r="G6418" s="29">
        <v>0</v>
      </c>
      <c r="H6418" s="33">
        <v>0</v>
      </c>
    </row>
    <row r="6419" spans="1:8" x14ac:dyDescent="0.4">
      <c r="A6419">
        <v>1999</v>
      </c>
      <c r="B6419" s="2" t="s">
        <v>472</v>
      </c>
      <c r="C6419" s="2" t="s">
        <v>716</v>
      </c>
      <c r="D6419" s="2" t="s">
        <v>129</v>
      </c>
      <c r="E6419" s="70" t="s">
        <v>140</v>
      </c>
      <c r="F6419" s="29">
        <v>48</v>
      </c>
      <c r="G6419" s="29">
        <v>0</v>
      </c>
      <c r="H6419" s="33">
        <v>0</v>
      </c>
    </row>
    <row r="6420" spans="1:8" x14ac:dyDescent="0.4">
      <c r="A6420">
        <v>1999</v>
      </c>
      <c r="B6420" s="2" t="s">
        <v>473</v>
      </c>
      <c r="C6420" s="2" t="s">
        <v>716</v>
      </c>
      <c r="D6420" s="2" t="s">
        <v>129</v>
      </c>
      <c r="E6420" s="70" t="s">
        <v>141</v>
      </c>
      <c r="F6420" s="29">
        <v>14</v>
      </c>
      <c r="G6420" s="29">
        <v>0</v>
      </c>
      <c r="H6420" s="33">
        <v>0</v>
      </c>
    </row>
    <row r="6421" spans="1:8" x14ac:dyDescent="0.4">
      <c r="A6421">
        <v>1999</v>
      </c>
      <c r="B6421" s="2" t="s">
        <v>474</v>
      </c>
      <c r="C6421" s="2" t="s">
        <v>716</v>
      </c>
      <c r="D6421" s="2" t="s">
        <v>129</v>
      </c>
      <c r="E6421" s="70" t="s">
        <v>143</v>
      </c>
      <c r="F6421" s="29">
        <v>53</v>
      </c>
      <c r="G6421" s="29">
        <v>0</v>
      </c>
      <c r="H6421" s="33">
        <v>0</v>
      </c>
    </row>
    <row r="6422" spans="1:8" x14ac:dyDescent="0.4">
      <c r="A6422">
        <v>1999</v>
      </c>
      <c r="B6422" s="2" t="s">
        <v>475</v>
      </c>
      <c r="C6422" s="2" t="s">
        <v>716</v>
      </c>
      <c r="D6422" s="2" t="s">
        <v>129</v>
      </c>
      <c r="E6422" s="70" t="s">
        <v>21</v>
      </c>
      <c r="F6422" s="29">
        <v>32</v>
      </c>
      <c r="G6422" s="29">
        <v>0</v>
      </c>
      <c r="H6422" s="33">
        <v>0</v>
      </c>
    </row>
    <row r="6423" spans="1:8" x14ac:dyDescent="0.4">
      <c r="A6423">
        <v>1999</v>
      </c>
      <c r="B6423" s="2" t="s">
        <v>476</v>
      </c>
      <c r="C6423" s="2" t="s">
        <v>716</v>
      </c>
      <c r="D6423" s="2" t="s">
        <v>129</v>
      </c>
      <c r="E6423" s="70" t="s">
        <v>144</v>
      </c>
      <c r="F6423" s="29">
        <v>26</v>
      </c>
      <c r="G6423" s="29">
        <v>0</v>
      </c>
      <c r="H6423" s="33">
        <v>0</v>
      </c>
    </row>
    <row r="6424" spans="1:8" x14ac:dyDescent="0.4">
      <c r="A6424">
        <v>1999</v>
      </c>
      <c r="B6424" s="2" t="s">
        <v>477</v>
      </c>
      <c r="C6424" s="2" t="s">
        <v>716</v>
      </c>
      <c r="D6424" s="2" t="s">
        <v>129</v>
      </c>
      <c r="E6424" s="70" t="s">
        <v>145</v>
      </c>
      <c r="F6424" s="29">
        <v>144</v>
      </c>
      <c r="G6424" s="29">
        <v>0</v>
      </c>
      <c r="H6424" s="33">
        <v>0</v>
      </c>
    </row>
    <row r="6425" spans="1:8" x14ac:dyDescent="0.4">
      <c r="A6425">
        <v>1999</v>
      </c>
      <c r="B6425" s="2" t="s">
        <v>478</v>
      </c>
      <c r="C6425" s="2" t="s">
        <v>716</v>
      </c>
      <c r="D6425" s="2" t="s">
        <v>129</v>
      </c>
      <c r="E6425" s="70" t="s">
        <v>51</v>
      </c>
      <c r="F6425" s="29">
        <v>16</v>
      </c>
      <c r="G6425" s="29">
        <v>0</v>
      </c>
      <c r="H6425" s="33">
        <v>0</v>
      </c>
    </row>
    <row r="6426" spans="1:8" x14ac:dyDescent="0.4">
      <c r="A6426">
        <v>1999</v>
      </c>
      <c r="B6426" s="2" t="s">
        <v>479</v>
      </c>
      <c r="C6426" s="2" t="s">
        <v>716</v>
      </c>
      <c r="D6426" s="2" t="s">
        <v>129</v>
      </c>
      <c r="E6426" s="70" t="s">
        <v>146</v>
      </c>
      <c r="F6426" s="29">
        <v>23</v>
      </c>
      <c r="G6426" s="29">
        <v>0</v>
      </c>
      <c r="H6426" s="33">
        <v>0</v>
      </c>
    </row>
    <row r="6427" spans="1:8" x14ac:dyDescent="0.4">
      <c r="A6427">
        <v>1999</v>
      </c>
      <c r="B6427" s="2" t="s">
        <v>480</v>
      </c>
      <c r="C6427" s="2" t="s">
        <v>716</v>
      </c>
      <c r="D6427" s="2" t="s">
        <v>129</v>
      </c>
      <c r="E6427" s="70" t="s">
        <v>147</v>
      </c>
      <c r="F6427" s="29">
        <v>23</v>
      </c>
      <c r="G6427" s="29">
        <v>0</v>
      </c>
      <c r="H6427" s="33">
        <v>0</v>
      </c>
    </row>
    <row r="6428" spans="1:8" x14ac:dyDescent="0.4">
      <c r="A6428">
        <v>1999</v>
      </c>
      <c r="B6428" s="2" t="s">
        <v>481</v>
      </c>
      <c r="C6428" s="2" t="s">
        <v>716</v>
      </c>
      <c r="D6428" s="2" t="s">
        <v>129</v>
      </c>
      <c r="E6428" s="70" t="s">
        <v>148</v>
      </c>
      <c r="F6428" s="29">
        <v>10</v>
      </c>
      <c r="G6428" s="29">
        <v>0</v>
      </c>
      <c r="H6428" s="33">
        <v>0</v>
      </c>
    </row>
    <row r="6429" spans="1:8" x14ac:dyDescent="0.4">
      <c r="A6429">
        <v>1999</v>
      </c>
      <c r="B6429" s="2" t="s">
        <v>482</v>
      </c>
      <c r="C6429" s="2" t="s">
        <v>716</v>
      </c>
      <c r="D6429" s="2" t="s">
        <v>129</v>
      </c>
      <c r="E6429" s="70" t="s">
        <v>54</v>
      </c>
      <c r="F6429" s="29">
        <v>84</v>
      </c>
      <c r="G6429" s="29">
        <v>0</v>
      </c>
      <c r="H6429" s="33">
        <v>0</v>
      </c>
    </row>
    <row r="6430" spans="1:8" x14ac:dyDescent="0.4">
      <c r="A6430">
        <v>1999</v>
      </c>
      <c r="B6430" s="2" t="s">
        <v>483</v>
      </c>
      <c r="C6430" s="2" t="s">
        <v>717</v>
      </c>
      <c r="D6430" s="2" t="s">
        <v>150</v>
      </c>
      <c r="E6430" s="70" t="s">
        <v>149</v>
      </c>
      <c r="F6430" s="29">
        <v>74</v>
      </c>
      <c r="G6430" s="29">
        <v>0</v>
      </c>
      <c r="H6430" s="33">
        <v>0</v>
      </c>
    </row>
    <row r="6431" spans="1:8" x14ac:dyDescent="0.4">
      <c r="A6431">
        <v>1999</v>
      </c>
      <c r="B6431" s="2" t="s">
        <v>484</v>
      </c>
      <c r="C6431" s="2" t="s">
        <v>717</v>
      </c>
      <c r="D6431" s="2" t="s">
        <v>150</v>
      </c>
      <c r="E6431" s="70" t="s">
        <v>151</v>
      </c>
      <c r="F6431" s="29">
        <v>27</v>
      </c>
      <c r="G6431" s="29">
        <v>0</v>
      </c>
      <c r="H6431" s="33">
        <v>0</v>
      </c>
    </row>
    <row r="6432" spans="1:8" x14ac:dyDescent="0.4">
      <c r="A6432">
        <v>1999</v>
      </c>
      <c r="B6432" s="2" t="s">
        <v>485</v>
      </c>
      <c r="C6432" s="2" t="s">
        <v>717</v>
      </c>
      <c r="D6432" s="2" t="s">
        <v>150</v>
      </c>
      <c r="E6432" s="70" t="s">
        <v>152</v>
      </c>
      <c r="F6432" s="29">
        <v>66</v>
      </c>
      <c r="G6432" s="29">
        <v>0</v>
      </c>
      <c r="H6432" s="33">
        <v>0</v>
      </c>
    </row>
    <row r="6433" spans="1:8" x14ac:dyDescent="0.4">
      <c r="A6433">
        <v>1999</v>
      </c>
      <c r="B6433" s="2" t="s">
        <v>486</v>
      </c>
      <c r="C6433" s="2" t="s">
        <v>717</v>
      </c>
      <c r="D6433" s="2" t="s">
        <v>150</v>
      </c>
      <c r="E6433" s="70" t="s">
        <v>153</v>
      </c>
      <c r="F6433" s="29">
        <v>25</v>
      </c>
      <c r="G6433" s="29">
        <v>0</v>
      </c>
      <c r="H6433" s="33">
        <v>0</v>
      </c>
    </row>
    <row r="6434" spans="1:8" x14ac:dyDescent="0.4">
      <c r="A6434">
        <v>1999</v>
      </c>
      <c r="B6434" s="2" t="s">
        <v>487</v>
      </c>
      <c r="C6434" s="2" t="s">
        <v>717</v>
      </c>
      <c r="D6434" s="2" t="s">
        <v>150</v>
      </c>
      <c r="E6434" s="70" t="s">
        <v>154</v>
      </c>
      <c r="F6434" s="29">
        <v>616</v>
      </c>
      <c r="G6434" s="29">
        <v>0</v>
      </c>
      <c r="H6434" s="33">
        <v>0</v>
      </c>
    </row>
    <row r="6435" spans="1:8" x14ac:dyDescent="0.4">
      <c r="A6435">
        <v>1999</v>
      </c>
      <c r="B6435" s="2" t="s">
        <v>488</v>
      </c>
      <c r="C6435" s="2" t="s">
        <v>717</v>
      </c>
      <c r="D6435" s="2" t="s">
        <v>150</v>
      </c>
      <c r="E6435" s="70" t="s">
        <v>155</v>
      </c>
      <c r="F6435" s="29">
        <v>84</v>
      </c>
      <c r="G6435" s="29">
        <v>0</v>
      </c>
      <c r="H6435" s="33">
        <v>0</v>
      </c>
    </row>
    <row r="6436" spans="1:8" x14ac:dyDescent="0.4">
      <c r="A6436">
        <v>1999</v>
      </c>
      <c r="B6436" s="2" t="s">
        <v>489</v>
      </c>
      <c r="C6436" s="2" t="s">
        <v>717</v>
      </c>
      <c r="D6436" s="2" t="s">
        <v>150</v>
      </c>
      <c r="E6436" s="70" t="s">
        <v>156</v>
      </c>
      <c r="F6436" s="29">
        <v>105</v>
      </c>
      <c r="G6436" s="29">
        <v>0</v>
      </c>
      <c r="H6436" s="33">
        <v>0</v>
      </c>
    </row>
    <row r="6437" spans="1:8" x14ac:dyDescent="0.4">
      <c r="A6437">
        <v>1999</v>
      </c>
      <c r="B6437" s="2" t="s">
        <v>490</v>
      </c>
      <c r="C6437" s="2" t="s">
        <v>717</v>
      </c>
      <c r="D6437" s="2" t="s">
        <v>150</v>
      </c>
      <c r="E6437" s="70" t="s">
        <v>85</v>
      </c>
      <c r="F6437" s="29">
        <v>468</v>
      </c>
      <c r="G6437" s="29">
        <v>0</v>
      </c>
      <c r="H6437" s="33">
        <v>0</v>
      </c>
    </row>
    <row r="6438" spans="1:8" x14ac:dyDescent="0.4">
      <c r="A6438">
        <v>1999</v>
      </c>
      <c r="B6438" s="2" t="s">
        <v>491</v>
      </c>
      <c r="C6438" s="2" t="s">
        <v>717</v>
      </c>
      <c r="D6438" s="2" t="s">
        <v>150</v>
      </c>
      <c r="E6438" s="70" t="s">
        <v>157</v>
      </c>
      <c r="F6438" s="29">
        <v>371</v>
      </c>
      <c r="G6438" s="29">
        <v>0</v>
      </c>
      <c r="H6438" s="33">
        <v>0</v>
      </c>
    </row>
    <row r="6439" spans="1:8" x14ac:dyDescent="0.4">
      <c r="A6439">
        <v>1999</v>
      </c>
      <c r="B6439" s="2" t="s">
        <v>492</v>
      </c>
      <c r="C6439" s="2" t="s">
        <v>717</v>
      </c>
      <c r="D6439" s="2" t="s">
        <v>150</v>
      </c>
      <c r="E6439" s="70" t="s">
        <v>158</v>
      </c>
      <c r="F6439" s="29">
        <v>31</v>
      </c>
      <c r="G6439" s="29">
        <v>0</v>
      </c>
      <c r="H6439" s="33">
        <v>0</v>
      </c>
    </row>
    <row r="6440" spans="1:8" x14ac:dyDescent="0.4">
      <c r="A6440">
        <v>1999</v>
      </c>
      <c r="B6440" s="2" t="s">
        <v>493</v>
      </c>
      <c r="C6440" s="2" t="s">
        <v>717</v>
      </c>
      <c r="D6440" s="2" t="s">
        <v>150</v>
      </c>
      <c r="E6440" s="70" t="s">
        <v>159</v>
      </c>
      <c r="F6440" s="29">
        <v>78</v>
      </c>
      <c r="G6440" s="29">
        <v>0</v>
      </c>
      <c r="H6440" s="33">
        <v>0</v>
      </c>
    </row>
    <row r="6441" spans="1:8" x14ac:dyDescent="0.4">
      <c r="A6441">
        <v>1999</v>
      </c>
      <c r="B6441" s="2" t="s">
        <v>494</v>
      </c>
      <c r="C6441" s="2" t="s">
        <v>717</v>
      </c>
      <c r="D6441" s="2" t="s">
        <v>150</v>
      </c>
      <c r="E6441" s="70" t="s">
        <v>76</v>
      </c>
      <c r="F6441" s="29">
        <v>637</v>
      </c>
      <c r="G6441" s="29">
        <v>0</v>
      </c>
      <c r="H6441" s="33">
        <v>0</v>
      </c>
    </row>
    <row r="6442" spans="1:8" x14ac:dyDescent="0.4">
      <c r="A6442">
        <v>1999</v>
      </c>
      <c r="B6442" s="2" t="s">
        <v>495</v>
      </c>
      <c r="C6442" s="2" t="s">
        <v>717</v>
      </c>
      <c r="D6442" s="2" t="s">
        <v>150</v>
      </c>
      <c r="E6442" s="70" t="s">
        <v>160</v>
      </c>
      <c r="F6442" s="29">
        <v>34</v>
      </c>
      <c r="G6442" s="29">
        <v>0</v>
      </c>
      <c r="H6442" s="33">
        <v>0</v>
      </c>
    </row>
    <row r="6443" spans="1:8" x14ac:dyDescent="0.4">
      <c r="A6443">
        <v>1999</v>
      </c>
      <c r="B6443" s="2" t="s">
        <v>496</v>
      </c>
      <c r="C6443" s="2" t="s">
        <v>717</v>
      </c>
      <c r="D6443" s="2" t="s">
        <v>150</v>
      </c>
      <c r="E6443" s="70" t="s">
        <v>161</v>
      </c>
      <c r="F6443" s="29">
        <v>55</v>
      </c>
      <c r="G6443" s="29">
        <v>0</v>
      </c>
      <c r="H6443" s="33">
        <v>0</v>
      </c>
    </row>
    <row r="6444" spans="1:8" x14ac:dyDescent="0.4">
      <c r="A6444">
        <v>1999</v>
      </c>
      <c r="B6444" s="2" t="s">
        <v>497</v>
      </c>
      <c r="C6444" s="2" t="s">
        <v>717</v>
      </c>
      <c r="D6444" s="2" t="s">
        <v>150</v>
      </c>
      <c r="E6444" s="70" t="s">
        <v>162</v>
      </c>
      <c r="F6444" s="29">
        <v>177</v>
      </c>
      <c r="G6444" s="29">
        <v>0</v>
      </c>
      <c r="H6444" s="33">
        <v>0</v>
      </c>
    </row>
    <row r="6445" spans="1:8" x14ac:dyDescent="0.4">
      <c r="A6445">
        <v>1999</v>
      </c>
      <c r="B6445" s="2" t="s">
        <v>498</v>
      </c>
      <c r="C6445" s="2" t="s">
        <v>718</v>
      </c>
      <c r="D6445" s="2" t="s">
        <v>164</v>
      </c>
      <c r="E6445" s="70" t="s">
        <v>163</v>
      </c>
      <c r="F6445" s="29">
        <v>108</v>
      </c>
      <c r="G6445" s="29">
        <v>0</v>
      </c>
      <c r="H6445" s="33">
        <v>0</v>
      </c>
    </row>
    <row r="6446" spans="1:8" x14ac:dyDescent="0.4">
      <c r="A6446">
        <v>1999</v>
      </c>
      <c r="B6446" s="2" t="s">
        <v>499</v>
      </c>
      <c r="C6446" s="2" t="s">
        <v>718</v>
      </c>
      <c r="D6446" s="2" t="s">
        <v>164</v>
      </c>
      <c r="E6446" s="70" t="s">
        <v>165</v>
      </c>
      <c r="F6446" s="29">
        <v>97</v>
      </c>
      <c r="G6446" s="29">
        <v>0</v>
      </c>
      <c r="H6446" s="33">
        <v>0</v>
      </c>
    </row>
    <row r="6447" spans="1:8" x14ac:dyDescent="0.4">
      <c r="A6447">
        <v>1999</v>
      </c>
      <c r="B6447" s="2" t="s">
        <v>500</v>
      </c>
      <c r="C6447" s="2" t="s">
        <v>718</v>
      </c>
      <c r="D6447" s="2" t="s">
        <v>164</v>
      </c>
      <c r="E6447" s="70" t="s">
        <v>166</v>
      </c>
      <c r="F6447" s="29">
        <v>4919</v>
      </c>
      <c r="G6447" s="29">
        <v>0</v>
      </c>
      <c r="H6447" s="33">
        <v>0</v>
      </c>
    </row>
    <row r="6448" spans="1:8" x14ac:dyDescent="0.4">
      <c r="A6448">
        <v>1999</v>
      </c>
      <c r="B6448" s="2" t="s">
        <v>501</v>
      </c>
      <c r="C6448" s="2" t="s">
        <v>718</v>
      </c>
      <c r="D6448" s="2" t="s">
        <v>164</v>
      </c>
      <c r="E6448" s="70" t="s">
        <v>167</v>
      </c>
      <c r="F6448" s="29">
        <v>232</v>
      </c>
      <c r="G6448" s="29">
        <v>0</v>
      </c>
      <c r="H6448" s="33">
        <v>0</v>
      </c>
    </row>
    <row r="6449" spans="1:8" x14ac:dyDescent="0.4">
      <c r="A6449">
        <v>1999</v>
      </c>
      <c r="B6449" s="2" t="s">
        <v>502</v>
      </c>
      <c r="C6449" s="2" t="s">
        <v>718</v>
      </c>
      <c r="D6449" s="2" t="s">
        <v>164</v>
      </c>
      <c r="E6449" s="70" t="s">
        <v>168</v>
      </c>
      <c r="F6449" s="29">
        <v>372</v>
      </c>
      <c r="G6449" s="29">
        <v>0</v>
      </c>
      <c r="H6449" s="33">
        <v>0</v>
      </c>
    </row>
    <row r="6450" spans="1:8" x14ac:dyDescent="0.4">
      <c r="A6450">
        <v>1999</v>
      </c>
      <c r="B6450" s="2" t="s">
        <v>503</v>
      </c>
      <c r="C6450" s="2" t="s">
        <v>718</v>
      </c>
      <c r="D6450" s="2" t="s">
        <v>164</v>
      </c>
      <c r="E6450" s="70" t="s">
        <v>169</v>
      </c>
      <c r="F6450" s="29">
        <v>230</v>
      </c>
      <c r="G6450" s="29">
        <v>0</v>
      </c>
      <c r="H6450" s="33">
        <v>0</v>
      </c>
    </row>
    <row r="6451" spans="1:8" x14ac:dyDescent="0.4">
      <c r="A6451">
        <v>1999</v>
      </c>
      <c r="B6451" s="2" t="s">
        <v>504</v>
      </c>
      <c r="C6451" s="2" t="s">
        <v>718</v>
      </c>
      <c r="D6451" s="2" t="s">
        <v>164</v>
      </c>
      <c r="E6451" s="70" t="s">
        <v>170</v>
      </c>
      <c r="F6451" s="29">
        <v>32</v>
      </c>
      <c r="G6451" s="29">
        <v>0</v>
      </c>
      <c r="H6451" s="33">
        <v>0</v>
      </c>
    </row>
    <row r="6452" spans="1:8" x14ac:dyDescent="0.4">
      <c r="A6452">
        <v>1999</v>
      </c>
      <c r="B6452" s="2" t="s">
        <v>505</v>
      </c>
      <c r="C6452" s="2" t="s">
        <v>718</v>
      </c>
      <c r="D6452" s="2" t="s">
        <v>164</v>
      </c>
      <c r="E6452" s="70" t="s">
        <v>171</v>
      </c>
      <c r="F6452" s="29">
        <v>708</v>
      </c>
      <c r="G6452" s="29">
        <v>0</v>
      </c>
      <c r="H6452" s="33">
        <v>0</v>
      </c>
    </row>
    <row r="6453" spans="1:8" x14ac:dyDescent="0.4">
      <c r="A6453">
        <v>1999</v>
      </c>
      <c r="B6453" s="2" t="s">
        <v>506</v>
      </c>
      <c r="C6453" s="2" t="s">
        <v>718</v>
      </c>
      <c r="D6453" s="2" t="s">
        <v>164</v>
      </c>
      <c r="E6453" s="70" t="s">
        <v>53</v>
      </c>
      <c r="F6453" s="29">
        <v>82</v>
      </c>
      <c r="G6453" s="29">
        <v>0</v>
      </c>
      <c r="H6453" s="33">
        <v>0</v>
      </c>
    </row>
    <row r="6454" spans="1:8" x14ac:dyDescent="0.4">
      <c r="A6454">
        <v>1999</v>
      </c>
      <c r="B6454" s="2" t="s">
        <v>507</v>
      </c>
      <c r="C6454" s="2" t="s">
        <v>719</v>
      </c>
      <c r="D6454" s="2" t="s">
        <v>173</v>
      </c>
      <c r="E6454" s="70" t="s">
        <v>172</v>
      </c>
      <c r="F6454" s="29">
        <v>492</v>
      </c>
      <c r="G6454" s="29">
        <v>0</v>
      </c>
      <c r="H6454" s="33">
        <v>0</v>
      </c>
    </row>
    <row r="6455" spans="1:8" x14ac:dyDescent="0.4">
      <c r="A6455">
        <v>1999</v>
      </c>
      <c r="B6455" s="2" t="s">
        <v>508</v>
      </c>
      <c r="C6455" s="2" t="s">
        <v>719</v>
      </c>
      <c r="D6455" s="2" t="s">
        <v>173</v>
      </c>
      <c r="E6455" s="70" t="s">
        <v>174</v>
      </c>
      <c r="F6455" s="29">
        <v>40</v>
      </c>
      <c r="G6455" s="29">
        <v>0</v>
      </c>
      <c r="H6455" s="33">
        <v>0</v>
      </c>
    </row>
    <row r="6456" spans="1:8" x14ac:dyDescent="0.4">
      <c r="A6456">
        <v>1999</v>
      </c>
      <c r="B6456" s="2" t="s">
        <v>509</v>
      </c>
      <c r="C6456" s="2" t="s">
        <v>719</v>
      </c>
      <c r="D6456" s="2" t="s">
        <v>173</v>
      </c>
      <c r="E6456" s="70" t="s">
        <v>175</v>
      </c>
      <c r="F6456" s="29">
        <v>76</v>
      </c>
      <c r="G6456" s="29">
        <v>0</v>
      </c>
      <c r="H6456" s="33">
        <v>0</v>
      </c>
    </row>
    <row r="6457" spans="1:8" x14ac:dyDescent="0.4">
      <c r="A6457">
        <v>1999</v>
      </c>
      <c r="B6457" s="2" t="s">
        <v>510</v>
      </c>
      <c r="C6457" s="2" t="s">
        <v>719</v>
      </c>
      <c r="D6457" s="2" t="s">
        <v>173</v>
      </c>
      <c r="E6457" s="70" t="s">
        <v>176</v>
      </c>
      <c r="F6457" s="29">
        <v>16</v>
      </c>
      <c r="G6457" s="29">
        <v>0</v>
      </c>
      <c r="H6457" s="33">
        <v>0</v>
      </c>
    </row>
    <row r="6458" spans="1:8" x14ac:dyDescent="0.4">
      <c r="A6458">
        <v>1999</v>
      </c>
      <c r="B6458" s="2" t="s">
        <v>511</v>
      </c>
      <c r="C6458" s="2" t="s">
        <v>719</v>
      </c>
      <c r="D6458" s="2" t="s">
        <v>173</v>
      </c>
      <c r="E6458" s="70" t="s">
        <v>177</v>
      </c>
      <c r="F6458" s="29">
        <v>72</v>
      </c>
      <c r="G6458" s="29">
        <v>0</v>
      </c>
      <c r="H6458" s="33">
        <v>0</v>
      </c>
    </row>
    <row r="6459" spans="1:8" x14ac:dyDescent="0.4">
      <c r="A6459">
        <v>1999</v>
      </c>
      <c r="B6459" s="2" t="s">
        <v>512</v>
      </c>
      <c r="C6459" s="2" t="s">
        <v>719</v>
      </c>
      <c r="D6459" s="2" t="s">
        <v>173</v>
      </c>
      <c r="E6459" s="70" t="s">
        <v>178</v>
      </c>
      <c r="F6459" s="29">
        <v>232</v>
      </c>
      <c r="G6459" s="29">
        <v>0</v>
      </c>
      <c r="H6459" s="33">
        <v>0</v>
      </c>
    </row>
    <row r="6460" spans="1:8" x14ac:dyDescent="0.4">
      <c r="A6460">
        <v>1999</v>
      </c>
      <c r="B6460" s="2" t="s">
        <v>513</v>
      </c>
      <c r="C6460" s="2" t="s">
        <v>719</v>
      </c>
      <c r="D6460" s="2" t="s">
        <v>173</v>
      </c>
      <c r="E6460" s="70" t="s">
        <v>179</v>
      </c>
      <c r="F6460" s="29">
        <v>32</v>
      </c>
      <c r="G6460" s="29">
        <v>0</v>
      </c>
      <c r="H6460" s="33">
        <v>0</v>
      </c>
    </row>
    <row r="6461" spans="1:8" x14ac:dyDescent="0.4">
      <c r="A6461">
        <v>1999</v>
      </c>
      <c r="B6461" s="2" t="s">
        <v>514</v>
      </c>
      <c r="C6461" s="2" t="s">
        <v>719</v>
      </c>
      <c r="D6461" s="2" t="s">
        <v>173</v>
      </c>
      <c r="E6461" s="70" t="s">
        <v>180</v>
      </c>
      <c r="F6461" s="29">
        <v>79</v>
      </c>
      <c r="G6461" s="29">
        <v>0</v>
      </c>
      <c r="H6461" s="33">
        <v>0</v>
      </c>
    </row>
    <row r="6462" spans="1:8" x14ac:dyDescent="0.4">
      <c r="A6462">
        <v>1999</v>
      </c>
      <c r="B6462" s="2" t="s">
        <v>515</v>
      </c>
      <c r="C6462" s="2" t="s">
        <v>719</v>
      </c>
      <c r="D6462" s="2" t="s">
        <v>173</v>
      </c>
      <c r="E6462" s="70" t="s">
        <v>181</v>
      </c>
      <c r="F6462" s="29">
        <v>41</v>
      </c>
      <c r="G6462" s="29">
        <v>0</v>
      </c>
      <c r="H6462" s="33">
        <v>0</v>
      </c>
    </row>
    <row r="6463" spans="1:8" x14ac:dyDescent="0.4">
      <c r="A6463">
        <v>1999</v>
      </c>
      <c r="B6463" s="2" t="s">
        <v>516</v>
      </c>
      <c r="C6463" s="2" t="s">
        <v>719</v>
      </c>
      <c r="D6463" s="2" t="s">
        <v>173</v>
      </c>
      <c r="E6463" s="70" t="s">
        <v>182</v>
      </c>
      <c r="F6463" s="29">
        <v>49</v>
      </c>
      <c r="G6463" s="29">
        <v>0</v>
      </c>
      <c r="H6463" s="33">
        <v>0</v>
      </c>
    </row>
    <row r="6464" spans="1:8" x14ac:dyDescent="0.4">
      <c r="A6464">
        <v>1999</v>
      </c>
      <c r="B6464" s="2" t="s">
        <v>517</v>
      </c>
      <c r="C6464" s="2" t="s">
        <v>719</v>
      </c>
      <c r="D6464" s="2" t="s">
        <v>173</v>
      </c>
      <c r="E6464" s="70" t="s">
        <v>183</v>
      </c>
      <c r="F6464" s="29">
        <v>23</v>
      </c>
      <c r="G6464" s="29">
        <v>0</v>
      </c>
      <c r="H6464" s="33">
        <v>0</v>
      </c>
    </row>
    <row r="6465" spans="1:8" x14ac:dyDescent="0.4">
      <c r="A6465">
        <v>1999</v>
      </c>
      <c r="B6465" s="2" t="s">
        <v>518</v>
      </c>
      <c r="C6465" s="2" t="s">
        <v>719</v>
      </c>
      <c r="D6465" s="2" t="s">
        <v>173</v>
      </c>
      <c r="E6465" s="70" t="s">
        <v>44</v>
      </c>
      <c r="F6465" s="29">
        <v>1657</v>
      </c>
      <c r="G6465" s="29">
        <v>0</v>
      </c>
      <c r="H6465" s="33">
        <v>0</v>
      </c>
    </row>
    <row r="6466" spans="1:8" x14ac:dyDescent="0.4">
      <c r="A6466">
        <v>1999</v>
      </c>
      <c r="B6466" s="2" t="s">
        <v>519</v>
      </c>
      <c r="C6466" s="2" t="s">
        <v>719</v>
      </c>
      <c r="D6466" s="2" t="s">
        <v>173</v>
      </c>
      <c r="E6466" s="70" t="s">
        <v>85</v>
      </c>
      <c r="F6466" s="29">
        <v>99</v>
      </c>
      <c r="G6466" s="29">
        <v>0</v>
      </c>
      <c r="H6466" s="33">
        <v>0</v>
      </c>
    </row>
    <row r="6467" spans="1:8" x14ac:dyDescent="0.4">
      <c r="A6467">
        <v>1999</v>
      </c>
      <c r="B6467" s="2" t="s">
        <v>520</v>
      </c>
      <c r="C6467" s="2" t="s">
        <v>719</v>
      </c>
      <c r="D6467" s="2" t="s">
        <v>173</v>
      </c>
      <c r="E6467" s="70" t="s">
        <v>184</v>
      </c>
      <c r="F6467" s="29">
        <v>66</v>
      </c>
      <c r="G6467" s="29">
        <v>0</v>
      </c>
      <c r="H6467" s="33">
        <v>0</v>
      </c>
    </row>
    <row r="6468" spans="1:8" x14ac:dyDescent="0.4">
      <c r="A6468">
        <v>1999</v>
      </c>
      <c r="B6468" s="2" t="s">
        <v>521</v>
      </c>
      <c r="C6468" s="2" t="s">
        <v>719</v>
      </c>
      <c r="D6468" s="2" t="s">
        <v>173</v>
      </c>
      <c r="E6468" s="70" t="s">
        <v>185</v>
      </c>
      <c r="F6468" s="29">
        <v>13</v>
      </c>
      <c r="G6468" s="29">
        <v>0</v>
      </c>
      <c r="H6468" s="33">
        <v>0</v>
      </c>
    </row>
    <row r="6469" spans="1:8" x14ac:dyDescent="0.4">
      <c r="A6469">
        <v>1999</v>
      </c>
      <c r="B6469" s="2" t="s">
        <v>522</v>
      </c>
      <c r="C6469" s="2" t="s">
        <v>719</v>
      </c>
      <c r="D6469" s="2" t="s">
        <v>173</v>
      </c>
      <c r="E6469" s="70" t="s">
        <v>186</v>
      </c>
      <c r="F6469" s="29">
        <v>46</v>
      </c>
      <c r="G6469" s="29">
        <v>0</v>
      </c>
      <c r="H6469" s="33">
        <v>0</v>
      </c>
    </row>
    <row r="6470" spans="1:8" x14ac:dyDescent="0.4">
      <c r="A6470">
        <v>1999</v>
      </c>
      <c r="B6470" s="2" t="s">
        <v>523</v>
      </c>
      <c r="C6470" s="2" t="s">
        <v>719</v>
      </c>
      <c r="D6470" s="2" t="s">
        <v>173</v>
      </c>
      <c r="E6470" s="70" t="s">
        <v>187</v>
      </c>
      <c r="F6470" s="29">
        <v>62</v>
      </c>
      <c r="G6470" s="29">
        <v>0</v>
      </c>
      <c r="H6470" s="33">
        <v>0</v>
      </c>
    </row>
    <row r="6471" spans="1:8" x14ac:dyDescent="0.4">
      <c r="A6471">
        <v>1999</v>
      </c>
      <c r="B6471" s="2" t="s">
        <v>524</v>
      </c>
      <c r="C6471" s="2" t="s">
        <v>719</v>
      </c>
      <c r="D6471" s="2" t="s">
        <v>173</v>
      </c>
      <c r="E6471" s="70" t="s">
        <v>188</v>
      </c>
      <c r="F6471" s="29">
        <v>55</v>
      </c>
      <c r="G6471" s="29">
        <v>0</v>
      </c>
      <c r="H6471" s="33">
        <v>0</v>
      </c>
    </row>
    <row r="6472" spans="1:8" x14ac:dyDescent="0.4">
      <c r="A6472">
        <v>1999</v>
      </c>
      <c r="B6472" s="2" t="s">
        <v>525</v>
      </c>
      <c r="C6472" s="2" t="s">
        <v>719</v>
      </c>
      <c r="D6472" s="2" t="s">
        <v>173</v>
      </c>
      <c r="E6472" s="70" t="s">
        <v>189</v>
      </c>
      <c r="F6472" s="29">
        <v>39</v>
      </c>
      <c r="G6472" s="29">
        <v>0</v>
      </c>
      <c r="H6472" s="33">
        <v>0</v>
      </c>
    </row>
    <row r="6473" spans="1:8" x14ac:dyDescent="0.4">
      <c r="A6473">
        <v>1999</v>
      </c>
      <c r="B6473" s="2" t="s">
        <v>526</v>
      </c>
      <c r="C6473" s="2" t="s">
        <v>719</v>
      </c>
      <c r="D6473" s="2" t="s">
        <v>173</v>
      </c>
      <c r="E6473" s="70" t="s">
        <v>51</v>
      </c>
      <c r="F6473" s="29">
        <v>159</v>
      </c>
      <c r="G6473" s="29">
        <v>0</v>
      </c>
      <c r="H6473" s="33">
        <v>0</v>
      </c>
    </row>
    <row r="6474" spans="1:8" x14ac:dyDescent="0.4">
      <c r="A6474">
        <v>1999</v>
      </c>
      <c r="B6474" s="2" t="s">
        <v>527</v>
      </c>
      <c r="C6474" s="2" t="s">
        <v>719</v>
      </c>
      <c r="D6474" s="2" t="s">
        <v>173</v>
      </c>
      <c r="E6474" s="70" t="s">
        <v>52</v>
      </c>
      <c r="F6474" s="29">
        <v>215</v>
      </c>
      <c r="G6474" s="29">
        <v>0</v>
      </c>
      <c r="H6474" s="33">
        <v>0</v>
      </c>
    </row>
    <row r="6475" spans="1:8" x14ac:dyDescent="0.4">
      <c r="A6475">
        <v>1999</v>
      </c>
      <c r="B6475" s="2" t="s">
        <v>528</v>
      </c>
      <c r="C6475" s="2" t="s">
        <v>719</v>
      </c>
      <c r="D6475" s="2" t="s">
        <v>173</v>
      </c>
      <c r="E6475" s="70" t="s">
        <v>190</v>
      </c>
      <c r="F6475" s="29">
        <v>87</v>
      </c>
      <c r="G6475" s="29">
        <v>0</v>
      </c>
      <c r="H6475" s="33">
        <v>0</v>
      </c>
    </row>
    <row r="6476" spans="1:8" x14ac:dyDescent="0.4">
      <c r="A6476">
        <v>1999</v>
      </c>
      <c r="B6476" s="2" t="s">
        <v>529</v>
      </c>
      <c r="C6476" s="2" t="s">
        <v>719</v>
      </c>
      <c r="D6476" s="2" t="s">
        <v>173</v>
      </c>
      <c r="E6476" s="70" t="s">
        <v>191</v>
      </c>
      <c r="F6476" s="29">
        <v>39</v>
      </c>
      <c r="G6476" s="29">
        <v>0</v>
      </c>
      <c r="H6476" s="33">
        <v>0</v>
      </c>
    </row>
    <row r="6477" spans="1:8" x14ac:dyDescent="0.4">
      <c r="A6477">
        <v>1999</v>
      </c>
      <c r="B6477" s="2" t="s">
        <v>530</v>
      </c>
      <c r="C6477" s="2" t="s">
        <v>720</v>
      </c>
      <c r="D6477" s="2" t="s">
        <v>193</v>
      </c>
      <c r="E6477" s="70" t="s">
        <v>192</v>
      </c>
      <c r="F6477" s="29">
        <v>292</v>
      </c>
      <c r="G6477" s="29">
        <v>0</v>
      </c>
      <c r="H6477" s="33">
        <v>0</v>
      </c>
    </row>
    <row r="6478" spans="1:8" x14ac:dyDescent="0.4">
      <c r="A6478">
        <v>1999</v>
      </c>
      <c r="B6478" s="2" t="s">
        <v>531</v>
      </c>
      <c r="C6478" s="2" t="s">
        <v>720</v>
      </c>
      <c r="D6478" s="2" t="s">
        <v>193</v>
      </c>
      <c r="E6478" s="70" t="s">
        <v>174</v>
      </c>
      <c r="F6478" s="29">
        <v>46</v>
      </c>
      <c r="G6478" s="29">
        <v>0</v>
      </c>
      <c r="H6478" s="33">
        <v>0</v>
      </c>
    </row>
    <row r="6479" spans="1:8" x14ac:dyDescent="0.4">
      <c r="A6479">
        <v>1999</v>
      </c>
      <c r="B6479" s="2" t="s">
        <v>532</v>
      </c>
      <c r="C6479" s="2" t="s">
        <v>720</v>
      </c>
      <c r="D6479" s="2" t="s">
        <v>193</v>
      </c>
      <c r="E6479" s="70" t="s">
        <v>194</v>
      </c>
      <c r="F6479" s="29">
        <v>1145</v>
      </c>
      <c r="G6479" s="29">
        <v>0</v>
      </c>
      <c r="H6479" s="33">
        <v>0</v>
      </c>
    </row>
    <row r="6480" spans="1:8" x14ac:dyDescent="0.4">
      <c r="A6480">
        <v>1999</v>
      </c>
      <c r="B6480" s="2" t="s">
        <v>533</v>
      </c>
      <c r="C6480" s="2" t="s">
        <v>720</v>
      </c>
      <c r="D6480" s="2" t="s">
        <v>193</v>
      </c>
      <c r="E6480" s="70" t="s">
        <v>195</v>
      </c>
      <c r="F6480" s="29">
        <v>199</v>
      </c>
      <c r="G6480" s="29">
        <v>0</v>
      </c>
      <c r="H6480" s="33">
        <v>0</v>
      </c>
    </row>
    <row r="6481" spans="1:8" x14ac:dyDescent="0.4">
      <c r="A6481">
        <v>1999</v>
      </c>
      <c r="B6481" s="2" t="s">
        <v>534</v>
      </c>
      <c r="C6481" s="2" t="s">
        <v>720</v>
      </c>
      <c r="D6481" s="2" t="s">
        <v>193</v>
      </c>
      <c r="E6481" s="70" t="s">
        <v>196</v>
      </c>
      <c r="F6481" s="29">
        <v>40</v>
      </c>
      <c r="G6481" s="29">
        <v>0</v>
      </c>
      <c r="H6481" s="33">
        <v>0</v>
      </c>
    </row>
    <row r="6482" spans="1:8" x14ac:dyDescent="0.4">
      <c r="A6482">
        <v>1999</v>
      </c>
      <c r="B6482" s="2" t="s">
        <v>535</v>
      </c>
      <c r="C6482" s="2" t="s">
        <v>720</v>
      </c>
      <c r="D6482" s="2" t="s">
        <v>193</v>
      </c>
      <c r="E6482" s="70" t="s">
        <v>197</v>
      </c>
      <c r="F6482" s="29">
        <v>55</v>
      </c>
      <c r="G6482" s="29">
        <v>0</v>
      </c>
      <c r="H6482" s="33">
        <v>0</v>
      </c>
    </row>
    <row r="6483" spans="1:8" x14ac:dyDescent="0.4">
      <c r="A6483">
        <v>1999</v>
      </c>
      <c r="B6483" s="2" t="s">
        <v>536</v>
      </c>
      <c r="C6483" s="2" t="s">
        <v>720</v>
      </c>
      <c r="D6483" s="2" t="s">
        <v>193</v>
      </c>
      <c r="E6483" s="70" t="s">
        <v>198</v>
      </c>
      <c r="F6483" s="29">
        <v>637</v>
      </c>
      <c r="G6483" s="29">
        <v>0</v>
      </c>
      <c r="H6483" s="33">
        <v>0</v>
      </c>
    </row>
    <row r="6484" spans="1:8" x14ac:dyDescent="0.4">
      <c r="A6484">
        <v>1999</v>
      </c>
      <c r="B6484" s="2" t="s">
        <v>537</v>
      </c>
      <c r="C6484" s="2" t="s">
        <v>720</v>
      </c>
      <c r="D6484" s="2" t="s">
        <v>193</v>
      </c>
      <c r="E6484" s="70" t="s">
        <v>199</v>
      </c>
      <c r="F6484" s="29">
        <v>209</v>
      </c>
      <c r="G6484" s="29">
        <v>0</v>
      </c>
      <c r="H6484" s="33">
        <v>0</v>
      </c>
    </row>
    <row r="6485" spans="1:8" x14ac:dyDescent="0.4">
      <c r="A6485">
        <v>1999</v>
      </c>
      <c r="B6485" s="2" t="s">
        <v>538</v>
      </c>
      <c r="C6485" s="2" t="s">
        <v>720</v>
      </c>
      <c r="D6485" s="2" t="s">
        <v>193</v>
      </c>
      <c r="E6485" s="70" t="s">
        <v>200</v>
      </c>
      <c r="F6485" s="29">
        <v>118</v>
      </c>
      <c r="G6485" s="29">
        <v>0</v>
      </c>
      <c r="H6485" s="33">
        <v>0</v>
      </c>
    </row>
    <row r="6486" spans="1:8" x14ac:dyDescent="0.4">
      <c r="A6486">
        <v>1999</v>
      </c>
      <c r="B6486" s="2" t="s">
        <v>539</v>
      </c>
      <c r="C6486" s="2" t="s">
        <v>720</v>
      </c>
      <c r="D6486" s="2" t="s">
        <v>193</v>
      </c>
      <c r="E6486" s="70" t="s">
        <v>201</v>
      </c>
      <c r="F6486" s="29">
        <v>1059</v>
      </c>
      <c r="G6486" s="29">
        <v>0</v>
      </c>
      <c r="H6486" s="33">
        <v>0</v>
      </c>
    </row>
    <row r="6487" spans="1:8" x14ac:dyDescent="0.4">
      <c r="A6487">
        <v>1999</v>
      </c>
      <c r="B6487" s="2" t="s">
        <v>540</v>
      </c>
      <c r="C6487" s="2" t="s">
        <v>720</v>
      </c>
      <c r="D6487" s="2" t="s">
        <v>193</v>
      </c>
      <c r="E6487" s="70" t="s">
        <v>14</v>
      </c>
      <c r="F6487" s="29">
        <v>313</v>
      </c>
      <c r="G6487" s="29">
        <v>0</v>
      </c>
      <c r="H6487" s="33">
        <v>0</v>
      </c>
    </row>
    <row r="6488" spans="1:8" x14ac:dyDescent="0.4">
      <c r="A6488">
        <v>1999</v>
      </c>
      <c r="B6488" s="2" t="s">
        <v>541</v>
      </c>
      <c r="C6488" s="2" t="s">
        <v>720</v>
      </c>
      <c r="D6488" s="2" t="s">
        <v>193</v>
      </c>
      <c r="E6488" s="70" t="s">
        <v>202</v>
      </c>
      <c r="F6488" s="29">
        <v>706</v>
      </c>
      <c r="G6488" s="29">
        <v>0</v>
      </c>
      <c r="H6488" s="33">
        <v>0</v>
      </c>
    </row>
    <row r="6489" spans="1:8" x14ac:dyDescent="0.4">
      <c r="A6489">
        <v>1999</v>
      </c>
      <c r="B6489" s="2" t="s">
        <v>542</v>
      </c>
      <c r="C6489" s="2" t="s">
        <v>720</v>
      </c>
      <c r="D6489" s="2" t="s">
        <v>193</v>
      </c>
      <c r="E6489" s="70" t="s">
        <v>203</v>
      </c>
      <c r="F6489" s="29">
        <v>184</v>
      </c>
      <c r="G6489" s="29">
        <v>0</v>
      </c>
      <c r="H6489" s="33">
        <v>0</v>
      </c>
    </row>
    <row r="6490" spans="1:8" x14ac:dyDescent="0.4">
      <c r="A6490">
        <v>1999</v>
      </c>
      <c r="B6490" s="2" t="s">
        <v>543</v>
      </c>
      <c r="C6490" s="2" t="s">
        <v>720</v>
      </c>
      <c r="D6490" s="2" t="s">
        <v>193</v>
      </c>
      <c r="E6490" s="70" t="s">
        <v>32</v>
      </c>
      <c r="F6490" s="29">
        <v>130</v>
      </c>
      <c r="G6490" s="29">
        <v>0</v>
      </c>
      <c r="H6490" s="33">
        <v>0</v>
      </c>
    </row>
    <row r="6491" spans="1:8" x14ac:dyDescent="0.4">
      <c r="A6491">
        <v>1999</v>
      </c>
      <c r="B6491" s="2" t="s">
        <v>544</v>
      </c>
      <c r="C6491" s="2" t="s">
        <v>720</v>
      </c>
      <c r="D6491" s="2" t="s">
        <v>193</v>
      </c>
      <c r="E6491" s="70" t="s">
        <v>204</v>
      </c>
      <c r="F6491" s="29">
        <v>134</v>
      </c>
      <c r="G6491" s="29">
        <v>0</v>
      </c>
      <c r="H6491" s="33">
        <v>0</v>
      </c>
    </row>
    <row r="6492" spans="1:8" x14ac:dyDescent="0.4">
      <c r="A6492">
        <v>1999</v>
      </c>
      <c r="B6492" s="2" t="s">
        <v>545</v>
      </c>
      <c r="C6492" s="2" t="s">
        <v>720</v>
      </c>
      <c r="D6492" s="2" t="s">
        <v>193</v>
      </c>
      <c r="E6492" s="70" t="s">
        <v>205</v>
      </c>
      <c r="F6492" s="29">
        <v>79</v>
      </c>
      <c r="G6492" s="29">
        <v>0</v>
      </c>
      <c r="H6492" s="33">
        <v>0</v>
      </c>
    </row>
    <row r="6493" spans="1:8" x14ac:dyDescent="0.4">
      <c r="A6493">
        <v>1999</v>
      </c>
      <c r="B6493" s="2" t="s">
        <v>546</v>
      </c>
      <c r="C6493" s="2" t="s">
        <v>720</v>
      </c>
      <c r="D6493" s="2" t="s">
        <v>193</v>
      </c>
      <c r="E6493" s="70" t="s">
        <v>206</v>
      </c>
      <c r="F6493" s="29">
        <v>453</v>
      </c>
      <c r="G6493" s="29">
        <v>0</v>
      </c>
      <c r="H6493" s="33">
        <v>0</v>
      </c>
    </row>
    <row r="6494" spans="1:8" x14ac:dyDescent="0.4">
      <c r="A6494">
        <v>1999</v>
      </c>
      <c r="B6494" s="2" t="s">
        <v>547</v>
      </c>
      <c r="C6494" s="2" t="s">
        <v>720</v>
      </c>
      <c r="D6494" s="2" t="s">
        <v>193</v>
      </c>
      <c r="E6494" s="70" t="s">
        <v>25</v>
      </c>
      <c r="F6494" s="29">
        <v>106</v>
      </c>
      <c r="G6494" s="29">
        <v>0</v>
      </c>
      <c r="H6494" s="33">
        <v>0</v>
      </c>
    </row>
    <row r="6495" spans="1:8" x14ac:dyDescent="0.4">
      <c r="A6495">
        <v>1999</v>
      </c>
      <c r="B6495" s="2" t="s">
        <v>548</v>
      </c>
      <c r="C6495" s="2" t="s">
        <v>720</v>
      </c>
      <c r="D6495" s="2" t="s">
        <v>193</v>
      </c>
      <c r="E6495" s="70" t="s">
        <v>51</v>
      </c>
      <c r="F6495" s="29">
        <v>2596</v>
      </c>
      <c r="G6495" s="29">
        <v>0</v>
      </c>
      <c r="H6495" s="33">
        <v>0</v>
      </c>
    </row>
    <row r="6496" spans="1:8" x14ac:dyDescent="0.4">
      <c r="A6496">
        <v>1999</v>
      </c>
      <c r="B6496" s="2" t="s">
        <v>549</v>
      </c>
      <c r="C6496" s="2" t="s">
        <v>720</v>
      </c>
      <c r="D6496" s="2" t="s">
        <v>193</v>
      </c>
      <c r="E6496" s="70" t="s">
        <v>53</v>
      </c>
      <c r="F6496" s="29">
        <v>234</v>
      </c>
      <c r="G6496" s="29">
        <v>0</v>
      </c>
      <c r="H6496" s="33">
        <v>0</v>
      </c>
    </row>
    <row r="6497" spans="1:8" x14ac:dyDescent="0.4">
      <c r="A6497">
        <v>1999</v>
      </c>
      <c r="B6497" s="2" t="s">
        <v>550</v>
      </c>
      <c r="C6497" s="2" t="s">
        <v>720</v>
      </c>
      <c r="D6497" s="2" t="s">
        <v>193</v>
      </c>
      <c r="E6497" s="70" t="s">
        <v>54</v>
      </c>
      <c r="F6497" s="29">
        <v>584</v>
      </c>
      <c r="G6497" s="29">
        <v>0</v>
      </c>
      <c r="H6497" s="33">
        <v>0</v>
      </c>
    </row>
    <row r="6498" spans="1:8" x14ac:dyDescent="0.4">
      <c r="A6498">
        <v>1999</v>
      </c>
      <c r="B6498" s="2" t="s">
        <v>551</v>
      </c>
      <c r="C6498" s="2" t="s">
        <v>721</v>
      </c>
      <c r="D6498" s="2" t="s">
        <v>207</v>
      </c>
      <c r="E6498" s="70" t="s">
        <v>128</v>
      </c>
      <c r="F6498" s="29">
        <v>39</v>
      </c>
      <c r="G6498" s="29">
        <v>0</v>
      </c>
      <c r="H6498" s="33">
        <v>0</v>
      </c>
    </row>
    <row r="6499" spans="1:8" x14ac:dyDescent="0.4">
      <c r="A6499">
        <v>1999</v>
      </c>
      <c r="B6499" s="2" t="s">
        <v>552</v>
      </c>
      <c r="C6499" s="2" t="s">
        <v>721</v>
      </c>
      <c r="D6499" s="2" t="s">
        <v>207</v>
      </c>
      <c r="E6499" s="70" t="s">
        <v>208</v>
      </c>
      <c r="F6499" s="29">
        <v>15</v>
      </c>
      <c r="G6499" s="29">
        <v>0</v>
      </c>
      <c r="H6499" s="33">
        <v>0</v>
      </c>
    </row>
    <row r="6500" spans="1:8" x14ac:dyDescent="0.4">
      <c r="A6500">
        <v>1999</v>
      </c>
      <c r="B6500" s="2" t="s">
        <v>553</v>
      </c>
      <c r="C6500" s="2" t="s">
        <v>721</v>
      </c>
      <c r="D6500" s="2" t="s">
        <v>207</v>
      </c>
      <c r="E6500" s="70" t="s">
        <v>36</v>
      </c>
      <c r="F6500" s="29">
        <v>77</v>
      </c>
      <c r="G6500" s="29">
        <v>0</v>
      </c>
      <c r="H6500" s="33">
        <v>0</v>
      </c>
    </row>
    <row r="6501" spans="1:8" x14ac:dyDescent="0.4">
      <c r="A6501">
        <v>1999</v>
      </c>
      <c r="B6501" s="2" t="s">
        <v>554</v>
      </c>
      <c r="C6501" s="2" t="s">
        <v>721</v>
      </c>
      <c r="D6501" s="2" t="s">
        <v>207</v>
      </c>
      <c r="E6501" s="70" t="s">
        <v>209</v>
      </c>
      <c r="F6501" s="29">
        <v>86</v>
      </c>
      <c r="G6501" s="29">
        <v>0</v>
      </c>
      <c r="H6501" s="33">
        <v>0</v>
      </c>
    </row>
    <row r="6502" spans="1:8" x14ac:dyDescent="0.4">
      <c r="A6502">
        <v>1999</v>
      </c>
      <c r="B6502" s="2" t="s">
        <v>555</v>
      </c>
      <c r="C6502" s="2" t="s">
        <v>721</v>
      </c>
      <c r="D6502" s="2" t="s">
        <v>207</v>
      </c>
      <c r="E6502" s="70" t="s">
        <v>69</v>
      </c>
      <c r="F6502" s="29">
        <v>51</v>
      </c>
      <c r="G6502" s="29">
        <v>0</v>
      </c>
      <c r="H6502" s="33">
        <v>0</v>
      </c>
    </row>
    <row r="6503" spans="1:8" x14ac:dyDescent="0.4">
      <c r="A6503">
        <v>1999</v>
      </c>
      <c r="B6503" s="2" t="s">
        <v>556</v>
      </c>
      <c r="C6503" s="2" t="s">
        <v>721</v>
      </c>
      <c r="D6503" s="2" t="s">
        <v>207</v>
      </c>
      <c r="E6503" s="70" t="s">
        <v>62</v>
      </c>
      <c r="F6503" s="29">
        <v>94</v>
      </c>
      <c r="G6503" s="29">
        <v>0</v>
      </c>
      <c r="H6503" s="33">
        <v>0</v>
      </c>
    </row>
    <row r="6504" spans="1:8" x14ac:dyDescent="0.4">
      <c r="A6504">
        <v>1999</v>
      </c>
      <c r="B6504" s="2" t="s">
        <v>557</v>
      </c>
      <c r="C6504" s="2" t="s">
        <v>721</v>
      </c>
      <c r="D6504" s="2" t="s">
        <v>207</v>
      </c>
      <c r="E6504" s="70" t="s">
        <v>44</v>
      </c>
      <c r="F6504" s="29">
        <v>74</v>
      </c>
      <c r="G6504" s="29">
        <v>0</v>
      </c>
      <c r="H6504" s="33">
        <v>0</v>
      </c>
    </row>
    <row r="6505" spans="1:8" x14ac:dyDescent="0.4">
      <c r="A6505">
        <v>1999</v>
      </c>
      <c r="B6505" s="2" t="s">
        <v>558</v>
      </c>
      <c r="C6505" s="2" t="s">
        <v>721</v>
      </c>
      <c r="D6505" s="2" t="s">
        <v>207</v>
      </c>
      <c r="E6505" s="70" t="s">
        <v>210</v>
      </c>
      <c r="F6505" s="29">
        <v>1879</v>
      </c>
      <c r="G6505" s="29">
        <v>0</v>
      </c>
      <c r="H6505" s="33">
        <v>0</v>
      </c>
    </row>
    <row r="6506" spans="1:8" x14ac:dyDescent="0.4">
      <c r="A6506">
        <v>1999</v>
      </c>
      <c r="B6506" s="2" t="s">
        <v>559</v>
      </c>
      <c r="C6506" s="2" t="s">
        <v>721</v>
      </c>
      <c r="D6506" s="2" t="s">
        <v>207</v>
      </c>
      <c r="E6506" s="70" t="s">
        <v>74</v>
      </c>
      <c r="F6506" s="29">
        <v>75</v>
      </c>
      <c r="G6506" s="29">
        <v>0</v>
      </c>
      <c r="H6506" s="33">
        <v>0</v>
      </c>
    </row>
    <row r="6507" spans="1:8" x14ac:dyDescent="0.4">
      <c r="A6507">
        <v>1999</v>
      </c>
      <c r="B6507" s="2" t="s">
        <v>560</v>
      </c>
      <c r="C6507" s="2" t="s">
        <v>721</v>
      </c>
      <c r="D6507" s="2" t="s">
        <v>207</v>
      </c>
      <c r="E6507" s="70" t="s">
        <v>211</v>
      </c>
      <c r="F6507" s="29">
        <v>43</v>
      </c>
      <c r="G6507" s="29">
        <v>0</v>
      </c>
      <c r="H6507" s="33">
        <v>0</v>
      </c>
    </row>
    <row r="6508" spans="1:8" x14ac:dyDescent="0.4">
      <c r="A6508">
        <v>1999</v>
      </c>
      <c r="B6508" s="2" t="s">
        <v>561</v>
      </c>
      <c r="C6508" s="2" t="s">
        <v>721</v>
      </c>
      <c r="D6508" s="2" t="s">
        <v>207</v>
      </c>
      <c r="E6508" s="70" t="s">
        <v>212</v>
      </c>
      <c r="F6508" s="29">
        <v>10</v>
      </c>
      <c r="G6508" s="29">
        <v>0</v>
      </c>
      <c r="H6508" s="33">
        <v>0</v>
      </c>
    </row>
    <row r="6509" spans="1:8" x14ac:dyDescent="0.4">
      <c r="A6509">
        <v>1999</v>
      </c>
      <c r="B6509" s="2" t="s">
        <v>562</v>
      </c>
      <c r="C6509" s="2" t="s">
        <v>721</v>
      </c>
      <c r="D6509" s="2" t="s">
        <v>207</v>
      </c>
      <c r="E6509" s="70" t="s">
        <v>213</v>
      </c>
      <c r="F6509" s="29">
        <v>57</v>
      </c>
      <c r="G6509" s="29">
        <v>0</v>
      </c>
      <c r="H6509" s="33">
        <v>0</v>
      </c>
    </row>
    <row r="6510" spans="1:8" x14ac:dyDescent="0.4">
      <c r="A6510">
        <v>1999</v>
      </c>
      <c r="B6510" s="2" t="s">
        <v>563</v>
      </c>
      <c r="C6510" s="2" t="s">
        <v>721</v>
      </c>
      <c r="D6510" s="2" t="s">
        <v>207</v>
      </c>
      <c r="E6510" s="70" t="s">
        <v>214</v>
      </c>
      <c r="F6510" s="29">
        <v>8</v>
      </c>
      <c r="G6510" s="29">
        <v>0</v>
      </c>
      <c r="H6510" s="33">
        <v>0</v>
      </c>
    </row>
    <row r="6511" spans="1:8" x14ac:dyDescent="0.4">
      <c r="A6511">
        <v>1999</v>
      </c>
      <c r="B6511" s="2" t="s">
        <v>564</v>
      </c>
      <c r="C6511" s="2" t="s">
        <v>722</v>
      </c>
      <c r="D6511" s="2" t="s">
        <v>216</v>
      </c>
      <c r="E6511" s="70" t="s">
        <v>215</v>
      </c>
      <c r="F6511" s="29">
        <v>43</v>
      </c>
      <c r="G6511" s="29">
        <v>0</v>
      </c>
      <c r="H6511" s="33">
        <v>0</v>
      </c>
    </row>
    <row r="6512" spans="1:8" x14ac:dyDescent="0.4">
      <c r="A6512">
        <v>1999</v>
      </c>
      <c r="B6512" s="2" t="s">
        <v>565</v>
      </c>
      <c r="C6512" s="2" t="s">
        <v>722</v>
      </c>
      <c r="D6512" s="2" t="s">
        <v>216</v>
      </c>
      <c r="E6512" s="70" t="s">
        <v>59</v>
      </c>
      <c r="F6512" s="29">
        <v>63</v>
      </c>
      <c r="G6512" s="29">
        <v>0</v>
      </c>
      <c r="H6512" s="33">
        <v>0</v>
      </c>
    </row>
    <row r="6513" spans="1:8" x14ac:dyDescent="0.4">
      <c r="A6513">
        <v>1999</v>
      </c>
      <c r="B6513" s="2" t="s">
        <v>566</v>
      </c>
      <c r="C6513" s="2" t="s">
        <v>722</v>
      </c>
      <c r="D6513" s="2" t="s">
        <v>216</v>
      </c>
      <c r="E6513" s="70" t="s">
        <v>217</v>
      </c>
      <c r="F6513" s="29">
        <v>82</v>
      </c>
      <c r="G6513" s="29">
        <v>0</v>
      </c>
      <c r="H6513" s="33">
        <v>0</v>
      </c>
    </row>
    <row r="6514" spans="1:8" x14ac:dyDescent="0.4">
      <c r="A6514">
        <v>1999</v>
      </c>
      <c r="B6514" s="2" t="s">
        <v>567</v>
      </c>
      <c r="C6514" s="2" t="s">
        <v>722</v>
      </c>
      <c r="D6514" s="2" t="s">
        <v>216</v>
      </c>
      <c r="E6514" s="70" t="s">
        <v>218</v>
      </c>
      <c r="F6514" s="29">
        <v>59</v>
      </c>
      <c r="G6514" s="29">
        <v>0</v>
      </c>
      <c r="H6514" s="33">
        <v>0</v>
      </c>
    </row>
    <row r="6515" spans="1:8" x14ac:dyDescent="0.4">
      <c r="A6515">
        <v>1999</v>
      </c>
      <c r="B6515" s="2" t="s">
        <v>568</v>
      </c>
      <c r="C6515" s="2" t="s">
        <v>722</v>
      </c>
      <c r="D6515" s="2" t="s">
        <v>216</v>
      </c>
      <c r="E6515" s="70" t="s">
        <v>219</v>
      </c>
      <c r="F6515" s="29">
        <v>65</v>
      </c>
      <c r="G6515" s="29">
        <v>0</v>
      </c>
      <c r="H6515" s="33">
        <v>0</v>
      </c>
    </row>
    <row r="6516" spans="1:8" x14ac:dyDescent="0.4">
      <c r="A6516">
        <v>1999</v>
      </c>
      <c r="B6516" s="2" t="s">
        <v>569</v>
      </c>
      <c r="C6516" s="2" t="s">
        <v>722</v>
      </c>
      <c r="D6516" s="2" t="s">
        <v>216</v>
      </c>
      <c r="E6516" s="70" t="s">
        <v>220</v>
      </c>
      <c r="F6516" s="29">
        <v>85</v>
      </c>
      <c r="G6516" s="29">
        <v>0</v>
      </c>
      <c r="H6516" s="33">
        <v>0</v>
      </c>
    </row>
    <row r="6517" spans="1:8" x14ac:dyDescent="0.4">
      <c r="A6517">
        <v>1999</v>
      </c>
      <c r="B6517" s="2" t="s">
        <v>570</v>
      </c>
      <c r="C6517" s="2" t="s">
        <v>722</v>
      </c>
      <c r="D6517" s="2" t="s">
        <v>216</v>
      </c>
      <c r="E6517" s="70" t="s">
        <v>221</v>
      </c>
      <c r="F6517" s="29">
        <v>149</v>
      </c>
      <c r="G6517" s="29">
        <v>0</v>
      </c>
      <c r="H6517" s="33">
        <v>0</v>
      </c>
    </row>
    <row r="6518" spans="1:8" x14ac:dyDescent="0.4">
      <c r="A6518">
        <v>1999</v>
      </c>
      <c r="B6518" s="2" t="s">
        <v>571</v>
      </c>
      <c r="C6518" s="2" t="s">
        <v>722</v>
      </c>
      <c r="D6518" s="2" t="s">
        <v>216</v>
      </c>
      <c r="E6518" s="70" t="s">
        <v>222</v>
      </c>
      <c r="F6518" s="29">
        <v>929</v>
      </c>
      <c r="G6518" s="29">
        <v>0</v>
      </c>
      <c r="H6518" s="33">
        <v>0</v>
      </c>
    </row>
    <row r="6519" spans="1:8" x14ac:dyDescent="0.4">
      <c r="A6519">
        <v>1999</v>
      </c>
      <c r="B6519" s="2" t="s">
        <v>572</v>
      </c>
      <c r="C6519" s="2" t="s">
        <v>722</v>
      </c>
      <c r="D6519" s="2" t="s">
        <v>216</v>
      </c>
      <c r="E6519" s="70" t="s">
        <v>223</v>
      </c>
      <c r="F6519" s="29">
        <v>11</v>
      </c>
      <c r="G6519" s="29">
        <v>0</v>
      </c>
      <c r="H6519" s="33">
        <v>0</v>
      </c>
    </row>
    <row r="6520" spans="1:8" x14ac:dyDescent="0.4">
      <c r="A6520">
        <v>1999</v>
      </c>
      <c r="B6520" s="2" t="s">
        <v>573</v>
      </c>
      <c r="C6520" s="2" t="s">
        <v>722</v>
      </c>
      <c r="D6520" s="2" t="s">
        <v>216</v>
      </c>
      <c r="E6520" s="70" t="s">
        <v>224</v>
      </c>
      <c r="F6520" s="29">
        <v>73</v>
      </c>
      <c r="G6520" s="29">
        <v>0</v>
      </c>
      <c r="H6520" s="33">
        <v>0</v>
      </c>
    </row>
    <row r="6521" spans="1:8" x14ac:dyDescent="0.4">
      <c r="A6521">
        <v>1999</v>
      </c>
      <c r="B6521" s="2" t="s">
        <v>574</v>
      </c>
      <c r="C6521" s="2" t="s">
        <v>722</v>
      </c>
      <c r="D6521" s="2" t="s">
        <v>216</v>
      </c>
      <c r="E6521" s="70" t="s">
        <v>225</v>
      </c>
      <c r="F6521" s="29">
        <v>16</v>
      </c>
      <c r="G6521" s="29">
        <v>0</v>
      </c>
      <c r="H6521" s="33">
        <v>0</v>
      </c>
    </row>
    <row r="6522" spans="1:8" x14ac:dyDescent="0.4">
      <c r="A6522">
        <v>1999</v>
      </c>
      <c r="B6522" s="2" t="s">
        <v>575</v>
      </c>
      <c r="C6522" s="2" t="s">
        <v>723</v>
      </c>
      <c r="D6522" s="2" t="s">
        <v>227</v>
      </c>
      <c r="E6522" s="70" t="s">
        <v>226</v>
      </c>
      <c r="F6522" s="29">
        <v>60</v>
      </c>
      <c r="G6522" s="29">
        <v>0</v>
      </c>
      <c r="H6522" s="33">
        <v>0</v>
      </c>
    </row>
    <row r="6523" spans="1:8" x14ac:dyDescent="0.4">
      <c r="A6523">
        <v>1999</v>
      </c>
      <c r="B6523" s="2" t="s">
        <v>576</v>
      </c>
      <c r="C6523" s="2" t="s">
        <v>723</v>
      </c>
      <c r="D6523" s="2" t="s">
        <v>227</v>
      </c>
      <c r="E6523" s="70" t="s">
        <v>228</v>
      </c>
      <c r="F6523" s="29">
        <v>1020</v>
      </c>
      <c r="G6523" s="29">
        <v>0</v>
      </c>
      <c r="H6523" s="33">
        <v>0</v>
      </c>
    </row>
    <row r="6524" spans="1:8" x14ac:dyDescent="0.4">
      <c r="A6524">
        <v>1999</v>
      </c>
      <c r="B6524" s="2" t="s">
        <v>577</v>
      </c>
      <c r="C6524" s="2" t="s">
        <v>723</v>
      </c>
      <c r="D6524" s="2" t="s">
        <v>227</v>
      </c>
      <c r="E6524" s="70" t="s">
        <v>229</v>
      </c>
      <c r="F6524" s="29">
        <v>116</v>
      </c>
      <c r="G6524" s="29">
        <v>0</v>
      </c>
      <c r="H6524" s="33">
        <v>0</v>
      </c>
    </row>
    <row r="6525" spans="1:8" x14ac:dyDescent="0.4">
      <c r="A6525">
        <v>1999</v>
      </c>
      <c r="B6525" s="2" t="s">
        <v>578</v>
      </c>
      <c r="C6525" s="2" t="s">
        <v>723</v>
      </c>
      <c r="D6525" s="2" t="s">
        <v>227</v>
      </c>
      <c r="E6525" s="70" t="s">
        <v>230</v>
      </c>
      <c r="F6525" s="29">
        <v>519</v>
      </c>
      <c r="G6525" s="29">
        <v>0</v>
      </c>
      <c r="H6525" s="33">
        <v>0</v>
      </c>
    </row>
    <row r="6526" spans="1:8" x14ac:dyDescent="0.4">
      <c r="A6526">
        <v>1999</v>
      </c>
      <c r="B6526" s="2" t="s">
        <v>579</v>
      </c>
      <c r="C6526" s="2" t="s">
        <v>723</v>
      </c>
      <c r="D6526" s="2" t="s">
        <v>227</v>
      </c>
      <c r="E6526" s="70" t="s">
        <v>231</v>
      </c>
      <c r="F6526" s="29">
        <v>61</v>
      </c>
      <c r="G6526" s="29">
        <v>0</v>
      </c>
      <c r="H6526" s="33">
        <v>0</v>
      </c>
    </row>
    <row r="6527" spans="1:8" x14ac:dyDescent="0.4">
      <c r="A6527">
        <v>1999</v>
      </c>
      <c r="B6527" s="2" t="s">
        <v>580</v>
      </c>
      <c r="C6527" s="2" t="s">
        <v>723</v>
      </c>
      <c r="D6527" s="2" t="s">
        <v>227</v>
      </c>
      <c r="E6527" s="70" t="s">
        <v>232</v>
      </c>
      <c r="F6527" s="29">
        <v>83</v>
      </c>
      <c r="G6527" s="29">
        <v>0</v>
      </c>
      <c r="H6527" s="33">
        <v>0</v>
      </c>
    </row>
    <row r="6528" spans="1:8" x14ac:dyDescent="0.4">
      <c r="A6528">
        <v>1999</v>
      </c>
      <c r="B6528" s="2" t="s">
        <v>581</v>
      </c>
      <c r="C6528" s="2" t="s">
        <v>723</v>
      </c>
      <c r="D6528" s="2" t="s">
        <v>227</v>
      </c>
      <c r="E6528" s="70" t="s">
        <v>233</v>
      </c>
      <c r="F6528" s="29">
        <v>87</v>
      </c>
      <c r="G6528" s="29">
        <v>0</v>
      </c>
      <c r="H6528" s="33">
        <v>0</v>
      </c>
    </row>
    <row r="6529" spans="1:8" x14ac:dyDescent="0.4">
      <c r="A6529">
        <v>1999</v>
      </c>
      <c r="B6529" s="2" t="s">
        <v>582</v>
      </c>
      <c r="C6529" s="2" t="s">
        <v>723</v>
      </c>
      <c r="D6529" s="2" t="s">
        <v>227</v>
      </c>
      <c r="E6529" s="70" t="s">
        <v>32</v>
      </c>
      <c r="F6529" s="29">
        <v>378</v>
      </c>
      <c r="G6529" s="29">
        <v>0</v>
      </c>
      <c r="H6529" s="33">
        <v>0</v>
      </c>
    </row>
    <row r="6530" spans="1:8" x14ac:dyDescent="0.4">
      <c r="A6530">
        <v>1999</v>
      </c>
      <c r="B6530" s="2" t="s">
        <v>583</v>
      </c>
      <c r="C6530" s="2" t="s">
        <v>723</v>
      </c>
      <c r="D6530" s="2" t="s">
        <v>227</v>
      </c>
      <c r="E6530" s="70" t="s">
        <v>234</v>
      </c>
      <c r="F6530" s="29">
        <v>18</v>
      </c>
      <c r="G6530" s="29">
        <v>0</v>
      </c>
      <c r="H6530" s="33">
        <v>0</v>
      </c>
    </row>
    <row r="6531" spans="1:8" x14ac:dyDescent="0.4">
      <c r="A6531">
        <v>1999</v>
      </c>
      <c r="B6531" s="2" t="s">
        <v>584</v>
      </c>
      <c r="C6531" s="2" t="s">
        <v>723</v>
      </c>
      <c r="D6531" s="2" t="s">
        <v>227</v>
      </c>
      <c r="E6531" s="70" t="s">
        <v>235</v>
      </c>
      <c r="F6531" s="29">
        <v>54</v>
      </c>
      <c r="G6531" s="29">
        <v>0</v>
      </c>
      <c r="H6531" s="33">
        <v>0</v>
      </c>
    </row>
    <row r="6532" spans="1:8" x14ac:dyDescent="0.4">
      <c r="A6532">
        <v>1999</v>
      </c>
      <c r="B6532" s="2" t="s">
        <v>585</v>
      </c>
      <c r="C6532" s="2" t="s">
        <v>723</v>
      </c>
      <c r="D6532" s="2" t="s">
        <v>227</v>
      </c>
      <c r="E6532" s="70" t="s">
        <v>236</v>
      </c>
      <c r="F6532" s="29">
        <v>32</v>
      </c>
      <c r="G6532" s="29">
        <v>0</v>
      </c>
      <c r="H6532" s="33">
        <v>0</v>
      </c>
    </row>
    <row r="6533" spans="1:8" x14ac:dyDescent="0.4">
      <c r="A6533">
        <v>1999</v>
      </c>
      <c r="B6533" s="2" t="s">
        <v>586</v>
      </c>
      <c r="C6533" s="2" t="s">
        <v>723</v>
      </c>
      <c r="D6533" s="2" t="s">
        <v>227</v>
      </c>
      <c r="E6533" s="70" t="s">
        <v>237</v>
      </c>
      <c r="F6533" s="29">
        <v>34</v>
      </c>
      <c r="G6533" s="29">
        <v>0</v>
      </c>
      <c r="H6533" s="33">
        <v>0</v>
      </c>
    </row>
    <row r="6534" spans="1:8" x14ac:dyDescent="0.4">
      <c r="A6534">
        <v>1999</v>
      </c>
      <c r="B6534" s="2" t="s">
        <v>587</v>
      </c>
      <c r="C6534" s="2" t="s">
        <v>723</v>
      </c>
      <c r="D6534" s="2" t="s">
        <v>227</v>
      </c>
      <c r="E6534" s="70" t="s">
        <v>51</v>
      </c>
      <c r="F6534" s="29">
        <v>109</v>
      </c>
      <c r="G6534" s="29">
        <v>0</v>
      </c>
      <c r="H6534" s="33">
        <v>0</v>
      </c>
    </row>
    <row r="6535" spans="1:8" x14ac:dyDescent="0.4">
      <c r="A6535">
        <v>1999</v>
      </c>
      <c r="B6535" s="2" t="s">
        <v>588</v>
      </c>
      <c r="C6535" s="2" t="s">
        <v>723</v>
      </c>
      <c r="D6535" s="2" t="s">
        <v>227</v>
      </c>
      <c r="E6535" s="70" t="s">
        <v>238</v>
      </c>
      <c r="F6535" s="29">
        <v>143</v>
      </c>
      <c r="G6535" s="29">
        <v>0</v>
      </c>
      <c r="H6535" s="33">
        <v>0</v>
      </c>
    </row>
    <row r="6536" spans="1:8" x14ac:dyDescent="0.4">
      <c r="A6536">
        <v>1999</v>
      </c>
      <c r="B6536" s="2" t="s">
        <v>589</v>
      </c>
      <c r="C6536" s="2" t="s">
        <v>724</v>
      </c>
      <c r="D6536" s="2" t="s">
        <v>239</v>
      </c>
      <c r="E6536" s="70" t="s">
        <v>163</v>
      </c>
      <c r="F6536" s="29">
        <v>101</v>
      </c>
      <c r="G6536" s="29">
        <v>0</v>
      </c>
      <c r="H6536" s="33">
        <v>0</v>
      </c>
    </row>
    <row r="6537" spans="1:8" x14ac:dyDescent="0.4">
      <c r="A6537">
        <v>1999</v>
      </c>
      <c r="B6537" s="2" t="s">
        <v>590</v>
      </c>
      <c r="C6537" s="2" t="s">
        <v>724</v>
      </c>
      <c r="D6537" s="2" t="s">
        <v>239</v>
      </c>
      <c r="E6537" s="70" t="s">
        <v>240</v>
      </c>
      <c r="F6537" s="29">
        <v>55</v>
      </c>
      <c r="G6537" s="29">
        <v>0</v>
      </c>
      <c r="H6537" s="33">
        <v>0</v>
      </c>
    </row>
    <row r="6538" spans="1:8" x14ac:dyDescent="0.4">
      <c r="A6538">
        <v>1999</v>
      </c>
      <c r="B6538" s="2" t="s">
        <v>591</v>
      </c>
      <c r="C6538" s="2" t="s">
        <v>724</v>
      </c>
      <c r="D6538" s="2" t="s">
        <v>239</v>
      </c>
      <c r="E6538" s="70" t="s">
        <v>59</v>
      </c>
      <c r="F6538" s="29">
        <v>145</v>
      </c>
      <c r="G6538" s="29">
        <v>0</v>
      </c>
      <c r="H6538" s="33">
        <v>0</v>
      </c>
    </row>
    <row r="6539" spans="1:8" x14ac:dyDescent="0.4">
      <c r="A6539">
        <v>1999</v>
      </c>
      <c r="B6539" s="2" t="s">
        <v>592</v>
      </c>
      <c r="C6539" s="2" t="s">
        <v>724</v>
      </c>
      <c r="D6539" s="2" t="s">
        <v>239</v>
      </c>
      <c r="E6539" s="70" t="s">
        <v>241</v>
      </c>
      <c r="F6539" s="29">
        <v>78</v>
      </c>
      <c r="G6539" s="29">
        <v>0</v>
      </c>
      <c r="H6539" s="33">
        <v>0</v>
      </c>
    </row>
    <row r="6540" spans="1:8" x14ac:dyDescent="0.4">
      <c r="A6540">
        <v>1999</v>
      </c>
      <c r="B6540" s="2" t="s">
        <v>593</v>
      </c>
      <c r="C6540" s="2" t="s">
        <v>724</v>
      </c>
      <c r="D6540" s="2" t="s">
        <v>239</v>
      </c>
      <c r="E6540" s="70" t="s">
        <v>242</v>
      </c>
      <c r="F6540" s="29">
        <v>681</v>
      </c>
      <c r="G6540" s="29">
        <v>0</v>
      </c>
      <c r="H6540" s="33">
        <v>0</v>
      </c>
    </row>
    <row r="6541" spans="1:8" x14ac:dyDescent="0.4">
      <c r="A6541">
        <v>1999</v>
      </c>
      <c r="B6541" s="2" t="s">
        <v>594</v>
      </c>
      <c r="C6541" s="2" t="s">
        <v>724</v>
      </c>
      <c r="D6541" s="2" t="s">
        <v>239</v>
      </c>
      <c r="E6541" s="70" t="s">
        <v>36</v>
      </c>
      <c r="F6541" s="29">
        <v>13</v>
      </c>
      <c r="G6541" s="29">
        <v>0</v>
      </c>
      <c r="H6541" s="33">
        <v>0</v>
      </c>
    </row>
    <row r="6542" spans="1:8" x14ac:dyDescent="0.4">
      <c r="A6542">
        <v>1999</v>
      </c>
      <c r="B6542" s="2" t="s">
        <v>595</v>
      </c>
      <c r="C6542" s="2" t="s">
        <v>724</v>
      </c>
      <c r="D6542" s="2" t="s">
        <v>239</v>
      </c>
      <c r="E6542" s="70" t="s">
        <v>243</v>
      </c>
      <c r="F6542" s="29">
        <v>47</v>
      </c>
      <c r="G6542" s="29">
        <v>0</v>
      </c>
      <c r="H6542" s="33">
        <v>0</v>
      </c>
    </row>
    <row r="6543" spans="1:8" x14ac:dyDescent="0.4">
      <c r="A6543">
        <v>1999</v>
      </c>
      <c r="B6543" s="2" t="s">
        <v>596</v>
      </c>
      <c r="C6543" s="2" t="s">
        <v>724</v>
      </c>
      <c r="D6543" s="2" t="s">
        <v>239</v>
      </c>
      <c r="E6543" s="70" t="s">
        <v>244</v>
      </c>
      <c r="F6543" s="29">
        <v>92</v>
      </c>
      <c r="G6543" s="29">
        <v>0</v>
      </c>
      <c r="H6543" s="33">
        <v>0</v>
      </c>
    </row>
    <row r="6544" spans="1:8" x14ac:dyDescent="0.4">
      <c r="A6544">
        <v>1999</v>
      </c>
      <c r="B6544" s="2" t="s">
        <v>597</v>
      </c>
      <c r="C6544" s="2" t="s">
        <v>724</v>
      </c>
      <c r="D6544" s="2" t="s">
        <v>239</v>
      </c>
      <c r="E6544" s="70" t="s">
        <v>44</v>
      </c>
      <c r="F6544" s="29">
        <v>22</v>
      </c>
      <c r="G6544" s="29">
        <v>0</v>
      </c>
      <c r="H6544" s="33">
        <v>0</v>
      </c>
    </row>
    <row r="6545" spans="1:8" x14ac:dyDescent="0.4">
      <c r="A6545">
        <v>1999</v>
      </c>
      <c r="B6545" s="2" t="s">
        <v>598</v>
      </c>
      <c r="C6545" s="2" t="s">
        <v>724</v>
      </c>
      <c r="D6545" s="2" t="s">
        <v>239</v>
      </c>
      <c r="E6545" s="70" t="s">
        <v>222</v>
      </c>
      <c r="F6545" s="29">
        <v>86</v>
      </c>
      <c r="G6545" s="29">
        <v>0</v>
      </c>
      <c r="H6545" s="33">
        <v>0</v>
      </c>
    </row>
    <row r="6546" spans="1:8" x14ac:dyDescent="0.4">
      <c r="A6546">
        <v>1999</v>
      </c>
      <c r="B6546" s="2" t="s">
        <v>599</v>
      </c>
      <c r="C6546" s="2" t="s">
        <v>724</v>
      </c>
      <c r="D6546" s="2" t="s">
        <v>239</v>
      </c>
      <c r="E6546" s="70" t="s">
        <v>245</v>
      </c>
      <c r="F6546" s="29">
        <v>21</v>
      </c>
      <c r="G6546" s="29">
        <v>0</v>
      </c>
      <c r="H6546" s="33">
        <v>0</v>
      </c>
    </row>
    <row r="6547" spans="1:8" x14ac:dyDescent="0.4">
      <c r="A6547">
        <v>1999</v>
      </c>
      <c r="B6547" s="2" t="s">
        <v>600</v>
      </c>
      <c r="C6547" s="2" t="s">
        <v>724</v>
      </c>
      <c r="D6547" s="2" t="s">
        <v>239</v>
      </c>
      <c r="E6547" s="70" t="s">
        <v>246</v>
      </c>
      <c r="F6547" s="29">
        <v>126</v>
      </c>
      <c r="G6547" s="29">
        <v>0</v>
      </c>
      <c r="H6547" s="33">
        <v>0</v>
      </c>
    </row>
    <row r="6548" spans="1:8" x14ac:dyDescent="0.4">
      <c r="A6548">
        <v>1999</v>
      </c>
      <c r="B6548" s="2" t="s">
        <v>601</v>
      </c>
      <c r="C6548" s="2" t="s">
        <v>724</v>
      </c>
      <c r="D6548" s="2" t="s">
        <v>239</v>
      </c>
      <c r="E6548" s="70" t="s">
        <v>247</v>
      </c>
      <c r="F6548" s="29">
        <v>104</v>
      </c>
      <c r="G6548" s="29">
        <v>0</v>
      </c>
      <c r="H6548" s="33">
        <v>0</v>
      </c>
    </row>
    <row r="6549" spans="1:8" x14ac:dyDescent="0.4">
      <c r="A6549">
        <v>1999</v>
      </c>
      <c r="B6549" s="2" t="s">
        <v>602</v>
      </c>
      <c r="C6549" s="2" t="s">
        <v>724</v>
      </c>
      <c r="D6549" s="2" t="s">
        <v>239</v>
      </c>
      <c r="E6549" s="70" t="s">
        <v>51</v>
      </c>
      <c r="F6549" s="29">
        <v>1092</v>
      </c>
      <c r="G6549" s="29">
        <v>0</v>
      </c>
      <c r="H6549" s="33">
        <v>0</v>
      </c>
    </row>
    <row r="6550" spans="1:8" x14ac:dyDescent="0.4">
      <c r="A6550">
        <v>1999</v>
      </c>
      <c r="B6550" s="2" t="s">
        <v>603</v>
      </c>
      <c r="C6550" s="2" t="s">
        <v>724</v>
      </c>
      <c r="D6550" s="2" t="s">
        <v>239</v>
      </c>
      <c r="E6550" s="70" t="s">
        <v>248</v>
      </c>
      <c r="F6550" s="29">
        <v>97</v>
      </c>
      <c r="G6550" s="29">
        <v>0</v>
      </c>
      <c r="H6550" s="33">
        <v>0</v>
      </c>
    </row>
    <row r="6551" spans="1:8" x14ac:dyDescent="0.4">
      <c r="A6551">
        <v>1999</v>
      </c>
      <c r="B6551" s="2" t="s">
        <v>604</v>
      </c>
      <c r="C6551" s="2" t="s">
        <v>725</v>
      </c>
      <c r="D6551" s="2" t="s">
        <v>249</v>
      </c>
      <c r="E6551" s="70" t="s">
        <v>174</v>
      </c>
      <c r="F6551" s="29">
        <v>41</v>
      </c>
      <c r="G6551" s="29">
        <v>0</v>
      </c>
      <c r="H6551" s="33">
        <v>0</v>
      </c>
    </row>
    <row r="6552" spans="1:8" x14ac:dyDescent="0.4">
      <c r="A6552">
        <v>1999</v>
      </c>
      <c r="B6552" s="2" t="s">
        <v>605</v>
      </c>
      <c r="C6552" s="2" t="s">
        <v>725</v>
      </c>
      <c r="D6552" s="2" t="s">
        <v>249</v>
      </c>
      <c r="E6552" s="70" t="s">
        <v>250</v>
      </c>
      <c r="F6552" s="29">
        <v>17</v>
      </c>
      <c r="G6552" s="29">
        <v>0</v>
      </c>
      <c r="H6552" s="33">
        <v>0</v>
      </c>
    </row>
    <row r="6553" spans="1:8" x14ac:dyDescent="0.4">
      <c r="A6553">
        <v>1999</v>
      </c>
      <c r="B6553" s="2" t="s">
        <v>606</v>
      </c>
      <c r="C6553" s="2" t="s">
        <v>725</v>
      </c>
      <c r="D6553" s="2" t="s">
        <v>249</v>
      </c>
      <c r="E6553" s="70" t="s">
        <v>251</v>
      </c>
      <c r="F6553" s="29">
        <v>209</v>
      </c>
      <c r="G6553" s="29">
        <v>0</v>
      </c>
      <c r="H6553" s="33">
        <v>0</v>
      </c>
    </row>
    <row r="6554" spans="1:8" x14ac:dyDescent="0.4">
      <c r="A6554">
        <v>1999</v>
      </c>
      <c r="B6554" s="2" t="s">
        <v>607</v>
      </c>
      <c r="C6554" s="2" t="s">
        <v>725</v>
      </c>
      <c r="D6554" s="2" t="s">
        <v>249</v>
      </c>
      <c r="E6554" s="70" t="s">
        <v>36</v>
      </c>
      <c r="F6554" s="29">
        <v>175</v>
      </c>
      <c r="G6554" s="29">
        <v>0</v>
      </c>
      <c r="H6554" s="33">
        <v>0</v>
      </c>
    </row>
    <row r="6555" spans="1:8" x14ac:dyDescent="0.4">
      <c r="A6555">
        <v>1999</v>
      </c>
      <c r="B6555" s="2" t="s">
        <v>608</v>
      </c>
      <c r="C6555" s="2" t="s">
        <v>725</v>
      </c>
      <c r="D6555" s="2" t="s">
        <v>249</v>
      </c>
      <c r="E6555" s="70" t="s">
        <v>252</v>
      </c>
      <c r="F6555" s="29">
        <v>245</v>
      </c>
      <c r="G6555" s="29">
        <v>0</v>
      </c>
      <c r="H6555" s="33">
        <v>0</v>
      </c>
    </row>
    <row r="6556" spans="1:8" x14ac:dyDescent="0.4">
      <c r="A6556">
        <v>1999</v>
      </c>
      <c r="B6556" s="2" t="s">
        <v>609</v>
      </c>
      <c r="C6556" s="2" t="s">
        <v>725</v>
      </c>
      <c r="D6556" s="2" t="s">
        <v>249</v>
      </c>
      <c r="E6556" s="70" t="s">
        <v>253</v>
      </c>
      <c r="F6556" s="29">
        <v>70</v>
      </c>
      <c r="G6556" s="29">
        <v>0</v>
      </c>
      <c r="H6556" s="33">
        <v>0</v>
      </c>
    </row>
    <row r="6557" spans="1:8" x14ac:dyDescent="0.4">
      <c r="A6557">
        <v>1999</v>
      </c>
      <c r="B6557" s="2" t="s">
        <v>610</v>
      </c>
      <c r="C6557" s="2" t="s">
        <v>725</v>
      </c>
      <c r="D6557" s="2" t="s">
        <v>249</v>
      </c>
      <c r="E6557" s="70" t="s">
        <v>254</v>
      </c>
      <c r="F6557" s="29">
        <v>133</v>
      </c>
      <c r="G6557" s="29">
        <v>0</v>
      </c>
      <c r="H6557" s="33">
        <v>0</v>
      </c>
    </row>
    <row r="6558" spans="1:8" x14ac:dyDescent="0.4">
      <c r="A6558">
        <v>1999</v>
      </c>
      <c r="B6558" s="2" t="s">
        <v>611</v>
      </c>
      <c r="C6558" s="2" t="s">
        <v>725</v>
      </c>
      <c r="D6558" s="2" t="s">
        <v>249</v>
      </c>
      <c r="E6558" s="70" t="s">
        <v>11</v>
      </c>
      <c r="F6558" s="29">
        <v>22</v>
      </c>
      <c r="G6558" s="29">
        <v>0</v>
      </c>
      <c r="H6558" s="33">
        <v>0</v>
      </c>
    </row>
    <row r="6559" spans="1:8" x14ac:dyDescent="0.4">
      <c r="A6559">
        <v>1999</v>
      </c>
      <c r="B6559" s="2" t="s">
        <v>612</v>
      </c>
      <c r="C6559" s="2" t="s">
        <v>725</v>
      </c>
      <c r="D6559" s="2" t="s">
        <v>249</v>
      </c>
      <c r="E6559" s="70" t="s">
        <v>255</v>
      </c>
      <c r="F6559" s="29">
        <v>140</v>
      </c>
      <c r="G6559" s="29">
        <v>0</v>
      </c>
      <c r="H6559" s="33">
        <v>0</v>
      </c>
    </row>
    <row r="6560" spans="1:8" x14ac:dyDescent="0.4">
      <c r="A6560">
        <v>1999</v>
      </c>
      <c r="B6560" s="2" t="s">
        <v>613</v>
      </c>
      <c r="C6560" s="2" t="s">
        <v>725</v>
      </c>
      <c r="D6560" s="2" t="s">
        <v>249</v>
      </c>
      <c r="E6560" s="70" t="s">
        <v>256</v>
      </c>
      <c r="F6560" s="29">
        <v>50</v>
      </c>
      <c r="G6560" s="29">
        <v>0</v>
      </c>
      <c r="H6560" s="33">
        <v>0</v>
      </c>
    </row>
    <row r="6561" spans="1:8" x14ac:dyDescent="0.4">
      <c r="A6561">
        <v>1999</v>
      </c>
      <c r="B6561" s="2" t="s">
        <v>614</v>
      </c>
      <c r="C6561" s="2" t="s">
        <v>725</v>
      </c>
      <c r="D6561" s="2" t="s">
        <v>249</v>
      </c>
      <c r="E6561" s="70" t="s">
        <v>14</v>
      </c>
      <c r="F6561" s="29">
        <v>77</v>
      </c>
      <c r="G6561" s="29">
        <v>0</v>
      </c>
      <c r="H6561" s="33">
        <v>0</v>
      </c>
    </row>
    <row r="6562" spans="1:8" x14ac:dyDescent="0.4">
      <c r="A6562">
        <v>1999</v>
      </c>
      <c r="B6562" s="2" t="s">
        <v>615</v>
      </c>
      <c r="C6562" s="2" t="s">
        <v>725</v>
      </c>
      <c r="D6562" s="2" t="s">
        <v>249</v>
      </c>
      <c r="E6562" s="70" t="s">
        <v>257</v>
      </c>
      <c r="F6562" s="29">
        <v>189</v>
      </c>
      <c r="G6562" s="29">
        <v>0</v>
      </c>
      <c r="H6562" s="33">
        <v>0</v>
      </c>
    </row>
    <row r="6563" spans="1:8" x14ac:dyDescent="0.4">
      <c r="A6563">
        <v>1999</v>
      </c>
      <c r="B6563" s="2" t="s">
        <v>616</v>
      </c>
      <c r="C6563" s="2" t="s">
        <v>725</v>
      </c>
      <c r="D6563" s="2" t="s">
        <v>249</v>
      </c>
      <c r="E6563" s="70" t="s">
        <v>258</v>
      </c>
      <c r="F6563" s="29">
        <v>35</v>
      </c>
      <c r="G6563" s="29">
        <v>0</v>
      </c>
      <c r="H6563" s="33">
        <v>0</v>
      </c>
    </row>
    <row r="6564" spans="1:8" x14ac:dyDescent="0.4">
      <c r="A6564">
        <v>1999</v>
      </c>
      <c r="B6564" s="2" t="s">
        <v>617</v>
      </c>
      <c r="C6564" s="2" t="s">
        <v>725</v>
      </c>
      <c r="D6564" s="2" t="s">
        <v>249</v>
      </c>
      <c r="E6564" s="70" t="s">
        <v>259</v>
      </c>
      <c r="F6564" s="29">
        <v>297</v>
      </c>
      <c r="G6564" s="29">
        <v>0</v>
      </c>
      <c r="H6564" s="33">
        <v>0</v>
      </c>
    </row>
    <row r="6565" spans="1:8" x14ac:dyDescent="0.4">
      <c r="A6565">
        <v>1999</v>
      </c>
      <c r="B6565" s="2" t="s">
        <v>618</v>
      </c>
      <c r="C6565" s="2" t="s">
        <v>725</v>
      </c>
      <c r="D6565" s="2" t="s">
        <v>249</v>
      </c>
      <c r="E6565" s="70" t="s">
        <v>18</v>
      </c>
      <c r="F6565" s="29">
        <v>55</v>
      </c>
      <c r="G6565" s="29">
        <v>0</v>
      </c>
      <c r="H6565" s="33">
        <v>0</v>
      </c>
    </row>
    <row r="6566" spans="1:8" x14ac:dyDescent="0.4">
      <c r="A6566">
        <v>1999</v>
      </c>
      <c r="B6566" s="2" t="s">
        <v>619</v>
      </c>
      <c r="C6566" s="2" t="s">
        <v>725</v>
      </c>
      <c r="D6566" s="2" t="s">
        <v>249</v>
      </c>
      <c r="E6566" s="70" t="s">
        <v>44</v>
      </c>
      <c r="F6566" s="29">
        <v>65</v>
      </c>
      <c r="G6566" s="29">
        <v>0</v>
      </c>
      <c r="H6566" s="33">
        <v>0</v>
      </c>
    </row>
    <row r="6567" spans="1:8" x14ac:dyDescent="0.4">
      <c r="A6567">
        <v>1999</v>
      </c>
      <c r="B6567" s="2" t="s">
        <v>620</v>
      </c>
      <c r="C6567" s="2" t="s">
        <v>725</v>
      </c>
      <c r="D6567" s="2" t="s">
        <v>249</v>
      </c>
      <c r="E6567" s="70" t="s">
        <v>260</v>
      </c>
      <c r="F6567" s="29">
        <v>33</v>
      </c>
      <c r="G6567" s="29">
        <v>0</v>
      </c>
      <c r="H6567" s="33">
        <v>0</v>
      </c>
    </row>
    <row r="6568" spans="1:8" x14ac:dyDescent="0.4">
      <c r="A6568">
        <v>1999</v>
      </c>
      <c r="B6568" s="2" t="s">
        <v>621</v>
      </c>
      <c r="C6568" s="2" t="s">
        <v>725</v>
      </c>
      <c r="D6568" s="2" t="s">
        <v>249</v>
      </c>
      <c r="E6568" s="70" t="s">
        <v>261</v>
      </c>
      <c r="F6568" s="29">
        <v>55</v>
      </c>
      <c r="G6568" s="29">
        <v>0</v>
      </c>
      <c r="H6568" s="33">
        <v>0</v>
      </c>
    </row>
    <row r="6569" spans="1:8" x14ac:dyDescent="0.4">
      <c r="A6569">
        <v>1999</v>
      </c>
      <c r="B6569" s="2" t="s">
        <v>622</v>
      </c>
      <c r="C6569" s="2" t="s">
        <v>725</v>
      </c>
      <c r="D6569" s="2" t="s">
        <v>249</v>
      </c>
      <c r="E6569" s="70" t="s">
        <v>262</v>
      </c>
      <c r="F6569" s="29">
        <v>125</v>
      </c>
      <c r="G6569" s="29">
        <v>0</v>
      </c>
      <c r="H6569" s="33">
        <v>0</v>
      </c>
    </row>
    <row r="6570" spans="1:8" x14ac:dyDescent="0.4">
      <c r="A6570">
        <v>1999</v>
      </c>
      <c r="B6570" s="2" t="s">
        <v>623</v>
      </c>
      <c r="C6570" s="2" t="s">
        <v>725</v>
      </c>
      <c r="D6570" s="2" t="s">
        <v>249</v>
      </c>
      <c r="E6570" s="70" t="s">
        <v>263</v>
      </c>
      <c r="F6570" s="29">
        <v>97</v>
      </c>
      <c r="G6570" s="29">
        <v>0</v>
      </c>
      <c r="H6570" s="33">
        <v>0</v>
      </c>
    </row>
    <row r="6571" spans="1:8" x14ac:dyDescent="0.4">
      <c r="A6571">
        <v>1999</v>
      </c>
      <c r="B6571" s="2" t="s">
        <v>624</v>
      </c>
      <c r="C6571" s="2" t="s">
        <v>725</v>
      </c>
      <c r="D6571" s="2" t="s">
        <v>249</v>
      </c>
      <c r="E6571" s="70" t="s">
        <v>264</v>
      </c>
      <c r="F6571" s="29">
        <v>20</v>
      </c>
      <c r="G6571" s="29">
        <v>0</v>
      </c>
      <c r="H6571" s="33">
        <v>0</v>
      </c>
    </row>
    <row r="6572" spans="1:8" x14ac:dyDescent="0.4">
      <c r="A6572">
        <v>1999</v>
      </c>
      <c r="B6572" s="2" t="s">
        <v>625</v>
      </c>
      <c r="C6572" s="2" t="s">
        <v>725</v>
      </c>
      <c r="D6572" s="2" t="s">
        <v>249</v>
      </c>
      <c r="E6572" s="70" t="s">
        <v>265</v>
      </c>
      <c r="F6572" s="29">
        <v>63</v>
      </c>
      <c r="G6572" s="29">
        <v>0</v>
      </c>
      <c r="H6572" s="33">
        <v>0</v>
      </c>
    </row>
    <row r="6573" spans="1:8" x14ac:dyDescent="0.4">
      <c r="A6573">
        <v>1999</v>
      </c>
      <c r="B6573" s="2" t="s">
        <v>626</v>
      </c>
      <c r="C6573" s="2" t="s">
        <v>725</v>
      </c>
      <c r="D6573" s="2" t="s">
        <v>249</v>
      </c>
      <c r="E6573" s="70" t="s">
        <v>266</v>
      </c>
      <c r="F6573" s="29">
        <v>2487</v>
      </c>
      <c r="G6573" s="29">
        <v>0</v>
      </c>
      <c r="H6573" s="33">
        <v>0</v>
      </c>
    </row>
    <row r="6574" spans="1:8" x14ac:dyDescent="0.4">
      <c r="A6574">
        <v>1999</v>
      </c>
      <c r="B6574" s="2" t="s">
        <v>627</v>
      </c>
      <c r="C6574" s="2" t="s">
        <v>725</v>
      </c>
      <c r="D6574" s="2" t="s">
        <v>249</v>
      </c>
      <c r="E6574" s="70" t="s">
        <v>267</v>
      </c>
      <c r="F6574" s="29">
        <v>34</v>
      </c>
      <c r="G6574" s="29">
        <v>0</v>
      </c>
      <c r="H6574" s="33">
        <v>0</v>
      </c>
    </row>
    <row r="6575" spans="1:8" x14ac:dyDescent="0.4">
      <c r="A6575">
        <v>1999</v>
      </c>
      <c r="B6575" s="2" t="s">
        <v>628</v>
      </c>
      <c r="C6575" s="2" t="s">
        <v>725</v>
      </c>
      <c r="D6575" s="2" t="s">
        <v>249</v>
      </c>
      <c r="E6575" s="70" t="s">
        <v>268</v>
      </c>
      <c r="F6575" s="29">
        <v>32</v>
      </c>
      <c r="G6575" s="29">
        <v>0</v>
      </c>
      <c r="H6575" s="33">
        <v>0</v>
      </c>
    </row>
    <row r="6576" spans="1:8" x14ac:dyDescent="0.4">
      <c r="A6576">
        <v>1999</v>
      </c>
      <c r="B6576" s="2" t="s">
        <v>629</v>
      </c>
      <c r="C6576" s="2" t="s">
        <v>725</v>
      </c>
      <c r="D6576" s="2" t="s">
        <v>249</v>
      </c>
      <c r="E6576" s="70" t="s">
        <v>26</v>
      </c>
      <c r="F6576" s="29">
        <v>16</v>
      </c>
      <c r="G6576" s="29">
        <v>0</v>
      </c>
      <c r="H6576" s="33">
        <v>0</v>
      </c>
    </row>
    <row r="6577" spans="1:8" x14ac:dyDescent="0.4">
      <c r="A6577">
        <v>1999</v>
      </c>
      <c r="B6577" s="2" t="s">
        <v>630</v>
      </c>
      <c r="C6577" s="2" t="s">
        <v>725</v>
      </c>
      <c r="D6577" s="2" t="s">
        <v>249</v>
      </c>
      <c r="E6577" s="70" t="s">
        <v>51</v>
      </c>
      <c r="F6577" s="29">
        <v>41</v>
      </c>
      <c r="G6577" s="29">
        <v>0</v>
      </c>
      <c r="H6577" s="33">
        <v>0</v>
      </c>
    </row>
    <row r="6578" spans="1:8" x14ac:dyDescent="0.4">
      <c r="A6578">
        <v>1999</v>
      </c>
      <c r="B6578" s="2" t="s">
        <v>631</v>
      </c>
      <c r="C6578" s="2" t="s">
        <v>725</v>
      </c>
      <c r="D6578" s="2" t="s">
        <v>249</v>
      </c>
      <c r="E6578" s="70" t="s">
        <v>269</v>
      </c>
      <c r="F6578" s="29">
        <v>62</v>
      </c>
      <c r="G6578" s="29">
        <v>0</v>
      </c>
      <c r="H6578" s="33">
        <v>0</v>
      </c>
    </row>
    <row r="6579" spans="1:8" x14ac:dyDescent="0.4">
      <c r="A6579">
        <v>1999</v>
      </c>
      <c r="B6579" s="2" t="s">
        <v>632</v>
      </c>
      <c r="C6579" s="2" t="s">
        <v>725</v>
      </c>
      <c r="D6579" s="2" t="s">
        <v>249</v>
      </c>
      <c r="E6579" s="70" t="s">
        <v>270</v>
      </c>
      <c r="F6579" s="29">
        <v>95</v>
      </c>
      <c r="G6579" s="29">
        <v>0</v>
      </c>
      <c r="H6579" s="33">
        <v>0</v>
      </c>
    </row>
    <row r="6580" spans="1:8" x14ac:dyDescent="0.4">
      <c r="A6580">
        <v>1999</v>
      </c>
      <c r="B6580" s="2" t="s">
        <v>633</v>
      </c>
      <c r="C6580" s="2" t="s">
        <v>726</v>
      </c>
      <c r="D6580" s="2" t="s">
        <v>271</v>
      </c>
      <c r="E6580" s="70" t="s">
        <v>174</v>
      </c>
      <c r="F6580" s="29">
        <v>64</v>
      </c>
      <c r="G6580" s="29">
        <v>0</v>
      </c>
      <c r="H6580" s="33">
        <v>0</v>
      </c>
    </row>
    <row r="6581" spans="1:8" x14ac:dyDescent="0.4">
      <c r="A6581">
        <v>1999</v>
      </c>
      <c r="B6581" s="2" t="s">
        <v>634</v>
      </c>
      <c r="C6581" s="2" t="s">
        <v>726</v>
      </c>
      <c r="D6581" s="2" t="s">
        <v>271</v>
      </c>
      <c r="E6581" s="70" t="s">
        <v>272</v>
      </c>
      <c r="F6581" s="29">
        <v>554</v>
      </c>
      <c r="G6581" s="29">
        <v>0</v>
      </c>
      <c r="H6581" s="33">
        <v>0</v>
      </c>
    </row>
    <row r="6582" spans="1:8" x14ac:dyDescent="0.4">
      <c r="A6582">
        <v>1999</v>
      </c>
      <c r="B6582" s="2" t="s">
        <v>635</v>
      </c>
      <c r="C6582" s="2" t="s">
        <v>726</v>
      </c>
      <c r="D6582" s="2" t="s">
        <v>271</v>
      </c>
      <c r="E6582" s="70" t="s">
        <v>36</v>
      </c>
      <c r="F6582" s="29">
        <v>20</v>
      </c>
      <c r="G6582" s="29">
        <v>0</v>
      </c>
      <c r="H6582" s="33">
        <v>0</v>
      </c>
    </row>
    <row r="6583" spans="1:8" x14ac:dyDescent="0.4">
      <c r="A6583">
        <v>1999</v>
      </c>
      <c r="B6583" s="2" t="s">
        <v>636</v>
      </c>
      <c r="C6583" s="2" t="s">
        <v>726</v>
      </c>
      <c r="D6583" s="2" t="s">
        <v>271</v>
      </c>
      <c r="E6583" s="70" t="s">
        <v>273</v>
      </c>
      <c r="F6583" s="29">
        <v>83</v>
      </c>
      <c r="G6583" s="29">
        <v>0</v>
      </c>
      <c r="H6583" s="33">
        <v>0</v>
      </c>
    </row>
    <row r="6584" spans="1:8" x14ac:dyDescent="0.4">
      <c r="A6584">
        <v>1999</v>
      </c>
      <c r="B6584" s="2" t="s">
        <v>637</v>
      </c>
      <c r="C6584" s="2" t="s">
        <v>726</v>
      </c>
      <c r="D6584" s="2" t="s">
        <v>271</v>
      </c>
      <c r="E6584" s="70" t="s">
        <v>274</v>
      </c>
      <c r="F6584" s="29">
        <v>148</v>
      </c>
      <c r="G6584" s="29">
        <v>0</v>
      </c>
      <c r="H6584" s="33">
        <v>0</v>
      </c>
    </row>
    <row r="6585" spans="1:8" x14ac:dyDescent="0.4">
      <c r="A6585">
        <v>1999</v>
      </c>
      <c r="B6585" s="2" t="s">
        <v>638</v>
      </c>
      <c r="C6585" s="2" t="s">
        <v>726</v>
      </c>
      <c r="D6585" s="2" t="s">
        <v>271</v>
      </c>
      <c r="E6585" s="70" t="s">
        <v>275</v>
      </c>
      <c r="F6585" s="29">
        <v>59</v>
      </c>
      <c r="G6585" s="29">
        <v>0</v>
      </c>
      <c r="H6585" s="33">
        <v>0</v>
      </c>
    </row>
    <row r="6586" spans="1:8" x14ac:dyDescent="0.4">
      <c r="A6586">
        <v>1999</v>
      </c>
      <c r="B6586" s="2" t="s">
        <v>639</v>
      </c>
      <c r="C6586" s="2" t="s">
        <v>726</v>
      </c>
      <c r="D6586" s="2" t="s">
        <v>271</v>
      </c>
      <c r="E6586" s="70" t="s">
        <v>276</v>
      </c>
      <c r="F6586" s="29">
        <v>4</v>
      </c>
      <c r="G6586" s="29">
        <v>0</v>
      </c>
      <c r="H6586" s="33">
        <v>0</v>
      </c>
    </row>
    <row r="6587" spans="1:8" x14ac:dyDescent="0.4">
      <c r="A6587">
        <v>1999</v>
      </c>
      <c r="B6587" s="2" t="s">
        <v>640</v>
      </c>
      <c r="C6587" s="2" t="s">
        <v>726</v>
      </c>
      <c r="D6587" s="2" t="s">
        <v>271</v>
      </c>
      <c r="E6587" s="70" t="s">
        <v>277</v>
      </c>
      <c r="F6587" s="29">
        <v>20</v>
      </c>
      <c r="G6587" s="29">
        <v>0</v>
      </c>
      <c r="H6587" s="33">
        <v>0</v>
      </c>
    </row>
    <row r="6588" spans="1:8" x14ac:dyDescent="0.4">
      <c r="A6588">
        <v>1999</v>
      </c>
      <c r="B6588" s="2" t="s">
        <v>641</v>
      </c>
      <c r="C6588" s="2" t="s">
        <v>726</v>
      </c>
      <c r="D6588" s="2" t="s">
        <v>271</v>
      </c>
      <c r="E6588" s="70" t="s">
        <v>278</v>
      </c>
      <c r="F6588" s="29">
        <v>29</v>
      </c>
      <c r="G6588" s="29">
        <v>0</v>
      </c>
      <c r="H6588" s="33">
        <v>0</v>
      </c>
    </row>
    <row r="6589" spans="1:8" x14ac:dyDescent="0.4">
      <c r="A6589">
        <v>1999</v>
      </c>
      <c r="B6589" s="2" t="s">
        <v>642</v>
      </c>
      <c r="C6589" s="2" t="s">
        <v>726</v>
      </c>
      <c r="D6589" s="2" t="s">
        <v>271</v>
      </c>
      <c r="E6589" s="70" t="s">
        <v>85</v>
      </c>
      <c r="F6589" s="29">
        <v>36</v>
      </c>
      <c r="G6589" s="29">
        <v>0</v>
      </c>
      <c r="H6589" s="33">
        <v>0</v>
      </c>
    </row>
    <row r="6590" spans="1:8" x14ac:dyDescent="0.4">
      <c r="A6590">
        <v>1999</v>
      </c>
      <c r="B6590" s="2" t="s">
        <v>643</v>
      </c>
      <c r="C6590" s="2" t="s">
        <v>726</v>
      </c>
      <c r="D6590" s="2" t="s">
        <v>271</v>
      </c>
      <c r="E6590" s="70" t="s">
        <v>279</v>
      </c>
      <c r="F6590" s="29">
        <v>52</v>
      </c>
      <c r="G6590" s="29">
        <v>0</v>
      </c>
      <c r="H6590" s="33">
        <v>0</v>
      </c>
    </row>
    <row r="6591" spans="1:8" x14ac:dyDescent="0.4">
      <c r="A6591">
        <v>1999</v>
      </c>
      <c r="B6591" s="2" t="s">
        <v>644</v>
      </c>
      <c r="C6591" s="2" t="s">
        <v>726</v>
      </c>
      <c r="D6591" s="2" t="s">
        <v>271</v>
      </c>
      <c r="E6591" s="70" t="s">
        <v>280</v>
      </c>
      <c r="F6591" s="29">
        <v>23</v>
      </c>
      <c r="G6591" s="29">
        <v>0</v>
      </c>
      <c r="H6591" s="33">
        <v>0</v>
      </c>
    </row>
    <row r="6592" spans="1:8" x14ac:dyDescent="0.4">
      <c r="A6592">
        <v>1999</v>
      </c>
      <c r="B6592" s="2" t="s">
        <v>645</v>
      </c>
      <c r="C6592" s="2" t="s">
        <v>726</v>
      </c>
      <c r="D6592" s="2" t="s">
        <v>271</v>
      </c>
      <c r="E6592" s="70" t="s">
        <v>281</v>
      </c>
      <c r="F6592" s="29">
        <v>111</v>
      </c>
      <c r="G6592" s="29">
        <v>0</v>
      </c>
      <c r="H6592" s="33">
        <v>0</v>
      </c>
    </row>
    <row r="6593" spans="1:8" x14ac:dyDescent="0.4">
      <c r="A6593">
        <v>1999</v>
      </c>
      <c r="B6593" s="2" t="s">
        <v>646</v>
      </c>
      <c r="C6593" s="2" t="s">
        <v>726</v>
      </c>
      <c r="D6593" s="2" t="s">
        <v>271</v>
      </c>
      <c r="E6593" s="70" t="s">
        <v>282</v>
      </c>
      <c r="F6593" s="29">
        <v>32</v>
      </c>
      <c r="G6593" s="29">
        <v>0</v>
      </c>
      <c r="H6593" s="33">
        <v>0</v>
      </c>
    </row>
    <row r="6594" spans="1:8" x14ac:dyDescent="0.4">
      <c r="A6594">
        <v>1999</v>
      </c>
      <c r="B6594" s="2" t="s">
        <v>647</v>
      </c>
      <c r="C6594" s="2" t="s">
        <v>726</v>
      </c>
      <c r="D6594" s="2" t="s">
        <v>271</v>
      </c>
      <c r="E6594" s="70" t="s">
        <v>283</v>
      </c>
      <c r="F6594" s="29">
        <v>61</v>
      </c>
      <c r="G6594" s="29">
        <v>0</v>
      </c>
      <c r="H6594" s="33">
        <v>0</v>
      </c>
    </row>
    <row r="6595" spans="1:8" x14ac:dyDescent="0.4">
      <c r="A6595">
        <v>1999</v>
      </c>
      <c r="B6595" s="2" t="s">
        <v>648</v>
      </c>
      <c r="C6595" s="2" t="s">
        <v>726</v>
      </c>
      <c r="D6595" s="2" t="s">
        <v>271</v>
      </c>
      <c r="E6595" s="70" t="s">
        <v>284</v>
      </c>
      <c r="F6595" s="29">
        <v>102</v>
      </c>
      <c r="G6595" s="29">
        <v>0</v>
      </c>
      <c r="H6595" s="33">
        <v>0</v>
      </c>
    </row>
    <row r="6596" spans="1:8" x14ac:dyDescent="0.4">
      <c r="A6596">
        <v>1999</v>
      </c>
      <c r="B6596" s="2" t="s">
        <v>649</v>
      </c>
      <c r="C6596" s="2" t="s">
        <v>726</v>
      </c>
      <c r="D6596" s="2" t="s">
        <v>271</v>
      </c>
      <c r="E6596" s="70" t="s">
        <v>51</v>
      </c>
      <c r="F6596" s="29">
        <v>116</v>
      </c>
      <c r="G6596" s="29">
        <v>0</v>
      </c>
      <c r="H6596" s="33">
        <v>0</v>
      </c>
    </row>
    <row r="6597" spans="1:8" x14ac:dyDescent="0.4">
      <c r="A6597">
        <v>1999</v>
      </c>
      <c r="B6597" s="2" t="s">
        <v>650</v>
      </c>
      <c r="C6597" s="2" t="s">
        <v>726</v>
      </c>
      <c r="D6597" s="2" t="s">
        <v>271</v>
      </c>
      <c r="E6597" s="70" t="s">
        <v>285</v>
      </c>
      <c r="F6597" s="29">
        <v>423</v>
      </c>
      <c r="G6597" s="29">
        <v>0</v>
      </c>
      <c r="H6597" s="33">
        <v>0</v>
      </c>
    </row>
    <row r="6598" spans="1:8" x14ac:dyDescent="0.4">
      <c r="A6598">
        <v>1999</v>
      </c>
      <c r="B6598" s="2" t="s">
        <v>651</v>
      </c>
      <c r="C6598" s="2" t="s">
        <v>726</v>
      </c>
      <c r="D6598" s="2" t="s">
        <v>271</v>
      </c>
      <c r="E6598" s="70" t="s">
        <v>53</v>
      </c>
      <c r="F6598" s="29">
        <v>141</v>
      </c>
      <c r="G6598" s="29">
        <v>0</v>
      </c>
      <c r="H6598" s="33">
        <v>0</v>
      </c>
    </row>
    <row r="6599" spans="1:8" x14ac:dyDescent="0.4">
      <c r="A6599">
        <v>1999</v>
      </c>
      <c r="B6599" s="2" t="s">
        <v>652</v>
      </c>
      <c r="C6599" s="2" t="s">
        <v>726</v>
      </c>
      <c r="D6599" s="2" t="s">
        <v>271</v>
      </c>
      <c r="E6599" s="70" t="s">
        <v>286</v>
      </c>
      <c r="F6599" s="29">
        <v>1274</v>
      </c>
      <c r="G6599" s="29">
        <v>0</v>
      </c>
      <c r="H6599" s="33">
        <v>0</v>
      </c>
    </row>
    <row r="6600" spans="1:8" x14ac:dyDescent="0.4">
      <c r="A6600">
        <v>1999</v>
      </c>
      <c r="B6600" s="2" t="s">
        <v>653</v>
      </c>
      <c r="C6600" s="2" t="s">
        <v>727</v>
      </c>
      <c r="D6600" s="2" t="s">
        <v>288</v>
      </c>
      <c r="E6600" s="70" t="s">
        <v>287</v>
      </c>
      <c r="F6600" s="29">
        <v>0</v>
      </c>
      <c r="G6600" s="29">
        <v>0</v>
      </c>
      <c r="H6600" s="33">
        <v>0</v>
      </c>
    </row>
    <row r="6601" spans="1:8" x14ac:dyDescent="0.4">
      <c r="A6601">
        <v>1999</v>
      </c>
      <c r="B6601" s="2" t="s">
        <v>654</v>
      </c>
      <c r="C6601" s="2" t="s">
        <v>727</v>
      </c>
      <c r="D6601" s="2" t="s">
        <v>288</v>
      </c>
      <c r="E6601" s="70" t="s">
        <v>289</v>
      </c>
      <c r="F6601" s="29">
        <v>0</v>
      </c>
      <c r="G6601" s="29">
        <v>0</v>
      </c>
      <c r="H6601" s="33">
        <v>0</v>
      </c>
    </row>
    <row r="6602" spans="1:8" x14ac:dyDescent="0.4">
      <c r="A6602">
        <v>1999</v>
      </c>
      <c r="B6602" s="2" t="s">
        <v>655</v>
      </c>
      <c r="C6602" s="2" t="s">
        <v>727</v>
      </c>
      <c r="D6602" s="2" t="s">
        <v>288</v>
      </c>
      <c r="E6602" s="70" t="s">
        <v>290</v>
      </c>
      <c r="F6602" s="29">
        <v>0</v>
      </c>
      <c r="G6602" s="29">
        <v>0</v>
      </c>
      <c r="H6602" s="33">
        <v>0</v>
      </c>
    </row>
    <row r="6603" spans="1:8" x14ac:dyDescent="0.4">
      <c r="A6603">
        <v>1999</v>
      </c>
      <c r="B6603" s="2" t="s">
        <v>656</v>
      </c>
      <c r="C6603" s="2" t="s">
        <v>727</v>
      </c>
      <c r="D6603" s="2" t="s">
        <v>288</v>
      </c>
      <c r="E6603" s="70" t="s">
        <v>291</v>
      </c>
      <c r="F6603" s="29">
        <v>0</v>
      </c>
      <c r="G6603" s="29">
        <v>0</v>
      </c>
      <c r="H6603" s="33">
        <v>0</v>
      </c>
    </row>
    <row r="6604" spans="1:8" x14ac:dyDescent="0.4">
      <c r="A6604">
        <v>1999</v>
      </c>
      <c r="B6604" s="2" t="s">
        <v>657</v>
      </c>
      <c r="C6604" s="2" t="s">
        <v>727</v>
      </c>
      <c r="D6604" s="2" t="s">
        <v>288</v>
      </c>
      <c r="E6604" s="70" t="s">
        <v>292</v>
      </c>
      <c r="F6604" s="29">
        <v>0</v>
      </c>
      <c r="G6604" s="29">
        <v>0</v>
      </c>
      <c r="H6604" s="33">
        <v>0</v>
      </c>
    </row>
    <row r="6605" spans="1:8" x14ac:dyDescent="0.4">
      <c r="A6605">
        <v>1999</v>
      </c>
      <c r="B6605" s="2" t="s">
        <v>658</v>
      </c>
      <c r="C6605" s="2" t="s">
        <v>727</v>
      </c>
      <c r="D6605" s="2" t="s">
        <v>288</v>
      </c>
      <c r="E6605" s="70" t="s">
        <v>293</v>
      </c>
      <c r="F6605" s="29">
        <v>0</v>
      </c>
      <c r="G6605" s="29">
        <v>0</v>
      </c>
      <c r="H6605" s="33">
        <v>0</v>
      </c>
    </row>
    <row r="6606" spans="1:8" x14ac:dyDescent="0.4">
      <c r="A6606">
        <v>1999</v>
      </c>
      <c r="B6606" s="2" t="s">
        <v>659</v>
      </c>
      <c r="C6606" s="2" t="s">
        <v>727</v>
      </c>
      <c r="D6606" s="2" t="s">
        <v>288</v>
      </c>
      <c r="E6606" s="70" t="s">
        <v>294</v>
      </c>
      <c r="F6606" s="29">
        <v>0</v>
      </c>
      <c r="G6606" s="29">
        <v>0</v>
      </c>
      <c r="H6606" s="33">
        <v>0</v>
      </c>
    </row>
    <row r="6607" spans="1:8" x14ac:dyDescent="0.4">
      <c r="A6607">
        <v>1999</v>
      </c>
      <c r="B6607" s="2" t="s">
        <v>660</v>
      </c>
      <c r="C6607" s="2" t="s">
        <v>727</v>
      </c>
      <c r="D6607" s="2" t="s">
        <v>288</v>
      </c>
      <c r="E6607" s="70" t="s">
        <v>295</v>
      </c>
      <c r="F6607" s="29">
        <v>0</v>
      </c>
      <c r="G6607" s="29">
        <v>0</v>
      </c>
      <c r="H6607" s="33">
        <v>0</v>
      </c>
    </row>
    <row r="6608" spans="1:8" x14ac:dyDescent="0.4">
      <c r="A6608">
        <v>1999</v>
      </c>
      <c r="B6608" s="2" t="s">
        <v>661</v>
      </c>
      <c r="C6608" s="2" t="s">
        <v>727</v>
      </c>
      <c r="D6608" s="2" t="s">
        <v>288</v>
      </c>
      <c r="E6608" s="70" t="s">
        <v>296</v>
      </c>
      <c r="F6608" s="29">
        <v>0</v>
      </c>
      <c r="G6608" s="29">
        <v>0</v>
      </c>
      <c r="H6608" s="33">
        <v>0</v>
      </c>
    </row>
    <row r="6609" spans="1:8" x14ac:dyDescent="0.4">
      <c r="A6609">
        <v>1999</v>
      </c>
      <c r="B6609" s="2" t="s">
        <v>662</v>
      </c>
      <c r="C6609" s="2" t="s">
        <v>727</v>
      </c>
      <c r="D6609" s="2" t="s">
        <v>288</v>
      </c>
      <c r="E6609" s="70" t="s">
        <v>297</v>
      </c>
      <c r="F6609" s="29">
        <v>0</v>
      </c>
      <c r="G6609" s="29">
        <v>0</v>
      </c>
      <c r="H6609" s="33">
        <v>0</v>
      </c>
    </row>
    <row r="6610" spans="1:8" x14ac:dyDescent="0.4">
      <c r="A6610">
        <v>1999</v>
      </c>
      <c r="B6610" s="2" t="s">
        <v>663</v>
      </c>
      <c r="C6610" s="2" t="s">
        <v>727</v>
      </c>
      <c r="D6610" s="2" t="s">
        <v>288</v>
      </c>
      <c r="E6610" s="70" t="s">
        <v>298</v>
      </c>
      <c r="F6610" s="29">
        <v>0</v>
      </c>
      <c r="G6610" s="29">
        <v>0</v>
      </c>
      <c r="H6610" s="33">
        <v>0</v>
      </c>
    </row>
    <row r="6611" spans="1:8" x14ac:dyDescent="0.4">
      <c r="A6611">
        <v>1999</v>
      </c>
      <c r="B6611" s="2" t="s">
        <v>664</v>
      </c>
      <c r="C6611" s="2" t="s">
        <v>728</v>
      </c>
      <c r="D6611" s="2" t="s">
        <v>300</v>
      </c>
      <c r="E6611" s="70" t="s">
        <v>299</v>
      </c>
      <c r="F6611" s="29">
        <v>21</v>
      </c>
      <c r="G6611" s="29">
        <v>0</v>
      </c>
      <c r="H6611" s="33">
        <v>0</v>
      </c>
    </row>
    <row r="6612" spans="1:8" x14ac:dyDescent="0.4">
      <c r="A6612">
        <v>1999</v>
      </c>
      <c r="B6612" s="2" t="s">
        <v>665</v>
      </c>
      <c r="C6612" s="2" t="s">
        <v>728</v>
      </c>
      <c r="D6612" s="2" t="s">
        <v>300</v>
      </c>
      <c r="E6612" s="70" t="s">
        <v>36</v>
      </c>
      <c r="F6612" s="29">
        <v>89</v>
      </c>
      <c r="G6612" s="29">
        <v>0</v>
      </c>
      <c r="H6612" s="33">
        <v>0</v>
      </c>
    </row>
    <row r="6613" spans="1:8" x14ac:dyDescent="0.4">
      <c r="A6613">
        <v>1999</v>
      </c>
      <c r="B6613" s="2" t="s">
        <v>666</v>
      </c>
      <c r="C6613" s="2" t="s">
        <v>728</v>
      </c>
      <c r="D6613" s="2" t="s">
        <v>300</v>
      </c>
      <c r="E6613" s="70" t="s">
        <v>301</v>
      </c>
      <c r="F6613" s="29">
        <v>188</v>
      </c>
      <c r="G6613" s="29">
        <v>0</v>
      </c>
      <c r="H6613" s="33">
        <v>0</v>
      </c>
    </row>
    <row r="6614" spans="1:8" x14ac:dyDescent="0.4">
      <c r="A6614">
        <v>1999</v>
      </c>
      <c r="B6614" s="2" t="s">
        <v>667</v>
      </c>
      <c r="C6614" s="2" t="s">
        <v>728</v>
      </c>
      <c r="D6614" s="2" t="s">
        <v>300</v>
      </c>
      <c r="E6614" s="70" t="s">
        <v>302</v>
      </c>
      <c r="F6614" s="29">
        <v>53</v>
      </c>
      <c r="G6614" s="29">
        <v>0</v>
      </c>
      <c r="H6614" s="33">
        <v>0</v>
      </c>
    </row>
    <row r="6615" spans="1:8" x14ac:dyDescent="0.4">
      <c r="A6615">
        <v>1999</v>
      </c>
      <c r="B6615" s="2" t="s">
        <v>668</v>
      </c>
      <c r="C6615" s="2" t="s">
        <v>728</v>
      </c>
      <c r="D6615" s="2" t="s">
        <v>300</v>
      </c>
      <c r="E6615" s="70" t="s">
        <v>14</v>
      </c>
      <c r="F6615" s="29">
        <v>69</v>
      </c>
      <c r="G6615" s="29">
        <v>0</v>
      </c>
      <c r="H6615" s="33">
        <v>0</v>
      </c>
    </row>
    <row r="6616" spans="1:8" x14ac:dyDescent="0.4">
      <c r="A6616">
        <v>1999</v>
      </c>
      <c r="B6616" s="2" t="s">
        <v>669</v>
      </c>
      <c r="C6616" s="2" t="s">
        <v>728</v>
      </c>
      <c r="D6616" s="2" t="s">
        <v>300</v>
      </c>
      <c r="E6616" s="70" t="s">
        <v>303</v>
      </c>
      <c r="F6616" s="29">
        <v>27</v>
      </c>
      <c r="G6616" s="29">
        <v>0</v>
      </c>
      <c r="H6616" s="33">
        <v>0</v>
      </c>
    </row>
    <row r="6617" spans="1:8" x14ac:dyDescent="0.4">
      <c r="A6617">
        <v>1999</v>
      </c>
      <c r="B6617" s="2" t="s">
        <v>670</v>
      </c>
      <c r="C6617" s="2" t="s">
        <v>728</v>
      </c>
      <c r="D6617" s="2" t="s">
        <v>300</v>
      </c>
      <c r="E6617" s="70" t="s">
        <v>304</v>
      </c>
      <c r="F6617" s="29">
        <v>18</v>
      </c>
      <c r="G6617" s="29">
        <v>0</v>
      </c>
      <c r="H6617" s="33">
        <v>0</v>
      </c>
    </row>
    <row r="6618" spans="1:8" x14ac:dyDescent="0.4">
      <c r="A6618">
        <v>1999</v>
      </c>
      <c r="B6618" s="2" t="s">
        <v>671</v>
      </c>
      <c r="C6618" s="2" t="s">
        <v>728</v>
      </c>
      <c r="D6618" s="2" t="s">
        <v>300</v>
      </c>
      <c r="E6618" s="70" t="s">
        <v>305</v>
      </c>
      <c r="F6618" s="29">
        <v>16</v>
      </c>
      <c r="G6618" s="29">
        <v>0</v>
      </c>
      <c r="H6618" s="33">
        <v>0</v>
      </c>
    </row>
    <row r="6619" spans="1:8" x14ac:dyDescent="0.4">
      <c r="A6619">
        <v>1999</v>
      </c>
      <c r="B6619" s="2" t="s">
        <v>672</v>
      </c>
      <c r="C6619" s="2" t="s">
        <v>728</v>
      </c>
      <c r="D6619" s="2" t="s">
        <v>300</v>
      </c>
      <c r="E6619" s="70" t="s">
        <v>306</v>
      </c>
      <c r="F6619" s="29">
        <v>177</v>
      </c>
      <c r="G6619" s="29">
        <v>0</v>
      </c>
      <c r="H6619" s="33">
        <v>0</v>
      </c>
    </row>
    <row r="6620" spans="1:8" x14ac:dyDescent="0.4">
      <c r="A6620">
        <v>1999</v>
      </c>
      <c r="B6620" s="2" t="s">
        <v>673</v>
      </c>
      <c r="C6620" s="2" t="s">
        <v>728</v>
      </c>
      <c r="D6620" s="2" t="s">
        <v>300</v>
      </c>
      <c r="E6620" s="70" t="s">
        <v>307</v>
      </c>
      <c r="F6620" s="29">
        <v>221</v>
      </c>
      <c r="G6620" s="29">
        <v>0</v>
      </c>
      <c r="H6620" s="33">
        <v>0</v>
      </c>
    </row>
    <row r="6621" spans="1:8" x14ac:dyDescent="0.4">
      <c r="A6621">
        <v>1999</v>
      </c>
      <c r="B6621" s="2" t="s">
        <v>674</v>
      </c>
      <c r="C6621" s="2" t="s">
        <v>728</v>
      </c>
      <c r="D6621" s="2" t="s">
        <v>300</v>
      </c>
      <c r="E6621" s="70" t="s">
        <v>308</v>
      </c>
      <c r="F6621" s="29">
        <v>1060</v>
      </c>
      <c r="G6621" s="29">
        <v>0</v>
      </c>
      <c r="H6621" s="33">
        <v>0</v>
      </c>
    </row>
    <row r="6622" spans="1:8" x14ac:dyDescent="0.4">
      <c r="A6622">
        <v>1999</v>
      </c>
      <c r="B6622" s="2" t="s">
        <v>675</v>
      </c>
      <c r="C6622" s="2" t="s">
        <v>728</v>
      </c>
      <c r="D6622" s="14" t="s">
        <v>300</v>
      </c>
      <c r="E6622" s="70" t="s">
        <v>51</v>
      </c>
      <c r="F6622" s="29">
        <v>37</v>
      </c>
      <c r="G6622" s="29">
        <v>0</v>
      </c>
      <c r="H6622" s="33">
        <v>0</v>
      </c>
    </row>
    <row r="6623" spans="1:8" x14ac:dyDescent="0.4">
      <c r="A6623">
        <v>1999</v>
      </c>
      <c r="B6623" s="2" t="s">
        <v>676</v>
      </c>
      <c r="C6623" s="2" t="s">
        <v>728</v>
      </c>
      <c r="D6623" s="2" t="s">
        <v>300</v>
      </c>
      <c r="E6623" s="70" t="s">
        <v>309</v>
      </c>
      <c r="F6623" s="29">
        <v>52</v>
      </c>
      <c r="G6623" s="29">
        <v>0</v>
      </c>
      <c r="H6623" s="33">
        <v>0</v>
      </c>
    </row>
    <row r="6624" spans="1:8" x14ac:dyDescent="0.4">
      <c r="A6624">
        <v>1999</v>
      </c>
      <c r="B6624" s="2" t="s">
        <v>677</v>
      </c>
      <c r="C6624" s="2" t="s">
        <v>728</v>
      </c>
      <c r="D6624" s="2" t="s">
        <v>300</v>
      </c>
      <c r="E6624" s="70" t="s">
        <v>310</v>
      </c>
      <c r="F6624" s="29">
        <v>46</v>
      </c>
      <c r="G6624" s="29">
        <v>0</v>
      </c>
      <c r="H6624" s="33">
        <v>0</v>
      </c>
    </row>
    <row r="6625" spans="1:8" x14ac:dyDescent="0.4">
      <c r="A6625">
        <v>1999</v>
      </c>
      <c r="B6625" s="2" t="s">
        <v>678</v>
      </c>
      <c r="C6625" s="2" t="s">
        <v>729</v>
      </c>
      <c r="D6625" s="2" t="s">
        <v>312</v>
      </c>
      <c r="E6625" s="70" t="s">
        <v>311</v>
      </c>
      <c r="F6625" s="29">
        <v>31</v>
      </c>
      <c r="G6625" s="29">
        <v>0</v>
      </c>
      <c r="H6625" s="33">
        <v>0</v>
      </c>
    </row>
    <row r="6626" spans="1:8" x14ac:dyDescent="0.4">
      <c r="A6626">
        <v>1999</v>
      </c>
      <c r="B6626" s="2" t="s">
        <v>679</v>
      </c>
      <c r="C6626" s="2" t="s">
        <v>729</v>
      </c>
      <c r="D6626" s="2" t="s">
        <v>312</v>
      </c>
      <c r="E6626" s="70" t="s">
        <v>313</v>
      </c>
      <c r="F6626" s="29">
        <v>253</v>
      </c>
      <c r="G6626" s="29">
        <v>0</v>
      </c>
      <c r="H6626" s="33">
        <v>0</v>
      </c>
    </row>
    <row r="6627" spans="1:8" x14ac:dyDescent="0.4">
      <c r="A6627">
        <v>1999</v>
      </c>
      <c r="B6627" s="2" t="s">
        <v>680</v>
      </c>
      <c r="C6627" s="2" t="s">
        <v>729</v>
      </c>
      <c r="D6627" s="2" t="s">
        <v>312</v>
      </c>
      <c r="E6627" s="70" t="s">
        <v>314</v>
      </c>
      <c r="F6627" s="29">
        <v>1015</v>
      </c>
      <c r="G6627" s="29">
        <v>0</v>
      </c>
      <c r="H6627" s="33">
        <v>0</v>
      </c>
    </row>
    <row r="6628" spans="1:8" x14ac:dyDescent="0.4">
      <c r="A6628">
        <v>1999</v>
      </c>
      <c r="B6628" s="2" t="s">
        <v>681</v>
      </c>
      <c r="C6628" s="2" t="s">
        <v>729</v>
      </c>
      <c r="D6628" s="2" t="s">
        <v>312</v>
      </c>
      <c r="E6628" s="70" t="s">
        <v>315</v>
      </c>
      <c r="F6628" s="29">
        <v>69</v>
      </c>
      <c r="G6628" s="29">
        <v>0</v>
      </c>
      <c r="H6628" s="33">
        <v>0</v>
      </c>
    </row>
    <row r="6629" spans="1:8" x14ac:dyDescent="0.4">
      <c r="A6629">
        <v>1999</v>
      </c>
      <c r="B6629" s="2" t="s">
        <v>682</v>
      </c>
      <c r="C6629" s="2" t="s">
        <v>729</v>
      </c>
      <c r="D6629" s="2" t="s">
        <v>312</v>
      </c>
      <c r="E6629" s="70" t="s">
        <v>316</v>
      </c>
      <c r="F6629" s="29">
        <v>406</v>
      </c>
      <c r="G6629" s="29">
        <v>0</v>
      </c>
      <c r="H6629" s="33">
        <v>0</v>
      </c>
    </row>
    <row r="6630" spans="1:8" x14ac:dyDescent="0.4">
      <c r="A6630">
        <v>1999</v>
      </c>
      <c r="B6630" s="2" t="s">
        <v>683</v>
      </c>
      <c r="C6630" s="2" t="s">
        <v>729</v>
      </c>
      <c r="D6630" s="2" t="s">
        <v>312</v>
      </c>
      <c r="E6630" s="70" t="s">
        <v>317</v>
      </c>
      <c r="F6630" s="29">
        <v>65</v>
      </c>
      <c r="G6630" s="29">
        <v>0</v>
      </c>
      <c r="H6630" s="33">
        <v>0</v>
      </c>
    </row>
    <row r="6631" spans="1:8" x14ac:dyDescent="0.4">
      <c r="A6631">
        <v>1999</v>
      </c>
      <c r="B6631" s="2" t="s">
        <v>684</v>
      </c>
      <c r="C6631" s="2" t="s">
        <v>729</v>
      </c>
      <c r="D6631" s="2" t="s">
        <v>312</v>
      </c>
      <c r="E6631" s="70" t="s">
        <v>318</v>
      </c>
      <c r="F6631" s="29">
        <v>284</v>
      </c>
      <c r="G6631" s="29">
        <v>0</v>
      </c>
      <c r="H6631" s="33">
        <v>0</v>
      </c>
    </row>
    <row r="6632" spans="1:8" x14ac:dyDescent="0.4">
      <c r="A6632">
        <v>1999</v>
      </c>
      <c r="B6632" s="2" t="s">
        <v>685</v>
      </c>
      <c r="C6632" s="2" t="s">
        <v>729</v>
      </c>
      <c r="D6632" s="2" t="s">
        <v>312</v>
      </c>
      <c r="E6632" s="70" t="s">
        <v>319</v>
      </c>
      <c r="F6632" s="29">
        <v>61</v>
      </c>
      <c r="G6632" s="29">
        <v>0</v>
      </c>
      <c r="H6632" s="33">
        <v>0</v>
      </c>
    </row>
    <row r="6633" spans="1:8" x14ac:dyDescent="0.4">
      <c r="A6633">
        <v>1999</v>
      </c>
      <c r="B6633" s="2" t="s">
        <v>686</v>
      </c>
      <c r="C6633" s="2" t="s">
        <v>729</v>
      </c>
      <c r="D6633" s="2" t="s">
        <v>312</v>
      </c>
      <c r="E6633" s="70" t="s">
        <v>320</v>
      </c>
      <c r="F6633" s="29">
        <v>169</v>
      </c>
      <c r="G6633" s="29">
        <v>0</v>
      </c>
      <c r="H6633" s="33">
        <v>0</v>
      </c>
    </row>
    <row r="6634" spans="1:8" x14ac:dyDescent="0.4">
      <c r="A6634">
        <v>1999</v>
      </c>
      <c r="B6634" s="2" t="s">
        <v>687</v>
      </c>
      <c r="C6634" s="2" t="s">
        <v>729</v>
      </c>
      <c r="D6634" s="2" t="s">
        <v>312</v>
      </c>
      <c r="E6634" s="70" t="s">
        <v>321</v>
      </c>
      <c r="F6634" s="29">
        <v>818</v>
      </c>
      <c r="G6634" s="29">
        <v>0</v>
      </c>
      <c r="H6634" s="33">
        <v>0</v>
      </c>
    </row>
    <row r="6635" spans="1:8" x14ac:dyDescent="0.4">
      <c r="A6635">
        <v>1999</v>
      </c>
      <c r="B6635" s="2" t="s">
        <v>688</v>
      </c>
      <c r="C6635" s="2" t="s">
        <v>729</v>
      </c>
      <c r="D6635" s="2" t="s">
        <v>312</v>
      </c>
      <c r="E6635" s="70" t="s">
        <v>322</v>
      </c>
      <c r="F6635" s="29">
        <v>366</v>
      </c>
      <c r="G6635" s="29">
        <v>0</v>
      </c>
      <c r="H6635" s="33">
        <v>0</v>
      </c>
    </row>
    <row r="6636" spans="1:8" x14ac:dyDescent="0.4">
      <c r="A6636">
        <v>1999</v>
      </c>
      <c r="B6636" s="2" t="s">
        <v>689</v>
      </c>
      <c r="C6636" s="2" t="s">
        <v>729</v>
      </c>
      <c r="D6636" s="2" t="s">
        <v>312</v>
      </c>
      <c r="E6636" s="70" t="s">
        <v>323</v>
      </c>
      <c r="F6636" s="29">
        <v>643</v>
      </c>
      <c r="G6636" s="29">
        <v>0</v>
      </c>
      <c r="H6636" s="33">
        <v>0</v>
      </c>
    </row>
    <row r="6637" spans="1:8" x14ac:dyDescent="0.4">
      <c r="A6637">
        <v>1999</v>
      </c>
      <c r="B6637" s="2" t="s">
        <v>690</v>
      </c>
      <c r="C6637" s="2" t="s">
        <v>729</v>
      </c>
      <c r="D6637" s="2" t="s">
        <v>312</v>
      </c>
      <c r="E6637" s="70" t="s">
        <v>324</v>
      </c>
      <c r="F6637" s="29">
        <v>7733</v>
      </c>
      <c r="G6637" s="29">
        <v>0</v>
      </c>
      <c r="H6637" s="33">
        <v>0</v>
      </c>
    </row>
    <row r="6638" spans="1:8" x14ac:dyDescent="0.4">
      <c r="A6638">
        <v>1999</v>
      </c>
      <c r="B6638" s="2" t="s">
        <v>691</v>
      </c>
      <c r="C6638" s="2" t="s">
        <v>729</v>
      </c>
      <c r="D6638" s="2" t="s">
        <v>312</v>
      </c>
      <c r="E6638" s="70" t="s">
        <v>85</v>
      </c>
      <c r="F6638" s="29">
        <v>226</v>
      </c>
      <c r="G6638" s="29">
        <v>0</v>
      </c>
      <c r="H6638" s="33">
        <v>0</v>
      </c>
    </row>
    <row r="6639" spans="1:8" x14ac:dyDescent="0.4">
      <c r="A6639">
        <v>1999</v>
      </c>
      <c r="B6639" s="2" t="s">
        <v>692</v>
      </c>
      <c r="C6639" s="2" t="s">
        <v>729</v>
      </c>
      <c r="D6639" s="2" t="s">
        <v>312</v>
      </c>
      <c r="E6639" s="70" t="s">
        <v>32</v>
      </c>
      <c r="F6639" s="29">
        <v>127</v>
      </c>
      <c r="G6639" s="29">
        <v>0</v>
      </c>
      <c r="H6639" s="33">
        <v>0</v>
      </c>
    </row>
    <row r="6640" spans="1:8" x14ac:dyDescent="0.4">
      <c r="A6640">
        <v>1999</v>
      </c>
      <c r="B6640" s="2" t="s">
        <v>693</v>
      </c>
      <c r="C6640" s="2" t="s">
        <v>729</v>
      </c>
      <c r="D6640" s="2" t="s">
        <v>312</v>
      </c>
      <c r="E6640" s="70" t="s">
        <v>325</v>
      </c>
      <c r="F6640" s="29">
        <v>246</v>
      </c>
      <c r="G6640" s="29">
        <v>0</v>
      </c>
      <c r="H6640" s="33">
        <v>0</v>
      </c>
    </row>
    <row r="6641" spans="1:8" x14ac:dyDescent="0.4">
      <c r="A6641">
        <v>1999</v>
      </c>
      <c r="B6641" s="2" t="s">
        <v>694</v>
      </c>
      <c r="C6641" s="2" t="s">
        <v>729</v>
      </c>
      <c r="D6641" s="2" t="s">
        <v>312</v>
      </c>
      <c r="E6641" s="70" t="s">
        <v>144</v>
      </c>
      <c r="F6641" s="29">
        <v>932</v>
      </c>
      <c r="G6641" s="29">
        <v>0</v>
      </c>
      <c r="H6641" s="33">
        <v>0</v>
      </c>
    </row>
    <row r="6642" spans="1:8" x14ac:dyDescent="0.4">
      <c r="A6642">
        <v>1999</v>
      </c>
      <c r="B6642" s="2" t="s">
        <v>695</v>
      </c>
      <c r="C6642" s="2" t="s">
        <v>729</v>
      </c>
      <c r="D6642" s="2" t="s">
        <v>312</v>
      </c>
      <c r="E6642" s="70" t="s">
        <v>326</v>
      </c>
      <c r="F6642" s="29">
        <v>114</v>
      </c>
      <c r="G6642" s="29">
        <v>0</v>
      </c>
      <c r="H6642" s="33">
        <v>0</v>
      </c>
    </row>
    <row r="6643" spans="1:8" x14ac:dyDescent="0.4">
      <c r="A6643">
        <v>1999</v>
      </c>
      <c r="B6643" s="2" t="s">
        <v>696</v>
      </c>
      <c r="C6643" s="2" t="s">
        <v>729</v>
      </c>
      <c r="D6643" s="2" t="s">
        <v>312</v>
      </c>
      <c r="E6643" s="70" t="s">
        <v>25</v>
      </c>
      <c r="F6643" s="29">
        <v>60</v>
      </c>
      <c r="G6643" s="29">
        <v>0</v>
      </c>
      <c r="H6643" s="33">
        <v>0</v>
      </c>
    </row>
    <row r="6644" spans="1:8" x14ac:dyDescent="0.4">
      <c r="A6644">
        <v>1999</v>
      </c>
      <c r="B6644" s="2" t="s">
        <v>697</v>
      </c>
      <c r="C6644" s="2" t="s">
        <v>729</v>
      </c>
      <c r="D6644" s="2" t="s">
        <v>312</v>
      </c>
      <c r="E6644" s="70" t="s">
        <v>51</v>
      </c>
      <c r="F6644" s="29">
        <v>224</v>
      </c>
      <c r="G6644" s="29">
        <v>0</v>
      </c>
      <c r="H6644" s="33">
        <v>0</v>
      </c>
    </row>
    <row r="6645" spans="1:8" x14ac:dyDescent="0.4">
      <c r="A6645">
        <v>1999</v>
      </c>
      <c r="B6645" s="2" t="s">
        <v>698</v>
      </c>
      <c r="C6645" s="2" t="s">
        <v>729</v>
      </c>
      <c r="D6645" s="2" t="s">
        <v>312</v>
      </c>
      <c r="E6645" s="70" t="s">
        <v>327</v>
      </c>
      <c r="F6645" s="29">
        <v>105</v>
      </c>
      <c r="G6645" s="29">
        <v>0</v>
      </c>
      <c r="H6645" s="33">
        <v>0</v>
      </c>
    </row>
    <row r="6646" spans="1:8" x14ac:dyDescent="0.4">
      <c r="A6646">
        <v>1999</v>
      </c>
      <c r="B6646" s="2" t="s">
        <v>733</v>
      </c>
      <c r="C6646" s="2" t="s">
        <v>715</v>
      </c>
      <c r="D6646" s="2" t="s">
        <v>734</v>
      </c>
      <c r="E6646" s="70" t="s">
        <v>735</v>
      </c>
      <c r="F6646" s="29">
        <v>0</v>
      </c>
      <c r="G6646" s="29">
        <v>0</v>
      </c>
      <c r="H6646" s="33">
        <v>0</v>
      </c>
    </row>
    <row r="6647" spans="1:8" x14ac:dyDescent="0.4">
      <c r="A6647">
        <v>1998</v>
      </c>
      <c r="B6647" s="2" t="s">
        <v>760</v>
      </c>
      <c r="C6647" s="2" t="s">
        <v>727</v>
      </c>
      <c r="D6647" s="2" t="s">
        <v>288</v>
      </c>
      <c r="E6647" s="70" t="s">
        <v>757</v>
      </c>
      <c r="F6647" s="29">
        <v>0</v>
      </c>
      <c r="G6647" s="29">
        <v>0</v>
      </c>
      <c r="H6647" s="33">
        <v>0</v>
      </c>
    </row>
    <row r="6648" spans="1:8" x14ac:dyDescent="0.4">
      <c r="A6648">
        <v>1998</v>
      </c>
      <c r="B6648" s="2" t="s">
        <v>763</v>
      </c>
      <c r="C6648" s="2" t="s">
        <v>706</v>
      </c>
      <c r="D6648" s="2" t="s">
        <v>334</v>
      </c>
      <c r="E6648" s="70" t="s">
        <v>757</v>
      </c>
      <c r="F6648" s="29">
        <v>1418</v>
      </c>
      <c r="G6648" s="29">
        <v>0</v>
      </c>
      <c r="H6648" s="33">
        <v>0</v>
      </c>
    </row>
    <row r="6649" spans="1:8" x14ac:dyDescent="0.4">
      <c r="A6649">
        <v>1998</v>
      </c>
      <c r="B6649" s="2" t="s">
        <v>761</v>
      </c>
      <c r="C6649" s="2" t="s">
        <v>706</v>
      </c>
      <c r="D6649" s="2" t="s">
        <v>106</v>
      </c>
      <c r="E6649" s="70" t="s">
        <v>756</v>
      </c>
      <c r="F6649" s="29">
        <v>13246</v>
      </c>
      <c r="G6649" s="29">
        <v>0</v>
      </c>
      <c r="H6649" s="33">
        <v>0</v>
      </c>
    </row>
    <row r="6650" spans="1:8" x14ac:dyDescent="0.4">
      <c r="A6650">
        <v>1998</v>
      </c>
      <c r="B6650" s="2" t="s">
        <v>335</v>
      </c>
      <c r="C6650" s="2" t="s">
        <v>706</v>
      </c>
      <c r="D6650" s="2" t="s">
        <v>106</v>
      </c>
      <c r="E6650" s="70" t="s">
        <v>105</v>
      </c>
      <c r="F6650" s="29">
        <v>0</v>
      </c>
      <c r="G6650" s="29">
        <v>0</v>
      </c>
      <c r="H6650" s="33">
        <v>0</v>
      </c>
    </row>
    <row r="6651" spans="1:8" x14ac:dyDescent="0.4">
      <c r="A6651">
        <v>1998</v>
      </c>
      <c r="B6651" s="2" t="s">
        <v>336</v>
      </c>
      <c r="C6651" s="2" t="s">
        <v>706</v>
      </c>
      <c r="D6651" s="2" t="s">
        <v>106</v>
      </c>
      <c r="E6651" s="70" t="s">
        <v>107</v>
      </c>
      <c r="F6651" s="29">
        <v>0</v>
      </c>
      <c r="G6651" s="29">
        <v>0</v>
      </c>
      <c r="H6651" s="33">
        <v>0</v>
      </c>
    </row>
    <row r="6652" spans="1:8" x14ac:dyDescent="0.4">
      <c r="A6652">
        <v>1998</v>
      </c>
      <c r="B6652" s="2" t="s">
        <v>337</v>
      </c>
      <c r="C6652" s="2" t="s">
        <v>706</v>
      </c>
      <c r="D6652" s="2" t="s">
        <v>106</v>
      </c>
      <c r="E6652" s="70" t="s">
        <v>108</v>
      </c>
      <c r="F6652" s="29">
        <v>0</v>
      </c>
      <c r="G6652" s="29">
        <v>0</v>
      </c>
      <c r="H6652" s="33">
        <v>0</v>
      </c>
    </row>
    <row r="6653" spans="1:8" x14ac:dyDescent="0.4">
      <c r="A6653">
        <v>1998</v>
      </c>
      <c r="B6653" s="2" t="s">
        <v>338</v>
      </c>
      <c r="C6653" s="2" t="s">
        <v>706</v>
      </c>
      <c r="D6653" s="2" t="s">
        <v>106</v>
      </c>
      <c r="E6653" s="70" t="s">
        <v>109</v>
      </c>
      <c r="F6653" s="29">
        <v>0</v>
      </c>
      <c r="G6653" s="29">
        <v>0</v>
      </c>
      <c r="H6653" s="33">
        <v>0</v>
      </c>
    </row>
    <row r="6654" spans="1:8" x14ac:dyDescent="0.4">
      <c r="A6654">
        <v>1998</v>
      </c>
      <c r="B6654" s="2" t="s">
        <v>339</v>
      </c>
      <c r="C6654" s="2" t="s">
        <v>706</v>
      </c>
      <c r="D6654" s="2" t="s">
        <v>106</v>
      </c>
      <c r="E6654" s="70" t="s">
        <v>110</v>
      </c>
      <c r="F6654" s="29">
        <v>0</v>
      </c>
      <c r="G6654" s="29">
        <v>0</v>
      </c>
      <c r="H6654" s="33">
        <v>0</v>
      </c>
    </row>
    <row r="6655" spans="1:8" x14ac:dyDescent="0.4">
      <c r="A6655">
        <v>1998</v>
      </c>
      <c r="B6655" s="2" t="s">
        <v>340</v>
      </c>
      <c r="C6655" s="2" t="s">
        <v>706</v>
      </c>
      <c r="D6655" s="2" t="s">
        <v>106</v>
      </c>
      <c r="E6655" s="70" t="s">
        <v>111</v>
      </c>
      <c r="F6655" s="29">
        <v>0</v>
      </c>
      <c r="G6655" s="29">
        <v>0</v>
      </c>
      <c r="H6655" s="33">
        <v>0</v>
      </c>
    </row>
    <row r="6656" spans="1:8" x14ac:dyDescent="0.4">
      <c r="A6656">
        <v>1998</v>
      </c>
      <c r="B6656" s="2" t="s">
        <v>341</v>
      </c>
      <c r="C6656" s="2" t="s">
        <v>706</v>
      </c>
      <c r="D6656" s="2" t="s">
        <v>106</v>
      </c>
      <c r="E6656" s="70" t="s">
        <v>112</v>
      </c>
      <c r="F6656" s="29">
        <v>0</v>
      </c>
      <c r="G6656" s="29">
        <v>0</v>
      </c>
      <c r="H6656" s="33">
        <v>0</v>
      </c>
    </row>
    <row r="6657" spans="1:8" x14ac:dyDescent="0.4">
      <c r="A6657">
        <v>1998</v>
      </c>
      <c r="B6657" s="2" t="s">
        <v>342</v>
      </c>
      <c r="C6657" s="2" t="s">
        <v>706</v>
      </c>
      <c r="D6657" s="2" t="s">
        <v>106</v>
      </c>
      <c r="E6657" s="70" t="s">
        <v>113</v>
      </c>
      <c r="F6657" s="29">
        <v>0</v>
      </c>
      <c r="G6657" s="29">
        <v>0</v>
      </c>
      <c r="H6657" s="33">
        <v>0</v>
      </c>
    </row>
    <row r="6658" spans="1:8" x14ac:dyDescent="0.4">
      <c r="A6658">
        <v>1998</v>
      </c>
      <c r="B6658" s="2" t="s">
        <v>343</v>
      </c>
      <c r="C6658" s="2" t="s">
        <v>706</v>
      </c>
      <c r="D6658" s="2" t="s">
        <v>106</v>
      </c>
      <c r="E6658" s="70" t="s">
        <v>114</v>
      </c>
      <c r="F6658" s="29">
        <v>0</v>
      </c>
      <c r="G6658" s="29">
        <v>0</v>
      </c>
      <c r="H6658" s="33">
        <v>0</v>
      </c>
    </row>
    <row r="6659" spans="1:8" x14ac:dyDescent="0.4">
      <c r="A6659">
        <v>1998</v>
      </c>
      <c r="B6659" s="2" t="s">
        <v>344</v>
      </c>
      <c r="C6659" s="2" t="s">
        <v>706</v>
      </c>
      <c r="D6659" s="2" t="s">
        <v>106</v>
      </c>
      <c r="E6659" s="70" t="s">
        <v>115</v>
      </c>
      <c r="F6659" s="29">
        <v>0</v>
      </c>
      <c r="G6659" s="29">
        <v>0</v>
      </c>
      <c r="H6659" s="33">
        <v>0</v>
      </c>
    </row>
    <row r="6660" spans="1:8" x14ac:dyDescent="0.4">
      <c r="A6660">
        <v>1998</v>
      </c>
      <c r="B6660" s="2" t="s">
        <v>345</v>
      </c>
      <c r="C6660" s="2" t="s">
        <v>706</v>
      </c>
      <c r="D6660" s="2" t="s">
        <v>106</v>
      </c>
      <c r="E6660" s="70" t="s">
        <v>116</v>
      </c>
      <c r="F6660" s="29">
        <v>0</v>
      </c>
      <c r="G6660" s="29">
        <v>0</v>
      </c>
      <c r="H6660" s="33">
        <v>0</v>
      </c>
    </row>
    <row r="6661" spans="1:8" x14ac:dyDescent="0.4">
      <c r="A6661">
        <v>1998</v>
      </c>
      <c r="B6661" s="2" t="s">
        <v>346</v>
      </c>
      <c r="C6661" s="2" t="s">
        <v>706</v>
      </c>
      <c r="D6661" s="2" t="s">
        <v>106</v>
      </c>
      <c r="E6661" s="70" t="s">
        <v>117</v>
      </c>
      <c r="F6661" s="29">
        <v>0</v>
      </c>
      <c r="G6661" s="29">
        <v>0</v>
      </c>
      <c r="H6661" s="33">
        <v>0</v>
      </c>
    </row>
    <row r="6662" spans="1:8" x14ac:dyDescent="0.4">
      <c r="A6662">
        <v>1998</v>
      </c>
      <c r="B6662" s="2" t="s">
        <v>347</v>
      </c>
      <c r="C6662" s="2" t="s">
        <v>706</v>
      </c>
      <c r="D6662" s="2" t="s">
        <v>106</v>
      </c>
      <c r="E6662" s="70" t="s">
        <v>118</v>
      </c>
      <c r="F6662" s="29">
        <v>0</v>
      </c>
      <c r="G6662" s="29">
        <v>0</v>
      </c>
      <c r="H6662" s="33">
        <v>0</v>
      </c>
    </row>
    <row r="6663" spans="1:8" x14ac:dyDescent="0.4">
      <c r="A6663">
        <v>1998</v>
      </c>
      <c r="B6663" s="2" t="s">
        <v>348</v>
      </c>
      <c r="C6663" s="2" t="s">
        <v>706</v>
      </c>
      <c r="D6663" s="2" t="s">
        <v>106</v>
      </c>
      <c r="E6663" s="70" t="s">
        <v>119</v>
      </c>
      <c r="F6663" s="29">
        <v>0</v>
      </c>
      <c r="G6663" s="29">
        <v>0</v>
      </c>
      <c r="H6663" s="33">
        <v>0</v>
      </c>
    </row>
    <row r="6664" spans="1:8" x14ac:dyDescent="0.4">
      <c r="A6664">
        <v>1998</v>
      </c>
      <c r="B6664" s="2" t="s">
        <v>349</v>
      </c>
      <c r="C6664" s="2" t="s">
        <v>706</v>
      </c>
      <c r="D6664" s="2" t="s">
        <v>106</v>
      </c>
      <c r="E6664" s="70" t="s">
        <v>120</v>
      </c>
      <c r="F6664" s="29">
        <v>0</v>
      </c>
      <c r="G6664" s="29">
        <v>0</v>
      </c>
      <c r="H6664" s="33">
        <v>0</v>
      </c>
    </row>
    <row r="6665" spans="1:8" x14ac:dyDescent="0.4">
      <c r="A6665">
        <v>1998</v>
      </c>
      <c r="B6665" s="2" t="s">
        <v>350</v>
      </c>
      <c r="C6665" s="2" t="s">
        <v>706</v>
      </c>
      <c r="D6665" s="2" t="s">
        <v>106</v>
      </c>
      <c r="E6665" s="70" t="s">
        <v>121</v>
      </c>
      <c r="F6665" s="29">
        <v>0</v>
      </c>
      <c r="G6665" s="29">
        <v>0</v>
      </c>
      <c r="H6665" s="33">
        <v>0</v>
      </c>
    </row>
    <row r="6666" spans="1:8" x14ac:dyDescent="0.4">
      <c r="A6666">
        <v>1998</v>
      </c>
      <c r="B6666" s="2" t="s">
        <v>351</v>
      </c>
      <c r="C6666" s="2" t="s">
        <v>706</v>
      </c>
      <c r="D6666" s="2" t="s">
        <v>106</v>
      </c>
      <c r="E6666" s="70" t="s">
        <v>122</v>
      </c>
      <c r="F6666" s="29">
        <v>0</v>
      </c>
      <c r="G6666" s="29">
        <v>0</v>
      </c>
      <c r="H6666" s="33">
        <v>0</v>
      </c>
    </row>
    <row r="6667" spans="1:8" x14ac:dyDescent="0.4">
      <c r="A6667">
        <v>1998</v>
      </c>
      <c r="B6667" s="2" t="s">
        <v>352</v>
      </c>
      <c r="C6667" s="2" t="s">
        <v>706</v>
      </c>
      <c r="D6667" s="2" t="s">
        <v>106</v>
      </c>
      <c r="E6667" s="70" t="s">
        <v>123</v>
      </c>
      <c r="F6667" s="29">
        <v>0</v>
      </c>
      <c r="G6667" s="29">
        <v>0</v>
      </c>
      <c r="H6667" s="33">
        <v>0</v>
      </c>
    </row>
    <row r="6668" spans="1:8" x14ac:dyDescent="0.4">
      <c r="A6668">
        <v>1998</v>
      </c>
      <c r="B6668" s="2" t="s">
        <v>353</v>
      </c>
      <c r="C6668" s="2" t="s">
        <v>706</v>
      </c>
      <c r="D6668" s="2" t="s">
        <v>106</v>
      </c>
      <c r="E6668" s="70" t="s">
        <v>124</v>
      </c>
      <c r="F6668" s="29">
        <v>0</v>
      </c>
      <c r="G6668" s="29">
        <v>0</v>
      </c>
      <c r="H6668" s="33">
        <v>0</v>
      </c>
    </row>
    <row r="6669" spans="1:8" x14ac:dyDescent="0.4">
      <c r="A6669">
        <v>1998</v>
      </c>
      <c r="B6669" s="8" t="s">
        <v>354</v>
      </c>
      <c r="C6669" s="8" t="s">
        <v>706</v>
      </c>
      <c r="D6669" s="8" t="s">
        <v>106</v>
      </c>
      <c r="E6669" s="70" t="s">
        <v>125</v>
      </c>
      <c r="F6669" s="29">
        <v>0</v>
      </c>
      <c r="G6669" s="29">
        <v>0</v>
      </c>
      <c r="H6669" s="29">
        <v>0</v>
      </c>
    </row>
    <row r="6670" spans="1:8" x14ac:dyDescent="0.4">
      <c r="A6670">
        <v>1998</v>
      </c>
      <c r="B6670" s="8" t="s">
        <v>355</v>
      </c>
      <c r="C6670" s="8" t="s">
        <v>706</v>
      </c>
      <c r="D6670" s="8" t="s">
        <v>106</v>
      </c>
      <c r="E6670" s="70" t="s">
        <v>126</v>
      </c>
      <c r="F6670" s="29">
        <v>0</v>
      </c>
      <c r="G6670" s="29">
        <v>0</v>
      </c>
      <c r="H6670" s="29">
        <v>0</v>
      </c>
    </row>
    <row r="6671" spans="1:8" x14ac:dyDescent="0.4">
      <c r="A6671">
        <v>1998</v>
      </c>
      <c r="B6671" s="8" t="s">
        <v>356</v>
      </c>
      <c r="C6671" s="8" t="s">
        <v>706</v>
      </c>
      <c r="D6671" s="8" t="s">
        <v>106</v>
      </c>
      <c r="E6671" s="70" t="s">
        <v>127</v>
      </c>
      <c r="F6671" s="29">
        <v>0</v>
      </c>
      <c r="G6671" s="29">
        <v>0</v>
      </c>
      <c r="H6671" s="29">
        <v>0</v>
      </c>
    </row>
    <row r="6672" spans="1:8" x14ac:dyDescent="0.4">
      <c r="A6672">
        <v>1998</v>
      </c>
      <c r="B6672" s="8" t="s">
        <v>357</v>
      </c>
      <c r="C6672" s="8" t="s">
        <v>707</v>
      </c>
      <c r="D6672" s="8" t="s">
        <v>1</v>
      </c>
      <c r="E6672" s="70" t="s">
        <v>0</v>
      </c>
      <c r="F6672" s="29">
        <v>39</v>
      </c>
      <c r="G6672" s="29">
        <v>0</v>
      </c>
      <c r="H6672" s="29">
        <v>0</v>
      </c>
    </row>
    <row r="6673" spans="1:8" x14ac:dyDescent="0.4">
      <c r="A6673">
        <v>1998</v>
      </c>
      <c r="B6673" s="8" t="s">
        <v>358</v>
      </c>
      <c r="C6673" s="8" t="s">
        <v>707</v>
      </c>
      <c r="D6673" s="8" t="s">
        <v>1</v>
      </c>
      <c r="E6673" s="70" t="s">
        <v>2</v>
      </c>
      <c r="F6673" s="29">
        <v>6</v>
      </c>
      <c r="G6673" s="29">
        <v>0</v>
      </c>
      <c r="H6673" s="29">
        <v>0</v>
      </c>
    </row>
    <row r="6674" spans="1:8" x14ac:dyDescent="0.4">
      <c r="A6674">
        <v>1998</v>
      </c>
      <c r="B6674" s="8" t="s">
        <v>359</v>
      </c>
      <c r="C6674" s="8" t="s">
        <v>707</v>
      </c>
      <c r="D6674" s="8" t="s">
        <v>1</v>
      </c>
      <c r="E6674" s="70" t="s">
        <v>3</v>
      </c>
      <c r="F6674" s="29">
        <v>288</v>
      </c>
      <c r="G6674" s="29">
        <v>0</v>
      </c>
      <c r="H6674" s="29">
        <v>0</v>
      </c>
    </row>
    <row r="6675" spans="1:8" x14ac:dyDescent="0.4">
      <c r="A6675">
        <v>1998</v>
      </c>
      <c r="B6675" s="8" t="s">
        <v>360</v>
      </c>
      <c r="C6675" s="8" t="s">
        <v>707</v>
      </c>
      <c r="D6675" s="8" t="s">
        <v>1</v>
      </c>
      <c r="E6675" s="70" t="s">
        <v>4</v>
      </c>
      <c r="F6675" s="29">
        <v>0</v>
      </c>
      <c r="G6675" s="29">
        <v>0</v>
      </c>
      <c r="H6675" s="29">
        <v>0</v>
      </c>
    </row>
    <row r="6676" spans="1:8" x14ac:dyDescent="0.4">
      <c r="A6676">
        <v>1998</v>
      </c>
      <c r="B6676" s="8" t="s">
        <v>361</v>
      </c>
      <c r="C6676" s="8" t="s">
        <v>707</v>
      </c>
      <c r="D6676" s="8" t="s">
        <v>1</v>
      </c>
      <c r="E6676" s="70" t="s">
        <v>5</v>
      </c>
      <c r="F6676" s="29">
        <v>2</v>
      </c>
      <c r="G6676" s="29">
        <v>0</v>
      </c>
      <c r="H6676" s="29">
        <v>0</v>
      </c>
    </row>
    <row r="6677" spans="1:8" x14ac:dyDescent="0.4">
      <c r="A6677">
        <v>1998</v>
      </c>
      <c r="B6677" s="8" t="s">
        <v>732</v>
      </c>
      <c r="C6677" s="8" t="s">
        <v>707</v>
      </c>
      <c r="D6677" s="8" t="s">
        <v>1</v>
      </c>
      <c r="E6677" s="70" t="s">
        <v>330</v>
      </c>
      <c r="F6677" s="29">
        <v>0</v>
      </c>
      <c r="G6677" s="29">
        <v>0</v>
      </c>
      <c r="H6677" s="29">
        <v>0</v>
      </c>
    </row>
    <row r="6678" spans="1:8" x14ac:dyDescent="0.4">
      <c r="A6678">
        <v>1998</v>
      </c>
      <c r="B6678" s="8" t="s">
        <v>730</v>
      </c>
      <c r="C6678" s="8" t="s">
        <v>707</v>
      </c>
      <c r="D6678" s="8" t="s">
        <v>1</v>
      </c>
      <c r="E6678" s="70" t="s">
        <v>328</v>
      </c>
      <c r="F6678" s="29">
        <v>14</v>
      </c>
      <c r="G6678" s="29">
        <v>0</v>
      </c>
      <c r="H6678" s="29">
        <v>0</v>
      </c>
    </row>
    <row r="6679" spans="1:8" x14ac:dyDescent="0.4">
      <c r="A6679">
        <v>1998</v>
      </c>
      <c r="B6679" s="8" t="s">
        <v>362</v>
      </c>
      <c r="C6679" s="8" t="s">
        <v>708</v>
      </c>
      <c r="D6679" s="8" t="s">
        <v>7</v>
      </c>
      <c r="E6679" s="70" t="s">
        <v>6</v>
      </c>
      <c r="F6679" s="29">
        <v>215</v>
      </c>
      <c r="G6679" s="29">
        <v>0</v>
      </c>
      <c r="H6679" s="29">
        <v>0</v>
      </c>
    </row>
    <row r="6680" spans="1:8" x14ac:dyDescent="0.4">
      <c r="A6680">
        <v>1998</v>
      </c>
      <c r="B6680" s="8" t="s">
        <v>363</v>
      </c>
      <c r="C6680" s="8" t="s">
        <v>708</v>
      </c>
      <c r="D6680" s="8" t="s">
        <v>7</v>
      </c>
      <c r="E6680" s="70" t="s">
        <v>8</v>
      </c>
      <c r="F6680" s="29">
        <v>79</v>
      </c>
      <c r="G6680" s="29">
        <v>0</v>
      </c>
      <c r="H6680" s="29">
        <v>0</v>
      </c>
    </row>
    <row r="6681" spans="1:8" x14ac:dyDescent="0.4">
      <c r="A6681">
        <v>1998</v>
      </c>
      <c r="B6681" s="8" t="s">
        <v>364</v>
      </c>
      <c r="C6681" s="8" t="s">
        <v>708</v>
      </c>
      <c r="D6681" s="8" t="s">
        <v>7</v>
      </c>
      <c r="E6681" s="70" t="s">
        <v>9</v>
      </c>
      <c r="F6681" s="29">
        <v>92</v>
      </c>
      <c r="G6681" s="29">
        <v>0</v>
      </c>
      <c r="H6681" s="29">
        <v>0</v>
      </c>
    </row>
    <row r="6682" spans="1:8" x14ac:dyDescent="0.4">
      <c r="A6682">
        <v>1998</v>
      </c>
      <c r="B6682" s="8" t="s">
        <v>365</v>
      </c>
      <c r="C6682" s="8" t="s">
        <v>708</v>
      </c>
      <c r="D6682" s="8" t="s">
        <v>7</v>
      </c>
      <c r="E6682" s="70" t="s">
        <v>10</v>
      </c>
      <c r="F6682" s="29">
        <v>30</v>
      </c>
      <c r="G6682" s="29">
        <v>0</v>
      </c>
      <c r="H6682" s="29">
        <v>0</v>
      </c>
    </row>
    <row r="6683" spans="1:8" x14ac:dyDescent="0.4">
      <c r="A6683">
        <v>1998</v>
      </c>
      <c r="B6683" s="8" t="s">
        <v>366</v>
      </c>
      <c r="C6683" s="8" t="s">
        <v>708</v>
      </c>
      <c r="D6683" s="8" t="s">
        <v>7</v>
      </c>
      <c r="E6683" s="70" t="s">
        <v>11</v>
      </c>
      <c r="F6683" s="29">
        <v>110</v>
      </c>
      <c r="G6683" s="29">
        <v>0</v>
      </c>
      <c r="H6683" s="29">
        <v>0</v>
      </c>
    </row>
    <row r="6684" spans="1:8" x14ac:dyDescent="0.4">
      <c r="A6684">
        <v>1998</v>
      </c>
      <c r="B6684" s="8" t="s">
        <v>367</v>
      </c>
      <c r="C6684" s="8" t="s">
        <v>708</v>
      </c>
      <c r="D6684" s="8" t="s">
        <v>7</v>
      </c>
      <c r="E6684" s="70" t="s">
        <v>12</v>
      </c>
      <c r="F6684" s="29">
        <v>34</v>
      </c>
      <c r="G6684" s="29">
        <v>0</v>
      </c>
      <c r="H6684" s="29">
        <v>0</v>
      </c>
    </row>
    <row r="6685" spans="1:8" x14ac:dyDescent="0.4">
      <c r="A6685">
        <v>1998</v>
      </c>
      <c r="B6685" s="8" t="s">
        <v>368</v>
      </c>
      <c r="C6685" s="8" t="s">
        <v>708</v>
      </c>
      <c r="D6685" s="8" t="s">
        <v>7</v>
      </c>
      <c r="E6685" s="70" t="s">
        <v>13</v>
      </c>
      <c r="F6685" s="29">
        <v>46</v>
      </c>
      <c r="G6685" s="29">
        <v>0</v>
      </c>
      <c r="H6685" s="29">
        <v>0</v>
      </c>
    </row>
    <row r="6686" spans="1:8" x14ac:dyDescent="0.4">
      <c r="A6686">
        <v>1998</v>
      </c>
      <c r="B6686" s="8" t="s">
        <v>369</v>
      </c>
      <c r="C6686" s="8" t="s">
        <v>708</v>
      </c>
      <c r="D6686" s="8" t="s">
        <v>7</v>
      </c>
      <c r="E6686" s="70" t="s">
        <v>14</v>
      </c>
      <c r="F6686" s="29">
        <v>76</v>
      </c>
      <c r="G6686" s="29">
        <v>0</v>
      </c>
      <c r="H6686" s="29">
        <v>0</v>
      </c>
    </row>
    <row r="6687" spans="1:8" x14ac:dyDescent="0.4">
      <c r="A6687">
        <v>1998</v>
      </c>
      <c r="B6687" s="8" t="s">
        <v>370</v>
      </c>
      <c r="C6687" s="8" t="s">
        <v>708</v>
      </c>
      <c r="D6687" s="8" t="s">
        <v>7</v>
      </c>
      <c r="E6687" s="70" t="s">
        <v>15</v>
      </c>
      <c r="F6687" s="29">
        <v>54</v>
      </c>
      <c r="G6687" s="29">
        <v>0</v>
      </c>
      <c r="H6687" s="29">
        <v>0</v>
      </c>
    </row>
    <row r="6688" spans="1:8" x14ac:dyDescent="0.4">
      <c r="A6688">
        <v>1998</v>
      </c>
      <c r="B6688" s="8" t="s">
        <v>371</v>
      </c>
      <c r="C6688" s="8" t="s">
        <v>708</v>
      </c>
      <c r="D6688" s="8" t="s">
        <v>7</v>
      </c>
      <c r="E6688" s="70" t="s">
        <v>16</v>
      </c>
      <c r="F6688" s="29">
        <v>431</v>
      </c>
      <c r="G6688" s="29">
        <v>0</v>
      </c>
      <c r="H6688" s="29">
        <v>0</v>
      </c>
    </row>
    <row r="6689" spans="1:8" x14ac:dyDescent="0.4">
      <c r="A6689">
        <v>1998</v>
      </c>
      <c r="B6689" s="8" t="s">
        <v>372</v>
      </c>
      <c r="C6689" s="8" t="s">
        <v>708</v>
      </c>
      <c r="D6689" s="8" t="s">
        <v>7</v>
      </c>
      <c r="E6689" s="70" t="s">
        <v>17</v>
      </c>
      <c r="F6689" s="29">
        <v>33</v>
      </c>
      <c r="G6689" s="29">
        <v>0</v>
      </c>
      <c r="H6689" s="29">
        <v>0</v>
      </c>
    </row>
    <row r="6690" spans="1:8" x14ac:dyDescent="0.4">
      <c r="A6690">
        <v>1998</v>
      </c>
      <c r="B6690" s="8" t="s">
        <v>373</v>
      </c>
      <c r="C6690" s="8" t="s">
        <v>708</v>
      </c>
      <c r="D6690" s="8" t="s">
        <v>7</v>
      </c>
      <c r="E6690" s="70" t="s">
        <v>18</v>
      </c>
      <c r="F6690" s="29">
        <v>31</v>
      </c>
      <c r="G6690" s="29">
        <v>0</v>
      </c>
      <c r="H6690" s="29">
        <v>0</v>
      </c>
    </row>
    <row r="6691" spans="1:8" x14ac:dyDescent="0.4">
      <c r="A6691">
        <v>1998</v>
      </c>
      <c r="B6691" s="8" t="s">
        <v>374</v>
      </c>
      <c r="C6691" s="8" t="s">
        <v>708</v>
      </c>
      <c r="D6691" s="8" t="s">
        <v>7</v>
      </c>
      <c r="E6691" s="70" t="s">
        <v>19</v>
      </c>
      <c r="F6691" s="29">
        <v>76</v>
      </c>
      <c r="G6691" s="29">
        <v>0</v>
      </c>
      <c r="H6691" s="29">
        <v>0</v>
      </c>
    </row>
    <row r="6692" spans="1:8" x14ac:dyDescent="0.4">
      <c r="A6692">
        <v>1998</v>
      </c>
      <c r="B6692" s="8" t="s">
        <v>375</v>
      </c>
      <c r="C6692" s="8" t="s">
        <v>708</v>
      </c>
      <c r="D6692" s="8" t="s">
        <v>7</v>
      </c>
      <c r="E6692" s="70" t="s">
        <v>20</v>
      </c>
      <c r="F6692" s="29">
        <v>240</v>
      </c>
      <c r="G6692" s="29">
        <v>0</v>
      </c>
      <c r="H6692" s="29">
        <v>0</v>
      </c>
    </row>
    <row r="6693" spans="1:8" x14ac:dyDescent="0.4">
      <c r="A6693">
        <v>1998</v>
      </c>
      <c r="B6693" s="8" t="s">
        <v>376</v>
      </c>
      <c r="C6693" s="8" t="s">
        <v>708</v>
      </c>
      <c r="D6693" s="8" t="s">
        <v>7</v>
      </c>
      <c r="E6693" s="70" t="s">
        <v>21</v>
      </c>
      <c r="F6693" s="29">
        <v>63</v>
      </c>
      <c r="G6693" s="29">
        <v>0</v>
      </c>
      <c r="H6693" s="29">
        <v>0</v>
      </c>
    </row>
    <row r="6694" spans="1:8" x14ac:dyDescent="0.4">
      <c r="A6694">
        <v>1998</v>
      </c>
      <c r="B6694" s="8" t="s">
        <v>377</v>
      </c>
      <c r="C6694" s="8" t="s">
        <v>708</v>
      </c>
      <c r="D6694" s="8" t="s">
        <v>7</v>
      </c>
      <c r="E6694" s="70" t="s">
        <v>22</v>
      </c>
      <c r="F6694" s="29">
        <v>100</v>
      </c>
      <c r="G6694" s="29">
        <v>0</v>
      </c>
      <c r="H6694" s="29">
        <v>0</v>
      </c>
    </row>
    <row r="6695" spans="1:8" x14ac:dyDescent="0.4">
      <c r="A6695">
        <v>1998</v>
      </c>
      <c r="B6695" s="8" t="s">
        <v>378</v>
      </c>
      <c r="C6695" s="8" t="s">
        <v>708</v>
      </c>
      <c r="D6695" s="8" t="s">
        <v>7</v>
      </c>
      <c r="E6695" s="70" t="s">
        <v>23</v>
      </c>
      <c r="F6695" s="29">
        <v>19</v>
      </c>
      <c r="G6695" s="29">
        <v>0</v>
      </c>
      <c r="H6695" s="29">
        <v>0</v>
      </c>
    </row>
    <row r="6696" spans="1:8" x14ac:dyDescent="0.4">
      <c r="A6696">
        <v>1998</v>
      </c>
      <c r="B6696" s="8" t="s">
        <v>379</v>
      </c>
      <c r="C6696" s="8" t="s">
        <v>708</v>
      </c>
      <c r="D6696" s="8" t="s">
        <v>7</v>
      </c>
      <c r="E6696" s="70" t="s">
        <v>24</v>
      </c>
      <c r="F6696" s="29">
        <v>22</v>
      </c>
      <c r="G6696" s="29">
        <v>0</v>
      </c>
      <c r="H6696" s="29">
        <v>0</v>
      </c>
    </row>
    <row r="6697" spans="1:8" x14ac:dyDescent="0.4">
      <c r="A6697">
        <v>1998</v>
      </c>
      <c r="B6697" s="8" t="s">
        <v>380</v>
      </c>
      <c r="C6697" s="8" t="s">
        <v>708</v>
      </c>
      <c r="D6697" s="8" t="s">
        <v>7</v>
      </c>
      <c r="E6697" s="70" t="s">
        <v>25</v>
      </c>
      <c r="F6697" s="29">
        <v>1124</v>
      </c>
      <c r="G6697" s="29">
        <v>0</v>
      </c>
      <c r="H6697" s="29">
        <v>0</v>
      </c>
    </row>
    <row r="6698" spans="1:8" x14ac:dyDescent="0.4">
      <c r="A6698">
        <v>1998</v>
      </c>
      <c r="B6698" s="8" t="s">
        <v>381</v>
      </c>
      <c r="C6698" s="8" t="s">
        <v>708</v>
      </c>
      <c r="D6698" s="8" t="s">
        <v>7</v>
      </c>
      <c r="E6698" s="70" t="s">
        <v>26</v>
      </c>
      <c r="F6698" s="29">
        <v>403</v>
      </c>
      <c r="G6698" s="29">
        <v>0</v>
      </c>
      <c r="H6698" s="29">
        <v>0</v>
      </c>
    </row>
    <row r="6699" spans="1:8" x14ac:dyDescent="0.4">
      <c r="A6699">
        <v>1998</v>
      </c>
      <c r="B6699" s="8" t="s">
        <v>382</v>
      </c>
      <c r="C6699" s="8" t="s">
        <v>708</v>
      </c>
      <c r="D6699" s="8" t="s">
        <v>7</v>
      </c>
      <c r="E6699" s="70" t="s">
        <v>27</v>
      </c>
      <c r="F6699" s="29">
        <v>21</v>
      </c>
      <c r="G6699" s="29">
        <v>0</v>
      </c>
      <c r="H6699" s="29">
        <v>0</v>
      </c>
    </row>
    <row r="6700" spans="1:8" x14ac:dyDescent="0.4">
      <c r="A6700">
        <v>1998</v>
      </c>
      <c r="B6700" s="8" t="s">
        <v>383</v>
      </c>
      <c r="C6700" s="8" t="s">
        <v>709</v>
      </c>
      <c r="D6700" s="8" t="s">
        <v>29</v>
      </c>
      <c r="E6700" s="70" t="s">
        <v>28</v>
      </c>
      <c r="F6700" s="29">
        <v>158</v>
      </c>
      <c r="G6700" s="29">
        <v>0</v>
      </c>
      <c r="H6700" s="29">
        <v>0</v>
      </c>
    </row>
    <row r="6701" spans="1:8" x14ac:dyDescent="0.4">
      <c r="A6701">
        <v>1998</v>
      </c>
      <c r="B6701" s="8" t="s">
        <v>384</v>
      </c>
      <c r="C6701" s="8" t="s">
        <v>709</v>
      </c>
      <c r="D6701" s="8" t="s">
        <v>29</v>
      </c>
      <c r="E6701" s="70" t="s">
        <v>30</v>
      </c>
      <c r="F6701" s="29">
        <v>69</v>
      </c>
      <c r="G6701" s="29">
        <v>0</v>
      </c>
      <c r="H6701" s="29">
        <v>0</v>
      </c>
    </row>
    <row r="6702" spans="1:8" x14ac:dyDescent="0.4">
      <c r="A6702">
        <v>1998</v>
      </c>
      <c r="B6702" s="8" t="s">
        <v>385</v>
      </c>
      <c r="C6702" s="8" t="s">
        <v>709</v>
      </c>
      <c r="D6702" s="8" t="s">
        <v>29</v>
      </c>
      <c r="E6702" s="70" t="s">
        <v>31</v>
      </c>
      <c r="F6702" s="29">
        <v>58</v>
      </c>
      <c r="G6702" s="29">
        <v>0</v>
      </c>
      <c r="H6702" s="29">
        <v>0</v>
      </c>
    </row>
    <row r="6703" spans="1:8" x14ac:dyDescent="0.4">
      <c r="A6703">
        <v>1998</v>
      </c>
      <c r="B6703" s="8" t="s">
        <v>386</v>
      </c>
      <c r="C6703" s="8" t="s">
        <v>709</v>
      </c>
      <c r="D6703" s="8" t="s">
        <v>29</v>
      </c>
      <c r="E6703" s="70" t="s">
        <v>32</v>
      </c>
      <c r="F6703" s="29">
        <v>283</v>
      </c>
      <c r="G6703" s="29">
        <v>0</v>
      </c>
      <c r="H6703" s="29">
        <v>0</v>
      </c>
    </row>
    <row r="6704" spans="1:8" x14ac:dyDescent="0.4">
      <c r="A6704">
        <v>1998</v>
      </c>
      <c r="B6704" s="8" t="s">
        <v>387</v>
      </c>
      <c r="C6704" s="8" t="s">
        <v>709</v>
      </c>
      <c r="D6704" s="8" t="s">
        <v>29</v>
      </c>
      <c r="E6704" s="70" t="s">
        <v>33</v>
      </c>
      <c r="F6704" s="29">
        <v>42</v>
      </c>
      <c r="G6704" s="29">
        <v>0</v>
      </c>
      <c r="H6704" s="29">
        <v>0</v>
      </c>
    </row>
    <row r="6705" spans="1:8" x14ac:dyDescent="0.4">
      <c r="A6705">
        <v>1998</v>
      </c>
      <c r="B6705" s="8" t="s">
        <v>388</v>
      </c>
      <c r="C6705" s="8" t="s">
        <v>709</v>
      </c>
      <c r="D6705" s="8" t="s">
        <v>29</v>
      </c>
      <c r="E6705" s="70" t="s">
        <v>34</v>
      </c>
      <c r="F6705" s="29">
        <v>38</v>
      </c>
      <c r="G6705" s="29">
        <v>0</v>
      </c>
      <c r="H6705" s="29">
        <v>0</v>
      </c>
    </row>
    <row r="6706" spans="1:8" x14ac:dyDescent="0.4">
      <c r="A6706">
        <v>1998</v>
      </c>
      <c r="B6706" s="8" t="s">
        <v>389</v>
      </c>
      <c r="C6706" s="8" t="s">
        <v>709</v>
      </c>
      <c r="D6706" s="8" t="s">
        <v>29</v>
      </c>
      <c r="E6706" s="70" t="s">
        <v>35</v>
      </c>
      <c r="F6706" s="29">
        <v>766</v>
      </c>
      <c r="G6706" s="29">
        <v>0</v>
      </c>
      <c r="H6706" s="29">
        <v>0</v>
      </c>
    </row>
    <row r="6707" spans="1:8" x14ac:dyDescent="0.4">
      <c r="A6707">
        <v>1998</v>
      </c>
      <c r="B6707" s="8" t="s">
        <v>390</v>
      </c>
      <c r="C6707" s="8" t="s">
        <v>710</v>
      </c>
      <c r="D6707" s="8" t="s">
        <v>37</v>
      </c>
      <c r="E6707" s="70" t="s">
        <v>36</v>
      </c>
      <c r="F6707" s="29">
        <v>125</v>
      </c>
      <c r="G6707" s="29">
        <v>0</v>
      </c>
      <c r="H6707" s="29">
        <v>0</v>
      </c>
    </row>
    <row r="6708" spans="1:8" x14ac:dyDescent="0.4">
      <c r="A6708">
        <v>1998</v>
      </c>
      <c r="B6708" s="8" t="s">
        <v>391</v>
      </c>
      <c r="C6708" s="8" t="s">
        <v>710</v>
      </c>
      <c r="D6708" s="8" t="s">
        <v>37</v>
      </c>
      <c r="E6708" s="70" t="s">
        <v>38</v>
      </c>
      <c r="F6708" s="29">
        <v>66</v>
      </c>
      <c r="G6708" s="29">
        <v>0</v>
      </c>
      <c r="H6708" s="29">
        <v>0</v>
      </c>
    </row>
    <row r="6709" spans="1:8" x14ac:dyDescent="0.4">
      <c r="A6709">
        <v>1998</v>
      </c>
      <c r="B6709" s="8" t="s">
        <v>392</v>
      </c>
      <c r="C6709" s="8" t="s">
        <v>710</v>
      </c>
      <c r="D6709" s="8" t="s">
        <v>37</v>
      </c>
      <c r="E6709" s="70" t="s">
        <v>39</v>
      </c>
      <c r="F6709" s="29">
        <v>0</v>
      </c>
      <c r="G6709" s="29">
        <v>0</v>
      </c>
      <c r="H6709" s="29">
        <v>0</v>
      </c>
    </row>
    <row r="6710" spans="1:8" x14ac:dyDescent="0.4">
      <c r="A6710">
        <v>1998</v>
      </c>
      <c r="B6710" s="8" t="s">
        <v>393</v>
      </c>
      <c r="C6710" s="8" t="s">
        <v>710</v>
      </c>
      <c r="D6710" s="8" t="s">
        <v>37</v>
      </c>
      <c r="E6710" s="70" t="s">
        <v>40</v>
      </c>
      <c r="F6710" s="29">
        <v>3152</v>
      </c>
      <c r="G6710" s="29">
        <v>0</v>
      </c>
      <c r="H6710" s="29">
        <v>0</v>
      </c>
    </row>
    <row r="6711" spans="1:8" x14ac:dyDescent="0.4">
      <c r="A6711">
        <v>1998</v>
      </c>
      <c r="B6711" s="8" t="s">
        <v>394</v>
      </c>
      <c r="C6711" s="8" t="s">
        <v>710</v>
      </c>
      <c r="D6711" s="8" t="s">
        <v>37</v>
      </c>
      <c r="E6711" s="70" t="s">
        <v>41</v>
      </c>
      <c r="F6711" s="29">
        <v>49</v>
      </c>
      <c r="G6711" s="29">
        <v>0</v>
      </c>
      <c r="H6711" s="29">
        <v>0</v>
      </c>
    </row>
    <row r="6712" spans="1:8" x14ac:dyDescent="0.4">
      <c r="A6712">
        <v>1998</v>
      </c>
      <c r="B6712" s="8" t="s">
        <v>395</v>
      </c>
      <c r="C6712" s="8" t="s">
        <v>710</v>
      </c>
      <c r="D6712" s="8" t="s">
        <v>37</v>
      </c>
      <c r="E6712" s="70" t="s">
        <v>42</v>
      </c>
      <c r="F6712" s="29">
        <v>790</v>
      </c>
      <c r="G6712" s="29">
        <v>0</v>
      </c>
      <c r="H6712" s="29">
        <v>0</v>
      </c>
    </row>
    <row r="6713" spans="1:8" x14ac:dyDescent="0.4">
      <c r="A6713">
        <v>1998</v>
      </c>
      <c r="B6713" s="8" t="s">
        <v>396</v>
      </c>
      <c r="C6713" s="8" t="s">
        <v>710</v>
      </c>
      <c r="D6713" s="8" t="s">
        <v>37</v>
      </c>
      <c r="E6713" s="70" t="s">
        <v>43</v>
      </c>
      <c r="F6713" s="29">
        <v>99</v>
      </c>
      <c r="G6713" s="29">
        <v>0</v>
      </c>
      <c r="H6713" s="29">
        <v>0</v>
      </c>
    </row>
    <row r="6714" spans="1:8" x14ac:dyDescent="0.4">
      <c r="A6714">
        <v>1998</v>
      </c>
      <c r="B6714" s="8" t="s">
        <v>397</v>
      </c>
      <c r="C6714" s="8" t="s">
        <v>710</v>
      </c>
      <c r="D6714" s="8" t="s">
        <v>37</v>
      </c>
      <c r="E6714" s="70" t="s">
        <v>44</v>
      </c>
      <c r="F6714" s="29">
        <v>360</v>
      </c>
      <c r="G6714" s="29">
        <v>0</v>
      </c>
      <c r="H6714" s="29">
        <v>0</v>
      </c>
    </row>
    <row r="6715" spans="1:8" x14ac:dyDescent="0.4">
      <c r="A6715">
        <v>1998</v>
      </c>
      <c r="B6715" s="8" t="s">
        <v>398</v>
      </c>
      <c r="C6715" s="8" t="s">
        <v>710</v>
      </c>
      <c r="D6715" s="8" t="s">
        <v>37</v>
      </c>
      <c r="E6715" s="70" t="s">
        <v>45</v>
      </c>
      <c r="F6715" s="29">
        <v>202</v>
      </c>
      <c r="G6715" s="29">
        <v>0</v>
      </c>
      <c r="H6715" s="29">
        <v>0</v>
      </c>
    </row>
    <row r="6716" spans="1:8" x14ac:dyDescent="0.4">
      <c r="A6716">
        <v>1998</v>
      </c>
      <c r="B6716" s="8" t="s">
        <v>399</v>
      </c>
      <c r="C6716" s="8" t="s">
        <v>710</v>
      </c>
      <c r="D6716" s="8" t="s">
        <v>37</v>
      </c>
      <c r="E6716" s="70" t="s">
        <v>46</v>
      </c>
      <c r="F6716" s="29">
        <v>0</v>
      </c>
      <c r="G6716" s="29">
        <v>0</v>
      </c>
      <c r="H6716" s="29">
        <v>0</v>
      </c>
    </row>
    <row r="6717" spans="1:8" x14ac:dyDescent="0.4">
      <c r="A6717">
        <v>1998</v>
      </c>
      <c r="B6717" s="8" t="s">
        <v>400</v>
      </c>
      <c r="C6717" s="8" t="s">
        <v>710</v>
      </c>
      <c r="D6717" s="8" t="s">
        <v>37</v>
      </c>
      <c r="E6717" s="70" t="s">
        <v>47</v>
      </c>
      <c r="F6717" s="29">
        <v>59</v>
      </c>
      <c r="G6717" s="29">
        <v>0</v>
      </c>
      <c r="H6717" s="29">
        <v>0</v>
      </c>
    </row>
    <row r="6718" spans="1:8" x14ac:dyDescent="0.4">
      <c r="A6718">
        <v>1998</v>
      </c>
      <c r="B6718" s="8" t="s">
        <v>401</v>
      </c>
      <c r="C6718" s="8" t="s">
        <v>710</v>
      </c>
      <c r="D6718" s="8" t="s">
        <v>37</v>
      </c>
      <c r="E6718" s="70" t="s">
        <v>48</v>
      </c>
      <c r="F6718" s="29">
        <v>97</v>
      </c>
      <c r="G6718" s="29">
        <v>0</v>
      </c>
      <c r="H6718" s="29">
        <v>0</v>
      </c>
    </row>
    <row r="6719" spans="1:8" x14ac:dyDescent="0.4">
      <c r="A6719">
        <v>1998</v>
      </c>
      <c r="B6719" s="8" t="s">
        <v>402</v>
      </c>
      <c r="C6719" s="8" t="s">
        <v>710</v>
      </c>
      <c r="D6719" s="8" t="s">
        <v>37</v>
      </c>
      <c r="E6719" s="70" t="s">
        <v>49</v>
      </c>
      <c r="F6719" s="29">
        <v>450</v>
      </c>
      <c r="G6719" s="29">
        <v>0</v>
      </c>
      <c r="H6719" s="29">
        <v>0</v>
      </c>
    </row>
    <row r="6720" spans="1:8" x14ac:dyDescent="0.4">
      <c r="A6720">
        <v>1998</v>
      </c>
      <c r="B6720" s="8" t="s">
        <v>403</v>
      </c>
      <c r="C6720" s="8" t="s">
        <v>710</v>
      </c>
      <c r="D6720" s="8" t="s">
        <v>37</v>
      </c>
      <c r="E6720" s="70" t="s">
        <v>50</v>
      </c>
      <c r="F6720" s="29">
        <v>90</v>
      </c>
      <c r="G6720" s="29">
        <v>0</v>
      </c>
      <c r="H6720" s="29">
        <v>0</v>
      </c>
    </row>
    <row r="6721" spans="1:8" x14ac:dyDescent="0.4">
      <c r="A6721">
        <v>1998</v>
      </c>
      <c r="B6721" s="8" t="s">
        <v>404</v>
      </c>
      <c r="C6721" s="8" t="s">
        <v>710</v>
      </c>
      <c r="D6721" s="8" t="s">
        <v>37</v>
      </c>
      <c r="E6721" s="70" t="s">
        <v>51</v>
      </c>
      <c r="F6721" s="29">
        <v>310</v>
      </c>
      <c r="G6721" s="29">
        <v>0</v>
      </c>
      <c r="H6721" s="29">
        <v>0</v>
      </c>
    </row>
    <row r="6722" spans="1:8" x14ac:dyDescent="0.4">
      <c r="A6722">
        <v>1998</v>
      </c>
      <c r="B6722" s="8" t="s">
        <v>405</v>
      </c>
      <c r="C6722" s="8" t="s">
        <v>710</v>
      </c>
      <c r="D6722" s="8" t="s">
        <v>37</v>
      </c>
      <c r="E6722" s="70" t="s">
        <v>52</v>
      </c>
      <c r="F6722" s="29">
        <v>40</v>
      </c>
      <c r="G6722" s="29">
        <v>0</v>
      </c>
      <c r="H6722" s="29">
        <v>0</v>
      </c>
    </row>
    <row r="6723" spans="1:8" x14ac:dyDescent="0.4">
      <c r="A6723">
        <v>1998</v>
      </c>
      <c r="B6723" s="8" t="s">
        <v>406</v>
      </c>
      <c r="C6723" s="8" t="s">
        <v>710</v>
      </c>
      <c r="D6723" s="8" t="s">
        <v>37</v>
      </c>
      <c r="E6723" s="70" t="s">
        <v>53</v>
      </c>
      <c r="F6723" s="29">
        <v>47</v>
      </c>
      <c r="G6723" s="29">
        <v>0</v>
      </c>
      <c r="H6723" s="29">
        <v>0</v>
      </c>
    </row>
    <row r="6724" spans="1:8" x14ac:dyDescent="0.4">
      <c r="A6724">
        <v>1998</v>
      </c>
      <c r="B6724" s="8" t="s">
        <v>407</v>
      </c>
      <c r="C6724" s="8" t="s">
        <v>710</v>
      </c>
      <c r="D6724" s="8" t="s">
        <v>37</v>
      </c>
      <c r="E6724" s="70" t="s">
        <v>54</v>
      </c>
      <c r="F6724" s="29">
        <v>488</v>
      </c>
      <c r="G6724" s="29">
        <v>0</v>
      </c>
      <c r="H6724" s="29">
        <v>0</v>
      </c>
    </row>
    <row r="6725" spans="1:8" x14ac:dyDescent="0.4">
      <c r="A6725">
        <v>1998</v>
      </c>
      <c r="B6725" s="8" t="s">
        <v>408</v>
      </c>
      <c r="C6725" s="8" t="s">
        <v>711</v>
      </c>
      <c r="D6725" s="8" t="s">
        <v>56</v>
      </c>
      <c r="E6725" s="70" t="s">
        <v>55</v>
      </c>
      <c r="F6725" s="29">
        <v>100</v>
      </c>
      <c r="G6725" s="29">
        <v>0</v>
      </c>
      <c r="H6725" s="29">
        <v>0</v>
      </c>
    </row>
    <row r="6726" spans="1:8" x14ac:dyDescent="0.4">
      <c r="A6726">
        <v>1998</v>
      </c>
      <c r="B6726" s="8" t="s">
        <v>409</v>
      </c>
      <c r="C6726" s="8" t="s">
        <v>711</v>
      </c>
      <c r="D6726" s="8" t="s">
        <v>56</v>
      </c>
      <c r="E6726" s="70" t="s">
        <v>57</v>
      </c>
      <c r="F6726" s="29">
        <v>0</v>
      </c>
      <c r="G6726" s="29">
        <v>0</v>
      </c>
      <c r="H6726" s="29">
        <v>0</v>
      </c>
    </row>
    <row r="6727" spans="1:8" x14ac:dyDescent="0.4">
      <c r="A6727">
        <v>1998</v>
      </c>
      <c r="B6727" s="8" t="s">
        <v>410</v>
      </c>
      <c r="C6727" s="8" t="s">
        <v>711</v>
      </c>
      <c r="D6727" s="8" t="s">
        <v>56</v>
      </c>
      <c r="E6727" s="70" t="s">
        <v>58</v>
      </c>
      <c r="F6727" s="29">
        <v>205</v>
      </c>
      <c r="G6727" s="29">
        <v>0</v>
      </c>
      <c r="H6727" s="29">
        <v>0</v>
      </c>
    </row>
    <row r="6728" spans="1:8" x14ac:dyDescent="0.4">
      <c r="A6728">
        <v>1998</v>
      </c>
      <c r="B6728" s="8" t="s">
        <v>411</v>
      </c>
      <c r="C6728" s="8" t="s">
        <v>711</v>
      </c>
      <c r="D6728" s="8" t="s">
        <v>56</v>
      </c>
      <c r="E6728" s="70" t="s">
        <v>59</v>
      </c>
      <c r="F6728" s="29">
        <v>41</v>
      </c>
      <c r="G6728" s="29">
        <v>0</v>
      </c>
      <c r="H6728" s="29">
        <v>0</v>
      </c>
    </row>
    <row r="6729" spans="1:8" x14ac:dyDescent="0.4">
      <c r="A6729">
        <v>1998</v>
      </c>
      <c r="B6729" s="8" t="s">
        <v>412</v>
      </c>
      <c r="C6729" s="8" t="s">
        <v>711</v>
      </c>
      <c r="D6729" s="8" t="s">
        <v>56</v>
      </c>
      <c r="E6729" s="70" t="s">
        <v>60</v>
      </c>
      <c r="F6729" s="29">
        <v>1316</v>
      </c>
      <c r="G6729" s="29">
        <v>0</v>
      </c>
      <c r="H6729" s="29">
        <v>0</v>
      </c>
    </row>
    <row r="6730" spans="1:8" x14ac:dyDescent="0.4">
      <c r="A6730">
        <v>1998</v>
      </c>
      <c r="B6730" s="8" t="s">
        <v>413</v>
      </c>
      <c r="C6730" s="8" t="s">
        <v>711</v>
      </c>
      <c r="D6730" s="8" t="s">
        <v>56</v>
      </c>
      <c r="E6730" s="70" t="s">
        <v>36</v>
      </c>
      <c r="F6730" s="29">
        <v>129</v>
      </c>
      <c r="G6730" s="29">
        <v>0</v>
      </c>
      <c r="H6730" s="29">
        <v>0</v>
      </c>
    </row>
    <row r="6731" spans="1:8" x14ac:dyDescent="0.4">
      <c r="A6731">
        <v>1998</v>
      </c>
      <c r="B6731" s="8" t="s">
        <v>414</v>
      </c>
      <c r="C6731" s="8" t="s">
        <v>711</v>
      </c>
      <c r="D6731" s="8" t="s">
        <v>56</v>
      </c>
      <c r="E6731" s="70" t="s">
        <v>61</v>
      </c>
      <c r="F6731" s="29">
        <v>48</v>
      </c>
      <c r="G6731" s="29">
        <v>0</v>
      </c>
      <c r="H6731" s="29">
        <v>0</v>
      </c>
    </row>
    <row r="6732" spans="1:8" x14ac:dyDescent="0.4">
      <c r="A6732">
        <v>1998</v>
      </c>
      <c r="B6732" s="8" t="s">
        <v>415</v>
      </c>
      <c r="C6732" s="8" t="s">
        <v>711</v>
      </c>
      <c r="D6732" s="8" t="s">
        <v>56</v>
      </c>
      <c r="E6732" s="70" t="s">
        <v>62</v>
      </c>
      <c r="F6732" s="29">
        <v>169</v>
      </c>
      <c r="G6732" s="29">
        <v>0</v>
      </c>
      <c r="H6732" s="29">
        <v>0</v>
      </c>
    </row>
    <row r="6733" spans="1:8" x14ac:dyDescent="0.4">
      <c r="A6733">
        <v>1998</v>
      </c>
      <c r="B6733" s="8" t="s">
        <v>416</v>
      </c>
      <c r="C6733" s="8" t="s">
        <v>711</v>
      </c>
      <c r="D6733" s="8" t="s">
        <v>56</v>
      </c>
      <c r="E6733" s="70" t="s">
        <v>63</v>
      </c>
      <c r="F6733" s="29">
        <v>67</v>
      </c>
      <c r="G6733" s="29">
        <v>0</v>
      </c>
      <c r="H6733" s="29">
        <v>0</v>
      </c>
    </row>
    <row r="6734" spans="1:8" x14ac:dyDescent="0.4">
      <c r="A6734">
        <v>1998</v>
      </c>
      <c r="B6734" s="8" t="s">
        <v>417</v>
      </c>
      <c r="C6734" s="8" t="s">
        <v>711</v>
      </c>
      <c r="D6734" s="8" t="s">
        <v>56</v>
      </c>
      <c r="E6734" s="70" t="s">
        <v>64</v>
      </c>
      <c r="F6734" s="29">
        <v>137</v>
      </c>
      <c r="G6734" s="29">
        <v>0</v>
      </c>
      <c r="H6734" s="29">
        <v>0</v>
      </c>
    </row>
    <row r="6735" spans="1:8" x14ac:dyDescent="0.4">
      <c r="A6735">
        <v>1998</v>
      </c>
      <c r="B6735" s="8" t="s">
        <v>418</v>
      </c>
      <c r="C6735" s="8" t="s">
        <v>711</v>
      </c>
      <c r="D6735" s="8" t="s">
        <v>56</v>
      </c>
      <c r="E6735" s="70" t="s">
        <v>65</v>
      </c>
      <c r="F6735" s="29">
        <v>75</v>
      </c>
      <c r="G6735" s="29">
        <v>0</v>
      </c>
      <c r="H6735" s="29">
        <v>0</v>
      </c>
    </row>
    <row r="6736" spans="1:8" x14ac:dyDescent="0.4">
      <c r="A6736">
        <v>1998</v>
      </c>
      <c r="B6736" s="8" t="s">
        <v>419</v>
      </c>
      <c r="C6736" s="8" t="s">
        <v>711</v>
      </c>
      <c r="D6736" s="8" t="s">
        <v>56</v>
      </c>
      <c r="E6736" s="70" t="s">
        <v>66</v>
      </c>
      <c r="F6736" s="29">
        <v>21</v>
      </c>
      <c r="G6736" s="29">
        <v>0</v>
      </c>
      <c r="H6736" s="29">
        <v>0</v>
      </c>
    </row>
    <row r="6737" spans="1:8" x14ac:dyDescent="0.4">
      <c r="A6737">
        <v>1998</v>
      </c>
      <c r="B6737" s="8" t="s">
        <v>420</v>
      </c>
      <c r="C6737" s="8" t="s">
        <v>712</v>
      </c>
      <c r="D6737" s="8" t="s">
        <v>68</v>
      </c>
      <c r="E6737" s="70" t="s">
        <v>67</v>
      </c>
      <c r="F6737" s="29">
        <v>2591</v>
      </c>
      <c r="G6737" s="29">
        <v>0</v>
      </c>
      <c r="H6737" s="29">
        <v>0</v>
      </c>
    </row>
    <row r="6738" spans="1:8" x14ac:dyDescent="0.4">
      <c r="A6738">
        <v>1998</v>
      </c>
      <c r="B6738" s="8" t="s">
        <v>421</v>
      </c>
      <c r="C6738" s="8" t="s">
        <v>712</v>
      </c>
      <c r="D6738" s="8" t="s">
        <v>68</v>
      </c>
      <c r="E6738" s="70" t="s">
        <v>69</v>
      </c>
      <c r="F6738" s="29">
        <v>189</v>
      </c>
      <c r="G6738" s="29">
        <v>0</v>
      </c>
      <c r="H6738" s="29">
        <v>0</v>
      </c>
    </row>
    <row r="6739" spans="1:8" x14ac:dyDescent="0.4">
      <c r="A6739">
        <v>1998</v>
      </c>
      <c r="B6739" s="8" t="s">
        <v>422</v>
      </c>
      <c r="C6739" s="8" t="s">
        <v>712</v>
      </c>
      <c r="D6739" s="8" t="s">
        <v>68</v>
      </c>
      <c r="E6739" s="70" t="s">
        <v>70</v>
      </c>
      <c r="F6739" s="29">
        <v>62</v>
      </c>
      <c r="G6739" s="29">
        <v>0</v>
      </c>
      <c r="H6739" s="29">
        <v>0</v>
      </c>
    </row>
    <row r="6740" spans="1:8" x14ac:dyDescent="0.4">
      <c r="A6740">
        <v>1998</v>
      </c>
      <c r="B6740" s="8" t="s">
        <v>423</v>
      </c>
      <c r="C6740" s="8" t="s">
        <v>712</v>
      </c>
      <c r="D6740" s="8" t="s">
        <v>68</v>
      </c>
      <c r="E6740" s="70" t="s">
        <v>71</v>
      </c>
      <c r="F6740" s="29">
        <v>63</v>
      </c>
      <c r="G6740" s="29">
        <v>0</v>
      </c>
      <c r="H6740" s="29">
        <v>0</v>
      </c>
    </row>
    <row r="6741" spans="1:8" x14ac:dyDescent="0.4">
      <c r="A6741">
        <v>1998</v>
      </c>
      <c r="B6741" s="8" t="s">
        <v>424</v>
      </c>
      <c r="C6741" s="8" t="s">
        <v>712</v>
      </c>
      <c r="D6741" s="8" t="s">
        <v>68</v>
      </c>
      <c r="E6741" s="70" t="s">
        <v>72</v>
      </c>
      <c r="F6741" s="29">
        <v>1929</v>
      </c>
      <c r="G6741" s="29">
        <v>0</v>
      </c>
      <c r="H6741" s="29">
        <v>0</v>
      </c>
    </row>
    <row r="6742" spans="1:8" x14ac:dyDescent="0.4">
      <c r="A6742">
        <v>1998</v>
      </c>
      <c r="B6742" s="8" t="s">
        <v>425</v>
      </c>
      <c r="C6742" s="8" t="s">
        <v>712</v>
      </c>
      <c r="D6742" s="8" t="s">
        <v>68</v>
      </c>
      <c r="E6742" s="70" t="s">
        <v>73</v>
      </c>
      <c r="F6742" s="29">
        <v>18</v>
      </c>
      <c r="G6742" s="29">
        <v>0</v>
      </c>
      <c r="H6742" s="29">
        <v>0</v>
      </c>
    </row>
    <row r="6743" spans="1:8" x14ac:dyDescent="0.4">
      <c r="A6743">
        <v>1998</v>
      </c>
      <c r="B6743" s="8" t="s">
        <v>426</v>
      </c>
      <c r="C6743" s="8" t="s">
        <v>712</v>
      </c>
      <c r="D6743" s="8" t="s">
        <v>68</v>
      </c>
      <c r="E6743" s="70" t="s">
        <v>74</v>
      </c>
      <c r="F6743" s="29">
        <v>368</v>
      </c>
      <c r="G6743" s="29">
        <v>0</v>
      </c>
      <c r="H6743" s="29">
        <v>0</v>
      </c>
    </row>
    <row r="6744" spans="1:8" x14ac:dyDescent="0.4">
      <c r="A6744">
        <v>1998</v>
      </c>
      <c r="B6744" s="8" t="s">
        <v>427</v>
      </c>
      <c r="C6744" s="8" t="s">
        <v>712</v>
      </c>
      <c r="D6744" s="8" t="s">
        <v>68</v>
      </c>
      <c r="E6744" s="70" t="s">
        <v>75</v>
      </c>
      <c r="F6744" s="29">
        <v>14</v>
      </c>
      <c r="G6744" s="29">
        <v>0</v>
      </c>
      <c r="H6744" s="29">
        <v>0</v>
      </c>
    </row>
    <row r="6745" spans="1:8" x14ac:dyDescent="0.4">
      <c r="A6745">
        <v>1998</v>
      </c>
      <c r="B6745" s="8" t="s">
        <v>428</v>
      </c>
      <c r="C6745" s="8" t="s">
        <v>712</v>
      </c>
      <c r="D6745" s="8" t="s">
        <v>68</v>
      </c>
      <c r="E6745" s="70" t="s">
        <v>76</v>
      </c>
      <c r="F6745" s="29">
        <v>64</v>
      </c>
      <c r="G6745" s="29">
        <v>0</v>
      </c>
      <c r="H6745" s="29">
        <v>0</v>
      </c>
    </row>
    <row r="6746" spans="1:8" x14ac:dyDescent="0.4">
      <c r="A6746">
        <v>1998</v>
      </c>
      <c r="B6746" s="8" t="s">
        <v>429</v>
      </c>
      <c r="C6746" s="8" t="s">
        <v>712</v>
      </c>
      <c r="D6746" s="8" t="s">
        <v>68</v>
      </c>
      <c r="E6746" s="70" t="s">
        <v>77</v>
      </c>
      <c r="F6746" s="29">
        <v>117</v>
      </c>
      <c r="G6746" s="29">
        <v>0</v>
      </c>
      <c r="H6746" s="29">
        <v>0</v>
      </c>
    </row>
    <row r="6747" spans="1:8" x14ac:dyDescent="0.4">
      <c r="A6747">
        <v>1998</v>
      </c>
      <c r="B6747" s="8" t="s">
        <v>430</v>
      </c>
      <c r="C6747" s="8" t="s">
        <v>712</v>
      </c>
      <c r="D6747" s="8" t="s">
        <v>68</v>
      </c>
      <c r="E6747" s="70" t="s">
        <v>51</v>
      </c>
      <c r="F6747" s="29">
        <v>6</v>
      </c>
      <c r="G6747" s="29">
        <v>0</v>
      </c>
      <c r="H6747" s="29">
        <v>0</v>
      </c>
    </row>
    <row r="6748" spans="1:8" x14ac:dyDescent="0.4">
      <c r="A6748">
        <v>1998</v>
      </c>
      <c r="B6748" s="8" t="s">
        <v>431</v>
      </c>
      <c r="C6748" s="8" t="s">
        <v>713</v>
      </c>
      <c r="D6748" s="8" t="s">
        <v>79</v>
      </c>
      <c r="E6748" s="70" t="s">
        <v>78</v>
      </c>
      <c r="F6748" s="29">
        <v>256</v>
      </c>
      <c r="G6748" s="29">
        <v>0</v>
      </c>
      <c r="H6748" s="29">
        <v>0</v>
      </c>
    </row>
    <row r="6749" spans="1:8" x14ac:dyDescent="0.4">
      <c r="A6749">
        <v>1998</v>
      </c>
      <c r="B6749" s="8" t="s">
        <v>432</v>
      </c>
      <c r="C6749" s="8" t="s">
        <v>713</v>
      </c>
      <c r="D6749" s="8" t="s">
        <v>79</v>
      </c>
      <c r="E6749" s="70" t="s">
        <v>80</v>
      </c>
      <c r="F6749" s="29">
        <v>374</v>
      </c>
      <c r="G6749" s="29">
        <v>0</v>
      </c>
      <c r="H6749" s="29">
        <v>0</v>
      </c>
    </row>
    <row r="6750" spans="1:8" x14ac:dyDescent="0.4">
      <c r="A6750">
        <v>1998</v>
      </c>
      <c r="B6750" s="8" t="s">
        <v>433</v>
      </c>
      <c r="C6750" s="8" t="s">
        <v>713</v>
      </c>
      <c r="D6750" s="8" t="s">
        <v>79</v>
      </c>
      <c r="E6750" s="70" t="s">
        <v>81</v>
      </c>
      <c r="F6750" s="29">
        <v>261</v>
      </c>
      <c r="G6750" s="29">
        <v>0</v>
      </c>
      <c r="H6750" s="29">
        <v>0</v>
      </c>
    </row>
    <row r="6751" spans="1:8" x14ac:dyDescent="0.4">
      <c r="A6751">
        <v>1998</v>
      </c>
      <c r="B6751" s="8" t="s">
        <v>434</v>
      </c>
      <c r="C6751" s="8" t="s">
        <v>713</v>
      </c>
      <c r="D6751" s="8" t="s">
        <v>79</v>
      </c>
      <c r="E6751" s="70" t="s">
        <v>82</v>
      </c>
      <c r="F6751" s="29">
        <v>383</v>
      </c>
      <c r="G6751" s="29">
        <v>0</v>
      </c>
      <c r="H6751" s="29">
        <v>0</v>
      </c>
    </row>
    <row r="6752" spans="1:8" x14ac:dyDescent="0.4">
      <c r="A6752">
        <v>1998</v>
      </c>
      <c r="B6752" s="8" t="s">
        <v>435</v>
      </c>
      <c r="C6752" s="8" t="s">
        <v>713</v>
      </c>
      <c r="D6752" s="8" t="s">
        <v>79</v>
      </c>
      <c r="E6752" s="70" t="s">
        <v>83</v>
      </c>
      <c r="F6752" s="29">
        <v>127</v>
      </c>
      <c r="G6752" s="29">
        <v>0</v>
      </c>
      <c r="H6752" s="29">
        <v>0</v>
      </c>
    </row>
    <row r="6753" spans="1:8" x14ac:dyDescent="0.4">
      <c r="A6753">
        <v>1998</v>
      </c>
      <c r="B6753" s="8" t="s">
        <v>436</v>
      </c>
      <c r="C6753" s="8" t="s">
        <v>713</v>
      </c>
      <c r="D6753" s="8" t="s">
        <v>79</v>
      </c>
      <c r="E6753" s="70" t="s">
        <v>44</v>
      </c>
      <c r="F6753" s="29">
        <v>406</v>
      </c>
      <c r="G6753" s="29">
        <v>0</v>
      </c>
      <c r="H6753" s="29">
        <v>0</v>
      </c>
    </row>
    <row r="6754" spans="1:8" x14ac:dyDescent="0.4">
      <c r="A6754">
        <v>1998</v>
      </c>
      <c r="B6754" s="8" t="s">
        <v>437</v>
      </c>
      <c r="C6754" s="8" t="s">
        <v>713</v>
      </c>
      <c r="D6754" s="8" t="s">
        <v>79</v>
      </c>
      <c r="E6754" s="70" t="s">
        <v>84</v>
      </c>
      <c r="F6754" s="29">
        <v>194</v>
      </c>
      <c r="G6754" s="29">
        <v>0</v>
      </c>
      <c r="H6754" s="29">
        <v>0</v>
      </c>
    </row>
    <row r="6755" spans="1:8" x14ac:dyDescent="0.4">
      <c r="A6755">
        <v>1998</v>
      </c>
      <c r="B6755" s="8" t="s">
        <v>438</v>
      </c>
      <c r="C6755" s="8" t="s">
        <v>713</v>
      </c>
      <c r="D6755" s="8" t="s">
        <v>79</v>
      </c>
      <c r="E6755" s="70" t="s">
        <v>85</v>
      </c>
      <c r="F6755" s="29">
        <v>63</v>
      </c>
      <c r="G6755" s="29">
        <v>0</v>
      </c>
      <c r="H6755" s="29">
        <v>0</v>
      </c>
    </row>
    <row r="6756" spans="1:8" x14ac:dyDescent="0.4">
      <c r="A6756">
        <v>1998</v>
      </c>
      <c r="B6756" s="8" t="s">
        <v>439</v>
      </c>
      <c r="C6756" s="8" t="s">
        <v>713</v>
      </c>
      <c r="D6756" s="8" t="s">
        <v>79</v>
      </c>
      <c r="E6756" s="70" t="s">
        <v>86</v>
      </c>
      <c r="F6756" s="29">
        <v>53</v>
      </c>
      <c r="G6756" s="29">
        <v>0</v>
      </c>
      <c r="H6756" s="29">
        <v>0</v>
      </c>
    </row>
    <row r="6757" spans="1:8" x14ac:dyDescent="0.4">
      <c r="A6757">
        <v>1998</v>
      </c>
      <c r="B6757" s="8" t="s">
        <v>440</v>
      </c>
      <c r="C6757" s="8" t="s">
        <v>713</v>
      </c>
      <c r="D6757" s="8" t="s">
        <v>79</v>
      </c>
      <c r="E6757" s="70" t="s">
        <v>87</v>
      </c>
      <c r="F6757" s="29">
        <v>865</v>
      </c>
      <c r="G6757" s="29">
        <v>0</v>
      </c>
      <c r="H6757" s="29">
        <v>0</v>
      </c>
    </row>
    <row r="6758" spans="1:8" x14ac:dyDescent="0.4">
      <c r="A6758">
        <v>1998</v>
      </c>
      <c r="B6758" s="8" t="s">
        <v>441</v>
      </c>
      <c r="C6758" s="8" t="s">
        <v>713</v>
      </c>
      <c r="D6758" s="8" t="s">
        <v>79</v>
      </c>
      <c r="E6758" s="70" t="s">
        <v>88</v>
      </c>
      <c r="F6758" s="29">
        <v>975</v>
      </c>
      <c r="G6758" s="29">
        <v>0</v>
      </c>
      <c r="H6758" s="29">
        <v>0</v>
      </c>
    </row>
    <row r="6759" spans="1:8" x14ac:dyDescent="0.4">
      <c r="A6759">
        <v>1998</v>
      </c>
      <c r="B6759" s="8" t="s">
        <v>442</v>
      </c>
      <c r="C6759" s="8" t="s">
        <v>713</v>
      </c>
      <c r="D6759" s="8" t="s">
        <v>79</v>
      </c>
      <c r="E6759" s="70" t="s">
        <v>89</v>
      </c>
      <c r="F6759" s="29">
        <v>92</v>
      </c>
      <c r="G6759" s="29">
        <v>0</v>
      </c>
      <c r="H6759" s="29">
        <v>0</v>
      </c>
    </row>
    <row r="6760" spans="1:8" x14ac:dyDescent="0.4">
      <c r="A6760">
        <v>1998</v>
      </c>
      <c r="B6760" s="8" t="s">
        <v>443</v>
      </c>
      <c r="C6760" s="8" t="s">
        <v>713</v>
      </c>
      <c r="D6760" s="8" t="s">
        <v>79</v>
      </c>
      <c r="E6760" s="70" t="s">
        <v>90</v>
      </c>
      <c r="F6760" s="29">
        <v>92</v>
      </c>
      <c r="G6760" s="29">
        <v>0</v>
      </c>
      <c r="H6760" s="29">
        <v>0</v>
      </c>
    </row>
    <row r="6761" spans="1:8" x14ac:dyDescent="0.4">
      <c r="A6761">
        <v>1998</v>
      </c>
      <c r="B6761" s="8" t="s">
        <v>444</v>
      </c>
      <c r="C6761" s="8" t="s">
        <v>713</v>
      </c>
      <c r="D6761" s="8" t="s">
        <v>79</v>
      </c>
      <c r="E6761" s="70" t="s">
        <v>91</v>
      </c>
      <c r="F6761" s="29">
        <v>3895</v>
      </c>
      <c r="G6761" s="29">
        <v>0</v>
      </c>
      <c r="H6761" s="29">
        <v>0</v>
      </c>
    </row>
    <row r="6762" spans="1:8" x14ac:dyDescent="0.4">
      <c r="A6762">
        <v>1998</v>
      </c>
      <c r="B6762" s="8" t="s">
        <v>445</v>
      </c>
      <c r="C6762" s="8" t="s">
        <v>714</v>
      </c>
      <c r="D6762" s="8" t="s">
        <v>93</v>
      </c>
      <c r="E6762" s="70" t="s">
        <v>92</v>
      </c>
      <c r="F6762" s="29">
        <v>34</v>
      </c>
      <c r="G6762" s="29">
        <v>0</v>
      </c>
      <c r="H6762" s="29">
        <v>0</v>
      </c>
    </row>
    <row r="6763" spans="1:8" x14ac:dyDescent="0.4">
      <c r="A6763">
        <v>1998</v>
      </c>
      <c r="B6763" s="8" t="s">
        <v>446</v>
      </c>
      <c r="C6763" s="8" t="s">
        <v>714</v>
      </c>
      <c r="D6763" s="8" t="s">
        <v>93</v>
      </c>
      <c r="E6763" s="70" t="s">
        <v>94</v>
      </c>
      <c r="F6763" s="29">
        <v>267</v>
      </c>
      <c r="G6763" s="29">
        <v>0</v>
      </c>
      <c r="H6763" s="29">
        <v>0</v>
      </c>
    </row>
    <row r="6764" spans="1:8" x14ac:dyDescent="0.4">
      <c r="A6764">
        <v>1998</v>
      </c>
      <c r="B6764" s="8" t="s">
        <v>447</v>
      </c>
      <c r="C6764" s="8" t="s">
        <v>714</v>
      </c>
      <c r="D6764" s="8" t="s">
        <v>93</v>
      </c>
      <c r="E6764" s="70" t="s">
        <v>40</v>
      </c>
      <c r="F6764" s="29">
        <v>22</v>
      </c>
      <c r="G6764" s="29">
        <v>0</v>
      </c>
      <c r="H6764" s="29">
        <v>0</v>
      </c>
    </row>
    <row r="6765" spans="1:8" x14ac:dyDescent="0.4">
      <c r="A6765">
        <v>1998</v>
      </c>
      <c r="B6765" s="8" t="s">
        <v>448</v>
      </c>
      <c r="C6765" s="8" t="s">
        <v>714</v>
      </c>
      <c r="D6765" s="8" t="s">
        <v>93</v>
      </c>
      <c r="E6765" s="70" t="s">
        <v>95</v>
      </c>
      <c r="F6765" s="29">
        <v>16</v>
      </c>
      <c r="G6765" s="29">
        <v>0</v>
      </c>
      <c r="H6765" s="29">
        <v>0</v>
      </c>
    </row>
    <row r="6766" spans="1:8" x14ac:dyDescent="0.4">
      <c r="A6766">
        <v>1998</v>
      </c>
      <c r="B6766" s="8" t="s">
        <v>449</v>
      </c>
      <c r="C6766" s="8" t="s">
        <v>714</v>
      </c>
      <c r="D6766" s="8" t="s">
        <v>93</v>
      </c>
      <c r="E6766" s="70" t="s">
        <v>96</v>
      </c>
      <c r="F6766" s="29">
        <v>51</v>
      </c>
      <c r="G6766" s="29">
        <v>0</v>
      </c>
      <c r="H6766" s="29">
        <v>0</v>
      </c>
    </row>
    <row r="6767" spans="1:8" x14ac:dyDescent="0.4">
      <c r="A6767">
        <v>1998</v>
      </c>
      <c r="B6767" s="8" t="s">
        <v>450</v>
      </c>
      <c r="C6767" s="8" t="s">
        <v>714</v>
      </c>
      <c r="D6767" s="8" t="s">
        <v>93</v>
      </c>
      <c r="E6767" s="70" t="s">
        <v>97</v>
      </c>
      <c r="F6767" s="29">
        <v>24</v>
      </c>
      <c r="G6767" s="29">
        <v>0</v>
      </c>
      <c r="H6767" s="29">
        <v>0</v>
      </c>
    </row>
    <row r="6768" spans="1:8" x14ac:dyDescent="0.4">
      <c r="A6768">
        <v>1998</v>
      </c>
      <c r="B6768" s="8" t="s">
        <v>451</v>
      </c>
      <c r="C6768" s="8" t="s">
        <v>714</v>
      </c>
      <c r="D6768" s="8" t="s">
        <v>93</v>
      </c>
      <c r="E6768" s="70" t="s">
        <v>34</v>
      </c>
      <c r="F6768" s="29">
        <v>28</v>
      </c>
      <c r="G6768" s="29">
        <v>0</v>
      </c>
      <c r="H6768" s="29">
        <v>0</v>
      </c>
    </row>
    <row r="6769" spans="1:8" x14ac:dyDescent="0.4">
      <c r="A6769">
        <v>1998</v>
      </c>
      <c r="B6769" s="8" t="s">
        <v>452</v>
      </c>
      <c r="C6769" s="8" t="s">
        <v>714</v>
      </c>
      <c r="D6769" s="8" t="s">
        <v>93</v>
      </c>
      <c r="E6769" s="70" t="s">
        <v>98</v>
      </c>
      <c r="F6769" s="29">
        <v>530</v>
      </c>
      <c r="G6769" s="29">
        <v>0</v>
      </c>
      <c r="H6769" s="29">
        <v>0</v>
      </c>
    </row>
    <row r="6770" spans="1:8" x14ac:dyDescent="0.4">
      <c r="A6770">
        <v>1998</v>
      </c>
      <c r="B6770" s="8" t="s">
        <v>453</v>
      </c>
      <c r="C6770" s="8" t="s">
        <v>714</v>
      </c>
      <c r="D6770" s="8" t="s">
        <v>93</v>
      </c>
      <c r="E6770" s="70" t="s">
        <v>99</v>
      </c>
      <c r="F6770" s="29">
        <v>91</v>
      </c>
      <c r="G6770" s="29">
        <v>0</v>
      </c>
      <c r="H6770" s="29">
        <v>0</v>
      </c>
    </row>
    <row r="6771" spans="1:8" x14ac:dyDescent="0.4">
      <c r="A6771">
        <v>1998</v>
      </c>
      <c r="B6771" s="8" t="s">
        <v>454</v>
      </c>
      <c r="C6771" s="8" t="s">
        <v>715</v>
      </c>
      <c r="D6771" s="8" t="s">
        <v>101</v>
      </c>
      <c r="E6771" s="70" t="s">
        <v>100</v>
      </c>
      <c r="F6771" s="29">
        <v>21</v>
      </c>
      <c r="G6771" s="29">
        <v>0</v>
      </c>
      <c r="H6771" s="29">
        <v>0</v>
      </c>
    </row>
    <row r="6772" spans="1:8" x14ac:dyDescent="0.4">
      <c r="A6772">
        <v>1998</v>
      </c>
      <c r="B6772" s="8" t="s">
        <v>455</v>
      </c>
      <c r="C6772" s="8" t="s">
        <v>715</v>
      </c>
      <c r="D6772" s="8" t="s">
        <v>101</v>
      </c>
      <c r="E6772" s="70" t="s">
        <v>102</v>
      </c>
      <c r="F6772" s="29">
        <v>18</v>
      </c>
      <c r="G6772" s="29">
        <v>0</v>
      </c>
      <c r="H6772" s="29">
        <v>0</v>
      </c>
    </row>
    <row r="6773" spans="1:8" x14ac:dyDescent="0.4">
      <c r="A6773">
        <v>1998</v>
      </c>
      <c r="B6773" s="8" t="s">
        <v>456</v>
      </c>
      <c r="C6773" s="8" t="s">
        <v>715</v>
      </c>
      <c r="D6773" s="8" t="s">
        <v>101</v>
      </c>
      <c r="E6773" s="70" t="s">
        <v>103</v>
      </c>
      <c r="F6773" s="29">
        <v>42</v>
      </c>
      <c r="G6773" s="29">
        <v>0</v>
      </c>
      <c r="H6773" s="29">
        <v>0</v>
      </c>
    </row>
    <row r="6774" spans="1:8" x14ac:dyDescent="0.4">
      <c r="A6774">
        <v>1998</v>
      </c>
      <c r="B6774" s="8" t="s">
        <v>457</v>
      </c>
      <c r="C6774" s="8" t="s">
        <v>715</v>
      </c>
      <c r="D6774" s="8" t="s">
        <v>101</v>
      </c>
      <c r="E6774" s="70" t="s">
        <v>104</v>
      </c>
      <c r="F6774" s="29">
        <v>293</v>
      </c>
      <c r="G6774" s="29">
        <v>0</v>
      </c>
      <c r="H6774" s="29">
        <v>0</v>
      </c>
    </row>
    <row r="6775" spans="1:8" x14ac:dyDescent="0.4">
      <c r="A6775">
        <v>1998</v>
      </c>
      <c r="B6775" s="8" t="s">
        <v>458</v>
      </c>
      <c r="C6775" s="8" t="s">
        <v>716</v>
      </c>
      <c r="D6775" s="8" t="s">
        <v>129</v>
      </c>
      <c r="E6775" s="70" t="s">
        <v>128</v>
      </c>
      <c r="F6775" s="29">
        <v>31</v>
      </c>
      <c r="G6775" s="29">
        <v>0</v>
      </c>
      <c r="H6775" s="29">
        <v>0</v>
      </c>
    </row>
    <row r="6776" spans="1:8" x14ac:dyDescent="0.4">
      <c r="A6776">
        <v>1998</v>
      </c>
      <c r="B6776" s="8" t="s">
        <v>459</v>
      </c>
      <c r="C6776" s="8" t="s">
        <v>716</v>
      </c>
      <c r="D6776" s="8" t="s">
        <v>129</v>
      </c>
      <c r="E6776" s="70" t="s">
        <v>36</v>
      </c>
      <c r="F6776" s="29">
        <v>25</v>
      </c>
      <c r="G6776" s="29">
        <v>0</v>
      </c>
      <c r="H6776" s="29">
        <v>0</v>
      </c>
    </row>
    <row r="6777" spans="1:8" x14ac:dyDescent="0.4">
      <c r="A6777">
        <v>1998</v>
      </c>
      <c r="B6777" s="8" t="s">
        <v>460</v>
      </c>
      <c r="C6777" s="8" t="s">
        <v>716</v>
      </c>
      <c r="D6777" s="8" t="s">
        <v>129</v>
      </c>
      <c r="E6777" s="70" t="s">
        <v>130</v>
      </c>
      <c r="F6777" s="29">
        <v>32</v>
      </c>
      <c r="G6777" s="29">
        <v>0</v>
      </c>
      <c r="H6777" s="29">
        <v>0</v>
      </c>
    </row>
    <row r="6778" spans="1:8" x14ac:dyDescent="0.4">
      <c r="A6778">
        <v>1998</v>
      </c>
      <c r="B6778" s="8" t="s">
        <v>461</v>
      </c>
      <c r="C6778" s="8" t="s">
        <v>716</v>
      </c>
      <c r="D6778" s="8" t="s">
        <v>129</v>
      </c>
      <c r="E6778" s="70" t="s">
        <v>131</v>
      </c>
      <c r="F6778" s="29">
        <v>0</v>
      </c>
      <c r="G6778" s="29">
        <v>0</v>
      </c>
      <c r="H6778" s="29">
        <v>0</v>
      </c>
    </row>
    <row r="6779" spans="1:8" x14ac:dyDescent="0.4">
      <c r="A6779">
        <v>1998</v>
      </c>
      <c r="B6779" s="8" t="s">
        <v>462</v>
      </c>
      <c r="C6779" s="8" t="s">
        <v>716</v>
      </c>
      <c r="D6779" s="8" t="s">
        <v>129</v>
      </c>
      <c r="E6779" s="70" t="s">
        <v>132</v>
      </c>
      <c r="F6779" s="29">
        <v>727</v>
      </c>
      <c r="G6779" s="29">
        <v>0</v>
      </c>
      <c r="H6779" s="29">
        <v>0</v>
      </c>
    </row>
    <row r="6780" spans="1:8" x14ac:dyDescent="0.4">
      <c r="A6780">
        <v>1998</v>
      </c>
      <c r="B6780" s="8" t="s">
        <v>463</v>
      </c>
      <c r="C6780" s="8" t="s">
        <v>716</v>
      </c>
      <c r="D6780" s="8" t="s">
        <v>129</v>
      </c>
      <c r="E6780" s="70" t="s">
        <v>133</v>
      </c>
      <c r="F6780" s="29">
        <v>4</v>
      </c>
      <c r="G6780" s="29">
        <v>0</v>
      </c>
      <c r="H6780" s="29">
        <v>0</v>
      </c>
    </row>
    <row r="6781" spans="1:8" x14ac:dyDescent="0.4">
      <c r="A6781">
        <v>1998</v>
      </c>
      <c r="B6781" s="8" t="s">
        <v>464</v>
      </c>
      <c r="C6781" s="8" t="s">
        <v>716</v>
      </c>
      <c r="D6781" s="8" t="s">
        <v>129</v>
      </c>
      <c r="E6781" s="70" t="s">
        <v>134</v>
      </c>
      <c r="F6781" s="29">
        <v>60</v>
      </c>
      <c r="G6781" s="29">
        <v>0</v>
      </c>
      <c r="H6781" s="29">
        <v>0</v>
      </c>
    </row>
    <row r="6782" spans="1:8" x14ac:dyDescent="0.4">
      <c r="A6782">
        <v>1998</v>
      </c>
      <c r="B6782" s="8" t="s">
        <v>465</v>
      </c>
      <c r="C6782" s="8" t="s">
        <v>716</v>
      </c>
      <c r="D6782" s="8" t="s">
        <v>129</v>
      </c>
      <c r="E6782" s="70" t="s">
        <v>135</v>
      </c>
      <c r="F6782" s="29">
        <v>18</v>
      </c>
      <c r="G6782" s="29">
        <v>0</v>
      </c>
      <c r="H6782" s="29">
        <v>0</v>
      </c>
    </row>
    <row r="6783" spans="1:8" x14ac:dyDescent="0.4">
      <c r="A6783">
        <v>1998</v>
      </c>
      <c r="B6783" s="8" t="s">
        <v>466</v>
      </c>
      <c r="C6783" s="8" t="s">
        <v>716</v>
      </c>
      <c r="D6783" s="8" t="s">
        <v>129</v>
      </c>
      <c r="E6783" s="70" t="s">
        <v>94</v>
      </c>
      <c r="F6783" s="29">
        <v>112</v>
      </c>
      <c r="G6783" s="29">
        <v>0</v>
      </c>
      <c r="H6783" s="29">
        <v>0</v>
      </c>
    </row>
    <row r="6784" spans="1:8" x14ac:dyDescent="0.4">
      <c r="A6784">
        <v>1998</v>
      </c>
      <c r="B6784" s="8" t="s">
        <v>467</v>
      </c>
      <c r="C6784" s="8" t="s">
        <v>716</v>
      </c>
      <c r="D6784" s="8" t="s">
        <v>129</v>
      </c>
      <c r="E6784" s="70" t="s">
        <v>136</v>
      </c>
      <c r="F6784" s="29">
        <v>86</v>
      </c>
      <c r="G6784" s="29">
        <v>0</v>
      </c>
      <c r="H6784" s="29">
        <v>0</v>
      </c>
    </row>
    <row r="6785" spans="1:8" x14ac:dyDescent="0.4">
      <c r="A6785">
        <v>1998</v>
      </c>
      <c r="B6785" s="8" t="s">
        <v>468</v>
      </c>
      <c r="C6785" s="8" t="s">
        <v>716</v>
      </c>
      <c r="D6785" s="8" t="s">
        <v>129</v>
      </c>
      <c r="E6785" s="70" t="s">
        <v>137</v>
      </c>
      <c r="F6785" s="29">
        <v>5</v>
      </c>
      <c r="G6785" s="29">
        <v>0</v>
      </c>
      <c r="H6785" s="29">
        <v>0</v>
      </c>
    </row>
    <row r="6786" spans="1:8" x14ac:dyDescent="0.4">
      <c r="A6786">
        <v>1998</v>
      </c>
      <c r="B6786" s="8" t="s">
        <v>469</v>
      </c>
      <c r="C6786" s="8" t="s">
        <v>716</v>
      </c>
      <c r="D6786" s="8" t="s">
        <v>129</v>
      </c>
      <c r="E6786" s="70" t="s">
        <v>138</v>
      </c>
      <c r="F6786" s="29">
        <v>72</v>
      </c>
      <c r="G6786" s="29">
        <v>0</v>
      </c>
      <c r="H6786" s="29">
        <v>0</v>
      </c>
    </row>
    <row r="6787" spans="1:8" x14ac:dyDescent="0.4">
      <c r="A6787">
        <v>1998</v>
      </c>
      <c r="B6787" s="8" t="s">
        <v>470</v>
      </c>
      <c r="C6787" s="8" t="s">
        <v>716</v>
      </c>
      <c r="D6787" s="8" t="s">
        <v>129</v>
      </c>
      <c r="E6787" s="70" t="s">
        <v>139</v>
      </c>
      <c r="F6787" s="29">
        <v>67</v>
      </c>
      <c r="G6787" s="29">
        <v>0</v>
      </c>
      <c r="H6787" s="29">
        <v>0</v>
      </c>
    </row>
    <row r="6788" spans="1:8" x14ac:dyDescent="0.4">
      <c r="A6788">
        <v>1998</v>
      </c>
      <c r="B6788" s="8" t="s">
        <v>471</v>
      </c>
      <c r="C6788" s="8" t="s">
        <v>716</v>
      </c>
      <c r="D6788" s="8" t="s">
        <v>129</v>
      </c>
      <c r="E6788" s="70" t="s">
        <v>85</v>
      </c>
      <c r="F6788" s="29">
        <v>954</v>
      </c>
      <c r="G6788" s="29">
        <v>0</v>
      </c>
      <c r="H6788" s="29">
        <v>0</v>
      </c>
    </row>
    <row r="6789" spans="1:8" x14ac:dyDescent="0.4">
      <c r="A6789">
        <v>1998</v>
      </c>
      <c r="B6789" s="8" t="s">
        <v>472</v>
      </c>
      <c r="C6789" s="8" t="s">
        <v>716</v>
      </c>
      <c r="D6789" s="8" t="s">
        <v>129</v>
      </c>
      <c r="E6789" s="70" t="s">
        <v>140</v>
      </c>
      <c r="F6789" s="29">
        <v>32</v>
      </c>
      <c r="G6789" s="29">
        <v>0</v>
      </c>
      <c r="H6789" s="29">
        <v>0</v>
      </c>
    </row>
    <row r="6790" spans="1:8" x14ac:dyDescent="0.4">
      <c r="A6790">
        <v>1998</v>
      </c>
      <c r="B6790" s="8" t="s">
        <v>473</v>
      </c>
      <c r="C6790" s="8" t="s">
        <v>716</v>
      </c>
      <c r="D6790" s="8" t="s">
        <v>129</v>
      </c>
      <c r="E6790" s="70" t="s">
        <v>141</v>
      </c>
      <c r="F6790" s="29">
        <v>4</v>
      </c>
      <c r="G6790" s="29">
        <v>0</v>
      </c>
      <c r="H6790" s="29">
        <v>0</v>
      </c>
    </row>
    <row r="6791" spans="1:8" x14ac:dyDescent="0.4">
      <c r="A6791">
        <v>1998</v>
      </c>
      <c r="B6791" s="8" t="s">
        <v>474</v>
      </c>
      <c r="C6791" s="8" t="s">
        <v>716</v>
      </c>
      <c r="D6791" s="8" t="s">
        <v>129</v>
      </c>
      <c r="E6791" s="70" t="s">
        <v>143</v>
      </c>
      <c r="F6791" s="29">
        <v>30</v>
      </c>
      <c r="G6791" s="29">
        <v>0</v>
      </c>
      <c r="H6791" s="29">
        <v>0</v>
      </c>
    </row>
    <row r="6792" spans="1:8" x14ac:dyDescent="0.4">
      <c r="A6792">
        <v>1998</v>
      </c>
      <c r="B6792" s="8" t="s">
        <v>475</v>
      </c>
      <c r="C6792" s="8" t="s">
        <v>716</v>
      </c>
      <c r="D6792" s="8" t="s">
        <v>129</v>
      </c>
      <c r="E6792" s="70" t="s">
        <v>21</v>
      </c>
      <c r="F6792" s="29">
        <v>39</v>
      </c>
      <c r="G6792" s="29">
        <v>0</v>
      </c>
      <c r="H6792" s="29">
        <v>0</v>
      </c>
    </row>
    <row r="6793" spans="1:8" x14ac:dyDescent="0.4">
      <c r="A6793">
        <v>1998</v>
      </c>
      <c r="B6793" s="8" t="s">
        <v>476</v>
      </c>
      <c r="C6793" s="8" t="s">
        <v>716</v>
      </c>
      <c r="D6793" s="8" t="s">
        <v>129</v>
      </c>
      <c r="E6793" s="70" t="s">
        <v>144</v>
      </c>
      <c r="F6793" s="29">
        <v>14</v>
      </c>
      <c r="G6793" s="29">
        <v>0</v>
      </c>
      <c r="H6793" s="29">
        <v>0</v>
      </c>
    </row>
    <row r="6794" spans="1:8" x14ac:dyDescent="0.4">
      <c r="A6794">
        <v>1998</v>
      </c>
      <c r="B6794" s="8" t="s">
        <v>477</v>
      </c>
      <c r="C6794" s="8" t="s">
        <v>716</v>
      </c>
      <c r="D6794" s="8" t="s">
        <v>129</v>
      </c>
      <c r="E6794" s="70" t="s">
        <v>145</v>
      </c>
      <c r="F6794" s="29">
        <v>96</v>
      </c>
      <c r="G6794" s="29">
        <v>0</v>
      </c>
      <c r="H6794" s="29">
        <v>0</v>
      </c>
    </row>
    <row r="6795" spans="1:8" x14ac:dyDescent="0.4">
      <c r="A6795">
        <v>1998</v>
      </c>
      <c r="B6795" s="8" t="s">
        <v>478</v>
      </c>
      <c r="C6795" s="8" t="s">
        <v>716</v>
      </c>
      <c r="D6795" s="8" t="s">
        <v>129</v>
      </c>
      <c r="E6795" s="70" t="s">
        <v>51</v>
      </c>
      <c r="F6795" s="29">
        <v>8</v>
      </c>
      <c r="G6795" s="29">
        <v>0</v>
      </c>
      <c r="H6795" s="29">
        <v>0</v>
      </c>
    </row>
    <row r="6796" spans="1:8" x14ac:dyDescent="0.4">
      <c r="A6796">
        <v>1998</v>
      </c>
      <c r="B6796" s="8" t="s">
        <v>479</v>
      </c>
      <c r="C6796" s="8" t="s">
        <v>716</v>
      </c>
      <c r="D6796" s="8" t="s">
        <v>129</v>
      </c>
      <c r="E6796" s="70" t="s">
        <v>146</v>
      </c>
      <c r="F6796" s="29">
        <v>24</v>
      </c>
      <c r="G6796" s="29">
        <v>0</v>
      </c>
      <c r="H6796" s="29">
        <v>0</v>
      </c>
    </row>
    <row r="6797" spans="1:8" x14ac:dyDescent="0.4">
      <c r="A6797">
        <v>1998</v>
      </c>
      <c r="B6797" s="8" t="s">
        <v>480</v>
      </c>
      <c r="C6797" s="8" t="s">
        <v>716</v>
      </c>
      <c r="D6797" s="8" t="s">
        <v>129</v>
      </c>
      <c r="E6797" s="70" t="s">
        <v>147</v>
      </c>
      <c r="F6797" s="29">
        <v>19</v>
      </c>
      <c r="G6797" s="29">
        <v>0</v>
      </c>
      <c r="H6797" s="29">
        <v>0</v>
      </c>
    </row>
    <row r="6798" spans="1:8" x14ac:dyDescent="0.4">
      <c r="A6798">
        <v>1998</v>
      </c>
      <c r="B6798" s="8" t="s">
        <v>481</v>
      </c>
      <c r="C6798" s="8" t="s">
        <v>716</v>
      </c>
      <c r="D6798" s="8" t="s">
        <v>129</v>
      </c>
      <c r="E6798" s="70" t="s">
        <v>148</v>
      </c>
      <c r="F6798" s="29">
        <v>13</v>
      </c>
      <c r="G6798" s="29">
        <v>0</v>
      </c>
      <c r="H6798" s="29">
        <v>0</v>
      </c>
    </row>
    <row r="6799" spans="1:8" x14ac:dyDescent="0.4">
      <c r="A6799">
        <v>1998</v>
      </c>
      <c r="B6799" s="8" t="s">
        <v>482</v>
      </c>
      <c r="C6799" s="8" t="s">
        <v>716</v>
      </c>
      <c r="D6799" s="8" t="s">
        <v>129</v>
      </c>
      <c r="E6799" s="70" t="s">
        <v>54</v>
      </c>
      <c r="F6799" s="29">
        <v>75</v>
      </c>
      <c r="G6799" s="29">
        <v>0</v>
      </c>
      <c r="H6799" s="29">
        <v>0</v>
      </c>
    </row>
    <row r="6800" spans="1:8" x14ac:dyDescent="0.4">
      <c r="A6800">
        <v>1998</v>
      </c>
      <c r="B6800" s="8" t="s">
        <v>483</v>
      </c>
      <c r="C6800" s="8" t="s">
        <v>717</v>
      </c>
      <c r="D6800" s="8" t="s">
        <v>150</v>
      </c>
      <c r="E6800" s="70" t="s">
        <v>149</v>
      </c>
      <c r="F6800" s="29">
        <v>49</v>
      </c>
      <c r="G6800" s="29">
        <v>0</v>
      </c>
      <c r="H6800" s="29">
        <v>0</v>
      </c>
    </row>
    <row r="6801" spans="1:8" x14ac:dyDescent="0.4">
      <c r="A6801">
        <v>1998</v>
      </c>
      <c r="B6801" s="8" t="s">
        <v>484</v>
      </c>
      <c r="C6801" s="8" t="s">
        <v>717</v>
      </c>
      <c r="D6801" s="8" t="s">
        <v>150</v>
      </c>
      <c r="E6801" s="70" t="s">
        <v>151</v>
      </c>
      <c r="F6801" s="29">
        <v>32</v>
      </c>
      <c r="G6801" s="29">
        <v>0</v>
      </c>
      <c r="H6801" s="29">
        <v>0</v>
      </c>
    </row>
    <row r="6802" spans="1:8" x14ac:dyDescent="0.4">
      <c r="A6802">
        <v>1998</v>
      </c>
      <c r="B6802" s="8" t="s">
        <v>485</v>
      </c>
      <c r="C6802" s="8" t="s">
        <v>717</v>
      </c>
      <c r="D6802" s="8" t="s">
        <v>150</v>
      </c>
      <c r="E6802" s="70" t="s">
        <v>152</v>
      </c>
      <c r="F6802" s="29">
        <v>36</v>
      </c>
      <c r="G6802" s="29">
        <v>0</v>
      </c>
      <c r="H6802" s="29">
        <v>0</v>
      </c>
    </row>
    <row r="6803" spans="1:8" x14ac:dyDescent="0.4">
      <c r="A6803">
        <v>1998</v>
      </c>
      <c r="B6803" s="8" t="s">
        <v>486</v>
      </c>
      <c r="C6803" s="8" t="s">
        <v>717</v>
      </c>
      <c r="D6803" s="8" t="s">
        <v>150</v>
      </c>
      <c r="E6803" s="70" t="s">
        <v>153</v>
      </c>
      <c r="F6803" s="29">
        <v>17</v>
      </c>
      <c r="G6803" s="29">
        <v>0</v>
      </c>
      <c r="H6803" s="29">
        <v>0</v>
      </c>
    </row>
    <row r="6804" spans="1:8" x14ac:dyDescent="0.4">
      <c r="A6804">
        <v>1998</v>
      </c>
      <c r="B6804" s="8" t="s">
        <v>487</v>
      </c>
      <c r="C6804" s="8" t="s">
        <v>717</v>
      </c>
      <c r="D6804" s="8" t="s">
        <v>150</v>
      </c>
      <c r="E6804" s="70" t="s">
        <v>154</v>
      </c>
      <c r="F6804" s="29">
        <v>501</v>
      </c>
      <c r="G6804" s="29">
        <v>0</v>
      </c>
      <c r="H6804" s="29">
        <v>0</v>
      </c>
    </row>
    <row r="6805" spans="1:8" x14ac:dyDescent="0.4">
      <c r="A6805">
        <v>1998</v>
      </c>
      <c r="B6805" s="8" t="s">
        <v>488</v>
      </c>
      <c r="C6805" s="8" t="s">
        <v>717</v>
      </c>
      <c r="D6805" s="8" t="s">
        <v>150</v>
      </c>
      <c r="E6805" s="70" t="s">
        <v>155</v>
      </c>
      <c r="F6805" s="29">
        <v>74</v>
      </c>
      <c r="G6805" s="29">
        <v>0</v>
      </c>
      <c r="H6805" s="29">
        <v>0</v>
      </c>
    </row>
    <row r="6806" spans="1:8" x14ac:dyDescent="0.4">
      <c r="A6806">
        <v>1998</v>
      </c>
      <c r="B6806" s="8" t="s">
        <v>489</v>
      </c>
      <c r="C6806" s="8" t="s">
        <v>717</v>
      </c>
      <c r="D6806" s="8" t="s">
        <v>150</v>
      </c>
      <c r="E6806" s="70" t="s">
        <v>156</v>
      </c>
      <c r="F6806" s="29">
        <v>116</v>
      </c>
      <c r="G6806" s="29">
        <v>0</v>
      </c>
      <c r="H6806" s="29">
        <v>0</v>
      </c>
    </row>
    <row r="6807" spans="1:8" x14ac:dyDescent="0.4">
      <c r="A6807">
        <v>1998</v>
      </c>
      <c r="B6807" s="8" t="s">
        <v>490</v>
      </c>
      <c r="C6807" s="8" t="s">
        <v>717</v>
      </c>
      <c r="D6807" s="8" t="s">
        <v>150</v>
      </c>
      <c r="E6807" s="70" t="s">
        <v>85</v>
      </c>
      <c r="F6807" s="29">
        <v>465</v>
      </c>
      <c r="G6807" s="29">
        <v>0</v>
      </c>
      <c r="H6807" s="29">
        <v>0</v>
      </c>
    </row>
    <row r="6808" spans="1:8" x14ac:dyDescent="0.4">
      <c r="A6808">
        <v>1998</v>
      </c>
      <c r="B6808" s="8" t="s">
        <v>491</v>
      </c>
      <c r="C6808" s="8" t="s">
        <v>717</v>
      </c>
      <c r="D6808" s="8" t="s">
        <v>150</v>
      </c>
      <c r="E6808" s="70" t="s">
        <v>157</v>
      </c>
      <c r="F6808" s="29">
        <v>281</v>
      </c>
      <c r="G6808" s="29">
        <v>0</v>
      </c>
      <c r="H6808" s="29">
        <v>0</v>
      </c>
    </row>
    <row r="6809" spans="1:8" x14ac:dyDescent="0.4">
      <c r="A6809">
        <v>1998</v>
      </c>
      <c r="B6809" s="8" t="s">
        <v>492</v>
      </c>
      <c r="C6809" s="8" t="s">
        <v>717</v>
      </c>
      <c r="D6809" s="8" t="s">
        <v>150</v>
      </c>
      <c r="E6809" s="70" t="s">
        <v>158</v>
      </c>
      <c r="F6809" s="29">
        <v>40</v>
      </c>
      <c r="G6809" s="29">
        <v>0</v>
      </c>
      <c r="H6809" s="29">
        <v>0</v>
      </c>
    </row>
    <row r="6810" spans="1:8" x14ac:dyDescent="0.4">
      <c r="A6810">
        <v>1998</v>
      </c>
      <c r="B6810" s="8" t="s">
        <v>493</v>
      </c>
      <c r="C6810" s="8" t="s">
        <v>717</v>
      </c>
      <c r="D6810" s="8" t="s">
        <v>150</v>
      </c>
      <c r="E6810" s="70" t="s">
        <v>159</v>
      </c>
      <c r="F6810" s="29">
        <v>61</v>
      </c>
      <c r="G6810" s="29">
        <v>0</v>
      </c>
      <c r="H6810" s="29">
        <v>0</v>
      </c>
    </row>
    <row r="6811" spans="1:8" x14ac:dyDescent="0.4">
      <c r="A6811">
        <v>1998</v>
      </c>
      <c r="B6811" s="8" t="s">
        <v>494</v>
      </c>
      <c r="C6811" s="8" t="s">
        <v>717</v>
      </c>
      <c r="D6811" s="8" t="s">
        <v>150</v>
      </c>
      <c r="E6811" s="70" t="s">
        <v>76</v>
      </c>
      <c r="F6811" s="29">
        <v>541</v>
      </c>
      <c r="G6811" s="29">
        <v>0</v>
      </c>
      <c r="H6811" s="29">
        <v>0</v>
      </c>
    </row>
    <row r="6812" spans="1:8" x14ac:dyDescent="0.4">
      <c r="A6812">
        <v>1998</v>
      </c>
      <c r="B6812" s="8" t="s">
        <v>495</v>
      </c>
      <c r="C6812" s="8" t="s">
        <v>717</v>
      </c>
      <c r="D6812" s="8" t="s">
        <v>150</v>
      </c>
      <c r="E6812" s="70" t="s">
        <v>160</v>
      </c>
      <c r="F6812" s="29">
        <v>18</v>
      </c>
      <c r="G6812" s="29">
        <v>0</v>
      </c>
      <c r="H6812" s="29">
        <v>0</v>
      </c>
    </row>
    <row r="6813" spans="1:8" x14ac:dyDescent="0.4">
      <c r="A6813">
        <v>1998</v>
      </c>
      <c r="B6813" s="8" t="s">
        <v>496</v>
      </c>
      <c r="C6813" s="8" t="s">
        <v>717</v>
      </c>
      <c r="D6813" s="8" t="s">
        <v>150</v>
      </c>
      <c r="E6813" s="70" t="s">
        <v>161</v>
      </c>
      <c r="F6813" s="29">
        <v>21</v>
      </c>
      <c r="G6813" s="29">
        <v>0</v>
      </c>
      <c r="H6813" s="29">
        <v>0</v>
      </c>
    </row>
    <row r="6814" spans="1:8" x14ac:dyDescent="0.4">
      <c r="A6814">
        <v>1998</v>
      </c>
      <c r="B6814" s="8" t="s">
        <v>497</v>
      </c>
      <c r="C6814" s="8" t="s">
        <v>717</v>
      </c>
      <c r="D6814" s="8" t="s">
        <v>150</v>
      </c>
      <c r="E6814" s="70" t="s">
        <v>162</v>
      </c>
      <c r="F6814" s="29">
        <v>203</v>
      </c>
      <c r="G6814" s="29">
        <v>0</v>
      </c>
      <c r="H6814" s="29">
        <v>0</v>
      </c>
    </row>
    <row r="6815" spans="1:8" x14ac:dyDescent="0.4">
      <c r="A6815">
        <v>1998</v>
      </c>
      <c r="B6815" s="8" t="s">
        <v>498</v>
      </c>
      <c r="C6815" s="8" t="s">
        <v>718</v>
      </c>
      <c r="D6815" s="8" t="s">
        <v>164</v>
      </c>
      <c r="E6815" s="70" t="s">
        <v>163</v>
      </c>
      <c r="F6815" s="29">
        <v>125</v>
      </c>
      <c r="G6815" s="29">
        <v>0</v>
      </c>
      <c r="H6815" s="29">
        <v>0</v>
      </c>
    </row>
    <row r="6816" spans="1:8" x14ac:dyDescent="0.4">
      <c r="A6816">
        <v>1998</v>
      </c>
      <c r="B6816" s="8" t="s">
        <v>499</v>
      </c>
      <c r="C6816" s="8" t="s">
        <v>718</v>
      </c>
      <c r="D6816" s="8" t="s">
        <v>164</v>
      </c>
      <c r="E6816" s="70" t="s">
        <v>165</v>
      </c>
      <c r="F6816" s="29">
        <v>126</v>
      </c>
      <c r="G6816" s="29">
        <v>0</v>
      </c>
      <c r="H6816" s="29">
        <v>0</v>
      </c>
    </row>
    <row r="6817" spans="1:8" x14ac:dyDescent="0.4">
      <c r="A6817">
        <v>1998</v>
      </c>
      <c r="B6817" s="8" t="s">
        <v>500</v>
      </c>
      <c r="C6817" s="8" t="s">
        <v>718</v>
      </c>
      <c r="D6817" s="8" t="s">
        <v>164</v>
      </c>
      <c r="E6817" s="70" t="s">
        <v>166</v>
      </c>
      <c r="F6817" s="29">
        <v>4733</v>
      </c>
      <c r="G6817" s="29">
        <v>0</v>
      </c>
      <c r="H6817" s="29">
        <v>0</v>
      </c>
    </row>
    <row r="6818" spans="1:8" x14ac:dyDescent="0.4">
      <c r="A6818">
        <v>1998</v>
      </c>
      <c r="B6818" s="8" t="s">
        <v>501</v>
      </c>
      <c r="C6818" s="8" t="s">
        <v>718</v>
      </c>
      <c r="D6818" s="8" t="s">
        <v>164</v>
      </c>
      <c r="E6818" s="70" t="s">
        <v>167</v>
      </c>
      <c r="F6818" s="29">
        <v>222</v>
      </c>
      <c r="G6818" s="29">
        <v>0</v>
      </c>
      <c r="H6818" s="29">
        <v>0</v>
      </c>
    </row>
    <row r="6819" spans="1:8" x14ac:dyDescent="0.4">
      <c r="A6819">
        <v>1998</v>
      </c>
      <c r="B6819" s="8" t="s">
        <v>502</v>
      </c>
      <c r="C6819" s="8" t="s">
        <v>718</v>
      </c>
      <c r="D6819" s="8" t="s">
        <v>164</v>
      </c>
      <c r="E6819" s="70" t="s">
        <v>168</v>
      </c>
      <c r="F6819" s="29">
        <v>359</v>
      </c>
      <c r="G6819" s="29">
        <v>0</v>
      </c>
      <c r="H6819" s="29">
        <v>0</v>
      </c>
    </row>
    <row r="6820" spans="1:8" x14ac:dyDescent="0.4">
      <c r="A6820">
        <v>1998</v>
      </c>
      <c r="B6820" s="8" t="s">
        <v>503</v>
      </c>
      <c r="C6820" s="8" t="s">
        <v>718</v>
      </c>
      <c r="D6820" s="8" t="s">
        <v>164</v>
      </c>
      <c r="E6820" s="70" t="s">
        <v>169</v>
      </c>
      <c r="F6820" s="29">
        <v>200</v>
      </c>
      <c r="G6820" s="29">
        <v>0</v>
      </c>
      <c r="H6820" s="29">
        <v>0</v>
      </c>
    </row>
    <row r="6821" spans="1:8" x14ac:dyDescent="0.4">
      <c r="A6821">
        <v>1998</v>
      </c>
      <c r="B6821" s="8" t="s">
        <v>504</v>
      </c>
      <c r="C6821" s="8" t="s">
        <v>718</v>
      </c>
      <c r="D6821" s="8" t="s">
        <v>164</v>
      </c>
      <c r="E6821" s="70" t="s">
        <v>170</v>
      </c>
      <c r="F6821" s="29">
        <v>16</v>
      </c>
      <c r="G6821" s="29">
        <v>0</v>
      </c>
      <c r="H6821" s="29">
        <v>0</v>
      </c>
    </row>
    <row r="6822" spans="1:8" x14ac:dyDescent="0.4">
      <c r="A6822">
        <v>1998</v>
      </c>
      <c r="B6822" s="8" t="s">
        <v>505</v>
      </c>
      <c r="C6822" s="8" t="s">
        <v>718</v>
      </c>
      <c r="D6822" s="8" t="s">
        <v>164</v>
      </c>
      <c r="E6822" s="70" t="s">
        <v>171</v>
      </c>
      <c r="F6822" s="29">
        <v>633</v>
      </c>
      <c r="G6822" s="29">
        <v>0</v>
      </c>
      <c r="H6822" s="29">
        <v>0</v>
      </c>
    </row>
    <row r="6823" spans="1:8" x14ac:dyDescent="0.4">
      <c r="A6823">
        <v>1998</v>
      </c>
      <c r="B6823" s="8" t="s">
        <v>506</v>
      </c>
      <c r="C6823" s="8" t="s">
        <v>718</v>
      </c>
      <c r="D6823" s="8" t="s">
        <v>164</v>
      </c>
      <c r="E6823" s="70" t="s">
        <v>53</v>
      </c>
      <c r="F6823" s="29">
        <v>115</v>
      </c>
      <c r="G6823" s="29">
        <v>0</v>
      </c>
      <c r="H6823" s="29">
        <v>0</v>
      </c>
    </row>
    <row r="6824" spans="1:8" x14ac:dyDescent="0.4">
      <c r="A6824">
        <v>1998</v>
      </c>
      <c r="B6824" s="8" t="s">
        <v>507</v>
      </c>
      <c r="C6824" s="8" t="s">
        <v>719</v>
      </c>
      <c r="D6824" s="8" t="s">
        <v>173</v>
      </c>
      <c r="E6824" s="70" t="s">
        <v>172</v>
      </c>
      <c r="F6824" s="29">
        <v>534</v>
      </c>
      <c r="G6824" s="29">
        <v>0</v>
      </c>
      <c r="H6824" s="29">
        <v>0</v>
      </c>
    </row>
    <row r="6825" spans="1:8" x14ac:dyDescent="0.4">
      <c r="A6825">
        <v>1998</v>
      </c>
      <c r="B6825" s="8" t="s">
        <v>508</v>
      </c>
      <c r="C6825" s="8" t="s">
        <v>719</v>
      </c>
      <c r="D6825" s="8" t="s">
        <v>173</v>
      </c>
      <c r="E6825" s="70" t="s">
        <v>174</v>
      </c>
      <c r="F6825" s="29">
        <v>39</v>
      </c>
      <c r="G6825" s="29">
        <v>0</v>
      </c>
      <c r="H6825" s="29">
        <v>0</v>
      </c>
    </row>
    <row r="6826" spans="1:8" x14ac:dyDescent="0.4">
      <c r="A6826">
        <v>1998</v>
      </c>
      <c r="B6826" s="8" t="s">
        <v>509</v>
      </c>
      <c r="C6826" s="8" t="s">
        <v>719</v>
      </c>
      <c r="D6826" s="8" t="s">
        <v>173</v>
      </c>
      <c r="E6826" s="70" t="s">
        <v>175</v>
      </c>
      <c r="F6826" s="29">
        <v>89</v>
      </c>
      <c r="G6826" s="29">
        <v>0</v>
      </c>
      <c r="H6826" s="29">
        <v>0</v>
      </c>
    </row>
    <row r="6827" spans="1:8" x14ac:dyDescent="0.4">
      <c r="A6827">
        <v>1998</v>
      </c>
      <c r="B6827" s="8" t="s">
        <v>510</v>
      </c>
      <c r="C6827" s="8" t="s">
        <v>719</v>
      </c>
      <c r="D6827" s="8" t="s">
        <v>173</v>
      </c>
      <c r="E6827" s="70" t="s">
        <v>176</v>
      </c>
      <c r="F6827" s="29">
        <v>19</v>
      </c>
      <c r="G6827" s="29">
        <v>0</v>
      </c>
      <c r="H6827" s="29">
        <v>0</v>
      </c>
    </row>
    <row r="6828" spans="1:8" x14ac:dyDescent="0.4">
      <c r="A6828">
        <v>1998</v>
      </c>
      <c r="B6828" s="8" t="s">
        <v>511</v>
      </c>
      <c r="C6828" s="8" t="s">
        <v>719</v>
      </c>
      <c r="D6828" s="8" t="s">
        <v>173</v>
      </c>
      <c r="E6828" s="70" t="s">
        <v>177</v>
      </c>
      <c r="F6828" s="29">
        <v>55</v>
      </c>
      <c r="G6828" s="29">
        <v>0</v>
      </c>
      <c r="H6828" s="29">
        <v>0</v>
      </c>
    </row>
    <row r="6829" spans="1:8" x14ac:dyDescent="0.4">
      <c r="A6829">
        <v>1998</v>
      </c>
      <c r="B6829" s="8" t="s">
        <v>512</v>
      </c>
      <c r="C6829" s="8" t="s">
        <v>719</v>
      </c>
      <c r="D6829" s="8" t="s">
        <v>173</v>
      </c>
      <c r="E6829" s="70" t="s">
        <v>178</v>
      </c>
      <c r="F6829" s="29">
        <v>220</v>
      </c>
      <c r="G6829" s="29">
        <v>0</v>
      </c>
      <c r="H6829" s="29">
        <v>0</v>
      </c>
    </row>
    <row r="6830" spans="1:8" x14ac:dyDescent="0.4">
      <c r="A6830">
        <v>1998</v>
      </c>
      <c r="B6830" s="8" t="s">
        <v>513</v>
      </c>
      <c r="C6830" s="8" t="s">
        <v>719</v>
      </c>
      <c r="D6830" s="8" t="s">
        <v>173</v>
      </c>
      <c r="E6830" s="70" t="s">
        <v>179</v>
      </c>
      <c r="F6830" s="29">
        <v>38</v>
      </c>
      <c r="G6830" s="29">
        <v>0</v>
      </c>
      <c r="H6830" s="29">
        <v>0</v>
      </c>
    </row>
    <row r="6831" spans="1:8" x14ac:dyDescent="0.4">
      <c r="A6831">
        <v>1998</v>
      </c>
      <c r="B6831" s="8" t="s">
        <v>514</v>
      </c>
      <c r="C6831" s="8" t="s">
        <v>719</v>
      </c>
      <c r="D6831" s="8" t="s">
        <v>173</v>
      </c>
      <c r="E6831" s="70" t="s">
        <v>180</v>
      </c>
      <c r="F6831" s="29">
        <v>93</v>
      </c>
      <c r="G6831" s="29">
        <v>0</v>
      </c>
      <c r="H6831" s="29">
        <v>0</v>
      </c>
    </row>
    <row r="6832" spans="1:8" x14ac:dyDescent="0.4">
      <c r="A6832">
        <v>1998</v>
      </c>
      <c r="B6832" s="8" t="s">
        <v>515</v>
      </c>
      <c r="C6832" s="8" t="s">
        <v>719</v>
      </c>
      <c r="D6832" s="8" t="s">
        <v>173</v>
      </c>
      <c r="E6832" s="70" t="s">
        <v>181</v>
      </c>
      <c r="F6832" s="29">
        <v>38</v>
      </c>
      <c r="G6832" s="29">
        <v>0</v>
      </c>
      <c r="H6832" s="29">
        <v>0</v>
      </c>
    </row>
    <row r="6833" spans="1:8" x14ac:dyDescent="0.4">
      <c r="A6833">
        <v>1998</v>
      </c>
      <c r="B6833" s="8" t="s">
        <v>516</v>
      </c>
      <c r="C6833" s="8" t="s">
        <v>719</v>
      </c>
      <c r="D6833" s="8" t="s">
        <v>173</v>
      </c>
      <c r="E6833" s="70" t="s">
        <v>182</v>
      </c>
      <c r="F6833" s="29">
        <v>43</v>
      </c>
      <c r="G6833" s="29">
        <v>0</v>
      </c>
      <c r="H6833" s="29">
        <v>0</v>
      </c>
    </row>
    <row r="6834" spans="1:8" x14ac:dyDescent="0.4">
      <c r="A6834">
        <v>1998</v>
      </c>
      <c r="B6834" s="8" t="s">
        <v>517</v>
      </c>
      <c r="C6834" s="8" t="s">
        <v>719</v>
      </c>
      <c r="D6834" s="8" t="s">
        <v>173</v>
      </c>
      <c r="E6834" s="70" t="s">
        <v>183</v>
      </c>
      <c r="F6834" s="29">
        <v>22</v>
      </c>
      <c r="G6834" s="29">
        <v>0</v>
      </c>
      <c r="H6834" s="29">
        <v>0</v>
      </c>
    </row>
    <row r="6835" spans="1:8" x14ac:dyDescent="0.4">
      <c r="A6835">
        <v>1998</v>
      </c>
      <c r="B6835" s="8" t="s">
        <v>518</v>
      </c>
      <c r="C6835" s="8" t="s">
        <v>719</v>
      </c>
      <c r="D6835" s="8" t="s">
        <v>173</v>
      </c>
      <c r="E6835" s="70" t="s">
        <v>44</v>
      </c>
      <c r="F6835" s="29">
        <v>1499</v>
      </c>
      <c r="G6835" s="29">
        <v>0</v>
      </c>
      <c r="H6835" s="29">
        <v>0</v>
      </c>
    </row>
    <row r="6836" spans="1:8" x14ac:dyDescent="0.4">
      <c r="A6836">
        <v>1998</v>
      </c>
      <c r="B6836" s="8" t="s">
        <v>519</v>
      </c>
      <c r="C6836" s="8" t="s">
        <v>719</v>
      </c>
      <c r="D6836" s="8" t="s">
        <v>173</v>
      </c>
      <c r="E6836" s="70" t="s">
        <v>85</v>
      </c>
      <c r="F6836" s="29">
        <v>98</v>
      </c>
      <c r="G6836" s="29">
        <v>0</v>
      </c>
      <c r="H6836" s="29">
        <v>0</v>
      </c>
    </row>
    <row r="6837" spans="1:8" x14ac:dyDescent="0.4">
      <c r="A6837">
        <v>1998</v>
      </c>
      <c r="B6837" s="8" t="s">
        <v>520</v>
      </c>
      <c r="C6837" s="8" t="s">
        <v>719</v>
      </c>
      <c r="D6837" s="8" t="s">
        <v>173</v>
      </c>
      <c r="E6837" s="70" t="s">
        <v>184</v>
      </c>
      <c r="F6837" s="29">
        <v>80</v>
      </c>
      <c r="G6837" s="29">
        <v>0</v>
      </c>
      <c r="H6837" s="29">
        <v>0</v>
      </c>
    </row>
    <row r="6838" spans="1:8" x14ac:dyDescent="0.4">
      <c r="A6838">
        <v>1998</v>
      </c>
      <c r="B6838" s="8" t="s">
        <v>521</v>
      </c>
      <c r="C6838" s="8" t="s">
        <v>719</v>
      </c>
      <c r="D6838" s="8" t="s">
        <v>173</v>
      </c>
      <c r="E6838" s="70" t="s">
        <v>185</v>
      </c>
      <c r="F6838" s="29">
        <v>2</v>
      </c>
      <c r="G6838" s="29">
        <v>0</v>
      </c>
      <c r="H6838" s="29">
        <v>0</v>
      </c>
    </row>
    <row r="6839" spans="1:8" x14ac:dyDescent="0.4">
      <c r="A6839">
        <v>1998</v>
      </c>
      <c r="B6839" s="8" t="s">
        <v>522</v>
      </c>
      <c r="C6839" s="8" t="s">
        <v>719</v>
      </c>
      <c r="D6839" s="8" t="s">
        <v>173</v>
      </c>
      <c r="E6839" s="70" t="s">
        <v>186</v>
      </c>
      <c r="F6839" s="29">
        <v>39</v>
      </c>
      <c r="G6839" s="29">
        <v>0</v>
      </c>
      <c r="H6839" s="29">
        <v>0</v>
      </c>
    </row>
    <row r="6840" spans="1:8" x14ac:dyDescent="0.4">
      <c r="A6840">
        <v>1998</v>
      </c>
      <c r="B6840" s="8" t="s">
        <v>523</v>
      </c>
      <c r="C6840" s="8" t="s">
        <v>719</v>
      </c>
      <c r="D6840" s="8" t="s">
        <v>173</v>
      </c>
      <c r="E6840" s="70" t="s">
        <v>187</v>
      </c>
      <c r="F6840" s="29">
        <v>73</v>
      </c>
      <c r="G6840" s="29">
        <v>0</v>
      </c>
      <c r="H6840" s="29">
        <v>0</v>
      </c>
    </row>
    <row r="6841" spans="1:8" x14ac:dyDescent="0.4">
      <c r="A6841">
        <v>1998</v>
      </c>
      <c r="B6841" s="8" t="s">
        <v>524</v>
      </c>
      <c r="C6841" s="8" t="s">
        <v>719</v>
      </c>
      <c r="D6841" s="8" t="s">
        <v>173</v>
      </c>
      <c r="E6841" s="70" t="s">
        <v>188</v>
      </c>
      <c r="F6841" s="29">
        <v>52</v>
      </c>
      <c r="G6841" s="29">
        <v>0</v>
      </c>
      <c r="H6841" s="29">
        <v>0</v>
      </c>
    </row>
    <row r="6842" spans="1:8" x14ac:dyDescent="0.4">
      <c r="A6842">
        <v>1998</v>
      </c>
      <c r="B6842" s="8" t="s">
        <v>525</v>
      </c>
      <c r="C6842" s="8" t="s">
        <v>719</v>
      </c>
      <c r="D6842" s="8" t="s">
        <v>173</v>
      </c>
      <c r="E6842" s="70" t="s">
        <v>189</v>
      </c>
      <c r="F6842" s="29">
        <v>44</v>
      </c>
      <c r="G6842" s="29">
        <v>0</v>
      </c>
      <c r="H6842" s="29">
        <v>0</v>
      </c>
    </row>
    <row r="6843" spans="1:8" x14ac:dyDescent="0.4">
      <c r="A6843">
        <v>1998</v>
      </c>
      <c r="B6843" s="8" t="s">
        <v>526</v>
      </c>
      <c r="C6843" s="8" t="s">
        <v>719</v>
      </c>
      <c r="D6843" s="8" t="s">
        <v>173</v>
      </c>
      <c r="E6843" s="70" t="s">
        <v>51</v>
      </c>
      <c r="F6843" s="29">
        <v>189</v>
      </c>
      <c r="G6843" s="29">
        <v>0</v>
      </c>
      <c r="H6843" s="29">
        <v>0</v>
      </c>
    </row>
    <row r="6844" spans="1:8" x14ac:dyDescent="0.4">
      <c r="A6844">
        <v>1998</v>
      </c>
      <c r="B6844" s="8" t="s">
        <v>527</v>
      </c>
      <c r="C6844" s="8" t="s">
        <v>719</v>
      </c>
      <c r="D6844" s="8" t="s">
        <v>173</v>
      </c>
      <c r="E6844" s="70" t="s">
        <v>52</v>
      </c>
      <c r="F6844" s="29">
        <v>191</v>
      </c>
      <c r="G6844" s="29">
        <v>0</v>
      </c>
      <c r="H6844" s="29">
        <v>0</v>
      </c>
    </row>
    <row r="6845" spans="1:8" x14ac:dyDescent="0.4">
      <c r="A6845">
        <v>1998</v>
      </c>
      <c r="B6845" s="8" t="s">
        <v>528</v>
      </c>
      <c r="C6845" s="8" t="s">
        <v>719</v>
      </c>
      <c r="D6845" s="8" t="s">
        <v>173</v>
      </c>
      <c r="E6845" s="70" t="s">
        <v>190</v>
      </c>
      <c r="F6845" s="29">
        <v>100</v>
      </c>
      <c r="G6845" s="29">
        <v>0</v>
      </c>
      <c r="H6845" s="29">
        <v>0</v>
      </c>
    </row>
    <row r="6846" spans="1:8" x14ac:dyDescent="0.4">
      <c r="A6846">
        <v>1998</v>
      </c>
      <c r="B6846" s="8" t="s">
        <v>529</v>
      </c>
      <c r="C6846" s="8" t="s">
        <v>719</v>
      </c>
      <c r="D6846" s="8" t="s">
        <v>173</v>
      </c>
      <c r="E6846" s="70" t="s">
        <v>191</v>
      </c>
      <c r="F6846" s="29">
        <v>41</v>
      </c>
      <c r="G6846" s="29">
        <v>0</v>
      </c>
      <c r="H6846" s="29">
        <v>0</v>
      </c>
    </row>
    <row r="6847" spans="1:8" x14ac:dyDescent="0.4">
      <c r="A6847">
        <v>1998</v>
      </c>
      <c r="B6847" s="8" t="s">
        <v>530</v>
      </c>
      <c r="C6847" s="8" t="s">
        <v>720</v>
      </c>
      <c r="D6847" s="8" t="s">
        <v>193</v>
      </c>
      <c r="E6847" s="70" t="s">
        <v>192</v>
      </c>
      <c r="F6847" s="29">
        <v>244</v>
      </c>
      <c r="G6847" s="29">
        <v>0</v>
      </c>
      <c r="H6847" s="29">
        <v>0</v>
      </c>
    </row>
    <row r="6848" spans="1:8" x14ac:dyDescent="0.4">
      <c r="A6848">
        <v>1998</v>
      </c>
      <c r="B6848" s="8" t="s">
        <v>531</v>
      </c>
      <c r="C6848" s="8" t="s">
        <v>720</v>
      </c>
      <c r="D6848" s="8" t="s">
        <v>193</v>
      </c>
      <c r="E6848" s="70" t="s">
        <v>174</v>
      </c>
      <c r="F6848" s="29">
        <v>63</v>
      </c>
      <c r="G6848" s="29">
        <v>0</v>
      </c>
      <c r="H6848" s="29">
        <v>0</v>
      </c>
    </row>
    <row r="6849" spans="1:8" x14ac:dyDescent="0.4">
      <c r="A6849">
        <v>1998</v>
      </c>
      <c r="B6849" s="8" t="s">
        <v>532</v>
      </c>
      <c r="C6849" s="8" t="s">
        <v>720</v>
      </c>
      <c r="D6849" s="8" t="s">
        <v>193</v>
      </c>
      <c r="E6849" s="70" t="s">
        <v>194</v>
      </c>
      <c r="F6849" s="29">
        <v>1087</v>
      </c>
      <c r="G6849" s="29">
        <v>0</v>
      </c>
      <c r="H6849" s="29">
        <v>0</v>
      </c>
    </row>
    <row r="6850" spans="1:8" x14ac:dyDescent="0.4">
      <c r="A6850">
        <v>1998</v>
      </c>
      <c r="B6850" s="8" t="s">
        <v>533</v>
      </c>
      <c r="C6850" s="8" t="s">
        <v>720</v>
      </c>
      <c r="D6850" s="8" t="s">
        <v>193</v>
      </c>
      <c r="E6850" s="70" t="s">
        <v>195</v>
      </c>
      <c r="F6850" s="29">
        <v>193</v>
      </c>
      <c r="G6850" s="29">
        <v>0</v>
      </c>
      <c r="H6850" s="29">
        <v>0</v>
      </c>
    </row>
    <row r="6851" spans="1:8" x14ac:dyDescent="0.4">
      <c r="A6851">
        <v>1998</v>
      </c>
      <c r="B6851" s="8" t="s">
        <v>534</v>
      </c>
      <c r="C6851" s="8" t="s">
        <v>720</v>
      </c>
      <c r="D6851" s="8" t="s">
        <v>193</v>
      </c>
      <c r="E6851" s="70" t="s">
        <v>196</v>
      </c>
      <c r="F6851" s="29">
        <v>55</v>
      </c>
      <c r="G6851" s="29">
        <v>0</v>
      </c>
      <c r="H6851" s="29">
        <v>0</v>
      </c>
    </row>
    <row r="6852" spans="1:8" x14ac:dyDescent="0.4">
      <c r="A6852">
        <v>1998</v>
      </c>
      <c r="B6852" s="8" t="s">
        <v>535</v>
      </c>
      <c r="C6852" s="8" t="s">
        <v>720</v>
      </c>
      <c r="D6852" s="8" t="s">
        <v>193</v>
      </c>
      <c r="E6852" s="70" t="s">
        <v>197</v>
      </c>
      <c r="F6852" s="29">
        <v>63</v>
      </c>
      <c r="G6852" s="29">
        <v>0</v>
      </c>
      <c r="H6852" s="29">
        <v>0</v>
      </c>
    </row>
    <row r="6853" spans="1:8" x14ac:dyDescent="0.4">
      <c r="A6853">
        <v>1998</v>
      </c>
      <c r="B6853" s="8" t="s">
        <v>536</v>
      </c>
      <c r="C6853" s="8" t="s">
        <v>720</v>
      </c>
      <c r="D6853" s="8" t="s">
        <v>193</v>
      </c>
      <c r="E6853" s="70" t="s">
        <v>198</v>
      </c>
      <c r="F6853" s="29">
        <v>665</v>
      </c>
      <c r="G6853" s="29">
        <v>0</v>
      </c>
      <c r="H6853" s="29">
        <v>0</v>
      </c>
    </row>
    <row r="6854" spans="1:8" x14ac:dyDescent="0.4">
      <c r="A6854">
        <v>1998</v>
      </c>
      <c r="B6854" s="8" t="s">
        <v>537</v>
      </c>
      <c r="C6854" s="8" t="s">
        <v>720</v>
      </c>
      <c r="D6854" s="8" t="s">
        <v>193</v>
      </c>
      <c r="E6854" s="70" t="s">
        <v>199</v>
      </c>
      <c r="F6854" s="29">
        <v>191</v>
      </c>
      <c r="G6854" s="29">
        <v>0</v>
      </c>
      <c r="H6854" s="29">
        <v>0</v>
      </c>
    </row>
    <row r="6855" spans="1:8" x14ac:dyDescent="0.4">
      <c r="A6855">
        <v>1998</v>
      </c>
      <c r="B6855" s="8" t="s">
        <v>538</v>
      </c>
      <c r="C6855" s="8" t="s">
        <v>720</v>
      </c>
      <c r="D6855" s="8" t="s">
        <v>193</v>
      </c>
      <c r="E6855" s="70" t="s">
        <v>200</v>
      </c>
      <c r="F6855" s="29">
        <v>116</v>
      </c>
      <c r="G6855" s="29">
        <v>0</v>
      </c>
      <c r="H6855" s="29">
        <v>0</v>
      </c>
    </row>
    <row r="6856" spans="1:8" x14ac:dyDescent="0.4">
      <c r="A6856">
        <v>1998</v>
      </c>
      <c r="B6856" s="8" t="s">
        <v>539</v>
      </c>
      <c r="C6856" s="8" t="s">
        <v>720</v>
      </c>
      <c r="D6856" s="8" t="s">
        <v>193</v>
      </c>
      <c r="E6856" s="70" t="s">
        <v>201</v>
      </c>
      <c r="F6856" s="29">
        <v>1052</v>
      </c>
      <c r="G6856" s="29">
        <v>0</v>
      </c>
      <c r="H6856" s="29">
        <v>0</v>
      </c>
    </row>
    <row r="6857" spans="1:8" x14ac:dyDescent="0.4">
      <c r="A6857">
        <v>1998</v>
      </c>
      <c r="B6857" s="8" t="s">
        <v>540</v>
      </c>
      <c r="C6857" s="8" t="s">
        <v>720</v>
      </c>
      <c r="D6857" s="8" t="s">
        <v>193</v>
      </c>
      <c r="E6857" s="70" t="s">
        <v>14</v>
      </c>
      <c r="F6857" s="29">
        <v>276</v>
      </c>
      <c r="G6857" s="29">
        <v>0</v>
      </c>
      <c r="H6857" s="29">
        <v>0</v>
      </c>
    </row>
    <row r="6858" spans="1:8" x14ac:dyDescent="0.4">
      <c r="A6858">
        <v>1998</v>
      </c>
      <c r="B6858" s="8" t="s">
        <v>541</v>
      </c>
      <c r="C6858" s="8" t="s">
        <v>720</v>
      </c>
      <c r="D6858" s="8" t="s">
        <v>193</v>
      </c>
      <c r="E6858" s="70" t="s">
        <v>202</v>
      </c>
      <c r="F6858" s="29">
        <v>825</v>
      </c>
      <c r="G6858" s="29">
        <v>0</v>
      </c>
      <c r="H6858" s="29">
        <v>0</v>
      </c>
    </row>
    <row r="6859" spans="1:8" x14ac:dyDescent="0.4">
      <c r="A6859">
        <v>1998</v>
      </c>
      <c r="B6859" s="8" t="s">
        <v>542</v>
      </c>
      <c r="C6859" s="8" t="s">
        <v>720</v>
      </c>
      <c r="D6859" s="8" t="s">
        <v>193</v>
      </c>
      <c r="E6859" s="70" t="s">
        <v>203</v>
      </c>
      <c r="F6859" s="29">
        <v>165</v>
      </c>
      <c r="G6859" s="29">
        <v>0</v>
      </c>
      <c r="H6859" s="29">
        <v>0</v>
      </c>
    </row>
    <row r="6860" spans="1:8" x14ac:dyDescent="0.4">
      <c r="A6860">
        <v>1998</v>
      </c>
      <c r="B6860" s="8" t="s">
        <v>543</v>
      </c>
      <c r="C6860" s="8" t="s">
        <v>720</v>
      </c>
      <c r="D6860" s="8" t="s">
        <v>193</v>
      </c>
      <c r="E6860" s="70" t="s">
        <v>32</v>
      </c>
      <c r="F6860" s="29">
        <v>125</v>
      </c>
      <c r="G6860" s="29">
        <v>0</v>
      </c>
      <c r="H6860" s="29">
        <v>0</v>
      </c>
    </row>
    <row r="6861" spans="1:8" x14ac:dyDescent="0.4">
      <c r="A6861">
        <v>1998</v>
      </c>
      <c r="B6861" s="8" t="s">
        <v>544</v>
      </c>
      <c r="C6861" s="8" t="s">
        <v>720</v>
      </c>
      <c r="D6861" s="8" t="s">
        <v>193</v>
      </c>
      <c r="E6861" s="70" t="s">
        <v>204</v>
      </c>
      <c r="F6861" s="29">
        <v>165</v>
      </c>
      <c r="G6861" s="29">
        <v>0</v>
      </c>
      <c r="H6861" s="29">
        <v>0</v>
      </c>
    </row>
    <row r="6862" spans="1:8" x14ac:dyDescent="0.4">
      <c r="A6862">
        <v>1998</v>
      </c>
      <c r="B6862" s="8" t="s">
        <v>545</v>
      </c>
      <c r="C6862" s="8" t="s">
        <v>720</v>
      </c>
      <c r="D6862" s="8" t="s">
        <v>193</v>
      </c>
      <c r="E6862" s="70" t="s">
        <v>205</v>
      </c>
      <c r="F6862" s="29">
        <v>51</v>
      </c>
      <c r="G6862" s="29">
        <v>0</v>
      </c>
      <c r="H6862" s="29">
        <v>0</v>
      </c>
    </row>
    <row r="6863" spans="1:8" x14ac:dyDescent="0.4">
      <c r="A6863">
        <v>1998</v>
      </c>
      <c r="B6863" s="8" t="s">
        <v>546</v>
      </c>
      <c r="C6863" s="8" t="s">
        <v>720</v>
      </c>
      <c r="D6863" s="8" t="s">
        <v>193</v>
      </c>
      <c r="E6863" s="70" t="s">
        <v>206</v>
      </c>
      <c r="F6863" s="29">
        <v>383</v>
      </c>
      <c r="G6863" s="29">
        <v>0</v>
      </c>
      <c r="H6863" s="29">
        <v>0</v>
      </c>
    </row>
    <row r="6864" spans="1:8" x14ac:dyDescent="0.4">
      <c r="A6864">
        <v>1998</v>
      </c>
      <c r="B6864" s="8" t="s">
        <v>547</v>
      </c>
      <c r="C6864" s="8" t="s">
        <v>720</v>
      </c>
      <c r="D6864" s="8" t="s">
        <v>193</v>
      </c>
      <c r="E6864" s="70" t="s">
        <v>25</v>
      </c>
      <c r="F6864" s="29">
        <v>48</v>
      </c>
      <c r="G6864" s="29">
        <v>0</v>
      </c>
      <c r="H6864" s="29">
        <v>0</v>
      </c>
    </row>
    <row r="6865" spans="1:8" x14ac:dyDescent="0.4">
      <c r="A6865">
        <v>1998</v>
      </c>
      <c r="B6865" s="8" t="s">
        <v>548</v>
      </c>
      <c r="C6865" s="8" t="s">
        <v>720</v>
      </c>
      <c r="D6865" s="8" t="s">
        <v>193</v>
      </c>
      <c r="E6865" s="70" t="s">
        <v>51</v>
      </c>
      <c r="F6865" s="29">
        <v>2369</v>
      </c>
      <c r="G6865" s="29">
        <v>0</v>
      </c>
      <c r="H6865" s="29">
        <v>0</v>
      </c>
    </row>
    <row r="6866" spans="1:8" x14ac:dyDescent="0.4">
      <c r="A6866">
        <v>1998</v>
      </c>
      <c r="B6866" s="8" t="s">
        <v>549</v>
      </c>
      <c r="C6866" s="8" t="s">
        <v>720</v>
      </c>
      <c r="D6866" s="8" t="s">
        <v>193</v>
      </c>
      <c r="E6866" s="70" t="s">
        <v>53</v>
      </c>
      <c r="F6866" s="29">
        <v>220</v>
      </c>
      <c r="G6866" s="29">
        <v>0</v>
      </c>
      <c r="H6866" s="29">
        <v>0</v>
      </c>
    </row>
    <row r="6867" spans="1:8" x14ac:dyDescent="0.4">
      <c r="A6867">
        <v>1998</v>
      </c>
      <c r="B6867" s="8" t="s">
        <v>550</v>
      </c>
      <c r="C6867" s="8" t="s">
        <v>720</v>
      </c>
      <c r="D6867" s="8" t="s">
        <v>193</v>
      </c>
      <c r="E6867" s="70" t="s">
        <v>54</v>
      </c>
      <c r="F6867" s="29">
        <v>479</v>
      </c>
      <c r="G6867" s="29">
        <v>0</v>
      </c>
      <c r="H6867" s="29">
        <v>0</v>
      </c>
    </row>
    <row r="6868" spans="1:8" x14ac:dyDescent="0.4">
      <c r="A6868">
        <v>1998</v>
      </c>
      <c r="B6868" s="8" t="s">
        <v>551</v>
      </c>
      <c r="C6868" s="8" t="s">
        <v>721</v>
      </c>
      <c r="D6868" s="8" t="s">
        <v>207</v>
      </c>
      <c r="E6868" s="70" t="s">
        <v>128</v>
      </c>
      <c r="F6868" s="29">
        <v>75</v>
      </c>
      <c r="G6868" s="29">
        <v>0</v>
      </c>
      <c r="H6868" s="29">
        <v>0</v>
      </c>
    </row>
    <row r="6869" spans="1:8" x14ac:dyDescent="0.4">
      <c r="A6869">
        <v>1998</v>
      </c>
      <c r="B6869" s="8" t="s">
        <v>552</v>
      </c>
      <c r="C6869" s="8" t="s">
        <v>721</v>
      </c>
      <c r="D6869" s="8" t="s">
        <v>207</v>
      </c>
      <c r="E6869" s="70" t="s">
        <v>208</v>
      </c>
      <c r="F6869" s="29">
        <v>14</v>
      </c>
      <c r="G6869" s="29">
        <v>0</v>
      </c>
      <c r="H6869" s="29">
        <v>0</v>
      </c>
    </row>
    <row r="6870" spans="1:8" x14ac:dyDescent="0.4">
      <c r="A6870">
        <v>1998</v>
      </c>
      <c r="B6870" s="8" t="s">
        <v>553</v>
      </c>
      <c r="C6870" s="8" t="s">
        <v>721</v>
      </c>
      <c r="D6870" s="8" t="s">
        <v>207</v>
      </c>
      <c r="E6870" s="70" t="s">
        <v>36</v>
      </c>
      <c r="F6870" s="29">
        <v>96</v>
      </c>
      <c r="G6870" s="29">
        <v>0</v>
      </c>
      <c r="H6870" s="29">
        <v>0</v>
      </c>
    </row>
    <row r="6871" spans="1:8" x14ac:dyDescent="0.4">
      <c r="A6871">
        <v>1998</v>
      </c>
      <c r="B6871" s="8" t="s">
        <v>554</v>
      </c>
      <c r="C6871" s="8" t="s">
        <v>721</v>
      </c>
      <c r="D6871" s="8" t="s">
        <v>207</v>
      </c>
      <c r="E6871" s="70" t="s">
        <v>209</v>
      </c>
      <c r="F6871" s="29">
        <v>98</v>
      </c>
      <c r="G6871" s="29">
        <v>0</v>
      </c>
      <c r="H6871" s="29">
        <v>0</v>
      </c>
    </row>
    <row r="6872" spans="1:8" x14ac:dyDescent="0.4">
      <c r="A6872">
        <v>1998</v>
      </c>
      <c r="B6872" s="8" t="s">
        <v>555</v>
      </c>
      <c r="C6872" s="8" t="s">
        <v>721</v>
      </c>
      <c r="D6872" s="8" t="s">
        <v>207</v>
      </c>
      <c r="E6872" s="70" t="s">
        <v>69</v>
      </c>
      <c r="F6872" s="29">
        <v>64</v>
      </c>
      <c r="G6872" s="29">
        <v>0</v>
      </c>
      <c r="H6872" s="29">
        <v>0</v>
      </c>
    </row>
    <row r="6873" spans="1:8" x14ac:dyDescent="0.4">
      <c r="A6873">
        <v>1998</v>
      </c>
      <c r="B6873" s="8" t="s">
        <v>556</v>
      </c>
      <c r="C6873" s="8" t="s">
        <v>721</v>
      </c>
      <c r="D6873" s="8" t="s">
        <v>207</v>
      </c>
      <c r="E6873" s="70" t="s">
        <v>62</v>
      </c>
      <c r="F6873" s="29">
        <v>100</v>
      </c>
      <c r="G6873" s="29">
        <v>0</v>
      </c>
      <c r="H6873" s="29">
        <v>0</v>
      </c>
    </row>
    <row r="6874" spans="1:8" x14ac:dyDescent="0.4">
      <c r="A6874">
        <v>1998</v>
      </c>
      <c r="B6874" s="8" t="s">
        <v>557</v>
      </c>
      <c r="C6874" s="8" t="s">
        <v>721</v>
      </c>
      <c r="D6874" s="8" t="s">
        <v>207</v>
      </c>
      <c r="E6874" s="70" t="s">
        <v>44</v>
      </c>
      <c r="F6874" s="29">
        <v>105</v>
      </c>
      <c r="G6874" s="29">
        <v>0</v>
      </c>
      <c r="H6874" s="29">
        <v>0</v>
      </c>
    </row>
    <row r="6875" spans="1:8" x14ac:dyDescent="0.4">
      <c r="A6875">
        <v>1998</v>
      </c>
      <c r="B6875" s="8" t="s">
        <v>558</v>
      </c>
      <c r="C6875" s="8" t="s">
        <v>721</v>
      </c>
      <c r="D6875" s="8" t="s">
        <v>207</v>
      </c>
      <c r="E6875" s="70" t="s">
        <v>210</v>
      </c>
      <c r="F6875" s="29">
        <v>1808</v>
      </c>
      <c r="G6875" s="29">
        <v>0</v>
      </c>
      <c r="H6875" s="29">
        <v>0</v>
      </c>
    </row>
    <row r="6876" spans="1:8" x14ac:dyDescent="0.4">
      <c r="A6876">
        <v>1998</v>
      </c>
      <c r="B6876" s="8" t="s">
        <v>559</v>
      </c>
      <c r="C6876" s="8" t="s">
        <v>721</v>
      </c>
      <c r="D6876" s="8" t="s">
        <v>207</v>
      </c>
      <c r="E6876" s="70" t="s">
        <v>74</v>
      </c>
      <c r="F6876" s="29">
        <v>75</v>
      </c>
      <c r="G6876" s="29">
        <v>0</v>
      </c>
      <c r="H6876" s="29">
        <v>0</v>
      </c>
    </row>
    <row r="6877" spans="1:8" x14ac:dyDescent="0.4">
      <c r="A6877">
        <v>1998</v>
      </c>
      <c r="B6877" s="8" t="s">
        <v>560</v>
      </c>
      <c r="C6877" s="8" t="s">
        <v>721</v>
      </c>
      <c r="D6877" s="8" t="s">
        <v>207</v>
      </c>
      <c r="E6877" s="70" t="s">
        <v>211</v>
      </c>
      <c r="F6877" s="29">
        <v>33</v>
      </c>
      <c r="G6877" s="29">
        <v>0</v>
      </c>
      <c r="H6877" s="29">
        <v>0</v>
      </c>
    </row>
    <row r="6878" spans="1:8" x14ac:dyDescent="0.4">
      <c r="A6878">
        <v>1998</v>
      </c>
      <c r="B6878" s="8" t="s">
        <v>561</v>
      </c>
      <c r="C6878" s="8" t="s">
        <v>721</v>
      </c>
      <c r="D6878" s="8" t="s">
        <v>207</v>
      </c>
      <c r="E6878" s="70" t="s">
        <v>212</v>
      </c>
      <c r="F6878" s="29">
        <v>10</v>
      </c>
      <c r="G6878" s="29">
        <v>0</v>
      </c>
      <c r="H6878" s="29">
        <v>0</v>
      </c>
    </row>
    <row r="6879" spans="1:8" x14ac:dyDescent="0.4">
      <c r="A6879">
        <v>1998</v>
      </c>
      <c r="B6879" s="8" t="s">
        <v>562</v>
      </c>
      <c r="C6879" s="8" t="s">
        <v>721</v>
      </c>
      <c r="D6879" s="8" t="s">
        <v>207</v>
      </c>
      <c r="E6879" s="70" t="s">
        <v>213</v>
      </c>
      <c r="F6879" s="29">
        <v>67</v>
      </c>
      <c r="G6879" s="29">
        <v>0</v>
      </c>
      <c r="H6879" s="29">
        <v>0</v>
      </c>
    </row>
    <row r="6880" spans="1:8" x14ac:dyDescent="0.4">
      <c r="A6880">
        <v>1998</v>
      </c>
      <c r="B6880" s="8" t="s">
        <v>563</v>
      </c>
      <c r="C6880" s="8" t="s">
        <v>721</v>
      </c>
      <c r="D6880" s="8" t="s">
        <v>207</v>
      </c>
      <c r="E6880" s="70" t="s">
        <v>214</v>
      </c>
      <c r="F6880" s="29">
        <v>15</v>
      </c>
      <c r="G6880" s="29">
        <v>0</v>
      </c>
      <c r="H6880" s="29">
        <v>0</v>
      </c>
    </row>
    <row r="6881" spans="1:8" x14ac:dyDescent="0.4">
      <c r="A6881">
        <v>1998</v>
      </c>
      <c r="B6881" s="8" t="s">
        <v>564</v>
      </c>
      <c r="C6881" s="8" t="s">
        <v>722</v>
      </c>
      <c r="D6881" s="8" t="s">
        <v>216</v>
      </c>
      <c r="E6881" s="70" t="s">
        <v>215</v>
      </c>
      <c r="F6881" s="29">
        <v>48</v>
      </c>
      <c r="G6881" s="29">
        <v>0</v>
      </c>
      <c r="H6881" s="29">
        <v>0</v>
      </c>
    </row>
    <row r="6882" spans="1:8" x14ac:dyDescent="0.4">
      <c r="A6882">
        <v>1998</v>
      </c>
      <c r="B6882" s="8" t="s">
        <v>565</v>
      </c>
      <c r="C6882" s="8" t="s">
        <v>722</v>
      </c>
      <c r="D6882" s="8" t="s">
        <v>216</v>
      </c>
      <c r="E6882" s="70" t="s">
        <v>59</v>
      </c>
      <c r="F6882" s="29">
        <v>90</v>
      </c>
      <c r="G6882" s="29">
        <v>0</v>
      </c>
      <c r="H6882" s="29">
        <v>0</v>
      </c>
    </row>
    <row r="6883" spans="1:8" x14ac:dyDescent="0.4">
      <c r="A6883">
        <v>1998</v>
      </c>
      <c r="B6883" s="8" t="s">
        <v>566</v>
      </c>
      <c r="C6883" s="8" t="s">
        <v>722</v>
      </c>
      <c r="D6883" s="8" t="s">
        <v>216</v>
      </c>
      <c r="E6883" s="70" t="s">
        <v>217</v>
      </c>
      <c r="F6883" s="29">
        <v>84</v>
      </c>
      <c r="G6883" s="29">
        <v>0</v>
      </c>
      <c r="H6883" s="29">
        <v>0</v>
      </c>
    </row>
    <row r="6884" spans="1:8" x14ac:dyDescent="0.4">
      <c r="A6884">
        <v>1998</v>
      </c>
      <c r="B6884" s="8" t="s">
        <v>567</v>
      </c>
      <c r="C6884" s="8" t="s">
        <v>722</v>
      </c>
      <c r="D6884" s="8" t="s">
        <v>216</v>
      </c>
      <c r="E6884" s="70" t="s">
        <v>218</v>
      </c>
      <c r="F6884" s="29">
        <v>45</v>
      </c>
      <c r="G6884" s="29">
        <v>0</v>
      </c>
      <c r="H6884" s="29">
        <v>0</v>
      </c>
    </row>
    <row r="6885" spans="1:8" x14ac:dyDescent="0.4">
      <c r="A6885">
        <v>1998</v>
      </c>
      <c r="B6885" s="8" t="s">
        <v>568</v>
      </c>
      <c r="C6885" s="8" t="s">
        <v>722</v>
      </c>
      <c r="D6885" s="8" t="s">
        <v>216</v>
      </c>
      <c r="E6885" s="70" t="s">
        <v>219</v>
      </c>
      <c r="F6885" s="29">
        <v>74</v>
      </c>
      <c r="G6885" s="29">
        <v>0</v>
      </c>
      <c r="H6885" s="29">
        <v>0</v>
      </c>
    </row>
    <row r="6886" spans="1:8" x14ac:dyDescent="0.4">
      <c r="A6886">
        <v>1998</v>
      </c>
      <c r="B6886" s="8" t="s">
        <v>569</v>
      </c>
      <c r="C6886" s="8" t="s">
        <v>722</v>
      </c>
      <c r="D6886" s="8" t="s">
        <v>216</v>
      </c>
      <c r="E6886" s="70" t="s">
        <v>220</v>
      </c>
      <c r="F6886" s="29">
        <v>67</v>
      </c>
      <c r="G6886" s="29">
        <v>0</v>
      </c>
      <c r="H6886" s="29">
        <v>0</v>
      </c>
    </row>
    <row r="6887" spans="1:8" x14ac:dyDescent="0.4">
      <c r="A6887">
        <v>1998</v>
      </c>
      <c r="B6887" s="8" t="s">
        <v>570</v>
      </c>
      <c r="C6887" s="8" t="s">
        <v>722</v>
      </c>
      <c r="D6887" s="8" t="s">
        <v>216</v>
      </c>
      <c r="E6887" s="70" t="s">
        <v>221</v>
      </c>
      <c r="F6887" s="29">
        <v>91</v>
      </c>
      <c r="G6887" s="29">
        <v>0</v>
      </c>
      <c r="H6887" s="29">
        <v>0</v>
      </c>
    </row>
    <row r="6888" spans="1:8" x14ac:dyDescent="0.4">
      <c r="A6888">
        <v>1998</v>
      </c>
      <c r="B6888" s="8" t="s">
        <v>571</v>
      </c>
      <c r="C6888" s="8" t="s">
        <v>722</v>
      </c>
      <c r="D6888" s="8" t="s">
        <v>216</v>
      </c>
      <c r="E6888" s="70" t="s">
        <v>222</v>
      </c>
      <c r="F6888" s="29">
        <v>985</v>
      </c>
      <c r="G6888" s="29">
        <v>0</v>
      </c>
      <c r="H6888" s="29">
        <v>0</v>
      </c>
    </row>
    <row r="6889" spans="1:8" x14ac:dyDescent="0.4">
      <c r="A6889">
        <v>1998</v>
      </c>
      <c r="B6889" s="8" t="s">
        <v>572</v>
      </c>
      <c r="C6889" s="8" t="s">
        <v>722</v>
      </c>
      <c r="D6889" s="8" t="s">
        <v>216</v>
      </c>
      <c r="E6889" s="70" t="s">
        <v>223</v>
      </c>
      <c r="F6889" s="29">
        <v>46</v>
      </c>
      <c r="G6889" s="29">
        <v>0</v>
      </c>
      <c r="H6889" s="29">
        <v>0</v>
      </c>
    </row>
    <row r="6890" spans="1:8" x14ac:dyDescent="0.4">
      <c r="A6890">
        <v>1998</v>
      </c>
      <c r="B6890" s="8" t="s">
        <v>573</v>
      </c>
      <c r="C6890" s="8" t="s">
        <v>722</v>
      </c>
      <c r="D6890" s="8" t="s">
        <v>216</v>
      </c>
      <c r="E6890" s="70" t="s">
        <v>224</v>
      </c>
      <c r="F6890" s="29">
        <v>52</v>
      </c>
      <c r="G6890" s="29">
        <v>0</v>
      </c>
      <c r="H6890" s="29">
        <v>0</v>
      </c>
    </row>
    <row r="6891" spans="1:8" x14ac:dyDescent="0.4">
      <c r="A6891">
        <v>1998</v>
      </c>
      <c r="B6891" s="8" t="s">
        <v>574</v>
      </c>
      <c r="C6891" s="8" t="s">
        <v>722</v>
      </c>
      <c r="D6891" s="8" t="s">
        <v>216</v>
      </c>
      <c r="E6891" s="70" t="s">
        <v>225</v>
      </c>
      <c r="F6891" s="29">
        <v>19</v>
      </c>
      <c r="G6891" s="29">
        <v>0</v>
      </c>
      <c r="H6891" s="29">
        <v>0</v>
      </c>
    </row>
    <row r="6892" spans="1:8" x14ac:dyDescent="0.4">
      <c r="A6892">
        <v>1998</v>
      </c>
      <c r="B6892" s="8" t="s">
        <v>575</v>
      </c>
      <c r="C6892" s="8" t="s">
        <v>723</v>
      </c>
      <c r="D6892" s="8" t="s">
        <v>227</v>
      </c>
      <c r="E6892" s="70" t="s">
        <v>226</v>
      </c>
      <c r="F6892" s="29">
        <v>37</v>
      </c>
      <c r="G6892" s="29">
        <v>0</v>
      </c>
      <c r="H6892" s="29">
        <v>0</v>
      </c>
    </row>
    <row r="6893" spans="1:8" x14ac:dyDescent="0.4">
      <c r="A6893">
        <v>1998</v>
      </c>
      <c r="B6893" s="8" t="s">
        <v>576</v>
      </c>
      <c r="C6893" s="8" t="s">
        <v>723</v>
      </c>
      <c r="D6893" s="8" t="s">
        <v>227</v>
      </c>
      <c r="E6893" s="70" t="s">
        <v>228</v>
      </c>
      <c r="F6893" s="29">
        <v>949</v>
      </c>
      <c r="G6893" s="29">
        <v>0</v>
      </c>
      <c r="H6893" s="29">
        <v>0</v>
      </c>
    </row>
    <row r="6894" spans="1:8" x14ac:dyDescent="0.4">
      <c r="A6894">
        <v>1998</v>
      </c>
      <c r="B6894" s="8" t="s">
        <v>577</v>
      </c>
      <c r="C6894" s="8" t="s">
        <v>723</v>
      </c>
      <c r="D6894" s="8" t="s">
        <v>227</v>
      </c>
      <c r="E6894" s="70" t="s">
        <v>229</v>
      </c>
      <c r="F6894" s="29">
        <v>114</v>
      </c>
      <c r="G6894" s="29">
        <v>0</v>
      </c>
      <c r="H6894" s="29">
        <v>0</v>
      </c>
    </row>
    <row r="6895" spans="1:8" x14ac:dyDescent="0.4">
      <c r="A6895">
        <v>1998</v>
      </c>
      <c r="B6895" s="8" t="s">
        <v>578</v>
      </c>
      <c r="C6895" s="8" t="s">
        <v>723</v>
      </c>
      <c r="D6895" s="8" t="s">
        <v>227</v>
      </c>
      <c r="E6895" s="70" t="s">
        <v>230</v>
      </c>
      <c r="F6895" s="29">
        <v>654</v>
      </c>
      <c r="G6895" s="29">
        <v>0</v>
      </c>
      <c r="H6895" s="29">
        <v>0</v>
      </c>
    </row>
    <row r="6896" spans="1:8" x14ac:dyDescent="0.4">
      <c r="A6896">
        <v>1998</v>
      </c>
      <c r="B6896" s="8" t="s">
        <v>579</v>
      </c>
      <c r="C6896" s="8" t="s">
        <v>723</v>
      </c>
      <c r="D6896" s="8" t="s">
        <v>227</v>
      </c>
      <c r="E6896" s="70" t="s">
        <v>231</v>
      </c>
      <c r="F6896" s="29">
        <v>88</v>
      </c>
      <c r="G6896" s="29">
        <v>0</v>
      </c>
      <c r="H6896" s="29">
        <v>0</v>
      </c>
    </row>
    <row r="6897" spans="1:8" x14ac:dyDescent="0.4">
      <c r="A6897">
        <v>1998</v>
      </c>
      <c r="B6897" s="8" t="s">
        <v>580</v>
      </c>
      <c r="C6897" s="8" t="s">
        <v>723</v>
      </c>
      <c r="D6897" s="8" t="s">
        <v>227</v>
      </c>
      <c r="E6897" s="70" t="s">
        <v>232</v>
      </c>
      <c r="F6897" s="29">
        <v>79</v>
      </c>
      <c r="G6897" s="29">
        <v>0</v>
      </c>
      <c r="H6897" s="29">
        <v>0</v>
      </c>
    </row>
    <row r="6898" spans="1:8" x14ac:dyDescent="0.4">
      <c r="A6898">
        <v>1998</v>
      </c>
      <c r="B6898" s="8" t="s">
        <v>581</v>
      </c>
      <c r="C6898" s="8" t="s">
        <v>723</v>
      </c>
      <c r="D6898" s="8" t="s">
        <v>227</v>
      </c>
      <c r="E6898" s="70" t="s">
        <v>233</v>
      </c>
      <c r="F6898" s="29">
        <v>84</v>
      </c>
      <c r="G6898" s="29">
        <v>0</v>
      </c>
      <c r="H6898" s="29">
        <v>0</v>
      </c>
    </row>
    <row r="6899" spans="1:8" x14ac:dyDescent="0.4">
      <c r="A6899">
        <v>1998</v>
      </c>
      <c r="B6899" s="8" t="s">
        <v>582</v>
      </c>
      <c r="C6899" s="8" t="s">
        <v>723</v>
      </c>
      <c r="D6899" s="8" t="s">
        <v>227</v>
      </c>
      <c r="E6899" s="70" t="s">
        <v>32</v>
      </c>
      <c r="F6899" s="29">
        <v>424</v>
      </c>
      <c r="G6899" s="29">
        <v>0</v>
      </c>
      <c r="H6899" s="29">
        <v>0</v>
      </c>
    </row>
    <row r="6900" spans="1:8" x14ac:dyDescent="0.4">
      <c r="A6900">
        <v>1998</v>
      </c>
      <c r="B6900" s="8" t="s">
        <v>583</v>
      </c>
      <c r="C6900" s="8" t="s">
        <v>723</v>
      </c>
      <c r="D6900" s="8" t="s">
        <v>227</v>
      </c>
      <c r="E6900" s="70" t="s">
        <v>234</v>
      </c>
      <c r="F6900" s="29">
        <v>24</v>
      </c>
      <c r="G6900" s="29">
        <v>0</v>
      </c>
      <c r="H6900" s="29">
        <v>0</v>
      </c>
    </row>
    <row r="6901" spans="1:8" x14ac:dyDescent="0.4">
      <c r="A6901">
        <v>1998</v>
      </c>
      <c r="B6901" s="8" t="s">
        <v>584</v>
      </c>
      <c r="C6901" s="8" t="s">
        <v>723</v>
      </c>
      <c r="D6901" s="8" t="s">
        <v>227</v>
      </c>
      <c r="E6901" s="70" t="s">
        <v>235</v>
      </c>
      <c r="F6901" s="29">
        <v>62</v>
      </c>
      <c r="G6901" s="29">
        <v>0</v>
      </c>
      <c r="H6901" s="29">
        <v>0</v>
      </c>
    </row>
    <row r="6902" spans="1:8" x14ac:dyDescent="0.4">
      <c r="A6902">
        <v>1998</v>
      </c>
      <c r="B6902" s="8" t="s">
        <v>585</v>
      </c>
      <c r="C6902" s="8" t="s">
        <v>723</v>
      </c>
      <c r="D6902" s="8" t="s">
        <v>227</v>
      </c>
      <c r="E6902" s="70" t="s">
        <v>236</v>
      </c>
      <c r="F6902" s="29">
        <v>31</v>
      </c>
      <c r="G6902" s="29">
        <v>0</v>
      </c>
      <c r="H6902" s="29">
        <v>0</v>
      </c>
    </row>
    <row r="6903" spans="1:8" x14ac:dyDescent="0.4">
      <c r="A6903">
        <v>1998</v>
      </c>
      <c r="B6903" s="8" t="s">
        <v>586</v>
      </c>
      <c r="C6903" s="8" t="s">
        <v>723</v>
      </c>
      <c r="D6903" s="8" t="s">
        <v>227</v>
      </c>
      <c r="E6903" s="70" t="s">
        <v>237</v>
      </c>
      <c r="F6903" s="29">
        <v>30</v>
      </c>
      <c r="G6903" s="29">
        <v>0</v>
      </c>
      <c r="H6903" s="29">
        <v>0</v>
      </c>
    </row>
    <row r="6904" spans="1:8" x14ac:dyDescent="0.4">
      <c r="A6904">
        <v>1998</v>
      </c>
      <c r="B6904" s="8" t="s">
        <v>587</v>
      </c>
      <c r="C6904" s="8" t="s">
        <v>723</v>
      </c>
      <c r="D6904" s="8" t="s">
        <v>227</v>
      </c>
      <c r="E6904" s="70" t="s">
        <v>51</v>
      </c>
      <c r="F6904" s="29">
        <v>122</v>
      </c>
      <c r="G6904" s="29">
        <v>0</v>
      </c>
      <c r="H6904" s="29">
        <v>0</v>
      </c>
    </row>
    <row r="6905" spans="1:8" x14ac:dyDescent="0.4">
      <c r="A6905">
        <v>1998</v>
      </c>
      <c r="B6905" s="8" t="s">
        <v>588</v>
      </c>
      <c r="C6905" s="8" t="s">
        <v>723</v>
      </c>
      <c r="D6905" s="8" t="s">
        <v>227</v>
      </c>
      <c r="E6905" s="70" t="s">
        <v>238</v>
      </c>
      <c r="F6905" s="29">
        <v>189</v>
      </c>
      <c r="G6905" s="29">
        <v>0</v>
      </c>
      <c r="H6905" s="29">
        <v>0</v>
      </c>
    </row>
    <row r="6906" spans="1:8" x14ac:dyDescent="0.4">
      <c r="A6906">
        <v>1998</v>
      </c>
      <c r="B6906" s="8" t="s">
        <v>589</v>
      </c>
      <c r="C6906" s="8" t="s">
        <v>724</v>
      </c>
      <c r="D6906" s="8" t="s">
        <v>239</v>
      </c>
      <c r="E6906" s="70" t="s">
        <v>163</v>
      </c>
      <c r="F6906" s="29">
        <v>61</v>
      </c>
      <c r="G6906" s="29">
        <v>0</v>
      </c>
      <c r="H6906" s="29">
        <v>0</v>
      </c>
    </row>
    <row r="6907" spans="1:8" x14ac:dyDescent="0.4">
      <c r="A6907">
        <v>1998</v>
      </c>
      <c r="B6907" s="8" t="s">
        <v>590</v>
      </c>
      <c r="C6907" s="8" t="s">
        <v>724</v>
      </c>
      <c r="D6907" s="8" t="s">
        <v>239</v>
      </c>
      <c r="E6907" s="70" t="s">
        <v>240</v>
      </c>
      <c r="F6907" s="29">
        <v>65</v>
      </c>
      <c r="G6907" s="29">
        <v>0</v>
      </c>
      <c r="H6907" s="29">
        <v>0</v>
      </c>
    </row>
    <row r="6908" spans="1:8" x14ac:dyDescent="0.4">
      <c r="A6908">
        <v>1998</v>
      </c>
      <c r="B6908" s="8" t="s">
        <v>591</v>
      </c>
      <c r="C6908" s="8" t="s">
        <v>724</v>
      </c>
      <c r="D6908" s="8" t="s">
        <v>239</v>
      </c>
      <c r="E6908" s="70" t="s">
        <v>59</v>
      </c>
      <c r="F6908" s="29">
        <v>133</v>
      </c>
      <c r="G6908" s="29">
        <v>0</v>
      </c>
      <c r="H6908" s="29">
        <v>0</v>
      </c>
    </row>
    <row r="6909" spans="1:8" x14ac:dyDescent="0.4">
      <c r="A6909">
        <v>1998</v>
      </c>
      <c r="B6909" s="8" t="s">
        <v>592</v>
      </c>
      <c r="C6909" s="8" t="s">
        <v>724</v>
      </c>
      <c r="D6909" s="8" t="s">
        <v>239</v>
      </c>
      <c r="E6909" s="70" t="s">
        <v>241</v>
      </c>
      <c r="F6909" s="29">
        <v>77</v>
      </c>
      <c r="G6909" s="29">
        <v>0</v>
      </c>
      <c r="H6909" s="29">
        <v>0</v>
      </c>
    </row>
    <row r="6910" spans="1:8" x14ac:dyDescent="0.4">
      <c r="A6910">
        <v>1998</v>
      </c>
      <c r="B6910" s="8" t="s">
        <v>593</v>
      </c>
      <c r="C6910" s="8" t="s">
        <v>724</v>
      </c>
      <c r="D6910" s="8" t="s">
        <v>239</v>
      </c>
      <c r="E6910" s="70" t="s">
        <v>242</v>
      </c>
      <c r="F6910" s="29">
        <v>703</v>
      </c>
      <c r="G6910" s="29">
        <v>0</v>
      </c>
      <c r="H6910" s="29">
        <v>0</v>
      </c>
    </row>
    <row r="6911" spans="1:8" x14ac:dyDescent="0.4">
      <c r="A6911">
        <v>1998</v>
      </c>
      <c r="B6911" s="8" t="s">
        <v>594</v>
      </c>
      <c r="C6911" s="8" t="s">
        <v>724</v>
      </c>
      <c r="D6911" s="8" t="s">
        <v>239</v>
      </c>
      <c r="E6911" s="70" t="s">
        <v>36</v>
      </c>
      <c r="F6911" s="29">
        <v>34</v>
      </c>
      <c r="G6911" s="29">
        <v>0</v>
      </c>
      <c r="H6911" s="29">
        <v>0</v>
      </c>
    </row>
    <row r="6912" spans="1:8" x14ac:dyDescent="0.4">
      <c r="A6912">
        <v>1998</v>
      </c>
      <c r="B6912" s="8" t="s">
        <v>595</v>
      </c>
      <c r="C6912" s="8" t="s">
        <v>724</v>
      </c>
      <c r="D6912" s="8" t="s">
        <v>239</v>
      </c>
      <c r="E6912" s="70" t="s">
        <v>243</v>
      </c>
      <c r="F6912" s="29">
        <v>83</v>
      </c>
      <c r="G6912" s="29">
        <v>0</v>
      </c>
      <c r="H6912" s="29">
        <v>0</v>
      </c>
    </row>
    <row r="6913" spans="1:8" x14ac:dyDescent="0.4">
      <c r="A6913">
        <v>1998</v>
      </c>
      <c r="B6913" s="8" t="s">
        <v>596</v>
      </c>
      <c r="C6913" s="8" t="s">
        <v>724</v>
      </c>
      <c r="D6913" s="8" t="s">
        <v>239</v>
      </c>
      <c r="E6913" s="70" t="s">
        <v>244</v>
      </c>
      <c r="F6913" s="29">
        <v>52</v>
      </c>
      <c r="G6913" s="29">
        <v>0</v>
      </c>
      <c r="H6913" s="29">
        <v>0</v>
      </c>
    </row>
    <row r="6914" spans="1:8" x14ac:dyDescent="0.4">
      <c r="A6914">
        <v>1998</v>
      </c>
      <c r="B6914" s="8" t="s">
        <v>597</v>
      </c>
      <c r="C6914" s="8" t="s">
        <v>724</v>
      </c>
      <c r="D6914" s="8" t="s">
        <v>239</v>
      </c>
      <c r="E6914" s="70" t="s">
        <v>44</v>
      </c>
      <c r="F6914" s="29">
        <v>31</v>
      </c>
      <c r="G6914" s="29">
        <v>0</v>
      </c>
      <c r="H6914" s="29">
        <v>0</v>
      </c>
    </row>
    <row r="6915" spans="1:8" x14ac:dyDescent="0.4">
      <c r="A6915">
        <v>1998</v>
      </c>
      <c r="B6915" s="8" t="s">
        <v>598</v>
      </c>
      <c r="C6915" s="8" t="s">
        <v>724</v>
      </c>
      <c r="D6915" s="8" t="s">
        <v>239</v>
      </c>
      <c r="E6915" s="70" t="s">
        <v>222</v>
      </c>
      <c r="F6915" s="29">
        <v>87</v>
      </c>
      <c r="G6915" s="29">
        <v>0</v>
      </c>
      <c r="H6915" s="29">
        <v>0</v>
      </c>
    </row>
    <row r="6916" spans="1:8" x14ac:dyDescent="0.4">
      <c r="A6916">
        <v>1998</v>
      </c>
      <c r="B6916" s="8" t="s">
        <v>599</v>
      </c>
      <c r="C6916" s="8" t="s">
        <v>724</v>
      </c>
      <c r="D6916" s="8" t="s">
        <v>239</v>
      </c>
      <c r="E6916" s="70" t="s">
        <v>245</v>
      </c>
      <c r="F6916" s="29">
        <v>15</v>
      </c>
      <c r="G6916" s="29">
        <v>0</v>
      </c>
      <c r="H6916" s="29">
        <v>0</v>
      </c>
    </row>
    <row r="6917" spans="1:8" x14ac:dyDescent="0.4">
      <c r="A6917">
        <v>1998</v>
      </c>
      <c r="B6917" s="8" t="s">
        <v>600</v>
      </c>
      <c r="C6917" s="8" t="s">
        <v>724</v>
      </c>
      <c r="D6917" s="8" t="s">
        <v>239</v>
      </c>
      <c r="E6917" s="70" t="s">
        <v>246</v>
      </c>
      <c r="F6917" s="29">
        <v>180</v>
      </c>
      <c r="G6917" s="29">
        <v>0</v>
      </c>
      <c r="H6917" s="29">
        <v>0</v>
      </c>
    </row>
    <row r="6918" spans="1:8" x14ac:dyDescent="0.4">
      <c r="A6918">
        <v>1998</v>
      </c>
      <c r="B6918" s="8" t="s">
        <v>601</v>
      </c>
      <c r="C6918" s="8" t="s">
        <v>724</v>
      </c>
      <c r="D6918" s="8" t="s">
        <v>239</v>
      </c>
      <c r="E6918" s="70" t="s">
        <v>247</v>
      </c>
      <c r="F6918" s="29">
        <v>160</v>
      </c>
      <c r="G6918" s="29">
        <v>0</v>
      </c>
      <c r="H6918" s="29">
        <v>0</v>
      </c>
    </row>
    <row r="6919" spans="1:8" x14ac:dyDescent="0.4">
      <c r="A6919">
        <v>1998</v>
      </c>
      <c r="B6919" s="8" t="s">
        <v>602</v>
      </c>
      <c r="C6919" s="8" t="s">
        <v>724</v>
      </c>
      <c r="D6919" s="8" t="s">
        <v>239</v>
      </c>
      <c r="E6919" s="70" t="s">
        <v>51</v>
      </c>
      <c r="F6919" s="29">
        <v>1237</v>
      </c>
      <c r="G6919" s="29">
        <v>0</v>
      </c>
      <c r="H6919" s="29">
        <v>0</v>
      </c>
    </row>
    <row r="6920" spans="1:8" x14ac:dyDescent="0.4">
      <c r="A6920">
        <v>1998</v>
      </c>
      <c r="B6920" s="8" t="s">
        <v>603</v>
      </c>
      <c r="C6920" s="8" t="s">
        <v>724</v>
      </c>
      <c r="D6920" s="8" t="s">
        <v>239</v>
      </c>
      <c r="E6920" s="70" t="s">
        <v>248</v>
      </c>
      <c r="F6920" s="29">
        <v>123</v>
      </c>
      <c r="G6920" s="29">
        <v>0</v>
      </c>
      <c r="H6920" s="29">
        <v>0</v>
      </c>
    </row>
    <row r="6921" spans="1:8" x14ac:dyDescent="0.4">
      <c r="A6921">
        <v>1998</v>
      </c>
      <c r="B6921" s="8" t="s">
        <v>604</v>
      </c>
      <c r="C6921" s="8" t="s">
        <v>725</v>
      </c>
      <c r="D6921" s="8" t="s">
        <v>249</v>
      </c>
      <c r="E6921" s="70" t="s">
        <v>174</v>
      </c>
      <c r="F6921" s="29">
        <v>38</v>
      </c>
      <c r="G6921" s="29">
        <v>0</v>
      </c>
      <c r="H6921" s="29">
        <v>0</v>
      </c>
    </row>
    <row r="6922" spans="1:8" x14ac:dyDescent="0.4">
      <c r="A6922">
        <v>1998</v>
      </c>
      <c r="B6922" s="8" t="s">
        <v>605</v>
      </c>
      <c r="C6922" s="8" t="s">
        <v>725</v>
      </c>
      <c r="D6922" s="8" t="s">
        <v>249</v>
      </c>
      <c r="E6922" s="70" t="s">
        <v>250</v>
      </c>
      <c r="F6922" s="29">
        <v>25</v>
      </c>
      <c r="G6922" s="29">
        <v>0</v>
      </c>
      <c r="H6922" s="29">
        <v>0</v>
      </c>
    </row>
    <row r="6923" spans="1:8" x14ac:dyDescent="0.4">
      <c r="A6923">
        <v>1998</v>
      </c>
      <c r="B6923" s="8" t="s">
        <v>606</v>
      </c>
      <c r="C6923" s="8" t="s">
        <v>725</v>
      </c>
      <c r="D6923" s="8" t="s">
        <v>249</v>
      </c>
      <c r="E6923" s="70" t="s">
        <v>251</v>
      </c>
      <c r="F6923" s="29">
        <v>226</v>
      </c>
      <c r="G6923" s="29">
        <v>0</v>
      </c>
      <c r="H6923" s="29">
        <v>0</v>
      </c>
    </row>
    <row r="6924" spans="1:8" x14ac:dyDescent="0.4">
      <c r="A6924">
        <v>1998</v>
      </c>
      <c r="B6924" s="8" t="s">
        <v>607</v>
      </c>
      <c r="C6924" s="8" t="s">
        <v>725</v>
      </c>
      <c r="D6924" s="8" t="s">
        <v>249</v>
      </c>
      <c r="E6924" s="70" t="s">
        <v>36</v>
      </c>
      <c r="F6924" s="29">
        <v>159</v>
      </c>
      <c r="G6924" s="29">
        <v>0</v>
      </c>
      <c r="H6924" s="29">
        <v>0</v>
      </c>
    </row>
    <row r="6925" spans="1:8" x14ac:dyDescent="0.4">
      <c r="A6925">
        <v>1998</v>
      </c>
      <c r="B6925" s="8" t="s">
        <v>608</v>
      </c>
      <c r="C6925" s="8" t="s">
        <v>725</v>
      </c>
      <c r="D6925" s="8" t="s">
        <v>249</v>
      </c>
      <c r="E6925" s="70" t="s">
        <v>252</v>
      </c>
      <c r="F6925" s="29">
        <v>250</v>
      </c>
      <c r="G6925" s="29">
        <v>0</v>
      </c>
      <c r="H6925" s="29">
        <v>0</v>
      </c>
    </row>
    <row r="6926" spans="1:8" x14ac:dyDescent="0.4">
      <c r="A6926">
        <v>1998</v>
      </c>
      <c r="B6926" s="8" t="s">
        <v>609</v>
      </c>
      <c r="C6926" s="8" t="s">
        <v>725</v>
      </c>
      <c r="D6926" s="8" t="s">
        <v>249</v>
      </c>
      <c r="E6926" s="70" t="s">
        <v>253</v>
      </c>
      <c r="F6926" s="29">
        <v>64</v>
      </c>
      <c r="G6926" s="29">
        <v>0</v>
      </c>
      <c r="H6926" s="29">
        <v>0</v>
      </c>
    </row>
    <row r="6927" spans="1:8" x14ac:dyDescent="0.4">
      <c r="A6927">
        <v>1998</v>
      </c>
      <c r="B6927" s="8" t="s">
        <v>610</v>
      </c>
      <c r="C6927" s="8" t="s">
        <v>725</v>
      </c>
      <c r="D6927" s="8" t="s">
        <v>249</v>
      </c>
      <c r="E6927" s="70" t="s">
        <v>254</v>
      </c>
      <c r="F6927" s="29">
        <v>150</v>
      </c>
      <c r="G6927" s="29">
        <v>0</v>
      </c>
      <c r="H6927" s="29">
        <v>0</v>
      </c>
    </row>
    <row r="6928" spans="1:8" x14ac:dyDescent="0.4">
      <c r="A6928">
        <v>1998</v>
      </c>
      <c r="B6928" s="8" t="s">
        <v>611</v>
      </c>
      <c r="C6928" s="8" t="s">
        <v>725</v>
      </c>
      <c r="D6928" s="8" t="s">
        <v>249</v>
      </c>
      <c r="E6928" s="70" t="s">
        <v>11</v>
      </c>
      <c r="F6928" s="29">
        <v>25</v>
      </c>
      <c r="G6928" s="29">
        <v>0</v>
      </c>
      <c r="H6928" s="29">
        <v>0</v>
      </c>
    </row>
    <row r="6929" spans="1:8" x14ac:dyDescent="0.4">
      <c r="A6929">
        <v>1998</v>
      </c>
      <c r="B6929" s="8" t="s">
        <v>612</v>
      </c>
      <c r="C6929" s="8" t="s">
        <v>725</v>
      </c>
      <c r="D6929" s="8" t="s">
        <v>249</v>
      </c>
      <c r="E6929" s="70" t="s">
        <v>255</v>
      </c>
      <c r="F6929" s="29">
        <v>158</v>
      </c>
      <c r="G6929" s="29">
        <v>0</v>
      </c>
      <c r="H6929" s="29">
        <v>0</v>
      </c>
    </row>
    <row r="6930" spans="1:8" x14ac:dyDescent="0.4">
      <c r="A6930">
        <v>1998</v>
      </c>
      <c r="B6930" s="8" t="s">
        <v>613</v>
      </c>
      <c r="C6930" s="8" t="s">
        <v>725</v>
      </c>
      <c r="D6930" s="8" t="s">
        <v>249</v>
      </c>
      <c r="E6930" s="70" t="s">
        <v>256</v>
      </c>
      <c r="F6930" s="29">
        <v>63</v>
      </c>
      <c r="G6930" s="29">
        <v>0</v>
      </c>
      <c r="H6930" s="29">
        <v>0</v>
      </c>
    </row>
    <row r="6931" spans="1:8" x14ac:dyDescent="0.4">
      <c r="A6931">
        <v>1998</v>
      </c>
      <c r="B6931" s="8" t="s">
        <v>614</v>
      </c>
      <c r="C6931" s="8" t="s">
        <v>725</v>
      </c>
      <c r="D6931" s="8" t="s">
        <v>249</v>
      </c>
      <c r="E6931" s="70" t="s">
        <v>14</v>
      </c>
      <c r="F6931" s="29">
        <v>79</v>
      </c>
      <c r="G6931" s="29">
        <v>0</v>
      </c>
      <c r="H6931" s="29">
        <v>0</v>
      </c>
    </row>
    <row r="6932" spans="1:8" x14ac:dyDescent="0.4">
      <c r="A6932">
        <v>1998</v>
      </c>
      <c r="B6932" s="8" t="s">
        <v>615</v>
      </c>
      <c r="C6932" s="8" t="s">
        <v>725</v>
      </c>
      <c r="D6932" s="8" t="s">
        <v>249</v>
      </c>
      <c r="E6932" s="70" t="s">
        <v>257</v>
      </c>
      <c r="F6932" s="29">
        <v>197</v>
      </c>
      <c r="G6932" s="29">
        <v>0</v>
      </c>
      <c r="H6932" s="29">
        <v>0</v>
      </c>
    </row>
    <row r="6933" spans="1:8" x14ac:dyDescent="0.4">
      <c r="A6933">
        <v>1998</v>
      </c>
      <c r="B6933" s="8" t="s">
        <v>616</v>
      </c>
      <c r="C6933" s="8" t="s">
        <v>725</v>
      </c>
      <c r="D6933" s="8" t="s">
        <v>249</v>
      </c>
      <c r="E6933" s="70" t="s">
        <v>258</v>
      </c>
      <c r="F6933" s="29">
        <v>32</v>
      </c>
      <c r="G6933" s="29">
        <v>0</v>
      </c>
      <c r="H6933" s="29">
        <v>0</v>
      </c>
    </row>
    <row r="6934" spans="1:8" x14ac:dyDescent="0.4">
      <c r="A6934">
        <v>1998</v>
      </c>
      <c r="B6934" s="8" t="s">
        <v>617</v>
      </c>
      <c r="C6934" s="8" t="s">
        <v>725</v>
      </c>
      <c r="D6934" s="8" t="s">
        <v>249</v>
      </c>
      <c r="E6934" s="70" t="s">
        <v>259</v>
      </c>
      <c r="F6934" s="29">
        <v>265</v>
      </c>
      <c r="G6934" s="29">
        <v>0</v>
      </c>
      <c r="H6934" s="29">
        <v>0</v>
      </c>
    </row>
    <row r="6935" spans="1:8" x14ac:dyDescent="0.4">
      <c r="A6935">
        <v>1998</v>
      </c>
      <c r="B6935" s="8" t="s">
        <v>618</v>
      </c>
      <c r="C6935" s="8" t="s">
        <v>725</v>
      </c>
      <c r="D6935" s="8" t="s">
        <v>249</v>
      </c>
      <c r="E6935" s="70" t="s">
        <v>18</v>
      </c>
      <c r="F6935" s="29">
        <v>59</v>
      </c>
      <c r="G6935" s="29">
        <v>0</v>
      </c>
      <c r="H6935" s="29">
        <v>0</v>
      </c>
    </row>
    <row r="6936" spans="1:8" x14ac:dyDescent="0.4">
      <c r="A6936">
        <v>1998</v>
      </c>
      <c r="B6936" s="8" t="s">
        <v>619</v>
      </c>
      <c r="C6936" s="8" t="s">
        <v>725</v>
      </c>
      <c r="D6936" s="8" t="s">
        <v>249</v>
      </c>
      <c r="E6936" s="70" t="s">
        <v>44</v>
      </c>
      <c r="F6936" s="29">
        <v>73</v>
      </c>
      <c r="G6936" s="29">
        <v>0</v>
      </c>
      <c r="H6936" s="29">
        <v>0</v>
      </c>
    </row>
    <row r="6937" spans="1:8" x14ac:dyDescent="0.4">
      <c r="A6937">
        <v>1998</v>
      </c>
      <c r="B6937" s="8" t="s">
        <v>620</v>
      </c>
      <c r="C6937" s="8" t="s">
        <v>725</v>
      </c>
      <c r="D6937" s="8" t="s">
        <v>249</v>
      </c>
      <c r="E6937" s="70" t="s">
        <v>260</v>
      </c>
      <c r="F6937" s="29">
        <v>48</v>
      </c>
      <c r="G6937" s="29">
        <v>0</v>
      </c>
      <c r="H6937" s="29">
        <v>0</v>
      </c>
    </row>
    <row r="6938" spans="1:8" x14ac:dyDescent="0.4">
      <c r="A6938">
        <v>1998</v>
      </c>
      <c r="B6938" s="8" t="s">
        <v>621</v>
      </c>
      <c r="C6938" s="8" t="s">
        <v>725</v>
      </c>
      <c r="D6938" s="8" t="s">
        <v>249</v>
      </c>
      <c r="E6938" s="70" t="s">
        <v>261</v>
      </c>
      <c r="F6938" s="29">
        <v>68</v>
      </c>
      <c r="G6938" s="29">
        <v>0</v>
      </c>
      <c r="H6938" s="29">
        <v>0</v>
      </c>
    </row>
    <row r="6939" spans="1:8" x14ac:dyDescent="0.4">
      <c r="A6939">
        <v>1998</v>
      </c>
      <c r="B6939" s="8" t="s">
        <v>622</v>
      </c>
      <c r="C6939" s="8" t="s">
        <v>725</v>
      </c>
      <c r="D6939" s="8" t="s">
        <v>249</v>
      </c>
      <c r="E6939" s="70" t="s">
        <v>262</v>
      </c>
      <c r="F6939" s="29">
        <v>148</v>
      </c>
      <c r="G6939" s="29">
        <v>0</v>
      </c>
      <c r="H6939" s="29">
        <v>0</v>
      </c>
    </row>
    <row r="6940" spans="1:8" x14ac:dyDescent="0.4">
      <c r="A6940">
        <v>1998</v>
      </c>
      <c r="B6940" s="8" t="s">
        <v>623</v>
      </c>
      <c r="C6940" s="8" t="s">
        <v>725</v>
      </c>
      <c r="D6940" s="8" t="s">
        <v>249</v>
      </c>
      <c r="E6940" s="70" t="s">
        <v>263</v>
      </c>
      <c r="F6940" s="29">
        <v>116</v>
      </c>
      <c r="G6940" s="29">
        <v>0</v>
      </c>
      <c r="H6940" s="29">
        <v>0</v>
      </c>
    </row>
    <row r="6941" spans="1:8" x14ac:dyDescent="0.4">
      <c r="A6941">
        <v>1998</v>
      </c>
      <c r="B6941" s="8" t="s">
        <v>624</v>
      </c>
      <c r="C6941" s="8" t="s">
        <v>725</v>
      </c>
      <c r="D6941" s="8" t="s">
        <v>249</v>
      </c>
      <c r="E6941" s="70" t="s">
        <v>264</v>
      </c>
      <c r="F6941" s="29">
        <v>18</v>
      </c>
      <c r="G6941" s="29">
        <v>0</v>
      </c>
      <c r="H6941" s="29">
        <v>0</v>
      </c>
    </row>
    <row r="6942" spans="1:8" x14ac:dyDescent="0.4">
      <c r="A6942">
        <v>1998</v>
      </c>
      <c r="B6942" s="8" t="s">
        <v>625</v>
      </c>
      <c r="C6942" s="8" t="s">
        <v>725</v>
      </c>
      <c r="D6942" s="8" t="s">
        <v>249</v>
      </c>
      <c r="E6942" s="70" t="s">
        <v>265</v>
      </c>
      <c r="F6942" s="29">
        <v>39</v>
      </c>
      <c r="G6942" s="29">
        <v>0</v>
      </c>
      <c r="H6942" s="29">
        <v>0</v>
      </c>
    </row>
    <row r="6943" spans="1:8" x14ac:dyDescent="0.4">
      <c r="A6943">
        <v>1998</v>
      </c>
      <c r="B6943" s="8" t="s">
        <v>626</v>
      </c>
      <c r="C6943" s="8" t="s">
        <v>725</v>
      </c>
      <c r="D6943" s="8" t="s">
        <v>249</v>
      </c>
      <c r="E6943" s="70" t="s">
        <v>266</v>
      </c>
      <c r="F6943" s="29">
        <v>2220</v>
      </c>
      <c r="G6943" s="29">
        <v>0</v>
      </c>
      <c r="H6943" s="29">
        <v>0</v>
      </c>
    </row>
    <row r="6944" spans="1:8" x14ac:dyDescent="0.4">
      <c r="A6944">
        <v>1998</v>
      </c>
      <c r="B6944" s="8" t="s">
        <v>627</v>
      </c>
      <c r="C6944" s="8" t="s">
        <v>725</v>
      </c>
      <c r="D6944" s="8" t="s">
        <v>249</v>
      </c>
      <c r="E6944" s="70" t="s">
        <v>267</v>
      </c>
      <c r="F6944" s="29">
        <v>0</v>
      </c>
      <c r="G6944" s="29">
        <v>0</v>
      </c>
      <c r="H6944" s="29">
        <v>0</v>
      </c>
    </row>
    <row r="6945" spans="1:8" x14ac:dyDescent="0.4">
      <c r="A6945">
        <v>1998</v>
      </c>
      <c r="B6945" s="8" t="s">
        <v>628</v>
      </c>
      <c r="C6945" s="8" t="s">
        <v>725</v>
      </c>
      <c r="D6945" s="8" t="s">
        <v>249</v>
      </c>
      <c r="E6945" s="70" t="s">
        <v>268</v>
      </c>
      <c r="F6945" s="29">
        <v>23</v>
      </c>
      <c r="G6945" s="29">
        <v>0</v>
      </c>
      <c r="H6945" s="29">
        <v>0</v>
      </c>
    </row>
    <row r="6946" spans="1:8" x14ac:dyDescent="0.4">
      <c r="A6946">
        <v>1998</v>
      </c>
      <c r="B6946" s="8" t="s">
        <v>629</v>
      </c>
      <c r="C6946" s="8" t="s">
        <v>725</v>
      </c>
      <c r="D6946" s="8" t="s">
        <v>249</v>
      </c>
      <c r="E6946" s="70" t="s">
        <v>26</v>
      </c>
      <c r="F6946" s="29">
        <v>16</v>
      </c>
      <c r="G6946" s="29">
        <v>0</v>
      </c>
      <c r="H6946" s="29">
        <v>0</v>
      </c>
    </row>
    <row r="6947" spans="1:8" x14ac:dyDescent="0.4">
      <c r="A6947">
        <v>1998</v>
      </c>
      <c r="B6947" s="8" t="s">
        <v>630</v>
      </c>
      <c r="C6947" s="8" t="s">
        <v>725</v>
      </c>
      <c r="D6947" s="8" t="s">
        <v>249</v>
      </c>
      <c r="E6947" s="70" t="s">
        <v>51</v>
      </c>
      <c r="F6947" s="29">
        <v>18</v>
      </c>
      <c r="G6947" s="29">
        <v>0</v>
      </c>
      <c r="H6947" s="29">
        <v>0</v>
      </c>
    </row>
    <row r="6948" spans="1:8" x14ac:dyDescent="0.4">
      <c r="A6948">
        <v>1998</v>
      </c>
      <c r="B6948" s="8" t="s">
        <v>631</v>
      </c>
      <c r="C6948" s="8" t="s">
        <v>725</v>
      </c>
      <c r="D6948" s="8" t="s">
        <v>249</v>
      </c>
      <c r="E6948" s="70" t="s">
        <v>269</v>
      </c>
      <c r="F6948" s="29">
        <v>44</v>
      </c>
      <c r="G6948" s="29">
        <v>0</v>
      </c>
      <c r="H6948" s="29">
        <v>0</v>
      </c>
    </row>
    <row r="6949" spans="1:8" x14ac:dyDescent="0.4">
      <c r="A6949">
        <v>1998</v>
      </c>
      <c r="B6949" s="8" t="s">
        <v>632</v>
      </c>
      <c r="C6949" s="8" t="s">
        <v>725</v>
      </c>
      <c r="D6949" s="8" t="s">
        <v>249</v>
      </c>
      <c r="E6949" s="70" t="s">
        <v>270</v>
      </c>
      <c r="F6949" s="29">
        <v>73</v>
      </c>
      <c r="G6949" s="29">
        <v>0</v>
      </c>
      <c r="H6949" s="29">
        <v>0</v>
      </c>
    </row>
    <row r="6950" spans="1:8" x14ac:dyDescent="0.4">
      <c r="A6950">
        <v>1998</v>
      </c>
      <c r="B6950" s="8" t="s">
        <v>633</v>
      </c>
      <c r="C6950" s="8" t="s">
        <v>726</v>
      </c>
      <c r="D6950" s="8" t="s">
        <v>271</v>
      </c>
      <c r="E6950" s="70" t="s">
        <v>174</v>
      </c>
      <c r="F6950" s="29">
        <v>39</v>
      </c>
      <c r="G6950" s="29">
        <v>0</v>
      </c>
      <c r="H6950" s="29">
        <v>0</v>
      </c>
    </row>
    <row r="6951" spans="1:8" x14ac:dyDescent="0.4">
      <c r="A6951">
        <v>1998</v>
      </c>
      <c r="B6951" s="8" t="s">
        <v>634</v>
      </c>
      <c r="C6951" s="8" t="s">
        <v>726</v>
      </c>
      <c r="D6951" s="8" t="s">
        <v>271</v>
      </c>
      <c r="E6951" s="70" t="s">
        <v>272</v>
      </c>
      <c r="F6951" s="29">
        <v>552</v>
      </c>
      <c r="G6951" s="29">
        <v>0</v>
      </c>
      <c r="H6951" s="29">
        <v>0</v>
      </c>
    </row>
    <row r="6952" spans="1:8" x14ac:dyDescent="0.4">
      <c r="A6952">
        <v>1998</v>
      </c>
      <c r="B6952" s="8" t="s">
        <v>635</v>
      </c>
      <c r="C6952" s="8" t="s">
        <v>726</v>
      </c>
      <c r="D6952" s="8" t="s">
        <v>271</v>
      </c>
      <c r="E6952" s="70" t="s">
        <v>36</v>
      </c>
      <c r="F6952" s="29">
        <v>21</v>
      </c>
      <c r="G6952" s="29">
        <v>0</v>
      </c>
      <c r="H6952" s="29">
        <v>0</v>
      </c>
    </row>
    <row r="6953" spans="1:8" x14ac:dyDescent="0.4">
      <c r="A6953">
        <v>1998</v>
      </c>
      <c r="B6953" s="8" t="s">
        <v>636</v>
      </c>
      <c r="C6953" s="8" t="s">
        <v>726</v>
      </c>
      <c r="D6953" s="8" t="s">
        <v>271</v>
      </c>
      <c r="E6953" s="70" t="s">
        <v>273</v>
      </c>
      <c r="F6953" s="29">
        <v>68</v>
      </c>
      <c r="G6953" s="29">
        <v>0</v>
      </c>
      <c r="H6953" s="29">
        <v>0</v>
      </c>
    </row>
    <row r="6954" spans="1:8" x14ac:dyDescent="0.4">
      <c r="A6954">
        <v>1998</v>
      </c>
      <c r="B6954" s="8" t="s">
        <v>637</v>
      </c>
      <c r="C6954" s="8" t="s">
        <v>726</v>
      </c>
      <c r="D6954" s="8" t="s">
        <v>271</v>
      </c>
      <c r="E6954" s="70" t="s">
        <v>274</v>
      </c>
      <c r="F6954" s="29">
        <v>148</v>
      </c>
      <c r="G6954" s="29">
        <v>0</v>
      </c>
      <c r="H6954" s="29">
        <v>0</v>
      </c>
    </row>
    <row r="6955" spans="1:8" x14ac:dyDescent="0.4">
      <c r="A6955">
        <v>1998</v>
      </c>
      <c r="B6955" s="8" t="s">
        <v>638</v>
      </c>
      <c r="C6955" s="8" t="s">
        <v>726</v>
      </c>
      <c r="D6955" s="8" t="s">
        <v>271</v>
      </c>
      <c r="E6955" s="70" t="s">
        <v>275</v>
      </c>
      <c r="F6955" s="29">
        <v>56</v>
      </c>
      <c r="G6955" s="29">
        <v>0</v>
      </c>
      <c r="H6955" s="29">
        <v>0</v>
      </c>
    </row>
    <row r="6956" spans="1:8" x14ac:dyDescent="0.4">
      <c r="A6956">
        <v>1998</v>
      </c>
      <c r="B6956" s="8" t="s">
        <v>639</v>
      </c>
      <c r="C6956" s="8" t="s">
        <v>726</v>
      </c>
      <c r="D6956" s="8" t="s">
        <v>271</v>
      </c>
      <c r="E6956" s="70" t="s">
        <v>276</v>
      </c>
      <c r="F6956" s="29">
        <v>6</v>
      </c>
      <c r="G6956" s="29">
        <v>0</v>
      </c>
      <c r="H6956" s="29">
        <v>0</v>
      </c>
    </row>
    <row r="6957" spans="1:8" x14ac:dyDescent="0.4">
      <c r="A6957">
        <v>1998</v>
      </c>
      <c r="B6957" s="8" t="s">
        <v>640</v>
      </c>
      <c r="C6957" s="8" t="s">
        <v>726</v>
      </c>
      <c r="D6957" s="8" t="s">
        <v>271</v>
      </c>
      <c r="E6957" s="70" t="s">
        <v>277</v>
      </c>
      <c r="F6957" s="29">
        <v>16</v>
      </c>
      <c r="G6957" s="29">
        <v>0</v>
      </c>
      <c r="H6957" s="29">
        <v>0</v>
      </c>
    </row>
    <row r="6958" spans="1:8" x14ac:dyDescent="0.4">
      <c r="A6958">
        <v>1998</v>
      </c>
      <c r="B6958" s="8" t="s">
        <v>641</v>
      </c>
      <c r="C6958" s="8" t="s">
        <v>726</v>
      </c>
      <c r="D6958" s="8" t="s">
        <v>271</v>
      </c>
      <c r="E6958" s="70" t="s">
        <v>278</v>
      </c>
      <c r="F6958" s="29">
        <v>28</v>
      </c>
      <c r="G6958" s="29">
        <v>0</v>
      </c>
      <c r="H6958" s="29">
        <v>0</v>
      </c>
    </row>
    <row r="6959" spans="1:8" x14ac:dyDescent="0.4">
      <c r="A6959">
        <v>1998</v>
      </c>
      <c r="B6959" s="8" t="s">
        <v>642</v>
      </c>
      <c r="C6959" s="8" t="s">
        <v>726</v>
      </c>
      <c r="D6959" s="8" t="s">
        <v>271</v>
      </c>
      <c r="E6959" s="70" t="s">
        <v>85</v>
      </c>
      <c r="F6959" s="29">
        <v>36</v>
      </c>
      <c r="G6959" s="29">
        <v>0</v>
      </c>
      <c r="H6959" s="29">
        <v>0</v>
      </c>
    </row>
    <row r="6960" spans="1:8" x14ac:dyDescent="0.4">
      <c r="A6960">
        <v>1998</v>
      </c>
      <c r="B6960" s="8" t="s">
        <v>643</v>
      </c>
      <c r="C6960" s="8" t="s">
        <v>726</v>
      </c>
      <c r="D6960" s="8" t="s">
        <v>271</v>
      </c>
      <c r="E6960" s="70" t="s">
        <v>279</v>
      </c>
      <c r="F6960" s="29">
        <v>55</v>
      </c>
      <c r="G6960" s="29">
        <v>0</v>
      </c>
      <c r="H6960" s="29">
        <v>0</v>
      </c>
    </row>
    <row r="6961" spans="1:8" x14ac:dyDescent="0.4">
      <c r="A6961">
        <v>1998</v>
      </c>
      <c r="B6961" s="8" t="s">
        <v>644</v>
      </c>
      <c r="C6961" s="8" t="s">
        <v>726</v>
      </c>
      <c r="D6961" s="8" t="s">
        <v>271</v>
      </c>
      <c r="E6961" s="70" t="s">
        <v>280</v>
      </c>
      <c r="F6961" s="29">
        <v>30</v>
      </c>
      <c r="G6961" s="29">
        <v>0</v>
      </c>
      <c r="H6961" s="29">
        <v>0</v>
      </c>
    </row>
    <row r="6962" spans="1:8" x14ac:dyDescent="0.4">
      <c r="A6962">
        <v>1998</v>
      </c>
      <c r="B6962" s="8" t="s">
        <v>645</v>
      </c>
      <c r="C6962" s="8" t="s">
        <v>726</v>
      </c>
      <c r="D6962" s="8" t="s">
        <v>271</v>
      </c>
      <c r="E6962" s="70" t="s">
        <v>281</v>
      </c>
      <c r="F6962" s="29">
        <v>144</v>
      </c>
      <c r="G6962" s="29">
        <v>0</v>
      </c>
      <c r="H6962" s="29">
        <v>0</v>
      </c>
    </row>
    <row r="6963" spans="1:8" x14ac:dyDescent="0.4">
      <c r="A6963">
        <v>1998</v>
      </c>
      <c r="B6963" s="8" t="s">
        <v>646</v>
      </c>
      <c r="C6963" s="8" t="s">
        <v>726</v>
      </c>
      <c r="D6963" s="8" t="s">
        <v>271</v>
      </c>
      <c r="E6963" s="70" t="s">
        <v>282</v>
      </c>
      <c r="F6963" s="29">
        <v>39</v>
      </c>
      <c r="G6963" s="29">
        <v>0</v>
      </c>
      <c r="H6963" s="29">
        <v>0</v>
      </c>
    </row>
    <row r="6964" spans="1:8" x14ac:dyDescent="0.4">
      <c r="A6964">
        <v>1998</v>
      </c>
      <c r="B6964" s="8" t="s">
        <v>647</v>
      </c>
      <c r="C6964" s="8" t="s">
        <v>726</v>
      </c>
      <c r="D6964" s="8" t="s">
        <v>271</v>
      </c>
      <c r="E6964" s="70" t="s">
        <v>283</v>
      </c>
      <c r="F6964" s="29">
        <v>49</v>
      </c>
      <c r="G6964" s="29">
        <v>0</v>
      </c>
      <c r="H6964" s="29">
        <v>0</v>
      </c>
    </row>
    <row r="6965" spans="1:8" x14ac:dyDescent="0.4">
      <c r="A6965">
        <v>1998</v>
      </c>
      <c r="B6965" s="8" t="s">
        <v>648</v>
      </c>
      <c r="C6965" s="8" t="s">
        <v>726</v>
      </c>
      <c r="D6965" s="8" t="s">
        <v>271</v>
      </c>
      <c r="E6965" s="70" t="s">
        <v>284</v>
      </c>
      <c r="F6965" s="29">
        <v>117</v>
      </c>
      <c r="G6965" s="29">
        <v>0</v>
      </c>
      <c r="H6965" s="29">
        <v>0</v>
      </c>
    </row>
    <row r="6966" spans="1:8" x14ac:dyDescent="0.4">
      <c r="A6966">
        <v>1998</v>
      </c>
      <c r="B6966" s="8" t="s">
        <v>649</v>
      </c>
      <c r="C6966" s="8" t="s">
        <v>726</v>
      </c>
      <c r="D6966" s="8" t="s">
        <v>271</v>
      </c>
      <c r="E6966" s="70" t="s">
        <v>51</v>
      </c>
      <c r="F6966" s="29">
        <v>107</v>
      </c>
      <c r="G6966" s="29">
        <v>0</v>
      </c>
      <c r="H6966" s="29">
        <v>0</v>
      </c>
    </row>
    <row r="6967" spans="1:8" x14ac:dyDescent="0.4">
      <c r="A6967">
        <v>1998</v>
      </c>
      <c r="B6967" s="8" t="s">
        <v>650</v>
      </c>
      <c r="C6967" s="8" t="s">
        <v>726</v>
      </c>
      <c r="D6967" s="8" t="s">
        <v>271</v>
      </c>
      <c r="E6967" s="70" t="s">
        <v>285</v>
      </c>
      <c r="F6967" s="29">
        <v>397</v>
      </c>
      <c r="G6967" s="29">
        <v>0</v>
      </c>
      <c r="H6967" s="29">
        <v>0</v>
      </c>
    </row>
    <row r="6968" spans="1:8" x14ac:dyDescent="0.4">
      <c r="A6968">
        <v>1998</v>
      </c>
      <c r="B6968" s="8" t="s">
        <v>651</v>
      </c>
      <c r="C6968" s="8" t="s">
        <v>726</v>
      </c>
      <c r="D6968" s="8" t="s">
        <v>271</v>
      </c>
      <c r="E6968" s="70" t="s">
        <v>53</v>
      </c>
      <c r="F6968" s="29">
        <v>131</v>
      </c>
      <c r="G6968" s="29">
        <v>0</v>
      </c>
      <c r="H6968" s="29">
        <v>0</v>
      </c>
    </row>
    <row r="6969" spans="1:8" x14ac:dyDescent="0.4">
      <c r="A6969">
        <v>1998</v>
      </c>
      <c r="B6969" s="8" t="s">
        <v>652</v>
      </c>
      <c r="C6969" s="8" t="s">
        <v>726</v>
      </c>
      <c r="D6969" s="8" t="s">
        <v>271</v>
      </c>
      <c r="E6969" s="70" t="s">
        <v>286</v>
      </c>
      <c r="F6969" s="29">
        <v>1218</v>
      </c>
      <c r="G6969" s="29">
        <v>0</v>
      </c>
      <c r="H6969" s="29">
        <v>0</v>
      </c>
    </row>
    <row r="6970" spans="1:8" x14ac:dyDescent="0.4">
      <c r="A6970">
        <v>1998</v>
      </c>
      <c r="B6970" s="8" t="s">
        <v>653</v>
      </c>
      <c r="C6970" s="8" t="s">
        <v>727</v>
      </c>
      <c r="D6970" s="8" t="s">
        <v>288</v>
      </c>
      <c r="E6970" s="70" t="s">
        <v>287</v>
      </c>
      <c r="F6970" s="29">
        <v>0</v>
      </c>
      <c r="G6970" s="29">
        <v>0</v>
      </c>
      <c r="H6970" s="29">
        <v>0</v>
      </c>
    </row>
    <row r="6971" spans="1:8" x14ac:dyDescent="0.4">
      <c r="A6971">
        <v>1998</v>
      </c>
      <c r="B6971" s="8" t="s">
        <v>654</v>
      </c>
      <c r="C6971" s="8" t="s">
        <v>727</v>
      </c>
      <c r="D6971" s="8" t="s">
        <v>288</v>
      </c>
      <c r="E6971" s="70" t="s">
        <v>289</v>
      </c>
      <c r="F6971" s="29">
        <v>0</v>
      </c>
      <c r="G6971" s="29">
        <v>0</v>
      </c>
      <c r="H6971" s="29">
        <v>0</v>
      </c>
    </row>
    <row r="6972" spans="1:8" x14ac:dyDescent="0.4">
      <c r="A6972">
        <v>1998</v>
      </c>
      <c r="B6972" s="8" t="s">
        <v>655</v>
      </c>
      <c r="C6972" s="8" t="s">
        <v>727</v>
      </c>
      <c r="D6972" s="8" t="s">
        <v>288</v>
      </c>
      <c r="E6972" s="70" t="s">
        <v>290</v>
      </c>
      <c r="F6972" s="29">
        <v>0</v>
      </c>
      <c r="G6972" s="29">
        <v>0</v>
      </c>
      <c r="H6972" s="29">
        <v>0</v>
      </c>
    </row>
    <row r="6973" spans="1:8" x14ac:dyDescent="0.4">
      <c r="A6973">
        <v>1998</v>
      </c>
      <c r="B6973" s="8" t="s">
        <v>656</v>
      </c>
      <c r="C6973" s="8" t="s">
        <v>727</v>
      </c>
      <c r="D6973" s="8" t="s">
        <v>288</v>
      </c>
      <c r="E6973" s="70" t="s">
        <v>291</v>
      </c>
      <c r="F6973" s="29">
        <v>0</v>
      </c>
      <c r="G6973" s="29">
        <v>0</v>
      </c>
      <c r="H6973" s="29">
        <v>0</v>
      </c>
    </row>
    <row r="6974" spans="1:8" x14ac:dyDescent="0.4">
      <c r="A6974">
        <v>1998</v>
      </c>
      <c r="B6974" s="8" t="s">
        <v>657</v>
      </c>
      <c r="C6974" s="8" t="s">
        <v>727</v>
      </c>
      <c r="D6974" s="8" t="s">
        <v>288</v>
      </c>
      <c r="E6974" s="70" t="s">
        <v>292</v>
      </c>
      <c r="F6974" s="29">
        <v>0</v>
      </c>
      <c r="G6974" s="29">
        <v>0</v>
      </c>
      <c r="H6974" s="29">
        <v>0</v>
      </c>
    </row>
    <row r="6975" spans="1:8" x14ac:dyDescent="0.4">
      <c r="A6975">
        <v>1998</v>
      </c>
      <c r="B6975" s="8" t="s">
        <v>658</v>
      </c>
      <c r="C6975" s="8" t="s">
        <v>727</v>
      </c>
      <c r="D6975" s="8" t="s">
        <v>288</v>
      </c>
      <c r="E6975" s="70" t="s">
        <v>293</v>
      </c>
      <c r="F6975" s="29">
        <v>0</v>
      </c>
      <c r="G6975" s="29">
        <v>0</v>
      </c>
      <c r="H6975" s="29">
        <v>0</v>
      </c>
    </row>
    <row r="6976" spans="1:8" x14ac:dyDescent="0.4">
      <c r="A6976">
        <v>1998</v>
      </c>
      <c r="B6976" s="8" t="s">
        <v>659</v>
      </c>
      <c r="C6976" s="8" t="s">
        <v>727</v>
      </c>
      <c r="D6976" s="8" t="s">
        <v>288</v>
      </c>
      <c r="E6976" s="70" t="s">
        <v>294</v>
      </c>
      <c r="F6976" s="29">
        <v>0</v>
      </c>
      <c r="G6976" s="29">
        <v>0</v>
      </c>
      <c r="H6976" s="29">
        <v>0</v>
      </c>
    </row>
    <row r="6977" spans="1:8" x14ac:dyDescent="0.4">
      <c r="A6977">
        <v>1998</v>
      </c>
      <c r="B6977" s="8" t="s">
        <v>660</v>
      </c>
      <c r="C6977" s="8" t="s">
        <v>727</v>
      </c>
      <c r="D6977" s="8" t="s">
        <v>288</v>
      </c>
      <c r="E6977" s="70" t="s">
        <v>295</v>
      </c>
      <c r="F6977" s="29">
        <v>0</v>
      </c>
      <c r="G6977" s="29">
        <v>0</v>
      </c>
      <c r="H6977" s="29">
        <v>0</v>
      </c>
    </row>
    <row r="6978" spans="1:8" x14ac:dyDescent="0.4">
      <c r="A6978">
        <v>1998</v>
      </c>
      <c r="B6978" s="8" t="s">
        <v>661</v>
      </c>
      <c r="C6978" s="8" t="s">
        <v>727</v>
      </c>
      <c r="D6978" s="8" t="s">
        <v>288</v>
      </c>
      <c r="E6978" s="70" t="s">
        <v>296</v>
      </c>
      <c r="F6978" s="29">
        <v>0</v>
      </c>
      <c r="G6978" s="29">
        <v>0</v>
      </c>
      <c r="H6978" s="29">
        <v>0</v>
      </c>
    </row>
    <row r="6979" spans="1:8" x14ac:dyDescent="0.4">
      <c r="A6979">
        <v>1998</v>
      </c>
      <c r="B6979" s="8" t="s">
        <v>662</v>
      </c>
      <c r="C6979" s="8" t="s">
        <v>727</v>
      </c>
      <c r="D6979" s="8" t="s">
        <v>288</v>
      </c>
      <c r="E6979" s="70" t="s">
        <v>297</v>
      </c>
      <c r="F6979" s="29">
        <v>0</v>
      </c>
      <c r="G6979" s="29">
        <v>0</v>
      </c>
      <c r="H6979" s="29">
        <v>0</v>
      </c>
    </row>
    <row r="6980" spans="1:8" x14ac:dyDescent="0.4">
      <c r="A6980">
        <v>1998</v>
      </c>
      <c r="B6980" s="8" t="s">
        <v>663</v>
      </c>
      <c r="C6980" s="8" t="s">
        <v>727</v>
      </c>
      <c r="D6980" s="8" t="s">
        <v>288</v>
      </c>
      <c r="E6980" s="70" t="s">
        <v>298</v>
      </c>
      <c r="F6980" s="29">
        <v>0</v>
      </c>
      <c r="G6980" s="29">
        <v>0</v>
      </c>
      <c r="H6980" s="29">
        <v>0</v>
      </c>
    </row>
    <row r="6981" spans="1:8" x14ac:dyDescent="0.4">
      <c r="A6981">
        <v>1998</v>
      </c>
      <c r="B6981" s="8" t="s">
        <v>664</v>
      </c>
      <c r="C6981" s="8" t="s">
        <v>728</v>
      </c>
      <c r="D6981" s="8" t="s">
        <v>300</v>
      </c>
      <c r="E6981" s="70" t="s">
        <v>299</v>
      </c>
      <c r="F6981" s="29">
        <v>30</v>
      </c>
      <c r="G6981" s="29">
        <v>0</v>
      </c>
      <c r="H6981" s="29">
        <v>0</v>
      </c>
    </row>
    <row r="6982" spans="1:8" x14ac:dyDescent="0.4">
      <c r="A6982">
        <v>1998</v>
      </c>
      <c r="B6982" s="8" t="s">
        <v>665</v>
      </c>
      <c r="C6982" s="8" t="s">
        <v>728</v>
      </c>
      <c r="D6982" s="8" t="s">
        <v>300</v>
      </c>
      <c r="E6982" s="70" t="s">
        <v>36</v>
      </c>
      <c r="F6982" s="29">
        <v>62</v>
      </c>
      <c r="G6982" s="29">
        <v>0</v>
      </c>
      <c r="H6982" s="29">
        <v>0</v>
      </c>
    </row>
    <row r="6983" spans="1:8" x14ac:dyDescent="0.4">
      <c r="A6983">
        <v>1998</v>
      </c>
      <c r="B6983" s="8" t="s">
        <v>666</v>
      </c>
      <c r="C6983" s="8" t="s">
        <v>728</v>
      </c>
      <c r="D6983" s="8" t="s">
        <v>300</v>
      </c>
      <c r="E6983" s="70" t="s">
        <v>301</v>
      </c>
      <c r="F6983" s="29">
        <v>159</v>
      </c>
      <c r="G6983" s="29">
        <v>0</v>
      </c>
      <c r="H6983" s="29">
        <v>0</v>
      </c>
    </row>
    <row r="6984" spans="1:8" x14ac:dyDescent="0.4">
      <c r="A6984">
        <v>1998</v>
      </c>
      <c r="B6984" s="8" t="s">
        <v>667</v>
      </c>
      <c r="C6984" s="8" t="s">
        <v>728</v>
      </c>
      <c r="D6984" s="8" t="s">
        <v>300</v>
      </c>
      <c r="E6984" s="70" t="s">
        <v>302</v>
      </c>
      <c r="F6984" s="29">
        <v>80</v>
      </c>
      <c r="G6984" s="29">
        <v>0</v>
      </c>
      <c r="H6984" s="29">
        <v>0</v>
      </c>
    </row>
    <row r="6985" spans="1:8" x14ac:dyDescent="0.4">
      <c r="A6985">
        <v>1998</v>
      </c>
      <c r="B6985" s="8" t="s">
        <v>668</v>
      </c>
      <c r="C6985" s="8" t="s">
        <v>728</v>
      </c>
      <c r="D6985" s="8" t="s">
        <v>300</v>
      </c>
      <c r="E6985" s="70" t="s">
        <v>14</v>
      </c>
      <c r="F6985" s="29">
        <v>77</v>
      </c>
      <c r="G6985" s="29">
        <v>0</v>
      </c>
      <c r="H6985" s="29">
        <v>0</v>
      </c>
    </row>
    <row r="6986" spans="1:8" x14ac:dyDescent="0.4">
      <c r="A6986">
        <v>1998</v>
      </c>
      <c r="B6986" s="8" t="s">
        <v>669</v>
      </c>
      <c r="C6986" s="8" t="s">
        <v>728</v>
      </c>
      <c r="D6986" s="8" t="s">
        <v>300</v>
      </c>
      <c r="E6986" s="70" t="s">
        <v>303</v>
      </c>
      <c r="F6986" s="29">
        <v>34</v>
      </c>
      <c r="G6986" s="29">
        <v>0</v>
      </c>
      <c r="H6986" s="29">
        <v>0</v>
      </c>
    </row>
    <row r="6987" spans="1:8" x14ac:dyDescent="0.4">
      <c r="A6987">
        <v>1998</v>
      </c>
      <c r="B6987" s="8" t="s">
        <v>670</v>
      </c>
      <c r="C6987" s="8" t="s">
        <v>728</v>
      </c>
      <c r="D6987" s="8" t="s">
        <v>300</v>
      </c>
      <c r="E6987" s="70" t="s">
        <v>304</v>
      </c>
      <c r="F6987" s="29">
        <v>8</v>
      </c>
      <c r="G6987" s="29">
        <v>0</v>
      </c>
      <c r="H6987" s="29">
        <v>0</v>
      </c>
    </row>
    <row r="6988" spans="1:8" x14ac:dyDescent="0.4">
      <c r="A6988">
        <v>1998</v>
      </c>
      <c r="B6988" s="8" t="s">
        <v>671</v>
      </c>
      <c r="C6988" s="8" t="s">
        <v>728</v>
      </c>
      <c r="D6988" s="8" t="s">
        <v>300</v>
      </c>
      <c r="E6988" s="70" t="s">
        <v>305</v>
      </c>
      <c r="F6988" s="29">
        <v>20</v>
      </c>
      <c r="G6988" s="29">
        <v>0</v>
      </c>
      <c r="H6988" s="29">
        <v>0</v>
      </c>
    </row>
    <row r="6989" spans="1:8" x14ac:dyDescent="0.4">
      <c r="A6989">
        <v>1998</v>
      </c>
      <c r="B6989" s="8" t="s">
        <v>672</v>
      </c>
      <c r="C6989" s="8" t="s">
        <v>728</v>
      </c>
      <c r="D6989" s="8" t="s">
        <v>300</v>
      </c>
      <c r="E6989" s="70" t="s">
        <v>306</v>
      </c>
      <c r="F6989" s="29">
        <v>224</v>
      </c>
      <c r="G6989" s="29">
        <v>0</v>
      </c>
      <c r="H6989" s="29">
        <v>0</v>
      </c>
    </row>
    <row r="6990" spans="1:8" x14ac:dyDescent="0.4">
      <c r="A6990">
        <v>1998</v>
      </c>
      <c r="B6990" s="8" t="s">
        <v>673</v>
      </c>
      <c r="C6990" s="8" t="s">
        <v>728</v>
      </c>
      <c r="D6990" s="8" t="s">
        <v>300</v>
      </c>
      <c r="E6990" s="70" t="s">
        <v>307</v>
      </c>
      <c r="F6990" s="29">
        <v>206</v>
      </c>
      <c r="G6990" s="29">
        <v>0</v>
      </c>
      <c r="H6990" s="29">
        <v>0</v>
      </c>
    </row>
    <row r="6991" spans="1:8" x14ac:dyDescent="0.4">
      <c r="A6991">
        <v>1998</v>
      </c>
      <c r="B6991" s="8" t="s">
        <v>674</v>
      </c>
      <c r="C6991" s="8" t="s">
        <v>728</v>
      </c>
      <c r="D6991" s="8" t="s">
        <v>300</v>
      </c>
      <c r="E6991" s="70" t="s">
        <v>308</v>
      </c>
      <c r="F6991" s="29">
        <v>984</v>
      </c>
      <c r="G6991" s="29">
        <v>0</v>
      </c>
      <c r="H6991" s="29">
        <v>0</v>
      </c>
    </row>
    <row r="6992" spans="1:8" x14ac:dyDescent="0.4">
      <c r="A6992">
        <v>1998</v>
      </c>
      <c r="B6992" s="8" t="s">
        <v>675</v>
      </c>
      <c r="C6992" s="8" t="s">
        <v>728</v>
      </c>
      <c r="D6992" s="8" t="s">
        <v>300</v>
      </c>
      <c r="E6992" s="70" t="s">
        <v>51</v>
      </c>
      <c r="F6992" s="29">
        <v>42</v>
      </c>
      <c r="G6992" s="29">
        <v>0</v>
      </c>
      <c r="H6992" s="29">
        <v>0</v>
      </c>
    </row>
    <row r="6993" spans="1:8" x14ac:dyDescent="0.4">
      <c r="A6993">
        <v>1998</v>
      </c>
      <c r="B6993" s="8" t="s">
        <v>676</v>
      </c>
      <c r="C6993" s="8" t="s">
        <v>728</v>
      </c>
      <c r="D6993" s="8" t="s">
        <v>300</v>
      </c>
      <c r="E6993" s="70" t="s">
        <v>309</v>
      </c>
      <c r="F6993" s="29">
        <v>44</v>
      </c>
      <c r="G6993" s="29">
        <v>0</v>
      </c>
      <c r="H6993" s="29">
        <v>0</v>
      </c>
    </row>
    <row r="6994" spans="1:8" x14ac:dyDescent="0.4">
      <c r="A6994">
        <v>1998</v>
      </c>
      <c r="B6994" s="8" t="s">
        <v>677</v>
      </c>
      <c r="C6994" s="8" t="s">
        <v>728</v>
      </c>
      <c r="D6994" s="8" t="s">
        <v>300</v>
      </c>
      <c r="E6994" s="70" t="s">
        <v>310</v>
      </c>
      <c r="F6994" s="29">
        <v>49</v>
      </c>
      <c r="G6994" s="29">
        <v>0</v>
      </c>
      <c r="H6994" s="29">
        <v>0</v>
      </c>
    </row>
    <row r="6995" spans="1:8" x14ac:dyDescent="0.4">
      <c r="A6995">
        <v>1998</v>
      </c>
      <c r="B6995" s="8" t="s">
        <v>678</v>
      </c>
      <c r="C6995" s="8" t="s">
        <v>729</v>
      </c>
      <c r="D6995" s="8" t="s">
        <v>312</v>
      </c>
      <c r="E6995" s="70" t="s">
        <v>311</v>
      </c>
      <c r="F6995" s="29">
        <v>26</v>
      </c>
      <c r="G6995" s="29">
        <v>0</v>
      </c>
      <c r="H6995" s="29">
        <v>0</v>
      </c>
    </row>
    <row r="6996" spans="1:8" x14ac:dyDescent="0.4">
      <c r="A6996">
        <v>1998</v>
      </c>
      <c r="B6996" s="8" t="s">
        <v>679</v>
      </c>
      <c r="C6996" s="8" t="s">
        <v>729</v>
      </c>
      <c r="D6996" s="8" t="s">
        <v>312</v>
      </c>
      <c r="E6996" s="70" t="s">
        <v>313</v>
      </c>
      <c r="F6996" s="29">
        <v>263</v>
      </c>
      <c r="G6996" s="29">
        <v>0</v>
      </c>
      <c r="H6996" s="29">
        <v>0</v>
      </c>
    </row>
    <row r="6997" spans="1:8" x14ac:dyDescent="0.4">
      <c r="A6997">
        <v>1998</v>
      </c>
      <c r="B6997" s="8" t="s">
        <v>680</v>
      </c>
      <c r="C6997" s="8" t="s">
        <v>729</v>
      </c>
      <c r="D6997" s="8" t="s">
        <v>312</v>
      </c>
      <c r="E6997" s="70" t="s">
        <v>314</v>
      </c>
      <c r="F6997" s="29">
        <v>1039</v>
      </c>
      <c r="G6997" s="29">
        <v>0</v>
      </c>
      <c r="H6997" s="29">
        <v>0</v>
      </c>
    </row>
    <row r="6998" spans="1:8" x14ac:dyDescent="0.4">
      <c r="A6998">
        <v>1998</v>
      </c>
      <c r="B6998" s="8" t="s">
        <v>681</v>
      </c>
      <c r="C6998" s="8" t="s">
        <v>729</v>
      </c>
      <c r="D6998" s="8" t="s">
        <v>312</v>
      </c>
      <c r="E6998" s="70" t="s">
        <v>315</v>
      </c>
      <c r="F6998" s="29">
        <v>96</v>
      </c>
      <c r="G6998" s="29">
        <v>0</v>
      </c>
      <c r="H6998" s="29">
        <v>0</v>
      </c>
    </row>
    <row r="6999" spans="1:8" x14ac:dyDescent="0.4">
      <c r="A6999">
        <v>1998</v>
      </c>
      <c r="B6999" s="8" t="s">
        <v>682</v>
      </c>
      <c r="C6999" s="8" t="s">
        <v>729</v>
      </c>
      <c r="D6999" s="8" t="s">
        <v>312</v>
      </c>
      <c r="E6999" s="70" t="s">
        <v>316</v>
      </c>
      <c r="F6999" s="29">
        <v>396</v>
      </c>
      <c r="G6999" s="29">
        <v>0</v>
      </c>
      <c r="H6999" s="29">
        <v>0</v>
      </c>
    </row>
    <row r="7000" spans="1:8" x14ac:dyDescent="0.4">
      <c r="A7000">
        <v>1998</v>
      </c>
      <c r="B7000" s="8" t="s">
        <v>683</v>
      </c>
      <c r="C7000" s="8" t="s">
        <v>729</v>
      </c>
      <c r="D7000" s="8" t="s">
        <v>312</v>
      </c>
      <c r="E7000" s="70" t="s">
        <v>317</v>
      </c>
      <c r="F7000" s="29">
        <v>58</v>
      </c>
      <c r="G7000" s="29">
        <v>0</v>
      </c>
      <c r="H7000" s="29">
        <v>0</v>
      </c>
    </row>
    <row r="7001" spans="1:8" x14ac:dyDescent="0.4">
      <c r="A7001">
        <v>1998</v>
      </c>
      <c r="B7001" s="8" t="s">
        <v>684</v>
      </c>
      <c r="C7001" s="8" t="s">
        <v>729</v>
      </c>
      <c r="D7001" s="8" t="s">
        <v>312</v>
      </c>
      <c r="E7001" s="70" t="s">
        <v>318</v>
      </c>
      <c r="F7001" s="29">
        <v>279</v>
      </c>
      <c r="G7001" s="29">
        <v>0</v>
      </c>
      <c r="H7001" s="29">
        <v>0</v>
      </c>
    </row>
    <row r="7002" spans="1:8" x14ac:dyDescent="0.4">
      <c r="A7002">
        <v>1998</v>
      </c>
      <c r="B7002" s="8" t="s">
        <v>685</v>
      </c>
      <c r="C7002" s="8" t="s">
        <v>729</v>
      </c>
      <c r="D7002" s="8" t="s">
        <v>312</v>
      </c>
      <c r="E7002" s="70" t="s">
        <v>319</v>
      </c>
      <c r="F7002" s="29">
        <v>39</v>
      </c>
      <c r="G7002" s="29">
        <v>0</v>
      </c>
      <c r="H7002" s="29">
        <v>0</v>
      </c>
    </row>
    <row r="7003" spans="1:8" x14ac:dyDescent="0.4">
      <c r="A7003">
        <v>1998</v>
      </c>
      <c r="B7003" s="8" t="s">
        <v>686</v>
      </c>
      <c r="C7003" s="8" t="s">
        <v>729</v>
      </c>
      <c r="D7003" s="8" t="s">
        <v>312</v>
      </c>
      <c r="E7003" s="70" t="s">
        <v>320</v>
      </c>
      <c r="F7003" s="29">
        <v>189</v>
      </c>
      <c r="G7003" s="29">
        <v>0</v>
      </c>
      <c r="H7003" s="29">
        <v>0</v>
      </c>
    </row>
    <row r="7004" spans="1:8" x14ac:dyDescent="0.4">
      <c r="A7004">
        <v>1998</v>
      </c>
      <c r="B7004" s="8" t="s">
        <v>687</v>
      </c>
      <c r="C7004" s="8" t="s">
        <v>729</v>
      </c>
      <c r="D7004" s="8" t="s">
        <v>312</v>
      </c>
      <c r="E7004" s="70" t="s">
        <v>321</v>
      </c>
      <c r="F7004" s="29">
        <v>787</v>
      </c>
      <c r="G7004" s="29">
        <v>0</v>
      </c>
      <c r="H7004" s="29">
        <v>0</v>
      </c>
    </row>
    <row r="7005" spans="1:8" x14ac:dyDescent="0.4">
      <c r="A7005">
        <v>1998</v>
      </c>
      <c r="B7005" s="8" t="s">
        <v>688</v>
      </c>
      <c r="C7005" s="8" t="s">
        <v>729</v>
      </c>
      <c r="D7005" s="8" t="s">
        <v>312</v>
      </c>
      <c r="E7005" s="70" t="s">
        <v>322</v>
      </c>
      <c r="F7005" s="29">
        <v>380</v>
      </c>
      <c r="G7005" s="29">
        <v>0</v>
      </c>
      <c r="H7005" s="29">
        <v>0</v>
      </c>
    </row>
    <row r="7006" spans="1:8" x14ac:dyDescent="0.4">
      <c r="A7006">
        <v>1998</v>
      </c>
      <c r="B7006" s="8" t="s">
        <v>689</v>
      </c>
      <c r="C7006" s="8" t="s">
        <v>729</v>
      </c>
      <c r="D7006" s="8" t="s">
        <v>312</v>
      </c>
      <c r="E7006" s="70" t="s">
        <v>323</v>
      </c>
      <c r="F7006" s="29">
        <v>608</v>
      </c>
      <c r="G7006" s="29">
        <v>0</v>
      </c>
      <c r="H7006" s="29">
        <v>0</v>
      </c>
    </row>
    <row r="7007" spans="1:8" x14ac:dyDescent="0.4">
      <c r="A7007">
        <v>1998</v>
      </c>
      <c r="B7007" s="8" t="s">
        <v>690</v>
      </c>
      <c r="C7007" s="8" t="s">
        <v>729</v>
      </c>
      <c r="D7007" s="8" t="s">
        <v>312</v>
      </c>
      <c r="E7007" s="70" t="s">
        <v>324</v>
      </c>
      <c r="F7007" s="29">
        <v>7579</v>
      </c>
      <c r="G7007" s="29">
        <v>0</v>
      </c>
      <c r="H7007" s="29">
        <v>0</v>
      </c>
    </row>
    <row r="7008" spans="1:8" x14ac:dyDescent="0.4">
      <c r="A7008">
        <v>1998</v>
      </c>
      <c r="B7008" s="8" t="s">
        <v>691</v>
      </c>
      <c r="C7008" s="8" t="s">
        <v>729</v>
      </c>
      <c r="D7008" s="8" t="s">
        <v>312</v>
      </c>
      <c r="E7008" s="70" t="s">
        <v>85</v>
      </c>
      <c r="F7008" s="29">
        <v>209</v>
      </c>
      <c r="G7008" s="29">
        <v>0</v>
      </c>
      <c r="H7008" s="29">
        <v>0</v>
      </c>
    </row>
    <row r="7009" spans="1:8" x14ac:dyDescent="0.4">
      <c r="A7009">
        <v>1998</v>
      </c>
      <c r="B7009" s="8" t="s">
        <v>692</v>
      </c>
      <c r="C7009" s="8" t="s">
        <v>729</v>
      </c>
      <c r="D7009" s="8" t="s">
        <v>312</v>
      </c>
      <c r="E7009" s="70" t="s">
        <v>32</v>
      </c>
      <c r="F7009" s="29">
        <v>113</v>
      </c>
      <c r="G7009" s="29">
        <v>0</v>
      </c>
      <c r="H7009" s="29">
        <v>0</v>
      </c>
    </row>
    <row r="7010" spans="1:8" x14ac:dyDescent="0.4">
      <c r="A7010">
        <v>1998</v>
      </c>
      <c r="B7010" s="8" t="s">
        <v>693</v>
      </c>
      <c r="C7010" s="8" t="s">
        <v>729</v>
      </c>
      <c r="D7010" s="8" t="s">
        <v>312</v>
      </c>
      <c r="E7010" s="70" t="s">
        <v>325</v>
      </c>
      <c r="F7010" s="29">
        <v>213</v>
      </c>
      <c r="G7010" s="29">
        <v>0</v>
      </c>
      <c r="H7010" s="29">
        <v>0</v>
      </c>
    </row>
    <row r="7011" spans="1:8" x14ac:dyDescent="0.4">
      <c r="A7011">
        <v>1998</v>
      </c>
      <c r="B7011" s="8" t="s">
        <v>694</v>
      </c>
      <c r="C7011" s="8" t="s">
        <v>729</v>
      </c>
      <c r="D7011" s="8" t="s">
        <v>312</v>
      </c>
      <c r="E7011" s="70" t="s">
        <v>144</v>
      </c>
      <c r="F7011" s="29">
        <v>792</v>
      </c>
      <c r="G7011" s="29">
        <v>0</v>
      </c>
      <c r="H7011" s="29">
        <v>0</v>
      </c>
    </row>
    <row r="7012" spans="1:8" x14ac:dyDescent="0.4">
      <c r="A7012">
        <v>1998</v>
      </c>
      <c r="B7012" s="8" t="s">
        <v>695</v>
      </c>
      <c r="C7012" s="8" t="s">
        <v>729</v>
      </c>
      <c r="D7012" s="8" t="s">
        <v>312</v>
      </c>
      <c r="E7012" s="70" t="s">
        <v>326</v>
      </c>
      <c r="F7012" s="29">
        <v>106</v>
      </c>
      <c r="G7012" s="29">
        <v>0</v>
      </c>
      <c r="H7012" s="29">
        <v>0</v>
      </c>
    </row>
    <row r="7013" spans="1:8" x14ac:dyDescent="0.4">
      <c r="A7013">
        <v>1998</v>
      </c>
      <c r="B7013" s="8" t="s">
        <v>696</v>
      </c>
      <c r="C7013" s="8" t="s">
        <v>729</v>
      </c>
      <c r="D7013" s="8" t="s">
        <v>312</v>
      </c>
      <c r="E7013" s="70" t="s">
        <v>25</v>
      </c>
      <c r="F7013" s="29">
        <v>65</v>
      </c>
      <c r="G7013" s="29">
        <v>0</v>
      </c>
      <c r="H7013" s="29">
        <v>0</v>
      </c>
    </row>
    <row r="7014" spans="1:8" x14ac:dyDescent="0.4">
      <c r="A7014">
        <v>1998</v>
      </c>
      <c r="B7014" s="8" t="s">
        <v>697</v>
      </c>
      <c r="C7014" s="8" t="s">
        <v>729</v>
      </c>
      <c r="D7014" s="8" t="s">
        <v>312</v>
      </c>
      <c r="E7014" s="70" t="s">
        <v>51</v>
      </c>
      <c r="F7014" s="29">
        <v>222</v>
      </c>
      <c r="G7014" s="29">
        <v>0</v>
      </c>
      <c r="H7014" s="29">
        <v>0</v>
      </c>
    </row>
    <row r="7015" spans="1:8" x14ac:dyDescent="0.4">
      <c r="A7015">
        <v>1998</v>
      </c>
      <c r="B7015" s="8" t="s">
        <v>698</v>
      </c>
      <c r="C7015" s="8" t="s">
        <v>729</v>
      </c>
      <c r="D7015" s="8" t="s">
        <v>312</v>
      </c>
      <c r="E7015" s="70" t="s">
        <v>327</v>
      </c>
      <c r="F7015" s="29">
        <v>129</v>
      </c>
      <c r="G7015" s="29">
        <v>0</v>
      </c>
      <c r="H7015" s="29">
        <v>0</v>
      </c>
    </row>
    <row r="7016" spans="1:8" x14ac:dyDescent="0.4">
      <c r="A7016">
        <v>1998</v>
      </c>
      <c r="B7016" s="8" t="s">
        <v>733</v>
      </c>
      <c r="C7016" s="8" t="s">
        <v>715</v>
      </c>
      <c r="D7016" s="8" t="s">
        <v>734</v>
      </c>
      <c r="E7016" s="70" t="s">
        <v>735</v>
      </c>
      <c r="F7016" s="29">
        <v>0</v>
      </c>
      <c r="G7016" s="29">
        <v>0</v>
      </c>
      <c r="H7016" s="29">
        <v>0</v>
      </c>
    </row>
    <row r="7017" spans="1:8" x14ac:dyDescent="0.4">
      <c r="A7017">
        <v>1997</v>
      </c>
      <c r="B7017" s="8" t="s">
        <v>760</v>
      </c>
      <c r="C7017" s="8" t="s">
        <v>727</v>
      </c>
      <c r="D7017" s="8" t="s">
        <v>288</v>
      </c>
      <c r="E7017" s="70" t="s">
        <v>757</v>
      </c>
      <c r="F7017" s="29">
        <v>0</v>
      </c>
      <c r="G7017" s="29">
        <v>0</v>
      </c>
      <c r="H7017" s="29">
        <v>0</v>
      </c>
    </row>
    <row r="7018" spans="1:8" x14ac:dyDescent="0.4">
      <c r="A7018">
        <v>1997</v>
      </c>
      <c r="B7018" s="8" t="s">
        <v>763</v>
      </c>
      <c r="C7018" s="8" t="s">
        <v>706</v>
      </c>
      <c r="D7018" s="8" t="s">
        <v>334</v>
      </c>
      <c r="E7018" s="70" t="s">
        <v>757</v>
      </c>
      <c r="F7018" s="29">
        <v>1370</v>
      </c>
      <c r="G7018" s="29">
        <v>0</v>
      </c>
      <c r="H7018" s="29">
        <v>0</v>
      </c>
    </row>
    <row r="7019" spans="1:8" x14ac:dyDescent="0.4">
      <c r="A7019">
        <v>1997</v>
      </c>
      <c r="B7019" s="8" t="s">
        <v>761</v>
      </c>
      <c r="C7019" s="8" t="s">
        <v>706</v>
      </c>
      <c r="D7019" s="8" t="s">
        <v>106</v>
      </c>
      <c r="E7019" s="70" t="s">
        <v>756</v>
      </c>
      <c r="F7019" s="29">
        <v>12934</v>
      </c>
      <c r="G7019" s="29">
        <v>0</v>
      </c>
      <c r="H7019" s="29">
        <v>0</v>
      </c>
    </row>
    <row r="7020" spans="1:8" x14ac:dyDescent="0.4">
      <c r="A7020">
        <v>1997</v>
      </c>
      <c r="B7020" s="8" t="s">
        <v>335</v>
      </c>
      <c r="C7020" s="8" t="s">
        <v>706</v>
      </c>
      <c r="D7020" s="8" t="s">
        <v>106</v>
      </c>
      <c r="E7020" s="70" t="s">
        <v>105</v>
      </c>
      <c r="F7020" s="29">
        <v>0</v>
      </c>
      <c r="G7020" s="29">
        <v>0</v>
      </c>
      <c r="H7020" s="29">
        <v>0</v>
      </c>
    </row>
    <row r="7021" spans="1:8" x14ac:dyDescent="0.4">
      <c r="A7021">
        <v>1997</v>
      </c>
      <c r="B7021" s="8" t="s">
        <v>336</v>
      </c>
      <c r="C7021" s="8" t="s">
        <v>706</v>
      </c>
      <c r="D7021" s="8" t="s">
        <v>106</v>
      </c>
      <c r="E7021" s="70" t="s">
        <v>107</v>
      </c>
      <c r="F7021" s="29">
        <v>0</v>
      </c>
      <c r="G7021" s="29">
        <v>0</v>
      </c>
      <c r="H7021" s="29">
        <v>0</v>
      </c>
    </row>
    <row r="7022" spans="1:8" x14ac:dyDescent="0.4">
      <c r="A7022">
        <v>1997</v>
      </c>
      <c r="B7022" s="8" t="s">
        <v>337</v>
      </c>
      <c r="C7022" s="8" t="s">
        <v>706</v>
      </c>
      <c r="D7022" s="8" t="s">
        <v>106</v>
      </c>
      <c r="E7022" s="70" t="s">
        <v>108</v>
      </c>
      <c r="F7022" s="29">
        <v>0</v>
      </c>
      <c r="G7022" s="29">
        <v>0</v>
      </c>
      <c r="H7022" s="29">
        <v>0</v>
      </c>
    </row>
    <row r="7023" spans="1:8" x14ac:dyDescent="0.4">
      <c r="A7023">
        <v>1997</v>
      </c>
      <c r="B7023" s="8" t="s">
        <v>338</v>
      </c>
      <c r="C7023" s="8" t="s">
        <v>706</v>
      </c>
      <c r="D7023" s="8" t="s">
        <v>106</v>
      </c>
      <c r="E7023" s="70" t="s">
        <v>109</v>
      </c>
      <c r="F7023" s="29">
        <v>0</v>
      </c>
      <c r="G7023" s="29">
        <v>0</v>
      </c>
      <c r="H7023" s="29">
        <v>0</v>
      </c>
    </row>
    <row r="7024" spans="1:8" x14ac:dyDescent="0.4">
      <c r="A7024">
        <v>1997</v>
      </c>
      <c r="B7024" s="8" t="s">
        <v>339</v>
      </c>
      <c r="C7024" s="8" t="s">
        <v>706</v>
      </c>
      <c r="D7024" s="8" t="s">
        <v>106</v>
      </c>
      <c r="E7024" s="70" t="s">
        <v>110</v>
      </c>
      <c r="F7024" s="29">
        <v>0</v>
      </c>
      <c r="G7024" s="29">
        <v>0</v>
      </c>
      <c r="H7024" s="29">
        <v>0</v>
      </c>
    </row>
    <row r="7025" spans="1:8" x14ac:dyDescent="0.4">
      <c r="A7025">
        <v>1997</v>
      </c>
      <c r="B7025" s="8" t="s">
        <v>340</v>
      </c>
      <c r="C7025" s="8" t="s">
        <v>706</v>
      </c>
      <c r="D7025" s="8" t="s">
        <v>106</v>
      </c>
      <c r="E7025" s="70" t="s">
        <v>111</v>
      </c>
      <c r="F7025" s="29">
        <v>0</v>
      </c>
      <c r="G7025" s="29">
        <v>0</v>
      </c>
      <c r="H7025" s="29">
        <v>0</v>
      </c>
    </row>
    <row r="7026" spans="1:8" x14ac:dyDescent="0.4">
      <c r="A7026">
        <v>1997</v>
      </c>
      <c r="B7026" s="8" t="s">
        <v>341</v>
      </c>
      <c r="C7026" s="8" t="s">
        <v>706</v>
      </c>
      <c r="D7026" s="8" t="s">
        <v>106</v>
      </c>
      <c r="E7026" s="70" t="s">
        <v>112</v>
      </c>
      <c r="F7026" s="29">
        <v>0</v>
      </c>
      <c r="G7026" s="29">
        <v>0</v>
      </c>
      <c r="H7026" s="29">
        <v>0</v>
      </c>
    </row>
    <row r="7027" spans="1:8" x14ac:dyDescent="0.4">
      <c r="A7027">
        <v>1997</v>
      </c>
      <c r="B7027" s="8" t="s">
        <v>342</v>
      </c>
      <c r="C7027" s="8" t="s">
        <v>706</v>
      </c>
      <c r="D7027" s="8" t="s">
        <v>106</v>
      </c>
      <c r="E7027" s="70" t="s">
        <v>113</v>
      </c>
      <c r="F7027" s="29">
        <v>0</v>
      </c>
      <c r="G7027" s="29">
        <v>0</v>
      </c>
      <c r="H7027" s="29">
        <v>0</v>
      </c>
    </row>
    <row r="7028" spans="1:8" x14ac:dyDescent="0.4">
      <c r="A7028">
        <v>1997</v>
      </c>
      <c r="B7028" s="8" t="s">
        <v>343</v>
      </c>
      <c r="C7028" s="8" t="s">
        <v>706</v>
      </c>
      <c r="D7028" s="8" t="s">
        <v>106</v>
      </c>
      <c r="E7028" s="70" t="s">
        <v>114</v>
      </c>
      <c r="F7028" s="29">
        <v>0</v>
      </c>
      <c r="G7028" s="29">
        <v>0</v>
      </c>
      <c r="H7028" s="29">
        <v>0</v>
      </c>
    </row>
    <row r="7029" spans="1:8" x14ac:dyDescent="0.4">
      <c r="A7029">
        <v>1997</v>
      </c>
      <c r="B7029" s="8" t="s">
        <v>344</v>
      </c>
      <c r="C7029" s="8" t="s">
        <v>706</v>
      </c>
      <c r="D7029" s="8" t="s">
        <v>106</v>
      </c>
      <c r="E7029" s="70" t="s">
        <v>115</v>
      </c>
      <c r="F7029" s="29">
        <v>0</v>
      </c>
      <c r="G7029" s="29">
        <v>0</v>
      </c>
      <c r="H7029" s="29">
        <v>0</v>
      </c>
    </row>
    <row r="7030" spans="1:8" x14ac:dyDescent="0.4">
      <c r="A7030">
        <v>1997</v>
      </c>
      <c r="B7030" s="8" t="s">
        <v>345</v>
      </c>
      <c r="C7030" s="8" t="s">
        <v>706</v>
      </c>
      <c r="D7030" s="8" t="s">
        <v>106</v>
      </c>
      <c r="E7030" s="70" t="s">
        <v>116</v>
      </c>
      <c r="F7030" s="29">
        <v>0</v>
      </c>
      <c r="G7030" s="29">
        <v>0</v>
      </c>
      <c r="H7030" s="29">
        <v>0</v>
      </c>
    </row>
    <row r="7031" spans="1:8" x14ac:dyDescent="0.4">
      <c r="A7031">
        <v>1997</v>
      </c>
      <c r="B7031" s="8" t="s">
        <v>346</v>
      </c>
      <c r="C7031" s="8" t="s">
        <v>706</v>
      </c>
      <c r="D7031" s="8" t="s">
        <v>106</v>
      </c>
      <c r="E7031" s="70" t="s">
        <v>117</v>
      </c>
      <c r="F7031" s="29">
        <v>0</v>
      </c>
      <c r="G7031" s="29">
        <v>0</v>
      </c>
      <c r="H7031" s="29">
        <v>0</v>
      </c>
    </row>
    <row r="7032" spans="1:8" x14ac:dyDescent="0.4">
      <c r="A7032">
        <v>1997</v>
      </c>
      <c r="B7032" s="8" t="s">
        <v>347</v>
      </c>
      <c r="C7032" s="8" t="s">
        <v>706</v>
      </c>
      <c r="D7032" s="8" t="s">
        <v>106</v>
      </c>
      <c r="E7032" s="70" t="s">
        <v>118</v>
      </c>
      <c r="F7032" s="29">
        <v>0</v>
      </c>
      <c r="G7032" s="29">
        <v>0</v>
      </c>
      <c r="H7032" s="29">
        <v>0</v>
      </c>
    </row>
    <row r="7033" spans="1:8" x14ac:dyDescent="0.4">
      <c r="A7033">
        <v>1997</v>
      </c>
      <c r="B7033" s="8" t="s">
        <v>348</v>
      </c>
      <c r="C7033" s="8" t="s">
        <v>706</v>
      </c>
      <c r="D7033" s="8" t="s">
        <v>106</v>
      </c>
      <c r="E7033" s="70" t="s">
        <v>119</v>
      </c>
      <c r="F7033" s="29">
        <v>0</v>
      </c>
      <c r="G7033" s="29">
        <v>0</v>
      </c>
      <c r="H7033" s="29">
        <v>0</v>
      </c>
    </row>
    <row r="7034" spans="1:8" x14ac:dyDescent="0.4">
      <c r="A7034">
        <v>1997</v>
      </c>
      <c r="B7034" s="8" t="s">
        <v>349</v>
      </c>
      <c r="C7034" s="8" t="s">
        <v>706</v>
      </c>
      <c r="D7034" s="8" t="s">
        <v>106</v>
      </c>
      <c r="E7034" s="70" t="s">
        <v>120</v>
      </c>
      <c r="F7034" s="29">
        <v>0</v>
      </c>
      <c r="G7034" s="29">
        <v>0</v>
      </c>
      <c r="H7034" s="29">
        <v>0</v>
      </c>
    </row>
    <row r="7035" spans="1:8" x14ac:dyDescent="0.4">
      <c r="A7035">
        <v>1997</v>
      </c>
      <c r="B7035" s="8" t="s">
        <v>350</v>
      </c>
      <c r="C7035" s="8" t="s">
        <v>706</v>
      </c>
      <c r="D7035" s="8" t="s">
        <v>106</v>
      </c>
      <c r="E7035" s="70" t="s">
        <v>121</v>
      </c>
      <c r="F7035" s="29">
        <v>0</v>
      </c>
      <c r="G7035" s="29">
        <v>0</v>
      </c>
      <c r="H7035" s="29">
        <v>0</v>
      </c>
    </row>
    <row r="7036" spans="1:8" x14ac:dyDescent="0.4">
      <c r="A7036">
        <v>1997</v>
      </c>
      <c r="B7036" s="8" t="s">
        <v>351</v>
      </c>
      <c r="C7036" s="8" t="s">
        <v>706</v>
      </c>
      <c r="D7036" s="8" t="s">
        <v>106</v>
      </c>
      <c r="E7036" s="70" t="s">
        <v>122</v>
      </c>
      <c r="F7036" s="29">
        <v>0</v>
      </c>
      <c r="G7036" s="29">
        <v>0</v>
      </c>
      <c r="H7036" s="29">
        <v>0</v>
      </c>
    </row>
    <row r="7037" spans="1:8" x14ac:dyDescent="0.4">
      <c r="A7037">
        <v>1997</v>
      </c>
      <c r="B7037" s="8" t="s">
        <v>352</v>
      </c>
      <c r="C7037" s="8" t="s">
        <v>706</v>
      </c>
      <c r="D7037" s="8" t="s">
        <v>106</v>
      </c>
      <c r="E7037" s="70" t="s">
        <v>123</v>
      </c>
      <c r="F7037" s="29">
        <v>0</v>
      </c>
      <c r="G7037" s="29">
        <v>0</v>
      </c>
      <c r="H7037" s="29">
        <v>0</v>
      </c>
    </row>
    <row r="7038" spans="1:8" x14ac:dyDescent="0.4">
      <c r="A7038">
        <v>1997</v>
      </c>
      <c r="B7038" s="8" t="s">
        <v>353</v>
      </c>
      <c r="C7038" s="8" t="s">
        <v>706</v>
      </c>
      <c r="D7038" s="8" t="s">
        <v>106</v>
      </c>
      <c r="E7038" s="70" t="s">
        <v>124</v>
      </c>
      <c r="F7038" s="29">
        <v>0</v>
      </c>
      <c r="G7038" s="29">
        <v>0</v>
      </c>
      <c r="H7038" s="29">
        <v>0</v>
      </c>
    </row>
    <row r="7039" spans="1:8" x14ac:dyDescent="0.4">
      <c r="A7039">
        <v>1997</v>
      </c>
      <c r="B7039" s="8" t="s">
        <v>354</v>
      </c>
      <c r="C7039" s="8" t="s">
        <v>706</v>
      </c>
      <c r="D7039" s="8" t="s">
        <v>106</v>
      </c>
      <c r="E7039" s="70" t="s">
        <v>125</v>
      </c>
      <c r="F7039" s="29">
        <v>0</v>
      </c>
      <c r="G7039" s="29">
        <v>0</v>
      </c>
      <c r="H7039" s="29">
        <v>0</v>
      </c>
    </row>
    <row r="7040" spans="1:8" x14ac:dyDescent="0.4">
      <c r="A7040">
        <v>1997</v>
      </c>
      <c r="B7040" s="8" t="s">
        <v>355</v>
      </c>
      <c r="C7040" s="8" t="s">
        <v>706</v>
      </c>
      <c r="D7040" s="8" t="s">
        <v>106</v>
      </c>
      <c r="E7040" s="70" t="s">
        <v>126</v>
      </c>
      <c r="F7040" s="29">
        <v>0</v>
      </c>
      <c r="G7040" s="29">
        <v>0</v>
      </c>
      <c r="H7040" s="29">
        <v>0</v>
      </c>
    </row>
    <row r="7041" spans="1:8" x14ac:dyDescent="0.4">
      <c r="A7041">
        <v>1997</v>
      </c>
      <c r="B7041" s="8" t="s">
        <v>356</v>
      </c>
      <c r="C7041" s="8" t="s">
        <v>706</v>
      </c>
      <c r="D7041" s="8" t="s">
        <v>106</v>
      </c>
      <c r="E7041" s="70" t="s">
        <v>127</v>
      </c>
      <c r="F7041" s="29">
        <v>0</v>
      </c>
      <c r="G7041" s="29">
        <v>0</v>
      </c>
      <c r="H7041" s="29">
        <v>0</v>
      </c>
    </row>
    <row r="7042" spans="1:8" x14ac:dyDescent="0.4">
      <c r="A7042">
        <v>1997</v>
      </c>
      <c r="B7042" s="8" t="s">
        <v>357</v>
      </c>
      <c r="C7042" s="8" t="s">
        <v>707</v>
      </c>
      <c r="D7042" s="8" t="s">
        <v>1</v>
      </c>
      <c r="E7042" s="70" t="s">
        <v>0</v>
      </c>
      <c r="F7042" s="29">
        <v>45</v>
      </c>
      <c r="G7042" s="29">
        <v>0</v>
      </c>
      <c r="H7042" s="29">
        <v>0</v>
      </c>
    </row>
    <row r="7043" spans="1:8" x14ac:dyDescent="0.4">
      <c r="A7043">
        <v>1997</v>
      </c>
      <c r="B7043" s="8" t="s">
        <v>358</v>
      </c>
      <c r="C7043" s="8" t="s">
        <v>707</v>
      </c>
      <c r="D7043" s="8" t="s">
        <v>1</v>
      </c>
      <c r="E7043" s="70" t="s">
        <v>2</v>
      </c>
      <c r="F7043" s="29">
        <v>14</v>
      </c>
      <c r="G7043" s="29">
        <v>0</v>
      </c>
      <c r="H7043" s="29">
        <v>0</v>
      </c>
    </row>
    <row r="7044" spans="1:8" x14ac:dyDescent="0.4">
      <c r="A7044">
        <v>1997</v>
      </c>
      <c r="B7044" s="8" t="s">
        <v>359</v>
      </c>
      <c r="C7044" s="8" t="s">
        <v>707</v>
      </c>
      <c r="D7044" s="8" t="s">
        <v>1</v>
      </c>
      <c r="E7044" s="70" t="s">
        <v>3</v>
      </c>
      <c r="F7044" s="29">
        <v>274</v>
      </c>
      <c r="G7044" s="29">
        <v>0</v>
      </c>
      <c r="H7044" s="29">
        <v>0</v>
      </c>
    </row>
    <row r="7045" spans="1:8" x14ac:dyDescent="0.4">
      <c r="A7045">
        <v>1997</v>
      </c>
      <c r="B7045" s="8" t="s">
        <v>360</v>
      </c>
      <c r="C7045" s="8" t="s">
        <v>707</v>
      </c>
      <c r="D7045" s="8" t="s">
        <v>1</v>
      </c>
      <c r="E7045" s="70" t="s">
        <v>4</v>
      </c>
      <c r="F7045" s="29">
        <v>9</v>
      </c>
      <c r="G7045" s="29">
        <v>0</v>
      </c>
      <c r="H7045" s="29">
        <v>0</v>
      </c>
    </row>
    <row r="7046" spans="1:8" x14ac:dyDescent="0.4">
      <c r="A7046">
        <v>1997</v>
      </c>
      <c r="B7046" s="8" t="s">
        <v>361</v>
      </c>
      <c r="C7046" s="8" t="s">
        <v>707</v>
      </c>
      <c r="D7046" s="8" t="s">
        <v>1</v>
      </c>
      <c r="E7046" s="70" t="s">
        <v>5</v>
      </c>
      <c r="F7046" s="29">
        <v>2</v>
      </c>
      <c r="G7046" s="29">
        <v>0</v>
      </c>
      <c r="H7046" s="29">
        <v>0</v>
      </c>
    </row>
    <row r="7047" spans="1:8" x14ac:dyDescent="0.4">
      <c r="A7047">
        <v>1997</v>
      </c>
      <c r="B7047" s="8" t="s">
        <v>732</v>
      </c>
      <c r="C7047" s="8" t="s">
        <v>707</v>
      </c>
      <c r="D7047" s="8" t="s">
        <v>1</v>
      </c>
      <c r="E7047" s="70" t="s">
        <v>330</v>
      </c>
      <c r="F7047" s="29">
        <v>4</v>
      </c>
      <c r="G7047" s="29">
        <v>0</v>
      </c>
      <c r="H7047" s="29">
        <v>0</v>
      </c>
    </row>
    <row r="7048" spans="1:8" x14ac:dyDescent="0.4">
      <c r="A7048">
        <v>1997</v>
      </c>
      <c r="B7048" s="8" t="s">
        <v>730</v>
      </c>
      <c r="C7048" s="8" t="s">
        <v>707</v>
      </c>
      <c r="D7048" s="8" t="s">
        <v>1</v>
      </c>
      <c r="E7048" s="70" t="s">
        <v>328</v>
      </c>
      <c r="F7048" s="29">
        <v>2</v>
      </c>
      <c r="G7048" s="29">
        <v>0</v>
      </c>
      <c r="H7048" s="29">
        <v>0</v>
      </c>
    </row>
    <row r="7049" spans="1:8" x14ac:dyDescent="0.4">
      <c r="A7049">
        <v>1997</v>
      </c>
      <c r="B7049" s="8" t="s">
        <v>362</v>
      </c>
      <c r="C7049" s="8" t="s">
        <v>708</v>
      </c>
      <c r="D7049" s="8" t="s">
        <v>7</v>
      </c>
      <c r="E7049" s="70" t="s">
        <v>6</v>
      </c>
      <c r="F7049" s="29">
        <v>196</v>
      </c>
      <c r="G7049" s="29">
        <v>0</v>
      </c>
      <c r="H7049" s="29">
        <v>0</v>
      </c>
    </row>
    <row r="7050" spans="1:8" x14ac:dyDescent="0.4">
      <c r="A7050">
        <v>1997</v>
      </c>
      <c r="B7050" s="8" t="s">
        <v>363</v>
      </c>
      <c r="C7050" s="8" t="s">
        <v>708</v>
      </c>
      <c r="D7050" s="8" t="s">
        <v>7</v>
      </c>
      <c r="E7050" s="70" t="s">
        <v>8</v>
      </c>
      <c r="F7050" s="29">
        <v>92</v>
      </c>
      <c r="G7050" s="29">
        <v>0</v>
      </c>
      <c r="H7050" s="29">
        <v>0</v>
      </c>
    </row>
    <row r="7051" spans="1:8" x14ac:dyDescent="0.4">
      <c r="A7051">
        <v>1997</v>
      </c>
      <c r="B7051" s="8" t="s">
        <v>364</v>
      </c>
      <c r="C7051" s="8" t="s">
        <v>708</v>
      </c>
      <c r="D7051" s="8" t="s">
        <v>7</v>
      </c>
      <c r="E7051" s="70" t="s">
        <v>9</v>
      </c>
      <c r="F7051" s="29">
        <v>86</v>
      </c>
      <c r="G7051" s="29">
        <v>0</v>
      </c>
      <c r="H7051" s="29">
        <v>0</v>
      </c>
    </row>
    <row r="7052" spans="1:8" x14ac:dyDescent="0.4">
      <c r="A7052">
        <v>1997</v>
      </c>
      <c r="B7052" s="8" t="s">
        <v>365</v>
      </c>
      <c r="C7052" s="8" t="s">
        <v>708</v>
      </c>
      <c r="D7052" s="8" t="s">
        <v>7</v>
      </c>
      <c r="E7052" s="70" t="s">
        <v>10</v>
      </c>
      <c r="F7052" s="29">
        <v>48</v>
      </c>
      <c r="G7052" s="29">
        <v>0</v>
      </c>
      <c r="H7052" s="29">
        <v>0</v>
      </c>
    </row>
    <row r="7053" spans="1:8" x14ac:dyDescent="0.4">
      <c r="A7053">
        <v>1997</v>
      </c>
      <c r="B7053" s="8" t="s">
        <v>366</v>
      </c>
      <c r="C7053" s="8" t="s">
        <v>708</v>
      </c>
      <c r="D7053" s="8" t="s">
        <v>7</v>
      </c>
      <c r="E7053" s="70" t="s">
        <v>11</v>
      </c>
      <c r="F7053" s="29">
        <v>65</v>
      </c>
      <c r="G7053" s="29">
        <v>0</v>
      </c>
      <c r="H7053" s="29">
        <v>0</v>
      </c>
    </row>
    <row r="7054" spans="1:8" x14ac:dyDescent="0.4">
      <c r="A7054">
        <v>1997</v>
      </c>
      <c r="B7054" s="8" t="s">
        <v>367</v>
      </c>
      <c r="C7054" s="8" t="s">
        <v>708</v>
      </c>
      <c r="D7054" s="8" t="s">
        <v>7</v>
      </c>
      <c r="E7054" s="70" t="s">
        <v>12</v>
      </c>
      <c r="F7054" s="29">
        <v>41</v>
      </c>
      <c r="G7054" s="29">
        <v>0</v>
      </c>
      <c r="H7054" s="29">
        <v>0</v>
      </c>
    </row>
    <row r="7055" spans="1:8" x14ac:dyDescent="0.4">
      <c r="A7055">
        <v>1997</v>
      </c>
      <c r="B7055" s="8" t="s">
        <v>368</v>
      </c>
      <c r="C7055" s="8" t="s">
        <v>708</v>
      </c>
      <c r="D7055" s="8" t="s">
        <v>7</v>
      </c>
      <c r="E7055" s="70" t="s">
        <v>13</v>
      </c>
      <c r="F7055" s="29">
        <v>45</v>
      </c>
      <c r="G7055" s="29">
        <v>0</v>
      </c>
      <c r="H7055" s="29">
        <v>0</v>
      </c>
    </row>
    <row r="7056" spans="1:8" x14ac:dyDescent="0.4">
      <c r="A7056">
        <v>1997</v>
      </c>
      <c r="B7056" s="8" t="s">
        <v>369</v>
      </c>
      <c r="C7056" s="8" t="s">
        <v>708</v>
      </c>
      <c r="D7056" s="8" t="s">
        <v>7</v>
      </c>
      <c r="E7056" s="70" t="s">
        <v>14</v>
      </c>
      <c r="F7056" s="29">
        <v>78</v>
      </c>
      <c r="G7056" s="29">
        <v>0</v>
      </c>
      <c r="H7056" s="29">
        <v>0</v>
      </c>
    </row>
    <row r="7057" spans="1:8" x14ac:dyDescent="0.4">
      <c r="A7057">
        <v>1997</v>
      </c>
      <c r="B7057" s="8" t="s">
        <v>370</v>
      </c>
      <c r="C7057" s="8" t="s">
        <v>708</v>
      </c>
      <c r="D7057" s="8" t="s">
        <v>7</v>
      </c>
      <c r="E7057" s="70" t="s">
        <v>15</v>
      </c>
      <c r="F7057" s="29">
        <v>36</v>
      </c>
      <c r="G7057" s="29">
        <v>0</v>
      </c>
      <c r="H7057" s="29">
        <v>0</v>
      </c>
    </row>
    <row r="7058" spans="1:8" x14ac:dyDescent="0.4">
      <c r="A7058">
        <v>1997</v>
      </c>
      <c r="B7058" s="8" t="s">
        <v>371</v>
      </c>
      <c r="C7058" s="8" t="s">
        <v>708</v>
      </c>
      <c r="D7058" s="8" t="s">
        <v>7</v>
      </c>
      <c r="E7058" s="70" t="s">
        <v>16</v>
      </c>
      <c r="F7058" s="29">
        <v>461</v>
      </c>
      <c r="G7058" s="29">
        <v>0</v>
      </c>
      <c r="H7058" s="29">
        <v>0</v>
      </c>
    </row>
    <row r="7059" spans="1:8" x14ac:dyDescent="0.4">
      <c r="A7059">
        <v>1997</v>
      </c>
      <c r="B7059" s="8" t="s">
        <v>372</v>
      </c>
      <c r="C7059" s="8" t="s">
        <v>708</v>
      </c>
      <c r="D7059" s="8" t="s">
        <v>7</v>
      </c>
      <c r="E7059" s="70" t="s">
        <v>17</v>
      </c>
      <c r="F7059" s="29">
        <v>33</v>
      </c>
      <c r="G7059" s="29">
        <v>0</v>
      </c>
      <c r="H7059" s="29">
        <v>0</v>
      </c>
    </row>
    <row r="7060" spans="1:8" x14ac:dyDescent="0.4">
      <c r="A7060">
        <v>1997</v>
      </c>
      <c r="B7060" s="8" t="s">
        <v>373</v>
      </c>
      <c r="C7060" s="8" t="s">
        <v>708</v>
      </c>
      <c r="D7060" s="8" t="s">
        <v>7</v>
      </c>
      <c r="E7060" s="70" t="s">
        <v>18</v>
      </c>
      <c r="F7060" s="29">
        <v>30</v>
      </c>
      <c r="G7060" s="29">
        <v>0</v>
      </c>
      <c r="H7060" s="29">
        <v>0</v>
      </c>
    </row>
    <row r="7061" spans="1:8" x14ac:dyDescent="0.4">
      <c r="A7061">
        <v>1997</v>
      </c>
      <c r="B7061" s="8" t="s">
        <v>374</v>
      </c>
      <c r="C7061" s="8" t="s">
        <v>708</v>
      </c>
      <c r="D7061" s="8" t="s">
        <v>7</v>
      </c>
      <c r="E7061" s="70" t="s">
        <v>19</v>
      </c>
      <c r="F7061" s="29">
        <v>67</v>
      </c>
      <c r="G7061" s="29">
        <v>0</v>
      </c>
      <c r="H7061" s="29">
        <v>0</v>
      </c>
    </row>
    <row r="7062" spans="1:8" x14ac:dyDescent="0.4">
      <c r="A7062">
        <v>1997</v>
      </c>
      <c r="B7062" s="8" t="s">
        <v>375</v>
      </c>
      <c r="C7062" s="8" t="s">
        <v>708</v>
      </c>
      <c r="D7062" s="8" t="s">
        <v>7</v>
      </c>
      <c r="E7062" s="70" t="s">
        <v>20</v>
      </c>
      <c r="F7062" s="29">
        <v>219</v>
      </c>
      <c r="G7062" s="29">
        <v>0</v>
      </c>
      <c r="H7062" s="29">
        <v>0</v>
      </c>
    </row>
    <row r="7063" spans="1:8" x14ac:dyDescent="0.4">
      <c r="A7063">
        <v>1997</v>
      </c>
      <c r="B7063" s="8" t="s">
        <v>376</v>
      </c>
      <c r="C7063" s="8" t="s">
        <v>708</v>
      </c>
      <c r="D7063" s="8" t="s">
        <v>7</v>
      </c>
      <c r="E7063" s="70" t="s">
        <v>21</v>
      </c>
      <c r="F7063" s="29">
        <v>44</v>
      </c>
      <c r="G7063" s="29">
        <v>0</v>
      </c>
      <c r="H7063" s="29">
        <v>0</v>
      </c>
    </row>
    <row r="7064" spans="1:8" x14ac:dyDescent="0.4">
      <c r="A7064">
        <v>1997</v>
      </c>
      <c r="B7064" s="8" t="s">
        <v>377</v>
      </c>
      <c r="C7064" s="8" t="s">
        <v>708</v>
      </c>
      <c r="D7064" s="8" t="s">
        <v>7</v>
      </c>
      <c r="E7064" s="70" t="s">
        <v>22</v>
      </c>
      <c r="F7064" s="29">
        <v>103</v>
      </c>
      <c r="G7064" s="29">
        <v>0</v>
      </c>
      <c r="H7064" s="29">
        <v>0</v>
      </c>
    </row>
    <row r="7065" spans="1:8" x14ac:dyDescent="0.4">
      <c r="A7065">
        <v>1997</v>
      </c>
      <c r="B7065" s="8" t="s">
        <v>378</v>
      </c>
      <c r="C7065" s="8" t="s">
        <v>708</v>
      </c>
      <c r="D7065" s="8" t="s">
        <v>7</v>
      </c>
      <c r="E7065" s="70" t="s">
        <v>23</v>
      </c>
      <c r="F7065" s="29">
        <v>35</v>
      </c>
      <c r="G7065" s="29">
        <v>0</v>
      </c>
      <c r="H7065" s="29">
        <v>0</v>
      </c>
    </row>
    <row r="7066" spans="1:8" x14ac:dyDescent="0.4">
      <c r="A7066">
        <v>1997</v>
      </c>
      <c r="B7066" s="8" t="s">
        <v>379</v>
      </c>
      <c r="C7066" s="8" t="s">
        <v>708</v>
      </c>
      <c r="D7066" s="8" t="s">
        <v>7</v>
      </c>
      <c r="E7066" s="70" t="s">
        <v>24</v>
      </c>
      <c r="F7066" s="29">
        <v>27</v>
      </c>
      <c r="G7066" s="29">
        <v>0</v>
      </c>
      <c r="H7066" s="29">
        <v>0</v>
      </c>
    </row>
    <row r="7067" spans="1:8" x14ac:dyDescent="0.4">
      <c r="A7067">
        <v>1997</v>
      </c>
      <c r="B7067" s="8" t="s">
        <v>380</v>
      </c>
      <c r="C7067" s="8" t="s">
        <v>708</v>
      </c>
      <c r="D7067" s="8" t="s">
        <v>7</v>
      </c>
      <c r="E7067" s="70" t="s">
        <v>25</v>
      </c>
      <c r="F7067" s="29">
        <v>1070</v>
      </c>
      <c r="G7067" s="29">
        <v>0</v>
      </c>
      <c r="H7067" s="29">
        <v>0</v>
      </c>
    </row>
    <row r="7068" spans="1:8" x14ac:dyDescent="0.4">
      <c r="A7068">
        <v>1997</v>
      </c>
      <c r="B7068" s="8" t="s">
        <v>381</v>
      </c>
      <c r="C7068" s="8" t="s">
        <v>708</v>
      </c>
      <c r="D7068" s="8" t="s">
        <v>7</v>
      </c>
      <c r="E7068" s="70" t="s">
        <v>26</v>
      </c>
      <c r="F7068" s="29">
        <v>472</v>
      </c>
      <c r="G7068" s="29">
        <v>0</v>
      </c>
      <c r="H7068" s="29">
        <v>0</v>
      </c>
    </row>
    <row r="7069" spans="1:8" x14ac:dyDescent="0.4">
      <c r="A7069">
        <v>1997</v>
      </c>
      <c r="B7069" s="8" t="s">
        <v>382</v>
      </c>
      <c r="C7069" s="8" t="s">
        <v>708</v>
      </c>
      <c r="D7069" s="8" t="s">
        <v>7</v>
      </c>
      <c r="E7069" s="70" t="s">
        <v>27</v>
      </c>
      <c r="F7069" s="29">
        <v>9</v>
      </c>
      <c r="G7069" s="29">
        <v>0</v>
      </c>
      <c r="H7069" s="29">
        <v>0</v>
      </c>
    </row>
    <row r="7070" spans="1:8" x14ac:dyDescent="0.4">
      <c r="A7070">
        <v>1997</v>
      </c>
      <c r="B7070" s="8" t="s">
        <v>383</v>
      </c>
      <c r="C7070" s="8" t="s">
        <v>709</v>
      </c>
      <c r="D7070" s="8" t="s">
        <v>29</v>
      </c>
      <c r="E7070" s="70" t="s">
        <v>28</v>
      </c>
      <c r="F7070" s="29">
        <v>160</v>
      </c>
      <c r="G7070" s="29">
        <v>0</v>
      </c>
      <c r="H7070" s="29">
        <v>0</v>
      </c>
    </row>
    <row r="7071" spans="1:8" x14ac:dyDescent="0.4">
      <c r="A7071">
        <v>1997</v>
      </c>
      <c r="B7071" s="8" t="s">
        <v>384</v>
      </c>
      <c r="C7071" s="8" t="s">
        <v>709</v>
      </c>
      <c r="D7071" s="8" t="s">
        <v>29</v>
      </c>
      <c r="E7071" s="70" t="s">
        <v>30</v>
      </c>
      <c r="F7071" s="29">
        <v>52</v>
      </c>
      <c r="G7071" s="29">
        <v>0</v>
      </c>
      <c r="H7071" s="29">
        <v>0</v>
      </c>
    </row>
    <row r="7072" spans="1:8" x14ac:dyDescent="0.4">
      <c r="A7072">
        <v>1997</v>
      </c>
      <c r="B7072" s="8" t="s">
        <v>385</v>
      </c>
      <c r="C7072" s="8" t="s">
        <v>709</v>
      </c>
      <c r="D7072" s="8" t="s">
        <v>29</v>
      </c>
      <c r="E7072" s="70" t="s">
        <v>31</v>
      </c>
      <c r="F7072" s="29">
        <v>40</v>
      </c>
      <c r="G7072" s="29">
        <v>0</v>
      </c>
      <c r="H7072" s="29">
        <v>0</v>
      </c>
    </row>
    <row r="7073" spans="1:8" x14ac:dyDescent="0.4">
      <c r="A7073">
        <v>1997</v>
      </c>
      <c r="B7073" s="8" t="s">
        <v>386</v>
      </c>
      <c r="C7073" s="8" t="s">
        <v>709</v>
      </c>
      <c r="D7073" s="8" t="s">
        <v>29</v>
      </c>
      <c r="E7073" s="70" t="s">
        <v>32</v>
      </c>
      <c r="F7073" s="29">
        <v>247</v>
      </c>
      <c r="G7073" s="29">
        <v>0</v>
      </c>
      <c r="H7073" s="29">
        <v>0</v>
      </c>
    </row>
    <row r="7074" spans="1:8" x14ac:dyDescent="0.4">
      <c r="A7074">
        <v>1997</v>
      </c>
      <c r="B7074" s="8" t="s">
        <v>387</v>
      </c>
      <c r="C7074" s="8" t="s">
        <v>709</v>
      </c>
      <c r="D7074" s="8" t="s">
        <v>29</v>
      </c>
      <c r="E7074" s="70" t="s">
        <v>33</v>
      </c>
      <c r="F7074" s="29">
        <v>35</v>
      </c>
      <c r="G7074" s="29">
        <v>0</v>
      </c>
      <c r="H7074" s="29">
        <v>0</v>
      </c>
    </row>
    <row r="7075" spans="1:8" x14ac:dyDescent="0.4">
      <c r="A7075">
        <v>1997</v>
      </c>
      <c r="B7075" s="8" t="s">
        <v>388</v>
      </c>
      <c r="C7075" s="8" t="s">
        <v>709</v>
      </c>
      <c r="D7075" s="8" t="s">
        <v>29</v>
      </c>
      <c r="E7075" s="70" t="s">
        <v>34</v>
      </c>
      <c r="F7075" s="29">
        <v>29</v>
      </c>
      <c r="G7075" s="29">
        <v>0</v>
      </c>
      <c r="H7075" s="29">
        <v>0</v>
      </c>
    </row>
    <row r="7076" spans="1:8" x14ac:dyDescent="0.4">
      <c r="A7076">
        <v>1997</v>
      </c>
      <c r="B7076" s="8" t="s">
        <v>389</v>
      </c>
      <c r="C7076" s="8" t="s">
        <v>709</v>
      </c>
      <c r="D7076" s="8" t="s">
        <v>29</v>
      </c>
      <c r="E7076" s="70" t="s">
        <v>35</v>
      </c>
      <c r="F7076" s="29">
        <v>793</v>
      </c>
      <c r="G7076" s="29">
        <v>0</v>
      </c>
      <c r="H7076" s="29">
        <v>0</v>
      </c>
    </row>
    <row r="7077" spans="1:8" x14ac:dyDescent="0.4">
      <c r="A7077">
        <v>1997</v>
      </c>
      <c r="B7077" s="8" t="s">
        <v>390</v>
      </c>
      <c r="C7077" s="8" t="s">
        <v>710</v>
      </c>
      <c r="D7077" s="8" t="s">
        <v>37</v>
      </c>
      <c r="E7077" s="70" t="s">
        <v>36</v>
      </c>
      <c r="F7077" s="29">
        <v>108</v>
      </c>
      <c r="G7077" s="29">
        <v>0</v>
      </c>
      <c r="H7077" s="29">
        <v>0</v>
      </c>
    </row>
    <row r="7078" spans="1:8" x14ac:dyDescent="0.4">
      <c r="A7078">
        <v>1997</v>
      </c>
      <c r="B7078" s="8" t="s">
        <v>391</v>
      </c>
      <c r="C7078" s="8" t="s">
        <v>710</v>
      </c>
      <c r="D7078" s="8" t="s">
        <v>37</v>
      </c>
      <c r="E7078" s="70" t="s">
        <v>38</v>
      </c>
      <c r="F7078" s="29">
        <v>31</v>
      </c>
      <c r="G7078" s="29">
        <v>0</v>
      </c>
      <c r="H7078" s="29">
        <v>0</v>
      </c>
    </row>
    <row r="7079" spans="1:8" x14ac:dyDescent="0.4">
      <c r="A7079">
        <v>1997</v>
      </c>
      <c r="B7079" s="8" t="s">
        <v>392</v>
      </c>
      <c r="C7079" s="8" t="s">
        <v>710</v>
      </c>
      <c r="D7079" s="8" t="s">
        <v>37</v>
      </c>
      <c r="E7079" s="70" t="s">
        <v>39</v>
      </c>
      <c r="F7079" s="29">
        <v>0</v>
      </c>
      <c r="G7079" s="29">
        <v>0</v>
      </c>
      <c r="H7079" s="29">
        <v>0</v>
      </c>
    </row>
    <row r="7080" spans="1:8" x14ac:dyDescent="0.4">
      <c r="A7080">
        <v>1997</v>
      </c>
      <c r="B7080" s="8" t="s">
        <v>393</v>
      </c>
      <c r="C7080" s="8" t="s">
        <v>710</v>
      </c>
      <c r="D7080" s="8" t="s">
        <v>37</v>
      </c>
      <c r="E7080" s="70" t="s">
        <v>40</v>
      </c>
      <c r="F7080" s="29">
        <v>3117</v>
      </c>
      <c r="G7080" s="29">
        <v>0</v>
      </c>
      <c r="H7080" s="29">
        <v>0</v>
      </c>
    </row>
    <row r="7081" spans="1:8" x14ac:dyDescent="0.4">
      <c r="A7081">
        <v>1997</v>
      </c>
      <c r="B7081" s="8" t="s">
        <v>394</v>
      </c>
      <c r="C7081" s="8" t="s">
        <v>710</v>
      </c>
      <c r="D7081" s="8" t="s">
        <v>37</v>
      </c>
      <c r="E7081" s="70" t="s">
        <v>41</v>
      </c>
      <c r="F7081" s="29">
        <v>56</v>
      </c>
      <c r="G7081" s="29">
        <v>0</v>
      </c>
      <c r="H7081" s="29">
        <v>0</v>
      </c>
    </row>
    <row r="7082" spans="1:8" x14ac:dyDescent="0.4">
      <c r="A7082">
        <v>1997</v>
      </c>
      <c r="B7082" s="8" t="s">
        <v>395</v>
      </c>
      <c r="C7082" s="8" t="s">
        <v>710</v>
      </c>
      <c r="D7082" s="8" t="s">
        <v>37</v>
      </c>
      <c r="E7082" s="70" t="s">
        <v>42</v>
      </c>
      <c r="F7082" s="29">
        <v>666</v>
      </c>
      <c r="G7082" s="29">
        <v>0</v>
      </c>
      <c r="H7082" s="29">
        <v>0</v>
      </c>
    </row>
    <row r="7083" spans="1:8" x14ac:dyDescent="0.4">
      <c r="A7083">
        <v>1997</v>
      </c>
      <c r="B7083" s="8" t="s">
        <v>396</v>
      </c>
      <c r="C7083" s="8" t="s">
        <v>710</v>
      </c>
      <c r="D7083" s="8" t="s">
        <v>37</v>
      </c>
      <c r="E7083" s="70" t="s">
        <v>43</v>
      </c>
      <c r="F7083" s="29">
        <v>85</v>
      </c>
      <c r="G7083" s="29">
        <v>0</v>
      </c>
      <c r="H7083" s="29">
        <v>0</v>
      </c>
    </row>
    <row r="7084" spans="1:8" x14ac:dyDescent="0.4">
      <c r="A7084">
        <v>1997</v>
      </c>
      <c r="B7084" s="8" t="s">
        <v>397</v>
      </c>
      <c r="C7084" s="8" t="s">
        <v>710</v>
      </c>
      <c r="D7084" s="8" t="s">
        <v>37</v>
      </c>
      <c r="E7084" s="70" t="s">
        <v>44</v>
      </c>
      <c r="F7084" s="29">
        <v>220</v>
      </c>
      <c r="G7084" s="29">
        <v>0</v>
      </c>
      <c r="H7084" s="29">
        <v>0</v>
      </c>
    </row>
    <row r="7085" spans="1:8" x14ac:dyDescent="0.4">
      <c r="A7085">
        <v>1997</v>
      </c>
      <c r="B7085" s="8" t="s">
        <v>398</v>
      </c>
      <c r="C7085" s="8" t="s">
        <v>710</v>
      </c>
      <c r="D7085" s="8" t="s">
        <v>37</v>
      </c>
      <c r="E7085" s="70" t="s">
        <v>45</v>
      </c>
      <c r="F7085" s="29">
        <v>262</v>
      </c>
      <c r="G7085" s="29">
        <v>0</v>
      </c>
      <c r="H7085" s="29">
        <v>0</v>
      </c>
    </row>
    <row r="7086" spans="1:8" x14ac:dyDescent="0.4">
      <c r="A7086">
        <v>1997</v>
      </c>
      <c r="B7086" s="8" t="s">
        <v>399</v>
      </c>
      <c r="C7086" s="8" t="s">
        <v>710</v>
      </c>
      <c r="D7086" s="8" t="s">
        <v>37</v>
      </c>
      <c r="E7086" s="70" t="s">
        <v>46</v>
      </c>
      <c r="F7086" s="29">
        <v>0</v>
      </c>
      <c r="G7086" s="29">
        <v>0</v>
      </c>
      <c r="H7086" s="29">
        <v>0</v>
      </c>
    </row>
    <row r="7087" spans="1:8" x14ac:dyDescent="0.4">
      <c r="A7087">
        <v>1997</v>
      </c>
      <c r="B7087" s="8" t="s">
        <v>400</v>
      </c>
      <c r="C7087" s="8" t="s">
        <v>710</v>
      </c>
      <c r="D7087" s="8" t="s">
        <v>37</v>
      </c>
      <c r="E7087" s="70" t="s">
        <v>47</v>
      </c>
      <c r="F7087" s="29">
        <v>73</v>
      </c>
      <c r="G7087" s="29">
        <v>0</v>
      </c>
      <c r="H7087" s="29">
        <v>0</v>
      </c>
    </row>
    <row r="7088" spans="1:8" x14ac:dyDescent="0.4">
      <c r="A7088">
        <v>1997</v>
      </c>
      <c r="B7088" s="8" t="s">
        <v>401</v>
      </c>
      <c r="C7088" s="8" t="s">
        <v>710</v>
      </c>
      <c r="D7088" s="8" t="s">
        <v>37</v>
      </c>
      <c r="E7088" s="70" t="s">
        <v>48</v>
      </c>
      <c r="F7088" s="29">
        <v>55</v>
      </c>
      <c r="G7088" s="29">
        <v>0</v>
      </c>
      <c r="H7088" s="29">
        <v>0</v>
      </c>
    </row>
    <row r="7089" spans="1:8" x14ac:dyDescent="0.4">
      <c r="A7089">
        <v>1997</v>
      </c>
      <c r="B7089" s="8" t="s">
        <v>402</v>
      </c>
      <c r="C7089" s="8" t="s">
        <v>710</v>
      </c>
      <c r="D7089" s="8" t="s">
        <v>37</v>
      </c>
      <c r="E7089" s="70" t="s">
        <v>49</v>
      </c>
      <c r="F7089" s="29">
        <v>460</v>
      </c>
      <c r="G7089" s="29">
        <v>0</v>
      </c>
      <c r="H7089" s="29">
        <v>0</v>
      </c>
    </row>
    <row r="7090" spans="1:8" x14ac:dyDescent="0.4">
      <c r="A7090">
        <v>1997</v>
      </c>
      <c r="B7090" s="8" t="s">
        <v>403</v>
      </c>
      <c r="C7090" s="8" t="s">
        <v>710</v>
      </c>
      <c r="D7090" s="8" t="s">
        <v>37</v>
      </c>
      <c r="E7090" s="70" t="s">
        <v>50</v>
      </c>
      <c r="F7090" s="29">
        <v>97</v>
      </c>
      <c r="G7090" s="29">
        <v>0</v>
      </c>
      <c r="H7090" s="29">
        <v>0</v>
      </c>
    </row>
    <row r="7091" spans="1:8" x14ac:dyDescent="0.4">
      <c r="A7091">
        <v>1997</v>
      </c>
      <c r="B7091" s="8" t="s">
        <v>404</v>
      </c>
      <c r="C7091" s="8" t="s">
        <v>710</v>
      </c>
      <c r="D7091" s="8" t="s">
        <v>37</v>
      </c>
      <c r="E7091" s="70" t="s">
        <v>51</v>
      </c>
      <c r="F7091" s="29">
        <v>280</v>
      </c>
      <c r="G7091" s="29">
        <v>0</v>
      </c>
      <c r="H7091" s="29">
        <v>0</v>
      </c>
    </row>
    <row r="7092" spans="1:8" x14ac:dyDescent="0.4">
      <c r="A7092">
        <v>1997</v>
      </c>
      <c r="B7092" s="8" t="s">
        <v>405</v>
      </c>
      <c r="C7092" s="8" t="s">
        <v>710</v>
      </c>
      <c r="D7092" s="8" t="s">
        <v>37</v>
      </c>
      <c r="E7092" s="70" t="s">
        <v>52</v>
      </c>
      <c r="F7092" s="29">
        <v>38</v>
      </c>
      <c r="G7092" s="29">
        <v>0</v>
      </c>
      <c r="H7092" s="29">
        <v>0</v>
      </c>
    </row>
    <row r="7093" spans="1:8" x14ac:dyDescent="0.4">
      <c r="A7093">
        <v>1997</v>
      </c>
      <c r="B7093" s="8" t="s">
        <v>406</v>
      </c>
      <c r="C7093" s="8" t="s">
        <v>710</v>
      </c>
      <c r="D7093" s="8" t="s">
        <v>37</v>
      </c>
      <c r="E7093" s="70" t="s">
        <v>53</v>
      </c>
      <c r="F7093" s="29">
        <v>45</v>
      </c>
      <c r="G7093" s="29">
        <v>0</v>
      </c>
      <c r="H7093" s="29">
        <v>0</v>
      </c>
    </row>
    <row r="7094" spans="1:8" x14ac:dyDescent="0.4">
      <c r="A7094">
        <v>1997</v>
      </c>
      <c r="B7094" s="8" t="s">
        <v>407</v>
      </c>
      <c r="C7094" s="8" t="s">
        <v>710</v>
      </c>
      <c r="D7094" s="8" t="s">
        <v>37</v>
      </c>
      <c r="E7094" s="70" t="s">
        <v>54</v>
      </c>
      <c r="F7094" s="29">
        <v>449</v>
      </c>
      <c r="G7094" s="29">
        <v>0</v>
      </c>
      <c r="H7094" s="29">
        <v>0</v>
      </c>
    </row>
    <row r="7095" spans="1:8" x14ac:dyDescent="0.4">
      <c r="A7095">
        <v>1997</v>
      </c>
      <c r="B7095" s="8" t="s">
        <v>408</v>
      </c>
      <c r="C7095" s="8" t="s">
        <v>711</v>
      </c>
      <c r="D7095" s="8" t="s">
        <v>56</v>
      </c>
      <c r="E7095" s="70" t="s">
        <v>55</v>
      </c>
      <c r="F7095" s="29">
        <v>122</v>
      </c>
      <c r="G7095" s="29">
        <v>0</v>
      </c>
      <c r="H7095" s="29">
        <v>0</v>
      </c>
    </row>
    <row r="7096" spans="1:8" x14ac:dyDescent="0.4">
      <c r="A7096">
        <v>1997</v>
      </c>
      <c r="B7096" s="8" t="s">
        <v>409</v>
      </c>
      <c r="C7096" s="8" t="s">
        <v>711</v>
      </c>
      <c r="D7096" s="8" t="s">
        <v>56</v>
      </c>
      <c r="E7096" s="70" t="s">
        <v>57</v>
      </c>
      <c r="F7096" s="29">
        <v>0</v>
      </c>
      <c r="G7096" s="29">
        <v>0</v>
      </c>
      <c r="H7096" s="29">
        <v>0</v>
      </c>
    </row>
    <row r="7097" spans="1:8" x14ac:dyDescent="0.4">
      <c r="A7097">
        <v>1997</v>
      </c>
      <c r="B7097" s="8" t="s">
        <v>410</v>
      </c>
      <c r="C7097" s="8" t="s">
        <v>711</v>
      </c>
      <c r="D7097" s="8" t="s">
        <v>56</v>
      </c>
      <c r="E7097" s="70" t="s">
        <v>58</v>
      </c>
      <c r="F7097" s="29">
        <v>206</v>
      </c>
      <c r="G7097" s="29">
        <v>0</v>
      </c>
      <c r="H7097" s="29">
        <v>0</v>
      </c>
    </row>
    <row r="7098" spans="1:8" x14ac:dyDescent="0.4">
      <c r="A7098">
        <v>1997</v>
      </c>
      <c r="B7098" s="8" t="s">
        <v>411</v>
      </c>
      <c r="C7098" s="8" t="s">
        <v>711</v>
      </c>
      <c r="D7098" s="8" t="s">
        <v>56</v>
      </c>
      <c r="E7098" s="70" t="s">
        <v>59</v>
      </c>
      <c r="F7098" s="29">
        <v>41</v>
      </c>
      <c r="G7098" s="29">
        <v>0</v>
      </c>
      <c r="H7098" s="29">
        <v>0</v>
      </c>
    </row>
    <row r="7099" spans="1:8" x14ac:dyDescent="0.4">
      <c r="A7099">
        <v>1997</v>
      </c>
      <c r="B7099" s="8" t="s">
        <v>412</v>
      </c>
      <c r="C7099" s="8" t="s">
        <v>711</v>
      </c>
      <c r="D7099" s="8" t="s">
        <v>56</v>
      </c>
      <c r="E7099" s="70" t="s">
        <v>60</v>
      </c>
      <c r="F7099" s="29">
        <v>1190</v>
      </c>
      <c r="G7099" s="29">
        <v>0</v>
      </c>
      <c r="H7099" s="29">
        <v>0</v>
      </c>
    </row>
    <row r="7100" spans="1:8" x14ac:dyDescent="0.4">
      <c r="A7100">
        <v>1997</v>
      </c>
      <c r="B7100" s="8" t="s">
        <v>413</v>
      </c>
      <c r="C7100" s="8" t="s">
        <v>711</v>
      </c>
      <c r="D7100" s="8" t="s">
        <v>56</v>
      </c>
      <c r="E7100" s="70" t="s">
        <v>36</v>
      </c>
      <c r="F7100" s="29">
        <v>132</v>
      </c>
      <c r="G7100" s="29">
        <v>0</v>
      </c>
      <c r="H7100" s="29">
        <v>0</v>
      </c>
    </row>
    <row r="7101" spans="1:8" x14ac:dyDescent="0.4">
      <c r="A7101">
        <v>1997</v>
      </c>
      <c r="B7101" s="8" t="s">
        <v>414</v>
      </c>
      <c r="C7101" s="8" t="s">
        <v>711</v>
      </c>
      <c r="D7101" s="8" t="s">
        <v>56</v>
      </c>
      <c r="E7101" s="70" t="s">
        <v>61</v>
      </c>
      <c r="F7101" s="29">
        <v>43</v>
      </c>
      <c r="G7101" s="29">
        <v>0</v>
      </c>
      <c r="H7101" s="29">
        <v>0</v>
      </c>
    </row>
    <row r="7102" spans="1:8" x14ac:dyDescent="0.4">
      <c r="A7102">
        <v>1997</v>
      </c>
      <c r="B7102" s="8" t="s">
        <v>415</v>
      </c>
      <c r="C7102" s="8" t="s">
        <v>711</v>
      </c>
      <c r="D7102" s="8" t="s">
        <v>56</v>
      </c>
      <c r="E7102" s="70" t="s">
        <v>62</v>
      </c>
      <c r="F7102" s="29">
        <v>167</v>
      </c>
      <c r="G7102" s="29">
        <v>0</v>
      </c>
      <c r="H7102" s="29">
        <v>0</v>
      </c>
    </row>
    <row r="7103" spans="1:8" x14ac:dyDescent="0.4">
      <c r="A7103">
        <v>1997</v>
      </c>
      <c r="B7103" s="8" t="s">
        <v>416</v>
      </c>
      <c r="C7103" s="8" t="s">
        <v>711</v>
      </c>
      <c r="D7103" s="8" t="s">
        <v>56</v>
      </c>
      <c r="E7103" s="70" t="s">
        <v>63</v>
      </c>
      <c r="F7103" s="29">
        <v>60</v>
      </c>
      <c r="G7103" s="29">
        <v>0</v>
      </c>
      <c r="H7103" s="29">
        <v>0</v>
      </c>
    </row>
    <row r="7104" spans="1:8" x14ac:dyDescent="0.4">
      <c r="A7104">
        <v>1997</v>
      </c>
      <c r="B7104" s="8" t="s">
        <v>417</v>
      </c>
      <c r="C7104" s="8" t="s">
        <v>711</v>
      </c>
      <c r="D7104" s="8" t="s">
        <v>56</v>
      </c>
      <c r="E7104" s="70" t="s">
        <v>64</v>
      </c>
      <c r="F7104" s="29">
        <v>133</v>
      </c>
      <c r="G7104" s="29">
        <v>0</v>
      </c>
      <c r="H7104" s="29">
        <v>0</v>
      </c>
    </row>
    <row r="7105" spans="1:8" x14ac:dyDescent="0.4">
      <c r="A7105">
        <v>1997</v>
      </c>
      <c r="B7105" s="8" t="s">
        <v>418</v>
      </c>
      <c r="C7105" s="8" t="s">
        <v>711</v>
      </c>
      <c r="D7105" s="8" t="s">
        <v>56</v>
      </c>
      <c r="E7105" s="70" t="s">
        <v>65</v>
      </c>
      <c r="F7105" s="29">
        <v>96</v>
      </c>
      <c r="G7105" s="29">
        <v>0</v>
      </c>
      <c r="H7105" s="29">
        <v>0</v>
      </c>
    </row>
    <row r="7106" spans="1:8" x14ac:dyDescent="0.4">
      <c r="A7106">
        <v>1997</v>
      </c>
      <c r="B7106" s="8" t="s">
        <v>419</v>
      </c>
      <c r="C7106" s="8" t="s">
        <v>711</v>
      </c>
      <c r="D7106" s="8" t="s">
        <v>56</v>
      </c>
      <c r="E7106" s="70" t="s">
        <v>66</v>
      </c>
      <c r="F7106" s="29">
        <v>48</v>
      </c>
      <c r="G7106" s="29">
        <v>0</v>
      </c>
      <c r="H7106" s="29">
        <v>0</v>
      </c>
    </row>
    <row r="7107" spans="1:8" x14ac:dyDescent="0.4">
      <c r="A7107">
        <v>1997</v>
      </c>
      <c r="B7107" s="8" t="s">
        <v>420</v>
      </c>
      <c r="C7107" s="8" t="s">
        <v>712</v>
      </c>
      <c r="D7107" s="8" t="s">
        <v>68</v>
      </c>
      <c r="E7107" s="70" t="s">
        <v>67</v>
      </c>
      <c r="F7107" s="29">
        <v>2298</v>
      </c>
      <c r="G7107" s="29">
        <v>0</v>
      </c>
      <c r="H7107" s="29">
        <v>0</v>
      </c>
    </row>
    <row r="7108" spans="1:8" x14ac:dyDescent="0.4">
      <c r="A7108">
        <v>1997</v>
      </c>
      <c r="B7108" s="8" t="s">
        <v>421</v>
      </c>
      <c r="C7108" s="8" t="s">
        <v>712</v>
      </c>
      <c r="D7108" s="8" t="s">
        <v>68</v>
      </c>
      <c r="E7108" s="70" t="s">
        <v>69</v>
      </c>
      <c r="F7108" s="29">
        <v>171</v>
      </c>
      <c r="G7108" s="29">
        <v>0</v>
      </c>
      <c r="H7108" s="29">
        <v>0</v>
      </c>
    </row>
    <row r="7109" spans="1:8" x14ac:dyDescent="0.4">
      <c r="A7109">
        <v>1997</v>
      </c>
      <c r="B7109" s="8" t="s">
        <v>422</v>
      </c>
      <c r="C7109" s="8" t="s">
        <v>712</v>
      </c>
      <c r="D7109" s="8" t="s">
        <v>68</v>
      </c>
      <c r="E7109" s="70" t="s">
        <v>70</v>
      </c>
      <c r="F7109" s="29">
        <v>66</v>
      </c>
      <c r="G7109" s="29">
        <v>0</v>
      </c>
      <c r="H7109" s="29">
        <v>0</v>
      </c>
    </row>
    <row r="7110" spans="1:8" x14ac:dyDescent="0.4">
      <c r="A7110">
        <v>1997</v>
      </c>
      <c r="B7110" s="8" t="s">
        <v>423</v>
      </c>
      <c r="C7110" s="8" t="s">
        <v>712</v>
      </c>
      <c r="D7110" s="8" t="s">
        <v>68</v>
      </c>
      <c r="E7110" s="70" t="s">
        <v>71</v>
      </c>
      <c r="F7110" s="29">
        <v>49</v>
      </c>
      <c r="G7110" s="29">
        <v>0</v>
      </c>
      <c r="H7110" s="29">
        <v>0</v>
      </c>
    </row>
    <row r="7111" spans="1:8" x14ac:dyDescent="0.4">
      <c r="A7111">
        <v>1997</v>
      </c>
      <c r="B7111" s="8" t="s">
        <v>424</v>
      </c>
      <c r="C7111" s="8" t="s">
        <v>712</v>
      </c>
      <c r="D7111" s="8" t="s">
        <v>68</v>
      </c>
      <c r="E7111" s="70" t="s">
        <v>72</v>
      </c>
      <c r="F7111" s="29">
        <v>1598</v>
      </c>
      <c r="G7111" s="29">
        <v>0</v>
      </c>
      <c r="H7111" s="29">
        <v>0</v>
      </c>
    </row>
    <row r="7112" spans="1:8" x14ac:dyDescent="0.4">
      <c r="A7112">
        <v>1997</v>
      </c>
      <c r="B7112" s="8" t="s">
        <v>425</v>
      </c>
      <c r="C7112" s="8" t="s">
        <v>712</v>
      </c>
      <c r="D7112" s="8" t="s">
        <v>68</v>
      </c>
      <c r="E7112" s="70" t="s">
        <v>73</v>
      </c>
      <c r="F7112" s="29">
        <v>0</v>
      </c>
      <c r="G7112" s="29">
        <v>0</v>
      </c>
      <c r="H7112" s="29">
        <v>0</v>
      </c>
    </row>
    <row r="7113" spans="1:8" x14ac:dyDescent="0.4">
      <c r="A7113">
        <v>1997</v>
      </c>
      <c r="B7113" s="8" t="s">
        <v>426</v>
      </c>
      <c r="C7113" s="8" t="s">
        <v>712</v>
      </c>
      <c r="D7113" s="8" t="s">
        <v>68</v>
      </c>
      <c r="E7113" s="70" t="s">
        <v>74</v>
      </c>
      <c r="F7113" s="29">
        <v>417</v>
      </c>
      <c r="G7113" s="29">
        <v>0</v>
      </c>
      <c r="H7113" s="29">
        <v>0</v>
      </c>
    </row>
    <row r="7114" spans="1:8" x14ac:dyDescent="0.4">
      <c r="A7114">
        <v>1997</v>
      </c>
      <c r="B7114" s="8" t="s">
        <v>427</v>
      </c>
      <c r="C7114" s="8" t="s">
        <v>712</v>
      </c>
      <c r="D7114" s="8" t="s">
        <v>68</v>
      </c>
      <c r="E7114" s="70" t="s">
        <v>75</v>
      </c>
      <c r="F7114" s="29">
        <v>107</v>
      </c>
      <c r="G7114" s="29">
        <v>0</v>
      </c>
      <c r="H7114" s="29">
        <v>0</v>
      </c>
    </row>
    <row r="7115" spans="1:8" x14ac:dyDescent="0.4">
      <c r="A7115">
        <v>1997</v>
      </c>
      <c r="B7115" s="8" t="s">
        <v>428</v>
      </c>
      <c r="C7115" s="8" t="s">
        <v>712</v>
      </c>
      <c r="D7115" s="8" t="s">
        <v>68</v>
      </c>
      <c r="E7115" s="70" t="s">
        <v>76</v>
      </c>
      <c r="F7115" s="29">
        <v>56</v>
      </c>
      <c r="G7115" s="29">
        <v>0</v>
      </c>
      <c r="H7115" s="29">
        <v>0</v>
      </c>
    </row>
    <row r="7116" spans="1:8" x14ac:dyDescent="0.4">
      <c r="A7116">
        <v>1997</v>
      </c>
      <c r="B7116" s="8" t="s">
        <v>429</v>
      </c>
      <c r="C7116" s="8" t="s">
        <v>712</v>
      </c>
      <c r="D7116" s="8" t="s">
        <v>68</v>
      </c>
      <c r="E7116" s="70" t="s">
        <v>77</v>
      </c>
      <c r="F7116" s="29">
        <v>142</v>
      </c>
      <c r="G7116" s="29">
        <v>0</v>
      </c>
      <c r="H7116" s="29">
        <v>0</v>
      </c>
    </row>
    <row r="7117" spans="1:8" x14ac:dyDescent="0.4">
      <c r="A7117">
        <v>1997</v>
      </c>
      <c r="B7117" s="8" t="s">
        <v>430</v>
      </c>
      <c r="C7117" s="8" t="s">
        <v>712</v>
      </c>
      <c r="D7117" s="8" t="s">
        <v>68</v>
      </c>
      <c r="E7117" s="70" t="s">
        <v>51</v>
      </c>
      <c r="F7117" s="29">
        <v>10</v>
      </c>
      <c r="G7117" s="29">
        <v>0</v>
      </c>
      <c r="H7117" s="29">
        <v>0</v>
      </c>
    </row>
    <row r="7118" spans="1:8" x14ac:dyDescent="0.4">
      <c r="A7118">
        <v>1997</v>
      </c>
      <c r="B7118" s="8" t="s">
        <v>431</v>
      </c>
      <c r="C7118" s="8" t="s">
        <v>713</v>
      </c>
      <c r="D7118" s="8" t="s">
        <v>79</v>
      </c>
      <c r="E7118" s="70" t="s">
        <v>78</v>
      </c>
      <c r="F7118" s="29">
        <v>209</v>
      </c>
      <c r="G7118" s="29">
        <v>0</v>
      </c>
      <c r="H7118" s="29">
        <v>0</v>
      </c>
    </row>
    <row r="7119" spans="1:8" x14ac:dyDescent="0.4">
      <c r="A7119">
        <v>1997</v>
      </c>
      <c r="B7119" s="8" t="s">
        <v>432</v>
      </c>
      <c r="C7119" s="8" t="s">
        <v>713</v>
      </c>
      <c r="D7119" s="8" t="s">
        <v>79</v>
      </c>
      <c r="E7119" s="70" t="s">
        <v>80</v>
      </c>
      <c r="F7119" s="29">
        <v>308</v>
      </c>
      <c r="G7119" s="29">
        <v>0</v>
      </c>
      <c r="H7119" s="29">
        <v>0</v>
      </c>
    </row>
    <row r="7120" spans="1:8" x14ac:dyDescent="0.4">
      <c r="A7120">
        <v>1997</v>
      </c>
      <c r="B7120" s="8" t="s">
        <v>433</v>
      </c>
      <c r="C7120" s="8" t="s">
        <v>713</v>
      </c>
      <c r="D7120" s="8" t="s">
        <v>79</v>
      </c>
      <c r="E7120" s="70" t="s">
        <v>81</v>
      </c>
      <c r="F7120" s="29">
        <v>205</v>
      </c>
      <c r="G7120" s="29">
        <v>0</v>
      </c>
      <c r="H7120" s="29">
        <v>0</v>
      </c>
    </row>
    <row r="7121" spans="1:8" x14ac:dyDescent="0.4">
      <c r="A7121">
        <v>1997</v>
      </c>
      <c r="B7121" s="8" t="s">
        <v>434</v>
      </c>
      <c r="C7121" s="8" t="s">
        <v>713</v>
      </c>
      <c r="D7121" s="8" t="s">
        <v>79</v>
      </c>
      <c r="E7121" s="70" t="s">
        <v>82</v>
      </c>
      <c r="F7121" s="29">
        <v>375</v>
      </c>
      <c r="G7121" s="29">
        <v>0</v>
      </c>
      <c r="H7121" s="29">
        <v>0</v>
      </c>
    </row>
    <row r="7122" spans="1:8" x14ac:dyDescent="0.4">
      <c r="A7122">
        <v>1997</v>
      </c>
      <c r="B7122" s="8" t="s">
        <v>435</v>
      </c>
      <c r="C7122" s="8" t="s">
        <v>713</v>
      </c>
      <c r="D7122" s="8" t="s">
        <v>79</v>
      </c>
      <c r="E7122" s="70" t="s">
        <v>83</v>
      </c>
      <c r="F7122" s="29">
        <v>145</v>
      </c>
      <c r="G7122" s="29">
        <v>0</v>
      </c>
      <c r="H7122" s="29">
        <v>0</v>
      </c>
    </row>
    <row r="7123" spans="1:8" x14ac:dyDescent="0.4">
      <c r="A7123">
        <v>1997</v>
      </c>
      <c r="B7123" s="8" t="s">
        <v>436</v>
      </c>
      <c r="C7123" s="8" t="s">
        <v>713</v>
      </c>
      <c r="D7123" s="8" t="s">
        <v>79</v>
      </c>
      <c r="E7123" s="70" t="s">
        <v>44</v>
      </c>
      <c r="F7123" s="29">
        <v>393</v>
      </c>
      <c r="G7123" s="29">
        <v>0</v>
      </c>
      <c r="H7123" s="29">
        <v>0</v>
      </c>
    </row>
    <row r="7124" spans="1:8" x14ac:dyDescent="0.4">
      <c r="A7124">
        <v>1997</v>
      </c>
      <c r="B7124" s="8" t="s">
        <v>437</v>
      </c>
      <c r="C7124" s="8" t="s">
        <v>713</v>
      </c>
      <c r="D7124" s="8" t="s">
        <v>79</v>
      </c>
      <c r="E7124" s="70" t="s">
        <v>84</v>
      </c>
      <c r="F7124" s="29">
        <v>180</v>
      </c>
      <c r="G7124" s="29">
        <v>0</v>
      </c>
      <c r="H7124" s="29">
        <v>0</v>
      </c>
    </row>
    <row r="7125" spans="1:8" x14ac:dyDescent="0.4">
      <c r="A7125">
        <v>1997</v>
      </c>
      <c r="B7125" s="8" t="s">
        <v>438</v>
      </c>
      <c r="C7125" s="8" t="s">
        <v>713</v>
      </c>
      <c r="D7125" s="8" t="s">
        <v>79</v>
      </c>
      <c r="E7125" s="70" t="s">
        <v>85</v>
      </c>
      <c r="F7125" s="29">
        <v>48</v>
      </c>
      <c r="G7125" s="29">
        <v>0</v>
      </c>
      <c r="H7125" s="29">
        <v>0</v>
      </c>
    </row>
    <row r="7126" spans="1:8" x14ac:dyDescent="0.4">
      <c r="A7126">
        <v>1997</v>
      </c>
      <c r="B7126" s="8" t="s">
        <v>439</v>
      </c>
      <c r="C7126" s="8" t="s">
        <v>713</v>
      </c>
      <c r="D7126" s="8" t="s">
        <v>79</v>
      </c>
      <c r="E7126" s="70" t="s">
        <v>86</v>
      </c>
      <c r="F7126" s="29">
        <v>41</v>
      </c>
      <c r="G7126" s="29">
        <v>0</v>
      </c>
      <c r="H7126" s="29">
        <v>0</v>
      </c>
    </row>
    <row r="7127" spans="1:8" x14ac:dyDescent="0.4">
      <c r="A7127">
        <v>1997</v>
      </c>
      <c r="B7127" s="8" t="s">
        <v>440</v>
      </c>
      <c r="C7127" s="8" t="s">
        <v>713</v>
      </c>
      <c r="D7127" s="8" t="s">
        <v>79</v>
      </c>
      <c r="E7127" s="70" t="s">
        <v>87</v>
      </c>
      <c r="F7127" s="29">
        <v>820</v>
      </c>
      <c r="G7127" s="29">
        <v>0</v>
      </c>
      <c r="H7127" s="29">
        <v>0</v>
      </c>
    </row>
    <row r="7128" spans="1:8" x14ac:dyDescent="0.4">
      <c r="A7128">
        <v>1997</v>
      </c>
      <c r="B7128" s="8" t="s">
        <v>441</v>
      </c>
      <c r="C7128" s="8" t="s">
        <v>713</v>
      </c>
      <c r="D7128" s="8" t="s">
        <v>79</v>
      </c>
      <c r="E7128" s="70" t="s">
        <v>88</v>
      </c>
      <c r="F7128" s="29">
        <v>900</v>
      </c>
      <c r="G7128" s="29">
        <v>0</v>
      </c>
      <c r="H7128" s="29">
        <v>0</v>
      </c>
    </row>
    <row r="7129" spans="1:8" x14ac:dyDescent="0.4">
      <c r="A7129">
        <v>1997</v>
      </c>
      <c r="B7129" s="8" t="s">
        <v>442</v>
      </c>
      <c r="C7129" s="8" t="s">
        <v>713</v>
      </c>
      <c r="D7129" s="8" t="s">
        <v>79</v>
      </c>
      <c r="E7129" s="70" t="s">
        <v>89</v>
      </c>
      <c r="F7129" s="29">
        <v>78</v>
      </c>
      <c r="G7129" s="29">
        <v>0</v>
      </c>
      <c r="H7129" s="29">
        <v>0</v>
      </c>
    </row>
    <row r="7130" spans="1:8" x14ac:dyDescent="0.4">
      <c r="A7130">
        <v>1997</v>
      </c>
      <c r="B7130" s="8" t="s">
        <v>443</v>
      </c>
      <c r="C7130" s="8" t="s">
        <v>713</v>
      </c>
      <c r="D7130" s="8" t="s">
        <v>79</v>
      </c>
      <c r="E7130" s="70" t="s">
        <v>90</v>
      </c>
      <c r="F7130" s="29">
        <v>101</v>
      </c>
      <c r="G7130" s="29">
        <v>0</v>
      </c>
      <c r="H7130" s="29">
        <v>0</v>
      </c>
    </row>
    <row r="7131" spans="1:8" x14ac:dyDescent="0.4">
      <c r="A7131">
        <v>1997</v>
      </c>
      <c r="B7131" s="8" t="s">
        <v>444</v>
      </c>
      <c r="C7131" s="8" t="s">
        <v>713</v>
      </c>
      <c r="D7131" s="8" t="s">
        <v>79</v>
      </c>
      <c r="E7131" s="70" t="s">
        <v>91</v>
      </c>
      <c r="F7131" s="29">
        <v>3711</v>
      </c>
      <c r="G7131" s="29">
        <v>0</v>
      </c>
      <c r="H7131" s="29">
        <v>0</v>
      </c>
    </row>
    <row r="7132" spans="1:8" x14ac:dyDescent="0.4">
      <c r="A7132">
        <v>1997</v>
      </c>
      <c r="B7132" s="8" t="s">
        <v>445</v>
      </c>
      <c r="C7132" s="8" t="s">
        <v>714</v>
      </c>
      <c r="D7132" s="8" t="s">
        <v>93</v>
      </c>
      <c r="E7132" s="70" t="s">
        <v>92</v>
      </c>
      <c r="F7132" s="29">
        <v>33</v>
      </c>
      <c r="G7132" s="29">
        <v>0</v>
      </c>
      <c r="H7132" s="29">
        <v>0</v>
      </c>
    </row>
    <row r="7133" spans="1:8" x14ac:dyDescent="0.4">
      <c r="A7133">
        <v>1997</v>
      </c>
      <c r="B7133" s="8" t="s">
        <v>446</v>
      </c>
      <c r="C7133" s="8" t="s">
        <v>714</v>
      </c>
      <c r="D7133" s="8" t="s">
        <v>93</v>
      </c>
      <c r="E7133" s="70" t="s">
        <v>94</v>
      </c>
      <c r="F7133" s="29">
        <v>227</v>
      </c>
      <c r="G7133" s="29">
        <v>0</v>
      </c>
      <c r="H7133" s="29">
        <v>0</v>
      </c>
    </row>
    <row r="7134" spans="1:8" x14ac:dyDescent="0.4">
      <c r="A7134">
        <v>1997</v>
      </c>
      <c r="B7134" s="8" t="s">
        <v>447</v>
      </c>
      <c r="C7134" s="8" t="s">
        <v>714</v>
      </c>
      <c r="D7134" s="8" t="s">
        <v>93</v>
      </c>
      <c r="E7134" s="70" t="s">
        <v>40</v>
      </c>
      <c r="F7134" s="29">
        <v>26</v>
      </c>
      <c r="G7134" s="29">
        <v>0</v>
      </c>
      <c r="H7134" s="29">
        <v>0</v>
      </c>
    </row>
    <row r="7135" spans="1:8" x14ac:dyDescent="0.4">
      <c r="A7135">
        <v>1997</v>
      </c>
      <c r="B7135" s="8" t="s">
        <v>448</v>
      </c>
      <c r="C7135" s="8" t="s">
        <v>714</v>
      </c>
      <c r="D7135" s="8" t="s">
        <v>93</v>
      </c>
      <c r="E7135" s="70" t="s">
        <v>95</v>
      </c>
      <c r="F7135" s="29">
        <v>20</v>
      </c>
      <c r="G7135" s="29">
        <v>0</v>
      </c>
      <c r="H7135" s="29">
        <v>0</v>
      </c>
    </row>
    <row r="7136" spans="1:8" x14ac:dyDescent="0.4">
      <c r="A7136">
        <v>1997</v>
      </c>
      <c r="B7136" s="8" t="s">
        <v>449</v>
      </c>
      <c r="C7136" s="8" t="s">
        <v>714</v>
      </c>
      <c r="D7136" s="8" t="s">
        <v>93</v>
      </c>
      <c r="E7136" s="70" t="s">
        <v>96</v>
      </c>
      <c r="F7136" s="29">
        <v>32</v>
      </c>
      <c r="G7136" s="29">
        <v>0</v>
      </c>
      <c r="H7136" s="29">
        <v>0</v>
      </c>
    </row>
    <row r="7137" spans="1:8" x14ac:dyDescent="0.4">
      <c r="A7137">
        <v>1997</v>
      </c>
      <c r="B7137" s="8" t="s">
        <v>450</v>
      </c>
      <c r="C7137" s="8" t="s">
        <v>714</v>
      </c>
      <c r="D7137" s="8" t="s">
        <v>93</v>
      </c>
      <c r="E7137" s="70" t="s">
        <v>97</v>
      </c>
      <c r="F7137" s="29">
        <v>27</v>
      </c>
      <c r="G7137" s="29">
        <v>0</v>
      </c>
      <c r="H7137" s="29">
        <v>0</v>
      </c>
    </row>
    <row r="7138" spans="1:8" x14ac:dyDescent="0.4">
      <c r="A7138">
        <v>1997</v>
      </c>
      <c r="B7138" s="8" t="s">
        <v>451</v>
      </c>
      <c r="C7138" s="8" t="s">
        <v>714</v>
      </c>
      <c r="D7138" s="8" t="s">
        <v>93</v>
      </c>
      <c r="E7138" s="70" t="s">
        <v>34</v>
      </c>
      <c r="F7138" s="29">
        <v>20</v>
      </c>
      <c r="G7138" s="29">
        <v>0</v>
      </c>
      <c r="H7138" s="29">
        <v>0</v>
      </c>
    </row>
    <row r="7139" spans="1:8" x14ac:dyDescent="0.4">
      <c r="A7139">
        <v>1997</v>
      </c>
      <c r="B7139" s="8" t="s">
        <v>452</v>
      </c>
      <c r="C7139" s="8" t="s">
        <v>714</v>
      </c>
      <c r="D7139" s="8" t="s">
        <v>93</v>
      </c>
      <c r="E7139" s="70" t="s">
        <v>98</v>
      </c>
      <c r="F7139" s="29">
        <v>449</v>
      </c>
      <c r="G7139" s="29">
        <v>0</v>
      </c>
      <c r="H7139" s="29">
        <v>0</v>
      </c>
    </row>
    <row r="7140" spans="1:8" x14ac:dyDescent="0.4">
      <c r="A7140">
        <v>1997</v>
      </c>
      <c r="B7140" s="8" t="s">
        <v>453</v>
      </c>
      <c r="C7140" s="8" t="s">
        <v>714</v>
      </c>
      <c r="D7140" s="8" t="s">
        <v>93</v>
      </c>
      <c r="E7140" s="70" t="s">
        <v>99</v>
      </c>
      <c r="F7140" s="29">
        <v>62</v>
      </c>
      <c r="G7140" s="29">
        <v>0</v>
      </c>
      <c r="H7140" s="29">
        <v>0</v>
      </c>
    </row>
    <row r="7141" spans="1:8" x14ac:dyDescent="0.4">
      <c r="A7141">
        <v>1997</v>
      </c>
      <c r="B7141" s="8" t="s">
        <v>454</v>
      </c>
      <c r="C7141" s="8" t="s">
        <v>715</v>
      </c>
      <c r="D7141" s="8" t="s">
        <v>101</v>
      </c>
      <c r="E7141" s="70" t="s">
        <v>100</v>
      </c>
      <c r="F7141" s="29">
        <v>27</v>
      </c>
      <c r="G7141" s="29">
        <v>0</v>
      </c>
      <c r="H7141" s="29">
        <v>0</v>
      </c>
    </row>
    <row r="7142" spans="1:8" x14ac:dyDescent="0.4">
      <c r="A7142">
        <v>1997</v>
      </c>
      <c r="B7142" s="8" t="s">
        <v>455</v>
      </c>
      <c r="C7142" s="8" t="s">
        <v>715</v>
      </c>
      <c r="D7142" s="8" t="s">
        <v>101</v>
      </c>
      <c r="E7142" s="70" t="s">
        <v>102</v>
      </c>
      <c r="F7142" s="29">
        <v>33</v>
      </c>
      <c r="G7142" s="29">
        <v>0</v>
      </c>
      <c r="H7142" s="29">
        <v>0</v>
      </c>
    </row>
    <row r="7143" spans="1:8" x14ac:dyDescent="0.4">
      <c r="A7143">
        <v>1997</v>
      </c>
      <c r="B7143" s="8" t="s">
        <v>456</v>
      </c>
      <c r="C7143" s="8" t="s">
        <v>715</v>
      </c>
      <c r="D7143" s="8" t="s">
        <v>101</v>
      </c>
      <c r="E7143" s="70" t="s">
        <v>103</v>
      </c>
      <c r="F7143" s="29">
        <v>24</v>
      </c>
      <c r="G7143" s="29">
        <v>0</v>
      </c>
      <c r="H7143" s="29">
        <v>0</v>
      </c>
    </row>
    <row r="7144" spans="1:8" x14ac:dyDescent="0.4">
      <c r="A7144">
        <v>1997</v>
      </c>
      <c r="B7144" s="8" t="s">
        <v>457</v>
      </c>
      <c r="C7144" s="8" t="s">
        <v>715</v>
      </c>
      <c r="D7144" s="8" t="s">
        <v>101</v>
      </c>
      <c r="E7144" s="70" t="s">
        <v>104</v>
      </c>
      <c r="F7144" s="29">
        <v>383</v>
      </c>
      <c r="G7144" s="29">
        <v>0</v>
      </c>
      <c r="H7144" s="29">
        <v>0</v>
      </c>
    </row>
    <row r="7145" spans="1:8" x14ac:dyDescent="0.4">
      <c r="A7145">
        <v>1997</v>
      </c>
      <c r="B7145" s="8" t="s">
        <v>458</v>
      </c>
      <c r="C7145" s="8" t="s">
        <v>716</v>
      </c>
      <c r="D7145" s="8" t="s">
        <v>129</v>
      </c>
      <c r="E7145" s="70" t="s">
        <v>128</v>
      </c>
      <c r="F7145" s="29">
        <v>38</v>
      </c>
      <c r="G7145" s="29">
        <v>0</v>
      </c>
      <c r="H7145" s="29">
        <v>0</v>
      </c>
    </row>
    <row r="7146" spans="1:8" x14ac:dyDescent="0.4">
      <c r="A7146">
        <v>1997</v>
      </c>
      <c r="B7146" s="8" t="s">
        <v>459</v>
      </c>
      <c r="C7146" s="8" t="s">
        <v>716</v>
      </c>
      <c r="D7146" s="8" t="s">
        <v>129</v>
      </c>
      <c r="E7146" s="70" t="s">
        <v>36</v>
      </c>
      <c r="F7146" s="29">
        <v>22</v>
      </c>
      <c r="G7146" s="29">
        <v>0</v>
      </c>
      <c r="H7146" s="29">
        <v>0</v>
      </c>
    </row>
    <row r="7147" spans="1:8" x14ac:dyDescent="0.4">
      <c r="A7147">
        <v>1997</v>
      </c>
      <c r="B7147" s="8" t="s">
        <v>460</v>
      </c>
      <c r="C7147" s="8" t="s">
        <v>716</v>
      </c>
      <c r="D7147" s="8" t="s">
        <v>129</v>
      </c>
      <c r="E7147" s="70" t="s">
        <v>130</v>
      </c>
      <c r="F7147" s="29">
        <v>57</v>
      </c>
      <c r="G7147" s="29">
        <v>0</v>
      </c>
      <c r="H7147" s="29">
        <v>0</v>
      </c>
    </row>
    <row r="7148" spans="1:8" x14ac:dyDescent="0.4">
      <c r="A7148">
        <v>1997</v>
      </c>
      <c r="B7148" s="8" t="s">
        <v>461</v>
      </c>
      <c r="C7148" s="8" t="s">
        <v>716</v>
      </c>
      <c r="D7148" s="8" t="s">
        <v>129</v>
      </c>
      <c r="E7148" s="70" t="s">
        <v>131</v>
      </c>
      <c r="F7148" s="29">
        <v>9</v>
      </c>
      <c r="G7148" s="29">
        <v>0</v>
      </c>
      <c r="H7148" s="29">
        <v>0</v>
      </c>
    </row>
    <row r="7149" spans="1:8" x14ac:dyDescent="0.4">
      <c r="A7149">
        <v>1997</v>
      </c>
      <c r="B7149" s="8" t="s">
        <v>462</v>
      </c>
      <c r="C7149" s="8" t="s">
        <v>716</v>
      </c>
      <c r="D7149" s="8" t="s">
        <v>129</v>
      </c>
      <c r="E7149" s="70" t="s">
        <v>132</v>
      </c>
      <c r="F7149" s="29">
        <v>622</v>
      </c>
      <c r="G7149" s="29">
        <v>0</v>
      </c>
      <c r="H7149" s="29">
        <v>0</v>
      </c>
    </row>
    <row r="7150" spans="1:8" x14ac:dyDescent="0.4">
      <c r="A7150">
        <v>1997</v>
      </c>
      <c r="B7150" s="8" t="s">
        <v>463</v>
      </c>
      <c r="C7150" s="8" t="s">
        <v>716</v>
      </c>
      <c r="D7150" s="8" t="s">
        <v>129</v>
      </c>
      <c r="E7150" s="70" t="s">
        <v>133</v>
      </c>
      <c r="F7150" s="29">
        <v>48</v>
      </c>
      <c r="G7150" s="29">
        <v>0</v>
      </c>
      <c r="H7150" s="29">
        <v>0</v>
      </c>
    </row>
    <row r="7151" spans="1:8" x14ac:dyDescent="0.4">
      <c r="A7151">
        <v>1997</v>
      </c>
      <c r="B7151" s="8" t="s">
        <v>464</v>
      </c>
      <c r="C7151" s="8" t="s">
        <v>716</v>
      </c>
      <c r="D7151" s="8" t="s">
        <v>129</v>
      </c>
      <c r="E7151" s="70" t="s">
        <v>134</v>
      </c>
      <c r="F7151" s="29">
        <v>52</v>
      </c>
      <c r="G7151" s="29">
        <v>0</v>
      </c>
      <c r="H7151" s="29">
        <v>0</v>
      </c>
    </row>
    <row r="7152" spans="1:8" x14ac:dyDescent="0.4">
      <c r="A7152">
        <v>1997</v>
      </c>
      <c r="B7152" s="8" t="s">
        <v>465</v>
      </c>
      <c r="C7152" s="8" t="s">
        <v>716</v>
      </c>
      <c r="D7152" s="8" t="s">
        <v>129</v>
      </c>
      <c r="E7152" s="70" t="s">
        <v>135</v>
      </c>
      <c r="F7152" s="29">
        <v>19</v>
      </c>
      <c r="G7152" s="29">
        <v>0</v>
      </c>
      <c r="H7152" s="29">
        <v>0</v>
      </c>
    </row>
    <row r="7153" spans="1:8" x14ac:dyDescent="0.4">
      <c r="A7153">
        <v>1997</v>
      </c>
      <c r="B7153" s="8" t="s">
        <v>466</v>
      </c>
      <c r="C7153" s="8" t="s">
        <v>716</v>
      </c>
      <c r="D7153" s="8" t="s">
        <v>129</v>
      </c>
      <c r="E7153" s="70" t="s">
        <v>94</v>
      </c>
      <c r="F7153" s="29">
        <v>79</v>
      </c>
      <c r="G7153" s="29">
        <v>0</v>
      </c>
      <c r="H7153" s="29">
        <v>0</v>
      </c>
    </row>
    <row r="7154" spans="1:8" x14ac:dyDescent="0.4">
      <c r="A7154">
        <v>1997</v>
      </c>
      <c r="B7154" s="8" t="s">
        <v>467</v>
      </c>
      <c r="C7154" s="8" t="s">
        <v>716</v>
      </c>
      <c r="D7154" s="8" t="s">
        <v>129</v>
      </c>
      <c r="E7154" s="70" t="s">
        <v>136</v>
      </c>
      <c r="F7154" s="29">
        <v>94</v>
      </c>
      <c r="G7154" s="29">
        <v>0</v>
      </c>
      <c r="H7154" s="29">
        <v>0</v>
      </c>
    </row>
    <row r="7155" spans="1:8" x14ac:dyDescent="0.4">
      <c r="A7155">
        <v>1997</v>
      </c>
      <c r="B7155" s="8" t="s">
        <v>468</v>
      </c>
      <c r="C7155" s="8" t="s">
        <v>716</v>
      </c>
      <c r="D7155" s="8" t="s">
        <v>129</v>
      </c>
      <c r="E7155" s="70" t="s">
        <v>137</v>
      </c>
      <c r="F7155" s="29">
        <v>10</v>
      </c>
      <c r="G7155" s="29">
        <v>0</v>
      </c>
      <c r="H7155" s="29">
        <v>0</v>
      </c>
    </row>
    <row r="7156" spans="1:8" x14ac:dyDescent="0.4">
      <c r="A7156">
        <v>1997</v>
      </c>
      <c r="B7156" s="8" t="s">
        <v>469</v>
      </c>
      <c r="C7156" s="8" t="s">
        <v>716</v>
      </c>
      <c r="D7156" s="8" t="s">
        <v>129</v>
      </c>
      <c r="E7156" s="70" t="s">
        <v>138</v>
      </c>
      <c r="F7156" s="29">
        <v>78</v>
      </c>
      <c r="G7156" s="29">
        <v>0</v>
      </c>
      <c r="H7156" s="29">
        <v>0</v>
      </c>
    </row>
    <row r="7157" spans="1:8" x14ac:dyDescent="0.4">
      <c r="A7157">
        <v>1997</v>
      </c>
      <c r="B7157" s="8" t="s">
        <v>470</v>
      </c>
      <c r="C7157" s="8" t="s">
        <v>716</v>
      </c>
      <c r="D7157" s="8" t="s">
        <v>129</v>
      </c>
      <c r="E7157" s="70" t="s">
        <v>139</v>
      </c>
      <c r="F7157" s="29">
        <v>38</v>
      </c>
      <c r="G7157" s="29">
        <v>0</v>
      </c>
      <c r="H7157" s="29">
        <v>0</v>
      </c>
    </row>
    <row r="7158" spans="1:8" x14ac:dyDescent="0.4">
      <c r="A7158">
        <v>1997</v>
      </c>
      <c r="B7158" s="8" t="s">
        <v>471</v>
      </c>
      <c r="C7158" s="8" t="s">
        <v>716</v>
      </c>
      <c r="D7158" s="8" t="s">
        <v>129</v>
      </c>
      <c r="E7158" s="70" t="s">
        <v>85</v>
      </c>
      <c r="F7158" s="29">
        <v>902</v>
      </c>
      <c r="G7158" s="29">
        <v>0</v>
      </c>
      <c r="H7158" s="29">
        <v>0</v>
      </c>
    </row>
    <row r="7159" spans="1:8" x14ac:dyDescent="0.4">
      <c r="A7159">
        <v>1997</v>
      </c>
      <c r="B7159" s="8" t="s">
        <v>472</v>
      </c>
      <c r="C7159" s="8" t="s">
        <v>716</v>
      </c>
      <c r="D7159" s="8" t="s">
        <v>129</v>
      </c>
      <c r="E7159" s="70" t="s">
        <v>140</v>
      </c>
      <c r="F7159" s="29">
        <v>35</v>
      </c>
      <c r="G7159" s="29">
        <v>0</v>
      </c>
      <c r="H7159" s="29">
        <v>0</v>
      </c>
    </row>
    <row r="7160" spans="1:8" x14ac:dyDescent="0.4">
      <c r="A7160">
        <v>1997</v>
      </c>
      <c r="B7160" s="8" t="s">
        <v>473</v>
      </c>
      <c r="C7160" s="8" t="s">
        <v>716</v>
      </c>
      <c r="D7160" s="8" t="s">
        <v>129</v>
      </c>
      <c r="E7160" s="70" t="s">
        <v>141</v>
      </c>
      <c r="F7160" s="29">
        <v>11</v>
      </c>
      <c r="G7160" s="29">
        <v>0</v>
      </c>
      <c r="H7160" s="29">
        <v>0</v>
      </c>
    </row>
    <row r="7161" spans="1:8" x14ac:dyDescent="0.4">
      <c r="A7161">
        <v>1997</v>
      </c>
      <c r="B7161" s="8" t="s">
        <v>474</v>
      </c>
      <c r="C7161" s="8" t="s">
        <v>716</v>
      </c>
      <c r="D7161" s="8" t="s">
        <v>129</v>
      </c>
      <c r="E7161" s="70" t="s">
        <v>143</v>
      </c>
      <c r="F7161" s="29">
        <v>35</v>
      </c>
      <c r="G7161" s="29">
        <v>0</v>
      </c>
      <c r="H7161" s="29">
        <v>0</v>
      </c>
    </row>
    <row r="7162" spans="1:8" x14ac:dyDescent="0.4">
      <c r="A7162">
        <v>1997</v>
      </c>
      <c r="B7162" s="8" t="s">
        <v>475</v>
      </c>
      <c r="C7162" s="8" t="s">
        <v>716</v>
      </c>
      <c r="D7162" s="8" t="s">
        <v>129</v>
      </c>
      <c r="E7162" s="70" t="s">
        <v>21</v>
      </c>
      <c r="F7162" s="29">
        <v>15</v>
      </c>
      <c r="G7162" s="29">
        <v>0</v>
      </c>
      <c r="H7162" s="29">
        <v>0</v>
      </c>
    </row>
    <row r="7163" spans="1:8" x14ac:dyDescent="0.4">
      <c r="A7163">
        <v>1997</v>
      </c>
      <c r="B7163" s="8" t="s">
        <v>476</v>
      </c>
      <c r="C7163" s="8" t="s">
        <v>716</v>
      </c>
      <c r="D7163" s="8" t="s">
        <v>129</v>
      </c>
      <c r="E7163" s="70" t="s">
        <v>144</v>
      </c>
      <c r="F7163" s="29">
        <v>17</v>
      </c>
      <c r="G7163" s="29">
        <v>0</v>
      </c>
      <c r="H7163" s="29">
        <v>0</v>
      </c>
    </row>
    <row r="7164" spans="1:8" x14ac:dyDescent="0.4">
      <c r="A7164">
        <v>1997</v>
      </c>
      <c r="B7164" s="8" t="s">
        <v>477</v>
      </c>
      <c r="C7164" s="8" t="s">
        <v>716</v>
      </c>
      <c r="D7164" s="8" t="s">
        <v>129</v>
      </c>
      <c r="E7164" s="70" t="s">
        <v>145</v>
      </c>
      <c r="F7164" s="29">
        <v>47</v>
      </c>
      <c r="G7164" s="29">
        <v>0</v>
      </c>
      <c r="H7164" s="29">
        <v>0</v>
      </c>
    </row>
    <row r="7165" spans="1:8" x14ac:dyDescent="0.4">
      <c r="A7165">
        <v>1997</v>
      </c>
      <c r="B7165" s="8" t="s">
        <v>478</v>
      </c>
      <c r="C7165" s="8" t="s">
        <v>716</v>
      </c>
      <c r="D7165" s="8" t="s">
        <v>129</v>
      </c>
      <c r="E7165" s="70" t="s">
        <v>51</v>
      </c>
      <c r="F7165" s="29">
        <v>14</v>
      </c>
      <c r="G7165" s="29">
        <v>0</v>
      </c>
      <c r="H7165" s="29">
        <v>0</v>
      </c>
    </row>
    <row r="7166" spans="1:8" x14ac:dyDescent="0.4">
      <c r="A7166">
        <v>1997</v>
      </c>
      <c r="B7166" s="8" t="s">
        <v>479</v>
      </c>
      <c r="C7166" s="8" t="s">
        <v>716</v>
      </c>
      <c r="D7166" s="8" t="s">
        <v>129</v>
      </c>
      <c r="E7166" s="70" t="s">
        <v>146</v>
      </c>
      <c r="F7166" s="29">
        <v>19</v>
      </c>
      <c r="G7166" s="29">
        <v>0</v>
      </c>
      <c r="H7166" s="29">
        <v>0</v>
      </c>
    </row>
    <row r="7167" spans="1:8" x14ac:dyDescent="0.4">
      <c r="A7167">
        <v>1997</v>
      </c>
      <c r="B7167" s="8" t="s">
        <v>480</v>
      </c>
      <c r="C7167" s="8" t="s">
        <v>716</v>
      </c>
      <c r="D7167" s="8" t="s">
        <v>129</v>
      </c>
      <c r="E7167" s="70" t="s">
        <v>147</v>
      </c>
      <c r="F7167" s="29">
        <v>22</v>
      </c>
      <c r="G7167" s="29">
        <v>0</v>
      </c>
      <c r="H7167" s="29">
        <v>0</v>
      </c>
    </row>
    <row r="7168" spans="1:8" x14ac:dyDescent="0.4">
      <c r="A7168">
        <v>1997</v>
      </c>
      <c r="B7168" s="8" t="s">
        <v>481</v>
      </c>
      <c r="C7168" s="8" t="s">
        <v>716</v>
      </c>
      <c r="D7168" s="8" t="s">
        <v>129</v>
      </c>
      <c r="E7168" s="70" t="s">
        <v>148</v>
      </c>
      <c r="F7168" s="29">
        <v>21</v>
      </c>
      <c r="G7168" s="29">
        <v>0</v>
      </c>
      <c r="H7168" s="29">
        <v>0</v>
      </c>
    </row>
    <row r="7169" spans="1:8" x14ac:dyDescent="0.4">
      <c r="A7169">
        <v>1997</v>
      </c>
      <c r="B7169" s="8" t="s">
        <v>482</v>
      </c>
      <c r="C7169" s="8" t="s">
        <v>716</v>
      </c>
      <c r="D7169" s="8" t="s">
        <v>129</v>
      </c>
      <c r="E7169" s="70" t="s">
        <v>54</v>
      </c>
      <c r="F7169" s="29">
        <v>5</v>
      </c>
      <c r="G7169" s="29">
        <v>0</v>
      </c>
      <c r="H7169" s="29">
        <v>0</v>
      </c>
    </row>
    <row r="7170" spans="1:8" x14ac:dyDescent="0.4">
      <c r="A7170">
        <v>1997</v>
      </c>
      <c r="B7170" s="8" t="s">
        <v>483</v>
      </c>
      <c r="C7170" s="8" t="s">
        <v>717</v>
      </c>
      <c r="D7170" s="8" t="s">
        <v>150</v>
      </c>
      <c r="E7170" s="70" t="s">
        <v>149</v>
      </c>
      <c r="F7170" s="29">
        <v>9</v>
      </c>
      <c r="G7170" s="29">
        <v>0</v>
      </c>
      <c r="H7170" s="29">
        <v>0</v>
      </c>
    </row>
    <row r="7171" spans="1:8" x14ac:dyDescent="0.4">
      <c r="A7171">
        <v>1997</v>
      </c>
      <c r="B7171" s="8" t="s">
        <v>484</v>
      </c>
      <c r="C7171" s="8" t="s">
        <v>717</v>
      </c>
      <c r="D7171" s="8" t="s">
        <v>150</v>
      </c>
      <c r="E7171" s="70" t="s">
        <v>151</v>
      </c>
      <c r="F7171" s="29">
        <v>31</v>
      </c>
      <c r="G7171" s="29">
        <v>0</v>
      </c>
      <c r="H7171" s="29">
        <v>0</v>
      </c>
    </row>
    <row r="7172" spans="1:8" x14ac:dyDescent="0.4">
      <c r="A7172">
        <v>1997</v>
      </c>
      <c r="B7172" s="8" t="s">
        <v>485</v>
      </c>
      <c r="C7172" s="8" t="s">
        <v>717</v>
      </c>
      <c r="D7172" s="8" t="s">
        <v>150</v>
      </c>
      <c r="E7172" s="70" t="s">
        <v>152</v>
      </c>
      <c r="F7172" s="29">
        <v>40</v>
      </c>
      <c r="G7172" s="29">
        <v>0</v>
      </c>
      <c r="H7172" s="29">
        <v>0</v>
      </c>
    </row>
    <row r="7173" spans="1:8" x14ac:dyDescent="0.4">
      <c r="A7173">
        <v>1997</v>
      </c>
      <c r="B7173" s="8" t="s">
        <v>486</v>
      </c>
      <c r="C7173" s="8" t="s">
        <v>717</v>
      </c>
      <c r="D7173" s="8" t="s">
        <v>150</v>
      </c>
      <c r="E7173" s="70" t="s">
        <v>153</v>
      </c>
      <c r="F7173" s="29">
        <v>25</v>
      </c>
      <c r="G7173" s="29">
        <v>0</v>
      </c>
      <c r="H7173" s="29">
        <v>0</v>
      </c>
    </row>
    <row r="7174" spans="1:8" x14ac:dyDescent="0.4">
      <c r="A7174">
        <v>1997</v>
      </c>
      <c r="B7174" s="8" t="s">
        <v>487</v>
      </c>
      <c r="C7174" s="8" t="s">
        <v>717</v>
      </c>
      <c r="D7174" s="8" t="s">
        <v>150</v>
      </c>
      <c r="E7174" s="70" t="s">
        <v>154</v>
      </c>
      <c r="F7174" s="29">
        <v>524</v>
      </c>
      <c r="G7174" s="29">
        <v>0</v>
      </c>
      <c r="H7174" s="29">
        <v>0</v>
      </c>
    </row>
    <row r="7175" spans="1:8" x14ac:dyDescent="0.4">
      <c r="A7175">
        <v>1997</v>
      </c>
      <c r="B7175" s="8" t="s">
        <v>488</v>
      </c>
      <c r="C7175" s="8" t="s">
        <v>717</v>
      </c>
      <c r="D7175" s="8" t="s">
        <v>150</v>
      </c>
      <c r="E7175" s="70" t="s">
        <v>155</v>
      </c>
      <c r="F7175" s="29">
        <v>55</v>
      </c>
      <c r="G7175" s="29">
        <v>0</v>
      </c>
      <c r="H7175" s="29">
        <v>0</v>
      </c>
    </row>
    <row r="7176" spans="1:8" x14ac:dyDescent="0.4">
      <c r="A7176">
        <v>1997</v>
      </c>
      <c r="B7176" s="8" t="s">
        <v>489</v>
      </c>
      <c r="C7176" s="8" t="s">
        <v>717</v>
      </c>
      <c r="D7176" s="8" t="s">
        <v>150</v>
      </c>
      <c r="E7176" s="70" t="s">
        <v>156</v>
      </c>
      <c r="F7176" s="29">
        <v>97</v>
      </c>
      <c r="G7176" s="29">
        <v>0</v>
      </c>
      <c r="H7176" s="29">
        <v>0</v>
      </c>
    </row>
    <row r="7177" spans="1:8" x14ac:dyDescent="0.4">
      <c r="A7177">
        <v>1997</v>
      </c>
      <c r="B7177" s="8" t="s">
        <v>490</v>
      </c>
      <c r="C7177" s="8" t="s">
        <v>717</v>
      </c>
      <c r="D7177" s="8" t="s">
        <v>150</v>
      </c>
      <c r="E7177" s="70" t="s">
        <v>85</v>
      </c>
      <c r="F7177" s="29">
        <v>538</v>
      </c>
      <c r="G7177" s="29">
        <v>0</v>
      </c>
      <c r="H7177" s="29">
        <v>0</v>
      </c>
    </row>
    <row r="7178" spans="1:8" x14ac:dyDescent="0.4">
      <c r="A7178">
        <v>1997</v>
      </c>
      <c r="B7178" s="8" t="s">
        <v>491</v>
      </c>
      <c r="C7178" s="8" t="s">
        <v>717</v>
      </c>
      <c r="D7178" s="8" t="s">
        <v>150</v>
      </c>
      <c r="E7178" s="70" t="s">
        <v>157</v>
      </c>
      <c r="F7178" s="29">
        <v>269</v>
      </c>
      <c r="G7178" s="29">
        <v>0</v>
      </c>
      <c r="H7178" s="29">
        <v>0</v>
      </c>
    </row>
    <row r="7179" spans="1:8" x14ac:dyDescent="0.4">
      <c r="A7179">
        <v>1997</v>
      </c>
      <c r="B7179" s="8" t="s">
        <v>492</v>
      </c>
      <c r="C7179" s="8" t="s">
        <v>717</v>
      </c>
      <c r="D7179" s="8" t="s">
        <v>150</v>
      </c>
      <c r="E7179" s="70" t="s">
        <v>158</v>
      </c>
      <c r="F7179" s="29">
        <v>30</v>
      </c>
      <c r="G7179" s="29">
        <v>0</v>
      </c>
      <c r="H7179" s="29">
        <v>0</v>
      </c>
    </row>
    <row r="7180" spans="1:8" x14ac:dyDescent="0.4">
      <c r="A7180">
        <v>1997</v>
      </c>
      <c r="B7180" s="8" t="s">
        <v>493</v>
      </c>
      <c r="C7180" s="8" t="s">
        <v>717</v>
      </c>
      <c r="D7180" s="8" t="s">
        <v>150</v>
      </c>
      <c r="E7180" s="70" t="s">
        <v>159</v>
      </c>
      <c r="F7180" s="29">
        <v>99</v>
      </c>
      <c r="G7180" s="29">
        <v>0</v>
      </c>
      <c r="H7180" s="29">
        <v>0</v>
      </c>
    </row>
    <row r="7181" spans="1:8" x14ac:dyDescent="0.4">
      <c r="A7181">
        <v>1997</v>
      </c>
      <c r="B7181" s="8" t="s">
        <v>494</v>
      </c>
      <c r="C7181" s="8" t="s">
        <v>717</v>
      </c>
      <c r="D7181" s="8" t="s">
        <v>150</v>
      </c>
      <c r="E7181" s="70" t="s">
        <v>76</v>
      </c>
      <c r="F7181" s="29">
        <v>460</v>
      </c>
      <c r="G7181" s="29">
        <v>0</v>
      </c>
      <c r="H7181" s="29">
        <v>0</v>
      </c>
    </row>
    <row r="7182" spans="1:8" x14ac:dyDescent="0.4">
      <c r="A7182">
        <v>1997</v>
      </c>
      <c r="B7182" s="8" t="s">
        <v>495</v>
      </c>
      <c r="C7182" s="8" t="s">
        <v>717</v>
      </c>
      <c r="D7182" s="8" t="s">
        <v>150</v>
      </c>
      <c r="E7182" s="70" t="s">
        <v>160</v>
      </c>
      <c r="F7182" s="29">
        <v>11</v>
      </c>
      <c r="G7182" s="29">
        <v>0</v>
      </c>
      <c r="H7182" s="29">
        <v>0</v>
      </c>
    </row>
    <row r="7183" spans="1:8" x14ac:dyDescent="0.4">
      <c r="A7183">
        <v>1997</v>
      </c>
      <c r="B7183" s="8" t="s">
        <v>496</v>
      </c>
      <c r="C7183" s="8" t="s">
        <v>717</v>
      </c>
      <c r="D7183" s="8" t="s">
        <v>150</v>
      </c>
      <c r="E7183" s="70" t="s">
        <v>161</v>
      </c>
      <c r="F7183" s="29">
        <v>36</v>
      </c>
      <c r="G7183" s="29">
        <v>0</v>
      </c>
      <c r="H7183" s="29">
        <v>0</v>
      </c>
    </row>
    <row r="7184" spans="1:8" x14ac:dyDescent="0.4">
      <c r="A7184">
        <v>1997</v>
      </c>
      <c r="B7184" s="8" t="s">
        <v>497</v>
      </c>
      <c r="C7184" s="8" t="s">
        <v>717</v>
      </c>
      <c r="D7184" s="8" t="s">
        <v>150</v>
      </c>
      <c r="E7184" s="70" t="s">
        <v>162</v>
      </c>
      <c r="F7184" s="29">
        <v>234</v>
      </c>
      <c r="G7184" s="29">
        <v>0</v>
      </c>
      <c r="H7184" s="29">
        <v>0</v>
      </c>
    </row>
    <row r="7185" spans="1:8" x14ac:dyDescent="0.4">
      <c r="A7185">
        <v>1997</v>
      </c>
      <c r="B7185" s="8" t="s">
        <v>498</v>
      </c>
      <c r="C7185" s="8" t="s">
        <v>718</v>
      </c>
      <c r="D7185" s="8" t="s">
        <v>164</v>
      </c>
      <c r="E7185" s="70" t="s">
        <v>163</v>
      </c>
      <c r="F7185" s="29">
        <v>110</v>
      </c>
      <c r="G7185" s="29">
        <v>0</v>
      </c>
      <c r="H7185" s="29">
        <v>0</v>
      </c>
    </row>
    <row r="7186" spans="1:8" x14ac:dyDescent="0.4">
      <c r="A7186">
        <v>1997</v>
      </c>
      <c r="B7186" s="8" t="s">
        <v>499</v>
      </c>
      <c r="C7186" s="8" t="s">
        <v>718</v>
      </c>
      <c r="D7186" s="8" t="s">
        <v>164</v>
      </c>
      <c r="E7186" s="70" t="s">
        <v>165</v>
      </c>
      <c r="F7186" s="29">
        <v>120</v>
      </c>
      <c r="G7186" s="29">
        <v>0</v>
      </c>
      <c r="H7186" s="29">
        <v>0</v>
      </c>
    </row>
    <row r="7187" spans="1:8" x14ac:dyDescent="0.4">
      <c r="A7187">
        <v>1997</v>
      </c>
      <c r="B7187" s="8" t="s">
        <v>500</v>
      </c>
      <c r="C7187" s="8" t="s">
        <v>718</v>
      </c>
      <c r="D7187" s="8" t="s">
        <v>164</v>
      </c>
      <c r="E7187" s="70" t="s">
        <v>166</v>
      </c>
      <c r="F7187" s="29">
        <v>4614</v>
      </c>
      <c r="G7187" s="29">
        <v>0</v>
      </c>
      <c r="H7187" s="29">
        <v>0</v>
      </c>
    </row>
    <row r="7188" spans="1:8" x14ac:dyDescent="0.4">
      <c r="A7188">
        <v>1997</v>
      </c>
      <c r="B7188" s="8" t="s">
        <v>501</v>
      </c>
      <c r="C7188" s="8" t="s">
        <v>718</v>
      </c>
      <c r="D7188" s="8" t="s">
        <v>164</v>
      </c>
      <c r="E7188" s="70" t="s">
        <v>167</v>
      </c>
      <c r="F7188" s="29">
        <v>212</v>
      </c>
      <c r="G7188" s="29">
        <v>0</v>
      </c>
      <c r="H7188" s="29">
        <v>0</v>
      </c>
    </row>
    <row r="7189" spans="1:8" x14ac:dyDescent="0.4">
      <c r="A7189">
        <v>1997</v>
      </c>
      <c r="B7189" s="8" t="s">
        <v>502</v>
      </c>
      <c r="C7189" s="8" t="s">
        <v>718</v>
      </c>
      <c r="D7189" s="8" t="s">
        <v>164</v>
      </c>
      <c r="E7189" s="70" t="s">
        <v>168</v>
      </c>
      <c r="F7189" s="29">
        <v>426</v>
      </c>
      <c r="G7189" s="29">
        <v>0</v>
      </c>
      <c r="H7189" s="29">
        <v>0</v>
      </c>
    </row>
    <row r="7190" spans="1:8" x14ac:dyDescent="0.4">
      <c r="A7190">
        <v>1997</v>
      </c>
      <c r="B7190" s="8" t="s">
        <v>503</v>
      </c>
      <c r="C7190" s="8" t="s">
        <v>718</v>
      </c>
      <c r="D7190" s="8" t="s">
        <v>164</v>
      </c>
      <c r="E7190" s="70" t="s">
        <v>169</v>
      </c>
      <c r="F7190" s="29">
        <v>214</v>
      </c>
      <c r="G7190" s="29">
        <v>0</v>
      </c>
      <c r="H7190" s="29">
        <v>0</v>
      </c>
    </row>
    <row r="7191" spans="1:8" x14ac:dyDescent="0.4">
      <c r="A7191">
        <v>1997</v>
      </c>
      <c r="B7191" s="8" t="s">
        <v>504</v>
      </c>
      <c r="C7191" s="8" t="s">
        <v>718</v>
      </c>
      <c r="D7191" s="8" t="s">
        <v>164</v>
      </c>
      <c r="E7191" s="70" t="s">
        <v>170</v>
      </c>
      <c r="F7191" s="29">
        <v>61</v>
      </c>
      <c r="G7191" s="29">
        <v>0</v>
      </c>
      <c r="H7191" s="29">
        <v>0</v>
      </c>
    </row>
    <row r="7192" spans="1:8" x14ac:dyDescent="0.4">
      <c r="A7192">
        <v>1997</v>
      </c>
      <c r="B7192" s="8" t="s">
        <v>505</v>
      </c>
      <c r="C7192" s="8" t="s">
        <v>718</v>
      </c>
      <c r="D7192" s="8" t="s">
        <v>164</v>
      </c>
      <c r="E7192" s="70" t="s">
        <v>171</v>
      </c>
      <c r="F7192" s="29">
        <v>663</v>
      </c>
      <c r="G7192" s="29">
        <v>0</v>
      </c>
      <c r="H7192" s="29">
        <v>0</v>
      </c>
    </row>
    <row r="7193" spans="1:8" x14ac:dyDescent="0.4">
      <c r="A7193">
        <v>1997</v>
      </c>
      <c r="B7193" s="8" t="s">
        <v>506</v>
      </c>
      <c r="C7193" s="8" t="s">
        <v>718</v>
      </c>
      <c r="D7193" s="8" t="s">
        <v>164</v>
      </c>
      <c r="E7193" s="70" t="s">
        <v>53</v>
      </c>
      <c r="F7193" s="29">
        <v>106</v>
      </c>
      <c r="G7193" s="29">
        <v>0</v>
      </c>
      <c r="H7193" s="29">
        <v>0</v>
      </c>
    </row>
    <row r="7194" spans="1:8" x14ac:dyDescent="0.4">
      <c r="A7194">
        <v>1997</v>
      </c>
      <c r="B7194" s="8" t="s">
        <v>507</v>
      </c>
      <c r="C7194" s="8" t="s">
        <v>719</v>
      </c>
      <c r="D7194" s="8" t="s">
        <v>173</v>
      </c>
      <c r="E7194" s="70" t="s">
        <v>172</v>
      </c>
      <c r="F7194" s="29">
        <v>481</v>
      </c>
      <c r="G7194" s="29">
        <v>0</v>
      </c>
      <c r="H7194" s="29">
        <v>0</v>
      </c>
    </row>
    <row r="7195" spans="1:8" x14ac:dyDescent="0.4">
      <c r="A7195">
        <v>1997</v>
      </c>
      <c r="B7195" s="8" t="s">
        <v>508</v>
      </c>
      <c r="C7195" s="8" t="s">
        <v>719</v>
      </c>
      <c r="D7195" s="8" t="s">
        <v>173</v>
      </c>
      <c r="E7195" s="70" t="s">
        <v>174</v>
      </c>
      <c r="F7195" s="29">
        <v>36</v>
      </c>
      <c r="G7195" s="29">
        <v>0</v>
      </c>
      <c r="H7195" s="29">
        <v>0</v>
      </c>
    </row>
    <row r="7196" spans="1:8" x14ac:dyDescent="0.4">
      <c r="A7196">
        <v>1997</v>
      </c>
      <c r="B7196" s="8" t="s">
        <v>509</v>
      </c>
      <c r="C7196" s="8" t="s">
        <v>719</v>
      </c>
      <c r="D7196" s="8" t="s">
        <v>173</v>
      </c>
      <c r="E7196" s="70" t="s">
        <v>175</v>
      </c>
      <c r="F7196" s="29">
        <v>103</v>
      </c>
      <c r="G7196" s="29">
        <v>0</v>
      </c>
      <c r="H7196" s="29">
        <v>0</v>
      </c>
    </row>
    <row r="7197" spans="1:8" x14ac:dyDescent="0.4">
      <c r="A7197">
        <v>1997</v>
      </c>
      <c r="B7197" s="8" t="s">
        <v>510</v>
      </c>
      <c r="C7197" s="8" t="s">
        <v>719</v>
      </c>
      <c r="D7197" s="8" t="s">
        <v>173</v>
      </c>
      <c r="E7197" s="70" t="s">
        <v>176</v>
      </c>
      <c r="F7197" s="29">
        <v>18</v>
      </c>
      <c r="G7197" s="29">
        <v>0</v>
      </c>
      <c r="H7197" s="29">
        <v>0</v>
      </c>
    </row>
    <row r="7198" spans="1:8" x14ac:dyDescent="0.4">
      <c r="A7198">
        <v>1997</v>
      </c>
      <c r="B7198" s="8" t="s">
        <v>511</v>
      </c>
      <c r="C7198" s="8" t="s">
        <v>719</v>
      </c>
      <c r="D7198" s="8" t="s">
        <v>173</v>
      </c>
      <c r="E7198" s="70" t="s">
        <v>177</v>
      </c>
      <c r="F7198" s="29">
        <v>65</v>
      </c>
      <c r="G7198" s="29">
        <v>0</v>
      </c>
      <c r="H7198" s="29">
        <v>0</v>
      </c>
    </row>
    <row r="7199" spans="1:8" x14ac:dyDescent="0.4">
      <c r="A7199">
        <v>1997</v>
      </c>
      <c r="B7199" s="8" t="s">
        <v>512</v>
      </c>
      <c r="C7199" s="8" t="s">
        <v>719</v>
      </c>
      <c r="D7199" s="8" t="s">
        <v>173</v>
      </c>
      <c r="E7199" s="70" t="s">
        <v>178</v>
      </c>
      <c r="F7199" s="29">
        <v>237</v>
      </c>
      <c r="G7199" s="29">
        <v>0</v>
      </c>
      <c r="H7199" s="29">
        <v>0</v>
      </c>
    </row>
    <row r="7200" spans="1:8" x14ac:dyDescent="0.4">
      <c r="A7200">
        <v>1997</v>
      </c>
      <c r="B7200" s="8" t="s">
        <v>513</v>
      </c>
      <c r="C7200" s="8" t="s">
        <v>719</v>
      </c>
      <c r="D7200" s="8" t="s">
        <v>173</v>
      </c>
      <c r="E7200" s="70" t="s">
        <v>179</v>
      </c>
      <c r="F7200" s="29">
        <v>39</v>
      </c>
      <c r="G7200" s="29">
        <v>0</v>
      </c>
      <c r="H7200" s="29">
        <v>0</v>
      </c>
    </row>
    <row r="7201" spans="1:8" x14ac:dyDescent="0.4">
      <c r="A7201">
        <v>1997</v>
      </c>
      <c r="B7201" s="8" t="s">
        <v>514</v>
      </c>
      <c r="C7201" s="8" t="s">
        <v>719</v>
      </c>
      <c r="D7201" s="8" t="s">
        <v>173</v>
      </c>
      <c r="E7201" s="70" t="s">
        <v>180</v>
      </c>
      <c r="F7201" s="29">
        <v>119</v>
      </c>
      <c r="G7201" s="29">
        <v>0</v>
      </c>
      <c r="H7201" s="29">
        <v>0</v>
      </c>
    </row>
    <row r="7202" spans="1:8" x14ac:dyDescent="0.4">
      <c r="A7202">
        <v>1997</v>
      </c>
      <c r="B7202" s="8" t="s">
        <v>515</v>
      </c>
      <c r="C7202" s="8" t="s">
        <v>719</v>
      </c>
      <c r="D7202" s="8" t="s">
        <v>173</v>
      </c>
      <c r="E7202" s="70" t="s">
        <v>181</v>
      </c>
      <c r="F7202" s="29">
        <v>48</v>
      </c>
      <c r="G7202" s="29">
        <v>0</v>
      </c>
      <c r="H7202" s="29">
        <v>0</v>
      </c>
    </row>
    <row r="7203" spans="1:8" x14ac:dyDescent="0.4">
      <c r="A7203">
        <v>1997</v>
      </c>
      <c r="B7203" s="8" t="s">
        <v>516</v>
      </c>
      <c r="C7203" s="8" t="s">
        <v>719</v>
      </c>
      <c r="D7203" s="8" t="s">
        <v>173</v>
      </c>
      <c r="E7203" s="70" t="s">
        <v>182</v>
      </c>
      <c r="F7203" s="29">
        <v>59</v>
      </c>
      <c r="G7203" s="29">
        <v>0</v>
      </c>
      <c r="H7203" s="29">
        <v>0</v>
      </c>
    </row>
    <row r="7204" spans="1:8" x14ac:dyDescent="0.4">
      <c r="A7204">
        <v>1997</v>
      </c>
      <c r="B7204" s="8" t="s">
        <v>517</v>
      </c>
      <c r="C7204" s="8" t="s">
        <v>719</v>
      </c>
      <c r="D7204" s="8" t="s">
        <v>173</v>
      </c>
      <c r="E7204" s="70" t="s">
        <v>183</v>
      </c>
      <c r="F7204" s="29">
        <v>26</v>
      </c>
      <c r="G7204" s="29">
        <v>0</v>
      </c>
      <c r="H7204" s="29">
        <v>0</v>
      </c>
    </row>
    <row r="7205" spans="1:8" x14ac:dyDescent="0.4">
      <c r="A7205">
        <v>1997</v>
      </c>
      <c r="B7205" s="8" t="s">
        <v>518</v>
      </c>
      <c r="C7205" s="8" t="s">
        <v>719</v>
      </c>
      <c r="D7205" s="8" t="s">
        <v>173</v>
      </c>
      <c r="E7205" s="70" t="s">
        <v>44</v>
      </c>
      <c r="F7205" s="29">
        <v>1515</v>
      </c>
      <c r="G7205" s="29">
        <v>0</v>
      </c>
      <c r="H7205" s="29">
        <v>0</v>
      </c>
    </row>
    <row r="7206" spans="1:8" x14ac:dyDescent="0.4">
      <c r="A7206">
        <v>1997</v>
      </c>
      <c r="B7206" s="8" t="s">
        <v>519</v>
      </c>
      <c r="C7206" s="8" t="s">
        <v>719</v>
      </c>
      <c r="D7206" s="8" t="s">
        <v>173</v>
      </c>
      <c r="E7206" s="70" t="s">
        <v>85</v>
      </c>
      <c r="F7206" s="29">
        <v>90</v>
      </c>
      <c r="G7206" s="29">
        <v>0</v>
      </c>
      <c r="H7206" s="29">
        <v>0</v>
      </c>
    </row>
    <row r="7207" spans="1:8" x14ac:dyDescent="0.4">
      <c r="A7207">
        <v>1997</v>
      </c>
      <c r="B7207" s="8" t="s">
        <v>520</v>
      </c>
      <c r="C7207" s="8" t="s">
        <v>719</v>
      </c>
      <c r="D7207" s="8" t="s">
        <v>173</v>
      </c>
      <c r="E7207" s="70" t="s">
        <v>184</v>
      </c>
      <c r="F7207" s="29">
        <v>70</v>
      </c>
      <c r="G7207" s="29">
        <v>0</v>
      </c>
      <c r="H7207" s="29">
        <v>0</v>
      </c>
    </row>
    <row r="7208" spans="1:8" x14ac:dyDescent="0.4">
      <c r="A7208">
        <v>1997</v>
      </c>
      <c r="B7208" s="8" t="s">
        <v>521</v>
      </c>
      <c r="C7208" s="8" t="s">
        <v>719</v>
      </c>
      <c r="D7208" s="8" t="s">
        <v>173</v>
      </c>
      <c r="E7208" s="70" t="s">
        <v>185</v>
      </c>
      <c r="F7208" s="29">
        <v>11</v>
      </c>
      <c r="G7208" s="29">
        <v>0</v>
      </c>
      <c r="H7208" s="29">
        <v>0</v>
      </c>
    </row>
    <row r="7209" spans="1:8" x14ac:dyDescent="0.4">
      <c r="A7209">
        <v>1997</v>
      </c>
      <c r="B7209" s="8" t="s">
        <v>522</v>
      </c>
      <c r="C7209" s="8" t="s">
        <v>719</v>
      </c>
      <c r="D7209" s="8" t="s">
        <v>173</v>
      </c>
      <c r="E7209" s="70" t="s">
        <v>186</v>
      </c>
      <c r="F7209" s="29">
        <v>43</v>
      </c>
      <c r="G7209" s="29">
        <v>0</v>
      </c>
      <c r="H7209" s="29">
        <v>0</v>
      </c>
    </row>
    <row r="7210" spans="1:8" x14ac:dyDescent="0.4">
      <c r="A7210">
        <v>1997</v>
      </c>
      <c r="B7210" s="8" t="s">
        <v>523</v>
      </c>
      <c r="C7210" s="8" t="s">
        <v>719</v>
      </c>
      <c r="D7210" s="8" t="s">
        <v>173</v>
      </c>
      <c r="E7210" s="70" t="s">
        <v>187</v>
      </c>
      <c r="F7210" s="29">
        <v>75</v>
      </c>
      <c r="G7210" s="29">
        <v>0</v>
      </c>
      <c r="H7210" s="29">
        <v>0</v>
      </c>
    </row>
    <row r="7211" spans="1:8" x14ac:dyDescent="0.4">
      <c r="A7211">
        <v>1997</v>
      </c>
      <c r="B7211" s="8" t="s">
        <v>524</v>
      </c>
      <c r="C7211" s="8" t="s">
        <v>719</v>
      </c>
      <c r="D7211" s="8" t="s">
        <v>173</v>
      </c>
      <c r="E7211" s="70" t="s">
        <v>188</v>
      </c>
      <c r="F7211" s="29">
        <v>75</v>
      </c>
      <c r="G7211" s="29">
        <v>0</v>
      </c>
      <c r="H7211" s="29">
        <v>0</v>
      </c>
    </row>
    <row r="7212" spans="1:8" x14ac:dyDescent="0.4">
      <c r="A7212">
        <v>1997</v>
      </c>
      <c r="B7212" s="8" t="s">
        <v>525</v>
      </c>
      <c r="C7212" s="8" t="s">
        <v>719</v>
      </c>
      <c r="D7212" s="8" t="s">
        <v>173</v>
      </c>
      <c r="E7212" s="70" t="s">
        <v>189</v>
      </c>
      <c r="F7212" s="29">
        <v>44</v>
      </c>
      <c r="G7212" s="29">
        <v>0</v>
      </c>
      <c r="H7212" s="29">
        <v>0</v>
      </c>
    </row>
    <row r="7213" spans="1:8" x14ac:dyDescent="0.4">
      <c r="A7213">
        <v>1997</v>
      </c>
      <c r="B7213" s="8" t="s">
        <v>526</v>
      </c>
      <c r="C7213" s="8" t="s">
        <v>719</v>
      </c>
      <c r="D7213" s="8" t="s">
        <v>173</v>
      </c>
      <c r="E7213" s="70" t="s">
        <v>51</v>
      </c>
      <c r="F7213" s="29">
        <v>166</v>
      </c>
      <c r="G7213" s="29">
        <v>0</v>
      </c>
      <c r="H7213" s="29">
        <v>0</v>
      </c>
    </row>
    <row r="7214" spans="1:8" x14ac:dyDescent="0.4">
      <c r="A7214">
        <v>1997</v>
      </c>
      <c r="B7214" s="8" t="s">
        <v>527</v>
      </c>
      <c r="C7214" s="8" t="s">
        <v>719</v>
      </c>
      <c r="D7214" s="8" t="s">
        <v>173</v>
      </c>
      <c r="E7214" s="70" t="s">
        <v>52</v>
      </c>
      <c r="F7214" s="29">
        <v>180</v>
      </c>
      <c r="G7214" s="29">
        <v>0</v>
      </c>
      <c r="H7214" s="29">
        <v>0</v>
      </c>
    </row>
    <row r="7215" spans="1:8" x14ac:dyDescent="0.4">
      <c r="A7215">
        <v>1997</v>
      </c>
      <c r="B7215" s="8" t="s">
        <v>528</v>
      </c>
      <c r="C7215" s="8" t="s">
        <v>719</v>
      </c>
      <c r="D7215" s="8" t="s">
        <v>173</v>
      </c>
      <c r="E7215" s="70" t="s">
        <v>190</v>
      </c>
      <c r="F7215" s="29">
        <v>98</v>
      </c>
      <c r="G7215" s="29">
        <v>0</v>
      </c>
      <c r="H7215" s="29">
        <v>0</v>
      </c>
    </row>
    <row r="7216" spans="1:8" x14ac:dyDescent="0.4">
      <c r="A7216">
        <v>1997</v>
      </c>
      <c r="B7216" s="8" t="s">
        <v>529</v>
      </c>
      <c r="C7216" s="8" t="s">
        <v>719</v>
      </c>
      <c r="D7216" s="8" t="s">
        <v>173</v>
      </c>
      <c r="E7216" s="70" t="s">
        <v>191</v>
      </c>
      <c r="F7216" s="29">
        <v>27</v>
      </c>
      <c r="G7216" s="29">
        <v>0</v>
      </c>
      <c r="H7216" s="29">
        <v>0</v>
      </c>
    </row>
    <row r="7217" spans="1:8" x14ac:dyDescent="0.4">
      <c r="A7217">
        <v>1997</v>
      </c>
      <c r="B7217" s="8" t="s">
        <v>530</v>
      </c>
      <c r="C7217" s="8" t="s">
        <v>720</v>
      </c>
      <c r="D7217" s="8" t="s">
        <v>193</v>
      </c>
      <c r="E7217" s="70" t="s">
        <v>192</v>
      </c>
      <c r="F7217" s="29">
        <v>297</v>
      </c>
      <c r="G7217" s="29">
        <v>0</v>
      </c>
      <c r="H7217" s="29">
        <v>0</v>
      </c>
    </row>
    <row r="7218" spans="1:8" x14ac:dyDescent="0.4">
      <c r="A7218">
        <v>1997</v>
      </c>
      <c r="B7218" s="8" t="s">
        <v>531</v>
      </c>
      <c r="C7218" s="8" t="s">
        <v>720</v>
      </c>
      <c r="D7218" s="8" t="s">
        <v>193</v>
      </c>
      <c r="E7218" s="70" t="s">
        <v>174</v>
      </c>
      <c r="F7218" s="29">
        <v>48</v>
      </c>
      <c r="G7218" s="29">
        <v>0</v>
      </c>
      <c r="H7218" s="29">
        <v>0</v>
      </c>
    </row>
    <row r="7219" spans="1:8" x14ac:dyDescent="0.4">
      <c r="A7219">
        <v>1997</v>
      </c>
      <c r="B7219" s="8" t="s">
        <v>532</v>
      </c>
      <c r="C7219" s="8" t="s">
        <v>720</v>
      </c>
      <c r="D7219" s="8" t="s">
        <v>193</v>
      </c>
      <c r="E7219" s="70" t="s">
        <v>194</v>
      </c>
      <c r="F7219" s="29">
        <v>1128</v>
      </c>
      <c r="G7219" s="29">
        <v>0</v>
      </c>
      <c r="H7219" s="29">
        <v>0</v>
      </c>
    </row>
    <row r="7220" spans="1:8" x14ac:dyDescent="0.4">
      <c r="A7220">
        <v>1997</v>
      </c>
      <c r="B7220" s="8" t="s">
        <v>533</v>
      </c>
      <c r="C7220" s="8" t="s">
        <v>720</v>
      </c>
      <c r="D7220" s="8" t="s">
        <v>193</v>
      </c>
      <c r="E7220" s="70" t="s">
        <v>195</v>
      </c>
      <c r="F7220" s="29">
        <v>187</v>
      </c>
      <c r="G7220" s="29">
        <v>0</v>
      </c>
      <c r="H7220" s="29">
        <v>0</v>
      </c>
    </row>
    <row r="7221" spans="1:8" x14ac:dyDescent="0.4">
      <c r="A7221">
        <v>1997</v>
      </c>
      <c r="B7221" s="8" t="s">
        <v>534</v>
      </c>
      <c r="C7221" s="8" t="s">
        <v>720</v>
      </c>
      <c r="D7221" s="8" t="s">
        <v>193</v>
      </c>
      <c r="E7221" s="70" t="s">
        <v>196</v>
      </c>
      <c r="F7221" s="29">
        <v>39</v>
      </c>
      <c r="G7221" s="29">
        <v>0</v>
      </c>
      <c r="H7221" s="29">
        <v>0</v>
      </c>
    </row>
    <row r="7222" spans="1:8" x14ac:dyDescent="0.4">
      <c r="A7222">
        <v>1997</v>
      </c>
      <c r="B7222" s="8" t="s">
        <v>535</v>
      </c>
      <c r="C7222" s="8" t="s">
        <v>720</v>
      </c>
      <c r="D7222" s="8" t="s">
        <v>193</v>
      </c>
      <c r="E7222" s="70" t="s">
        <v>197</v>
      </c>
      <c r="F7222" s="29">
        <v>55</v>
      </c>
      <c r="G7222" s="29">
        <v>0</v>
      </c>
      <c r="H7222" s="29">
        <v>0</v>
      </c>
    </row>
    <row r="7223" spans="1:8" x14ac:dyDescent="0.4">
      <c r="A7223">
        <v>1997</v>
      </c>
      <c r="B7223" s="8" t="s">
        <v>536</v>
      </c>
      <c r="C7223" s="8" t="s">
        <v>720</v>
      </c>
      <c r="D7223" s="8" t="s">
        <v>193</v>
      </c>
      <c r="E7223" s="70" t="s">
        <v>198</v>
      </c>
      <c r="F7223" s="29">
        <v>658</v>
      </c>
      <c r="G7223" s="29">
        <v>0</v>
      </c>
      <c r="H7223" s="29">
        <v>0</v>
      </c>
    </row>
    <row r="7224" spans="1:8" x14ac:dyDescent="0.4">
      <c r="A7224">
        <v>1997</v>
      </c>
      <c r="B7224" s="8" t="s">
        <v>537</v>
      </c>
      <c r="C7224" s="8" t="s">
        <v>720</v>
      </c>
      <c r="D7224" s="8" t="s">
        <v>193</v>
      </c>
      <c r="E7224" s="70" t="s">
        <v>199</v>
      </c>
      <c r="F7224" s="29">
        <v>173</v>
      </c>
      <c r="G7224" s="29">
        <v>0</v>
      </c>
      <c r="H7224" s="29">
        <v>0</v>
      </c>
    </row>
    <row r="7225" spans="1:8" x14ac:dyDescent="0.4">
      <c r="A7225">
        <v>1997</v>
      </c>
      <c r="B7225" s="8" t="s">
        <v>538</v>
      </c>
      <c r="C7225" s="8" t="s">
        <v>720</v>
      </c>
      <c r="D7225" s="8" t="s">
        <v>193</v>
      </c>
      <c r="E7225" s="70" t="s">
        <v>200</v>
      </c>
      <c r="F7225" s="29">
        <v>100</v>
      </c>
      <c r="G7225" s="29">
        <v>0</v>
      </c>
      <c r="H7225" s="29">
        <v>0</v>
      </c>
    </row>
    <row r="7226" spans="1:8" x14ac:dyDescent="0.4">
      <c r="A7226">
        <v>1997</v>
      </c>
      <c r="B7226" s="8" t="s">
        <v>539</v>
      </c>
      <c r="C7226" s="8" t="s">
        <v>720</v>
      </c>
      <c r="D7226" s="8" t="s">
        <v>193</v>
      </c>
      <c r="E7226" s="70" t="s">
        <v>201</v>
      </c>
      <c r="F7226" s="29">
        <v>1056</v>
      </c>
      <c r="G7226" s="29">
        <v>0</v>
      </c>
      <c r="H7226" s="29">
        <v>0</v>
      </c>
    </row>
    <row r="7227" spans="1:8" x14ac:dyDescent="0.4">
      <c r="A7227">
        <v>1997</v>
      </c>
      <c r="B7227" s="8" t="s">
        <v>540</v>
      </c>
      <c r="C7227" s="8" t="s">
        <v>720</v>
      </c>
      <c r="D7227" s="8" t="s">
        <v>193</v>
      </c>
      <c r="E7227" s="70" t="s">
        <v>14</v>
      </c>
      <c r="F7227" s="29">
        <v>292</v>
      </c>
      <c r="G7227" s="29">
        <v>0</v>
      </c>
      <c r="H7227" s="29">
        <v>0</v>
      </c>
    </row>
    <row r="7228" spans="1:8" x14ac:dyDescent="0.4">
      <c r="A7228">
        <v>1997</v>
      </c>
      <c r="B7228" s="8" t="s">
        <v>541</v>
      </c>
      <c r="C7228" s="8" t="s">
        <v>720</v>
      </c>
      <c r="D7228" s="8" t="s">
        <v>193</v>
      </c>
      <c r="E7228" s="70" t="s">
        <v>202</v>
      </c>
      <c r="F7228" s="29">
        <v>753</v>
      </c>
      <c r="G7228" s="29">
        <v>0</v>
      </c>
      <c r="H7228" s="29">
        <v>0</v>
      </c>
    </row>
    <row r="7229" spans="1:8" x14ac:dyDescent="0.4">
      <c r="A7229">
        <v>1997</v>
      </c>
      <c r="B7229" s="8" t="s">
        <v>542</v>
      </c>
      <c r="C7229" s="8" t="s">
        <v>720</v>
      </c>
      <c r="D7229" s="8" t="s">
        <v>193</v>
      </c>
      <c r="E7229" s="70" t="s">
        <v>203</v>
      </c>
      <c r="F7229" s="29">
        <v>130</v>
      </c>
      <c r="G7229" s="29">
        <v>0</v>
      </c>
      <c r="H7229" s="29">
        <v>0</v>
      </c>
    </row>
    <row r="7230" spans="1:8" x14ac:dyDescent="0.4">
      <c r="A7230">
        <v>1997</v>
      </c>
      <c r="B7230" s="8" t="s">
        <v>543</v>
      </c>
      <c r="C7230" s="8" t="s">
        <v>720</v>
      </c>
      <c r="D7230" s="8" t="s">
        <v>193</v>
      </c>
      <c r="E7230" s="70" t="s">
        <v>32</v>
      </c>
      <c r="F7230" s="29">
        <v>136</v>
      </c>
      <c r="G7230" s="29">
        <v>0</v>
      </c>
      <c r="H7230" s="29">
        <v>0</v>
      </c>
    </row>
    <row r="7231" spans="1:8" x14ac:dyDescent="0.4">
      <c r="A7231">
        <v>1997</v>
      </c>
      <c r="B7231" s="8" t="s">
        <v>544</v>
      </c>
      <c r="C7231" s="8" t="s">
        <v>720</v>
      </c>
      <c r="D7231" s="8" t="s">
        <v>193</v>
      </c>
      <c r="E7231" s="70" t="s">
        <v>204</v>
      </c>
      <c r="F7231" s="29">
        <v>134</v>
      </c>
      <c r="G7231" s="29">
        <v>0</v>
      </c>
      <c r="H7231" s="29">
        <v>0</v>
      </c>
    </row>
    <row r="7232" spans="1:8" x14ac:dyDescent="0.4">
      <c r="A7232">
        <v>1997</v>
      </c>
      <c r="B7232" s="8" t="s">
        <v>545</v>
      </c>
      <c r="C7232" s="8" t="s">
        <v>720</v>
      </c>
      <c r="D7232" s="8" t="s">
        <v>193</v>
      </c>
      <c r="E7232" s="70" t="s">
        <v>205</v>
      </c>
      <c r="F7232" s="29">
        <v>56</v>
      </c>
      <c r="G7232" s="29">
        <v>0</v>
      </c>
      <c r="H7232" s="29">
        <v>0</v>
      </c>
    </row>
    <row r="7233" spans="1:8" x14ac:dyDescent="0.4">
      <c r="A7233">
        <v>1997</v>
      </c>
      <c r="B7233" s="8" t="s">
        <v>546</v>
      </c>
      <c r="C7233" s="8" t="s">
        <v>720</v>
      </c>
      <c r="D7233" s="8" t="s">
        <v>193</v>
      </c>
      <c r="E7233" s="70" t="s">
        <v>206</v>
      </c>
      <c r="F7233" s="29">
        <v>305</v>
      </c>
      <c r="G7233" s="29">
        <v>0</v>
      </c>
      <c r="H7233" s="29">
        <v>0</v>
      </c>
    </row>
    <row r="7234" spans="1:8" x14ac:dyDescent="0.4">
      <c r="A7234">
        <v>1997</v>
      </c>
      <c r="B7234" s="8" t="s">
        <v>547</v>
      </c>
      <c r="C7234" s="8" t="s">
        <v>720</v>
      </c>
      <c r="D7234" s="8" t="s">
        <v>193</v>
      </c>
      <c r="E7234" s="70" t="s">
        <v>25</v>
      </c>
      <c r="F7234" s="29">
        <v>42</v>
      </c>
      <c r="G7234" s="29">
        <v>0</v>
      </c>
      <c r="H7234" s="29">
        <v>0</v>
      </c>
    </row>
    <row r="7235" spans="1:8" x14ac:dyDescent="0.4">
      <c r="A7235">
        <v>1997</v>
      </c>
      <c r="B7235" s="8" t="s">
        <v>548</v>
      </c>
      <c r="C7235" s="8" t="s">
        <v>720</v>
      </c>
      <c r="D7235" s="8" t="s">
        <v>193</v>
      </c>
      <c r="E7235" s="70" t="s">
        <v>51</v>
      </c>
      <c r="F7235" s="29">
        <v>2268</v>
      </c>
      <c r="G7235" s="29">
        <v>0</v>
      </c>
      <c r="H7235" s="29">
        <v>0</v>
      </c>
    </row>
    <row r="7236" spans="1:8" x14ac:dyDescent="0.4">
      <c r="A7236">
        <v>1997</v>
      </c>
      <c r="B7236" s="8" t="s">
        <v>549</v>
      </c>
      <c r="C7236" s="8" t="s">
        <v>720</v>
      </c>
      <c r="D7236" s="8" t="s">
        <v>193</v>
      </c>
      <c r="E7236" s="70" t="s">
        <v>53</v>
      </c>
      <c r="F7236" s="29">
        <v>228</v>
      </c>
      <c r="G7236" s="29">
        <v>0</v>
      </c>
      <c r="H7236" s="29">
        <v>0</v>
      </c>
    </row>
    <row r="7237" spans="1:8" x14ac:dyDescent="0.4">
      <c r="A7237">
        <v>1997</v>
      </c>
      <c r="B7237" s="8" t="s">
        <v>550</v>
      </c>
      <c r="C7237" s="8" t="s">
        <v>720</v>
      </c>
      <c r="D7237" s="8" t="s">
        <v>193</v>
      </c>
      <c r="E7237" s="70" t="s">
        <v>54</v>
      </c>
      <c r="F7237" s="29">
        <v>555</v>
      </c>
      <c r="G7237" s="29">
        <v>0</v>
      </c>
      <c r="H7237" s="29">
        <v>0</v>
      </c>
    </row>
    <row r="7238" spans="1:8" x14ac:dyDescent="0.4">
      <c r="A7238">
        <v>1997</v>
      </c>
      <c r="B7238" s="8" t="s">
        <v>551</v>
      </c>
      <c r="C7238" s="8" t="s">
        <v>721</v>
      </c>
      <c r="D7238" s="8" t="s">
        <v>207</v>
      </c>
      <c r="E7238" s="70" t="s">
        <v>128</v>
      </c>
      <c r="F7238" s="29">
        <v>61</v>
      </c>
      <c r="G7238" s="29">
        <v>0</v>
      </c>
      <c r="H7238" s="29">
        <v>0</v>
      </c>
    </row>
    <row r="7239" spans="1:8" x14ac:dyDescent="0.4">
      <c r="A7239">
        <v>1997</v>
      </c>
      <c r="B7239" s="8" t="s">
        <v>552</v>
      </c>
      <c r="C7239" s="8" t="s">
        <v>721</v>
      </c>
      <c r="D7239" s="8" t="s">
        <v>207</v>
      </c>
      <c r="E7239" s="70" t="s">
        <v>208</v>
      </c>
      <c r="F7239" s="29">
        <v>11</v>
      </c>
      <c r="G7239" s="29">
        <v>0</v>
      </c>
      <c r="H7239" s="29">
        <v>0</v>
      </c>
    </row>
    <row r="7240" spans="1:8" x14ac:dyDescent="0.4">
      <c r="A7240">
        <v>1997</v>
      </c>
      <c r="B7240" s="8" t="s">
        <v>553</v>
      </c>
      <c r="C7240" s="8" t="s">
        <v>721</v>
      </c>
      <c r="D7240" s="8" t="s">
        <v>207</v>
      </c>
      <c r="E7240" s="70" t="s">
        <v>36</v>
      </c>
      <c r="F7240" s="29">
        <v>65</v>
      </c>
      <c r="G7240" s="29">
        <v>0</v>
      </c>
      <c r="H7240" s="29">
        <v>0</v>
      </c>
    </row>
    <row r="7241" spans="1:8" x14ac:dyDescent="0.4">
      <c r="A7241">
        <v>1997</v>
      </c>
      <c r="B7241" s="8" t="s">
        <v>554</v>
      </c>
      <c r="C7241" s="8" t="s">
        <v>721</v>
      </c>
      <c r="D7241" s="8" t="s">
        <v>207</v>
      </c>
      <c r="E7241" s="70" t="s">
        <v>209</v>
      </c>
      <c r="F7241" s="29">
        <v>111</v>
      </c>
      <c r="G7241" s="29">
        <v>0</v>
      </c>
      <c r="H7241" s="29">
        <v>0</v>
      </c>
    </row>
    <row r="7242" spans="1:8" x14ac:dyDescent="0.4">
      <c r="A7242">
        <v>1997</v>
      </c>
      <c r="B7242" s="8" t="s">
        <v>555</v>
      </c>
      <c r="C7242" s="8" t="s">
        <v>721</v>
      </c>
      <c r="D7242" s="8" t="s">
        <v>207</v>
      </c>
      <c r="E7242" s="70" t="s">
        <v>69</v>
      </c>
      <c r="F7242" s="29">
        <v>85</v>
      </c>
      <c r="G7242" s="29">
        <v>0</v>
      </c>
      <c r="H7242" s="29">
        <v>0</v>
      </c>
    </row>
    <row r="7243" spans="1:8" x14ac:dyDescent="0.4">
      <c r="A7243">
        <v>1997</v>
      </c>
      <c r="B7243" s="8" t="s">
        <v>556</v>
      </c>
      <c r="C7243" s="8" t="s">
        <v>721</v>
      </c>
      <c r="D7243" s="8" t="s">
        <v>207</v>
      </c>
      <c r="E7243" s="70" t="s">
        <v>62</v>
      </c>
      <c r="F7243" s="29">
        <v>92</v>
      </c>
      <c r="G7243" s="29">
        <v>0</v>
      </c>
      <c r="H7243" s="29">
        <v>0</v>
      </c>
    </row>
    <row r="7244" spans="1:8" x14ac:dyDescent="0.4">
      <c r="A7244">
        <v>1997</v>
      </c>
      <c r="B7244" s="8" t="s">
        <v>557</v>
      </c>
      <c r="C7244" s="8" t="s">
        <v>721</v>
      </c>
      <c r="D7244" s="8" t="s">
        <v>207</v>
      </c>
      <c r="E7244" s="70" t="s">
        <v>44</v>
      </c>
      <c r="F7244" s="29">
        <v>88</v>
      </c>
      <c r="G7244" s="29">
        <v>0</v>
      </c>
      <c r="H7244" s="29">
        <v>0</v>
      </c>
    </row>
    <row r="7245" spans="1:8" x14ac:dyDescent="0.4">
      <c r="A7245">
        <v>1997</v>
      </c>
      <c r="B7245" s="8" t="s">
        <v>558</v>
      </c>
      <c r="C7245" s="8" t="s">
        <v>721</v>
      </c>
      <c r="D7245" s="8" t="s">
        <v>207</v>
      </c>
      <c r="E7245" s="70" t="s">
        <v>210</v>
      </c>
      <c r="F7245" s="29">
        <v>1693</v>
      </c>
      <c r="G7245" s="29">
        <v>0</v>
      </c>
      <c r="H7245" s="29">
        <v>0</v>
      </c>
    </row>
    <row r="7246" spans="1:8" x14ac:dyDescent="0.4">
      <c r="A7246">
        <v>1997</v>
      </c>
      <c r="B7246" s="8" t="s">
        <v>559</v>
      </c>
      <c r="C7246" s="8" t="s">
        <v>721</v>
      </c>
      <c r="D7246" s="8" t="s">
        <v>207</v>
      </c>
      <c r="E7246" s="70" t="s">
        <v>74</v>
      </c>
      <c r="F7246" s="29">
        <v>58</v>
      </c>
      <c r="G7246" s="29">
        <v>0</v>
      </c>
      <c r="H7246" s="29">
        <v>0</v>
      </c>
    </row>
    <row r="7247" spans="1:8" x14ac:dyDescent="0.4">
      <c r="A7247">
        <v>1997</v>
      </c>
      <c r="B7247" s="8" t="s">
        <v>560</v>
      </c>
      <c r="C7247" s="8" t="s">
        <v>721</v>
      </c>
      <c r="D7247" s="8" t="s">
        <v>207</v>
      </c>
      <c r="E7247" s="70" t="s">
        <v>211</v>
      </c>
      <c r="F7247" s="29">
        <v>49</v>
      </c>
      <c r="G7247" s="29">
        <v>0</v>
      </c>
      <c r="H7247" s="29">
        <v>0</v>
      </c>
    </row>
    <row r="7248" spans="1:8" x14ac:dyDescent="0.4">
      <c r="A7248">
        <v>1997</v>
      </c>
      <c r="B7248" s="8" t="s">
        <v>561</v>
      </c>
      <c r="C7248" s="8" t="s">
        <v>721</v>
      </c>
      <c r="D7248" s="8" t="s">
        <v>207</v>
      </c>
      <c r="E7248" s="70" t="s">
        <v>212</v>
      </c>
      <c r="F7248" s="29">
        <v>16</v>
      </c>
      <c r="G7248" s="29">
        <v>0</v>
      </c>
      <c r="H7248" s="29">
        <v>0</v>
      </c>
    </row>
    <row r="7249" spans="1:8" x14ac:dyDescent="0.4">
      <c r="A7249">
        <v>1997</v>
      </c>
      <c r="B7249" s="8" t="s">
        <v>562</v>
      </c>
      <c r="C7249" s="8" t="s">
        <v>721</v>
      </c>
      <c r="D7249" s="8" t="s">
        <v>207</v>
      </c>
      <c r="E7249" s="70" t="s">
        <v>213</v>
      </c>
      <c r="F7249" s="29">
        <v>58</v>
      </c>
      <c r="G7249" s="29">
        <v>0</v>
      </c>
      <c r="H7249" s="29">
        <v>0</v>
      </c>
    </row>
    <row r="7250" spans="1:8" x14ac:dyDescent="0.4">
      <c r="A7250">
        <v>1997</v>
      </c>
      <c r="B7250" s="8" t="s">
        <v>563</v>
      </c>
      <c r="C7250" s="8" t="s">
        <v>721</v>
      </c>
      <c r="D7250" s="8" t="s">
        <v>207</v>
      </c>
      <c r="E7250" s="70" t="s">
        <v>214</v>
      </c>
      <c r="F7250" s="29">
        <v>12</v>
      </c>
      <c r="G7250" s="29">
        <v>0</v>
      </c>
      <c r="H7250" s="29">
        <v>0</v>
      </c>
    </row>
    <row r="7251" spans="1:8" x14ac:dyDescent="0.4">
      <c r="A7251">
        <v>1997</v>
      </c>
      <c r="B7251" s="8" t="s">
        <v>564</v>
      </c>
      <c r="C7251" s="8" t="s">
        <v>722</v>
      </c>
      <c r="D7251" s="8" t="s">
        <v>216</v>
      </c>
      <c r="E7251" s="70" t="s">
        <v>215</v>
      </c>
      <c r="F7251" s="29">
        <v>46</v>
      </c>
      <c r="G7251" s="29">
        <v>0</v>
      </c>
      <c r="H7251" s="29">
        <v>0</v>
      </c>
    </row>
    <row r="7252" spans="1:8" x14ac:dyDescent="0.4">
      <c r="A7252">
        <v>1997</v>
      </c>
      <c r="B7252" s="8" t="s">
        <v>565</v>
      </c>
      <c r="C7252" s="8" t="s">
        <v>722</v>
      </c>
      <c r="D7252" s="8" t="s">
        <v>216</v>
      </c>
      <c r="E7252" s="70" t="s">
        <v>59</v>
      </c>
      <c r="F7252" s="29">
        <v>88</v>
      </c>
      <c r="G7252" s="29">
        <v>0</v>
      </c>
      <c r="H7252" s="29">
        <v>0</v>
      </c>
    </row>
    <row r="7253" spans="1:8" x14ac:dyDescent="0.4">
      <c r="A7253">
        <v>1997</v>
      </c>
      <c r="B7253" s="8" t="s">
        <v>566</v>
      </c>
      <c r="C7253" s="8" t="s">
        <v>722</v>
      </c>
      <c r="D7253" s="8" t="s">
        <v>216</v>
      </c>
      <c r="E7253" s="70" t="s">
        <v>217</v>
      </c>
      <c r="F7253" s="29">
        <v>85</v>
      </c>
      <c r="G7253" s="29">
        <v>0</v>
      </c>
      <c r="H7253" s="29">
        <v>0</v>
      </c>
    </row>
    <row r="7254" spans="1:8" x14ac:dyDescent="0.4">
      <c r="A7254">
        <v>1997</v>
      </c>
      <c r="B7254" s="8" t="s">
        <v>567</v>
      </c>
      <c r="C7254" s="8" t="s">
        <v>722</v>
      </c>
      <c r="D7254" s="8" t="s">
        <v>216</v>
      </c>
      <c r="E7254" s="70" t="s">
        <v>218</v>
      </c>
      <c r="F7254" s="29">
        <v>47</v>
      </c>
      <c r="G7254" s="29">
        <v>0</v>
      </c>
      <c r="H7254" s="29">
        <v>0</v>
      </c>
    </row>
    <row r="7255" spans="1:8" x14ac:dyDescent="0.4">
      <c r="A7255">
        <v>1997</v>
      </c>
      <c r="B7255" s="8" t="s">
        <v>568</v>
      </c>
      <c r="C7255" s="8" t="s">
        <v>722</v>
      </c>
      <c r="D7255" s="8" t="s">
        <v>216</v>
      </c>
      <c r="E7255" s="70" t="s">
        <v>219</v>
      </c>
      <c r="F7255" s="29">
        <v>70</v>
      </c>
      <c r="G7255" s="29">
        <v>0</v>
      </c>
      <c r="H7255" s="29">
        <v>0</v>
      </c>
    </row>
    <row r="7256" spans="1:8" x14ac:dyDescent="0.4">
      <c r="A7256">
        <v>1997</v>
      </c>
      <c r="B7256" s="8" t="s">
        <v>569</v>
      </c>
      <c r="C7256" s="8" t="s">
        <v>722</v>
      </c>
      <c r="D7256" s="8" t="s">
        <v>216</v>
      </c>
      <c r="E7256" s="70" t="s">
        <v>220</v>
      </c>
      <c r="F7256" s="29">
        <v>76</v>
      </c>
      <c r="G7256" s="29">
        <v>0</v>
      </c>
      <c r="H7256" s="29">
        <v>0</v>
      </c>
    </row>
    <row r="7257" spans="1:8" x14ac:dyDescent="0.4">
      <c r="A7257">
        <v>1997</v>
      </c>
      <c r="B7257" s="8" t="s">
        <v>570</v>
      </c>
      <c r="C7257" s="8" t="s">
        <v>722</v>
      </c>
      <c r="D7257" s="8" t="s">
        <v>216</v>
      </c>
      <c r="E7257" s="70" t="s">
        <v>221</v>
      </c>
      <c r="F7257" s="29">
        <v>95</v>
      </c>
      <c r="G7257" s="29">
        <v>0</v>
      </c>
      <c r="H7257" s="29">
        <v>0</v>
      </c>
    </row>
    <row r="7258" spans="1:8" x14ac:dyDescent="0.4">
      <c r="A7258">
        <v>1997</v>
      </c>
      <c r="B7258" s="8" t="s">
        <v>571</v>
      </c>
      <c r="C7258" s="8" t="s">
        <v>722</v>
      </c>
      <c r="D7258" s="8" t="s">
        <v>216</v>
      </c>
      <c r="E7258" s="70" t="s">
        <v>222</v>
      </c>
      <c r="F7258" s="29">
        <v>964</v>
      </c>
      <c r="G7258" s="29">
        <v>0</v>
      </c>
      <c r="H7258" s="29">
        <v>0</v>
      </c>
    </row>
    <row r="7259" spans="1:8" x14ac:dyDescent="0.4">
      <c r="A7259">
        <v>1997</v>
      </c>
      <c r="B7259" s="8" t="s">
        <v>572</v>
      </c>
      <c r="C7259" s="8" t="s">
        <v>722</v>
      </c>
      <c r="D7259" s="8" t="s">
        <v>216</v>
      </c>
      <c r="E7259" s="70" t="s">
        <v>223</v>
      </c>
      <c r="F7259" s="29">
        <v>56</v>
      </c>
      <c r="G7259" s="29">
        <v>0</v>
      </c>
      <c r="H7259" s="29">
        <v>0</v>
      </c>
    </row>
    <row r="7260" spans="1:8" x14ac:dyDescent="0.4">
      <c r="A7260">
        <v>1997</v>
      </c>
      <c r="B7260" s="8" t="s">
        <v>573</v>
      </c>
      <c r="C7260" s="8" t="s">
        <v>722</v>
      </c>
      <c r="D7260" s="8" t="s">
        <v>216</v>
      </c>
      <c r="E7260" s="70" t="s">
        <v>224</v>
      </c>
      <c r="F7260" s="29">
        <v>56</v>
      </c>
      <c r="G7260" s="29">
        <v>0</v>
      </c>
      <c r="H7260" s="29">
        <v>0</v>
      </c>
    </row>
    <row r="7261" spans="1:8" x14ac:dyDescent="0.4">
      <c r="A7261">
        <v>1997</v>
      </c>
      <c r="B7261" s="8" t="s">
        <v>574</v>
      </c>
      <c r="C7261" s="8" t="s">
        <v>722</v>
      </c>
      <c r="D7261" s="8" t="s">
        <v>216</v>
      </c>
      <c r="E7261" s="70" t="s">
        <v>225</v>
      </c>
      <c r="F7261" s="29">
        <v>24</v>
      </c>
      <c r="G7261" s="29">
        <v>0</v>
      </c>
      <c r="H7261" s="29">
        <v>0</v>
      </c>
    </row>
    <row r="7262" spans="1:8" x14ac:dyDescent="0.4">
      <c r="A7262">
        <v>1997</v>
      </c>
      <c r="B7262" s="8" t="s">
        <v>575</v>
      </c>
      <c r="C7262" s="8" t="s">
        <v>723</v>
      </c>
      <c r="D7262" s="8" t="s">
        <v>227</v>
      </c>
      <c r="E7262" s="70" t="s">
        <v>226</v>
      </c>
      <c r="F7262" s="29">
        <v>39</v>
      </c>
      <c r="G7262" s="29">
        <v>0</v>
      </c>
      <c r="H7262" s="29">
        <v>0</v>
      </c>
    </row>
    <row r="7263" spans="1:8" x14ac:dyDescent="0.4">
      <c r="A7263">
        <v>1997</v>
      </c>
      <c r="B7263" s="8" t="s">
        <v>576</v>
      </c>
      <c r="C7263" s="8" t="s">
        <v>723</v>
      </c>
      <c r="D7263" s="8" t="s">
        <v>227</v>
      </c>
      <c r="E7263" s="70" t="s">
        <v>228</v>
      </c>
      <c r="F7263" s="29">
        <v>1060</v>
      </c>
      <c r="G7263" s="29">
        <v>0</v>
      </c>
      <c r="H7263" s="29">
        <v>0</v>
      </c>
    </row>
    <row r="7264" spans="1:8" x14ac:dyDescent="0.4">
      <c r="A7264">
        <v>1997</v>
      </c>
      <c r="B7264" s="8" t="s">
        <v>577</v>
      </c>
      <c r="C7264" s="8" t="s">
        <v>723</v>
      </c>
      <c r="D7264" s="8" t="s">
        <v>227</v>
      </c>
      <c r="E7264" s="70" t="s">
        <v>229</v>
      </c>
      <c r="F7264" s="29">
        <v>117</v>
      </c>
      <c r="G7264" s="29">
        <v>0</v>
      </c>
      <c r="H7264" s="29">
        <v>0</v>
      </c>
    </row>
    <row r="7265" spans="1:8" x14ac:dyDescent="0.4">
      <c r="A7265">
        <v>1997</v>
      </c>
      <c r="B7265" s="8" t="s">
        <v>578</v>
      </c>
      <c r="C7265" s="8" t="s">
        <v>723</v>
      </c>
      <c r="D7265" s="8" t="s">
        <v>227</v>
      </c>
      <c r="E7265" s="70" t="s">
        <v>230</v>
      </c>
      <c r="F7265" s="29">
        <v>579</v>
      </c>
      <c r="G7265" s="29">
        <v>0</v>
      </c>
      <c r="H7265" s="29">
        <v>0</v>
      </c>
    </row>
    <row r="7266" spans="1:8" x14ac:dyDescent="0.4">
      <c r="A7266">
        <v>1997</v>
      </c>
      <c r="B7266" s="8" t="s">
        <v>579</v>
      </c>
      <c r="C7266" s="8" t="s">
        <v>723</v>
      </c>
      <c r="D7266" s="8" t="s">
        <v>227</v>
      </c>
      <c r="E7266" s="70" t="s">
        <v>231</v>
      </c>
      <c r="F7266" s="29">
        <v>73</v>
      </c>
      <c r="G7266" s="29">
        <v>0</v>
      </c>
      <c r="H7266" s="29">
        <v>0</v>
      </c>
    </row>
    <row r="7267" spans="1:8" x14ac:dyDescent="0.4">
      <c r="A7267">
        <v>1997</v>
      </c>
      <c r="B7267" s="8" t="s">
        <v>580</v>
      </c>
      <c r="C7267" s="8" t="s">
        <v>723</v>
      </c>
      <c r="D7267" s="8" t="s">
        <v>227</v>
      </c>
      <c r="E7267" s="70" t="s">
        <v>232</v>
      </c>
      <c r="F7267" s="29">
        <v>58</v>
      </c>
      <c r="G7267" s="29">
        <v>0</v>
      </c>
      <c r="H7267" s="29">
        <v>0</v>
      </c>
    </row>
    <row r="7268" spans="1:8" x14ac:dyDescent="0.4">
      <c r="A7268">
        <v>1997</v>
      </c>
      <c r="B7268" s="8" t="s">
        <v>581</v>
      </c>
      <c r="C7268" s="8" t="s">
        <v>723</v>
      </c>
      <c r="D7268" s="8" t="s">
        <v>227</v>
      </c>
      <c r="E7268" s="70" t="s">
        <v>233</v>
      </c>
      <c r="F7268" s="29">
        <v>97</v>
      </c>
      <c r="G7268" s="29">
        <v>0</v>
      </c>
      <c r="H7268" s="29">
        <v>0</v>
      </c>
    </row>
    <row r="7269" spans="1:8" x14ac:dyDescent="0.4">
      <c r="A7269">
        <v>1997</v>
      </c>
      <c r="B7269" s="8" t="s">
        <v>582</v>
      </c>
      <c r="C7269" s="8" t="s">
        <v>723</v>
      </c>
      <c r="D7269" s="8" t="s">
        <v>227</v>
      </c>
      <c r="E7269" s="70" t="s">
        <v>32</v>
      </c>
      <c r="F7269" s="29">
        <v>405</v>
      </c>
      <c r="G7269" s="29">
        <v>0</v>
      </c>
      <c r="H7269" s="29">
        <v>0</v>
      </c>
    </row>
    <row r="7270" spans="1:8" x14ac:dyDescent="0.4">
      <c r="A7270">
        <v>1997</v>
      </c>
      <c r="B7270" s="8" t="s">
        <v>583</v>
      </c>
      <c r="C7270" s="8" t="s">
        <v>723</v>
      </c>
      <c r="D7270" s="8" t="s">
        <v>227</v>
      </c>
      <c r="E7270" s="70" t="s">
        <v>234</v>
      </c>
      <c r="F7270" s="29">
        <v>22</v>
      </c>
      <c r="G7270" s="29">
        <v>0</v>
      </c>
      <c r="H7270" s="29">
        <v>0</v>
      </c>
    </row>
    <row r="7271" spans="1:8" x14ac:dyDescent="0.4">
      <c r="A7271">
        <v>1997</v>
      </c>
      <c r="B7271" s="8" t="s">
        <v>584</v>
      </c>
      <c r="C7271" s="8" t="s">
        <v>723</v>
      </c>
      <c r="D7271" s="8" t="s">
        <v>227</v>
      </c>
      <c r="E7271" s="70" t="s">
        <v>235</v>
      </c>
      <c r="F7271" s="29">
        <v>64</v>
      </c>
      <c r="G7271" s="29">
        <v>0</v>
      </c>
      <c r="H7271" s="29">
        <v>0</v>
      </c>
    </row>
    <row r="7272" spans="1:8" x14ac:dyDescent="0.4">
      <c r="A7272">
        <v>1997</v>
      </c>
      <c r="B7272" s="8" t="s">
        <v>585</v>
      </c>
      <c r="C7272" s="8" t="s">
        <v>723</v>
      </c>
      <c r="D7272" s="8" t="s">
        <v>227</v>
      </c>
      <c r="E7272" s="70" t="s">
        <v>236</v>
      </c>
      <c r="F7272" s="29">
        <v>33</v>
      </c>
      <c r="G7272" s="29">
        <v>0</v>
      </c>
      <c r="H7272" s="29">
        <v>0</v>
      </c>
    </row>
    <row r="7273" spans="1:8" x14ac:dyDescent="0.4">
      <c r="A7273">
        <v>1997</v>
      </c>
      <c r="B7273" s="8" t="s">
        <v>586</v>
      </c>
      <c r="C7273" s="8" t="s">
        <v>723</v>
      </c>
      <c r="D7273" s="8" t="s">
        <v>227</v>
      </c>
      <c r="E7273" s="70" t="s">
        <v>237</v>
      </c>
      <c r="F7273" s="29">
        <v>28</v>
      </c>
      <c r="G7273" s="29">
        <v>0</v>
      </c>
      <c r="H7273" s="29">
        <v>0</v>
      </c>
    </row>
    <row r="7274" spans="1:8" x14ac:dyDescent="0.4">
      <c r="A7274">
        <v>1997</v>
      </c>
      <c r="B7274" s="8" t="s">
        <v>587</v>
      </c>
      <c r="C7274" s="8" t="s">
        <v>723</v>
      </c>
      <c r="D7274" s="8" t="s">
        <v>227</v>
      </c>
      <c r="E7274" s="70" t="s">
        <v>51</v>
      </c>
      <c r="F7274" s="29">
        <v>124</v>
      </c>
      <c r="G7274" s="29">
        <v>0</v>
      </c>
      <c r="H7274" s="29">
        <v>0</v>
      </c>
    </row>
    <row r="7275" spans="1:8" x14ac:dyDescent="0.4">
      <c r="A7275">
        <v>1997</v>
      </c>
      <c r="B7275" s="8" t="s">
        <v>588</v>
      </c>
      <c r="C7275" s="8" t="s">
        <v>723</v>
      </c>
      <c r="D7275" s="8" t="s">
        <v>227</v>
      </c>
      <c r="E7275" s="70" t="s">
        <v>238</v>
      </c>
      <c r="F7275" s="29">
        <v>169</v>
      </c>
      <c r="G7275" s="29">
        <v>0</v>
      </c>
      <c r="H7275" s="29">
        <v>0</v>
      </c>
    </row>
    <row r="7276" spans="1:8" x14ac:dyDescent="0.4">
      <c r="A7276">
        <v>1997</v>
      </c>
      <c r="B7276" s="8" t="s">
        <v>589</v>
      </c>
      <c r="C7276" s="8" t="s">
        <v>724</v>
      </c>
      <c r="D7276" s="8" t="s">
        <v>239</v>
      </c>
      <c r="E7276" s="70" t="s">
        <v>163</v>
      </c>
      <c r="F7276" s="29">
        <v>67</v>
      </c>
      <c r="G7276" s="29">
        <v>0</v>
      </c>
      <c r="H7276" s="29">
        <v>0</v>
      </c>
    </row>
    <row r="7277" spans="1:8" x14ac:dyDescent="0.4">
      <c r="A7277">
        <v>1997</v>
      </c>
      <c r="B7277" s="8" t="s">
        <v>590</v>
      </c>
      <c r="C7277" s="8" t="s">
        <v>724</v>
      </c>
      <c r="D7277" s="8" t="s">
        <v>239</v>
      </c>
      <c r="E7277" s="70" t="s">
        <v>240</v>
      </c>
      <c r="F7277" s="29">
        <v>51</v>
      </c>
      <c r="G7277" s="29">
        <v>0</v>
      </c>
      <c r="H7277" s="29">
        <v>0</v>
      </c>
    </row>
    <row r="7278" spans="1:8" x14ac:dyDescent="0.4">
      <c r="A7278">
        <v>1997</v>
      </c>
      <c r="B7278" s="8" t="s">
        <v>591</v>
      </c>
      <c r="C7278" s="8" t="s">
        <v>724</v>
      </c>
      <c r="D7278" s="8" t="s">
        <v>239</v>
      </c>
      <c r="E7278" s="70" t="s">
        <v>59</v>
      </c>
      <c r="F7278" s="29">
        <v>123</v>
      </c>
      <c r="G7278" s="29">
        <v>0</v>
      </c>
      <c r="H7278" s="29">
        <v>0</v>
      </c>
    </row>
    <row r="7279" spans="1:8" x14ac:dyDescent="0.4">
      <c r="A7279">
        <v>1997</v>
      </c>
      <c r="B7279" s="8" t="s">
        <v>592</v>
      </c>
      <c r="C7279" s="8" t="s">
        <v>724</v>
      </c>
      <c r="D7279" s="8" t="s">
        <v>239</v>
      </c>
      <c r="E7279" s="70" t="s">
        <v>241</v>
      </c>
      <c r="F7279" s="29">
        <v>57</v>
      </c>
      <c r="G7279" s="29">
        <v>0</v>
      </c>
      <c r="H7279" s="29">
        <v>0</v>
      </c>
    </row>
    <row r="7280" spans="1:8" x14ac:dyDescent="0.4">
      <c r="A7280">
        <v>1997</v>
      </c>
      <c r="B7280" s="8" t="s">
        <v>593</v>
      </c>
      <c r="C7280" s="8" t="s">
        <v>724</v>
      </c>
      <c r="D7280" s="8" t="s">
        <v>239</v>
      </c>
      <c r="E7280" s="70" t="s">
        <v>242</v>
      </c>
      <c r="F7280" s="29">
        <v>590</v>
      </c>
      <c r="G7280" s="29">
        <v>0</v>
      </c>
      <c r="H7280" s="29">
        <v>0</v>
      </c>
    </row>
    <row r="7281" spans="1:8" x14ac:dyDescent="0.4">
      <c r="A7281">
        <v>1997</v>
      </c>
      <c r="B7281" s="8" t="s">
        <v>594</v>
      </c>
      <c r="C7281" s="8" t="s">
        <v>724</v>
      </c>
      <c r="D7281" s="8" t="s">
        <v>239</v>
      </c>
      <c r="E7281" s="70" t="s">
        <v>36</v>
      </c>
      <c r="F7281" s="29">
        <v>54</v>
      </c>
      <c r="G7281" s="29">
        <v>0</v>
      </c>
      <c r="H7281" s="29">
        <v>0</v>
      </c>
    </row>
    <row r="7282" spans="1:8" x14ac:dyDescent="0.4">
      <c r="A7282">
        <v>1997</v>
      </c>
      <c r="B7282" s="8" t="s">
        <v>595</v>
      </c>
      <c r="C7282" s="8" t="s">
        <v>724</v>
      </c>
      <c r="D7282" s="8" t="s">
        <v>239</v>
      </c>
      <c r="E7282" s="70" t="s">
        <v>243</v>
      </c>
      <c r="F7282" s="29">
        <v>68</v>
      </c>
      <c r="G7282" s="29">
        <v>0</v>
      </c>
      <c r="H7282" s="29">
        <v>0</v>
      </c>
    </row>
    <row r="7283" spans="1:8" x14ac:dyDescent="0.4">
      <c r="A7283">
        <v>1997</v>
      </c>
      <c r="B7283" s="8" t="s">
        <v>596</v>
      </c>
      <c r="C7283" s="8" t="s">
        <v>724</v>
      </c>
      <c r="D7283" s="8" t="s">
        <v>239</v>
      </c>
      <c r="E7283" s="70" t="s">
        <v>244</v>
      </c>
      <c r="F7283" s="29">
        <v>51</v>
      </c>
      <c r="G7283" s="29">
        <v>0</v>
      </c>
      <c r="H7283" s="29">
        <v>0</v>
      </c>
    </row>
    <row r="7284" spans="1:8" x14ac:dyDescent="0.4">
      <c r="A7284">
        <v>1997</v>
      </c>
      <c r="B7284" s="8" t="s">
        <v>597</v>
      </c>
      <c r="C7284" s="8" t="s">
        <v>724</v>
      </c>
      <c r="D7284" s="8" t="s">
        <v>239</v>
      </c>
      <c r="E7284" s="70" t="s">
        <v>44</v>
      </c>
      <c r="F7284" s="29">
        <v>21</v>
      </c>
      <c r="G7284" s="29">
        <v>0</v>
      </c>
      <c r="H7284" s="29">
        <v>0</v>
      </c>
    </row>
    <row r="7285" spans="1:8" x14ac:dyDescent="0.4">
      <c r="A7285">
        <v>1997</v>
      </c>
      <c r="B7285" s="8" t="s">
        <v>598</v>
      </c>
      <c r="C7285" s="8" t="s">
        <v>724</v>
      </c>
      <c r="D7285" s="8" t="s">
        <v>239</v>
      </c>
      <c r="E7285" s="70" t="s">
        <v>222</v>
      </c>
      <c r="F7285" s="29">
        <v>68</v>
      </c>
      <c r="G7285" s="29">
        <v>0</v>
      </c>
      <c r="H7285" s="29">
        <v>0</v>
      </c>
    </row>
    <row r="7286" spans="1:8" x14ac:dyDescent="0.4">
      <c r="A7286">
        <v>1997</v>
      </c>
      <c r="B7286" s="8" t="s">
        <v>599</v>
      </c>
      <c r="C7286" s="8" t="s">
        <v>724</v>
      </c>
      <c r="D7286" s="8" t="s">
        <v>239</v>
      </c>
      <c r="E7286" s="70" t="s">
        <v>245</v>
      </c>
      <c r="F7286" s="29">
        <v>28</v>
      </c>
      <c r="G7286" s="29">
        <v>0</v>
      </c>
      <c r="H7286" s="29">
        <v>0</v>
      </c>
    </row>
    <row r="7287" spans="1:8" x14ac:dyDescent="0.4">
      <c r="A7287">
        <v>1997</v>
      </c>
      <c r="B7287" s="8" t="s">
        <v>600</v>
      </c>
      <c r="C7287" s="8" t="s">
        <v>724</v>
      </c>
      <c r="D7287" s="8" t="s">
        <v>239</v>
      </c>
      <c r="E7287" s="70" t="s">
        <v>246</v>
      </c>
      <c r="F7287" s="29">
        <v>179</v>
      </c>
      <c r="G7287" s="29">
        <v>0</v>
      </c>
      <c r="H7287" s="29">
        <v>0</v>
      </c>
    </row>
    <row r="7288" spans="1:8" x14ac:dyDescent="0.4">
      <c r="A7288">
        <v>1997</v>
      </c>
      <c r="B7288" s="8" t="s">
        <v>601</v>
      </c>
      <c r="C7288" s="8" t="s">
        <v>724</v>
      </c>
      <c r="D7288" s="8" t="s">
        <v>239</v>
      </c>
      <c r="E7288" s="70" t="s">
        <v>247</v>
      </c>
      <c r="F7288" s="29">
        <v>138</v>
      </c>
      <c r="G7288" s="29">
        <v>0</v>
      </c>
      <c r="H7288" s="29">
        <v>0</v>
      </c>
    </row>
    <row r="7289" spans="1:8" x14ac:dyDescent="0.4">
      <c r="A7289">
        <v>1997</v>
      </c>
      <c r="B7289" s="8" t="s">
        <v>602</v>
      </c>
      <c r="C7289" s="8" t="s">
        <v>724</v>
      </c>
      <c r="D7289" s="8" t="s">
        <v>239</v>
      </c>
      <c r="E7289" s="70" t="s">
        <v>51</v>
      </c>
      <c r="F7289" s="29">
        <v>1254</v>
      </c>
      <c r="G7289" s="29">
        <v>0</v>
      </c>
      <c r="H7289" s="29">
        <v>0</v>
      </c>
    </row>
    <row r="7290" spans="1:8" x14ac:dyDescent="0.4">
      <c r="A7290">
        <v>1997</v>
      </c>
      <c r="B7290" s="8" t="s">
        <v>603</v>
      </c>
      <c r="C7290" s="8" t="s">
        <v>724</v>
      </c>
      <c r="D7290" s="8" t="s">
        <v>239</v>
      </c>
      <c r="E7290" s="70" t="s">
        <v>248</v>
      </c>
      <c r="F7290" s="29">
        <v>107</v>
      </c>
      <c r="G7290" s="29">
        <v>0</v>
      </c>
      <c r="H7290" s="29">
        <v>0</v>
      </c>
    </row>
    <row r="7291" spans="1:8" x14ac:dyDescent="0.4">
      <c r="A7291">
        <v>1997</v>
      </c>
      <c r="B7291" s="8" t="s">
        <v>604</v>
      </c>
      <c r="C7291" s="8" t="s">
        <v>725</v>
      </c>
      <c r="D7291" s="8" t="s">
        <v>249</v>
      </c>
      <c r="E7291" s="70" t="s">
        <v>174</v>
      </c>
      <c r="F7291" s="29">
        <v>46</v>
      </c>
      <c r="G7291" s="29">
        <v>0</v>
      </c>
      <c r="H7291" s="29">
        <v>0</v>
      </c>
    </row>
    <row r="7292" spans="1:8" x14ac:dyDescent="0.4">
      <c r="A7292">
        <v>1997</v>
      </c>
      <c r="B7292" s="8" t="s">
        <v>605</v>
      </c>
      <c r="C7292" s="8" t="s">
        <v>725</v>
      </c>
      <c r="D7292" s="8" t="s">
        <v>249</v>
      </c>
      <c r="E7292" s="70" t="s">
        <v>250</v>
      </c>
      <c r="F7292" s="29">
        <v>15</v>
      </c>
      <c r="G7292" s="29">
        <v>0</v>
      </c>
      <c r="H7292" s="29">
        <v>0</v>
      </c>
    </row>
    <row r="7293" spans="1:8" x14ac:dyDescent="0.4">
      <c r="A7293">
        <v>1997</v>
      </c>
      <c r="B7293" s="8" t="s">
        <v>606</v>
      </c>
      <c r="C7293" s="8" t="s">
        <v>725</v>
      </c>
      <c r="D7293" s="8" t="s">
        <v>249</v>
      </c>
      <c r="E7293" s="70" t="s">
        <v>251</v>
      </c>
      <c r="F7293" s="29">
        <v>216</v>
      </c>
      <c r="G7293" s="29">
        <v>0</v>
      </c>
      <c r="H7293" s="29">
        <v>0</v>
      </c>
    </row>
    <row r="7294" spans="1:8" x14ac:dyDescent="0.4">
      <c r="A7294">
        <v>1997</v>
      </c>
      <c r="B7294" s="8" t="s">
        <v>607</v>
      </c>
      <c r="C7294" s="8" t="s">
        <v>725</v>
      </c>
      <c r="D7294" s="8" t="s">
        <v>249</v>
      </c>
      <c r="E7294" s="70" t="s">
        <v>36</v>
      </c>
      <c r="F7294" s="29">
        <v>187</v>
      </c>
      <c r="G7294" s="29">
        <v>0</v>
      </c>
      <c r="H7294" s="29">
        <v>0</v>
      </c>
    </row>
    <row r="7295" spans="1:8" x14ac:dyDescent="0.4">
      <c r="A7295">
        <v>1997</v>
      </c>
      <c r="B7295" s="8" t="s">
        <v>608</v>
      </c>
      <c r="C7295" s="8" t="s">
        <v>725</v>
      </c>
      <c r="D7295" s="8" t="s">
        <v>249</v>
      </c>
      <c r="E7295" s="70" t="s">
        <v>252</v>
      </c>
      <c r="F7295" s="29">
        <v>296</v>
      </c>
      <c r="G7295" s="29">
        <v>0</v>
      </c>
      <c r="H7295" s="29">
        <v>0</v>
      </c>
    </row>
    <row r="7296" spans="1:8" x14ac:dyDescent="0.4">
      <c r="A7296">
        <v>1997</v>
      </c>
      <c r="B7296" s="8" t="s">
        <v>609</v>
      </c>
      <c r="C7296" s="8" t="s">
        <v>725</v>
      </c>
      <c r="D7296" s="8" t="s">
        <v>249</v>
      </c>
      <c r="E7296" s="70" t="s">
        <v>253</v>
      </c>
      <c r="F7296" s="29">
        <v>70</v>
      </c>
      <c r="G7296" s="29">
        <v>0</v>
      </c>
      <c r="H7296" s="29">
        <v>0</v>
      </c>
    </row>
    <row r="7297" spans="1:8" x14ac:dyDescent="0.4">
      <c r="A7297">
        <v>1997</v>
      </c>
      <c r="B7297" s="8" t="s">
        <v>610</v>
      </c>
      <c r="C7297" s="8" t="s">
        <v>725</v>
      </c>
      <c r="D7297" s="8" t="s">
        <v>249</v>
      </c>
      <c r="E7297" s="70" t="s">
        <v>254</v>
      </c>
      <c r="F7297" s="29">
        <v>150</v>
      </c>
      <c r="G7297" s="29">
        <v>0</v>
      </c>
      <c r="H7297" s="29">
        <v>0</v>
      </c>
    </row>
    <row r="7298" spans="1:8" x14ac:dyDescent="0.4">
      <c r="A7298">
        <v>1997</v>
      </c>
      <c r="B7298" s="8" t="s">
        <v>611</v>
      </c>
      <c r="C7298" s="8" t="s">
        <v>725</v>
      </c>
      <c r="D7298" s="8" t="s">
        <v>249</v>
      </c>
      <c r="E7298" s="70" t="s">
        <v>11</v>
      </c>
      <c r="F7298" s="29">
        <v>21</v>
      </c>
      <c r="G7298" s="29">
        <v>0</v>
      </c>
      <c r="H7298" s="29">
        <v>0</v>
      </c>
    </row>
    <row r="7299" spans="1:8" x14ac:dyDescent="0.4">
      <c r="A7299">
        <v>1997</v>
      </c>
      <c r="B7299" s="8" t="s">
        <v>612</v>
      </c>
      <c r="C7299" s="8" t="s">
        <v>725</v>
      </c>
      <c r="D7299" s="8" t="s">
        <v>249</v>
      </c>
      <c r="E7299" s="70" t="s">
        <v>255</v>
      </c>
      <c r="F7299" s="29">
        <v>160</v>
      </c>
      <c r="G7299" s="29">
        <v>0</v>
      </c>
      <c r="H7299" s="29">
        <v>0</v>
      </c>
    </row>
    <row r="7300" spans="1:8" x14ac:dyDescent="0.4">
      <c r="A7300">
        <v>1997</v>
      </c>
      <c r="B7300" s="8" t="s">
        <v>613</v>
      </c>
      <c r="C7300" s="8" t="s">
        <v>725</v>
      </c>
      <c r="D7300" s="8" t="s">
        <v>249</v>
      </c>
      <c r="E7300" s="70" t="s">
        <v>256</v>
      </c>
      <c r="F7300" s="29">
        <v>57</v>
      </c>
      <c r="G7300" s="29">
        <v>0</v>
      </c>
      <c r="H7300" s="29">
        <v>0</v>
      </c>
    </row>
    <row r="7301" spans="1:8" x14ac:dyDescent="0.4">
      <c r="A7301">
        <v>1997</v>
      </c>
      <c r="B7301" s="8" t="s">
        <v>614</v>
      </c>
      <c r="C7301" s="8" t="s">
        <v>725</v>
      </c>
      <c r="D7301" s="8" t="s">
        <v>249</v>
      </c>
      <c r="E7301" s="70" t="s">
        <v>14</v>
      </c>
      <c r="F7301" s="29">
        <v>103</v>
      </c>
      <c r="G7301" s="29">
        <v>0</v>
      </c>
      <c r="H7301" s="29">
        <v>0</v>
      </c>
    </row>
    <row r="7302" spans="1:8" x14ac:dyDescent="0.4">
      <c r="A7302">
        <v>1997</v>
      </c>
      <c r="B7302" s="8" t="s">
        <v>615</v>
      </c>
      <c r="C7302" s="8" t="s">
        <v>725</v>
      </c>
      <c r="D7302" s="8" t="s">
        <v>249</v>
      </c>
      <c r="E7302" s="70" t="s">
        <v>257</v>
      </c>
      <c r="F7302" s="29">
        <v>222</v>
      </c>
      <c r="G7302" s="29">
        <v>0</v>
      </c>
      <c r="H7302" s="29">
        <v>0</v>
      </c>
    </row>
    <row r="7303" spans="1:8" x14ac:dyDescent="0.4">
      <c r="A7303">
        <v>1997</v>
      </c>
      <c r="B7303" s="8" t="s">
        <v>616</v>
      </c>
      <c r="C7303" s="8" t="s">
        <v>725</v>
      </c>
      <c r="D7303" s="8" t="s">
        <v>249</v>
      </c>
      <c r="E7303" s="70" t="s">
        <v>258</v>
      </c>
      <c r="F7303" s="29">
        <v>36</v>
      </c>
      <c r="G7303" s="29">
        <v>0</v>
      </c>
      <c r="H7303" s="29">
        <v>0</v>
      </c>
    </row>
    <row r="7304" spans="1:8" x14ac:dyDescent="0.4">
      <c r="A7304">
        <v>1997</v>
      </c>
      <c r="B7304" s="8" t="s">
        <v>617</v>
      </c>
      <c r="C7304" s="8" t="s">
        <v>725</v>
      </c>
      <c r="D7304" s="8" t="s">
        <v>249</v>
      </c>
      <c r="E7304" s="70" t="s">
        <v>259</v>
      </c>
      <c r="F7304" s="29">
        <v>254</v>
      </c>
      <c r="G7304" s="29">
        <v>0</v>
      </c>
      <c r="H7304" s="29">
        <v>0</v>
      </c>
    </row>
    <row r="7305" spans="1:8" x14ac:dyDescent="0.4">
      <c r="A7305">
        <v>1997</v>
      </c>
      <c r="B7305" s="8" t="s">
        <v>618</v>
      </c>
      <c r="C7305" s="8" t="s">
        <v>725</v>
      </c>
      <c r="D7305" s="8" t="s">
        <v>249</v>
      </c>
      <c r="E7305" s="70" t="s">
        <v>18</v>
      </c>
      <c r="F7305" s="29">
        <v>58</v>
      </c>
      <c r="G7305" s="29">
        <v>0</v>
      </c>
      <c r="H7305" s="29">
        <v>0</v>
      </c>
    </row>
    <row r="7306" spans="1:8" x14ac:dyDescent="0.4">
      <c r="A7306">
        <v>1997</v>
      </c>
      <c r="B7306" s="8" t="s">
        <v>619</v>
      </c>
      <c r="C7306" s="8" t="s">
        <v>725</v>
      </c>
      <c r="D7306" s="8" t="s">
        <v>249</v>
      </c>
      <c r="E7306" s="70" t="s">
        <v>44</v>
      </c>
      <c r="F7306" s="29">
        <v>62</v>
      </c>
      <c r="G7306" s="29">
        <v>0</v>
      </c>
      <c r="H7306" s="29">
        <v>0</v>
      </c>
    </row>
    <row r="7307" spans="1:8" x14ac:dyDescent="0.4">
      <c r="A7307">
        <v>1997</v>
      </c>
      <c r="B7307" s="8" t="s">
        <v>620</v>
      </c>
      <c r="C7307" s="8" t="s">
        <v>725</v>
      </c>
      <c r="D7307" s="8" t="s">
        <v>249</v>
      </c>
      <c r="E7307" s="70" t="s">
        <v>260</v>
      </c>
      <c r="F7307" s="29">
        <v>45</v>
      </c>
      <c r="G7307" s="29">
        <v>0</v>
      </c>
      <c r="H7307" s="29">
        <v>0</v>
      </c>
    </row>
    <row r="7308" spans="1:8" x14ac:dyDescent="0.4">
      <c r="A7308">
        <v>1997</v>
      </c>
      <c r="B7308" s="8" t="s">
        <v>621</v>
      </c>
      <c r="C7308" s="8" t="s">
        <v>725</v>
      </c>
      <c r="D7308" s="8" t="s">
        <v>249</v>
      </c>
      <c r="E7308" s="70" t="s">
        <v>261</v>
      </c>
      <c r="F7308" s="29">
        <v>86</v>
      </c>
      <c r="G7308" s="29">
        <v>0</v>
      </c>
      <c r="H7308" s="29">
        <v>0</v>
      </c>
    </row>
    <row r="7309" spans="1:8" x14ac:dyDescent="0.4">
      <c r="A7309">
        <v>1997</v>
      </c>
      <c r="B7309" s="8" t="s">
        <v>622</v>
      </c>
      <c r="C7309" s="8" t="s">
        <v>725</v>
      </c>
      <c r="D7309" s="8" t="s">
        <v>249</v>
      </c>
      <c r="E7309" s="70" t="s">
        <v>262</v>
      </c>
      <c r="F7309" s="29">
        <v>146</v>
      </c>
      <c r="G7309" s="29">
        <v>0</v>
      </c>
      <c r="H7309" s="29">
        <v>0</v>
      </c>
    </row>
    <row r="7310" spans="1:8" x14ac:dyDescent="0.4">
      <c r="A7310">
        <v>1997</v>
      </c>
      <c r="B7310" s="8" t="s">
        <v>623</v>
      </c>
      <c r="C7310" s="8" t="s">
        <v>725</v>
      </c>
      <c r="D7310" s="8" t="s">
        <v>249</v>
      </c>
      <c r="E7310" s="70" t="s">
        <v>263</v>
      </c>
      <c r="F7310" s="29">
        <v>99</v>
      </c>
      <c r="G7310" s="29">
        <v>0</v>
      </c>
      <c r="H7310" s="29">
        <v>0</v>
      </c>
    </row>
    <row r="7311" spans="1:8" x14ac:dyDescent="0.4">
      <c r="A7311">
        <v>1997</v>
      </c>
      <c r="B7311" s="8" t="s">
        <v>624</v>
      </c>
      <c r="C7311" s="8" t="s">
        <v>725</v>
      </c>
      <c r="D7311" s="8" t="s">
        <v>249</v>
      </c>
      <c r="E7311" s="70" t="s">
        <v>264</v>
      </c>
      <c r="F7311" s="29">
        <v>24</v>
      </c>
      <c r="G7311" s="29">
        <v>0</v>
      </c>
      <c r="H7311" s="29">
        <v>0</v>
      </c>
    </row>
    <row r="7312" spans="1:8" x14ac:dyDescent="0.4">
      <c r="A7312">
        <v>1997</v>
      </c>
      <c r="B7312" s="8" t="s">
        <v>625</v>
      </c>
      <c r="C7312" s="8" t="s">
        <v>725</v>
      </c>
      <c r="D7312" s="8" t="s">
        <v>249</v>
      </c>
      <c r="E7312" s="70" t="s">
        <v>265</v>
      </c>
      <c r="F7312" s="29">
        <v>35</v>
      </c>
      <c r="G7312" s="29">
        <v>0</v>
      </c>
      <c r="H7312" s="29">
        <v>0</v>
      </c>
    </row>
    <row r="7313" spans="1:8" x14ac:dyDescent="0.4">
      <c r="A7313">
        <v>1997</v>
      </c>
      <c r="B7313" s="8" t="s">
        <v>626</v>
      </c>
      <c r="C7313" s="8" t="s">
        <v>725</v>
      </c>
      <c r="D7313" s="8" t="s">
        <v>249</v>
      </c>
      <c r="E7313" s="70" t="s">
        <v>266</v>
      </c>
      <c r="F7313" s="29">
        <v>2121</v>
      </c>
      <c r="G7313" s="29">
        <v>0</v>
      </c>
      <c r="H7313" s="29">
        <v>0</v>
      </c>
    </row>
    <row r="7314" spans="1:8" x14ac:dyDescent="0.4">
      <c r="A7314">
        <v>1997</v>
      </c>
      <c r="B7314" s="8" t="s">
        <v>627</v>
      </c>
      <c r="C7314" s="8" t="s">
        <v>725</v>
      </c>
      <c r="D7314" s="8" t="s">
        <v>249</v>
      </c>
      <c r="E7314" s="70" t="s">
        <v>267</v>
      </c>
      <c r="F7314" s="29">
        <v>0</v>
      </c>
      <c r="G7314" s="29">
        <v>0</v>
      </c>
      <c r="H7314" s="29">
        <v>0</v>
      </c>
    </row>
    <row r="7315" spans="1:8" x14ac:dyDescent="0.4">
      <c r="A7315">
        <v>1997</v>
      </c>
      <c r="B7315" s="8" t="s">
        <v>628</v>
      </c>
      <c r="C7315" s="8" t="s">
        <v>725</v>
      </c>
      <c r="D7315" s="8" t="s">
        <v>249</v>
      </c>
      <c r="E7315" s="70" t="s">
        <v>268</v>
      </c>
      <c r="F7315" s="29">
        <v>47</v>
      </c>
      <c r="G7315" s="29">
        <v>0</v>
      </c>
      <c r="H7315" s="29">
        <v>0</v>
      </c>
    </row>
    <row r="7316" spans="1:8" x14ac:dyDescent="0.4">
      <c r="A7316">
        <v>1997</v>
      </c>
      <c r="B7316" s="8" t="s">
        <v>629</v>
      </c>
      <c r="C7316" s="8" t="s">
        <v>725</v>
      </c>
      <c r="D7316" s="8" t="s">
        <v>249</v>
      </c>
      <c r="E7316" s="70" t="s">
        <v>26</v>
      </c>
      <c r="F7316" s="29">
        <v>11</v>
      </c>
      <c r="G7316" s="29">
        <v>0</v>
      </c>
      <c r="H7316" s="29">
        <v>0</v>
      </c>
    </row>
    <row r="7317" spans="1:8" x14ac:dyDescent="0.4">
      <c r="A7317">
        <v>1997</v>
      </c>
      <c r="B7317" s="8" t="s">
        <v>630</v>
      </c>
      <c r="C7317" s="8" t="s">
        <v>725</v>
      </c>
      <c r="D7317" s="8" t="s">
        <v>249</v>
      </c>
      <c r="E7317" s="70" t="s">
        <v>51</v>
      </c>
      <c r="F7317" s="29">
        <v>47</v>
      </c>
      <c r="G7317" s="29">
        <v>0</v>
      </c>
      <c r="H7317" s="29">
        <v>0</v>
      </c>
    </row>
    <row r="7318" spans="1:8" x14ac:dyDescent="0.4">
      <c r="A7318">
        <v>1997</v>
      </c>
      <c r="B7318" s="8" t="s">
        <v>631</v>
      </c>
      <c r="C7318" s="8" t="s">
        <v>725</v>
      </c>
      <c r="D7318" s="8" t="s">
        <v>249</v>
      </c>
      <c r="E7318" s="70" t="s">
        <v>269</v>
      </c>
      <c r="F7318" s="29">
        <v>55</v>
      </c>
      <c r="G7318" s="29">
        <v>0</v>
      </c>
      <c r="H7318" s="29">
        <v>0</v>
      </c>
    </row>
    <row r="7319" spans="1:8" x14ac:dyDescent="0.4">
      <c r="A7319">
        <v>1997</v>
      </c>
      <c r="B7319" s="8" t="s">
        <v>632</v>
      </c>
      <c r="C7319" s="8" t="s">
        <v>725</v>
      </c>
      <c r="D7319" s="8" t="s">
        <v>249</v>
      </c>
      <c r="E7319" s="70" t="s">
        <v>270</v>
      </c>
      <c r="F7319" s="29">
        <v>92</v>
      </c>
      <c r="G7319" s="29">
        <v>0</v>
      </c>
      <c r="H7319" s="29">
        <v>0</v>
      </c>
    </row>
    <row r="7320" spans="1:8" x14ac:dyDescent="0.4">
      <c r="A7320">
        <v>1997</v>
      </c>
      <c r="B7320" s="8" t="s">
        <v>633</v>
      </c>
      <c r="C7320" s="8" t="s">
        <v>726</v>
      </c>
      <c r="D7320" s="8" t="s">
        <v>271</v>
      </c>
      <c r="E7320" s="70" t="s">
        <v>174</v>
      </c>
      <c r="F7320" s="29">
        <v>23</v>
      </c>
      <c r="G7320" s="29">
        <v>0</v>
      </c>
      <c r="H7320" s="29">
        <v>0</v>
      </c>
    </row>
    <row r="7321" spans="1:8" x14ac:dyDescent="0.4">
      <c r="A7321">
        <v>1997</v>
      </c>
      <c r="B7321" s="8" t="s">
        <v>634</v>
      </c>
      <c r="C7321" s="8" t="s">
        <v>726</v>
      </c>
      <c r="D7321" s="8" t="s">
        <v>271</v>
      </c>
      <c r="E7321" s="70" t="s">
        <v>272</v>
      </c>
      <c r="F7321" s="29">
        <v>582</v>
      </c>
      <c r="G7321" s="29">
        <v>0</v>
      </c>
      <c r="H7321" s="29">
        <v>0</v>
      </c>
    </row>
    <row r="7322" spans="1:8" x14ac:dyDescent="0.4">
      <c r="A7322">
        <v>1997</v>
      </c>
      <c r="B7322" s="8" t="s">
        <v>635</v>
      </c>
      <c r="C7322" s="8" t="s">
        <v>726</v>
      </c>
      <c r="D7322" s="8" t="s">
        <v>271</v>
      </c>
      <c r="E7322" s="70" t="s">
        <v>36</v>
      </c>
      <c r="F7322" s="29">
        <v>4</v>
      </c>
      <c r="G7322" s="29">
        <v>0</v>
      </c>
      <c r="H7322" s="29">
        <v>0</v>
      </c>
    </row>
    <row r="7323" spans="1:8" x14ac:dyDescent="0.4">
      <c r="A7323">
        <v>1997</v>
      </c>
      <c r="B7323" s="8" t="s">
        <v>636</v>
      </c>
      <c r="C7323" s="8" t="s">
        <v>726</v>
      </c>
      <c r="D7323" s="8" t="s">
        <v>271</v>
      </c>
      <c r="E7323" s="70" t="s">
        <v>273</v>
      </c>
      <c r="F7323" s="29">
        <v>80</v>
      </c>
      <c r="G7323" s="29">
        <v>0</v>
      </c>
      <c r="H7323" s="29">
        <v>0</v>
      </c>
    </row>
    <row r="7324" spans="1:8" x14ac:dyDescent="0.4">
      <c r="A7324">
        <v>1997</v>
      </c>
      <c r="B7324" s="8" t="s">
        <v>637</v>
      </c>
      <c r="C7324" s="8" t="s">
        <v>726</v>
      </c>
      <c r="D7324" s="8" t="s">
        <v>271</v>
      </c>
      <c r="E7324" s="70" t="s">
        <v>274</v>
      </c>
      <c r="F7324" s="29">
        <v>151</v>
      </c>
      <c r="G7324" s="29">
        <v>0</v>
      </c>
      <c r="H7324" s="29">
        <v>0</v>
      </c>
    </row>
    <row r="7325" spans="1:8" x14ac:dyDescent="0.4">
      <c r="A7325">
        <v>1997</v>
      </c>
      <c r="B7325" s="8" t="s">
        <v>638</v>
      </c>
      <c r="C7325" s="8" t="s">
        <v>726</v>
      </c>
      <c r="D7325" s="8" t="s">
        <v>271</v>
      </c>
      <c r="E7325" s="70" t="s">
        <v>275</v>
      </c>
      <c r="F7325" s="29">
        <v>56</v>
      </c>
      <c r="G7325" s="29">
        <v>0</v>
      </c>
      <c r="H7325" s="29">
        <v>0</v>
      </c>
    </row>
    <row r="7326" spans="1:8" x14ac:dyDescent="0.4">
      <c r="A7326">
        <v>1997</v>
      </c>
      <c r="B7326" s="8" t="s">
        <v>639</v>
      </c>
      <c r="C7326" s="8" t="s">
        <v>726</v>
      </c>
      <c r="D7326" s="8" t="s">
        <v>271</v>
      </c>
      <c r="E7326" s="70" t="s">
        <v>276</v>
      </c>
      <c r="F7326" s="29">
        <v>0</v>
      </c>
      <c r="G7326" s="29">
        <v>0</v>
      </c>
      <c r="H7326" s="29">
        <v>0</v>
      </c>
    </row>
    <row r="7327" spans="1:8" x14ac:dyDescent="0.4">
      <c r="A7327">
        <v>1997</v>
      </c>
      <c r="B7327" s="8" t="s">
        <v>640</v>
      </c>
      <c r="C7327" s="8" t="s">
        <v>726</v>
      </c>
      <c r="D7327" s="8" t="s">
        <v>271</v>
      </c>
      <c r="E7327" s="70" t="s">
        <v>277</v>
      </c>
      <c r="F7327" s="29">
        <v>8</v>
      </c>
      <c r="G7327" s="29">
        <v>0</v>
      </c>
      <c r="H7327" s="29">
        <v>0</v>
      </c>
    </row>
    <row r="7328" spans="1:8" x14ac:dyDescent="0.4">
      <c r="A7328">
        <v>1997</v>
      </c>
      <c r="B7328" s="8" t="s">
        <v>641</v>
      </c>
      <c r="C7328" s="8" t="s">
        <v>726</v>
      </c>
      <c r="D7328" s="8" t="s">
        <v>271</v>
      </c>
      <c r="E7328" s="70" t="s">
        <v>278</v>
      </c>
      <c r="F7328" s="29">
        <v>25</v>
      </c>
      <c r="G7328" s="29">
        <v>0</v>
      </c>
      <c r="H7328" s="29">
        <v>0</v>
      </c>
    </row>
    <row r="7329" spans="1:8" x14ac:dyDescent="0.4">
      <c r="A7329">
        <v>1997</v>
      </c>
      <c r="B7329" s="8" t="s">
        <v>642</v>
      </c>
      <c r="C7329" s="8" t="s">
        <v>726</v>
      </c>
      <c r="D7329" s="8" t="s">
        <v>271</v>
      </c>
      <c r="E7329" s="70" t="s">
        <v>85</v>
      </c>
      <c r="F7329" s="29">
        <v>70</v>
      </c>
      <c r="G7329" s="29">
        <v>0</v>
      </c>
      <c r="H7329" s="29">
        <v>0</v>
      </c>
    </row>
    <row r="7330" spans="1:8" x14ac:dyDescent="0.4">
      <c r="A7330">
        <v>1997</v>
      </c>
      <c r="B7330" s="8" t="s">
        <v>643</v>
      </c>
      <c r="C7330" s="8" t="s">
        <v>726</v>
      </c>
      <c r="D7330" s="8" t="s">
        <v>271</v>
      </c>
      <c r="E7330" s="70" t="s">
        <v>279</v>
      </c>
      <c r="F7330" s="29">
        <v>45</v>
      </c>
      <c r="G7330" s="29">
        <v>0</v>
      </c>
      <c r="H7330" s="29">
        <v>0</v>
      </c>
    </row>
    <row r="7331" spans="1:8" x14ac:dyDescent="0.4">
      <c r="A7331">
        <v>1997</v>
      </c>
      <c r="B7331" s="8" t="s">
        <v>644</v>
      </c>
      <c r="C7331" s="8" t="s">
        <v>726</v>
      </c>
      <c r="D7331" s="8" t="s">
        <v>271</v>
      </c>
      <c r="E7331" s="70" t="s">
        <v>280</v>
      </c>
      <c r="F7331" s="29">
        <v>15</v>
      </c>
      <c r="G7331" s="29">
        <v>0</v>
      </c>
      <c r="H7331" s="29">
        <v>0</v>
      </c>
    </row>
    <row r="7332" spans="1:8" x14ac:dyDescent="0.4">
      <c r="A7332">
        <v>1997</v>
      </c>
      <c r="B7332" s="8" t="s">
        <v>645</v>
      </c>
      <c r="C7332" s="8" t="s">
        <v>726</v>
      </c>
      <c r="D7332" s="8" t="s">
        <v>271</v>
      </c>
      <c r="E7332" s="70" t="s">
        <v>281</v>
      </c>
      <c r="F7332" s="29">
        <v>119</v>
      </c>
      <c r="G7332" s="29">
        <v>0</v>
      </c>
      <c r="H7332" s="29">
        <v>0</v>
      </c>
    </row>
    <row r="7333" spans="1:8" x14ac:dyDescent="0.4">
      <c r="A7333">
        <v>1997</v>
      </c>
      <c r="B7333" s="8" t="s">
        <v>646</v>
      </c>
      <c r="C7333" s="8" t="s">
        <v>726</v>
      </c>
      <c r="D7333" s="8" t="s">
        <v>271</v>
      </c>
      <c r="E7333" s="70" t="s">
        <v>282</v>
      </c>
      <c r="F7333" s="29">
        <v>20</v>
      </c>
      <c r="G7333" s="29">
        <v>0</v>
      </c>
      <c r="H7333" s="29">
        <v>0</v>
      </c>
    </row>
    <row r="7334" spans="1:8" x14ac:dyDescent="0.4">
      <c r="A7334">
        <v>1997</v>
      </c>
      <c r="B7334" s="8" t="s">
        <v>647</v>
      </c>
      <c r="C7334" s="8" t="s">
        <v>726</v>
      </c>
      <c r="D7334" s="8" t="s">
        <v>271</v>
      </c>
      <c r="E7334" s="70" t="s">
        <v>283</v>
      </c>
      <c r="F7334" s="29">
        <v>90</v>
      </c>
      <c r="G7334" s="29">
        <v>0</v>
      </c>
      <c r="H7334" s="29">
        <v>0</v>
      </c>
    </row>
    <row r="7335" spans="1:8" x14ac:dyDescent="0.4">
      <c r="A7335">
        <v>1997</v>
      </c>
      <c r="B7335" s="8" t="s">
        <v>648</v>
      </c>
      <c r="C7335" s="8" t="s">
        <v>726</v>
      </c>
      <c r="D7335" s="8" t="s">
        <v>271</v>
      </c>
      <c r="E7335" s="70" t="s">
        <v>284</v>
      </c>
      <c r="F7335" s="29">
        <v>92</v>
      </c>
      <c r="G7335" s="29">
        <v>0</v>
      </c>
      <c r="H7335" s="29">
        <v>0</v>
      </c>
    </row>
    <row r="7336" spans="1:8" x14ac:dyDescent="0.4">
      <c r="A7336">
        <v>1997</v>
      </c>
      <c r="B7336" s="8" t="s">
        <v>649</v>
      </c>
      <c r="C7336" s="8" t="s">
        <v>726</v>
      </c>
      <c r="D7336" s="8" t="s">
        <v>271</v>
      </c>
      <c r="E7336" s="70" t="s">
        <v>51</v>
      </c>
      <c r="F7336" s="29">
        <v>112</v>
      </c>
      <c r="G7336" s="29">
        <v>0</v>
      </c>
      <c r="H7336" s="29">
        <v>0</v>
      </c>
    </row>
    <row r="7337" spans="1:8" x14ac:dyDescent="0.4">
      <c r="A7337">
        <v>1997</v>
      </c>
      <c r="B7337" s="8" t="s">
        <v>650</v>
      </c>
      <c r="C7337" s="8" t="s">
        <v>726</v>
      </c>
      <c r="D7337" s="8" t="s">
        <v>271</v>
      </c>
      <c r="E7337" s="70" t="s">
        <v>285</v>
      </c>
      <c r="F7337" s="29">
        <v>447</v>
      </c>
      <c r="G7337" s="29">
        <v>0</v>
      </c>
      <c r="H7337" s="29">
        <v>0</v>
      </c>
    </row>
    <row r="7338" spans="1:8" x14ac:dyDescent="0.4">
      <c r="A7338">
        <v>1997</v>
      </c>
      <c r="B7338" s="8" t="s">
        <v>651</v>
      </c>
      <c r="C7338" s="8" t="s">
        <v>726</v>
      </c>
      <c r="D7338" s="8" t="s">
        <v>271</v>
      </c>
      <c r="E7338" s="70" t="s">
        <v>53</v>
      </c>
      <c r="F7338" s="29">
        <v>150</v>
      </c>
      <c r="G7338" s="29">
        <v>0</v>
      </c>
      <c r="H7338" s="29">
        <v>0</v>
      </c>
    </row>
    <row r="7339" spans="1:8" x14ac:dyDescent="0.4">
      <c r="A7339">
        <v>1997</v>
      </c>
      <c r="B7339" s="8" t="s">
        <v>652</v>
      </c>
      <c r="C7339" s="8" t="s">
        <v>726</v>
      </c>
      <c r="D7339" s="8" t="s">
        <v>271</v>
      </c>
      <c r="E7339" s="70" t="s">
        <v>286</v>
      </c>
      <c r="F7339" s="29">
        <v>1239</v>
      </c>
      <c r="G7339" s="29">
        <v>0</v>
      </c>
      <c r="H7339" s="29">
        <v>0</v>
      </c>
    </row>
    <row r="7340" spans="1:8" x14ac:dyDescent="0.4">
      <c r="A7340">
        <v>1997</v>
      </c>
      <c r="B7340" s="8" t="s">
        <v>653</v>
      </c>
      <c r="C7340" s="8" t="s">
        <v>727</v>
      </c>
      <c r="D7340" s="8" t="s">
        <v>288</v>
      </c>
      <c r="E7340" s="70" t="s">
        <v>287</v>
      </c>
      <c r="F7340" s="29">
        <v>0</v>
      </c>
      <c r="G7340" s="29">
        <v>0</v>
      </c>
      <c r="H7340" s="29">
        <v>0</v>
      </c>
    </row>
    <row r="7341" spans="1:8" x14ac:dyDescent="0.4">
      <c r="A7341">
        <v>1997</v>
      </c>
      <c r="B7341" s="8" t="s">
        <v>654</v>
      </c>
      <c r="C7341" s="8" t="s">
        <v>727</v>
      </c>
      <c r="D7341" s="8" t="s">
        <v>288</v>
      </c>
      <c r="E7341" s="70" t="s">
        <v>289</v>
      </c>
      <c r="F7341" s="29">
        <v>0</v>
      </c>
      <c r="G7341" s="29">
        <v>0</v>
      </c>
      <c r="H7341" s="29">
        <v>0</v>
      </c>
    </row>
    <row r="7342" spans="1:8" x14ac:dyDescent="0.4">
      <c r="A7342">
        <v>1997</v>
      </c>
      <c r="B7342" s="8" t="s">
        <v>655</v>
      </c>
      <c r="C7342" s="8" t="s">
        <v>727</v>
      </c>
      <c r="D7342" s="8" t="s">
        <v>288</v>
      </c>
      <c r="E7342" s="70" t="s">
        <v>290</v>
      </c>
      <c r="F7342" s="29">
        <v>0</v>
      </c>
      <c r="G7342" s="29">
        <v>0</v>
      </c>
      <c r="H7342" s="29">
        <v>0</v>
      </c>
    </row>
    <row r="7343" spans="1:8" x14ac:dyDescent="0.4">
      <c r="A7343">
        <v>1997</v>
      </c>
      <c r="B7343" s="8" t="s">
        <v>656</v>
      </c>
      <c r="C7343" s="8" t="s">
        <v>727</v>
      </c>
      <c r="D7343" s="8" t="s">
        <v>288</v>
      </c>
      <c r="E7343" s="70" t="s">
        <v>291</v>
      </c>
      <c r="F7343" s="29">
        <v>0</v>
      </c>
      <c r="G7343" s="29">
        <v>0</v>
      </c>
      <c r="H7343" s="29">
        <v>0</v>
      </c>
    </row>
    <row r="7344" spans="1:8" x14ac:dyDescent="0.4">
      <c r="A7344">
        <v>1997</v>
      </c>
      <c r="B7344" s="8" t="s">
        <v>657</v>
      </c>
      <c r="C7344" s="8" t="s">
        <v>727</v>
      </c>
      <c r="D7344" s="8" t="s">
        <v>288</v>
      </c>
      <c r="E7344" s="70" t="s">
        <v>292</v>
      </c>
      <c r="F7344" s="29">
        <v>0</v>
      </c>
      <c r="G7344" s="29">
        <v>0</v>
      </c>
      <c r="H7344" s="29">
        <v>0</v>
      </c>
    </row>
    <row r="7345" spans="1:8" x14ac:dyDescent="0.4">
      <c r="A7345">
        <v>1997</v>
      </c>
      <c r="B7345" s="8" t="s">
        <v>658</v>
      </c>
      <c r="C7345" s="8" t="s">
        <v>727</v>
      </c>
      <c r="D7345" s="8" t="s">
        <v>288</v>
      </c>
      <c r="E7345" s="70" t="s">
        <v>293</v>
      </c>
      <c r="F7345" s="29">
        <v>0</v>
      </c>
      <c r="G7345" s="29">
        <v>0</v>
      </c>
      <c r="H7345" s="29">
        <v>0</v>
      </c>
    </row>
    <row r="7346" spans="1:8" x14ac:dyDescent="0.4">
      <c r="A7346">
        <v>1997</v>
      </c>
      <c r="B7346" s="8" t="s">
        <v>659</v>
      </c>
      <c r="C7346" s="8" t="s">
        <v>727</v>
      </c>
      <c r="D7346" s="8" t="s">
        <v>288</v>
      </c>
      <c r="E7346" s="70" t="s">
        <v>294</v>
      </c>
      <c r="F7346" s="29">
        <v>0</v>
      </c>
      <c r="G7346" s="29">
        <v>0</v>
      </c>
      <c r="H7346" s="29">
        <v>0</v>
      </c>
    </row>
    <row r="7347" spans="1:8" x14ac:dyDescent="0.4">
      <c r="A7347">
        <v>1997</v>
      </c>
      <c r="B7347" s="8" t="s">
        <v>660</v>
      </c>
      <c r="C7347" s="8" t="s">
        <v>727</v>
      </c>
      <c r="D7347" s="8" t="s">
        <v>288</v>
      </c>
      <c r="E7347" s="70" t="s">
        <v>295</v>
      </c>
      <c r="F7347" s="29">
        <v>0</v>
      </c>
      <c r="G7347" s="29">
        <v>0</v>
      </c>
      <c r="H7347" s="29">
        <v>0</v>
      </c>
    </row>
    <row r="7348" spans="1:8" x14ac:dyDescent="0.4">
      <c r="A7348">
        <v>1997</v>
      </c>
      <c r="B7348" s="8" t="s">
        <v>661</v>
      </c>
      <c r="C7348" s="8" t="s">
        <v>727</v>
      </c>
      <c r="D7348" s="8" t="s">
        <v>288</v>
      </c>
      <c r="E7348" s="70" t="s">
        <v>296</v>
      </c>
      <c r="F7348" s="29">
        <v>0</v>
      </c>
      <c r="G7348" s="29">
        <v>0</v>
      </c>
      <c r="H7348" s="29">
        <v>0</v>
      </c>
    </row>
    <row r="7349" spans="1:8" x14ac:dyDescent="0.4">
      <c r="A7349">
        <v>1997</v>
      </c>
      <c r="B7349" s="8" t="s">
        <v>662</v>
      </c>
      <c r="C7349" s="8" t="s">
        <v>727</v>
      </c>
      <c r="D7349" s="8" t="s">
        <v>288</v>
      </c>
      <c r="E7349" s="70" t="s">
        <v>297</v>
      </c>
      <c r="F7349" s="29">
        <v>0</v>
      </c>
      <c r="G7349" s="29">
        <v>0</v>
      </c>
      <c r="H7349" s="29">
        <v>0</v>
      </c>
    </row>
    <row r="7350" spans="1:8" x14ac:dyDescent="0.4">
      <c r="A7350">
        <v>1997</v>
      </c>
      <c r="B7350" s="8" t="s">
        <v>663</v>
      </c>
      <c r="C7350" s="8" t="s">
        <v>727</v>
      </c>
      <c r="D7350" s="8" t="s">
        <v>288</v>
      </c>
      <c r="E7350" s="70" t="s">
        <v>298</v>
      </c>
      <c r="F7350" s="29">
        <v>0</v>
      </c>
      <c r="G7350" s="29">
        <v>0</v>
      </c>
      <c r="H7350" s="29">
        <v>0</v>
      </c>
    </row>
    <row r="7351" spans="1:8" x14ac:dyDescent="0.4">
      <c r="A7351">
        <v>1997</v>
      </c>
      <c r="B7351" s="8" t="s">
        <v>664</v>
      </c>
      <c r="C7351" s="8" t="s">
        <v>728</v>
      </c>
      <c r="D7351" s="8" t="s">
        <v>300</v>
      </c>
      <c r="E7351" s="70" t="s">
        <v>299</v>
      </c>
      <c r="F7351" s="29">
        <v>37</v>
      </c>
      <c r="G7351" s="29">
        <v>0</v>
      </c>
      <c r="H7351" s="29">
        <v>0</v>
      </c>
    </row>
    <row r="7352" spans="1:8" x14ac:dyDescent="0.4">
      <c r="A7352">
        <v>1997</v>
      </c>
      <c r="B7352" s="8" t="s">
        <v>665</v>
      </c>
      <c r="C7352" s="8" t="s">
        <v>728</v>
      </c>
      <c r="D7352" s="8" t="s">
        <v>300</v>
      </c>
      <c r="E7352" s="70" t="s">
        <v>36</v>
      </c>
      <c r="F7352" s="29">
        <v>61</v>
      </c>
      <c r="G7352" s="29">
        <v>0</v>
      </c>
      <c r="H7352" s="29">
        <v>0</v>
      </c>
    </row>
    <row r="7353" spans="1:8" x14ac:dyDescent="0.4">
      <c r="A7353">
        <v>1997</v>
      </c>
      <c r="B7353" s="8" t="s">
        <v>666</v>
      </c>
      <c r="C7353" s="8" t="s">
        <v>728</v>
      </c>
      <c r="D7353" s="8" t="s">
        <v>300</v>
      </c>
      <c r="E7353" s="70" t="s">
        <v>301</v>
      </c>
      <c r="F7353" s="29">
        <v>208</v>
      </c>
      <c r="G7353" s="29">
        <v>0</v>
      </c>
      <c r="H7353" s="29">
        <v>0</v>
      </c>
    </row>
    <row r="7354" spans="1:8" x14ac:dyDescent="0.4">
      <c r="A7354">
        <v>1997</v>
      </c>
      <c r="B7354" s="8" t="s">
        <v>667</v>
      </c>
      <c r="C7354" s="8" t="s">
        <v>728</v>
      </c>
      <c r="D7354" s="8" t="s">
        <v>300</v>
      </c>
      <c r="E7354" s="70" t="s">
        <v>302</v>
      </c>
      <c r="F7354" s="29">
        <v>71</v>
      </c>
      <c r="G7354" s="29">
        <v>0</v>
      </c>
      <c r="H7354" s="29">
        <v>0</v>
      </c>
    </row>
    <row r="7355" spans="1:8" x14ac:dyDescent="0.4">
      <c r="A7355">
        <v>1997</v>
      </c>
      <c r="B7355" s="8" t="s">
        <v>668</v>
      </c>
      <c r="C7355" s="8" t="s">
        <v>728</v>
      </c>
      <c r="D7355" s="8" t="s">
        <v>300</v>
      </c>
      <c r="E7355" s="70" t="s">
        <v>14</v>
      </c>
      <c r="F7355" s="29">
        <v>50</v>
      </c>
      <c r="G7355" s="29">
        <v>0</v>
      </c>
      <c r="H7355" s="29">
        <v>0</v>
      </c>
    </row>
    <row r="7356" spans="1:8" x14ac:dyDescent="0.4">
      <c r="A7356">
        <v>1997</v>
      </c>
      <c r="B7356" s="8" t="s">
        <v>669</v>
      </c>
      <c r="C7356" s="8" t="s">
        <v>728</v>
      </c>
      <c r="D7356" s="8" t="s">
        <v>300</v>
      </c>
      <c r="E7356" s="70" t="s">
        <v>303</v>
      </c>
      <c r="F7356" s="29">
        <v>25</v>
      </c>
      <c r="G7356" s="29">
        <v>0</v>
      </c>
      <c r="H7356" s="29">
        <v>0</v>
      </c>
    </row>
    <row r="7357" spans="1:8" x14ac:dyDescent="0.4">
      <c r="A7357">
        <v>1997</v>
      </c>
      <c r="B7357" s="8" t="s">
        <v>670</v>
      </c>
      <c r="C7357" s="8" t="s">
        <v>728</v>
      </c>
      <c r="D7357" s="8" t="s">
        <v>300</v>
      </c>
      <c r="E7357" s="70" t="s">
        <v>304</v>
      </c>
      <c r="F7357" s="29">
        <v>15</v>
      </c>
      <c r="G7357" s="29">
        <v>0</v>
      </c>
      <c r="H7357" s="29">
        <v>0</v>
      </c>
    </row>
    <row r="7358" spans="1:8" x14ac:dyDescent="0.4">
      <c r="A7358">
        <v>1997</v>
      </c>
      <c r="B7358" s="8" t="s">
        <v>671</v>
      </c>
      <c r="C7358" s="8" t="s">
        <v>728</v>
      </c>
      <c r="D7358" s="8" t="s">
        <v>300</v>
      </c>
      <c r="E7358" s="70" t="s">
        <v>305</v>
      </c>
      <c r="F7358" s="29">
        <v>20</v>
      </c>
      <c r="G7358" s="29">
        <v>0</v>
      </c>
      <c r="H7358" s="29">
        <v>0</v>
      </c>
    </row>
    <row r="7359" spans="1:8" x14ac:dyDescent="0.4">
      <c r="A7359">
        <v>1997</v>
      </c>
      <c r="B7359" s="8" t="s">
        <v>672</v>
      </c>
      <c r="C7359" s="8" t="s">
        <v>728</v>
      </c>
      <c r="D7359" s="8" t="s">
        <v>300</v>
      </c>
      <c r="E7359" s="70" t="s">
        <v>306</v>
      </c>
      <c r="F7359" s="29">
        <v>236</v>
      </c>
      <c r="G7359" s="29">
        <v>0</v>
      </c>
      <c r="H7359" s="29">
        <v>0</v>
      </c>
    </row>
    <row r="7360" spans="1:8" x14ac:dyDescent="0.4">
      <c r="A7360">
        <v>1997</v>
      </c>
      <c r="B7360" s="8" t="s">
        <v>673</v>
      </c>
      <c r="C7360" s="8" t="s">
        <v>728</v>
      </c>
      <c r="D7360" s="8" t="s">
        <v>300</v>
      </c>
      <c r="E7360" s="70" t="s">
        <v>307</v>
      </c>
      <c r="F7360" s="29">
        <v>208</v>
      </c>
      <c r="G7360" s="29">
        <v>0</v>
      </c>
      <c r="H7360" s="29">
        <v>0</v>
      </c>
    </row>
    <row r="7361" spans="1:8" x14ac:dyDescent="0.4">
      <c r="A7361">
        <v>1997</v>
      </c>
      <c r="B7361" s="8" t="s">
        <v>674</v>
      </c>
      <c r="C7361" s="8" t="s">
        <v>728</v>
      </c>
      <c r="D7361" s="8" t="s">
        <v>300</v>
      </c>
      <c r="E7361" s="70" t="s">
        <v>308</v>
      </c>
      <c r="F7361" s="29">
        <v>945</v>
      </c>
      <c r="G7361" s="29">
        <v>0</v>
      </c>
      <c r="H7361" s="29">
        <v>0</v>
      </c>
    </row>
    <row r="7362" spans="1:8" x14ac:dyDescent="0.4">
      <c r="A7362">
        <v>1997</v>
      </c>
      <c r="B7362" s="8" t="s">
        <v>675</v>
      </c>
      <c r="C7362" s="8" t="s">
        <v>728</v>
      </c>
      <c r="D7362" s="8" t="s">
        <v>300</v>
      </c>
      <c r="E7362" s="70" t="s">
        <v>51</v>
      </c>
      <c r="F7362" s="29">
        <v>48</v>
      </c>
      <c r="G7362" s="29">
        <v>0</v>
      </c>
      <c r="H7362" s="29">
        <v>0</v>
      </c>
    </row>
    <row r="7363" spans="1:8" x14ac:dyDescent="0.4">
      <c r="A7363">
        <v>1997</v>
      </c>
      <c r="B7363" s="8" t="s">
        <v>676</v>
      </c>
      <c r="C7363" s="8" t="s">
        <v>728</v>
      </c>
      <c r="D7363" s="8" t="s">
        <v>300</v>
      </c>
      <c r="E7363" s="70" t="s">
        <v>309</v>
      </c>
      <c r="F7363" s="29">
        <v>56</v>
      </c>
      <c r="G7363" s="29">
        <v>0</v>
      </c>
      <c r="H7363" s="29">
        <v>0</v>
      </c>
    </row>
    <row r="7364" spans="1:8" x14ac:dyDescent="0.4">
      <c r="A7364">
        <v>1997</v>
      </c>
      <c r="B7364" s="8" t="s">
        <v>677</v>
      </c>
      <c r="C7364" s="8" t="s">
        <v>728</v>
      </c>
      <c r="D7364" s="8" t="s">
        <v>300</v>
      </c>
      <c r="E7364" s="70" t="s">
        <v>310</v>
      </c>
      <c r="F7364" s="29">
        <v>40</v>
      </c>
      <c r="G7364" s="29">
        <v>0</v>
      </c>
      <c r="H7364" s="29">
        <v>0</v>
      </c>
    </row>
    <row r="7365" spans="1:8" x14ac:dyDescent="0.4">
      <c r="A7365">
        <v>1997</v>
      </c>
      <c r="B7365" s="8" t="s">
        <v>678</v>
      </c>
      <c r="C7365" s="8" t="s">
        <v>729</v>
      </c>
      <c r="D7365" s="8" t="s">
        <v>312</v>
      </c>
      <c r="E7365" s="70" t="s">
        <v>311</v>
      </c>
      <c r="F7365" s="29">
        <v>33</v>
      </c>
      <c r="G7365" s="29">
        <v>0</v>
      </c>
      <c r="H7365" s="29">
        <v>0</v>
      </c>
    </row>
    <row r="7366" spans="1:8" x14ac:dyDescent="0.4">
      <c r="A7366">
        <v>1997</v>
      </c>
      <c r="B7366" s="8" t="s">
        <v>679</v>
      </c>
      <c r="C7366" s="8" t="s">
        <v>729</v>
      </c>
      <c r="D7366" s="8" t="s">
        <v>312</v>
      </c>
      <c r="E7366" s="70" t="s">
        <v>313</v>
      </c>
      <c r="F7366" s="29">
        <v>221</v>
      </c>
      <c r="G7366" s="29">
        <v>0</v>
      </c>
      <c r="H7366" s="29">
        <v>0</v>
      </c>
    </row>
    <row r="7367" spans="1:8" x14ac:dyDescent="0.4">
      <c r="A7367">
        <v>1997</v>
      </c>
      <c r="B7367" s="8" t="s">
        <v>680</v>
      </c>
      <c r="C7367" s="8" t="s">
        <v>729</v>
      </c>
      <c r="D7367" s="8" t="s">
        <v>312</v>
      </c>
      <c r="E7367" s="70" t="s">
        <v>314</v>
      </c>
      <c r="F7367" s="29">
        <v>1096</v>
      </c>
      <c r="G7367" s="29">
        <v>0</v>
      </c>
      <c r="H7367" s="29">
        <v>0</v>
      </c>
    </row>
    <row r="7368" spans="1:8" x14ac:dyDescent="0.4">
      <c r="A7368">
        <v>1997</v>
      </c>
      <c r="B7368" s="8" t="s">
        <v>681</v>
      </c>
      <c r="C7368" s="8" t="s">
        <v>729</v>
      </c>
      <c r="D7368" s="8" t="s">
        <v>312</v>
      </c>
      <c r="E7368" s="70" t="s">
        <v>315</v>
      </c>
      <c r="F7368" s="29">
        <v>155</v>
      </c>
      <c r="G7368" s="29">
        <v>0</v>
      </c>
      <c r="H7368" s="29">
        <v>0</v>
      </c>
    </row>
    <row r="7369" spans="1:8" x14ac:dyDescent="0.4">
      <c r="A7369">
        <v>1997</v>
      </c>
      <c r="B7369" s="8" t="s">
        <v>682</v>
      </c>
      <c r="C7369" s="8" t="s">
        <v>729</v>
      </c>
      <c r="D7369" s="8" t="s">
        <v>312</v>
      </c>
      <c r="E7369" s="70" t="s">
        <v>316</v>
      </c>
      <c r="F7369" s="29">
        <v>497</v>
      </c>
      <c r="G7369" s="29">
        <v>0</v>
      </c>
      <c r="H7369" s="29">
        <v>0</v>
      </c>
    </row>
    <row r="7370" spans="1:8" x14ac:dyDescent="0.4">
      <c r="A7370">
        <v>1997</v>
      </c>
      <c r="B7370" s="8" t="s">
        <v>683</v>
      </c>
      <c r="C7370" s="8" t="s">
        <v>729</v>
      </c>
      <c r="D7370" s="8" t="s">
        <v>312</v>
      </c>
      <c r="E7370" s="70" t="s">
        <v>317</v>
      </c>
      <c r="F7370" s="29">
        <v>0</v>
      </c>
      <c r="G7370" s="29">
        <v>0</v>
      </c>
      <c r="H7370" s="29">
        <v>0</v>
      </c>
    </row>
    <row r="7371" spans="1:8" x14ac:dyDescent="0.4">
      <c r="A7371">
        <v>1997</v>
      </c>
      <c r="B7371" s="8" t="s">
        <v>684</v>
      </c>
      <c r="C7371" s="8" t="s">
        <v>729</v>
      </c>
      <c r="D7371" s="8" t="s">
        <v>312</v>
      </c>
      <c r="E7371" s="70" t="s">
        <v>318</v>
      </c>
      <c r="F7371" s="29">
        <v>274</v>
      </c>
      <c r="G7371" s="29">
        <v>0</v>
      </c>
      <c r="H7371" s="29">
        <v>0</v>
      </c>
    </row>
    <row r="7372" spans="1:8" x14ac:dyDescent="0.4">
      <c r="A7372">
        <v>1997</v>
      </c>
      <c r="B7372" s="8" t="s">
        <v>685</v>
      </c>
      <c r="C7372" s="8" t="s">
        <v>729</v>
      </c>
      <c r="D7372" s="8" t="s">
        <v>312</v>
      </c>
      <c r="E7372" s="70" t="s">
        <v>319</v>
      </c>
      <c r="F7372" s="29">
        <v>14</v>
      </c>
      <c r="G7372" s="29">
        <v>0</v>
      </c>
      <c r="H7372" s="29">
        <v>0</v>
      </c>
    </row>
    <row r="7373" spans="1:8" x14ac:dyDescent="0.4">
      <c r="A7373">
        <v>1997</v>
      </c>
      <c r="B7373" s="8" t="s">
        <v>686</v>
      </c>
      <c r="C7373" s="8" t="s">
        <v>729</v>
      </c>
      <c r="D7373" s="8" t="s">
        <v>312</v>
      </c>
      <c r="E7373" s="70" t="s">
        <v>320</v>
      </c>
      <c r="F7373" s="29">
        <v>164</v>
      </c>
      <c r="G7373" s="29">
        <v>0</v>
      </c>
      <c r="H7373" s="29">
        <v>0</v>
      </c>
    </row>
    <row r="7374" spans="1:8" x14ac:dyDescent="0.4">
      <c r="A7374">
        <v>1997</v>
      </c>
      <c r="B7374" s="8" t="s">
        <v>687</v>
      </c>
      <c r="C7374" s="8" t="s">
        <v>729</v>
      </c>
      <c r="D7374" s="8" t="s">
        <v>312</v>
      </c>
      <c r="E7374" s="70" t="s">
        <v>321</v>
      </c>
      <c r="F7374" s="29">
        <v>707</v>
      </c>
      <c r="G7374" s="29">
        <v>0</v>
      </c>
      <c r="H7374" s="29">
        <v>0</v>
      </c>
    </row>
    <row r="7375" spans="1:8" x14ac:dyDescent="0.4">
      <c r="A7375">
        <v>1997</v>
      </c>
      <c r="B7375" s="8" t="s">
        <v>688</v>
      </c>
      <c r="C7375" s="8" t="s">
        <v>729</v>
      </c>
      <c r="D7375" s="8" t="s">
        <v>312</v>
      </c>
      <c r="E7375" s="70" t="s">
        <v>322</v>
      </c>
      <c r="F7375" s="29">
        <v>377</v>
      </c>
      <c r="G7375" s="29">
        <v>0</v>
      </c>
      <c r="H7375" s="29">
        <v>0</v>
      </c>
    </row>
    <row r="7376" spans="1:8" x14ac:dyDescent="0.4">
      <c r="A7376">
        <v>1997</v>
      </c>
      <c r="B7376" s="8" t="s">
        <v>689</v>
      </c>
      <c r="C7376" s="8" t="s">
        <v>729</v>
      </c>
      <c r="D7376" s="8" t="s">
        <v>312</v>
      </c>
      <c r="E7376" s="70" t="s">
        <v>323</v>
      </c>
      <c r="F7376" s="29">
        <v>581</v>
      </c>
      <c r="G7376" s="29">
        <v>0</v>
      </c>
      <c r="H7376" s="29">
        <v>0</v>
      </c>
    </row>
    <row r="7377" spans="1:8" x14ac:dyDescent="0.4">
      <c r="A7377">
        <v>1997</v>
      </c>
      <c r="B7377" s="8" t="s">
        <v>690</v>
      </c>
      <c r="C7377" s="8" t="s">
        <v>729</v>
      </c>
      <c r="D7377" s="8" t="s">
        <v>312</v>
      </c>
      <c r="E7377" s="70" t="s">
        <v>324</v>
      </c>
      <c r="F7377" s="29">
        <v>8154</v>
      </c>
      <c r="G7377" s="29">
        <v>0</v>
      </c>
      <c r="H7377" s="29">
        <v>0</v>
      </c>
    </row>
    <row r="7378" spans="1:8" x14ac:dyDescent="0.4">
      <c r="A7378">
        <v>1997</v>
      </c>
      <c r="B7378" s="8" t="s">
        <v>691</v>
      </c>
      <c r="C7378" s="8" t="s">
        <v>729</v>
      </c>
      <c r="D7378" s="8" t="s">
        <v>312</v>
      </c>
      <c r="E7378" s="70" t="s">
        <v>85</v>
      </c>
      <c r="F7378" s="29">
        <v>182</v>
      </c>
      <c r="G7378" s="29">
        <v>0</v>
      </c>
      <c r="H7378" s="29">
        <v>0</v>
      </c>
    </row>
    <row r="7379" spans="1:8" x14ac:dyDescent="0.4">
      <c r="A7379">
        <v>1997</v>
      </c>
      <c r="B7379" s="8" t="s">
        <v>692</v>
      </c>
      <c r="C7379" s="8" t="s">
        <v>729</v>
      </c>
      <c r="D7379" s="8" t="s">
        <v>312</v>
      </c>
      <c r="E7379" s="70" t="s">
        <v>32</v>
      </c>
      <c r="F7379" s="29">
        <v>121</v>
      </c>
      <c r="G7379" s="29">
        <v>0</v>
      </c>
      <c r="H7379" s="29">
        <v>0</v>
      </c>
    </row>
    <row r="7380" spans="1:8" x14ac:dyDescent="0.4">
      <c r="A7380">
        <v>1997</v>
      </c>
      <c r="B7380" s="8" t="s">
        <v>693</v>
      </c>
      <c r="C7380" s="8" t="s">
        <v>729</v>
      </c>
      <c r="D7380" s="8" t="s">
        <v>312</v>
      </c>
      <c r="E7380" s="70" t="s">
        <v>325</v>
      </c>
      <c r="F7380" s="29">
        <v>218</v>
      </c>
      <c r="G7380" s="29">
        <v>0</v>
      </c>
      <c r="H7380" s="29">
        <v>0</v>
      </c>
    </row>
    <row r="7381" spans="1:8" x14ac:dyDescent="0.4">
      <c r="A7381">
        <v>1997</v>
      </c>
      <c r="B7381" s="8" t="s">
        <v>694</v>
      </c>
      <c r="C7381" s="8" t="s">
        <v>729</v>
      </c>
      <c r="D7381" s="8" t="s">
        <v>312</v>
      </c>
      <c r="E7381" s="70" t="s">
        <v>144</v>
      </c>
      <c r="F7381" s="29">
        <v>50</v>
      </c>
      <c r="G7381" s="29">
        <v>0</v>
      </c>
      <c r="H7381" s="29">
        <v>0</v>
      </c>
    </row>
    <row r="7382" spans="1:8" x14ac:dyDescent="0.4">
      <c r="A7382">
        <v>1997</v>
      </c>
      <c r="B7382" s="8" t="s">
        <v>695</v>
      </c>
      <c r="C7382" s="8" t="s">
        <v>729</v>
      </c>
      <c r="D7382" s="8" t="s">
        <v>312</v>
      </c>
      <c r="E7382" s="70" t="s">
        <v>326</v>
      </c>
      <c r="F7382" s="29">
        <v>85</v>
      </c>
      <c r="G7382" s="29">
        <v>0</v>
      </c>
      <c r="H7382" s="29">
        <v>0</v>
      </c>
    </row>
    <row r="7383" spans="1:8" x14ac:dyDescent="0.4">
      <c r="A7383">
        <v>1997</v>
      </c>
      <c r="B7383" s="8" t="s">
        <v>696</v>
      </c>
      <c r="C7383" s="8" t="s">
        <v>729</v>
      </c>
      <c r="D7383" s="8" t="s">
        <v>312</v>
      </c>
      <c r="E7383" s="70" t="s">
        <v>25</v>
      </c>
      <c r="F7383" s="29">
        <v>20</v>
      </c>
      <c r="G7383" s="29">
        <v>0</v>
      </c>
      <c r="H7383" s="29">
        <v>0</v>
      </c>
    </row>
    <row r="7384" spans="1:8" x14ac:dyDescent="0.4">
      <c r="A7384">
        <v>1997</v>
      </c>
      <c r="B7384" s="8" t="s">
        <v>697</v>
      </c>
      <c r="C7384" s="8" t="s">
        <v>729</v>
      </c>
      <c r="D7384" s="8" t="s">
        <v>312</v>
      </c>
      <c r="E7384" s="70" t="s">
        <v>51</v>
      </c>
      <c r="F7384" s="29">
        <v>210</v>
      </c>
      <c r="G7384" s="29">
        <v>0</v>
      </c>
      <c r="H7384" s="29">
        <v>0</v>
      </c>
    </row>
    <row r="7385" spans="1:8" x14ac:dyDescent="0.4">
      <c r="A7385">
        <v>1997</v>
      </c>
      <c r="B7385" s="8" t="s">
        <v>698</v>
      </c>
      <c r="C7385" s="8" t="s">
        <v>729</v>
      </c>
      <c r="D7385" s="8" t="s">
        <v>312</v>
      </c>
      <c r="E7385" s="70" t="s">
        <v>327</v>
      </c>
      <c r="F7385" s="29">
        <v>117</v>
      </c>
      <c r="G7385" s="29">
        <v>0</v>
      </c>
      <c r="H7385" s="29">
        <v>0</v>
      </c>
    </row>
    <row r="7386" spans="1:8" x14ac:dyDescent="0.4">
      <c r="A7386">
        <v>1997</v>
      </c>
      <c r="B7386" s="8" t="s">
        <v>733</v>
      </c>
      <c r="C7386" s="8" t="s">
        <v>715</v>
      </c>
      <c r="D7386" s="8" t="s">
        <v>734</v>
      </c>
      <c r="E7386" s="70" t="s">
        <v>735</v>
      </c>
      <c r="F7386" s="29">
        <v>0</v>
      </c>
      <c r="G7386" s="29">
        <v>0</v>
      </c>
      <c r="H7386" s="29">
        <v>0</v>
      </c>
    </row>
    <row r="7387" spans="1:8" x14ac:dyDescent="0.4">
      <c r="A7387">
        <v>1996</v>
      </c>
      <c r="B7387" s="8" t="s">
        <v>760</v>
      </c>
      <c r="C7387" s="8" t="s">
        <v>727</v>
      </c>
      <c r="D7387" s="8" t="s">
        <v>288</v>
      </c>
      <c r="E7387" s="70" t="s">
        <v>757</v>
      </c>
      <c r="F7387" s="29">
        <v>0</v>
      </c>
      <c r="G7387" s="29">
        <v>0</v>
      </c>
      <c r="H7387" s="29">
        <v>0</v>
      </c>
    </row>
    <row r="7388" spans="1:8" x14ac:dyDescent="0.4">
      <c r="A7388">
        <v>1996</v>
      </c>
      <c r="B7388" s="8" t="s">
        <v>763</v>
      </c>
      <c r="C7388" s="8" t="s">
        <v>706</v>
      </c>
      <c r="D7388" s="8" t="s">
        <v>334</v>
      </c>
      <c r="E7388" s="70" t="s">
        <v>757</v>
      </c>
      <c r="F7388" s="29">
        <v>1354</v>
      </c>
      <c r="G7388" s="29">
        <v>0</v>
      </c>
      <c r="H7388" s="29">
        <v>0</v>
      </c>
    </row>
    <row r="7389" spans="1:8" x14ac:dyDescent="0.4">
      <c r="A7389">
        <v>1996</v>
      </c>
      <c r="B7389" s="8" t="s">
        <v>761</v>
      </c>
      <c r="C7389" s="8" t="s">
        <v>706</v>
      </c>
      <c r="D7389" s="8" t="s">
        <v>106</v>
      </c>
      <c r="E7389" s="70" t="s">
        <v>756</v>
      </c>
      <c r="F7389" s="29">
        <v>13512</v>
      </c>
      <c r="G7389" s="29">
        <v>0</v>
      </c>
      <c r="H7389" s="29">
        <v>0</v>
      </c>
    </row>
    <row r="7390" spans="1:8" x14ac:dyDescent="0.4">
      <c r="A7390">
        <v>1996</v>
      </c>
      <c r="B7390" s="8" t="s">
        <v>335</v>
      </c>
      <c r="C7390" s="8" t="s">
        <v>706</v>
      </c>
      <c r="D7390" s="8" t="s">
        <v>106</v>
      </c>
      <c r="E7390" s="70" t="s">
        <v>105</v>
      </c>
      <c r="F7390" s="29">
        <v>0</v>
      </c>
      <c r="G7390" s="29">
        <v>0</v>
      </c>
      <c r="H7390" s="29">
        <v>0</v>
      </c>
    </row>
    <row r="7391" spans="1:8" x14ac:dyDescent="0.4">
      <c r="A7391">
        <v>1996</v>
      </c>
      <c r="B7391" s="8" t="s">
        <v>336</v>
      </c>
      <c r="C7391" s="8" t="s">
        <v>706</v>
      </c>
      <c r="D7391" s="8" t="s">
        <v>106</v>
      </c>
      <c r="E7391" s="70" t="s">
        <v>107</v>
      </c>
      <c r="F7391" s="29">
        <v>0</v>
      </c>
      <c r="G7391" s="29">
        <v>0</v>
      </c>
      <c r="H7391" s="29">
        <v>0</v>
      </c>
    </row>
    <row r="7392" spans="1:8" x14ac:dyDescent="0.4">
      <c r="A7392">
        <v>1996</v>
      </c>
      <c r="B7392" s="8" t="s">
        <v>337</v>
      </c>
      <c r="C7392" s="8" t="s">
        <v>706</v>
      </c>
      <c r="D7392" s="8" t="s">
        <v>106</v>
      </c>
      <c r="E7392" s="70" t="s">
        <v>108</v>
      </c>
      <c r="F7392" s="29">
        <v>0</v>
      </c>
      <c r="G7392" s="29">
        <v>0</v>
      </c>
      <c r="H7392" s="29">
        <v>0</v>
      </c>
    </row>
    <row r="7393" spans="1:8" x14ac:dyDescent="0.4">
      <c r="A7393">
        <v>1996</v>
      </c>
      <c r="B7393" s="8" t="s">
        <v>338</v>
      </c>
      <c r="C7393" s="8" t="s">
        <v>706</v>
      </c>
      <c r="D7393" s="8" t="s">
        <v>106</v>
      </c>
      <c r="E7393" s="70" t="s">
        <v>109</v>
      </c>
      <c r="F7393" s="29">
        <v>0</v>
      </c>
      <c r="G7393" s="29">
        <v>0</v>
      </c>
      <c r="H7393" s="29">
        <v>0</v>
      </c>
    </row>
    <row r="7394" spans="1:8" x14ac:dyDescent="0.4">
      <c r="A7394">
        <v>1996</v>
      </c>
      <c r="B7394" s="8" t="s">
        <v>339</v>
      </c>
      <c r="C7394" s="8" t="s">
        <v>706</v>
      </c>
      <c r="D7394" s="8" t="s">
        <v>106</v>
      </c>
      <c r="E7394" s="70" t="s">
        <v>110</v>
      </c>
      <c r="F7394" s="29">
        <v>0</v>
      </c>
      <c r="G7394" s="29">
        <v>0</v>
      </c>
      <c r="H7394" s="29">
        <v>0</v>
      </c>
    </row>
    <row r="7395" spans="1:8" x14ac:dyDescent="0.4">
      <c r="A7395">
        <v>1996</v>
      </c>
      <c r="B7395" s="8" t="s">
        <v>340</v>
      </c>
      <c r="C7395" s="8" t="s">
        <v>706</v>
      </c>
      <c r="D7395" s="8" t="s">
        <v>106</v>
      </c>
      <c r="E7395" s="70" t="s">
        <v>111</v>
      </c>
      <c r="F7395" s="29">
        <v>0</v>
      </c>
      <c r="G7395" s="29">
        <v>0</v>
      </c>
      <c r="H7395" s="29">
        <v>0</v>
      </c>
    </row>
    <row r="7396" spans="1:8" x14ac:dyDescent="0.4">
      <c r="A7396">
        <v>1996</v>
      </c>
      <c r="B7396" s="8" t="s">
        <v>341</v>
      </c>
      <c r="C7396" s="8" t="s">
        <v>706</v>
      </c>
      <c r="D7396" s="8" t="s">
        <v>106</v>
      </c>
      <c r="E7396" s="70" t="s">
        <v>112</v>
      </c>
      <c r="F7396" s="29">
        <v>0</v>
      </c>
      <c r="G7396" s="29">
        <v>0</v>
      </c>
      <c r="H7396" s="29">
        <v>0</v>
      </c>
    </row>
    <row r="7397" spans="1:8" x14ac:dyDescent="0.4">
      <c r="A7397">
        <v>1996</v>
      </c>
      <c r="B7397" s="8" t="s">
        <v>342</v>
      </c>
      <c r="C7397" s="8" t="s">
        <v>706</v>
      </c>
      <c r="D7397" s="8" t="s">
        <v>106</v>
      </c>
      <c r="E7397" s="70" t="s">
        <v>113</v>
      </c>
      <c r="F7397" s="29">
        <v>0</v>
      </c>
      <c r="G7397" s="29">
        <v>0</v>
      </c>
      <c r="H7397" s="29">
        <v>0</v>
      </c>
    </row>
    <row r="7398" spans="1:8" x14ac:dyDescent="0.4">
      <c r="A7398">
        <v>1996</v>
      </c>
      <c r="B7398" s="8" t="s">
        <v>343</v>
      </c>
      <c r="C7398" s="8" t="s">
        <v>706</v>
      </c>
      <c r="D7398" s="8" t="s">
        <v>106</v>
      </c>
      <c r="E7398" s="70" t="s">
        <v>114</v>
      </c>
      <c r="F7398" s="29">
        <v>0</v>
      </c>
      <c r="G7398" s="29">
        <v>0</v>
      </c>
      <c r="H7398" s="29">
        <v>0</v>
      </c>
    </row>
    <row r="7399" spans="1:8" x14ac:dyDescent="0.4">
      <c r="A7399">
        <v>1996</v>
      </c>
      <c r="B7399" s="8" t="s">
        <v>344</v>
      </c>
      <c r="C7399" s="8" t="s">
        <v>706</v>
      </c>
      <c r="D7399" s="8" t="s">
        <v>106</v>
      </c>
      <c r="E7399" s="70" t="s">
        <v>115</v>
      </c>
      <c r="F7399" s="29">
        <v>0</v>
      </c>
      <c r="G7399" s="29">
        <v>0</v>
      </c>
      <c r="H7399" s="29">
        <v>0</v>
      </c>
    </row>
    <row r="7400" spans="1:8" x14ac:dyDescent="0.4">
      <c r="A7400">
        <v>1996</v>
      </c>
      <c r="B7400" s="8" t="s">
        <v>345</v>
      </c>
      <c r="C7400" s="8" t="s">
        <v>706</v>
      </c>
      <c r="D7400" s="8" t="s">
        <v>106</v>
      </c>
      <c r="E7400" s="70" t="s">
        <v>116</v>
      </c>
      <c r="F7400" s="29">
        <v>0</v>
      </c>
      <c r="G7400" s="29">
        <v>0</v>
      </c>
      <c r="H7400" s="29">
        <v>0</v>
      </c>
    </row>
    <row r="7401" spans="1:8" x14ac:dyDescent="0.4">
      <c r="A7401">
        <v>1996</v>
      </c>
      <c r="B7401" s="8" t="s">
        <v>346</v>
      </c>
      <c r="C7401" s="8" t="s">
        <v>706</v>
      </c>
      <c r="D7401" s="8" t="s">
        <v>106</v>
      </c>
      <c r="E7401" s="70" t="s">
        <v>117</v>
      </c>
      <c r="F7401" s="29">
        <v>0</v>
      </c>
      <c r="G7401" s="29">
        <v>0</v>
      </c>
      <c r="H7401" s="29">
        <v>0</v>
      </c>
    </row>
    <row r="7402" spans="1:8" x14ac:dyDescent="0.4">
      <c r="A7402">
        <v>1996</v>
      </c>
      <c r="B7402" s="8" t="s">
        <v>347</v>
      </c>
      <c r="C7402" s="8" t="s">
        <v>706</v>
      </c>
      <c r="D7402" s="8" t="s">
        <v>106</v>
      </c>
      <c r="E7402" s="70" t="s">
        <v>118</v>
      </c>
      <c r="F7402" s="29">
        <v>0</v>
      </c>
      <c r="G7402" s="29">
        <v>0</v>
      </c>
      <c r="H7402" s="29">
        <v>0</v>
      </c>
    </row>
    <row r="7403" spans="1:8" x14ac:dyDescent="0.4">
      <c r="A7403">
        <v>1996</v>
      </c>
      <c r="B7403" s="8" t="s">
        <v>348</v>
      </c>
      <c r="C7403" s="8" t="s">
        <v>706</v>
      </c>
      <c r="D7403" s="8" t="s">
        <v>106</v>
      </c>
      <c r="E7403" s="70" t="s">
        <v>119</v>
      </c>
      <c r="F7403" s="29">
        <v>0</v>
      </c>
      <c r="G7403" s="29">
        <v>0</v>
      </c>
      <c r="H7403" s="29">
        <v>0</v>
      </c>
    </row>
    <row r="7404" spans="1:8" x14ac:dyDescent="0.4">
      <c r="A7404">
        <v>1996</v>
      </c>
      <c r="B7404" s="8" t="s">
        <v>349</v>
      </c>
      <c r="C7404" s="8" t="s">
        <v>706</v>
      </c>
      <c r="D7404" s="8" t="s">
        <v>106</v>
      </c>
      <c r="E7404" s="70" t="s">
        <v>120</v>
      </c>
      <c r="F7404" s="29">
        <v>0</v>
      </c>
      <c r="G7404" s="29">
        <v>0</v>
      </c>
      <c r="H7404" s="29">
        <v>0</v>
      </c>
    </row>
    <row r="7405" spans="1:8" x14ac:dyDescent="0.4">
      <c r="A7405">
        <v>1996</v>
      </c>
      <c r="B7405" s="8" t="s">
        <v>350</v>
      </c>
      <c r="C7405" s="8" t="s">
        <v>706</v>
      </c>
      <c r="D7405" s="8" t="s">
        <v>106</v>
      </c>
      <c r="E7405" s="70" t="s">
        <v>121</v>
      </c>
      <c r="F7405" s="29">
        <v>0</v>
      </c>
      <c r="G7405" s="29">
        <v>0</v>
      </c>
      <c r="H7405" s="29">
        <v>0</v>
      </c>
    </row>
    <row r="7406" spans="1:8" x14ac:dyDescent="0.4">
      <c r="A7406">
        <v>1996</v>
      </c>
      <c r="B7406" s="8" t="s">
        <v>351</v>
      </c>
      <c r="C7406" s="8" t="s">
        <v>706</v>
      </c>
      <c r="D7406" s="8" t="s">
        <v>106</v>
      </c>
      <c r="E7406" s="70" t="s">
        <v>122</v>
      </c>
      <c r="F7406" s="29">
        <v>0</v>
      </c>
      <c r="G7406" s="29">
        <v>0</v>
      </c>
      <c r="H7406" s="29">
        <v>0</v>
      </c>
    </row>
    <row r="7407" spans="1:8" x14ac:dyDescent="0.4">
      <c r="A7407">
        <v>1996</v>
      </c>
      <c r="B7407" s="8" t="s">
        <v>352</v>
      </c>
      <c r="C7407" s="8" t="s">
        <v>706</v>
      </c>
      <c r="D7407" s="8" t="s">
        <v>106</v>
      </c>
      <c r="E7407" s="70" t="s">
        <v>123</v>
      </c>
      <c r="F7407" s="29">
        <v>0</v>
      </c>
      <c r="G7407" s="29">
        <v>0</v>
      </c>
      <c r="H7407" s="29">
        <v>0</v>
      </c>
    </row>
    <row r="7408" spans="1:8" x14ac:dyDescent="0.4">
      <c r="A7408">
        <v>1996</v>
      </c>
      <c r="B7408" s="8" t="s">
        <v>353</v>
      </c>
      <c r="C7408" s="8" t="s">
        <v>706</v>
      </c>
      <c r="D7408" s="8" t="s">
        <v>106</v>
      </c>
      <c r="E7408" s="70" t="s">
        <v>124</v>
      </c>
      <c r="F7408" s="29">
        <v>0</v>
      </c>
      <c r="G7408" s="29">
        <v>0</v>
      </c>
      <c r="H7408" s="29">
        <v>0</v>
      </c>
    </row>
    <row r="7409" spans="1:8" x14ac:dyDescent="0.4">
      <c r="A7409">
        <v>1996</v>
      </c>
      <c r="B7409" s="8" t="s">
        <v>354</v>
      </c>
      <c r="C7409" s="8" t="s">
        <v>706</v>
      </c>
      <c r="D7409" s="8" t="s">
        <v>106</v>
      </c>
      <c r="E7409" s="70" t="s">
        <v>125</v>
      </c>
      <c r="F7409" s="29">
        <v>0</v>
      </c>
      <c r="G7409" s="29">
        <v>0</v>
      </c>
      <c r="H7409" s="29">
        <v>0</v>
      </c>
    </row>
    <row r="7410" spans="1:8" x14ac:dyDescent="0.4">
      <c r="A7410">
        <v>1996</v>
      </c>
      <c r="B7410" s="8" t="s">
        <v>355</v>
      </c>
      <c r="C7410" s="8" t="s">
        <v>706</v>
      </c>
      <c r="D7410" s="8" t="s">
        <v>106</v>
      </c>
      <c r="E7410" s="70" t="s">
        <v>126</v>
      </c>
      <c r="F7410" s="29">
        <v>0</v>
      </c>
      <c r="G7410" s="29">
        <v>0</v>
      </c>
      <c r="H7410" s="29">
        <v>0</v>
      </c>
    </row>
    <row r="7411" spans="1:8" x14ac:dyDescent="0.4">
      <c r="A7411">
        <v>1996</v>
      </c>
      <c r="B7411" s="8" t="s">
        <v>356</v>
      </c>
      <c r="C7411" s="8" t="s">
        <v>706</v>
      </c>
      <c r="D7411" s="8" t="s">
        <v>106</v>
      </c>
      <c r="E7411" s="70" t="s">
        <v>127</v>
      </c>
      <c r="F7411" s="29">
        <v>0</v>
      </c>
      <c r="G7411" s="29">
        <v>0</v>
      </c>
      <c r="H7411" s="29">
        <v>0</v>
      </c>
    </row>
    <row r="7412" spans="1:8" x14ac:dyDescent="0.4">
      <c r="A7412">
        <v>1996</v>
      </c>
      <c r="B7412" s="8" t="s">
        <v>357</v>
      </c>
      <c r="C7412" s="8" t="s">
        <v>707</v>
      </c>
      <c r="D7412" s="8" t="s">
        <v>1</v>
      </c>
      <c r="E7412" s="70" t="s">
        <v>0</v>
      </c>
      <c r="F7412" s="29">
        <v>59</v>
      </c>
      <c r="G7412" s="29">
        <v>0</v>
      </c>
      <c r="H7412" s="29">
        <v>0</v>
      </c>
    </row>
    <row r="7413" spans="1:8" x14ac:dyDescent="0.4">
      <c r="A7413">
        <v>1996</v>
      </c>
      <c r="B7413" s="8" t="s">
        <v>358</v>
      </c>
      <c r="C7413" s="8" t="s">
        <v>707</v>
      </c>
      <c r="D7413" s="8" t="s">
        <v>1</v>
      </c>
      <c r="E7413" s="70" t="s">
        <v>2</v>
      </c>
      <c r="F7413" s="29">
        <v>4</v>
      </c>
      <c r="G7413" s="29">
        <v>0</v>
      </c>
      <c r="H7413" s="29">
        <v>0</v>
      </c>
    </row>
    <row r="7414" spans="1:8" x14ac:dyDescent="0.4">
      <c r="A7414">
        <v>1996</v>
      </c>
      <c r="B7414" s="8" t="s">
        <v>359</v>
      </c>
      <c r="C7414" s="8" t="s">
        <v>707</v>
      </c>
      <c r="D7414" s="8" t="s">
        <v>1</v>
      </c>
      <c r="E7414" s="70" t="s">
        <v>3</v>
      </c>
      <c r="F7414" s="29">
        <v>316</v>
      </c>
      <c r="G7414" s="29">
        <v>0</v>
      </c>
      <c r="H7414" s="29">
        <v>0</v>
      </c>
    </row>
    <row r="7415" spans="1:8" x14ac:dyDescent="0.4">
      <c r="A7415">
        <v>1996</v>
      </c>
      <c r="B7415" s="8" t="s">
        <v>360</v>
      </c>
      <c r="C7415" s="8" t="s">
        <v>707</v>
      </c>
      <c r="D7415" s="8" t="s">
        <v>1</v>
      </c>
      <c r="E7415" s="70" t="s">
        <v>4</v>
      </c>
      <c r="F7415" s="29">
        <v>1</v>
      </c>
      <c r="G7415" s="29">
        <v>0</v>
      </c>
      <c r="H7415" s="29">
        <v>0</v>
      </c>
    </row>
    <row r="7416" spans="1:8" x14ac:dyDescent="0.4">
      <c r="A7416">
        <v>1996</v>
      </c>
      <c r="B7416" s="8" t="s">
        <v>361</v>
      </c>
      <c r="C7416" s="8" t="s">
        <v>707</v>
      </c>
      <c r="D7416" s="8" t="s">
        <v>1</v>
      </c>
      <c r="E7416" s="70" t="s">
        <v>5</v>
      </c>
      <c r="F7416" s="29">
        <v>4</v>
      </c>
      <c r="G7416" s="29">
        <v>0</v>
      </c>
      <c r="H7416" s="29">
        <v>0</v>
      </c>
    </row>
    <row r="7417" spans="1:8" x14ac:dyDescent="0.4">
      <c r="A7417">
        <v>1996</v>
      </c>
      <c r="B7417" s="8" t="s">
        <v>732</v>
      </c>
      <c r="C7417" s="8" t="s">
        <v>707</v>
      </c>
      <c r="D7417" s="8" t="s">
        <v>1</v>
      </c>
      <c r="E7417" s="70" t="s">
        <v>330</v>
      </c>
      <c r="F7417" s="29">
        <v>6</v>
      </c>
      <c r="G7417" s="29">
        <v>0</v>
      </c>
      <c r="H7417" s="29">
        <v>0</v>
      </c>
    </row>
    <row r="7418" spans="1:8" x14ac:dyDescent="0.4">
      <c r="A7418">
        <v>1996</v>
      </c>
      <c r="B7418" s="8" t="s">
        <v>730</v>
      </c>
      <c r="C7418" s="8" t="s">
        <v>707</v>
      </c>
      <c r="D7418" s="8" t="s">
        <v>1</v>
      </c>
      <c r="E7418" s="70" t="s">
        <v>328</v>
      </c>
      <c r="F7418" s="29">
        <v>6</v>
      </c>
      <c r="G7418" s="29">
        <v>0</v>
      </c>
      <c r="H7418" s="29">
        <v>0</v>
      </c>
    </row>
    <row r="7419" spans="1:8" x14ac:dyDescent="0.4">
      <c r="A7419">
        <v>1996</v>
      </c>
      <c r="B7419" s="8" t="s">
        <v>362</v>
      </c>
      <c r="C7419" s="8" t="s">
        <v>708</v>
      </c>
      <c r="D7419" s="8" t="s">
        <v>7</v>
      </c>
      <c r="E7419" s="70" t="s">
        <v>6</v>
      </c>
      <c r="F7419" s="29">
        <v>212</v>
      </c>
      <c r="G7419" s="29">
        <v>0</v>
      </c>
      <c r="H7419" s="29">
        <v>0</v>
      </c>
    </row>
    <row r="7420" spans="1:8" x14ac:dyDescent="0.4">
      <c r="A7420">
        <v>1996</v>
      </c>
      <c r="B7420" s="8" t="s">
        <v>363</v>
      </c>
      <c r="C7420" s="8" t="s">
        <v>708</v>
      </c>
      <c r="D7420" s="8" t="s">
        <v>7</v>
      </c>
      <c r="E7420" s="70" t="s">
        <v>8</v>
      </c>
      <c r="F7420" s="29">
        <v>91</v>
      </c>
      <c r="G7420" s="29">
        <v>0</v>
      </c>
      <c r="H7420" s="29">
        <v>0</v>
      </c>
    </row>
    <row r="7421" spans="1:8" x14ac:dyDescent="0.4">
      <c r="A7421">
        <v>1996</v>
      </c>
      <c r="B7421" s="8" t="s">
        <v>364</v>
      </c>
      <c r="C7421" s="8" t="s">
        <v>708</v>
      </c>
      <c r="D7421" s="8" t="s">
        <v>7</v>
      </c>
      <c r="E7421" s="70" t="s">
        <v>9</v>
      </c>
      <c r="F7421" s="29">
        <v>67</v>
      </c>
      <c r="G7421" s="29">
        <v>0</v>
      </c>
      <c r="H7421" s="29">
        <v>0</v>
      </c>
    </row>
    <row r="7422" spans="1:8" x14ac:dyDescent="0.4">
      <c r="A7422">
        <v>1996</v>
      </c>
      <c r="B7422" s="8" t="s">
        <v>365</v>
      </c>
      <c r="C7422" s="8" t="s">
        <v>708</v>
      </c>
      <c r="D7422" s="8" t="s">
        <v>7</v>
      </c>
      <c r="E7422" s="70" t="s">
        <v>10</v>
      </c>
      <c r="F7422" s="29">
        <v>34</v>
      </c>
      <c r="G7422" s="29">
        <v>0</v>
      </c>
      <c r="H7422" s="29">
        <v>0</v>
      </c>
    </row>
    <row r="7423" spans="1:8" x14ac:dyDescent="0.4">
      <c r="A7423">
        <v>1996</v>
      </c>
      <c r="B7423" s="8" t="s">
        <v>366</v>
      </c>
      <c r="C7423" s="8" t="s">
        <v>708</v>
      </c>
      <c r="D7423" s="8" t="s">
        <v>7</v>
      </c>
      <c r="E7423" s="70" t="s">
        <v>11</v>
      </c>
      <c r="F7423" s="29">
        <v>65</v>
      </c>
      <c r="G7423" s="29">
        <v>0</v>
      </c>
      <c r="H7423" s="29">
        <v>0</v>
      </c>
    </row>
    <row r="7424" spans="1:8" x14ac:dyDescent="0.4">
      <c r="A7424">
        <v>1996</v>
      </c>
      <c r="B7424" s="8" t="s">
        <v>367</v>
      </c>
      <c r="C7424" s="8" t="s">
        <v>708</v>
      </c>
      <c r="D7424" s="8" t="s">
        <v>7</v>
      </c>
      <c r="E7424" s="70" t="s">
        <v>12</v>
      </c>
      <c r="F7424" s="29">
        <v>36</v>
      </c>
      <c r="G7424" s="29">
        <v>0</v>
      </c>
      <c r="H7424" s="29">
        <v>0</v>
      </c>
    </row>
    <row r="7425" spans="1:8" x14ac:dyDescent="0.4">
      <c r="A7425">
        <v>1996</v>
      </c>
      <c r="B7425" s="8" t="s">
        <v>368</v>
      </c>
      <c r="C7425" s="8" t="s">
        <v>708</v>
      </c>
      <c r="D7425" s="8" t="s">
        <v>7</v>
      </c>
      <c r="E7425" s="70" t="s">
        <v>13</v>
      </c>
      <c r="F7425" s="29">
        <v>42</v>
      </c>
      <c r="G7425" s="29">
        <v>0</v>
      </c>
      <c r="H7425" s="29">
        <v>0</v>
      </c>
    </row>
    <row r="7426" spans="1:8" x14ac:dyDescent="0.4">
      <c r="A7426">
        <v>1996</v>
      </c>
      <c r="B7426" s="8" t="s">
        <v>369</v>
      </c>
      <c r="C7426" s="8" t="s">
        <v>708</v>
      </c>
      <c r="D7426" s="8" t="s">
        <v>7</v>
      </c>
      <c r="E7426" s="70" t="s">
        <v>14</v>
      </c>
      <c r="F7426" s="29">
        <v>66</v>
      </c>
      <c r="G7426" s="29">
        <v>0</v>
      </c>
      <c r="H7426" s="29">
        <v>0</v>
      </c>
    </row>
    <row r="7427" spans="1:8" x14ac:dyDescent="0.4">
      <c r="A7427">
        <v>1996</v>
      </c>
      <c r="B7427" s="8" t="s">
        <v>370</v>
      </c>
      <c r="C7427" s="8" t="s">
        <v>708</v>
      </c>
      <c r="D7427" s="8" t="s">
        <v>7</v>
      </c>
      <c r="E7427" s="70" t="s">
        <v>15</v>
      </c>
      <c r="F7427" s="29">
        <v>26</v>
      </c>
      <c r="G7427" s="29">
        <v>0</v>
      </c>
      <c r="H7427" s="29">
        <v>0</v>
      </c>
    </row>
    <row r="7428" spans="1:8" x14ac:dyDescent="0.4">
      <c r="A7428">
        <v>1996</v>
      </c>
      <c r="B7428" s="8" t="s">
        <v>371</v>
      </c>
      <c r="C7428" s="8" t="s">
        <v>708</v>
      </c>
      <c r="D7428" s="8" t="s">
        <v>7</v>
      </c>
      <c r="E7428" s="70" t="s">
        <v>16</v>
      </c>
      <c r="F7428" s="29">
        <v>497</v>
      </c>
      <c r="G7428" s="29">
        <v>0</v>
      </c>
      <c r="H7428" s="29">
        <v>0</v>
      </c>
    </row>
    <row r="7429" spans="1:8" x14ac:dyDescent="0.4">
      <c r="A7429">
        <v>1996</v>
      </c>
      <c r="B7429" s="8" t="s">
        <v>372</v>
      </c>
      <c r="C7429" s="8" t="s">
        <v>708</v>
      </c>
      <c r="D7429" s="8" t="s">
        <v>7</v>
      </c>
      <c r="E7429" s="70" t="s">
        <v>17</v>
      </c>
      <c r="F7429" s="29">
        <v>24</v>
      </c>
      <c r="G7429" s="29">
        <v>0</v>
      </c>
      <c r="H7429" s="29">
        <v>0</v>
      </c>
    </row>
    <row r="7430" spans="1:8" x14ac:dyDescent="0.4">
      <c r="A7430">
        <v>1996</v>
      </c>
      <c r="B7430" s="8" t="s">
        <v>373</v>
      </c>
      <c r="C7430" s="8" t="s">
        <v>708</v>
      </c>
      <c r="D7430" s="8" t="s">
        <v>7</v>
      </c>
      <c r="E7430" s="70" t="s">
        <v>18</v>
      </c>
      <c r="F7430" s="29">
        <v>29</v>
      </c>
      <c r="G7430" s="29">
        <v>0</v>
      </c>
      <c r="H7430" s="29">
        <v>0</v>
      </c>
    </row>
    <row r="7431" spans="1:8" x14ac:dyDescent="0.4">
      <c r="A7431">
        <v>1996</v>
      </c>
      <c r="B7431" s="8" t="s">
        <v>374</v>
      </c>
      <c r="C7431" s="8" t="s">
        <v>708</v>
      </c>
      <c r="D7431" s="8" t="s">
        <v>7</v>
      </c>
      <c r="E7431" s="70" t="s">
        <v>19</v>
      </c>
      <c r="F7431" s="29">
        <v>70</v>
      </c>
      <c r="G7431" s="29">
        <v>0</v>
      </c>
      <c r="H7431" s="29">
        <v>0</v>
      </c>
    </row>
    <row r="7432" spans="1:8" x14ac:dyDescent="0.4">
      <c r="A7432">
        <v>1996</v>
      </c>
      <c r="B7432" s="8" t="s">
        <v>375</v>
      </c>
      <c r="C7432" s="8" t="s">
        <v>708</v>
      </c>
      <c r="D7432" s="8" t="s">
        <v>7</v>
      </c>
      <c r="E7432" s="70" t="s">
        <v>20</v>
      </c>
      <c r="F7432" s="29">
        <v>183</v>
      </c>
      <c r="G7432" s="29">
        <v>0</v>
      </c>
      <c r="H7432" s="29">
        <v>0</v>
      </c>
    </row>
    <row r="7433" spans="1:8" x14ac:dyDescent="0.4">
      <c r="A7433">
        <v>1996</v>
      </c>
      <c r="B7433" s="8" t="s">
        <v>376</v>
      </c>
      <c r="C7433" s="8" t="s">
        <v>708</v>
      </c>
      <c r="D7433" s="8" t="s">
        <v>7</v>
      </c>
      <c r="E7433" s="70" t="s">
        <v>21</v>
      </c>
      <c r="F7433" s="29">
        <v>35</v>
      </c>
      <c r="G7433" s="29">
        <v>0</v>
      </c>
      <c r="H7433" s="29">
        <v>0</v>
      </c>
    </row>
    <row r="7434" spans="1:8" x14ac:dyDescent="0.4">
      <c r="A7434">
        <v>1996</v>
      </c>
      <c r="B7434" s="8" t="s">
        <v>377</v>
      </c>
      <c r="C7434" s="8" t="s">
        <v>708</v>
      </c>
      <c r="D7434" s="8" t="s">
        <v>7</v>
      </c>
      <c r="E7434" s="70" t="s">
        <v>22</v>
      </c>
      <c r="F7434" s="29">
        <v>108</v>
      </c>
      <c r="G7434" s="29">
        <v>0</v>
      </c>
      <c r="H7434" s="29">
        <v>0</v>
      </c>
    </row>
    <row r="7435" spans="1:8" x14ac:dyDescent="0.4">
      <c r="A7435">
        <v>1996</v>
      </c>
      <c r="B7435" s="8" t="s">
        <v>378</v>
      </c>
      <c r="C7435" s="8" t="s">
        <v>708</v>
      </c>
      <c r="D7435" s="8" t="s">
        <v>7</v>
      </c>
      <c r="E7435" s="70" t="s">
        <v>23</v>
      </c>
      <c r="F7435" s="29">
        <v>42</v>
      </c>
      <c r="G7435" s="29">
        <v>0</v>
      </c>
      <c r="H7435" s="29">
        <v>0</v>
      </c>
    </row>
    <row r="7436" spans="1:8" x14ac:dyDescent="0.4">
      <c r="A7436">
        <v>1996</v>
      </c>
      <c r="B7436" s="8" t="s">
        <v>379</v>
      </c>
      <c r="C7436" s="8" t="s">
        <v>708</v>
      </c>
      <c r="D7436" s="8" t="s">
        <v>7</v>
      </c>
      <c r="E7436" s="70" t="s">
        <v>24</v>
      </c>
      <c r="F7436" s="29">
        <v>22</v>
      </c>
      <c r="G7436" s="29">
        <v>0</v>
      </c>
      <c r="H7436" s="29">
        <v>0</v>
      </c>
    </row>
    <row r="7437" spans="1:8" x14ac:dyDescent="0.4">
      <c r="A7437">
        <v>1996</v>
      </c>
      <c r="B7437" s="8" t="s">
        <v>380</v>
      </c>
      <c r="C7437" s="8" t="s">
        <v>708</v>
      </c>
      <c r="D7437" s="8" t="s">
        <v>7</v>
      </c>
      <c r="E7437" s="70" t="s">
        <v>25</v>
      </c>
      <c r="F7437" s="29">
        <v>1057</v>
      </c>
      <c r="G7437" s="29">
        <v>0</v>
      </c>
      <c r="H7437" s="29">
        <v>0</v>
      </c>
    </row>
    <row r="7438" spans="1:8" x14ac:dyDescent="0.4">
      <c r="A7438">
        <v>1996</v>
      </c>
      <c r="B7438" s="8" t="s">
        <v>381</v>
      </c>
      <c r="C7438" s="8" t="s">
        <v>708</v>
      </c>
      <c r="D7438" s="8" t="s">
        <v>7</v>
      </c>
      <c r="E7438" s="70" t="s">
        <v>26</v>
      </c>
      <c r="F7438" s="29">
        <v>532</v>
      </c>
      <c r="G7438" s="29">
        <v>0</v>
      </c>
      <c r="H7438" s="29">
        <v>0</v>
      </c>
    </row>
    <row r="7439" spans="1:8" x14ac:dyDescent="0.4">
      <c r="A7439">
        <v>1996</v>
      </c>
      <c r="B7439" s="8" t="s">
        <v>382</v>
      </c>
      <c r="C7439" s="8" t="s">
        <v>708</v>
      </c>
      <c r="D7439" s="8" t="s">
        <v>7</v>
      </c>
      <c r="E7439" s="70" t="s">
        <v>27</v>
      </c>
      <c r="F7439" s="29">
        <v>24</v>
      </c>
      <c r="G7439" s="29">
        <v>0</v>
      </c>
      <c r="H7439" s="29">
        <v>0</v>
      </c>
    </row>
    <row r="7440" spans="1:8" x14ac:dyDescent="0.4">
      <c r="A7440">
        <v>1996</v>
      </c>
      <c r="B7440" s="8" t="s">
        <v>383</v>
      </c>
      <c r="C7440" s="8" t="s">
        <v>709</v>
      </c>
      <c r="D7440" s="8" t="s">
        <v>29</v>
      </c>
      <c r="E7440" s="70" t="s">
        <v>28</v>
      </c>
      <c r="F7440" s="29">
        <v>126</v>
      </c>
      <c r="G7440" s="29">
        <v>0</v>
      </c>
      <c r="H7440" s="29">
        <v>0</v>
      </c>
    </row>
    <row r="7441" spans="1:8" x14ac:dyDescent="0.4">
      <c r="A7441">
        <v>1996</v>
      </c>
      <c r="B7441" s="8" t="s">
        <v>384</v>
      </c>
      <c r="C7441" s="8" t="s">
        <v>709</v>
      </c>
      <c r="D7441" s="8" t="s">
        <v>29</v>
      </c>
      <c r="E7441" s="70" t="s">
        <v>30</v>
      </c>
      <c r="F7441" s="29">
        <v>47</v>
      </c>
      <c r="G7441" s="29">
        <v>0</v>
      </c>
      <c r="H7441" s="29">
        <v>0</v>
      </c>
    </row>
    <row r="7442" spans="1:8" x14ac:dyDescent="0.4">
      <c r="A7442">
        <v>1996</v>
      </c>
      <c r="B7442" s="8" t="s">
        <v>385</v>
      </c>
      <c r="C7442" s="8" t="s">
        <v>709</v>
      </c>
      <c r="D7442" s="8" t="s">
        <v>29</v>
      </c>
      <c r="E7442" s="70" t="s">
        <v>31</v>
      </c>
      <c r="F7442" s="29">
        <v>33</v>
      </c>
      <c r="G7442" s="29">
        <v>0</v>
      </c>
      <c r="H7442" s="29">
        <v>0</v>
      </c>
    </row>
    <row r="7443" spans="1:8" x14ac:dyDescent="0.4">
      <c r="A7443">
        <v>1996</v>
      </c>
      <c r="B7443" s="8" t="s">
        <v>386</v>
      </c>
      <c r="C7443" s="8" t="s">
        <v>709</v>
      </c>
      <c r="D7443" s="8" t="s">
        <v>29</v>
      </c>
      <c r="E7443" s="70" t="s">
        <v>32</v>
      </c>
      <c r="F7443" s="29">
        <v>201</v>
      </c>
      <c r="G7443" s="29">
        <v>0</v>
      </c>
      <c r="H7443" s="29">
        <v>0</v>
      </c>
    </row>
    <row r="7444" spans="1:8" x14ac:dyDescent="0.4">
      <c r="A7444">
        <v>1996</v>
      </c>
      <c r="B7444" s="8" t="s">
        <v>387</v>
      </c>
      <c r="C7444" s="8" t="s">
        <v>709</v>
      </c>
      <c r="D7444" s="8" t="s">
        <v>29</v>
      </c>
      <c r="E7444" s="70" t="s">
        <v>33</v>
      </c>
      <c r="F7444" s="29">
        <v>25</v>
      </c>
      <c r="G7444" s="29">
        <v>0</v>
      </c>
      <c r="H7444" s="29">
        <v>0</v>
      </c>
    </row>
    <row r="7445" spans="1:8" x14ac:dyDescent="0.4">
      <c r="A7445">
        <v>1996</v>
      </c>
      <c r="B7445" s="8" t="s">
        <v>388</v>
      </c>
      <c r="C7445" s="8" t="s">
        <v>709</v>
      </c>
      <c r="D7445" s="8" t="s">
        <v>29</v>
      </c>
      <c r="E7445" s="70" t="s">
        <v>34</v>
      </c>
      <c r="F7445" s="29">
        <v>30</v>
      </c>
      <c r="G7445" s="29">
        <v>0</v>
      </c>
      <c r="H7445" s="29">
        <v>0</v>
      </c>
    </row>
    <row r="7446" spans="1:8" x14ac:dyDescent="0.4">
      <c r="A7446">
        <v>1996</v>
      </c>
      <c r="B7446" s="8" t="s">
        <v>389</v>
      </c>
      <c r="C7446" s="8" t="s">
        <v>709</v>
      </c>
      <c r="D7446" s="8" t="s">
        <v>29</v>
      </c>
      <c r="E7446" s="70" t="s">
        <v>35</v>
      </c>
      <c r="F7446" s="29">
        <v>761</v>
      </c>
      <c r="G7446" s="29">
        <v>0</v>
      </c>
      <c r="H7446" s="29">
        <v>0</v>
      </c>
    </row>
    <row r="7447" spans="1:8" x14ac:dyDescent="0.4">
      <c r="A7447">
        <v>1996</v>
      </c>
      <c r="B7447" s="8" t="s">
        <v>390</v>
      </c>
      <c r="C7447" s="8" t="s">
        <v>710</v>
      </c>
      <c r="D7447" s="8" t="s">
        <v>37</v>
      </c>
      <c r="E7447" s="70" t="s">
        <v>36</v>
      </c>
      <c r="F7447" s="29">
        <v>90</v>
      </c>
      <c r="G7447" s="29">
        <v>0</v>
      </c>
      <c r="H7447" s="29">
        <v>0</v>
      </c>
    </row>
    <row r="7448" spans="1:8" x14ac:dyDescent="0.4">
      <c r="A7448">
        <v>1996</v>
      </c>
      <c r="B7448" s="8" t="s">
        <v>391</v>
      </c>
      <c r="C7448" s="8" t="s">
        <v>710</v>
      </c>
      <c r="D7448" s="8" t="s">
        <v>37</v>
      </c>
      <c r="E7448" s="70" t="s">
        <v>38</v>
      </c>
      <c r="F7448" s="29">
        <v>51</v>
      </c>
      <c r="G7448" s="29">
        <v>0</v>
      </c>
      <c r="H7448" s="29">
        <v>0</v>
      </c>
    </row>
    <row r="7449" spans="1:8" x14ac:dyDescent="0.4">
      <c r="A7449">
        <v>1996</v>
      </c>
      <c r="B7449" s="8" t="s">
        <v>392</v>
      </c>
      <c r="C7449" s="8" t="s">
        <v>710</v>
      </c>
      <c r="D7449" s="8" t="s">
        <v>37</v>
      </c>
      <c r="E7449" s="70" t="s">
        <v>39</v>
      </c>
      <c r="F7449" s="29">
        <v>0</v>
      </c>
      <c r="G7449" s="29">
        <v>0</v>
      </c>
      <c r="H7449" s="29">
        <v>0</v>
      </c>
    </row>
    <row r="7450" spans="1:8" x14ac:dyDescent="0.4">
      <c r="A7450">
        <v>1996</v>
      </c>
      <c r="B7450" s="8" t="s">
        <v>393</v>
      </c>
      <c r="C7450" s="8" t="s">
        <v>710</v>
      </c>
      <c r="D7450" s="8" t="s">
        <v>37</v>
      </c>
      <c r="E7450" s="70" t="s">
        <v>40</v>
      </c>
      <c r="F7450" s="29">
        <v>2996</v>
      </c>
      <c r="G7450" s="29">
        <v>0</v>
      </c>
      <c r="H7450" s="29">
        <v>0</v>
      </c>
    </row>
    <row r="7451" spans="1:8" x14ac:dyDescent="0.4">
      <c r="A7451">
        <v>1996</v>
      </c>
      <c r="B7451" s="8" t="s">
        <v>394</v>
      </c>
      <c r="C7451" s="8" t="s">
        <v>710</v>
      </c>
      <c r="D7451" s="8" t="s">
        <v>37</v>
      </c>
      <c r="E7451" s="70" t="s">
        <v>41</v>
      </c>
      <c r="F7451" s="29">
        <v>65</v>
      </c>
      <c r="G7451" s="29">
        <v>0</v>
      </c>
      <c r="H7451" s="29">
        <v>0</v>
      </c>
    </row>
    <row r="7452" spans="1:8" x14ac:dyDescent="0.4">
      <c r="A7452">
        <v>1996</v>
      </c>
      <c r="B7452" s="8" t="s">
        <v>395</v>
      </c>
      <c r="C7452" s="8" t="s">
        <v>710</v>
      </c>
      <c r="D7452" s="8" t="s">
        <v>37</v>
      </c>
      <c r="E7452" s="70" t="s">
        <v>42</v>
      </c>
      <c r="F7452" s="29">
        <v>721</v>
      </c>
      <c r="G7452" s="29">
        <v>0</v>
      </c>
      <c r="H7452" s="29">
        <v>0</v>
      </c>
    </row>
    <row r="7453" spans="1:8" x14ac:dyDescent="0.4">
      <c r="A7453">
        <v>1996</v>
      </c>
      <c r="B7453" s="8" t="s">
        <v>396</v>
      </c>
      <c r="C7453" s="8" t="s">
        <v>710</v>
      </c>
      <c r="D7453" s="8" t="s">
        <v>37</v>
      </c>
      <c r="E7453" s="70" t="s">
        <v>43</v>
      </c>
      <c r="F7453" s="29">
        <v>98</v>
      </c>
      <c r="G7453" s="29">
        <v>0</v>
      </c>
      <c r="H7453" s="29">
        <v>0</v>
      </c>
    </row>
    <row r="7454" spans="1:8" x14ac:dyDescent="0.4">
      <c r="A7454">
        <v>1996</v>
      </c>
      <c r="B7454" s="8" t="s">
        <v>397</v>
      </c>
      <c r="C7454" s="8" t="s">
        <v>710</v>
      </c>
      <c r="D7454" s="8" t="s">
        <v>37</v>
      </c>
      <c r="E7454" s="70" t="s">
        <v>44</v>
      </c>
      <c r="F7454" s="29">
        <v>308</v>
      </c>
      <c r="G7454" s="29">
        <v>0</v>
      </c>
      <c r="H7454" s="29">
        <v>0</v>
      </c>
    </row>
    <row r="7455" spans="1:8" x14ac:dyDescent="0.4">
      <c r="A7455">
        <v>1996</v>
      </c>
      <c r="B7455" s="8" t="s">
        <v>398</v>
      </c>
      <c r="C7455" s="8" t="s">
        <v>710</v>
      </c>
      <c r="D7455" s="8" t="s">
        <v>37</v>
      </c>
      <c r="E7455" s="70" t="s">
        <v>45</v>
      </c>
      <c r="F7455" s="29">
        <v>237</v>
      </c>
      <c r="G7455" s="29">
        <v>0</v>
      </c>
      <c r="H7455" s="29">
        <v>0</v>
      </c>
    </row>
    <row r="7456" spans="1:8" x14ac:dyDescent="0.4">
      <c r="A7456">
        <v>1996</v>
      </c>
      <c r="B7456" s="8" t="s">
        <v>399</v>
      </c>
      <c r="C7456" s="8" t="s">
        <v>710</v>
      </c>
      <c r="D7456" s="8" t="s">
        <v>37</v>
      </c>
      <c r="E7456" s="70" t="s">
        <v>46</v>
      </c>
      <c r="F7456" s="29">
        <v>0</v>
      </c>
      <c r="G7456" s="29">
        <v>0</v>
      </c>
      <c r="H7456" s="29">
        <v>0</v>
      </c>
    </row>
    <row r="7457" spans="1:8" x14ac:dyDescent="0.4">
      <c r="A7457">
        <v>1996</v>
      </c>
      <c r="B7457" s="8" t="s">
        <v>400</v>
      </c>
      <c r="C7457" s="8" t="s">
        <v>710</v>
      </c>
      <c r="D7457" s="8" t="s">
        <v>37</v>
      </c>
      <c r="E7457" s="70" t="s">
        <v>47</v>
      </c>
      <c r="F7457" s="29">
        <v>84</v>
      </c>
      <c r="G7457" s="29">
        <v>0</v>
      </c>
      <c r="H7457" s="29">
        <v>0</v>
      </c>
    </row>
    <row r="7458" spans="1:8" x14ac:dyDescent="0.4">
      <c r="A7458">
        <v>1996</v>
      </c>
      <c r="B7458" s="8" t="s">
        <v>401</v>
      </c>
      <c r="C7458" s="8" t="s">
        <v>710</v>
      </c>
      <c r="D7458" s="8" t="s">
        <v>37</v>
      </c>
      <c r="E7458" s="70" t="s">
        <v>48</v>
      </c>
      <c r="F7458" s="29">
        <v>82</v>
      </c>
      <c r="G7458" s="29">
        <v>0</v>
      </c>
      <c r="H7458" s="29">
        <v>0</v>
      </c>
    </row>
    <row r="7459" spans="1:8" x14ac:dyDescent="0.4">
      <c r="A7459">
        <v>1996</v>
      </c>
      <c r="B7459" s="8" t="s">
        <v>402</v>
      </c>
      <c r="C7459" s="8" t="s">
        <v>710</v>
      </c>
      <c r="D7459" s="8" t="s">
        <v>37</v>
      </c>
      <c r="E7459" s="70" t="s">
        <v>49</v>
      </c>
      <c r="F7459" s="29">
        <v>434</v>
      </c>
      <c r="G7459" s="29">
        <v>0</v>
      </c>
      <c r="H7459" s="29">
        <v>0</v>
      </c>
    </row>
    <row r="7460" spans="1:8" x14ac:dyDescent="0.4">
      <c r="A7460">
        <v>1996</v>
      </c>
      <c r="B7460" s="8" t="s">
        <v>403</v>
      </c>
      <c r="C7460" s="8" t="s">
        <v>710</v>
      </c>
      <c r="D7460" s="8" t="s">
        <v>37</v>
      </c>
      <c r="E7460" s="70" t="s">
        <v>50</v>
      </c>
      <c r="F7460" s="29">
        <v>73</v>
      </c>
      <c r="G7460" s="29">
        <v>0</v>
      </c>
      <c r="H7460" s="29">
        <v>0</v>
      </c>
    </row>
    <row r="7461" spans="1:8" x14ac:dyDescent="0.4">
      <c r="A7461">
        <v>1996</v>
      </c>
      <c r="B7461" s="8" t="s">
        <v>404</v>
      </c>
      <c r="C7461" s="8" t="s">
        <v>710</v>
      </c>
      <c r="D7461" s="8" t="s">
        <v>37</v>
      </c>
      <c r="E7461" s="70" t="s">
        <v>51</v>
      </c>
      <c r="F7461" s="29">
        <v>294</v>
      </c>
      <c r="G7461" s="29">
        <v>0</v>
      </c>
      <c r="H7461" s="29">
        <v>0</v>
      </c>
    </row>
    <row r="7462" spans="1:8" x14ac:dyDescent="0.4">
      <c r="A7462">
        <v>1996</v>
      </c>
      <c r="B7462" s="8" t="s">
        <v>405</v>
      </c>
      <c r="C7462" s="8" t="s">
        <v>710</v>
      </c>
      <c r="D7462" s="8" t="s">
        <v>37</v>
      </c>
      <c r="E7462" s="70" t="s">
        <v>52</v>
      </c>
      <c r="F7462" s="29">
        <v>36</v>
      </c>
      <c r="G7462" s="29">
        <v>0</v>
      </c>
      <c r="H7462" s="29">
        <v>0</v>
      </c>
    </row>
    <row r="7463" spans="1:8" x14ac:dyDescent="0.4">
      <c r="A7463">
        <v>1996</v>
      </c>
      <c r="B7463" s="8" t="s">
        <v>406</v>
      </c>
      <c r="C7463" s="8" t="s">
        <v>710</v>
      </c>
      <c r="D7463" s="8" t="s">
        <v>37</v>
      </c>
      <c r="E7463" s="70" t="s">
        <v>53</v>
      </c>
      <c r="F7463" s="29">
        <v>70</v>
      </c>
      <c r="G7463" s="29">
        <v>0</v>
      </c>
      <c r="H7463" s="29">
        <v>0</v>
      </c>
    </row>
    <row r="7464" spans="1:8" x14ac:dyDescent="0.4">
      <c r="A7464">
        <v>1996</v>
      </c>
      <c r="B7464" s="8" t="s">
        <v>407</v>
      </c>
      <c r="C7464" s="8" t="s">
        <v>710</v>
      </c>
      <c r="D7464" s="8" t="s">
        <v>37</v>
      </c>
      <c r="E7464" s="70" t="s">
        <v>54</v>
      </c>
      <c r="F7464" s="29">
        <v>419</v>
      </c>
      <c r="G7464" s="29">
        <v>0</v>
      </c>
      <c r="H7464" s="29">
        <v>0</v>
      </c>
    </row>
    <row r="7465" spans="1:8" x14ac:dyDescent="0.4">
      <c r="A7465">
        <v>1996</v>
      </c>
      <c r="B7465" s="8" t="s">
        <v>408</v>
      </c>
      <c r="C7465" s="8" t="s">
        <v>711</v>
      </c>
      <c r="D7465" s="8" t="s">
        <v>56</v>
      </c>
      <c r="E7465" s="70" t="s">
        <v>55</v>
      </c>
      <c r="F7465" s="29">
        <v>129</v>
      </c>
      <c r="G7465" s="29">
        <v>0</v>
      </c>
      <c r="H7465" s="29">
        <v>0</v>
      </c>
    </row>
    <row r="7466" spans="1:8" x14ac:dyDescent="0.4">
      <c r="A7466">
        <v>1996</v>
      </c>
      <c r="B7466" s="8" t="s">
        <v>409</v>
      </c>
      <c r="C7466" s="8" t="s">
        <v>711</v>
      </c>
      <c r="D7466" s="8" t="s">
        <v>56</v>
      </c>
      <c r="E7466" s="70" t="s">
        <v>57</v>
      </c>
      <c r="F7466" s="29">
        <v>0</v>
      </c>
      <c r="G7466" s="29">
        <v>0</v>
      </c>
      <c r="H7466" s="29">
        <v>0</v>
      </c>
    </row>
    <row r="7467" spans="1:8" x14ac:dyDescent="0.4">
      <c r="A7467">
        <v>1996</v>
      </c>
      <c r="B7467" s="8" t="s">
        <v>410</v>
      </c>
      <c r="C7467" s="8" t="s">
        <v>711</v>
      </c>
      <c r="D7467" s="8" t="s">
        <v>56</v>
      </c>
      <c r="E7467" s="70" t="s">
        <v>58</v>
      </c>
      <c r="F7467" s="29">
        <v>160</v>
      </c>
      <c r="G7467" s="29">
        <v>0</v>
      </c>
      <c r="H7467" s="29">
        <v>0</v>
      </c>
    </row>
    <row r="7468" spans="1:8" x14ac:dyDescent="0.4">
      <c r="A7468">
        <v>1996</v>
      </c>
      <c r="B7468" s="8" t="s">
        <v>411</v>
      </c>
      <c r="C7468" s="8" t="s">
        <v>711</v>
      </c>
      <c r="D7468" s="8" t="s">
        <v>56</v>
      </c>
      <c r="E7468" s="70" t="s">
        <v>59</v>
      </c>
      <c r="F7468" s="29">
        <v>38</v>
      </c>
      <c r="G7468" s="29">
        <v>0</v>
      </c>
      <c r="H7468" s="29">
        <v>0</v>
      </c>
    </row>
    <row r="7469" spans="1:8" x14ac:dyDescent="0.4">
      <c r="A7469">
        <v>1996</v>
      </c>
      <c r="B7469" s="8" t="s">
        <v>412</v>
      </c>
      <c r="C7469" s="8" t="s">
        <v>711</v>
      </c>
      <c r="D7469" s="8" t="s">
        <v>56</v>
      </c>
      <c r="E7469" s="70" t="s">
        <v>60</v>
      </c>
      <c r="F7469" s="29">
        <v>1281</v>
      </c>
      <c r="G7469" s="29">
        <v>0</v>
      </c>
      <c r="H7469" s="29">
        <v>0</v>
      </c>
    </row>
    <row r="7470" spans="1:8" x14ac:dyDescent="0.4">
      <c r="A7470">
        <v>1996</v>
      </c>
      <c r="B7470" s="8" t="s">
        <v>413</v>
      </c>
      <c r="C7470" s="8" t="s">
        <v>711</v>
      </c>
      <c r="D7470" s="8" t="s">
        <v>56</v>
      </c>
      <c r="E7470" s="70" t="s">
        <v>36</v>
      </c>
      <c r="F7470" s="29">
        <v>135</v>
      </c>
      <c r="G7470" s="29">
        <v>0</v>
      </c>
      <c r="H7470" s="29">
        <v>0</v>
      </c>
    </row>
    <row r="7471" spans="1:8" x14ac:dyDescent="0.4">
      <c r="A7471">
        <v>1996</v>
      </c>
      <c r="B7471" s="8" t="s">
        <v>414</v>
      </c>
      <c r="C7471" s="8" t="s">
        <v>711</v>
      </c>
      <c r="D7471" s="8" t="s">
        <v>56</v>
      </c>
      <c r="E7471" s="70" t="s">
        <v>61</v>
      </c>
      <c r="F7471" s="29">
        <v>58</v>
      </c>
      <c r="G7471" s="29">
        <v>0</v>
      </c>
      <c r="H7471" s="29">
        <v>0</v>
      </c>
    </row>
    <row r="7472" spans="1:8" x14ac:dyDescent="0.4">
      <c r="A7472">
        <v>1996</v>
      </c>
      <c r="B7472" s="8" t="s">
        <v>415</v>
      </c>
      <c r="C7472" s="8" t="s">
        <v>711</v>
      </c>
      <c r="D7472" s="8" t="s">
        <v>56</v>
      </c>
      <c r="E7472" s="70" t="s">
        <v>62</v>
      </c>
      <c r="F7472" s="29">
        <v>193</v>
      </c>
      <c r="G7472" s="29">
        <v>0</v>
      </c>
      <c r="H7472" s="29">
        <v>0</v>
      </c>
    </row>
    <row r="7473" spans="1:8" x14ac:dyDescent="0.4">
      <c r="A7473">
        <v>1996</v>
      </c>
      <c r="B7473" s="8" t="s">
        <v>416</v>
      </c>
      <c r="C7473" s="8" t="s">
        <v>711</v>
      </c>
      <c r="D7473" s="8" t="s">
        <v>56</v>
      </c>
      <c r="E7473" s="70" t="s">
        <v>63</v>
      </c>
      <c r="F7473" s="29">
        <v>54</v>
      </c>
      <c r="G7473" s="29">
        <v>0</v>
      </c>
      <c r="H7473" s="29">
        <v>0</v>
      </c>
    </row>
    <row r="7474" spans="1:8" x14ac:dyDescent="0.4">
      <c r="A7474">
        <v>1996</v>
      </c>
      <c r="B7474" s="8" t="s">
        <v>417</v>
      </c>
      <c r="C7474" s="8" t="s">
        <v>711</v>
      </c>
      <c r="D7474" s="8" t="s">
        <v>56</v>
      </c>
      <c r="E7474" s="70" t="s">
        <v>64</v>
      </c>
      <c r="F7474" s="29">
        <v>149</v>
      </c>
      <c r="G7474" s="29">
        <v>0</v>
      </c>
      <c r="H7474" s="29">
        <v>0</v>
      </c>
    </row>
    <row r="7475" spans="1:8" x14ac:dyDescent="0.4">
      <c r="A7475">
        <v>1996</v>
      </c>
      <c r="B7475" s="8" t="s">
        <v>418</v>
      </c>
      <c r="C7475" s="8" t="s">
        <v>711</v>
      </c>
      <c r="D7475" s="8" t="s">
        <v>56</v>
      </c>
      <c r="E7475" s="70" t="s">
        <v>65</v>
      </c>
      <c r="F7475" s="29">
        <v>88</v>
      </c>
      <c r="G7475" s="29">
        <v>0</v>
      </c>
      <c r="H7475" s="29">
        <v>0</v>
      </c>
    </row>
    <row r="7476" spans="1:8" x14ac:dyDescent="0.4">
      <c r="A7476">
        <v>1996</v>
      </c>
      <c r="B7476" s="8" t="s">
        <v>419</v>
      </c>
      <c r="C7476" s="8" t="s">
        <v>711</v>
      </c>
      <c r="D7476" s="8" t="s">
        <v>56</v>
      </c>
      <c r="E7476" s="70" t="s">
        <v>66</v>
      </c>
      <c r="F7476" s="29">
        <v>36</v>
      </c>
      <c r="G7476" s="29">
        <v>0</v>
      </c>
      <c r="H7476" s="29">
        <v>0</v>
      </c>
    </row>
    <row r="7477" spans="1:8" x14ac:dyDescent="0.4">
      <c r="A7477">
        <v>1996</v>
      </c>
      <c r="B7477" s="8" t="s">
        <v>420</v>
      </c>
      <c r="C7477" s="8" t="s">
        <v>712</v>
      </c>
      <c r="D7477" s="8" t="s">
        <v>68</v>
      </c>
      <c r="E7477" s="70" t="s">
        <v>67</v>
      </c>
      <c r="F7477" s="29">
        <v>2491</v>
      </c>
      <c r="G7477" s="29">
        <v>0</v>
      </c>
      <c r="H7477" s="29">
        <v>0</v>
      </c>
    </row>
    <row r="7478" spans="1:8" x14ac:dyDescent="0.4">
      <c r="A7478">
        <v>1996</v>
      </c>
      <c r="B7478" s="8" t="s">
        <v>421</v>
      </c>
      <c r="C7478" s="8" t="s">
        <v>712</v>
      </c>
      <c r="D7478" s="8" t="s">
        <v>68</v>
      </c>
      <c r="E7478" s="70" t="s">
        <v>69</v>
      </c>
      <c r="F7478" s="29">
        <v>187</v>
      </c>
      <c r="G7478" s="29">
        <v>0</v>
      </c>
      <c r="H7478" s="29">
        <v>0</v>
      </c>
    </row>
    <row r="7479" spans="1:8" x14ac:dyDescent="0.4">
      <c r="A7479">
        <v>1996</v>
      </c>
      <c r="B7479" s="8" t="s">
        <v>422</v>
      </c>
      <c r="C7479" s="8" t="s">
        <v>712</v>
      </c>
      <c r="D7479" s="8" t="s">
        <v>68</v>
      </c>
      <c r="E7479" s="70" t="s">
        <v>70</v>
      </c>
      <c r="F7479" s="29">
        <v>70</v>
      </c>
      <c r="G7479" s="29">
        <v>0</v>
      </c>
      <c r="H7479" s="29">
        <v>0</v>
      </c>
    </row>
    <row r="7480" spans="1:8" x14ac:dyDescent="0.4">
      <c r="A7480">
        <v>1996</v>
      </c>
      <c r="B7480" s="8" t="s">
        <v>423</v>
      </c>
      <c r="C7480" s="8" t="s">
        <v>712</v>
      </c>
      <c r="D7480" s="8" t="s">
        <v>68</v>
      </c>
      <c r="E7480" s="70" t="s">
        <v>71</v>
      </c>
      <c r="F7480" s="29">
        <v>24</v>
      </c>
      <c r="G7480" s="29">
        <v>0</v>
      </c>
      <c r="H7480" s="29">
        <v>0</v>
      </c>
    </row>
    <row r="7481" spans="1:8" x14ac:dyDescent="0.4">
      <c r="A7481">
        <v>1996</v>
      </c>
      <c r="B7481" s="8" t="s">
        <v>424</v>
      </c>
      <c r="C7481" s="8" t="s">
        <v>712</v>
      </c>
      <c r="D7481" s="8" t="s">
        <v>68</v>
      </c>
      <c r="E7481" s="70" t="s">
        <v>72</v>
      </c>
      <c r="F7481" s="29">
        <v>1691</v>
      </c>
      <c r="G7481" s="29">
        <v>0</v>
      </c>
      <c r="H7481" s="29">
        <v>0</v>
      </c>
    </row>
    <row r="7482" spans="1:8" x14ac:dyDescent="0.4">
      <c r="A7482">
        <v>1996</v>
      </c>
      <c r="B7482" s="8" t="s">
        <v>425</v>
      </c>
      <c r="C7482" s="8" t="s">
        <v>712</v>
      </c>
      <c r="D7482" s="8" t="s">
        <v>68</v>
      </c>
      <c r="E7482" s="70" t="s">
        <v>73</v>
      </c>
      <c r="F7482" s="29">
        <v>0</v>
      </c>
      <c r="G7482" s="29">
        <v>0</v>
      </c>
      <c r="H7482" s="29">
        <v>0</v>
      </c>
    </row>
    <row r="7483" spans="1:8" x14ac:dyDescent="0.4">
      <c r="A7483">
        <v>1996</v>
      </c>
      <c r="B7483" s="8" t="s">
        <v>426</v>
      </c>
      <c r="C7483" s="8" t="s">
        <v>712</v>
      </c>
      <c r="D7483" s="8" t="s">
        <v>68</v>
      </c>
      <c r="E7483" s="70" t="s">
        <v>74</v>
      </c>
      <c r="F7483" s="29">
        <v>354</v>
      </c>
      <c r="G7483" s="29">
        <v>0</v>
      </c>
      <c r="H7483" s="29">
        <v>0</v>
      </c>
    </row>
    <row r="7484" spans="1:8" x14ac:dyDescent="0.4">
      <c r="A7484">
        <v>1996</v>
      </c>
      <c r="B7484" s="8" t="s">
        <v>427</v>
      </c>
      <c r="C7484" s="8" t="s">
        <v>712</v>
      </c>
      <c r="D7484" s="8" t="s">
        <v>68</v>
      </c>
      <c r="E7484" s="70" t="s">
        <v>75</v>
      </c>
      <c r="F7484" s="29">
        <v>24</v>
      </c>
      <c r="G7484" s="29">
        <v>0</v>
      </c>
      <c r="H7484" s="29">
        <v>0</v>
      </c>
    </row>
    <row r="7485" spans="1:8" x14ac:dyDescent="0.4">
      <c r="A7485">
        <v>1996</v>
      </c>
      <c r="B7485" s="8" t="s">
        <v>428</v>
      </c>
      <c r="C7485" s="8" t="s">
        <v>712</v>
      </c>
      <c r="D7485" s="8" t="s">
        <v>68</v>
      </c>
      <c r="E7485" s="70" t="s">
        <v>76</v>
      </c>
      <c r="F7485" s="29">
        <v>53</v>
      </c>
      <c r="G7485" s="29">
        <v>0</v>
      </c>
      <c r="H7485" s="29">
        <v>0</v>
      </c>
    </row>
    <row r="7486" spans="1:8" x14ac:dyDescent="0.4">
      <c r="A7486">
        <v>1996</v>
      </c>
      <c r="B7486" s="8" t="s">
        <v>429</v>
      </c>
      <c r="C7486" s="8" t="s">
        <v>712</v>
      </c>
      <c r="D7486" s="8" t="s">
        <v>68</v>
      </c>
      <c r="E7486" s="70" t="s">
        <v>77</v>
      </c>
      <c r="F7486" s="29">
        <v>149</v>
      </c>
      <c r="G7486" s="29">
        <v>0</v>
      </c>
      <c r="H7486" s="29">
        <v>0</v>
      </c>
    </row>
    <row r="7487" spans="1:8" x14ac:dyDescent="0.4">
      <c r="A7487">
        <v>1996</v>
      </c>
      <c r="B7487" s="8" t="s">
        <v>430</v>
      </c>
      <c r="C7487" s="8" t="s">
        <v>712</v>
      </c>
      <c r="D7487" s="8" t="s">
        <v>68</v>
      </c>
      <c r="E7487" s="70" t="s">
        <v>51</v>
      </c>
      <c r="F7487" s="29">
        <v>4</v>
      </c>
      <c r="G7487" s="29">
        <v>0</v>
      </c>
      <c r="H7487" s="29">
        <v>0</v>
      </c>
    </row>
    <row r="7488" spans="1:8" x14ac:dyDescent="0.4">
      <c r="A7488">
        <v>1996</v>
      </c>
      <c r="B7488" s="8" t="s">
        <v>431</v>
      </c>
      <c r="C7488" s="8" t="s">
        <v>713</v>
      </c>
      <c r="D7488" s="8" t="s">
        <v>79</v>
      </c>
      <c r="E7488" s="70" t="s">
        <v>78</v>
      </c>
      <c r="F7488" s="29">
        <v>255</v>
      </c>
      <c r="G7488" s="29">
        <v>0</v>
      </c>
      <c r="H7488" s="29">
        <v>0</v>
      </c>
    </row>
    <row r="7489" spans="1:8" x14ac:dyDescent="0.4">
      <c r="A7489">
        <v>1996</v>
      </c>
      <c r="B7489" s="8" t="s">
        <v>432</v>
      </c>
      <c r="C7489" s="8" t="s">
        <v>713</v>
      </c>
      <c r="D7489" s="8" t="s">
        <v>79</v>
      </c>
      <c r="E7489" s="70" t="s">
        <v>80</v>
      </c>
      <c r="F7489" s="29">
        <v>365</v>
      </c>
      <c r="G7489" s="29">
        <v>0</v>
      </c>
      <c r="H7489" s="29">
        <v>0</v>
      </c>
    </row>
    <row r="7490" spans="1:8" x14ac:dyDescent="0.4">
      <c r="A7490">
        <v>1996</v>
      </c>
      <c r="B7490" s="8" t="s">
        <v>433</v>
      </c>
      <c r="C7490" s="8" t="s">
        <v>713</v>
      </c>
      <c r="D7490" s="8" t="s">
        <v>79</v>
      </c>
      <c r="E7490" s="70" t="s">
        <v>81</v>
      </c>
      <c r="F7490" s="29">
        <v>232</v>
      </c>
      <c r="G7490" s="29">
        <v>0</v>
      </c>
      <c r="H7490" s="29">
        <v>0</v>
      </c>
    </row>
    <row r="7491" spans="1:8" x14ac:dyDescent="0.4">
      <c r="A7491">
        <v>1996</v>
      </c>
      <c r="B7491" s="8" t="s">
        <v>434</v>
      </c>
      <c r="C7491" s="8" t="s">
        <v>713</v>
      </c>
      <c r="D7491" s="8" t="s">
        <v>79</v>
      </c>
      <c r="E7491" s="70" t="s">
        <v>82</v>
      </c>
      <c r="F7491" s="29">
        <v>356</v>
      </c>
      <c r="G7491" s="29">
        <v>0</v>
      </c>
      <c r="H7491" s="29">
        <v>0</v>
      </c>
    </row>
    <row r="7492" spans="1:8" x14ac:dyDescent="0.4">
      <c r="A7492">
        <v>1996</v>
      </c>
      <c r="B7492" s="8" t="s">
        <v>435</v>
      </c>
      <c r="C7492" s="8" t="s">
        <v>713</v>
      </c>
      <c r="D7492" s="8" t="s">
        <v>79</v>
      </c>
      <c r="E7492" s="70" t="s">
        <v>83</v>
      </c>
      <c r="F7492" s="29">
        <v>144</v>
      </c>
      <c r="G7492" s="29">
        <v>0</v>
      </c>
      <c r="H7492" s="29">
        <v>0</v>
      </c>
    </row>
    <row r="7493" spans="1:8" x14ac:dyDescent="0.4">
      <c r="A7493">
        <v>1996</v>
      </c>
      <c r="B7493" s="8" t="s">
        <v>436</v>
      </c>
      <c r="C7493" s="8" t="s">
        <v>713</v>
      </c>
      <c r="D7493" s="8" t="s">
        <v>79</v>
      </c>
      <c r="E7493" s="70" t="s">
        <v>44</v>
      </c>
      <c r="F7493" s="29">
        <v>351</v>
      </c>
      <c r="G7493" s="29">
        <v>0</v>
      </c>
      <c r="H7493" s="29">
        <v>0</v>
      </c>
    </row>
    <row r="7494" spans="1:8" x14ac:dyDescent="0.4">
      <c r="A7494">
        <v>1996</v>
      </c>
      <c r="B7494" s="8" t="s">
        <v>437</v>
      </c>
      <c r="C7494" s="8" t="s">
        <v>713</v>
      </c>
      <c r="D7494" s="8" t="s">
        <v>79</v>
      </c>
      <c r="E7494" s="70" t="s">
        <v>84</v>
      </c>
      <c r="F7494" s="29">
        <v>192</v>
      </c>
      <c r="G7494" s="29">
        <v>0</v>
      </c>
      <c r="H7494" s="29">
        <v>0</v>
      </c>
    </row>
    <row r="7495" spans="1:8" x14ac:dyDescent="0.4">
      <c r="A7495">
        <v>1996</v>
      </c>
      <c r="B7495" s="8" t="s">
        <v>438</v>
      </c>
      <c r="C7495" s="8" t="s">
        <v>713</v>
      </c>
      <c r="D7495" s="8" t="s">
        <v>79</v>
      </c>
      <c r="E7495" s="70" t="s">
        <v>85</v>
      </c>
      <c r="F7495" s="29">
        <v>71</v>
      </c>
      <c r="G7495" s="29">
        <v>0</v>
      </c>
      <c r="H7495" s="29">
        <v>0</v>
      </c>
    </row>
    <row r="7496" spans="1:8" x14ac:dyDescent="0.4">
      <c r="A7496">
        <v>1996</v>
      </c>
      <c r="B7496" s="8" t="s">
        <v>439</v>
      </c>
      <c r="C7496" s="8" t="s">
        <v>713</v>
      </c>
      <c r="D7496" s="8" t="s">
        <v>79</v>
      </c>
      <c r="E7496" s="70" t="s">
        <v>86</v>
      </c>
      <c r="F7496" s="29">
        <v>37</v>
      </c>
      <c r="G7496" s="29">
        <v>0</v>
      </c>
      <c r="H7496" s="29">
        <v>0</v>
      </c>
    </row>
    <row r="7497" spans="1:8" x14ac:dyDescent="0.4">
      <c r="A7497">
        <v>1996</v>
      </c>
      <c r="B7497" s="8" t="s">
        <v>440</v>
      </c>
      <c r="C7497" s="8" t="s">
        <v>713</v>
      </c>
      <c r="D7497" s="8" t="s">
        <v>79</v>
      </c>
      <c r="E7497" s="70" t="s">
        <v>87</v>
      </c>
      <c r="F7497" s="29">
        <v>856</v>
      </c>
      <c r="G7497" s="29">
        <v>0</v>
      </c>
      <c r="H7497" s="29">
        <v>0</v>
      </c>
    </row>
    <row r="7498" spans="1:8" x14ac:dyDescent="0.4">
      <c r="A7498">
        <v>1996</v>
      </c>
      <c r="B7498" s="8" t="s">
        <v>441</v>
      </c>
      <c r="C7498" s="8" t="s">
        <v>713</v>
      </c>
      <c r="D7498" s="8" t="s">
        <v>79</v>
      </c>
      <c r="E7498" s="70" t="s">
        <v>88</v>
      </c>
      <c r="F7498" s="29">
        <v>923</v>
      </c>
      <c r="G7498" s="29">
        <v>0</v>
      </c>
      <c r="H7498" s="29">
        <v>0</v>
      </c>
    </row>
    <row r="7499" spans="1:8" x14ac:dyDescent="0.4">
      <c r="A7499">
        <v>1996</v>
      </c>
      <c r="B7499" s="8" t="s">
        <v>442</v>
      </c>
      <c r="C7499" s="8" t="s">
        <v>713</v>
      </c>
      <c r="D7499" s="8" t="s">
        <v>79</v>
      </c>
      <c r="E7499" s="70" t="s">
        <v>89</v>
      </c>
      <c r="F7499" s="29">
        <v>88</v>
      </c>
      <c r="G7499" s="29">
        <v>0</v>
      </c>
      <c r="H7499" s="29">
        <v>0</v>
      </c>
    </row>
    <row r="7500" spans="1:8" x14ac:dyDescent="0.4">
      <c r="A7500">
        <v>1996</v>
      </c>
      <c r="B7500" s="8" t="s">
        <v>443</v>
      </c>
      <c r="C7500" s="8" t="s">
        <v>713</v>
      </c>
      <c r="D7500" s="8" t="s">
        <v>79</v>
      </c>
      <c r="E7500" s="70" t="s">
        <v>90</v>
      </c>
      <c r="F7500" s="29">
        <v>83</v>
      </c>
      <c r="G7500" s="29">
        <v>0</v>
      </c>
      <c r="H7500" s="29">
        <v>0</v>
      </c>
    </row>
    <row r="7501" spans="1:8" x14ac:dyDescent="0.4">
      <c r="A7501">
        <v>1996</v>
      </c>
      <c r="B7501" s="8" t="s">
        <v>444</v>
      </c>
      <c r="C7501" s="8" t="s">
        <v>713</v>
      </c>
      <c r="D7501" s="8" t="s">
        <v>79</v>
      </c>
      <c r="E7501" s="70" t="s">
        <v>91</v>
      </c>
      <c r="F7501" s="29">
        <v>4007</v>
      </c>
      <c r="G7501" s="29">
        <v>0</v>
      </c>
      <c r="H7501" s="29">
        <v>0</v>
      </c>
    </row>
    <row r="7502" spans="1:8" x14ac:dyDescent="0.4">
      <c r="A7502">
        <v>1996</v>
      </c>
      <c r="B7502" s="8" t="s">
        <v>445</v>
      </c>
      <c r="C7502" s="8" t="s">
        <v>714</v>
      </c>
      <c r="D7502" s="8" t="s">
        <v>93</v>
      </c>
      <c r="E7502" s="70" t="s">
        <v>92</v>
      </c>
      <c r="F7502" s="29">
        <v>25</v>
      </c>
      <c r="G7502" s="29">
        <v>0</v>
      </c>
      <c r="H7502" s="29">
        <v>0</v>
      </c>
    </row>
    <row r="7503" spans="1:8" x14ac:dyDescent="0.4">
      <c r="A7503">
        <v>1996</v>
      </c>
      <c r="B7503" s="8" t="s">
        <v>446</v>
      </c>
      <c r="C7503" s="8" t="s">
        <v>714</v>
      </c>
      <c r="D7503" s="8" t="s">
        <v>93</v>
      </c>
      <c r="E7503" s="70" t="s">
        <v>94</v>
      </c>
      <c r="F7503" s="29">
        <v>254</v>
      </c>
      <c r="G7503" s="29">
        <v>0</v>
      </c>
      <c r="H7503" s="29">
        <v>0</v>
      </c>
    </row>
    <row r="7504" spans="1:8" x14ac:dyDescent="0.4">
      <c r="A7504">
        <v>1996</v>
      </c>
      <c r="B7504" s="8" t="s">
        <v>447</v>
      </c>
      <c r="C7504" s="8" t="s">
        <v>714</v>
      </c>
      <c r="D7504" s="8" t="s">
        <v>93</v>
      </c>
      <c r="E7504" s="70" t="s">
        <v>40</v>
      </c>
      <c r="F7504" s="29">
        <v>26</v>
      </c>
      <c r="G7504" s="29">
        <v>0</v>
      </c>
      <c r="H7504" s="29">
        <v>0</v>
      </c>
    </row>
    <row r="7505" spans="1:8" x14ac:dyDescent="0.4">
      <c r="A7505">
        <v>1996</v>
      </c>
      <c r="B7505" s="8" t="s">
        <v>448</v>
      </c>
      <c r="C7505" s="8" t="s">
        <v>714</v>
      </c>
      <c r="D7505" s="8" t="s">
        <v>93</v>
      </c>
      <c r="E7505" s="70" t="s">
        <v>95</v>
      </c>
      <c r="F7505" s="29">
        <v>32</v>
      </c>
      <c r="G7505" s="29">
        <v>0</v>
      </c>
      <c r="H7505" s="29">
        <v>0</v>
      </c>
    </row>
    <row r="7506" spans="1:8" x14ac:dyDescent="0.4">
      <c r="A7506">
        <v>1996</v>
      </c>
      <c r="B7506" s="8" t="s">
        <v>449</v>
      </c>
      <c r="C7506" s="8" t="s">
        <v>714</v>
      </c>
      <c r="D7506" s="8" t="s">
        <v>93</v>
      </c>
      <c r="E7506" s="70" t="s">
        <v>96</v>
      </c>
      <c r="F7506" s="29">
        <v>32</v>
      </c>
      <c r="G7506" s="29">
        <v>0</v>
      </c>
      <c r="H7506" s="29">
        <v>0</v>
      </c>
    </row>
    <row r="7507" spans="1:8" x14ac:dyDescent="0.4">
      <c r="A7507">
        <v>1996</v>
      </c>
      <c r="B7507" s="8" t="s">
        <v>450</v>
      </c>
      <c r="C7507" s="8" t="s">
        <v>714</v>
      </c>
      <c r="D7507" s="8" t="s">
        <v>93</v>
      </c>
      <c r="E7507" s="70" t="s">
        <v>97</v>
      </c>
      <c r="F7507" s="29">
        <v>27</v>
      </c>
      <c r="G7507" s="29">
        <v>0</v>
      </c>
      <c r="H7507" s="29">
        <v>0</v>
      </c>
    </row>
    <row r="7508" spans="1:8" x14ac:dyDescent="0.4">
      <c r="A7508">
        <v>1996</v>
      </c>
      <c r="B7508" s="8" t="s">
        <v>451</v>
      </c>
      <c r="C7508" s="8" t="s">
        <v>714</v>
      </c>
      <c r="D7508" s="8" t="s">
        <v>93</v>
      </c>
      <c r="E7508" s="70" t="s">
        <v>34</v>
      </c>
      <c r="F7508" s="29">
        <v>15</v>
      </c>
      <c r="G7508" s="29">
        <v>0</v>
      </c>
      <c r="H7508" s="29">
        <v>0</v>
      </c>
    </row>
    <row r="7509" spans="1:8" x14ac:dyDescent="0.4">
      <c r="A7509">
        <v>1996</v>
      </c>
      <c r="B7509" s="8" t="s">
        <v>452</v>
      </c>
      <c r="C7509" s="8" t="s">
        <v>714</v>
      </c>
      <c r="D7509" s="8" t="s">
        <v>93</v>
      </c>
      <c r="E7509" s="70" t="s">
        <v>98</v>
      </c>
      <c r="F7509" s="29">
        <v>520</v>
      </c>
      <c r="G7509" s="29">
        <v>0</v>
      </c>
      <c r="H7509" s="29">
        <v>0</v>
      </c>
    </row>
    <row r="7510" spans="1:8" x14ac:dyDescent="0.4">
      <c r="A7510">
        <v>1996</v>
      </c>
      <c r="B7510" s="8" t="s">
        <v>453</v>
      </c>
      <c r="C7510" s="8" t="s">
        <v>714</v>
      </c>
      <c r="D7510" s="8" t="s">
        <v>93</v>
      </c>
      <c r="E7510" s="70" t="s">
        <v>99</v>
      </c>
      <c r="F7510" s="29">
        <v>96</v>
      </c>
      <c r="G7510" s="29">
        <v>0</v>
      </c>
      <c r="H7510" s="29">
        <v>0</v>
      </c>
    </row>
    <row r="7511" spans="1:8" x14ac:dyDescent="0.4">
      <c r="A7511">
        <v>1996</v>
      </c>
      <c r="B7511" s="8" t="s">
        <v>454</v>
      </c>
      <c r="C7511" s="8" t="s">
        <v>715</v>
      </c>
      <c r="D7511" s="8" t="s">
        <v>101</v>
      </c>
      <c r="E7511" s="70" t="s">
        <v>100</v>
      </c>
      <c r="F7511" s="29">
        <v>21</v>
      </c>
      <c r="G7511" s="29">
        <v>0</v>
      </c>
      <c r="H7511" s="29">
        <v>0</v>
      </c>
    </row>
    <row r="7512" spans="1:8" x14ac:dyDescent="0.4">
      <c r="A7512">
        <v>1996</v>
      </c>
      <c r="B7512" s="8" t="s">
        <v>455</v>
      </c>
      <c r="C7512" s="8" t="s">
        <v>715</v>
      </c>
      <c r="D7512" s="8" t="s">
        <v>101</v>
      </c>
      <c r="E7512" s="70" t="s">
        <v>102</v>
      </c>
      <c r="F7512" s="29">
        <v>19</v>
      </c>
      <c r="G7512" s="29">
        <v>0</v>
      </c>
      <c r="H7512" s="29">
        <v>0</v>
      </c>
    </row>
    <row r="7513" spans="1:8" x14ac:dyDescent="0.4">
      <c r="A7513">
        <v>1996</v>
      </c>
      <c r="B7513" s="8" t="s">
        <v>456</v>
      </c>
      <c r="C7513" s="8" t="s">
        <v>715</v>
      </c>
      <c r="D7513" s="8" t="s">
        <v>101</v>
      </c>
      <c r="E7513" s="70" t="s">
        <v>103</v>
      </c>
      <c r="F7513" s="29">
        <v>13</v>
      </c>
      <c r="G7513" s="29">
        <v>0</v>
      </c>
      <c r="H7513" s="29">
        <v>0</v>
      </c>
    </row>
    <row r="7514" spans="1:8" x14ac:dyDescent="0.4">
      <c r="A7514">
        <v>1996</v>
      </c>
      <c r="B7514" s="8" t="s">
        <v>457</v>
      </c>
      <c r="C7514" s="8" t="s">
        <v>715</v>
      </c>
      <c r="D7514" s="8" t="s">
        <v>101</v>
      </c>
      <c r="E7514" s="70" t="s">
        <v>104</v>
      </c>
      <c r="F7514" s="29">
        <v>340</v>
      </c>
      <c r="G7514" s="29">
        <v>0</v>
      </c>
      <c r="H7514" s="29">
        <v>0</v>
      </c>
    </row>
    <row r="7515" spans="1:8" x14ac:dyDescent="0.4">
      <c r="A7515">
        <v>1996</v>
      </c>
      <c r="B7515" s="8" t="s">
        <v>458</v>
      </c>
      <c r="C7515" s="8" t="s">
        <v>716</v>
      </c>
      <c r="D7515" s="8" t="s">
        <v>129</v>
      </c>
      <c r="E7515" s="70" t="s">
        <v>128</v>
      </c>
      <c r="F7515" s="29">
        <v>122</v>
      </c>
      <c r="G7515" s="29">
        <v>0</v>
      </c>
      <c r="H7515" s="29">
        <v>0</v>
      </c>
    </row>
    <row r="7516" spans="1:8" x14ac:dyDescent="0.4">
      <c r="A7516">
        <v>1996</v>
      </c>
      <c r="B7516" s="8" t="s">
        <v>459</v>
      </c>
      <c r="C7516" s="8" t="s">
        <v>716</v>
      </c>
      <c r="D7516" s="8" t="s">
        <v>129</v>
      </c>
      <c r="E7516" s="70" t="s">
        <v>36</v>
      </c>
      <c r="F7516" s="29">
        <v>27</v>
      </c>
      <c r="G7516" s="29">
        <v>0</v>
      </c>
      <c r="H7516" s="29">
        <v>0</v>
      </c>
    </row>
    <row r="7517" spans="1:8" x14ac:dyDescent="0.4">
      <c r="A7517">
        <v>1996</v>
      </c>
      <c r="B7517" s="8" t="s">
        <v>460</v>
      </c>
      <c r="C7517" s="8" t="s">
        <v>716</v>
      </c>
      <c r="D7517" s="8" t="s">
        <v>129</v>
      </c>
      <c r="E7517" s="70" t="s">
        <v>130</v>
      </c>
      <c r="F7517" s="29">
        <v>48</v>
      </c>
      <c r="G7517" s="29">
        <v>0</v>
      </c>
      <c r="H7517" s="29">
        <v>0</v>
      </c>
    </row>
    <row r="7518" spans="1:8" x14ac:dyDescent="0.4">
      <c r="A7518">
        <v>1996</v>
      </c>
      <c r="B7518" s="8" t="s">
        <v>461</v>
      </c>
      <c r="C7518" s="8" t="s">
        <v>716</v>
      </c>
      <c r="D7518" s="8" t="s">
        <v>129</v>
      </c>
      <c r="E7518" s="70" t="s">
        <v>131</v>
      </c>
      <c r="F7518" s="29">
        <v>20</v>
      </c>
      <c r="G7518" s="29">
        <v>0</v>
      </c>
      <c r="H7518" s="29">
        <v>0</v>
      </c>
    </row>
    <row r="7519" spans="1:8" x14ac:dyDescent="0.4">
      <c r="A7519">
        <v>1996</v>
      </c>
      <c r="B7519" s="8" t="s">
        <v>462</v>
      </c>
      <c r="C7519" s="8" t="s">
        <v>716</v>
      </c>
      <c r="D7519" s="8" t="s">
        <v>129</v>
      </c>
      <c r="E7519" s="70" t="s">
        <v>132</v>
      </c>
      <c r="F7519" s="29">
        <v>609</v>
      </c>
      <c r="G7519" s="29">
        <v>0</v>
      </c>
      <c r="H7519" s="29">
        <v>0</v>
      </c>
    </row>
    <row r="7520" spans="1:8" x14ac:dyDescent="0.4">
      <c r="A7520">
        <v>1996</v>
      </c>
      <c r="B7520" s="8" t="s">
        <v>463</v>
      </c>
      <c r="C7520" s="8" t="s">
        <v>716</v>
      </c>
      <c r="D7520" s="8" t="s">
        <v>129</v>
      </c>
      <c r="E7520" s="70" t="s">
        <v>133</v>
      </c>
      <c r="F7520" s="29">
        <v>47</v>
      </c>
      <c r="G7520" s="29">
        <v>0</v>
      </c>
      <c r="H7520" s="29">
        <v>0</v>
      </c>
    </row>
    <row r="7521" spans="1:8" x14ac:dyDescent="0.4">
      <c r="A7521">
        <v>1996</v>
      </c>
      <c r="B7521" s="8" t="s">
        <v>464</v>
      </c>
      <c r="C7521" s="8" t="s">
        <v>716</v>
      </c>
      <c r="D7521" s="8" t="s">
        <v>129</v>
      </c>
      <c r="E7521" s="70" t="s">
        <v>134</v>
      </c>
      <c r="F7521" s="29">
        <v>59</v>
      </c>
      <c r="G7521" s="29">
        <v>0</v>
      </c>
      <c r="H7521" s="29">
        <v>0</v>
      </c>
    </row>
    <row r="7522" spans="1:8" x14ac:dyDescent="0.4">
      <c r="A7522">
        <v>1996</v>
      </c>
      <c r="B7522" s="8" t="s">
        <v>465</v>
      </c>
      <c r="C7522" s="8" t="s">
        <v>716</v>
      </c>
      <c r="D7522" s="8" t="s">
        <v>129</v>
      </c>
      <c r="E7522" s="70" t="s">
        <v>135</v>
      </c>
      <c r="F7522" s="29">
        <v>19</v>
      </c>
      <c r="G7522" s="29">
        <v>0</v>
      </c>
      <c r="H7522" s="29">
        <v>0</v>
      </c>
    </row>
    <row r="7523" spans="1:8" x14ac:dyDescent="0.4">
      <c r="A7523">
        <v>1996</v>
      </c>
      <c r="B7523" s="8" t="s">
        <v>466</v>
      </c>
      <c r="C7523" s="8" t="s">
        <v>716</v>
      </c>
      <c r="D7523" s="8" t="s">
        <v>129</v>
      </c>
      <c r="E7523" s="70" t="s">
        <v>94</v>
      </c>
      <c r="F7523" s="29">
        <v>58</v>
      </c>
      <c r="G7523" s="29">
        <v>0</v>
      </c>
      <c r="H7523" s="29">
        <v>0</v>
      </c>
    </row>
    <row r="7524" spans="1:8" x14ac:dyDescent="0.4">
      <c r="A7524">
        <v>1996</v>
      </c>
      <c r="B7524" s="8" t="s">
        <v>467</v>
      </c>
      <c r="C7524" s="8" t="s">
        <v>716</v>
      </c>
      <c r="D7524" s="8" t="s">
        <v>129</v>
      </c>
      <c r="E7524" s="70" t="s">
        <v>136</v>
      </c>
      <c r="F7524" s="29">
        <v>110</v>
      </c>
      <c r="G7524" s="29">
        <v>0</v>
      </c>
      <c r="H7524" s="29">
        <v>0</v>
      </c>
    </row>
    <row r="7525" spans="1:8" x14ac:dyDescent="0.4">
      <c r="A7525">
        <v>1996</v>
      </c>
      <c r="B7525" s="8" t="s">
        <v>468</v>
      </c>
      <c r="C7525" s="8" t="s">
        <v>716</v>
      </c>
      <c r="D7525" s="8" t="s">
        <v>129</v>
      </c>
      <c r="E7525" s="70" t="s">
        <v>137</v>
      </c>
      <c r="F7525" s="29">
        <v>25</v>
      </c>
      <c r="G7525" s="29">
        <v>0</v>
      </c>
      <c r="H7525" s="29">
        <v>0</v>
      </c>
    </row>
    <row r="7526" spans="1:8" x14ac:dyDescent="0.4">
      <c r="A7526">
        <v>1996</v>
      </c>
      <c r="B7526" s="8" t="s">
        <v>469</v>
      </c>
      <c r="C7526" s="8" t="s">
        <v>716</v>
      </c>
      <c r="D7526" s="8" t="s">
        <v>129</v>
      </c>
      <c r="E7526" s="70" t="s">
        <v>138</v>
      </c>
      <c r="F7526" s="29">
        <v>66</v>
      </c>
      <c r="G7526" s="29">
        <v>0</v>
      </c>
      <c r="H7526" s="29">
        <v>0</v>
      </c>
    </row>
    <row r="7527" spans="1:8" x14ac:dyDescent="0.4">
      <c r="A7527">
        <v>1996</v>
      </c>
      <c r="B7527" s="8" t="s">
        <v>470</v>
      </c>
      <c r="C7527" s="8" t="s">
        <v>716</v>
      </c>
      <c r="D7527" s="8" t="s">
        <v>129</v>
      </c>
      <c r="E7527" s="70" t="s">
        <v>139</v>
      </c>
      <c r="F7527" s="29">
        <v>56</v>
      </c>
      <c r="G7527" s="29">
        <v>0</v>
      </c>
      <c r="H7527" s="29">
        <v>0</v>
      </c>
    </row>
    <row r="7528" spans="1:8" x14ac:dyDescent="0.4">
      <c r="A7528">
        <v>1996</v>
      </c>
      <c r="B7528" s="8" t="s">
        <v>471</v>
      </c>
      <c r="C7528" s="8" t="s">
        <v>716</v>
      </c>
      <c r="D7528" s="8" t="s">
        <v>129</v>
      </c>
      <c r="E7528" s="70" t="s">
        <v>85</v>
      </c>
      <c r="F7528" s="29">
        <v>852</v>
      </c>
      <c r="G7528" s="29">
        <v>0</v>
      </c>
      <c r="H7528" s="29">
        <v>0</v>
      </c>
    </row>
    <row r="7529" spans="1:8" x14ac:dyDescent="0.4">
      <c r="A7529">
        <v>1996</v>
      </c>
      <c r="B7529" s="8" t="s">
        <v>472</v>
      </c>
      <c r="C7529" s="8" t="s">
        <v>716</v>
      </c>
      <c r="D7529" s="8" t="s">
        <v>129</v>
      </c>
      <c r="E7529" s="70" t="s">
        <v>140</v>
      </c>
      <c r="F7529" s="29">
        <v>60</v>
      </c>
      <c r="G7529" s="29">
        <v>0</v>
      </c>
      <c r="H7529" s="29">
        <v>0</v>
      </c>
    </row>
    <row r="7530" spans="1:8" x14ac:dyDescent="0.4">
      <c r="A7530">
        <v>1996</v>
      </c>
      <c r="B7530" s="8" t="s">
        <v>473</v>
      </c>
      <c r="C7530" s="8" t="s">
        <v>716</v>
      </c>
      <c r="D7530" s="8" t="s">
        <v>129</v>
      </c>
      <c r="E7530" s="70" t="s">
        <v>141</v>
      </c>
      <c r="F7530" s="29">
        <v>3</v>
      </c>
      <c r="G7530" s="29">
        <v>0</v>
      </c>
      <c r="H7530" s="29">
        <v>0</v>
      </c>
    </row>
    <row r="7531" spans="1:8" x14ac:dyDescent="0.4">
      <c r="A7531">
        <v>1996</v>
      </c>
      <c r="B7531" s="8" t="s">
        <v>474</v>
      </c>
      <c r="C7531" s="8" t="s">
        <v>716</v>
      </c>
      <c r="D7531" s="8" t="s">
        <v>129</v>
      </c>
      <c r="E7531" s="70" t="s">
        <v>143</v>
      </c>
      <c r="F7531" s="29">
        <v>33</v>
      </c>
      <c r="G7531" s="29">
        <v>0</v>
      </c>
      <c r="H7531" s="29">
        <v>0</v>
      </c>
    </row>
    <row r="7532" spans="1:8" x14ac:dyDescent="0.4">
      <c r="A7532">
        <v>1996</v>
      </c>
      <c r="B7532" s="8" t="s">
        <v>475</v>
      </c>
      <c r="C7532" s="8" t="s">
        <v>716</v>
      </c>
      <c r="D7532" s="8" t="s">
        <v>129</v>
      </c>
      <c r="E7532" s="70" t="s">
        <v>21</v>
      </c>
      <c r="F7532" s="29">
        <v>23</v>
      </c>
      <c r="G7532" s="29">
        <v>0</v>
      </c>
      <c r="H7532" s="29">
        <v>0</v>
      </c>
    </row>
    <row r="7533" spans="1:8" x14ac:dyDescent="0.4">
      <c r="A7533">
        <v>1996</v>
      </c>
      <c r="B7533" s="8" t="s">
        <v>476</v>
      </c>
      <c r="C7533" s="8" t="s">
        <v>716</v>
      </c>
      <c r="D7533" s="8" t="s">
        <v>129</v>
      </c>
      <c r="E7533" s="70" t="s">
        <v>144</v>
      </c>
      <c r="F7533" s="29">
        <v>33</v>
      </c>
      <c r="G7533" s="29">
        <v>0</v>
      </c>
      <c r="H7533" s="29">
        <v>0</v>
      </c>
    </row>
    <row r="7534" spans="1:8" x14ac:dyDescent="0.4">
      <c r="A7534">
        <v>1996</v>
      </c>
      <c r="B7534" s="8" t="s">
        <v>477</v>
      </c>
      <c r="C7534" s="8" t="s">
        <v>716</v>
      </c>
      <c r="D7534" s="8" t="s">
        <v>129</v>
      </c>
      <c r="E7534" s="70" t="s">
        <v>145</v>
      </c>
      <c r="F7534" s="29">
        <v>85</v>
      </c>
      <c r="G7534" s="29">
        <v>0</v>
      </c>
      <c r="H7534" s="29">
        <v>0</v>
      </c>
    </row>
    <row r="7535" spans="1:8" x14ac:dyDescent="0.4">
      <c r="A7535">
        <v>1996</v>
      </c>
      <c r="B7535" s="8" t="s">
        <v>478</v>
      </c>
      <c r="C7535" s="8" t="s">
        <v>716</v>
      </c>
      <c r="D7535" s="8" t="s">
        <v>129</v>
      </c>
      <c r="E7535" s="70" t="s">
        <v>51</v>
      </c>
      <c r="F7535" s="29">
        <v>21</v>
      </c>
      <c r="G7535" s="29">
        <v>0</v>
      </c>
      <c r="H7535" s="29">
        <v>0</v>
      </c>
    </row>
    <row r="7536" spans="1:8" x14ac:dyDescent="0.4">
      <c r="A7536">
        <v>1996</v>
      </c>
      <c r="B7536" s="8" t="s">
        <v>479</v>
      </c>
      <c r="C7536" s="8" t="s">
        <v>716</v>
      </c>
      <c r="D7536" s="8" t="s">
        <v>129</v>
      </c>
      <c r="E7536" s="70" t="s">
        <v>146</v>
      </c>
      <c r="F7536" s="29">
        <v>19</v>
      </c>
      <c r="G7536" s="29">
        <v>0</v>
      </c>
      <c r="H7536" s="29">
        <v>0</v>
      </c>
    </row>
    <row r="7537" spans="1:8" x14ac:dyDescent="0.4">
      <c r="A7537">
        <v>1996</v>
      </c>
      <c r="B7537" s="8" t="s">
        <v>480</v>
      </c>
      <c r="C7537" s="8" t="s">
        <v>716</v>
      </c>
      <c r="D7537" s="8" t="s">
        <v>129</v>
      </c>
      <c r="E7537" s="70" t="s">
        <v>147</v>
      </c>
      <c r="F7537" s="29">
        <v>41</v>
      </c>
      <c r="G7537" s="29">
        <v>0</v>
      </c>
      <c r="H7537" s="29">
        <v>0</v>
      </c>
    </row>
    <row r="7538" spans="1:8" x14ac:dyDescent="0.4">
      <c r="A7538">
        <v>1996</v>
      </c>
      <c r="B7538" s="8" t="s">
        <v>481</v>
      </c>
      <c r="C7538" s="8" t="s">
        <v>716</v>
      </c>
      <c r="D7538" s="8" t="s">
        <v>129</v>
      </c>
      <c r="E7538" s="70" t="s">
        <v>148</v>
      </c>
      <c r="F7538" s="29">
        <v>25</v>
      </c>
      <c r="G7538" s="29">
        <v>0</v>
      </c>
      <c r="H7538" s="29">
        <v>0</v>
      </c>
    </row>
    <row r="7539" spans="1:8" x14ac:dyDescent="0.4">
      <c r="A7539">
        <v>1996</v>
      </c>
      <c r="B7539" s="8" t="s">
        <v>482</v>
      </c>
      <c r="C7539" s="8" t="s">
        <v>716</v>
      </c>
      <c r="D7539" s="8" t="s">
        <v>129</v>
      </c>
      <c r="E7539" s="70" t="s">
        <v>54</v>
      </c>
      <c r="F7539" s="29">
        <v>82</v>
      </c>
      <c r="G7539" s="29">
        <v>0</v>
      </c>
      <c r="H7539" s="29">
        <v>0</v>
      </c>
    </row>
    <row r="7540" spans="1:8" x14ac:dyDescent="0.4">
      <c r="A7540">
        <v>1996</v>
      </c>
      <c r="B7540" s="8" t="s">
        <v>483</v>
      </c>
      <c r="C7540" s="8" t="s">
        <v>717</v>
      </c>
      <c r="D7540" s="8" t="s">
        <v>150</v>
      </c>
      <c r="E7540" s="70" t="s">
        <v>149</v>
      </c>
      <c r="F7540" s="29">
        <v>55</v>
      </c>
      <c r="G7540" s="29">
        <v>0</v>
      </c>
      <c r="H7540" s="29">
        <v>0</v>
      </c>
    </row>
    <row r="7541" spans="1:8" x14ac:dyDescent="0.4">
      <c r="A7541">
        <v>1996</v>
      </c>
      <c r="B7541" s="8" t="s">
        <v>484</v>
      </c>
      <c r="C7541" s="8" t="s">
        <v>717</v>
      </c>
      <c r="D7541" s="8" t="s">
        <v>150</v>
      </c>
      <c r="E7541" s="70" t="s">
        <v>151</v>
      </c>
      <c r="F7541" s="29">
        <v>32</v>
      </c>
      <c r="G7541" s="29">
        <v>0</v>
      </c>
      <c r="H7541" s="29">
        <v>0</v>
      </c>
    </row>
    <row r="7542" spans="1:8" x14ac:dyDescent="0.4">
      <c r="A7542">
        <v>1996</v>
      </c>
      <c r="B7542" s="8" t="s">
        <v>485</v>
      </c>
      <c r="C7542" s="8" t="s">
        <v>717</v>
      </c>
      <c r="D7542" s="8" t="s">
        <v>150</v>
      </c>
      <c r="E7542" s="70" t="s">
        <v>152</v>
      </c>
      <c r="F7542" s="29">
        <v>41</v>
      </c>
      <c r="G7542" s="29">
        <v>0</v>
      </c>
      <c r="H7542" s="29">
        <v>0</v>
      </c>
    </row>
    <row r="7543" spans="1:8" x14ac:dyDescent="0.4">
      <c r="A7543">
        <v>1996</v>
      </c>
      <c r="B7543" s="8" t="s">
        <v>486</v>
      </c>
      <c r="C7543" s="8" t="s">
        <v>717</v>
      </c>
      <c r="D7543" s="8" t="s">
        <v>150</v>
      </c>
      <c r="E7543" s="70" t="s">
        <v>153</v>
      </c>
      <c r="F7543" s="29">
        <v>24</v>
      </c>
      <c r="G7543" s="29">
        <v>0</v>
      </c>
      <c r="H7543" s="29">
        <v>0</v>
      </c>
    </row>
    <row r="7544" spans="1:8" x14ac:dyDescent="0.4">
      <c r="A7544">
        <v>1996</v>
      </c>
      <c r="B7544" s="8" t="s">
        <v>487</v>
      </c>
      <c r="C7544" s="8" t="s">
        <v>717</v>
      </c>
      <c r="D7544" s="8" t="s">
        <v>150</v>
      </c>
      <c r="E7544" s="70" t="s">
        <v>154</v>
      </c>
      <c r="F7544" s="29">
        <v>548</v>
      </c>
      <c r="G7544" s="29">
        <v>0</v>
      </c>
      <c r="H7544" s="29">
        <v>0</v>
      </c>
    </row>
    <row r="7545" spans="1:8" x14ac:dyDescent="0.4">
      <c r="A7545">
        <v>1996</v>
      </c>
      <c r="B7545" s="8" t="s">
        <v>488</v>
      </c>
      <c r="C7545" s="8" t="s">
        <v>717</v>
      </c>
      <c r="D7545" s="8" t="s">
        <v>150</v>
      </c>
      <c r="E7545" s="70" t="s">
        <v>155</v>
      </c>
      <c r="F7545" s="29">
        <v>90</v>
      </c>
      <c r="G7545" s="29">
        <v>0</v>
      </c>
      <c r="H7545" s="29">
        <v>0</v>
      </c>
    </row>
    <row r="7546" spans="1:8" x14ac:dyDescent="0.4">
      <c r="A7546">
        <v>1996</v>
      </c>
      <c r="B7546" s="8" t="s">
        <v>489</v>
      </c>
      <c r="C7546" s="8" t="s">
        <v>717</v>
      </c>
      <c r="D7546" s="8" t="s">
        <v>150</v>
      </c>
      <c r="E7546" s="70" t="s">
        <v>156</v>
      </c>
      <c r="F7546" s="29">
        <v>110</v>
      </c>
      <c r="G7546" s="29">
        <v>0</v>
      </c>
      <c r="H7546" s="29">
        <v>0</v>
      </c>
    </row>
    <row r="7547" spans="1:8" x14ac:dyDescent="0.4">
      <c r="A7547">
        <v>1996</v>
      </c>
      <c r="B7547" s="8" t="s">
        <v>490</v>
      </c>
      <c r="C7547" s="8" t="s">
        <v>717</v>
      </c>
      <c r="D7547" s="8" t="s">
        <v>150</v>
      </c>
      <c r="E7547" s="70" t="s">
        <v>85</v>
      </c>
      <c r="F7547" s="29">
        <v>562</v>
      </c>
      <c r="G7547" s="29">
        <v>0</v>
      </c>
      <c r="H7547" s="29">
        <v>0</v>
      </c>
    </row>
    <row r="7548" spans="1:8" x14ac:dyDescent="0.4">
      <c r="A7548">
        <v>1996</v>
      </c>
      <c r="B7548" s="8" t="s">
        <v>491</v>
      </c>
      <c r="C7548" s="8" t="s">
        <v>717</v>
      </c>
      <c r="D7548" s="8" t="s">
        <v>150</v>
      </c>
      <c r="E7548" s="70" t="s">
        <v>157</v>
      </c>
      <c r="F7548" s="29">
        <v>294</v>
      </c>
      <c r="G7548" s="29">
        <v>0</v>
      </c>
      <c r="H7548" s="29">
        <v>0</v>
      </c>
    </row>
    <row r="7549" spans="1:8" x14ac:dyDescent="0.4">
      <c r="A7549">
        <v>1996</v>
      </c>
      <c r="B7549" s="8" t="s">
        <v>492</v>
      </c>
      <c r="C7549" s="8" t="s">
        <v>717</v>
      </c>
      <c r="D7549" s="8" t="s">
        <v>150</v>
      </c>
      <c r="E7549" s="70" t="s">
        <v>158</v>
      </c>
      <c r="F7549" s="29">
        <v>36</v>
      </c>
      <c r="G7549" s="29">
        <v>0</v>
      </c>
      <c r="H7549" s="29">
        <v>0</v>
      </c>
    </row>
    <row r="7550" spans="1:8" x14ac:dyDescent="0.4">
      <c r="A7550">
        <v>1996</v>
      </c>
      <c r="B7550" s="8" t="s">
        <v>493</v>
      </c>
      <c r="C7550" s="8" t="s">
        <v>717</v>
      </c>
      <c r="D7550" s="8" t="s">
        <v>150</v>
      </c>
      <c r="E7550" s="70" t="s">
        <v>159</v>
      </c>
      <c r="F7550" s="29">
        <v>113</v>
      </c>
      <c r="G7550" s="29">
        <v>0</v>
      </c>
      <c r="H7550" s="29">
        <v>0</v>
      </c>
    </row>
    <row r="7551" spans="1:8" x14ac:dyDescent="0.4">
      <c r="A7551">
        <v>1996</v>
      </c>
      <c r="B7551" s="8" t="s">
        <v>494</v>
      </c>
      <c r="C7551" s="8" t="s">
        <v>717</v>
      </c>
      <c r="D7551" s="8" t="s">
        <v>150</v>
      </c>
      <c r="E7551" s="70" t="s">
        <v>76</v>
      </c>
      <c r="F7551" s="29">
        <v>581</v>
      </c>
      <c r="G7551" s="29">
        <v>0</v>
      </c>
      <c r="H7551" s="29">
        <v>0</v>
      </c>
    </row>
    <row r="7552" spans="1:8" x14ac:dyDescent="0.4">
      <c r="A7552">
        <v>1996</v>
      </c>
      <c r="B7552" s="8" t="s">
        <v>495</v>
      </c>
      <c r="C7552" s="8" t="s">
        <v>717</v>
      </c>
      <c r="D7552" s="8" t="s">
        <v>150</v>
      </c>
      <c r="E7552" s="70" t="s">
        <v>160</v>
      </c>
      <c r="F7552" s="29">
        <v>25</v>
      </c>
      <c r="G7552" s="29">
        <v>0</v>
      </c>
      <c r="H7552" s="29">
        <v>0</v>
      </c>
    </row>
    <row r="7553" spans="1:8" x14ac:dyDescent="0.4">
      <c r="A7553">
        <v>1996</v>
      </c>
      <c r="B7553" s="8" t="s">
        <v>496</v>
      </c>
      <c r="C7553" s="8" t="s">
        <v>717</v>
      </c>
      <c r="D7553" s="8" t="s">
        <v>150</v>
      </c>
      <c r="E7553" s="70" t="s">
        <v>161</v>
      </c>
      <c r="F7553" s="29">
        <v>47</v>
      </c>
      <c r="G7553" s="29">
        <v>0</v>
      </c>
      <c r="H7553" s="29">
        <v>0</v>
      </c>
    </row>
    <row r="7554" spans="1:8" x14ac:dyDescent="0.4">
      <c r="A7554">
        <v>1996</v>
      </c>
      <c r="B7554" s="8" t="s">
        <v>497</v>
      </c>
      <c r="C7554" s="8" t="s">
        <v>717</v>
      </c>
      <c r="D7554" s="8" t="s">
        <v>150</v>
      </c>
      <c r="E7554" s="70" t="s">
        <v>162</v>
      </c>
      <c r="F7554" s="29">
        <v>240</v>
      </c>
      <c r="G7554" s="29">
        <v>0</v>
      </c>
      <c r="H7554" s="29">
        <v>0</v>
      </c>
    </row>
    <row r="7555" spans="1:8" x14ac:dyDescent="0.4">
      <c r="A7555">
        <v>1996</v>
      </c>
      <c r="B7555" s="8" t="s">
        <v>498</v>
      </c>
      <c r="C7555" s="8" t="s">
        <v>718</v>
      </c>
      <c r="D7555" s="8" t="s">
        <v>164</v>
      </c>
      <c r="E7555" s="70" t="s">
        <v>163</v>
      </c>
      <c r="F7555" s="29">
        <v>161</v>
      </c>
      <c r="G7555" s="29">
        <v>0</v>
      </c>
      <c r="H7555" s="29">
        <v>0</v>
      </c>
    </row>
    <row r="7556" spans="1:8" x14ac:dyDescent="0.4">
      <c r="A7556">
        <v>1996</v>
      </c>
      <c r="B7556" s="8" t="s">
        <v>499</v>
      </c>
      <c r="C7556" s="8" t="s">
        <v>718</v>
      </c>
      <c r="D7556" s="8" t="s">
        <v>164</v>
      </c>
      <c r="E7556" s="70" t="s">
        <v>165</v>
      </c>
      <c r="F7556" s="29">
        <v>140</v>
      </c>
      <c r="G7556" s="29">
        <v>0</v>
      </c>
      <c r="H7556" s="29">
        <v>0</v>
      </c>
    </row>
    <row r="7557" spans="1:8" x14ac:dyDescent="0.4">
      <c r="A7557">
        <v>1996</v>
      </c>
      <c r="B7557" s="8" t="s">
        <v>500</v>
      </c>
      <c r="C7557" s="8" t="s">
        <v>718</v>
      </c>
      <c r="D7557" s="8" t="s">
        <v>164</v>
      </c>
      <c r="E7557" s="70" t="s">
        <v>166</v>
      </c>
      <c r="F7557" s="29">
        <v>4666</v>
      </c>
      <c r="G7557" s="29">
        <v>0</v>
      </c>
      <c r="H7557" s="29">
        <v>0</v>
      </c>
    </row>
    <row r="7558" spans="1:8" x14ac:dyDescent="0.4">
      <c r="A7558">
        <v>1996</v>
      </c>
      <c r="B7558" s="8" t="s">
        <v>501</v>
      </c>
      <c r="C7558" s="8" t="s">
        <v>718</v>
      </c>
      <c r="D7558" s="8" t="s">
        <v>164</v>
      </c>
      <c r="E7558" s="70" t="s">
        <v>167</v>
      </c>
      <c r="F7558" s="29">
        <v>239</v>
      </c>
      <c r="G7558" s="29">
        <v>0</v>
      </c>
      <c r="H7558" s="29">
        <v>0</v>
      </c>
    </row>
    <row r="7559" spans="1:8" x14ac:dyDescent="0.4">
      <c r="A7559">
        <v>1996</v>
      </c>
      <c r="B7559" s="8" t="s">
        <v>502</v>
      </c>
      <c r="C7559" s="8" t="s">
        <v>718</v>
      </c>
      <c r="D7559" s="8" t="s">
        <v>164</v>
      </c>
      <c r="E7559" s="70" t="s">
        <v>168</v>
      </c>
      <c r="F7559" s="29">
        <v>445</v>
      </c>
      <c r="G7559" s="29">
        <v>0</v>
      </c>
      <c r="H7559" s="29">
        <v>0</v>
      </c>
    </row>
    <row r="7560" spans="1:8" x14ac:dyDescent="0.4">
      <c r="A7560">
        <v>1996</v>
      </c>
      <c r="B7560" s="8" t="s">
        <v>503</v>
      </c>
      <c r="C7560" s="8" t="s">
        <v>718</v>
      </c>
      <c r="D7560" s="8" t="s">
        <v>164</v>
      </c>
      <c r="E7560" s="70" t="s">
        <v>169</v>
      </c>
      <c r="F7560" s="29">
        <v>214</v>
      </c>
      <c r="G7560" s="29">
        <v>0</v>
      </c>
      <c r="H7560" s="29">
        <v>0</v>
      </c>
    </row>
    <row r="7561" spans="1:8" x14ac:dyDescent="0.4">
      <c r="A7561">
        <v>1996</v>
      </c>
      <c r="B7561" s="8" t="s">
        <v>504</v>
      </c>
      <c r="C7561" s="8" t="s">
        <v>718</v>
      </c>
      <c r="D7561" s="8" t="s">
        <v>164</v>
      </c>
      <c r="E7561" s="70" t="s">
        <v>170</v>
      </c>
      <c r="F7561" s="29">
        <v>73</v>
      </c>
      <c r="G7561" s="29">
        <v>0</v>
      </c>
      <c r="H7561" s="29">
        <v>0</v>
      </c>
    </row>
    <row r="7562" spans="1:8" x14ac:dyDescent="0.4">
      <c r="A7562">
        <v>1996</v>
      </c>
      <c r="B7562" s="8" t="s">
        <v>505</v>
      </c>
      <c r="C7562" s="8" t="s">
        <v>718</v>
      </c>
      <c r="D7562" s="8" t="s">
        <v>164</v>
      </c>
      <c r="E7562" s="70" t="s">
        <v>171</v>
      </c>
      <c r="F7562" s="29">
        <v>692</v>
      </c>
      <c r="G7562" s="29">
        <v>0</v>
      </c>
      <c r="H7562" s="29">
        <v>0</v>
      </c>
    </row>
    <row r="7563" spans="1:8" x14ac:dyDescent="0.4">
      <c r="A7563">
        <v>1996</v>
      </c>
      <c r="B7563" s="8" t="s">
        <v>506</v>
      </c>
      <c r="C7563" s="8" t="s">
        <v>718</v>
      </c>
      <c r="D7563" s="8" t="s">
        <v>164</v>
      </c>
      <c r="E7563" s="70" t="s">
        <v>53</v>
      </c>
      <c r="F7563" s="29">
        <v>117</v>
      </c>
      <c r="G7563" s="29">
        <v>0</v>
      </c>
      <c r="H7563" s="29">
        <v>0</v>
      </c>
    </row>
    <row r="7564" spans="1:8" x14ac:dyDescent="0.4">
      <c r="A7564">
        <v>1996</v>
      </c>
      <c r="B7564" s="8" t="s">
        <v>507</v>
      </c>
      <c r="C7564" s="8" t="s">
        <v>719</v>
      </c>
      <c r="D7564" s="8" t="s">
        <v>173</v>
      </c>
      <c r="E7564" s="70" t="s">
        <v>172</v>
      </c>
      <c r="F7564" s="29">
        <v>539</v>
      </c>
      <c r="G7564" s="29">
        <v>0</v>
      </c>
      <c r="H7564" s="29">
        <v>0</v>
      </c>
    </row>
    <row r="7565" spans="1:8" x14ac:dyDescent="0.4">
      <c r="A7565">
        <v>1996</v>
      </c>
      <c r="B7565" s="8" t="s">
        <v>508</v>
      </c>
      <c r="C7565" s="8" t="s">
        <v>719</v>
      </c>
      <c r="D7565" s="8" t="s">
        <v>173</v>
      </c>
      <c r="E7565" s="70" t="s">
        <v>174</v>
      </c>
      <c r="F7565" s="29">
        <v>46</v>
      </c>
      <c r="G7565" s="29">
        <v>0</v>
      </c>
      <c r="H7565" s="29">
        <v>0</v>
      </c>
    </row>
    <row r="7566" spans="1:8" x14ac:dyDescent="0.4">
      <c r="A7566">
        <v>1996</v>
      </c>
      <c r="B7566" s="8" t="s">
        <v>509</v>
      </c>
      <c r="C7566" s="8" t="s">
        <v>719</v>
      </c>
      <c r="D7566" s="8" t="s">
        <v>173</v>
      </c>
      <c r="E7566" s="70" t="s">
        <v>175</v>
      </c>
      <c r="F7566" s="29">
        <v>96</v>
      </c>
      <c r="G7566" s="29">
        <v>0</v>
      </c>
      <c r="H7566" s="29">
        <v>0</v>
      </c>
    </row>
    <row r="7567" spans="1:8" x14ac:dyDescent="0.4">
      <c r="A7567">
        <v>1996</v>
      </c>
      <c r="B7567" s="8" t="s">
        <v>510</v>
      </c>
      <c r="C7567" s="8" t="s">
        <v>719</v>
      </c>
      <c r="D7567" s="8" t="s">
        <v>173</v>
      </c>
      <c r="E7567" s="70" t="s">
        <v>176</v>
      </c>
      <c r="F7567" s="29">
        <v>29</v>
      </c>
      <c r="G7567" s="29">
        <v>0</v>
      </c>
      <c r="H7567" s="29">
        <v>0</v>
      </c>
    </row>
    <row r="7568" spans="1:8" x14ac:dyDescent="0.4">
      <c r="A7568">
        <v>1996</v>
      </c>
      <c r="B7568" s="8" t="s">
        <v>511</v>
      </c>
      <c r="C7568" s="8" t="s">
        <v>719</v>
      </c>
      <c r="D7568" s="8" t="s">
        <v>173</v>
      </c>
      <c r="E7568" s="70" t="s">
        <v>177</v>
      </c>
      <c r="F7568" s="29">
        <v>84</v>
      </c>
      <c r="G7568" s="29">
        <v>0</v>
      </c>
      <c r="H7568" s="29">
        <v>0</v>
      </c>
    </row>
    <row r="7569" spans="1:8" x14ac:dyDescent="0.4">
      <c r="A7569">
        <v>1996</v>
      </c>
      <c r="B7569" s="8" t="s">
        <v>512</v>
      </c>
      <c r="C7569" s="8" t="s">
        <v>719</v>
      </c>
      <c r="D7569" s="8" t="s">
        <v>173</v>
      </c>
      <c r="E7569" s="70" t="s">
        <v>178</v>
      </c>
      <c r="F7569" s="29">
        <v>224</v>
      </c>
      <c r="G7569" s="29">
        <v>0</v>
      </c>
      <c r="H7569" s="29">
        <v>0</v>
      </c>
    </row>
    <row r="7570" spans="1:8" x14ac:dyDescent="0.4">
      <c r="A7570">
        <v>1996</v>
      </c>
      <c r="B7570" s="8" t="s">
        <v>513</v>
      </c>
      <c r="C7570" s="8" t="s">
        <v>719</v>
      </c>
      <c r="D7570" s="8" t="s">
        <v>173</v>
      </c>
      <c r="E7570" s="70" t="s">
        <v>179</v>
      </c>
      <c r="F7570" s="29">
        <v>20</v>
      </c>
      <c r="G7570" s="29">
        <v>0</v>
      </c>
      <c r="H7570" s="29">
        <v>0</v>
      </c>
    </row>
    <row r="7571" spans="1:8" x14ac:dyDescent="0.4">
      <c r="A7571">
        <v>1996</v>
      </c>
      <c r="B7571" s="8" t="s">
        <v>514</v>
      </c>
      <c r="C7571" s="8" t="s">
        <v>719</v>
      </c>
      <c r="D7571" s="8" t="s">
        <v>173</v>
      </c>
      <c r="E7571" s="70" t="s">
        <v>180</v>
      </c>
      <c r="F7571" s="29">
        <v>104</v>
      </c>
      <c r="G7571" s="29">
        <v>0</v>
      </c>
      <c r="H7571" s="29">
        <v>0</v>
      </c>
    </row>
    <row r="7572" spans="1:8" x14ac:dyDescent="0.4">
      <c r="A7572">
        <v>1996</v>
      </c>
      <c r="B7572" s="8" t="s">
        <v>515</v>
      </c>
      <c r="C7572" s="8" t="s">
        <v>719</v>
      </c>
      <c r="D7572" s="8" t="s">
        <v>173</v>
      </c>
      <c r="E7572" s="70" t="s">
        <v>181</v>
      </c>
      <c r="F7572" s="29">
        <v>47</v>
      </c>
      <c r="G7572" s="29">
        <v>0</v>
      </c>
      <c r="H7572" s="29">
        <v>0</v>
      </c>
    </row>
    <row r="7573" spans="1:8" x14ac:dyDescent="0.4">
      <c r="A7573">
        <v>1996</v>
      </c>
      <c r="B7573" s="8" t="s">
        <v>516</v>
      </c>
      <c r="C7573" s="8" t="s">
        <v>719</v>
      </c>
      <c r="D7573" s="8" t="s">
        <v>173</v>
      </c>
      <c r="E7573" s="70" t="s">
        <v>182</v>
      </c>
      <c r="F7573" s="29">
        <v>57</v>
      </c>
      <c r="G7573" s="29">
        <v>0</v>
      </c>
      <c r="H7573" s="29">
        <v>0</v>
      </c>
    </row>
    <row r="7574" spans="1:8" x14ac:dyDescent="0.4">
      <c r="A7574">
        <v>1996</v>
      </c>
      <c r="B7574" s="8" t="s">
        <v>517</v>
      </c>
      <c r="C7574" s="8" t="s">
        <v>719</v>
      </c>
      <c r="D7574" s="8" t="s">
        <v>173</v>
      </c>
      <c r="E7574" s="70" t="s">
        <v>183</v>
      </c>
      <c r="F7574" s="29">
        <v>21</v>
      </c>
      <c r="G7574" s="29">
        <v>0</v>
      </c>
      <c r="H7574" s="29">
        <v>0</v>
      </c>
    </row>
    <row r="7575" spans="1:8" x14ac:dyDescent="0.4">
      <c r="A7575">
        <v>1996</v>
      </c>
      <c r="B7575" s="8" t="s">
        <v>518</v>
      </c>
      <c r="C7575" s="8" t="s">
        <v>719</v>
      </c>
      <c r="D7575" s="8" t="s">
        <v>173</v>
      </c>
      <c r="E7575" s="70" t="s">
        <v>44</v>
      </c>
      <c r="F7575" s="29">
        <v>1410</v>
      </c>
      <c r="G7575" s="29">
        <v>0</v>
      </c>
      <c r="H7575" s="29">
        <v>0</v>
      </c>
    </row>
    <row r="7576" spans="1:8" x14ac:dyDescent="0.4">
      <c r="A7576">
        <v>1996</v>
      </c>
      <c r="B7576" s="8" t="s">
        <v>519</v>
      </c>
      <c r="C7576" s="8" t="s">
        <v>719</v>
      </c>
      <c r="D7576" s="8" t="s">
        <v>173</v>
      </c>
      <c r="E7576" s="70" t="s">
        <v>85</v>
      </c>
      <c r="F7576" s="29">
        <v>87</v>
      </c>
      <c r="G7576" s="29">
        <v>0</v>
      </c>
      <c r="H7576" s="29">
        <v>0</v>
      </c>
    </row>
    <row r="7577" spans="1:8" x14ac:dyDescent="0.4">
      <c r="A7577">
        <v>1996</v>
      </c>
      <c r="B7577" s="8" t="s">
        <v>520</v>
      </c>
      <c r="C7577" s="8" t="s">
        <v>719</v>
      </c>
      <c r="D7577" s="8" t="s">
        <v>173</v>
      </c>
      <c r="E7577" s="70" t="s">
        <v>184</v>
      </c>
      <c r="F7577" s="29">
        <v>79</v>
      </c>
      <c r="G7577" s="29">
        <v>0</v>
      </c>
      <c r="H7577" s="29">
        <v>0</v>
      </c>
    </row>
    <row r="7578" spans="1:8" x14ac:dyDescent="0.4">
      <c r="A7578">
        <v>1996</v>
      </c>
      <c r="B7578" s="8" t="s">
        <v>521</v>
      </c>
      <c r="C7578" s="8" t="s">
        <v>719</v>
      </c>
      <c r="D7578" s="8" t="s">
        <v>173</v>
      </c>
      <c r="E7578" s="70" t="s">
        <v>185</v>
      </c>
      <c r="F7578" s="29">
        <v>6</v>
      </c>
      <c r="G7578" s="29">
        <v>0</v>
      </c>
      <c r="H7578" s="29">
        <v>0</v>
      </c>
    </row>
    <row r="7579" spans="1:8" x14ac:dyDescent="0.4">
      <c r="A7579">
        <v>1996</v>
      </c>
      <c r="B7579" s="8" t="s">
        <v>522</v>
      </c>
      <c r="C7579" s="8" t="s">
        <v>719</v>
      </c>
      <c r="D7579" s="8" t="s">
        <v>173</v>
      </c>
      <c r="E7579" s="70" t="s">
        <v>186</v>
      </c>
      <c r="F7579" s="29">
        <v>55</v>
      </c>
      <c r="G7579" s="29">
        <v>0</v>
      </c>
      <c r="H7579" s="29">
        <v>0</v>
      </c>
    </row>
    <row r="7580" spans="1:8" x14ac:dyDescent="0.4">
      <c r="A7580">
        <v>1996</v>
      </c>
      <c r="B7580" s="8" t="s">
        <v>523</v>
      </c>
      <c r="C7580" s="8" t="s">
        <v>719</v>
      </c>
      <c r="D7580" s="8" t="s">
        <v>173</v>
      </c>
      <c r="E7580" s="70" t="s">
        <v>187</v>
      </c>
      <c r="F7580" s="29">
        <v>76</v>
      </c>
      <c r="G7580" s="29">
        <v>0</v>
      </c>
      <c r="H7580" s="29">
        <v>0</v>
      </c>
    </row>
    <row r="7581" spans="1:8" x14ac:dyDescent="0.4">
      <c r="A7581">
        <v>1996</v>
      </c>
      <c r="B7581" s="8" t="s">
        <v>524</v>
      </c>
      <c r="C7581" s="8" t="s">
        <v>719</v>
      </c>
      <c r="D7581" s="8" t="s">
        <v>173</v>
      </c>
      <c r="E7581" s="70" t="s">
        <v>188</v>
      </c>
      <c r="F7581" s="29">
        <v>54</v>
      </c>
      <c r="G7581" s="29">
        <v>0</v>
      </c>
      <c r="H7581" s="29">
        <v>0</v>
      </c>
    </row>
    <row r="7582" spans="1:8" x14ac:dyDescent="0.4">
      <c r="A7582">
        <v>1996</v>
      </c>
      <c r="B7582" s="8" t="s">
        <v>525</v>
      </c>
      <c r="C7582" s="8" t="s">
        <v>719</v>
      </c>
      <c r="D7582" s="8" t="s">
        <v>173</v>
      </c>
      <c r="E7582" s="70" t="s">
        <v>189</v>
      </c>
      <c r="F7582" s="29">
        <v>47</v>
      </c>
      <c r="G7582" s="29">
        <v>0</v>
      </c>
      <c r="H7582" s="29">
        <v>0</v>
      </c>
    </row>
    <row r="7583" spans="1:8" x14ac:dyDescent="0.4">
      <c r="A7583">
        <v>1996</v>
      </c>
      <c r="B7583" s="8" t="s">
        <v>526</v>
      </c>
      <c r="C7583" s="8" t="s">
        <v>719</v>
      </c>
      <c r="D7583" s="8" t="s">
        <v>173</v>
      </c>
      <c r="E7583" s="70" t="s">
        <v>51</v>
      </c>
      <c r="F7583" s="29">
        <v>169</v>
      </c>
      <c r="G7583" s="29">
        <v>0</v>
      </c>
      <c r="H7583" s="29">
        <v>0</v>
      </c>
    </row>
    <row r="7584" spans="1:8" x14ac:dyDescent="0.4">
      <c r="A7584">
        <v>1996</v>
      </c>
      <c r="B7584" s="8" t="s">
        <v>527</v>
      </c>
      <c r="C7584" s="8" t="s">
        <v>719</v>
      </c>
      <c r="D7584" s="8" t="s">
        <v>173</v>
      </c>
      <c r="E7584" s="70" t="s">
        <v>52</v>
      </c>
      <c r="F7584" s="29">
        <v>183</v>
      </c>
      <c r="G7584" s="29">
        <v>0</v>
      </c>
      <c r="H7584" s="29">
        <v>0</v>
      </c>
    </row>
    <row r="7585" spans="1:8" x14ac:dyDescent="0.4">
      <c r="A7585">
        <v>1996</v>
      </c>
      <c r="B7585" s="8" t="s">
        <v>528</v>
      </c>
      <c r="C7585" s="8" t="s">
        <v>719</v>
      </c>
      <c r="D7585" s="8" t="s">
        <v>173</v>
      </c>
      <c r="E7585" s="70" t="s">
        <v>190</v>
      </c>
      <c r="F7585" s="29">
        <v>78</v>
      </c>
      <c r="G7585" s="29">
        <v>0</v>
      </c>
      <c r="H7585" s="29">
        <v>0</v>
      </c>
    </row>
    <row r="7586" spans="1:8" x14ac:dyDescent="0.4">
      <c r="A7586">
        <v>1996</v>
      </c>
      <c r="B7586" s="8" t="s">
        <v>529</v>
      </c>
      <c r="C7586" s="8" t="s">
        <v>719</v>
      </c>
      <c r="D7586" s="8" t="s">
        <v>173</v>
      </c>
      <c r="E7586" s="70" t="s">
        <v>191</v>
      </c>
      <c r="F7586" s="29">
        <v>41</v>
      </c>
      <c r="G7586" s="29">
        <v>0</v>
      </c>
      <c r="H7586" s="29">
        <v>0</v>
      </c>
    </row>
    <row r="7587" spans="1:8" x14ac:dyDescent="0.4">
      <c r="A7587">
        <v>1996</v>
      </c>
      <c r="B7587" s="8" t="s">
        <v>530</v>
      </c>
      <c r="C7587" s="8" t="s">
        <v>720</v>
      </c>
      <c r="D7587" s="8" t="s">
        <v>193</v>
      </c>
      <c r="E7587" s="70" t="s">
        <v>192</v>
      </c>
      <c r="F7587" s="29">
        <v>302</v>
      </c>
      <c r="G7587" s="29">
        <v>0</v>
      </c>
      <c r="H7587" s="29">
        <v>0</v>
      </c>
    </row>
    <row r="7588" spans="1:8" x14ac:dyDescent="0.4">
      <c r="A7588">
        <v>1996</v>
      </c>
      <c r="B7588" s="8" t="s">
        <v>531</v>
      </c>
      <c r="C7588" s="8" t="s">
        <v>720</v>
      </c>
      <c r="D7588" s="8" t="s">
        <v>193</v>
      </c>
      <c r="E7588" s="70" t="s">
        <v>174</v>
      </c>
      <c r="F7588" s="29">
        <v>57</v>
      </c>
      <c r="G7588" s="29">
        <v>0</v>
      </c>
      <c r="H7588" s="29">
        <v>0</v>
      </c>
    </row>
    <row r="7589" spans="1:8" x14ac:dyDescent="0.4">
      <c r="A7589">
        <v>1996</v>
      </c>
      <c r="B7589" s="8" t="s">
        <v>532</v>
      </c>
      <c r="C7589" s="8" t="s">
        <v>720</v>
      </c>
      <c r="D7589" s="8" t="s">
        <v>193</v>
      </c>
      <c r="E7589" s="70" t="s">
        <v>194</v>
      </c>
      <c r="F7589" s="29">
        <v>1051</v>
      </c>
      <c r="G7589" s="29">
        <v>0</v>
      </c>
      <c r="H7589" s="29">
        <v>0</v>
      </c>
    </row>
    <row r="7590" spans="1:8" x14ac:dyDescent="0.4">
      <c r="A7590">
        <v>1996</v>
      </c>
      <c r="B7590" s="8" t="s">
        <v>533</v>
      </c>
      <c r="C7590" s="8" t="s">
        <v>720</v>
      </c>
      <c r="D7590" s="8" t="s">
        <v>193</v>
      </c>
      <c r="E7590" s="70" t="s">
        <v>195</v>
      </c>
      <c r="F7590" s="29">
        <v>151</v>
      </c>
      <c r="G7590" s="29">
        <v>0</v>
      </c>
      <c r="H7590" s="29">
        <v>0</v>
      </c>
    </row>
    <row r="7591" spans="1:8" x14ac:dyDescent="0.4">
      <c r="A7591">
        <v>1996</v>
      </c>
      <c r="B7591" s="8" t="s">
        <v>534</v>
      </c>
      <c r="C7591" s="8" t="s">
        <v>720</v>
      </c>
      <c r="D7591" s="8" t="s">
        <v>193</v>
      </c>
      <c r="E7591" s="70" t="s">
        <v>196</v>
      </c>
      <c r="F7591" s="29">
        <v>54</v>
      </c>
      <c r="G7591" s="29">
        <v>0</v>
      </c>
      <c r="H7591" s="29">
        <v>0</v>
      </c>
    </row>
    <row r="7592" spans="1:8" x14ac:dyDescent="0.4">
      <c r="A7592">
        <v>1996</v>
      </c>
      <c r="B7592" s="8" t="s">
        <v>535</v>
      </c>
      <c r="C7592" s="8" t="s">
        <v>720</v>
      </c>
      <c r="D7592" s="8" t="s">
        <v>193</v>
      </c>
      <c r="E7592" s="70" t="s">
        <v>197</v>
      </c>
      <c r="F7592" s="29">
        <v>64</v>
      </c>
      <c r="G7592" s="29">
        <v>0</v>
      </c>
      <c r="H7592" s="29">
        <v>0</v>
      </c>
    </row>
    <row r="7593" spans="1:8" x14ac:dyDescent="0.4">
      <c r="A7593">
        <v>1996</v>
      </c>
      <c r="B7593" s="8" t="s">
        <v>536</v>
      </c>
      <c r="C7593" s="8" t="s">
        <v>720</v>
      </c>
      <c r="D7593" s="8" t="s">
        <v>193</v>
      </c>
      <c r="E7593" s="70" t="s">
        <v>198</v>
      </c>
      <c r="F7593" s="29">
        <v>654</v>
      </c>
      <c r="G7593" s="29">
        <v>0</v>
      </c>
      <c r="H7593" s="29">
        <v>0</v>
      </c>
    </row>
    <row r="7594" spans="1:8" x14ac:dyDescent="0.4">
      <c r="A7594">
        <v>1996</v>
      </c>
      <c r="B7594" s="8" t="s">
        <v>537</v>
      </c>
      <c r="C7594" s="8" t="s">
        <v>720</v>
      </c>
      <c r="D7594" s="8" t="s">
        <v>193</v>
      </c>
      <c r="E7594" s="70" t="s">
        <v>199</v>
      </c>
      <c r="F7594" s="29">
        <v>221</v>
      </c>
      <c r="G7594" s="29">
        <v>0</v>
      </c>
      <c r="H7594" s="29">
        <v>0</v>
      </c>
    </row>
    <row r="7595" spans="1:8" x14ac:dyDescent="0.4">
      <c r="A7595">
        <v>1996</v>
      </c>
      <c r="B7595" s="8" t="s">
        <v>538</v>
      </c>
      <c r="C7595" s="8" t="s">
        <v>720</v>
      </c>
      <c r="D7595" s="8" t="s">
        <v>193</v>
      </c>
      <c r="E7595" s="70" t="s">
        <v>200</v>
      </c>
      <c r="F7595" s="29">
        <v>110</v>
      </c>
      <c r="G7595" s="29">
        <v>0</v>
      </c>
      <c r="H7595" s="29">
        <v>0</v>
      </c>
    </row>
    <row r="7596" spans="1:8" x14ac:dyDescent="0.4">
      <c r="A7596">
        <v>1996</v>
      </c>
      <c r="B7596" s="8" t="s">
        <v>539</v>
      </c>
      <c r="C7596" s="8" t="s">
        <v>720</v>
      </c>
      <c r="D7596" s="8" t="s">
        <v>193</v>
      </c>
      <c r="E7596" s="70" t="s">
        <v>201</v>
      </c>
      <c r="F7596" s="29">
        <v>1028</v>
      </c>
      <c r="G7596" s="29">
        <v>0</v>
      </c>
      <c r="H7596" s="29">
        <v>0</v>
      </c>
    </row>
    <row r="7597" spans="1:8" x14ac:dyDescent="0.4">
      <c r="A7597">
        <v>1996</v>
      </c>
      <c r="B7597" s="8" t="s">
        <v>540</v>
      </c>
      <c r="C7597" s="8" t="s">
        <v>720</v>
      </c>
      <c r="D7597" s="8" t="s">
        <v>193</v>
      </c>
      <c r="E7597" s="70" t="s">
        <v>14</v>
      </c>
      <c r="F7597" s="29">
        <v>295</v>
      </c>
      <c r="G7597" s="29">
        <v>0</v>
      </c>
      <c r="H7597" s="29">
        <v>0</v>
      </c>
    </row>
    <row r="7598" spans="1:8" x14ac:dyDescent="0.4">
      <c r="A7598">
        <v>1996</v>
      </c>
      <c r="B7598" s="8" t="s">
        <v>541</v>
      </c>
      <c r="C7598" s="8" t="s">
        <v>720</v>
      </c>
      <c r="D7598" s="8" t="s">
        <v>193</v>
      </c>
      <c r="E7598" s="70" t="s">
        <v>202</v>
      </c>
      <c r="F7598" s="29">
        <v>810</v>
      </c>
      <c r="G7598" s="29">
        <v>0</v>
      </c>
      <c r="H7598" s="29">
        <v>0</v>
      </c>
    </row>
    <row r="7599" spans="1:8" x14ac:dyDescent="0.4">
      <c r="A7599">
        <v>1996</v>
      </c>
      <c r="B7599" s="8" t="s">
        <v>542</v>
      </c>
      <c r="C7599" s="8" t="s">
        <v>720</v>
      </c>
      <c r="D7599" s="8" t="s">
        <v>193</v>
      </c>
      <c r="E7599" s="70" t="s">
        <v>203</v>
      </c>
      <c r="F7599" s="29">
        <v>150</v>
      </c>
      <c r="G7599" s="29">
        <v>0</v>
      </c>
      <c r="H7599" s="29">
        <v>0</v>
      </c>
    </row>
    <row r="7600" spans="1:8" x14ac:dyDescent="0.4">
      <c r="A7600">
        <v>1996</v>
      </c>
      <c r="B7600" s="8" t="s">
        <v>543</v>
      </c>
      <c r="C7600" s="8" t="s">
        <v>720</v>
      </c>
      <c r="D7600" s="8" t="s">
        <v>193</v>
      </c>
      <c r="E7600" s="70" t="s">
        <v>32</v>
      </c>
      <c r="F7600" s="29">
        <v>169</v>
      </c>
      <c r="G7600" s="29">
        <v>0</v>
      </c>
      <c r="H7600" s="29">
        <v>0</v>
      </c>
    </row>
    <row r="7601" spans="1:8" x14ac:dyDescent="0.4">
      <c r="A7601">
        <v>1996</v>
      </c>
      <c r="B7601" s="8" t="s">
        <v>544</v>
      </c>
      <c r="C7601" s="8" t="s">
        <v>720</v>
      </c>
      <c r="D7601" s="8" t="s">
        <v>193</v>
      </c>
      <c r="E7601" s="70" t="s">
        <v>204</v>
      </c>
      <c r="F7601" s="29">
        <v>160</v>
      </c>
      <c r="G7601" s="29">
        <v>0</v>
      </c>
      <c r="H7601" s="29">
        <v>0</v>
      </c>
    </row>
    <row r="7602" spans="1:8" x14ac:dyDescent="0.4">
      <c r="A7602">
        <v>1996</v>
      </c>
      <c r="B7602" s="8" t="s">
        <v>545</v>
      </c>
      <c r="C7602" s="8" t="s">
        <v>720</v>
      </c>
      <c r="D7602" s="8" t="s">
        <v>193</v>
      </c>
      <c r="E7602" s="70" t="s">
        <v>205</v>
      </c>
      <c r="F7602" s="29">
        <v>71</v>
      </c>
      <c r="G7602" s="29">
        <v>0</v>
      </c>
      <c r="H7602" s="29">
        <v>0</v>
      </c>
    </row>
    <row r="7603" spans="1:8" x14ac:dyDescent="0.4">
      <c r="A7603">
        <v>1996</v>
      </c>
      <c r="B7603" s="8" t="s">
        <v>546</v>
      </c>
      <c r="C7603" s="8" t="s">
        <v>720</v>
      </c>
      <c r="D7603" s="8" t="s">
        <v>193</v>
      </c>
      <c r="E7603" s="70" t="s">
        <v>206</v>
      </c>
      <c r="F7603" s="29">
        <v>421</v>
      </c>
      <c r="G7603" s="29">
        <v>0</v>
      </c>
      <c r="H7603" s="29">
        <v>0</v>
      </c>
    </row>
    <row r="7604" spans="1:8" x14ac:dyDescent="0.4">
      <c r="A7604">
        <v>1996</v>
      </c>
      <c r="B7604" s="8" t="s">
        <v>547</v>
      </c>
      <c r="C7604" s="8" t="s">
        <v>720</v>
      </c>
      <c r="D7604" s="8" t="s">
        <v>193</v>
      </c>
      <c r="E7604" s="70" t="s">
        <v>25</v>
      </c>
      <c r="F7604" s="29">
        <v>77</v>
      </c>
      <c r="G7604" s="29">
        <v>0</v>
      </c>
      <c r="H7604" s="29">
        <v>0</v>
      </c>
    </row>
    <row r="7605" spans="1:8" x14ac:dyDescent="0.4">
      <c r="A7605">
        <v>1996</v>
      </c>
      <c r="B7605" s="8" t="s">
        <v>548</v>
      </c>
      <c r="C7605" s="8" t="s">
        <v>720</v>
      </c>
      <c r="D7605" s="8" t="s">
        <v>193</v>
      </c>
      <c r="E7605" s="70" t="s">
        <v>51</v>
      </c>
      <c r="F7605" s="29">
        <v>2469</v>
      </c>
      <c r="G7605" s="29">
        <v>0</v>
      </c>
      <c r="H7605" s="29">
        <v>0</v>
      </c>
    </row>
    <row r="7606" spans="1:8" x14ac:dyDescent="0.4">
      <c r="A7606">
        <v>1996</v>
      </c>
      <c r="B7606" s="8" t="s">
        <v>549</v>
      </c>
      <c r="C7606" s="8" t="s">
        <v>720</v>
      </c>
      <c r="D7606" s="8" t="s">
        <v>193</v>
      </c>
      <c r="E7606" s="70" t="s">
        <v>53</v>
      </c>
      <c r="F7606" s="29">
        <v>280</v>
      </c>
      <c r="G7606" s="29">
        <v>0</v>
      </c>
      <c r="H7606" s="29">
        <v>0</v>
      </c>
    </row>
    <row r="7607" spans="1:8" x14ac:dyDescent="0.4">
      <c r="A7607">
        <v>1996</v>
      </c>
      <c r="B7607" s="8" t="s">
        <v>550</v>
      </c>
      <c r="C7607" s="8" t="s">
        <v>720</v>
      </c>
      <c r="D7607" s="8" t="s">
        <v>193</v>
      </c>
      <c r="E7607" s="70" t="s">
        <v>54</v>
      </c>
      <c r="F7607" s="29">
        <v>427</v>
      </c>
      <c r="G7607" s="29">
        <v>0</v>
      </c>
      <c r="H7607" s="29">
        <v>0</v>
      </c>
    </row>
    <row r="7608" spans="1:8" x14ac:dyDescent="0.4">
      <c r="A7608">
        <v>1996</v>
      </c>
      <c r="B7608" s="8" t="s">
        <v>551</v>
      </c>
      <c r="C7608" s="8" t="s">
        <v>721</v>
      </c>
      <c r="D7608" s="8" t="s">
        <v>207</v>
      </c>
      <c r="E7608" s="70" t="s">
        <v>128</v>
      </c>
      <c r="F7608" s="29">
        <v>69</v>
      </c>
      <c r="G7608" s="29">
        <v>0</v>
      </c>
      <c r="H7608" s="29">
        <v>0</v>
      </c>
    </row>
    <row r="7609" spans="1:8" x14ac:dyDescent="0.4">
      <c r="A7609">
        <v>1996</v>
      </c>
      <c r="B7609" s="8" t="s">
        <v>552</v>
      </c>
      <c r="C7609" s="8" t="s">
        <v>721</v>
      </c>
      <c r="D7609" s="8" t="s">
        <v>207</v>
      </c>
      <c r="E7609" s="70" t="s">
        <v>208</v>
      </c>
      <c r="F7609" s="29">
        <v>21</v>
      </c>
      <c r="G7609" s="29">
        <v>0</v>
      </c>
      <c r="H7609" s="29">
        <v>0</v>
      </c>
    </row>
    <row r="7610" spans="1:8" x14ac:dyDescent="0.4">
      <c r="A7610">
        <v>1996</v>
      </c>
      <c r="B7610" s="8" t="s">
        <v>553</v>
      </c>
      <c r="C7610" s="8" t="s">
        <v>721</v>
      </c>
      <c r="D7610" s="8" t="s">
        <v>207</v>
      </c>
      <c r="E7610" s="70" t="s">
        <v>36</v>
      </c>
      <c r="F7610" s="29">
        <v>86</v>
      </c>
      <c r="G7610" s="29">
        <v>0</v>
      </c>
      <c r="H7610" s="29">
        <v>0</v>
      </c>
    </row>
    <row r="7611" spans="1:8" x14ac:dyDescent="0.4">
      <c r="A7611">
        <v>1996</v>
      </c>
      <c r="B7611" s="8" t="s">
        <v>554</v>
      </c>
      <c r="C7611" s="8" t="s">
        <v>721</v>
      </c>
      <c r="D7611" s="8" t="s">
        <v>207</v>
      </c>
      <c r="E7611" s="70" t="s">
        <v>209</v>
      </c>
      <c r="F7611" s="29">
        <v>99</v>
      </c>
      <c r="G7611" s="29">
        <v>0</v>
      </c>
      <c r="H7611" s="29">
        <v>0</v>
      </c>
    </row>
    <row r="7612" spans="1:8" x14ac:dyDescent="0.4">
      <c r="A7612">
        <v>1996</v>
      </c>
      <c r="B7612" s="8" t="s">
        <v>555</v>
      </c>
      <c r="C7612" s="8" t="s">
        <v>721</v>
      </c>
      <c r="D7612" s="8" t="s">
        <v>207</v>
      </c>
      <c r="E7612" s="70" t="s">
        <v>69</v>
      </c>
      <c r="F7612" s="29">
        <v>70</v>
      </c>
      <c r="G7612" s="29">
        <v>0</v>
      </c>
      <c r="H7612" s="29">
        <v>0</v>
      </c>
    </row>
    <row r="7613" spans="1:8" x14ac:dyDescent="0.4">
      <c r="A7613">
        <v>1996</v>
      </c>
      <c r="B7613" s="8" t="s">
        <v>556</v>
      </c>
      <c r="C7613" s="8" t="s">
        <v>721</v>
      </c>
      <c r="D7613" s="8" t="s">
        <v>207</v>
      </c>
      <c r="E7613" s="70" t="s">
        <v>62</v>
      </c>
      <c r="F7613" s="29">
        <v>96</v>
      </c>
      <c r="G7613" s="29">
        <v>0</v>
      </c>
      <c r="H7613" s="29">
        <v>0</v>
      </c>
    </row>
    <row r="7614" spans="1:8" x14ac:dyDescent="0.4">
      <c r="A7614">
        <v>1996</v>
      </c>
      <c r="B7614" s="8" t="s">
        <v>557</v>
      </c>
      <c r="C7614" s="8" t="s">
        <v>721</v>
      </c>
      <c r="D7614" s="8" t="s">
        <v>207</v>
      </c>
      <c r="E7614" s="70" t="s">
        <v>44</v>
      </c>
      <c r="F7614" s="29">
        <v>68</v>
      </c>
      <c r="G7614" s="29">
        <v>0</v>
      </c>
      <c r="H7614" s="29">
        <v>0</v>
      </c>
    </row>
    <row r="7615" spans="1:8" x14ac:dyDescent="0.4">
      <c r="A7615">
        <v>1996</v>
      </c>
      <c r="B7615" s="8" t="s">
        <v>558</v>
      </c>
      <c r="C7615" s="8" t="s">
        <v>721</v>
      </c>
      <c r="D7615" s="8" t="s">
        <v>207</v>
      </c>
      <c r="E7615" s="70" t="s">
        <v>210</v>
      </c>
      <c r="F7615" s="29">
        <v>1745</v>
      </c>
      <c r="G7615" s="29">
        <v>0</v>
      </c>
      <c r="H7615" s="29">
        <v>0</v>
      </c>
    </row>
    <row r="7616" spans="1:8" x14ac:dyDescent="0.4">
      <c r="A7616">
        <v>1996</v>
      </c>
      <c r="B7616" s="8" t="s">
        <v>559</v>
      </c>
      <c r="C7616" s="8" t="s">
        <v>721</v>
      </c>
      <c r="D7616" s="8" t="s">
        <v>207</v>
      </c>
      <c r="E7616" s="70" t="s">
        <v>74</v>
      </c>
      <c r="F7616" s="29">
        <v>83</v>
      </c>
      <c r="G7616" s="29">
        <v>0</v>
      </c>
      <c r="H7616" s="29">
        <v>0</v>
      </c>
    </row>
    <row r="7617" spans="1:8" x14ac:dyDescent="0.4">
      <c r="A7617">
        <v>1996</v>
      </c>
      <c r="B7617" s="8" t="s">
        <v>560</v>
      </c>
      <c r="C7617" s="8" t="s">
        <v>721</v>
      </c>
      <c r="D7617" s="8" t="s">
        <v>207</v>
      </c>
      <c r="E7617" s="70" t="s">
        <v>211</v>
      </c>
      <c r="F7617" s="29">
        <v>39</v>
      </c>
      <c r="G7617" s="29">
        <v>0</v>
      </c>
      <c r="H7617" s="29">
        <v>0</v>
      </c>
    </row>
    <row r="7618" spans="1:8" x14ac:dyDescent="0.4">
      <c r="A7618">
        <v>1996</v>
      </c>
      <c r="B7618" s="8" t="s">
        <v>561</v>
      </c>
      <c r="C7618" s="8" t="s">
        <v>721</v>
      </c>
      <c r="D7618" s="8" t="s">
        <v>207</v>
      </c>
      <c r="E7618" s="70" t="s">
        <v>212</v>
      </c>
      <c r="F7618" s="29">
        <v>12</v>
      </c>
      <c r="G7618" s="29">
        <v>0</v>
      </c>
      <c r="H7618" s="29">
        <v>0</v>
      </c>
    </row>
    <row r="7619" spans="1:8" x14ac:dyDescent="0.4">
      <c r="A7619">
        <v>1996</v>
      </c>
      <c r="B7619" s="8" t="s">
        <v>562</v>
      </c>
      <c r="C7619" s="8" t="s">
        <v>721</v>
      </c>
      <c r="D7619" s="8" t="s">
        <v>207</v>
      </c>
      <c r="E7619" s="70" t="s">
        <v>213</v>
      </c>
      <c r="F7619" s="29">
        <v>74</v>
      </c>
      <c r="G7619" s="29">
        <v>0</v>
      </c>
      <c r="H7619" s="29">
        <v>0</v>
      </c>
    </row>
    <row r="7620" spans="1:8" x14ac:dyDescent="0.4">
      <c r="A7620">
        <v>1996</v>
      </c>
      <c r="B7620" s="8" t="s">
        <v>563</v>
      </c>
      <c r="C7620" s="8" t="s">
        <v>721</v>
      </c>
      <c r="D7620" s="8" t="s">
        <v>207</v>
      </c>
      <c r="E7620" s="70" t="s">
        <v>214</v>
      </c>
      <c r="F7620" s="29">
        <v>21</v>
      </c>
      <c r="G7620" s="29">
        <v>0</v>
      </c>
      <c r="H7620" s="29">
        <v>0</v>
      </c>
    </row>
    <row r="7621" spans="1:8" x14ac:dyDescent="0.4">
      <c r="A7621">
        <v>1996</v>
      </c>
      <c r="B7621" s="8" t="s">
        <v>564</v>
      </c>
      <c r="C7621" s="8" t="s">
        <v>722</v>
      </c>
      <c r="D7621" s="8" t="s">
        <v>216</v>
      </c>
      <c r="E7621" s="70" t="s">
        <v>215</v>
      </c>
      <c r="F7621" s="29">
        <v>72</v>
      </c>
      <c r="G7621" s="29">
        <v>0</v>
      </c>
      <c r="H7621" s="29">
        <v>0</v>
      </c>
    </row>
    <row r="7622" spans="1:8" x14ac:dyDescent="0.4">
      <c r="A7622">
        <v>1996</v>
      </c>
      <c r="B7622" s="8" t="s">
        <v>565</v>
      </c>
      <c r="C7622" s="8" t="s">
        <v>722</v>
      </c>
      <c r="D7622" s="8" t="s">
        <v>216</v>
      </c>
      <c r="E7622" s="70" t="s">
        <v>59</v>
      </c>
      <c r="F7622" s="29">
        <v>88</v>
      </c>
      <c r="G7622" s="29">
        <v>0</v>
      </c>
      <c r="H7622" s="29">
        <v>0</v>
      </c>
    </row>
    <row r="7623" spans="1:8" x14ac:dyDescent="0.4">
      <c r="A7623">
        <v>1996</v>
      </c>
      <c r="B7623" s="8" t="s">
        <v>566</v>
      </c>
      <c r="C7623" s="8" t="s">
        <v>722</v>
      </c>
      <c r="D7623" s="8" t="s">
        <v>216</v>
      </c>
      <c r="E7623" s="70" t="s">
        <v>217</v>
      </c>
      <c r="F7623" s="29">
        <v>77</v>
      </c>
      <c r="G7623" s="29">
        <v>0</v>
      </c>
      <c r="H7623" s="29">
        <v>0</v>
      </c>
    </row>
    <row r="7624" spans="1:8" x14ac:dyDescent="0.4">
      <c r="A7624">
        <v>1996</v>
      </c>
      <c r="B7624" s="8" t="s">
        <v>567</v>
      </c>
      <c r="C7624" s="8" t="s">
        <v>722</v>
      </c>
      <c r="D7624" s="8" t="s">
        <v>216</v>
      </c>
      <c r="E7624" s="70" t="s">
        <v>218</v>
      </c>
      <c r="F7624" s="29">
        <v>51</v>
      </c>
      <c r="G7624" s="29">
        <v>0</v>
      </c>
      <c r="H7624" s="29">
        <v>0</v>
      </c>
    </row>
    <row r="7625" spans="1:8" x14ac:dyDescent="0.4">
      <c r="A7625">
        <v>1996</v>
      </c>
      <c r="B7625" s="8" t="s">
        <v>568</v>
      </c>
      <c r="C7625" s="8" t="s">
        <v>722</v>
      </c>
      <c r="D7625" s="8" t="s">
        <v>216</v>
      </c>
      <c r="E7625" s="70" t="s">
        <v>219</v>
      </c>
      <c r="F7625" s="29">
        <v>70</v>
      </c>
      <c r="G7625" s="29">
        <v>0</v>
      </c>
      <c r="H7625" s="29">
        <v>0</v>
      </c>
    </row>
    <row r="7626" spans="1:8" x14ac:dyDescent="0.4">
      <c r="A7626">
        <v>1996</v>
      </c>
      <c r="B7626" s="8" t="s">
        <v>569</v>
      </c>
      <c r="C7626" s="8" t="s">
        <v>722</v>
      </c>
      <c r="D7626" s="8" t="s">
        <v>216</v>
      </c>
      <c r="E7626" s="70" t="s">
        <v>220</v>
      </c>
      <c r="F7626" s="29">
        <v>66</v>
      </c>
      <c r="G7626" s="29">
        <v>0</v>
      </c>
      <c r="H7626" s="29">
        <v>0</v>
      </c>
    </row>
    <row r="7627" spans="1:8" x14ac:dyDescent="0.4">
      <c r="A7627">
        <v>1996</v>
      </c>
      <c r="B7627" s="8" t="s">
        <v>570</v>
      </c>
      <c r="C7627" s="8" t="s">
        <v>722</v>
      </c>
      <c r="D7627" s="8" t="s">
        <v>216</v>
      </c>
      <c r="E7627" s="70" t="s">
        <v>221</v>
      </c>
      <c r="F7627" s="29">
        <v>74</v>
      </c>
      <c r="G7627" s="29">
        <v>0</v>
      </c>
      <c r="H7627" s="29">
        <v>0</v>
      </c>
    </row>
    <row r="7628" spans="1:8" x14ac:dyDescent="0.4">
      <c r="A7628">
        <v>1996</v>
      </c>
      <c r="B7628" s="8" t="s">
        <v>571</v>
      </c>
      <c r="C7628" s="8" t="s">
        <v>722</v>
      </c>
      <c r="D7628" s="8" t="s">
        <v>216</v>
      </c>
      <c r="E7628" s="70" t="s">
        <v>222</v>
      </c>
      <c r="F7628" s="29">
        <v>923</v>
      </c>
      <c r="G7628" s="29">
        <v>0</v>
      </c>
      <c r="H7628" s="29">
        <v>0</v>
      </c>
    </row>
    <row r="7629" spans="1:8" x14ac:dyDescent="0.4">
      <c r="A7629">
        <v>1996</v>
      </c>
      <c r="B7629" s="8" t="s">
        <v>572</v>
      </c>
      <c r="C7629" s="8" t="s">
        <v>722</v>
      </c>
      <c r="D7629" s="8" t="s">
        <v>216</v>
      </c>
      <c r="E7629" s="70" t="s">
        <v>223</v>
      </c>
      <c r="F7629" s="29">
        <v>48</v>
      </c>
      <c r="G7629" s="29">
        <v>0</v>
      </c>
      <c r="H7629" s="29">
        <v>0</v>
      </c>
    </row>
    <row r="7630" spans="1:8" x14ac:dyDescent="0.4">
      <c r="A7630">
        <v>1996</v>
      </c>
      <c r="B7630" s="8" t="s">
        <v>573</v>
      </c>
      <c r="C7630" s="8" t="s">
        <v>722</v>
      </c>
      <c r="D7630" s="8" t="s">
        <v>216</v>
      </c>
      <c r="E7630" s="70" t="s">
        <v>224</v>
      </c>
      <c r="F7630" s="29">
        <v>53</v>
      </c>
      <c r="G7630" s="29">
        <v>0</v>
      </c>
      <c r="H7630" s="29">
        <v>0</v>
      </c>
    </row>
    <row r="7631" spans="1:8" x14ac:dyDescent="0.4">
      <c r="A7631">
        <v>1996</v>
      </c>
      <c r="B7631" s="8" t="s">
        <v>574</v>
      </c>
      <c r="C7631" s="8" t="s">
        <v>722</v>
      </c>
      <c r="D7631" s="8" t="s">
        <v>216</v>
      </c>
      <c r="E7631" s="70" t="s">
        <v>225</v>
      </c>
      <c r="F7631" s="29">
        <v>0</v>
      </c>
      <c r="G7631" s="29">
        <v>0</v>
      </c>
      <c r="H7631" s="29">
        <v>0</v>
      </c>
    </row>
    <row r="7632" spans="1:8" x14ac:dyDescent="0.4">
      <c r="A7632">
        <v>1996</v>
      </c>
      <c r="B7632" s="8" t="s">
        <v>575</v>
      </c>
      <c r="C7632" s="8" t="s">
        <v>723</v>
      </c>
      <c r="D7632" s="8" t="s">
        <v>227</v>
      </c>
      <c r="E7632" s="70" t="s">
        <v>226</v>
      </c>
      <c r="F7632" s="29">
        <v>53</v>
      </c>
      <c r="G7632" s="29">
        <v>0</v>
      </c>
      <c r="H7632" s="29">
        <v>0</v>
      </c>
    </row>
    <row r="7633" spans="1:8" x14ac:dyDescent="0.4">
      <c r="A7633">
        <v>1996</v>
      </c>
      <c r="B7633" s="8" t="s">
        <v>576</v>
      </c>
      <c r="C7633" s="8" t="s">
        <v>723</v>
      </c>
      <c r="D7633" s="8" t="s">
        <v>227</v>
      </c>
      <c r="E7633" s="70" t="s">
        <v>228</v>
      </c>
      <c r="F7633" s="29">
        <v>947</v>
      </c>
      <c r="G7633" s="29">
        <v>0</v>
      </c>
      <c r="H7633" s="29">
        <v>0</v>
      </c>
    </row>
    <row r="7634" spans="1:8" x14ac:dyDescent="0.4">
      <c r="A7634">
        <v>1996</v>
      </c>
      <c r="B7634" s="8" t="s">
        <v>577</v>
      </c>
      <c r="C7634" s="8" t="s">
        <v>723</v>
      </c>
      <c r="D7634" s="8" t="s">
        <v>227</v>
      </c>
      <c r="E7634" s="70" t="s">
        <v>229</v>
      </c>
      <c r="F7634" s="29">
        <v>122</v>
      </c>
      <c r="G7634" s="29">
        <v>0</v>
      </c>
      <c r="H7634" s="29">
        <v>0</v>
      </c>
    </row>
    <row r="7635" spans="1:8" x14ac:dyDescent="0.4">
      <c r="A7635">
        <v>1996</v>
      </c>
      <c r="B7635" s="8" t="s">
        <v>578</v>
      </c>
      <c r="C7635" s="8" t="s">
        <v>723</v>
      </c>
      <c r="D7635" s="8" t="s">
        <v>227</v>
      </c>
      <c r="E7635" s="70" t="s">
        <v>230</v>
      </c>
      <c r="F7635" s="29">
        <v>683</v>
      </c>
      <c r="G7635" s="29">
        <v>0</v>
      </c>
      <c r="H7635" s="29">
        <v>0</v>
      </c>
    </row>
    <row r="7636" spans="1:8" x14ac:dyDescent="0.4">
      <c r="A7636">
        <v>1996</v>
      </c>
      <c r="B7636" s="8" t="s">
        <v>579</v>
      </c>
      <c r="C7636" s="8" t="s">
        <v>723</v>
      </c>
      <c r="D7636" s="8" t="s">
        <v>227</v>
      </c>
      <c r="E7636" s="70" t="s">
        <v>231</v>
      </c>
      <c r="F7636" s="29">
        <v>81</v>
      </c>
      <c r="G7636" s="29">
        <v>0</v>
      </c>
      <c r="H7636" s="29">
        <v>0</v>
      </c>
    </row>
    <row r="7637" spans="1:8" x14ac:dyDescent="0.4">
      <c r="A7637">
        <v>1996</v>
      </c>
      <c r="B7637" s="8" t="s">
        <v>580</v>
      </c>
      <c r="C7637" s="8" t="s">
        <v>723</v>
      </c>
      <c r="D7637" s="8" t="s">
        <v>227</v>
      </c>
      <c r="E7637" s="70" t="s">
        <v>232</v>
      </c>
      <c r="F7637" s="29">
        <v>61</v>
      </c>
      <c r="G7637" s="29">
        <v>0</v>
      </c>
      <c r="H7637" s="29">
        <v>0</v>
      </c>
    </row>
    <row r="7638" spans="1:8" x14ac:dyDescent="0.4">
      <c r="A7638">
        <v>1996</v>
      </c>
      <c r="B7638" s="8" t="s">
        <v>581</v>
      </c>
      <c r="C7638" s="8" t="s">
        <v>723</v>
      </c>
      <c r="D7638" s="8" t="s">
        <v>227</v>
      </c>
      <c r="E7638" s="70" t="s">
        <v>233</v>
      </c>
      <c r="F7638" s="29">
        <v>120</v>
      </c>
      <c r="G7638" s="29">
        <v>0</v>
      </c>
      <c r="H7638" s="29">
        <v>0</v>
      </c>
    </row>
    <row r="7639" spans="1:8" x14ac:dyDescent="0.4">
      <c r="A7639">
        <v>1996</v>
      </c>
      <c r="B7639" s="8" t="s">
        <v>582</v>
      </c>
      <c r="C7639" s="8" t="s">
        <v>723</v>
      </c>
      <c r="D7639" s="8" t="s">
        <v>227</v>
      </c>
      <c r="E7639" s="70" t="s">
        <v>32</v>
      </c>
      <c r="F7639" s="29">
        <v>389</v>
      </c>
      <c r="G7639" s="29">
        <v>0</v>
      </c>
      <c r="H7639" s="29">
        <v>0</v>
      </c>
    </row>
    <row r="7640" spans="1:8" x14ac:dyDescent="0.4">
      <c r="A7640">
        <v>1996</v>
      </c>
      <c r="B7640" s="8" t="s">
        <v>583</v>
      </c>
      <c r="C7640" s="8" t="s">
        <v>723</v>
      </c>
      <c r="D7640" s="8" t="s">
        <v>227</v>
      </c>
      <c r="E7640" s="70" t="s">
        <v>234</v>
      </c>
      <c r="F7640" s="29">
        <v>27</v>
      </c>
      <c r="G7640" s="29">
        <v>0</v>
      </c>
      <c r="H7640" s="29">
        <v>0</v>
      </c>
    </row>
    <row r="7641" spans="1:8" x14ac:dyDescent="0.4">
      <c r="A7641">
        <v>1996</v>
      </c>
      <c r="B7641" s="8" t="s">
        <v>584</v>
      </c>
      <c r="C7641" s="8" t="s">
        <v>723</v>
      </c>
      <c r="D7641" s="8" t="s">
        <v>227</v>
      </c>
      <c r="E7641" s="70" t="s">
        <v>235</v>
      </c>
      <c r="F7641" s="29">
        <v>63</v>
      </c>
      <c r="G7641" s="29">
        <v>0</v>
      </c>
      <c r="H7641" s="29">
        <v>0</v>
      </c>
    </row>
    <row r="7642" spans="1:8" x14ac:dyDescent="0.4">
      <c r="A7642">
        <v>1996</v>
      </c>
      <c r="B7642" s="8" t="s">
        <v>585</v>
      </c>
      <c r="C7642" s="8" t="s">
        <v>723</v>
      </c>
      <c r="D7642" s="8" t="s">
        <v>227</v>
      </c>
      <c r="E7642" s="70" t="s">
        <v>236</v>
      </c>
      <c r="F7642" s="29">
        <v>37</v>
      </c>
      <c r="G7642" s="29">
        <v>0</v>
      </c>
      <c r="H7642" s="29">
        <v>0</v>
      </c>
    </row>
    <row r="7643" spans="1:8" x14ac:dyDescent="0.4">
      <c r="A7643">
        <v>1996</v>
      </c>
      <c r="B7643" s="8" t="s">
        <v>586</v>
      </c>
      <c r="C7643" s="8" t="s">
        <v>723</v>
      </c>
      <c r="D7643" s="8" t="s">
        <v>227</v>
      </c>
      <c r="E7643" s="70" t="s">
        <v>237</v>
      </c>
      <c r="F7643" s="29">
        <v>25</v>
      </c>
      <c r="G7643" s="29">
        <v>0</v>
      </c>
      <c r="H7643" s="29">
        <v>0</v>
      </c>
    </row>
    <row r="7644" spans="1:8" x14ac:dyDescent="0.4">
      <c r="A7644">
        <v>1996</v>
      </c>
      <c r="B7644" s="8" t="s">
        <v>587</v>
      </c>
      <c r="C7644" s="8" t="s">
        <v>723</v>
      </c>
      <c r="D7644" s="8" t="s">
        <v>227</v>
      </c>
      <c r="E7644" s="70" t="s">
        <v>51</v>
      </c>
      <c r="F7644" s="29">
        <v>140</v>
      </c>
      <c r="G7644" s="29">
        <v>0</v>
      </c>
      <c r="H7644" s="29">
        <v>0</v>
      </c>
    </row>
    <row r="7645" spans="1:8" x14ac:dyDescent="0.4">
      <c r="A7645">
        <v>1996</v>
      </c>
      <c r="B7645" s="8" t="s">
        <v>588</v>
      </c>
      <c r="C7645" s="8" t="s">
        <v>723</v>
      </c>
      <c r="D7645" s="8" t="s">
        <v>227</v>
      </c>
      <c r="E7645" s="70" t="s">
        <v>238</v>
      </c>
      <c r="F7645" s="29">
        <v>151</v>
      </c>
      <c r="G7645" s="29">
        <v>0</v>
      </c>
      <c r="H7645" s="29">
        <v>0</v>
      </c>
    </row>
    <row r="7646" spans="1:8" x14ac:dyDescent="0.4">
      <c r="A7646">
        <v>1996</v>
      </c>
      <c r="B7646" s="8" t="s">
        <v>589</v>
      </c>
      <c r="C7646" s="8" t="s">
        <v>724</v>
      </c>
      <c r="D7646" s="8" t="s">
        <v>239</v>
      </c>
      <c r="E7646" s="70" t="s">
        <v>163</v>
      </c>
      <c r="F7646" s="29">
        <v>55</v>
      </c>
      <c r="G7646" s="29">
        <v>0</v>
      </c>
      <c r="H7646" s="29">
        <v>0</v>
      </c>
    </row>
    <row r="7647" spans="1:8" x14ac:dyDescent="0.4">
      <c r="A7647">
        <v>1996</v>
      </c>
      <c r="B7647" s="8" t="s">
        <v>590</v>
      </c>
      <c r="C7647" s="8" t="s">
        <v>724</v>
      </c>
      <c r="D7647" s="8" t="s">
        <v>239</v>
      </c>
      <c r="E7647" s="70" t="s">
        <v>240</v>
      </c>
      <c r="F7647" s="29">
        <v>39</v>
      </c>
      <c r="G7647" s="29">
        <v>0</v>
      </c>
      <c r="H7647" s="29">
        <v>0</v>
      </c>
    </row>
    <row r="7648" spans="1:8" x14ac:dyDescent="0.4">
      <c r="A7648">
        <v>1996</v>
      </c>
      <c r="B7648" s="8" t="s">
        <v>591</v>
      </c>
      <c r="C7648" s="8" t="s">
        <v>724</v>
      </c>
      <c r="D7648" s="8" t="s">
        <v>239</v>
      </c>
      <c r="E7648" s="70" t="s">
        <v>59</v>
      </c>
      <c r="F7648" s="29">
        <v>155</v>
      </c>
      <c r="G7648" s="29">
        <v>0</v>
      </c>
      <c r="H7648" s="29">
        <v>0</v>
      </c>
    </row>
    <row r="7649" spans="1:8" x14ac:dyDescent="0.4">
      <c r="A7649">
        <v>1996</v>
      </c>
      <c r="B7649" s="8" t="s">
        <v>592</v>
      </c>
      <c r="C7649" s="8" t="s">
        <v>724</v>
      </c>
      <c r="D7649" s="8" t="s">
        <v>239</v>
      </c>
      <c r="E7649" s="70" t="s">
        <v>241</v>
      </c>
      <c r="F7649" s="29">
        <v>93</v>
      </c>
      <c r="G7649" s="29">
        <v>0</v>
      </c>
      <c r="H7649" s="29">
        <v>0</v>
      </c>
    </row>
    <row r="7650" spans="1:8" x14ac:dyDescent="0.4">
      <c r="A7650">
        <v>1996</v>
      </c>
      <c r="B7650" s="8" t="s">
        <v>593</v>
      </c>
      <c r="C7650" s="8" t="s">
        <v>724</v>
      </c>
      <c r="D7650" s="8" t="s">
        <v>239</v>
      </c>
      <c r="E7650" s="70" t="s">
        <v>242</v>
      </c>
      <c r="F7650" s="29">
        <v>635</v>
      </c>
      <c r="G7650" s="29">
        <v>0</v>
      </c>
      <c r="H7650" s="29">
        <v>0</v>
      </c>
    </row>
    <row r="7651" spans="1:8" x14ac:dyDescent="0.4">
      <c r="A7651">
        <v>1996</v>
      </c>
      <c r="B7651" s="8" t="s">
        <v>594</v>
      </c>
      <c r="C7651" s="8" t="s">
        <v>724</v>
      </c>
      <c r="D7651" s="8" t="s">
        <v>239</v>
      </c>
      <c r="E7651" s="70" t="s">
        <v>36</v>
      </c>
      <c r="F7651" s="29">
        <v>46</v>
      </c>
      <c r="G7651" s="29">
        <v>0</v>
      </c>
      <c r="H7651" s="29">
        <v>0</v>
      </c>
    </row>
    <row r="7652" spans="1:8" x14ac:dyDescent="0.4">
      <c r="A7652">
        <v>1996</v>
      </c>
      <c r="B7652" s="8" t="s">
        <v>595</v>
      </c>
      <c r="C7652" s="8" t="s">
        <v>724</v>
      </c>
      <c r="D7652" s="8" t="s">
        <v>239</v>
      </c>
      <c r="E7652" s="70" t="s">
        <v>243</v>
      </c>
      <c r="F7652" s="29">
        <v>46</v>
      </c>
      <c r="G7652" s="29">
        <v>0</v>
      </c>
      <c r="H7652" s="29">
        <v>0</v>
      </c>
    </row>
    <row r="7653" spans="1:8" x14ac:dyDescent="0.4">
      <c r="A7653">
        <v>1996</v>
      </c>
      <c r="B7653" s="8" t="s">
        <v>596</v>
      </c>
      <c r="C7653" s="8" t="s">
        <v>724</v>
      </c>
      <c r="D7653" s="8" t="s">
        <v>239</v>
      </c>
      <c r="E7653" s="70" t="s">
        <v>244</v>
      </c>
      <c r="F7653" s="29">
        <v>27</v>
      </c>
      <c r="G7653" s="29">
        <v>0</v>
      </c>
      <c r="H7653" s="29">
        <v>0</v>
      </c>
    </row>
    <row r="7654" spans="1:8" x14ac:dyDescent="0.4">
      <c r="A7654">
        <v>1996</v>
      </c>
      <c r="B7654" s="8" t="s">
        <v>597</v>
      </c>
      <c r="C7654" s="8" t="s">
        <v>724</v>
      </c>
      <c r="D7654" s="8" t="s">
        <v>239</v>
      </c>
      <c r="E7654" s="70" t="s">
        <v>44</v>
      </c>
      <c r="F7654" s="29">
        <v>31</v>
      </c>
      <c r="G7654" s="29">
        <v>0</v>
      </c>
      <c r="H7654" s="29">
        <v>0</v>
      </c>
    </row>
    <row r="7655" spans="1:8" x14ac:dyDescent="0.4">
      <c r="A7655">
        <v>1996</v>
      </c>
      <c r="B7655" s="8" t="s">
        <v>598</v>
      </c>
      <c r="C7655" s="8" t="s">
        <v>724</v>
      </c>
      <c r="D7655" s="8" t="s">
        <v>239</v>
      </c>
      <c r="E7655" s="70" t="s">
        <v>222</v>
      </c>
      <c r="F7655" s="29">
        <v>75</v>
      </c>
      <c r="G7655" s="29">
        <v>0</v>
      </c>
      <c r="H7655" s="29">
        <v>0</v>
      </c>
    </row>
    <row r="7656" spans="1:8" x14ac:dyDescent="0.4">
      <c r="A7656">
        <v>1996</v>
      </c>
      <c r="B7656" s="8" t="s">
        <v>599</v>
      </c>
      <c r="C7656" s="8" t="s">
        <v>724</v>
      </c>
      <c r="D7656" s="8" t="s">
        <v>239</v>
      </c>
      <c r="E7656" s="70" t="s">
        <v>245</v>
      </c>
      <c r="F7656" s="29">
        <v>19</v>
      </c>
      <c r="G7656" s="29">
        <v>0</v>
      </c>
      <c r="H7656" s="29">
        <v>0</v>
      </c>
    </row>
    <row r="7657" spans="1:8" x14ac:dyDescent="0.4">
      <c r="A7657">
        <v>1996</v>
      </c>
      <c r="B7657" s="8" t="s">
        <v>600</v>
      </c>
      <c r="C7657" s="8" t="s">
        <v>724</v>
      </c>
      <c r="D7657" s="8" t="s">
        <v>239</v>
      </c>
      <c r="E7657" s="70" t="s">
        <v>246</v>
      </c>
      <c r="F7657" s="29">
        <v>178</v>
      </c>
      <c r="G7657" s="29">
        <v>0</v>
      </c>
      <c r="H7657" s="29">
        <v>0</v>
      </c>
    </row>
    <row r="7658" spans="1:8" x14ac:dyDescent="0.4">
      <c r="A7658">
        <v>1996</v>
      </c>
      <c r="B7658" s="8" t="s">
        <v>601</v>
      </c>
      <c r="C7658" s="8" t="s">
        <v>724</v>
      </c>
      <c r="D7658" s="8" t="s">
        <v>239</v>
      </c>
      <c r="E7658" s="70" t="s">
        <v>247</v>
      </c>
      <c r="F7658" s="29">
        <v>106</v>
      </c>
      <c r="G7658" s="29">
        <v>0</v>
      </c>
      <c r="H7658" s="29">
        <v>0</v>
      </c>
    </row>
    <row r="7659" spans="1:8" x14ac:dyDescent="0.4">
      <c r="A7659">
        <v>1996</v>
      </c>
      <c r="B7659" s="8" t="s">
        <v>602</v>
      </c>
      <c r="C7659" s="8" t="s">
        <v>724</v>
      </c>
      <c r="D7659" s="8" t="s">
        <v>239</v>
      </c>
      <c r="E7659" s="70" t="s">
        <v>51</v>
      </c>
      <c r="F7659" s="29">
        <v>1195</v>
      </c>
      <c r="G7659" s="29">
        <v>0</v>
      </c>
      <c r="H7659" s="29">
        <v>0</v>
      </c>
    </row>
    <row r="7660" spans="1:8" x14ac:dyDescent="0.4">
      <c r="A7660">
        <v>1996</v>
      </c>
      <c r="B7660" s="8" t="s">
        <v>603</v>
      </c>
      <c r="C7660" s="8" t="s">
        <v>724</v>
      </c>
      <c r="D7660" s="8" t="s">
        <v>239</v>
      </c>
      <c r="E7660" s="70" t="s">
        <v>248</v>
      </c>
      <c r="F7660" s="29">
        <v>82</v>
      </c>
      <c r="G7660" s="29">
        <v>0</v>
      </c>
      <c r="H7660" s="29">
        <v>0</v>
      </c>
    </row>
    <row r="7661" spans="1:8" x14ac:dyDescent="0.4">
      <c r="A7661">
        <v>1996</v>
      </c>
      <c r="B7661" s="8" t="s">
        <v>604</v>
      </c>
      <c r="C7661" s="8" t="s">
        <v>725</v>
      </c>
      <c r="D7661" s="8" t="s">
        <v>249</v>
      </c>
      <c r="E7661" s="70" t="s">
        <v>174</v>
      </c>
      <c r="F7661" s="29">
        <v>70</v>
      </c>
      <c r="G7661" s="29">
        <v>0</v>
      </c>
      <c r="H7661" s="29">
        <v>0</v>
      </c>
    </row>
    <row r="7662" spans="1:8" x14ac:dyDescent="0.4">
      <c r="A7662">
        <v>1996</v>
      </c>
      <c r="B7662" s="8" t="s">
        <v>605</v>
      </c>
      <c r="C7662" s="8" t="s">
        <v>725</v>
      </c>
      <c r="D7662" s="8" t="s">
        <v>249</v>
      </c>
      <c r="E7662" s="70" t="s">
        <v>250</v>
      </c>
      <c r="F7662" s="29">
        <v>25</v>
      </c>
      <c r="G7662" s="29">
        <v>0</v>
      </c>
      <c r="H7662" s="29">
        <v>0</v>
      </c>
    </row>
    <row r="7663" spans="1:8" x14ac:dyDescent="0.4">
      <c r="A7663">
        <v>1996</v>
      </c>
      <c r="B7663" s="8" t="s">
        <v>606</v>
      </c>
      <c r="C7663" s="8" t="s">
        <v>725</v>
      </c>
      <c r="D7663" s="8" t="s">
        <v>249</v>
      </c>
      <c r="E7663" s="70" t="s">
        <v>251</v>
      </c>
      <c r="F7663" s="29">
        <v>220</v>
      </c>
      <c r="G7663" s="29">
        <v>0</v>
      </c>
      <c r="H7663" s="29">
        <v>0</v>
      </c>
    </row>
    <row r="7664" spans="1:8" x14ac:dyDescent="0.4">
      <c r="A7664">
        <v>1996</v>
      </c>
      <c r="B7664" s="8" t="s">
        <v>607</v>
      </c>
      <c r="C7664" s="8" t="s">
        <v>725</v>
      </c>
      <c r="D7664" s="8" t="s">
        <v>249</v>
      </c>
      <c r="E7664" s="70" t="s">
        <v>36</v>
      </c>
      <c r="F7664" s="29">
        <v>220</v>
      </c>
      <c r="G7664" s="29">
        <v>0</v>
      </c>
      <c r="H7664" s="29">
        <v>0</v>
      </c>
    </row>
    <row r="7665" spans="1:8" x14ac:dyDescent="0.4">
      <c r="A7665">
        <v>1996</v>
      </c>
      <c r="B7665" s="8" t="s">
        <v>608</v>
      </c>
      <c r="C7665" s="8" t="s">
        <v>725</v>
      </c>
      <c r="D7665" s="8" t="s">
        <v>249</v>
      </c>
      <c r="E7665" s="70" t="s">
        <v>252</v>
      </c>
      <c r="F7665" s="29">
        <v>277</v>
      </c>
      <c r="G7665" s="29">
        <v>0</v>
      </c>
      <c r="H7665" s="29">
        <v>0</v>
      </c>
    </row>
    <row r="7666" spans="1:8" x14ac:dyDescent="0.4">
      <c r="A7666">
        <v>1996</v>
      </c>
      <c r="B7666" s="8" t="s">
        <v>609</v>
      </c>
      <c r="C7666" s="8" t="s">
        <v>725</v>
      </c>
      <c r="D7666" s="8" t="s">
        <v>249</v>
      </c>
      <c r="E7666" s="70" t="s">
        <v>253</v>
      </c>
      <c r="F7666" s="29">
        <v>73</v>
      </c>
      <c r="G7666" s="29">
        <v>0</v>
      </c>
      <c r="H7666" s="29">
        <v>0</v>
      </c>
    </row>
    <row r="7667" spans="1:8" x14ac:dyDescent="0.4">
      <c r="A7667">
        <v>1996</v>
      </c>
      <c r="B7667" s="8" t="s">
        <v>610</v>
      </c>
      <c r="C7667" s="8" t="s">
        <v>725</v>
      </c>
      <c r="D7667" s="8" t="s">
        <v>249</v>
      </c>
      <c r="E7667" s="70" t="s">
        <v>254</v>
      </c>
      <c r="F7667" s="29">
        <v>123</v>
      </c>
      <c r="G7667" s="29">
        <v>0</v>
      </c>
      <c r="H7667" s="29">
        <v>0</v>
      </c>
    </row>
    <row r="7668" spans="1:8" x14ac:dyDescent="0.4">
      <c r="A7668">
        <v>1996</v>
      </c>
      <c r="B7668" s="8" t="s">
        <v>611</v>
      </c>
      <c r="C7668" s="8" t="s">
        <v>725</v>
      </c>
      <c r="D7668" s="8" t="s">
        <v>249</v>
      </c>
      <c r="E7668" s="70" t="s">
        <v>11</v>
      </c>
      <c r="F7668" s="29">
        <v>15</v>
      </c>
      <c r="G7668" s="29">
        <v>0</v>
      </c>
      <c r="H7668" s="29">
        <v>0</v>
      </c>
    </row>
    <row r="7669" spans="1:8" x14ac:dyDescent="0.4">
      <c r="A7669">
        <v>1996</v>
      </c>
      <c r="B7669" s="8" t="s">
        <v>612</v>
      </c>
      <c r="C7669" s="8" t="s">
        <v>725</v>
      </c>
      <c r="D7669" s="8" t="s">
        <v>249</v>
      </c>
      <c r="E7669" s="70" t="s">
        <v>255</v>
      </c>
      <c r="F7669" s="29">
        <v>146</v>
      </c>
      <c r="G7669" s="29">
        <v>0</v>
      </c>
      <c r="H7669" s="29">
        <v>0</v>
      </c>
    </row>
    <row r="7670" spans="1:8" x14ac:dyDescent="0.4">
      <c r="A7670">
        <v>1996</v>
      </c>
      <c r="B7670" s="8" t="s">
        <v>613</v>
      </c>
      <c r="C7670" s="8" t="s">
        <v>725</v>
      </c>
      <c r="D7670" s="8" t="s">
        <v>249</v>
      </c>
      <c r="E7670" s="70" t="s">
        <v>256</v>
      </c>
      <c r="F7670" s="29">
        <v>76</v>
      </c>
      <c r="G7670" s="29">
        <v>0</v>
      </c>
      <c r="H7670" s="29">
        <v>0</v>
      </c>
    </row>
    <row r="7671" spans="1:8" x14ac:dyDescent="0.4">
      <c r="A7671">
        <v>1996</v>
      </c>
      <c r="B7671" s="8" t="s">
        <v>614</v>
      </c>
      <c r="C7671" s="8" t="s">
        <v>725</v>
      </c>
      <c r="D7671" s="8" t="s">
        <v>249</v>
      </c>
      <c r="E7671" s="70" t="s">
        <v>14</v>
      </c>
      <c r="F7671" s="29">
        <v>97</v>
      </c>
      <c r="G7671" s="29">
        <v>0</v>
      </c>
      <c r="H7671" s="29">
        <v>0</v>
      </c>
    </row>
    <row r="7672" spans="1:8" x14ac:dyDescent="0.4">
      <c r="A7672">
        <v>1996</v>
      </c>
      <c r="B7672" s="8" t="s">
        <v>615</v>
      </c>
      <c r="C7672" s="8" t="s">
        <v>725</v>
      </c>
      <c r="D7672" s="8" t="s">
        <v>249</v>
      </c>
      <c r="E7672" s="70" t="s">
        <v>257</v>
      </c>
      <c r="F7672" s="29">
        <v>226</v>
      </c>
      <c r="G7672" s="29">
        <v>0</v>
      </c>
      <c r="H7672" s="29">
        <v>0</v>
      </c>
    </row>
    <row r="7673" spans="1:8" x14ac:dyDescent="0.4">
      <c r="A7673">
        <v>1996</v>
      </c>
      <c r="B7673" s="8" t="s">
        <v>616</v>
      </c>
      <c r="C7673" s="8" t="s">
        <v>725</v>
      </c>
      <c r="D7673" s="8" t="s">
        <v>249</v>
      </c>
      <c r="E7673" s="70" t="s">
        <v>258</v>
      </c>
      <c r="F7673" s="29">
        <v>26</v>
      </c>
      <c r="G7673" s="29">
        <v>0</v>
      </c>
      <c r="H7673" s="29">
        <v>0</v>
      </c>
    </row>
    <row r="7674" spans="1:8" x14ac:dyDescent="0.4">
      <c r="A7674">
        <v>1996</v>
      </c>
      <c r="B7674" s="8" t="s">
        <v>617</v>
      </c>
      <c r="C7674" s="8" t="s">
        <v>725</v>
      </c>
      <c r="D7674" s="8" t="s">
        <v>249</v>
      </c>
      <c r="E7674" s="70" t="s">
        <v>259</v>
      </c>
      <c r="F7674" s="29">
        <v>271</v>
      </c>
      <c r="G7674" s="29">
        <v>0</v>
      </c>
      <c r="H7674" s="29">
        <v>0</v>
      </c>
    </row>
    <row r="7675" spans="1:8" x14ac:dyDescent="0.4">
      <c r="A7675">
        <v>1996</v>
      </c>
      <c r="B7675" s="8" t="s">
        <v>618</v>
      </c>
      <c r="C7675" s="8" t="s">
        <v>725</v>
      </c>
      <c r="D7675" s="8" t="s">
        <v>249</v>
      </c>
      <c r="E7675" s="70" t="s">
        <v>18</v>
      </c>
      <c r="F7675" s="29">
        <v>62</v>
      </c>
      <c r="G7675" s="29">
        <v>0</v>
      </c>
      <c r="H7675" s="29">
        <v>0</v>
      </c>
    </row>
    <row r="7676" spans="1:8" x14ac:dyDescent="0.4">
      <c r="A7676">
        <v>1996</v>
      </c>
      <c r="B7676" s="8" t="s">
        <v>619</v>
      </c>
      <c r="C7676" s="8" t="s">
        <v>725</v>
      </c>
      <c r="D7676" s="8" t="s">
        <v>249</v>
      </c>
      <c r="E7676" s="70" t="s">
        <v>44</v>
      </c>
      <c r="F7676" s="29">
        <v>55</v>
      </c>
      <c r="G7676" s="29">
        <v>0</v>
      </c>
      <c r="H7676" s="29">
        <v>0</v>
      </c>
    </row>
    <row r="7677" spans="1:8" x14ac:dyDescent="0.4">
      <c r="A7677">
        <v>1996</v>
      </c>
      <c r="B7677" s="8" t="s">
        <v>620</v>
      </c>
      <c r="C7677" s="8" t="s">
        <v>725</v>
      </c>
      <c r="D7677" s="8" t="s">
        <v>249</v>
      </c>
      <c r="E7677" s="70" t="s">
        <v>260</v>
      </c>
      <c r="F7677" s="29">
        <v>35</v>
      </c>
      <c r="G7677" s="29">
        <v>0</v>
      </c>
      <c r="H7677" s="29">
        <v>0</v>
      </c>
    </row>
    <row r="7678" spans="1:8" x14ac:dyDescent="0.4">
      <c r="A7678">
        <v>1996</v>
      </c>
      <c r="B7678" s="8" t="s">
        <v>621</v>
      </c>
      <c r="C7678" s="8" t="s">
        <v>725</v>
      </c>
      <c r="D7678" s="8" t="s">
        <v>249</v>
      </c>
      <c r="E7678" s="70" t="s">
        <v>261</v>
      </c>
      <c r="F7678" s="29">
        <v>70</v>
      </c>
      <c r="G7678" s="29">
        <v>0</v>
      </c>
      <c r="H7678" s="29">
        <v>0</v>
      </c>
    </row>
    <row r="7679" spans="1:8" x14ac:dyDescent="0.4">
      <c r="A7679">
        <v>1996</v>
      </c>
      <c r="B7679" s="8" t="s">
        <v>622</v>
      </c>
      <c r="C7679" s="8" t="s">
        <v>725</v>
      </c>
      <c r="D7679" s="8" t="s">
        <v>249</v>
      </c>
      <c r="E7679" s="70" t="s">
        <v>262</v>
      </c>
      <c r="F7679" s="29">
        <v>136</v>
      </c>
      <c r="G7679" s="29">
        <v>0</v>
      </c>
      <c r="H7679" s="29">
        <v>0</v>
      </c>
    </row>
    <row r="7680" spans="1:8" x14ac:dyDescent="0.4">
      <c r="A7680">
        <v>1996</v>
      </c>
      <c r="B7680" s="8" t="s">
        <v>623</v>
      </c>
      <c r="C7680" s="8" t="s">
        <v>725</v>
      </c>
      <c r="D7680" s="8" t="s">
        <v>249</v>
      </c>
      <c r="E7680" s="70" t="s">
        <v>263</v>
      </c>
      <c r="F7680" s="29">
        <v>87</v>
      </c>
      <c r="G7680" s="29">
        <v>0</v>
      </c>
      <c r="H7680" s="29">
        <v>0</v>
      </c>
    </row>
    <row r="7681" spans="1:8" x14ac:dyDescent="0.4">
      <c r="A7681">
        <v>1996</v>
      </c>
      <c r="B7681" s="8" t="s">
        <v>624</v>
      </c>
      <c r="C7681" s="8" t="s">
        <v>725</v>
      </c>
      <c r="D7681" s="8" t="s">
        <v>249</v>
      </c>
      <c r="E7681" s="70" t="s">
        <v>264</v>
      </c>
      <c r="F7681" s="29">
        <v>19</v>
      </c>
      <c r="G7681" s="29">
        <v>0</v>
      </c>
      <c r="H7681" s="29">
        <v>0</v>
      </c>
    </row>
    <row r="7682" spans="1:8" x14ac:dyDescent="0.4">
      <c r="A7682">
        <v>1996</v>
      </c>
      <c r="B7682" s="8" t="s">
        <v>625</v>
      </c>
      <c r="C7682" s="8" t="s">
        <v>725</v>
      </c>
      <c r="D7682" s="8" t="s">
        <v>249</v>
      </c>
      <c r="E7682" s="70" t="s">
        <v>265</v>
      </c>
      <c r="F7682" s="29">
        <v>34</v>
      </c>
      <c r="G7682" s="29">
        <v>0</v>
      </c>
      <c r="H7682" s="29">
        <v>0</v>
      </c>
    </row>
    <row r="7683" spans="1:8" x14ac:dyDescent="0.4">
      <c r="A7683">
        <v>1996</v>
      </c>
      <c r="B7683" s="8" t="s">
        <v>626</v>
      </c>
      <c r="C7683" s="8" t="s">
        <v>725</v>
      </c>
      <c r="D7683" s="8" t="s">
        <v>249</v>
      </c>
      <c r="E7683" s="70" t="s">
        <v>266</v>
      </c>
      <c r="F7683" s="29">
        <v>2143</v>
      </c>
      <c r="G7683" s="29">
        <v>0</v>
      </c>
      <c r="H7683" s="29">
        <v>0</v>
      </c>
    </row>
    <row r="7684" spans="1:8" x14ac:dyDescent="0.4">
      <c r="A7684">
        <v>1996</v>
      </c>
      <c r="B7684" s="8" t="s">
        <v>627</v>
      </c>
      <c r="C7684" s="8" t="s">
        <v>725</v>
      </c>
      <c r="D7684" s="8" t="s">
        <v>249</v>
      </c>
      <c r="E7684" s="70" t="s">
        <v>267</v>
      </c>
      <c r="F7684" s="29">
        <v>0</v>
      </c>
      <c r="G7684" s="29">
        <v>0</v>
      </c>
      <c r="H7684" s="29">
        <v>0</v>
      </c>
    </row>
    <row r="7685" spans="1:8" x14ac:dyDescent="0.4">
      <c r="A7685">
        <v>1996</v>
      </c>
      <c r="B7685" s="8" t="s">
        <v>628</v>
      </c>
      <c r="C7685" s="8" t="s">
        <v>725</v>
      </c>
      <c r="D7685" s="8" t="s">
        <v>249</v>
      </c>
      <c r="E7685" s="70" t="s">
        <v>268</v>
      </c>
      <c r="F7685" s="29">
        <v>34</v>
      </c>
      <c r="G7685" s="29">
        <v>0</v>
      </c>
      <c r="H7685" s="29">
        <v>0</v>
      </c>
    </row>
    <row r="7686" spans="1:8" x14ac:dyDescent="0.4">
      <c r="A7686">
        <v>1996</v>
      </c>
      <c r="B7686" s="8" t="s">
        <v>629</v>
      </c>
      <c r="C7686" s="8" t="s">
        <v>725</v>
      </c>
      <c r="D7686" s="8" t="s">
        <v>249</v>
      </c>
      <c r="E7686" s="70" t="s">
        <v>26</v>
      </c>
      <c r="F7686" s="29">
        <v>10</v>
      </c>
      <c r="G7686" s="29">
        <v>0</v>
      </c>
      <c r="H7686" s="29">
        <v>0</v>
      </c>
    </row>
    <row r="7687" spans="1:8" x14ac:dyDescent="0.4">
      <c r="A7687">
        <v>1996</v>
      </c>
      <c r="B7687" s="8" t="s">
        <v>630</v>
      </c>
      <c r="C7687" s="8" t="s">
        <v>725</v>
      </c>
      <c r="D7687" s="8" t="s">
        <v>249</v>
      </c>
      <c r="E7687" s="70" t="s">
        <v>51</v>
      </c>
      <c r="F7687" s="29">
        <v>44</v>
      </c>
      <c r="G7687" s="29">
        <v>0</v>
      </c>
      <c r="H7687" s="29">
        <v>0</v>
      </c>
    </row>
    <row r="7688" spans="1:8" x14ac:dyDescent="0.4">
      <c r="A7688">
        <v>1996</v>
      </c>
      <c r="B7688" s="8" t="s">
        <v>631</v>
      </c>
      <c r="C7688" s="8" t="s">
        <v>725</v>
      </c>
      <c r="D7688" s="8" t="s">
        <v>249</v>
      </c>
      <c r="E7688" s="70" t="s">
        <v>269</v>
      </c>
      <c r="F7688" s="29">
        <v>64</v>
      </c>
      <c r="G7688" s="29">
        <v>0</v>
      </c>
      <c r="H7688" s="29">
        <v>0</v>
      </c>
    </row>
    <row r="7689" spans="1:8" x14ac:dyDescent="0.4">
      <c r="A7689">
        <v>1996</v>
      </c>
      <c r="B7689" s="8" t="s">
        <v>632</v>
      </c>
      <c r="C7689" s="8" t="s">
        <v>725</v>
      </c>
      <c r="D7689" s="8" t="s">
        <v>249</v>
      </c>
      <c r="E7689" s="70" t="s">
        <v>270</v>
      </c>
      <c r="F7689" s="29">
        <v>88</v>
      </c>
      <c r="G7689" s="29">
        <v>0</v>
      </c>
      <c r="H7689" s="29">
        <v>0</v>
      </c>
    </row>
    <row r="7690" spans="1:8" x14ac:dyDescent="0.4">
      <c r="A7690">
        <v>1996</v>
      </c>
      <c r="B7690" s="8" t="s">
        <v>633</v>
      </c>
      <c r="C7690" s="8" t="s">
        <v>726</v>
      </c>
      <c r="D7690" s="8" t="s">
        <v>271</v>
      </c>
      <c r="E7690" s="70" t="s">
        <v>174</v>
      </c>
      <c r="F7690" s="29">
        <v>0</v>
      </c>
      <c r="G7690" s="29">
        <v>0</v>
      </c>
      <c r="H7690" s="29">
        <v>0</v>
      </c>
    </row>
    <row r="7691" spans="1:8" x14ac:dyDescent="0.4">
      <c r="A7691">
        <v>1996</v>
      </c>
      <c r="B7691" s="8" t="s">
        <v>634</v>
      </c>
      <c r="C7691" s="8" t="s">
        <v>726</v>
      </c>
      <c r="D7691" s="8" t="s">
        <v>271</v>
      </c>
      <c r="E7691" s="70" t="s">
        <v>272</v>
      </c>
      <c r="F7691" s="29">
        <v>581</v>
      </c>
      <c r="G7691" s="29">
        <v>0</v>
      </c>
      <c r="H7691" s="29">
        <v>0</v>
      </c>
    </row>
    <row r="7692" spans="1:8" x14ac:dyDescent="0.4">
      <c r="A7692">
        <v>1996</v>
      </c>
      <c r="B7692" s="8" t="s">
        <v>635</v>
      </c>
      <c r="C7692" s="8" t="s">
        <v>726</v>
      </c>
      <c r="D7692" s="8" t="s">
        <v>271</v>
      </c>
      <c r="E7692" s="70" t="s">
        <v>36</v>
      </c>
      <c r="F7692" s="29">
        <v>0</v>
      </c>
      <c r="G7692" s="29">
        <v>0</v>
      </c>
      <c r="H7692" s="29">
        <v>0</v>
      </c>
    </row>
    <row r="7693" spans="1:8" x14ac:dyDescent="0.4">
      <c r="A7693">
        <v>1996</v>
      </c>
      <c r="B7693" s="8" t="s">
        <v>636</v>
      </c>
      <c r="C7693" s="8" t="s">
        <v>726</v>
      </c>
      <c r="D7693" s="8" t="s">
        <v>271</v>
      </c>
      <c r="E7693" s="70" t="s">
        <v>273</v>
      </c>
      <c r="F7693" s="29">
        <v>92</v>
      </c>
      <c r="G7693" s="29">
        <v>0</v>
      </c>
      <c r="H7693" s="29">
        <v>0</v>
      </c>
    </row>
    <row r="7694" spans="1:8" x14ac:dyDescent="0.4">
      <c r="A7694">
        <v>1996</v>
      </c>
      <c r="B7694" s="8" t="s">
        <v>637</v>
      </c>
      <c r="C7694" s="8" t="s">
        <v>726</v>
      </c>
      <c r="D7694" s="8" t="s">
        <v>271</v>
      </c>
      <c r="E7694" s="70" t="s">
        <v>274</v>
      </c>
      <c r="F7694" s="29">
        <v>163</v>
      </c>
      <c r="G7694" s="29">
        <v>0</v>
      </c>
      <c r="H7694" s="29">
        <v>0</v>
      </c>
    </row>
    <row r="7695" spans="1:8" x14ac:dyDescent="0.4">
      <c r="A7695">
        <v>1996</v>
      </c>
      <c r="B7695" s="8" t="s">
        <v>638</v>
      </c>
      <c r="C7695" s="8" t="s">
        <v>726</v>
      </c>
      <c r="D7695" s="8" t="s">
        <v>271</v>
      </c>
      <c r="E7695" s="70" t="s">
        <v>275</v>
      </c>
      <c r="F7695" s="29">
        <v>62</v>
      </c>
      <c r="G7695" s="29">
        <v>0</v>
      </c>
      <c r="H7695" s="29">
        <v>0</v>
      </c>
    </row>
    <row r="7696" spans="1:8" x14ac:dyDescent="0.4">
      <c r="A7696">
        <v>1996</v>
      </c>
      <c r="B7696" s="8" t="s">
        <v>639</v>
      </c>
      <c r="C7696" s="8" t="s">
        <v>726</v>
      </c>
      <c r="D7696" s="8" t="s">
        <v>271</v>
      </c>
      <c r="E7696" s="70" t="s">
        <v>276</v>
      </c>
      <c r="F7696" s="29">
        <v>0</v>
      </c>
      <c r="G7696" s="29">
        <v>0</v>
      </c>
      <c r="H7696" s="29">
        <v>0</v>
      </c>
    </row>
    <row r="7697" spans="1:8" x14ac:dyDescent="0.4">
      <c r="A7697">
        <v>1996</v>
      </c>
      <c r="B7697" s="8" t="s">
        <v>640</v>
      </c>
      <c r="C7697" s="8" t="s">
        <v>726</v>
      </c>
      <c r="D7697" s="8" t="s">
        <v>271</v>
      </c>
      <c r="E7697" s="70" t="s">
        <v>277</v>
      </c>
      <c r="F7697" s="29">
        <v>0</v>
      </c>
      <c r="G7697" s="29">
        <v>0</v>
      </c>
      <c r="H7697" s="29">
        <v>0</v>
      </c>
    </row>
    <row r="7698" spans="1:8" x14ac:dyDescent="0.4">
      <c r="A7698">
        <v>1996</v>
      </c>
      <c r="B7698" s="8" t="s">
        <v>641</v>
      </c>
      <c r="C7698" s="8" t="s">
        <v>726</v>
      </c>
      <c r="D7698" s="8" t="s">
        <v>271</v>
      </c>
      <c r="E7698" s="70" t="s">
        <v>278</v>
      </c>
      <c r="F7698" s="29">
        <v>0</v>
      </c>
      <c r="G7698" s="29">
        <v>0</v>
      </c>
      <c r="H7698" s="29">
        <v>0</v>
      </c>
    </row>
    <row r="7699" spans="1:8" x14ac:dyDescent="0.4">
      <c r="A7699">
        <v>1996</v>
      </c>
      <c r="B7699" s="8" t="s">
        <v>642</v>
      </c>
      <c r="C7699" s="8" t="s">
        <v>726</v>
      </c>
      <c r="D7699" s="8" t="s">
        <v>271</v>
      </c>
      <c r="E7699" s="70" t="s">
        <v>85</v>
      </c>
      <c r="F7699" s="29">
        <v>71</v>
      </c>
      <c r="G7699" s="29">
        <v>0</v>
      </c>
      <c r="H7699" s="29">
        <v>0</v>
      </c>
    </row>
    <row r="7700" spans="1:8" x14ac:dyDescent="0.4">
      <c r="A7700">
        <v>1996</v>
      </c>
      <c r="B7700" s="8" t="s">
        <v>643</v>
      </c>
      <c r="C7700" s="8" t="s">
        <v>726</v>
      </c>
      <c r="D7700" s="8" t="s">
        <v>271</v>
      </c>
      <c r="E7700" s="70" t="s">
        <v>279</v>
      </c>
      <c r="F7700" s="29">
        <v>50</v>
      </c>
      <c r="G7700" s="29">
        <v>0</v>
      </c>
      <c r="H7700" s="29">
        <v>0</v>
      </c>
    </row>
    <row r="7701" spans="1:8" x14ac:dyDescent="0.4">
      <c r="A7701">
        <v>1996</v>
      </c>
      <c r="B7701" s="8" t="s">
        <v>644</v>
      </c>
      <c r="C7701" s="8" t="s">
        <v>726</v>
      </c>
      <c r="D7701" s="8" t="s">
        <v>271</v>
      </c>
      <c r="E7701" s="70" t="s">
        <v>280</v>
      </c>
      <c r="F7701" s="29">
        <v>36</v>
      </c>
      <c r="G7701" s="29">
        <v>0</v>
      </c>
      <c r="H7701" s="29">
        <v>0</v>
      </c>
    </row>
    <row r="7702" spans="1:8" x14ac:dyDescent="0.4">
      <c r="A7702">
        <v>1996</v>
      </c>
      <c r="B7702" s="8" t="s">
        <v>645</v>
      </c>
      <c r="C7702" s="8" t="s">
        <v>726</v>
      </c>
      <c r="D7702" s="8" t="s">
        <v>271</v>
      </c>
      <c r="E7702" s="70" t="s">
        <v>281</v>
      </c>
      <c r="F7702" s="29">
        <v>158</v>
      </c>
      <c r="G7702" s="29">
        <v>0</v>
      </c>
      <c r="H7702" s="29">
        <v>0</v>
      </c>
    </row>
    <row r="7703" spans="1:8" x14ac:dyDescent="0.4">
      <c r="A7703">
        <v>1996</v>
      </c>
      <c r="B7703" s="8" t="s">
        <v>646</v>
      </c>
      <c r="C7703" s="8" t="s">
        <v>726</v>
      </c>
      <c r="D7703" s="8" t="s">
        <v>271</v>
      </c>
      <c r="E7703" s="70" t="s">
        <v>282</v>
      </c>
      <c r="F7703" s="29">
        <v>0</v>
      </c>
      <c r="G7703" s="29">
        <v>0</v>
      </c>
      <c r="H7703" s="29">
        <v>0</v>
      </c>
    </row>
    <row r="7704" spans="1:8" x14ac:dyDescent="0.4">
      <c r="A7704">
        <v>1996</v>
      </c>
      <c r="B7704" s="8" t="s">
        <v>647</v>
      </c>
      <c r="C7704" s="8" t="s">
        <v>726</v>
      </c>
      <c r="D7704" s="8" t="s">
        <v>271</v>
      </c>
      <c r="E7704" s="70" t="s">
        <v>283</v>
      </c>
      <c r="F7704" s="29">
        <v>73</v>
      </c>
      <c r="G7704" s="29">
        <v>0</v>
      </c>
      <c r="H7704" s="29">
        <v>0</v>
      </c>
    </row>
    <row r="7705" spans="1:8" x14ac:dyDescent="0.4">
      <c r="A7705">
        <v>1996</v>
      </c>
      <c r="B7705" s="8" t="s">
        <v>648</v>
      </c>
      <c r="C7705" s="8" t="s">
        <v>726</v>
      </c>
      <c r="D7705" s="8" t="s">
        <v>271</v>
      </c>
      <c r="E7705" s="70" t="s">
        <v>284</v>
      </c>
      <c r="F7705" s="29">
        <v>103</v>
      </c>
      <c r="G7705" s="29">
        <v>0</v>
      </c>
      <c r="H7705" s="29">
        <v>0</v>
      </c>
    </row>
    <row r="7706" spans="1:8" x14ac:dyDescent="0.4">
      <c r="A7706">
        <v>1996</v>
      </c>
      <c r="B7706" s="8" t="s">
        <v>649</v>
      </c>
      <c r="C7706" s="8" t="s">
        <v>726</v>
      </c>
      <c r="D7706" s="8" t="s">
        <v>271</v>
      </c>
      <c r="E7706" s="70" t="s">
        <v>51</v>
      </c>
      <c r="F7706" s="29">
        <v>109</v>
      </c>
      <c r="G7706" s="29">
        <v>0</v>
      </c>
      <c r="H7706" s="29">
        <v>0</v>
      </c>
    </row>
    <row r="7707" spans="1:8" x14ac:dyDescent="0.4">
      <c r="A7707">
        <v>1996</v>
      </c>
      <c r="B7707" s="8" t="s">
        <v>650</v>
      </c>
      <c r="C7707" s="8" t="s">
        <v>726</v>
      </c>
      <c r="D7707" s="8" t="s">
        <v>271</v>
      </c>
      <c r="E7707" s="70" t="s">
        <v>285</v>
      </c>
      <c r="F7707" s="29">
        <v>477</v>
      </c>
      <c r="G7707" s="29">
        <v>0</v>
      </c>
      <c r="H7707" s="29">
        <v>0</v>
      </c>
    </row>
    <row r="7708" spans="1:8" x14ac:dyDescent="0.4">
      <c r="A7708">
        <v>1996</v>
      </c>
      <c r="B7708" s="8" t="s">
        <v>651</v>
      </c>
      <c r="C7708" s="8" t="s">
        <v>726</v>
      </c>
      <c r="D7708" s="8" t="s">
        <v>271</v>
      </c>
      <c r="E7708" s="70" t="s">
        <v>53</v>
      </c>
      <c r="F7708" s="29">
        <v>147</v>
      </c>
      <c r="G7708" s="29">
        <v>0</v>
      </c>
      <c r="H7708" s="29">
        <v>0</v>
      </c>
    </row>
    <row r="7709" spans="1:8" x14ac:dyDescent="0.4">
      <c r="A7709">
        <v>1996</v>
      </c>
      <c r="B7709" s="8" t="s">
        <v>652</v>
      </c>
      <c r="C7709" s="8" t="s">
        <v>726</v>
      </c>
      <c r="D7709" s="8" t="s">
        <v>271</v>
      </c>
      <c r="E7709" s="70" t="s">
        <v>286</v>
      </c>
      <c r="F7709" s="29">
        <v>1227</v>
      </c>
      <c r="G7709" s="29">
        <v>0</v>
      </c>
      <c r="H7709" s="29">
        <v>0</v>
      </c>
    </row>
    <row r="7710" spans="1:8" x14ac:dyDescent="0.4">
      <c r="A7710">
        <v>1996</v>
      </c>
      <c r="B7710" s="8" t="s">
        <v>653</v>
      </c>
      <c r="C7710" s="8" t="s">
        <v>727</v>
      </c>
      <c r="D7710" s="8" t="s">
        <v>288</v>
      </c>
      <c r="E7710" s="70" t="s">
        <v>287</v>
      </c>
      <c r="F7710" s="29">
        <v>0</v>
      </c>
      <c r="G7710" s="29">
        <v>0</v>
      </c>
      <c r="H7710" s="29">
        <v>0</v>
      </c>
    </row>
    <row r="7711" spans="1:8" x14ac:dyDescent="0.4">
      <c r="A7711">
        <v>1996</v>
      </c>
      <c r="B7711" s="8" t="s">
        <v>654</v>
      </c>
      <c r="C7711" s="8" t="s">
        <v>727</v>
      </c>
      <c r="D7711" s="8" t="s">
        <v>288</v>
      </c>
      <c r="E7711" s="70" t="s">
        <v>289</v>
      </c>
      <c r="F7711" s="29">
        <v>0</v>
      </c>
      <c r="G7711" s="29">
        <v>0</v>
      </c>
      <c r="H7711" s="29">
        <v>0</v>
      </c>
    </row>
    <row r="7712" spans="1:8" x14ac:dyDescent="0.4">
      <c r="A7712">
        <v>1996</v>
      </c>
      <c r="B7712" s="8" t="s">
        <v>655</v>
      </c>
      <c r="C7712" s="8" t="s">
        <v>727</v>
      </c>
      <c r="D7712" s="8" t="s">
        <v>288</v>
      </c>
      <c r="E7712" s="70" t="s">
        <v>290</v>
      </c>
      <c r="F7712" s="29">
        <v>0</v>
      </c>
      <c r="G7712" s="29">
        <v>0</v>
      </c>
      <c r="H7712" s="29">
        <v>0</v>
      </c>
    </row>
    <row r="7713" spans="1:8" x14ac:dyDescent="0.4">
      <c r="A7713">
        <v>1996</v>
      </c>
      <c r="B7713" s="8" t="s">
        <v>656</v>
      </c>
      <c r="C7713" s="8" t="s">
        <v>727</v>
      </c>
      <c r="D7713" s="8" t="s">
        <v>288</v>
      </c>
      <c r="E7713" s="70" t="s">
        <v>291</v>
      </c>
      <c r="F7713" s="29">
        <v>0</v>
      </c>
      <c r="G7713" s="29">
        <v>0</v>
      </c>
      <c r="H7713" s="29">
        <v>0</v>
      </c>
    </row>
    <row r="7714" spans="1:8" x14ac:dyDescent="0.4">
      <c r="A7714">
        <v>1996</v>
      </c>
      <c r="B7714" s="8" t="s">
        <v>657</v>
      </c>
      <c r="C7714" s="8" t="s">
        <v>727</v>
      </c>
      <c r="D7714" s="8" t="s">
        <v>288</v>
      </c>
      <c r="E7714" s="70" t="s">
        <v>292</v>
      </c>
      <c r="F7714" s="29">
        <v>0</v>
      </c>
      <c r="G7714" s="29">
        <v>0</v>
      </c>
      <c r="H7714" s="29">
        <v>0</v>
      </c>
    </row>
    <row r="7715" spans="1:8" x14ac:dyDescent="0.4">
      <c r="A7715">
        <v>1996</v>
      </c>
      <c r="B7715" s="8" t="s">
        <v>658</v>
      </c>
      <c r="C7715" s="8" t="s">
        <v>727</v>
      </c>
      <c r="D7715" s="8" t="s">
        <v>288</v>
      </c>
      <c r="E7715" s="70" t="s">
        <v>293</v>
      </c>
      <c r="F7715" s="29">
        <v>0</v>
      </c>
      <c r="G7715" s="29">
        <v>0</v>
      </c>
      <c r="H7715" s="29">
        <v>0</v>
      </c>
    </row>
    <row r="7716" spans="1:8" x14ac:dyDescent="0.4">
      <c r="A7716">
        <v>1996</v>
      </c>
      <c r="B7716" s="8" t="s">
        <v>659</v>
      </c>
      <c r="C7716" s="8" t="s">
        <v>727</v>
      </c>
      <c r="D7716" s="8" t="s">
        <v>288</v>
      </c>
      <c r="E7716" s="70" t="s">
        <v>294</v>
      </c>
      <c r="F7716" s="29">
        <v>0</v>
      </c>
      <c r="G7716" s="29">
        <v>0</v>
      </c>
      <c r="H7716" s="29">
        <v>0</v>
      </c>
    </row>
    <row r="7717" spans="1:8" x14ac:dyDescent="0.4">
      <c r="A7717">
        <v>1996</v>
      </c>
      <c r="B7717" s="8" t="s">
        <v>660</v>
      </c>
      <c r="C7717" s="8" t="s">
        <v>727</v>
      </c>
      <c r="D7717" s="8" t="s">
        <v>288</v>
      </c>
      <c r="E7717" s="70" t="s">
        <v>295</v>
      </c>
      <c r="F7717" s="29">
        <v>0</v>
      </c>
      <c r="G7717" s="29">
        <v>0</v>
      </c>
      <c r="H7717" s="29">
        <v>0</v>
      </c>
    </row>
    <row r="7718" spans="1:8" x14ac:dyDescent="0.4">
      <c r="A7718">
        <v>1996</v>
      </c>
      <c r="B7718" s="8" t="s">
        <v>661</v>
      </c>
      <c r="C7718" s="8" t="s">
        <v>727</v>
      </c>
      <c r="D7718" s="8" t="s">
        <v>288</v>
      </c>
      <c r="E7718" s="70" t="s">
        <v>296</v>
      </c>
      <c r="F7718" s="29">
        <v>0</v>
      </c>
      <c r="G7718" s="29">
        <v>0</v>
      </c>
      <c r="H7718" s="29">
        <v>0</v>
      </c>
    </row>
    <row r="7719" spans="1:8" x14ac:dyDescent="0.4">
      <c r="A7719">
        <v>1996</v>
      </c>
      <c r="B7719" s="8" t="s">
        <v>662</v>
      </c>
      <c r="C7719" s="8" t="s">
        <v>727</v>
      </c>
      <c r="D7719" s="8" t="s">
        <v>288</v>
      </c>
      <c r="E7719" s="70" t="s">
        <v>297</v>
      </c>
      <c r="F7719" s="29">
        <v>0</v>
      </c>
      <c r="G7719" s="29">
        <v>0</v>
      </c>
      <c r="H7719" s="29">
        <v>0</v>
      </c>
    </row>
    <row r="7720" spans="1:8" x14ac:dyDescent="0.4">
      <c r="A7720">
        <v>1996</v>
      </c>
      <c r="B7720" s="8" t="s">
        <v>663</v>
      </c>
      <c r="C7720" s="8" t="s">
        <v>727</v>
      </c>
      <c r="D7720" s="8" t="s">
        <v>288</v>
      </c>
      <c r="E7720" s="70" t="s">
        <v>298</v>
      </c>
      <c r="F7720" s="29">
        <v>0</v>
      </c>
      <c r="G7720" s="29">
        <v>0</v>
      </c>
      <c r="H7720" s="29">
        <v>0</v>
      </c>
    </row>
    <row r="7721" spans="1:8" x14ac:dyDescent="0.4">
      <c r="A7721">
        <v>1996</v>
      </c>
      <c r="B7721" s="8" t="s">
        <v>664</v>
      </c>
      <c r="C7721" s="8" t="s">
        <v>728</v>
      </c>
      <c r="D7721" s="8" t="s">
        <v>300</v>
      </c>
      <c r="E7721" s="70" t="s">
        <v>299</v>
      </c>
      <c r="F7721" s="29">
        <v>39</v>
      </c>
      <c r="G7721" s="29">
        <v>0</v>
      </c>
      <c r="H7721" s="29">
        <v>0</v>
      </c>
    </row>
    <row r="7722" spans="1:8" x14ac:dyDescent="0.4">
      <c r="A7722">
        <v>1996</v>
      </c>
      <c r="B7722" s="8" t="s">
        <v>665</v>
      </c>
      <c r="C7722" s="8" t="s">
        <v>728</v>
      </c>
      <c r="D7722" s="8" t="s">
        <v>300</v>
      </c>
      <c r="E7722" s="70" t="s">
        <v>36</v>
      </c>
      <c r="F7722" s="29">
        <v>73</v>
      </c>
      <c r="G7722" s="29">
        <v>0</v>
      </c>
      <c r="H7722" s="29">
        <v>0</v>
      </c>
    </row>
    <row r="7723" spans="1:8" x14ac:dyDescent="0.4">
      <c r="A7723">
        <v>1996</v>
      </c>
      <c r="B7723" s="8" t="s">
        <v>666</v>
      </c>
      <c r="C7723" s="8" t="s">
        <v>728</v>
      </c>
      <c r="D7723" s="8" t="s">
        <v>300</v>
      </c>
      <c r="E7723" s="70" t="s">
        <v>301</v>
      </c>
      <c r="F7723" s="29">
        <v>173</v>
      </c>
      <c r="G7723" s="29">
        <v>0</v>
      </c>
      <c r="H7723" s="29">
        <v>0</v>
      </c>
    </row>
    <row r="7724" spans="1:8" x14ac:dyDescent="0.4">
      <c r="A7724">
        <v>1996</v>
      </c>
      <c r="B7724" s="8" t="s">
        <v>667</v>
      </c>
      <c r="C7724" s="8" t="s">
        <v>728</v>
      </c>
      <c r="D7724" s="8" t="s">
        <v>300</v>
      </c>
      <c r="E7724" s="70" t="s">
        <v>302</v>
      </c>
      <c r="F7724" s="29">
        <v>68</v>
      </c>
      <c r="G7724" s="29">
        <v>0</v>
      </c>
      <c r="H7724" s="29">
        <v>0</v>
      </c>
    </row>
    <row r="7725" spans="1:8" x14ac:dyDescent="0.4">
      <c r="A7725">
        <v>1996</v>
      </c>
      <c r="B7725" s="8" t="s">
        <v>668</v>
      </c>
      <c r="C7725" s="8" t="s">
        <v>728</v>
      </c>
      <c r="D7725" s="8" t="s">
        <v>300</v>
      </c>
      <c r="E7725" s="70" t="s">
        <v>14</v>
      </c>
      <c r="F7725" s="29">
        <v>65</v>
      </c>
      <c r="G7725" s="29">
        <v>0</v>
      </c>
      <c r="H7725" s="29">
        <v>0</v>
      </c>
    </row>
    <row r="7726" spans="1:8" x14ac:dyDescent="0.4">
      <c r="A7726">
        <v>1996</v>
      </c>
      <c r="B7726" s="8" t="s">
        <v>669</v>
      </c>
      <c r="C7726" s="8" t="s">
        <v>728</v>
      </c>
      <c r="D7726" s="8" t="s">
        <v>300</v>
      </c>
      <c r="E7726" s="70" t="s">
        <v>303</v>
      </c>
      <c r="F7726" s="29">
        <v>28</v>
      </c>
      <c r="G7726" s="29">
        <v>0</v>
      </c>
      <c r="H7726" s="29">
        <v>0</v>
      </c>
    </row>
    <row r="7727" spans="1:8" x14ac:dyDescent="0.4">
      <c r="A7727">
        <v>1996</v>
      </c>
      <c r="B7727" s="8" t="s">
        <v>670</v>
      </c>
      <c r="C7727" s="8" t="s">
        <v>728</v>
      </c>
      <c r="D7727" s="8" t="s">
        <v>300</v>
      </c>
      <c r="E7727" s="70" t="s">
        <v>304</v>
      </c>
      <c r="F7727" s="29">
        <v>20</v>
      </c>
      <c r="G7727" s="29">
        <v>0</v>
      </c>
      <c r="H7727" s="29">
        <v>0</v>
      </c>
    </row>
    <row r="7728" spans="1:8" x14ac:dyDescent="0.4">
      <c r="A7728">
        <v>1996</v>
      </c>
      <c r="B7728" s="8" t="s">
        <v>671</v>
      </c>
      <c r="C7728" s="8" t="s">
        <v>728</v>
      </c>
      <c r="D7728" s="8" t="s">
        <v>300</v>
      </c>
      <c r="E7728" s="70" t="s">
        <v>305</v>
      </c>
      <c r="F7728" s="29">
        <v>31</v>
      </c>
      <c r="G7728" s="29">
        <v>0</v>
      </c>
      <c r="H7728" s="29">
        <v>0</v>
      </c>
    </row>
    <row r="7729" spans="1:8" x14ac:dyDescent="0.4">
      <c r="A7729">
        <v>1996</v>
      </c>
      <c r="B7729" s="8" t="s">
        <v>672</v>
      </c>
      <c r="C7729" s="8" t="s">
        <v>728</v>
      </c>
      <c r="D7729" s="8" t="s">
        <v>300</v>
      </c>
      <c r="E7729" s="70" t="s">
        <v>306</v>
      </c>
      <c r="F7729" s="29">
        <v>239</v>
      </c>
      <c r="G7729" s="29">
        <v>0</v>
      </c>
      <c r="H7729" s="29">
        <v>0</v>
      </c>
    </row>
    <row r="7730" spans="1:8" x14ac:dyDescent="0.4">
      <c r="A7730">
        <v>1996</v>
      </c>
      <c r="B7730" s="8" t="s">
        <v>673</v>
      </c>
      <c r="C7730" s="8" t="s">
        <v>728</v>
      </c>
      <c r="D7730" s="8" t="s">
        <v>300</v>
      </c>
      <c r="E7730" s="70" t="s">
        <v>307</v>
      </c>
      <c r="F7730" s="29">
        <v>240</v>
      </c>
      <c r="G7730" s="29">
        <v>0</v>
      </c>
      <c r="H7730" s="29">
        <v>0</v>
      </c>
    </row>
    <row r="7731" spans="1:8" x14ac:dyDescent="0.4">
      <c r="A7731">
        <v>1996</v>
      </c>
      <c r="B7731" s="8" t="s">
        <v>674</v>
      </c>
      <c r="C7731" s="8" t="s">
        <v>728</v>
      </c>
      <c r="D7731" s="8" t="s">
        <v>300</v>
      </c>
      <c r="E7731" s="70" t="s">
        <v>308</v>
      </c>
      <c r="F7731" s="29">
        <v>885</v>
      </c>
      <c r="G7731" s="29">
        <v>0</v>
      </c>
      <c r="H7731" s="29">
        <v>0</v>
      </c>
    </row>
    <row r="7732" spans="1:8" x14ac:dyDescent="0.4">
      <c r="A7732">
        <v>1996</v>
      </c>
      <c r="B7732" s="8" t="s">
        <v>675</v>
      </c>
      <c r="C7732" s="8" t="s">
        <v>728</v>
      </c>
      <c r="D7732" s="8" t="s">
        <v>300</v>
      </c>
      <c r="E7732" s="70" t="s">
        <v>51</v>
      </c>
      <c r="F7732" s="29">
        <v>45</v>
      </c>
      <c r="G7732" s="29">
        <v>0</v>
      </c>
      <c r="H7732" s="29">
        <v>0</v>
      </c>
    </row>
    <row r="7733" spans="1:8" x14ac:dyDescent="0.4">
      <c r="A7733">
        <v>1996</v>
      </c>
      <c r="B7733" s="8" t="s">
        <v>676</v>
      </c>
      <c r="C7733" s="8" t="s">
        <v>728</v>
      </c>
      <c r="D7733" s="8" t="s">
        <v>300</v>
      </c>
      <c r="E7733" s="70" t="s">
        <v>309</v>
      </c>
      <c r="F7733" s="29">
        <v>65</v>
      </c>
      <c r="G7733" s="29">
        <v>0</v>
      </c>
      <c r="H7733" s="29">
        <v>0</v>
      </c>
    </row>
    <row r="7734" spans="1:8" x14ac:dyDescent="0.4">
      <c r="A7734">
        <v>1996</v>
      </c>
      <c r="B7734" s="8" t="s">
        <v>677</v>
      </c>
      <c r="C7734" s="8" t="s">
        <v>728</v>
      </c>
      <c r="D7734" s="8" t="s">
        <v>300</v>
      </c>
      <c r="E7734" s="70" t="s">
        <v>310</v>
      </c>
      <c r="F7734" s="29">
        <v>50</v>
      </c>
      <c r="G7734" s="29">
        <v>0</v>
      </c>
      <c r="H7734" s="29">
        <v>0</v>
      </c>
    </row>
    <row r="7735" spans="1:8" x14ac:dyDescent="0.4">
      <c r="A7735">
        <v>1996</v>
      </c>
      <c r="B7735" s="8" t="s">
        <v>678</v>
      </c>
      <c r="C7735" s="8" t="s">
        <v>729</v>
      </c>
      <c r="D7735" s="8" t="s">
        <v>312</v>
      </c>
      <c r="E7735" s="70" t="s">
        <v>311</v>
      </c>
      <c r="F7735" s="29">
        <v>32</v>
      </c>
      <c r="G7735" s="29">
        <v>0</v>
      </c>
      <c r="H7735" s="29">
        <v>0</v>
      </c>
    </row>
    <row r="7736" spans="1:8" x14ac:dyDescent="0.4">
      <c r="A7736">
        <v>1996</v>
      </c>
      <c r="B7736" s="8" t="s">
        <v>679</v>
      </c>
      <c r="C7736" s="8" t="s">
        <v>729</v>
      </c>
      <c r="D7736" s="8" t="s">
        <v>312</v>
      </c>
      <c r="E7736" s="70" t="s">
        <v>313</v>
      </c>
      <c r="F7736" s="29">
        <v>221</v>
      </c>
      <c r="G7736" s="29">
        <v>0</v>
      </c>
      <c r="H7736" s="29">
        <v>0</v>
      </c>
    </row>
    <row r="7737" spans="1:8" x14ac:dyDescent="0.4">
      <c r="A7737">
        <v>1996</v>
      </c>
      <c r="B7737" s="8" t="s">
        <v>680</v>
      </c>
      <c r="C7737" s="8" t="s">
        <v>729</v>
      </c>
      <c r="D7737" s="8" t="s">
        <v>312</v>
      </c>
      <c r="E7737" s="70" t="s">
        <v>314</v>
      </c>
      <c r="F7737" s="29">
        <v>1026</v>
      </c>
      <c r="G7737" s="29">
        <v>0</v>
      </c>
      <c r="H7737" s="29">
        <v>0</v>
      </c>
    </row>
    <row r="7738" spans="1:8" x14ac:dyDescent="0.4">
      <c r="A7738">
        <v>1996</v>
      </c>
      <c r="B7738" s="8" t="s">
        <v>681</v>
      </c>
      <c r="C7738" s="8" t="s">
        <v>729</v>
      </c>
      <c r="D7738" s="8" t="s">
        <v>312</v>
      </c>
      <c r="E7738" s="70" t="s">
        <v>315</v>
      </c>
      <c r="F7738" s="29">
        <v>130</v>
      </c>
      <c r="G7738" s="29">
        <v>0</v>
      </c>
      <c r="H7738" s="29">
        <v>0</v>
      </c>
    </row>
    <row r="7739" spans="1:8" x14ac:dyDescent="0.4">
      <c r="A7739">
        <v>1996</v>
      </c>
      <c r="B7739" s="8" t="s">
        <v>682</v>
      </c>
      <c r="C7739" s="8" t="s">
        <v>729</v>
      </c>
      <c r="D7739" s="8" t="s">
        <v>312</v>
      </c>
      <c r="E7739" s="70" t="s">
        <v>316</v>
      </c>
      <c r="F7739" s="29">
        <v>485</v>
      </c>
      <c r="G7739" s="29">
        <v>0</v>
      </c>
      <c r="H7739" s="29">
        <v>0</v>
      </c>
    </row>
    <row r="7740" spans="1:8" x14ac:dyDescent="0.4">
      <c r="A7740">
        <v>1996</v>
      </c>
      <c r="B7740" s="8" t="s">
        <v>683</v>
      </c>
      <c r="C7740" s="8" t="s">
        <v>729</v>
      </c>
      <c r="D7740" s="8" t="s">
        <v>312</v>
      </c>
      <c r="E7740" s="70" t="s">
        <v>317</v>
      </c>
      <c r="F7740" s="29">
        <v>0</v>
      </c>
      <c r="G7740" s="29">
        <v>0</v>
      </c>
      <c r="H7740" s="29">
        <v>0</v>
      </c>
    </row>
    <row r="7741" spans="1:8" x14ac:dyDescent="0.4">
      <c r="A7741">
        <v>1996</v>
      </c>
      <c r="B7741" s="8" t="s">
        <v>684</v>
      </c>
      <c r="C7741" s="8" t="s">
        <v>729</v>
      </c>
      <c r="D7741" s="8" t="s">
        <v>312</v>
      </c>
      <c r="E7741" s="70" t="s">
        <v>318</v>
      </c>
      <c r="F7741" s="29">
        <v>330</v>
      </c>
      <c r="G7741" s="29">
        <v>0</v>
      </c>
      <c r="H7741" s="29">
        <v>0</v>
      </c>
    </row>
    <row r="7742" spans="1:8" x14ac:dyDescent="0.4">
      <c r="A7742">
        <v>1996</v>
      </c>
      <c r="B7742" s="8" t="s">
        <v>685</v>
      </c>
      <c r="C7742" s="8" t="s">
        <v>729</v>
      </c>
      <c r="D7742" s="8" t="s">
        <v>312</v>
      </c>
      <c r="E7742" s="70" t="s">
        <v>319</v>
      </c>
      <c r="F7742" s="29">
        <v>9</v>
      </c>
      <c r="G7742" s="29">
        <v>0</v>
      </c>
      <c r="H7742" s="29">
        <v>0</v>
      </c>
    </row>
    <row r="7743" spans="1:8" x14ac:dyDescent="0.4">
      <c r="A7743">
        <v>1996</v>
      </c>
      <c r="B7743" s="8" t="s">
        <v>686</v>
      </c>
      <c r="C7743" s="8" t="s">
        <v>729</v>
      </c>
      <c r="D7743" s="8" t="s">
        <v>312</v>
      </c>
      <c r="E7743" s="70" t="s">
        <v>320</v>
      </c>
      <c r="F7743" s="29">
        <v>164</v>
      </c>
      <c r="G7743" s="29">
        <v>0</v>
      </c>
      <c r="H7743" s="29">
        <v>0</v>
      </c>
    </row>
    <row r="7744" spans="1:8" x14ac:dyDescent="0.4">
      <c r="A7744">
        <v>1996</v>
      </c>
      <c r="B7744" s="8" t="s">
        <v>687</v>
      </c>
      <c r="C7744" s="8" t="s">
        <v>729</v>
      </c>
      <c r="D7744" s="8" t="s">
        <v>312</v>
      </c>
      <c r="E7744" s="70" t="s">
        <v>321</v>
      </c>
      <c r="F7744" s="29">
        <v>617</v>
      </c>
      <c r="G7744" s="29">
        <v>0</v>
      </c>
      <c r="H7744" s="29">
        <v>0</v>
      </c>
    </row>
    <row r="7745" spans="1:8" x14ac:dyDescent="0.4">
      <c r="A7745">
        <v>1996</v>
      </c>
      <c r="B7745" s="8" t="s">
        <v>688</v>
      </c>
      <c r="C7745" s="8" t="s">
        <v>729</v>
      </c>
      <c r="D7745" s="8" t="s">
        <v>312</v>
      </c>
      <c r="E7745" s="70" t="s">
        <v>322</v>
      </c>
      <c r="F7745" s="29">
        <v>347</v>
      </c>
      <c r="G7745" s="29">
        <v>0</v>
      </c>
      <c r="H7745" s="29">
        <v>0</v>
      </c>
    </row>
    <row r="7746" spans="1:8" x14ac:dyDescent="0.4">
      <c r="A7746">
        <v>1996</v>
      </c>
      <c r="B7746" s="8" t="s">
        <v>689</v>
      </c>
      <c r="C7746" s="8" t="s">
        <v>729</v>
      </c>
      <c r="D7746" s="8" t="s">
        <v>312</v>
      </c>
      <c r="E7746" s="70" t="s">
        <v>323</v>
      </c>
      <c r="F7746" s="29">
        <v>605</v>
      </c>
      <c r="G7746" s="29">
        <v>0</v>
      </c>
      <c r="H7746" s="29">
        <v>0</v>
      </c>
    </row>
    <row r="7747" spans="1:8" x14ac:dyDescent="0.4">
      <c r="A7747">
        <v>1996</v>
      </c>
      <c r="B7747" s="8" t="s">
        <v>690</v>
      </c>
      <c r="C7747" s="8" t="s">
        <v>729</v>
      </c>
      <c r="D7747" s="8" t="s">
        <v>312</v>
      </c>
      <c r="E7747" s="70" t="s">
        <v>324</v>
      </c>
      <c r="F7747" s="29">
        <v>8092</v>
      </c>
      <c r="G7747" s="29">
        <v>0</v>
      </c>
      <c r="H7747" s="29">
        <v>0</v>
      </c>
    </row>
    <row r="7748" spans="1:8" x14ac:dyDescent="0.4">
      <c r="A7748">
        <v>1996</v>
      </c>
      <c r="B7748" s="8" t="s">
        <v>691</v>
      </c>
      <c r="C7748" s="8" t="s">
        <v>729</v>
      </c>
      <c r="D7748" s="8" t="s">
        <v>312</v>
      </c>
      <c r="E7748" s="70" t="s">
        <v>85</v>
      </c>
      <c r="F7748" s="29">
        <v>183</v>
      </c>
      <c r="G7748" s="29">
        <v>0</v>
      </c>
      <c r="H7748" s="29">
        <v>0</v>
      </c>
    </row>
    <row r="7749" spans="1:8" x14ac:dyDescent="0.4">
      <c r="A7749">
        <v>1996</v>
      </c>
      <c r="B7749" s="8" t="s">
        <v>692</v>
      </c>
      <c r="C7749" s="8" t="s">
        <v>729</v>
      </c>
      <c r="D7749" s="8" t="s">
        <v>312</v>
      </c>
      <c r="E7749" s="70" t="s">
        <v>32</v>
      </c>
      <c r="F7749" s="29">
        <v>102</v>
      </c>
      <c r="G7749" s="29">
        <v>0</v>
      </c>
      <c r="H7749" s="29">
        <v>0</v>
      </c>
    </row>
    <row r="7750" spans="1:8" x14ac:dyDescent="0.4">
      <c r="A7750">
        <v>1996</v>
      </c>
      <c r="B7750" s="8" t="s">
        <v>693</v>
      </c>
      <c r="C7750" s="8" t="s">
        <v>729</v>
      </c>
      <c r="D7750" s="8" t="s">
        <v>312</v>
      </c>
      <c r="E7750" s="70" t="s">
        <v>325</v>
      </c>
      <c r="F7750" s="29">
        <v>212</v>
      </c>
      <c r="G7750" s="29">
        <v>0</v>
      </c>
      <c r="H7750" s="29">
        <v>0</v>
      </c>
    </row>
    <row r="7751" spans="1:8" x14ac:dyDescent="0.4">
      <c r="A7751">
        <v>1996</v>
      </c>
      <c r="B7751" s="8" t="s">
        <v>694</v>
      </c>
      <c r="C7751" s="8" t="s">
        <v>729</v>
      </c>
      <c r="D7751" s="8" t="s">
        <v>312</v>
      </c>
      <c r="E7751" s="70" t="s">
        <v>144</v>
      </c>
      <c r="F7751" s="29">
        <v>23</v>
      </c>
      <c r="G7751" s="29">
        <v>0</v>
      </c>
      <c r="H7751" s="29">
        <v>0</v>
      </c>
    </row>
    <row r="7752" spans="1:8" x14ac:dyDescent="0.4">
      <c r="A7752">
        <v>1996</v>
      </c>
      <c r="B7752" s="8" t="s">
        <v>695</v>
      </c>
      <c r="C7752" s="8" t="s">
        <v>729</v>
      </c>
      <c r="D7752" s="8" t="s">
        <v>312</v>
      </c>
      <c r="E7752" s="70" t="s">
        <v>326</v>
      </c>
      <c r="F7752" s="29">
        <v>105</v>
      </c>
      <c r="G7752" s="29">
        <v>0</v>
      </c>
      <c r="H7752" s="29">
        <v>0</v>
      </c>
    </row>
    <row r="7753" spans="1:8" x14ac:dyDescent="0.4">
      <c r="A7753">
        <v>1996</v>
      </c>
      <c r="B7753" s="8" t="s">
        <v>696</v>
      </c>
      <c r="C7753" s="8" t="s">
        <v>729</v>
      </c>
      <c r="D7753" s="8" t="s">
        <v>312</v>
      </c>
      <c r="E7753" s="70" t="s">
        <v>25</v>
      </c>
      <c r="F7753" s="29">
        <v>17</v>
      </c>
      <c r="G7753" s="29">
        <v>0</v>
      </c>
      <c r="H7753" s="29">
        <v>0</v>
      </c>
    </row>
    <row r="7754" spans="1:8" x14ac:dyDescent="0.4">
      <c r="A7754">
        <v>1996</v>
      </c>
      <c r="B7754" s="8" t="s">
        <v>697</v>
      </c>
      <c r="C7754" s="8" t="s">
        <v>729</v>
      </c>
      <c r="D7754" s="8" t="s">
        <v>312</v>
      </c>
      <c r="E7754" s="70" t="s">
        <v>51</v>
      </c>
      <c r="F7754" s="29">
        <v>231</v>
      </c>
      <c r="G7754" s="29">
        <v>0</v>
      </c>
      <c r="H7754" s="29">
        <v>0</v>
      </c>
    </row>
    <row r="7755" spans="1:8" x14ac:dyDescent="0.4">
      <c r="A7755">
        <v>1996</v>
      </c>
      <c r="B7755" s="8" t="s">
        <v>698</v>
      </c>
      <c r="C7755" s="8" t="s">
        <v>729</v>
      </c>
      <c r="D7755" s="8" t="s">
        <v>312</v>
      </c>
      <c r="E7755" s="70" t="s">
        <v>327</v>
      </c>
      <c r="F7755" s="29">
        <v>98</v>
      </c>
      <c r="G7755" s="29">
        <v>0</v>
      </c>
      <c r="H7755" s="29">
        <v>0</v>
      </c>
    </row>
    <row r="7756" spans="1:8" x14ac:dyDescent="0.4">
      <c r="A7756">
        <v>1996</v>
      </c>
      <c r="B7756" s="8" t="s">
        <v>733</v>
      </c>
      <c r="C7756" s="8" t="s">
        <v>715</v>
      </c>
      <c r="D7756" s="8" t="s">
        <v>734</v>
      </c>
      <c r="E7756" s="70" t="s">
        <v>735</v>
      </c>
      <c r="F7756" s="29">
        <v>0</v>
      </c>
      <c r="G7756" s="29">
        <v>0</v>
      </c>
      <c r="H7756" s="29">
        <v>0</v>
      </c>
    </row>
  </sheetData>
  <autoFilter ref="Q1:V332" xr:uid="{7A0DD931-2E52-4E43-B45D-B941D10D77F8}">
    <sortState xmlns:xlrd2="http://schemas.microsoft.com/office/spreadsheetml/2017/richdata2" ref="Q2:V332">
      <sortCondition ref="Q1:Q332"/>
    </sortState>
  </autoFilter>
  <pageMargins left="0.7" right="0.7" top="0.75" bottom="0.75" header="0.3" footer="0.3"/>
  <pageSetup paperSize="9" orientation="portrait" horizontalDpi="300" verticalDpi="30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32B83-3C8B-4600-9149-0ACD904B87D8}">
  <dimension ref="A1:AR919"/>
  <sheetViews>
    <sheetView zoomScale="70" zoomScaleNormal="70" workbookViewId="0">
      <selection activeCell="D1" sqref="D1"/>
    </sheetView>
  </sheetViews>
  <sheetFormatPr baseColWidth="10" defaultRowHeight="14.6" x14ac:dyDescent="0.4"/>
  <cols>
    <col min="1" max="1" width="42" style="5" customWidth="1"/>
    <col min="2" max="2" width="3.84375" style="5" bestFit="1" customWidth="1"/>
    <col min="3" max="3" width="21.765625" style="5" customWidth="1"/>
    <col min="4" max="4" width="50.3828125" style="5" customWidth="1"/>
    <col min="5" max="5" width="36.765625" style="5" customWidth="1"/>
    <col min="6" max="16384" width="11.07421875" style="5"/>
  </cols>
  <sheetData>
    <row r="1" spans="1:44" ht="14.6" customHeight="1" x14ac:dyDescent="0.4">
      <c r="A1" s="5" t="str">
        <f t="shared" ref="A1:A18" si="0">+B1&amp;"-"&amp;D1</f>
        <v>AN-ARAGUA DE BARCELONA</v>
      </c>
      <c r="B1" s="5" t="str">
        <f t="shared" ref="B1:B8" si="1">+MID(C1,1,2)</f>
        <v>AN</v>
      </c>
      <c r="C1" s="25" t="s">
        <v>7</v>
      </c>
      <c r="D1" s="82" t="s">
        <v>788</v>
      </c>
      <c r="E1" s="85">
        <v>100</v>
      </c>
      <c r="F1" s="85"/>
      <c r="G1" s="86"/>
      <c r="H1" s="86"/>
      <c r="I1" s="86"/>
      <c r="J1" s="86"/>
      <c r="K1" s="86"/>
      <c r="L1" s="86"/>
      <c r="M1" s="86"/>
      <c r="N1" s="86"/>
      <c r="O1" s="86"/>
      <c r="P1" s="87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</row>
    <row r="2" spans="1:44" ht="14.6" customHeight="1" x14ac:dyDescent="0.4">
      <c r="A2" s="5" t="str">
        <f t="shared" si="0"/>
        <v>AN-ATAPIRIRE</v>
      </c>
      <c r="B2" s="5" t="str">
        <f t="shared" si="1"/>
        <v>AN</v>
      </c>
      <c r="C2" s="25" t="s">
        <v>7</v>
      </c>
      <c r="D2" s="82" t="s">
        <v>789</v>
      </c>
      <c r="E2" s="85">
        <v>2</v>
      </c>
      <c r="F2" s="85"/>
      <c r="G2" s="86"/>
      <c r="H2" s="86"/>
      <c r="I2" s="86"/>
      <c r="J2" s="86"/>
      <c r="K2" s="86"/>
      <c r="L2" s="86"/>
      <c r="M2" s="86"/>
      <c r="N2" s="86"/>
      <c r="O2" s="86"/>
      <c r="P2" s="87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</row>
    <row r="3" spans="1:44" ht="14.6" customHeight="1" x14ac:dyDescent="0.4">
      <c r="A3" s="5" t="str">
        <f t="shared" si="0"/>
        <v>AN-BERGANTIN</v>
      </c>
      <c r="B3" s="5" t="str">
        <f t="shared" si="1"/>
        <v>AN</v>
      </c>
      <c r="C3" s="25" t="s">
        <v>7</v>
      </c>
      <c r="D3" s="82" t="s">
        <v>790</v>
      </c>
      <c r="E3" s="85">
        <v>11</v>
      </c>
      <c r="F3" s="85"/>
      <c r="G3" s="86"/>
      <c r="H3" s="86"/>
      <c r="I3" s="86"/>
      <c r="J3" s="86"/>
      <c r="K3" s="86"/>
      <c r="L3" s="86"/>
      <c r="M3" s="86"/>
      <c r="N3" s="86"/>
      <c r="O3" s="86"/>
      <c r="P3" s="87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</row>
    <row r="4" spans="1:44" ht="14.6" customHeight="1" x14ac:dyDescent="0.4">
      <c r="A4" s="5" t="str">
        <f t="shared" si="0"/>
        <v>AN-BOCA DE UCHIRE</v>
      </c>
      <c r="B4" s="5" t="str">
        <f t="shared" si="1"/>
        <v>AN</v>
      </c>
      <c r="C4" s="25" t="s">
        <v>7</v>
      </c>
      <c r="D4" s="82" t="s">
        <v>767</v>
      </c>
      <c r="E4" s="85">
        <v>27</v>
      </c>
      <c r="F4" s="85"/>
      <c r="G4" s="86"/>
      <c r="H4" s="86"/>
      <c r="I4" s="86"/>
      <c r="J4" s="86"/>
      <c r="K4" s="86"/>
      <c r="L4" s="86"/>
      <c r="M4" s="86"/>
      <c r="N4" s="86"/>
      <c r="O4" s="86"/>
      <c r="P4" s="87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</row>
    <row r="5" spans="1:44" ht="14.6" customHeight="1" x14ac:dyDescent="0.4">
      <c r="A5" s="5" t="str">
        <f t="shared" si="0"/>
        <v>AN-CACHIPO</v>
      </c>
      <c r="B5" s="5" t="str">
        <f t="shared" si="1"/>
        <v>AN</v>
      </c>
      <c r="C5" s="25" t="s">
        <v>7</v>
      </c>
      <c r="D5" s="82" t="s">
        <v>791</v>
      </c>
      <c r="E5" s="85">
        <v>5</v>
      </c>
      <c r="F5" s="85"/>
      <c r="G5" s="86"/>
      <c r="H5" s="86"/>
      <c r="I5" s="86"/>
      <c r="J5" s="86"/>
      <c r="K5" s="86"/>
      <c r="L5" s="86"/>
      <c r="M5" s="86"/>
      <c r="N5" s="86"/>
      <c r="O5" s="86"/>
      <c r="P5" s="87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</row>
    <row r="6" spans="1:44" ht="14.6" customHeight="1" x14ac:dyDescent="0.4">
      <c r="A6" s="5" t="str">
        <f t="shared" si="0"/>
        <v>AN-CAIGUA</v>
      </c>
      <c r="B6" s="5" t="str">
        <f t="shared" si="1"/>
        <v>AN</v>
      </c>
      <c r="C6" s="25" t="s">
        <v>7</v>
      </c>
      <c r="D6" s="82" t="s">
        <v>792</v>
      </c>
      <c r="E6" s="85">
        <v>19</v>
      </c>
      <c r="F6" s="85"/>
      <c r="G6" s="86"/>
      <c r="H6" s="86"/>
      <c r="I6" s="86"/>
      <c r="J6" s="86"/>
      <c r="K6" s="86"/>
      <c r="L6" s="86"/>
      <c r="M6" s="86"/>
      <c r="N6" s="86"/>
      <c r="O6" s="86"/>
      <c r="P6" s="87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</row>
    <row r="7" spans="1:44" ht="14.6" customHeight="1" x14ac:dyDescent="0.4">
      <c r="A7" s="5" t="str">
        <f t="shared" si="0"/>
        <v>AN-CANTAURA (FREITES)</v>
      </c>
      <c r="B7" s="5" t="str">
        <f t="shared" si="1"/>
        <v>AN</v>
      </c>
      <c r="C7" s="25" t="s">
        <v>7</v>
      </c>
      <c r="D7" s="82" t="s">
        <v>793</v>
      </c>
      <c r="E7" s="85">
        <v>141</v>
      </c>
      <c r="F7" s="85"/>
      <c r="G7" s="86"/>
      <c r="H7" s="86"/>
      <c r="I7" s="86"/>
      <c r="J7" s="86"/>
      <c r="K7" s="86"/>
      <c r="L7" s="86"/>
      <c r="M7" s="86"/>
      <c r="N7" s="86"/>
      <c r="O7" s="86"/>
      <c r="P7" s="87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</row>
    <row r="8" spans="1:44" ht="14.6" customHeight="1" x14ac:dyDescent="0.4">
      <c r="A8" s="5" t="str">
        <f t="shared" si="0"/>
        <v>AN-CARVAJAL</v>
      </c>
      <c r="B8" s="5" t="str">
        <f t="shared" si="1"/>
        <v>AN</v>
      </c>
      <c r="C8" s="25" t="s">
        <v>7</v>
      </c>
      <c r="D8" s="82" t="s">
        <v>794</v>
      </c>
      <c r="E8" s="85">
        <v>20</v>
      </c>
      <c r="F8" s="85"/>
      <c r="G8" s="86"/>
      <c r="H8" s="86"/>
      <c r="I8" s="86"/>
      <c r="J8" s="86"/>
      <c r="K8" s="86"/>
      <c r="L8" s="86"/>
      <c r="M8" s="86"/>
      <c r="N8" s="86"/>
      <c r="O8" s="86"/>
      <c r="P8" s="87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</row>
    <row r="9" spans="1:44" ht="14.6" customHeight="1" x14ac:dyDescent="0.4">
      <c r="A9" s="5" t="str">
        <f t="shared" si="0"/>
        <v>AN-CLARINES (BRUZUAL)</v>
      </c>
      <c r="B9" s="5" t="str">
        <f t="shared" ref="B9:B24" si="2">+MID(C9,1,2)</f>
        <v>AN</v>
      </c>
      <c r="C9" s="25" t="s">
        <v>7</v>
      </c>
      <c r="D9" s="82" t="s">
        <v>795</v>
      </c>
      <c r="E9" s="85">
        <v>36</v>
      </c>
      <c r="F9" s="85"/>
      <c r="G9" s="86"/>
      <c r="H9" s="86"/>
      <c r="I9" s="86"/>
      <c r="J9" s="86"/>
      <c r="K9" s="86"/>
      <c r="L9" s="86"/>
      <c r="M9" s="86"/>
      <c r="N9" s="86"/>
      <c r="O9" s="86"/>
      <c r="P9" s="87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</row>
    <row r="10" spans="1:44" ht="14.6" customHeight="1" x14ac:dyDescent="0.4">
      <c r="A10" s="5" t="str">
        <f t="shared" si="0"/>
        <v>AN-EL CARITO</v>
      </c>
      <c r="B10" s="5" t="str">
        <f t="shared" si="2"/>
        <v>AN</v>
      </c>
      <c r="C10" s="25" t="s">
        <v>7</v>
      </c>
      <c r="D10" s="82" t="s">
        <v>796</v>
      </c>
      <c r="E10" s="85">
        <v>3</v>
      </c>
      <c r="F10" s="85"/>
      <c r="G10" s="86"/>
      <c r="H10" s="86"/>
      <c r="I10" s="86"/>
      <c r="J10" s="86"/>
      <c r="K10" s="86"/>
      <c r="L10" s="86"/>
      <c r="M10" s="86"/>
      <c r="N10" s="86"/>
      <c r="O10" s="86"/>
      <c r="P10" s="87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</row>
    <row r="11" spans="1:44" ht="14.6" customHeight="1" x14ac:dyDescent="0.4">
      <c r="A11" s="5" t="str">
        <f t="shared" si="0"/>
        <v>AN-EL CARMEN</v>
      </c>
      <c r="B11" s="5" t="str">
        <f t="shared" si="2"/>
        <v>AN</v>
      </c>
      <c r="C11" s="25" t="s">
        <v>7</v>
      </c>
      <c r="D11" s="82" t="s">
        <v>797</v>
      </c>
      <c r="E11" s="85">
        <v>698</v>
      </c>
      <c r="F11" s="85"/>
      <c r="G11" s="86"/>
      <c r="H11" s="86"/>
      <c r="I11" s="86"/>
      <c r="J11" s="86"/>
      <c r="K11" s="86"/>
      <c r="L11" s="86"/>
      <c r="M11" s="86"/>
      <c r="N11" s="86"/>
      <c r="O11" s="86"/>
      <c r="P11" s="87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</row>
    <row r="12" spans="1:44" ht="14.6" customHeight="1" x14ac:dyDescent="0.4">
      <c r="A12" s="5" t="str">
        <f t="shared" si="0"/>
        <v>AN-EL PAO</v>
      </c>
      <c r="B12" s="5" t="str">
        <f t="shared" si="2"/>
        <v>AN</v>
      </c>
      <c r="C12" s="25" t="s">
        <v>7</v>
      </c>
      <c r="D12" s="82" t="s">
        <v>798</v>
      </c>
      <c r="E12" s="85">
        <v>4</v>
      </c>
      <c r="F12" s="85"/>
      <c r="G12" s="86"/>
      <c r="H12" s="86"/>
      <c r="I12" s="86"/>
      <c r="J12" s="86"/>
      <c r="K12" s="86"/>
      <c r="L12" s="86"/>
      <c r="M12" s="86"/>
      <c r="N12" s="86"/>
      <c r="O12" s="86"/>
      <c r="P12" s="87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</row>
    <row r="13" spans="1:44" ht="14.6" customHeight="1" x14ac:dyDescent="0.4">
      <c r="A13" s="5" t="str">
        <f t="shared" si="0"/>
        <v>AN-EL PILAR</v>
      </c>
      <c r="B13" s="5" t="str">
        <f t="shared" si="2"/>
        <v>AN</v>
      </c>
      <c r="C13" s="25" t="s">
        <v>7</v>
      </c>
      <c r="D13" s="82" t="s">
        <v>799</v>
      </c>
      <c r="E13" s="85">
        <v>10</v>
      </c>
      <c r="F13" s="85"/>
      <c r="G13" s="86"/>
      <c r="H13" s="86"/>
      <c r="I13" s="86"/>
      <c r="J13" s="86"/>
      <c r="K13" s="86"/>
      <c r="L13" s="86"/>
      <c r="M13" s="86"/>
      <c r="N13" s="86"/>
      <c r="O13" s="86"/>
      <c r="P13" s="87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</row>
    <row r="14" spans="1:44" ht="14.6" customHeight="1" x14ac:dyDescent="0.4">
      <c r="A14" s="5" t="str">
        <f t="shared" si="0"/>
        <v>AN-EL TIGRE</v>
      </c>
      <c r="B14" s="5" t="str">
        <f t="shared" si="2"/>
        <v>AN</v>
      </c>
      <c r="C14" s="25" t="s">
        <v>7</v>
      </c>
      <c r="D14" s="82" t="s">
        <v>800</v>
      </c>
      <c r="E14" s="85">
        <v>407</v>
      </c>
      <c r="F14" s="85"/>
      <c r="G14" s="86"/>
      <c r="H14" s="86"/>
      <c r="I14" s="86"/>
      <c r="J14" s="86"/>
      <c r="K14" s="86"/>
      <c r="L14" s="86"/>
      <c r="M14" s="86"/>
      <c r="N14" s="86"/>
      <c r="O14" s="86"/>
      <c r="P14" s="87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</row>
    <row r="15" spans="1:44" ht="14.6" customHeight="1" x14ac:dyDescent="0.4">
      <c r="A15" s="5" t="str">
        <f t="shared" si="0"/>
        <v>AN-FEDERACION (PEÑALVER)</v>
      </c>
      <c r="B15" s="5" t="str">
        <f t="shared" si="2"/>
        <v>AN</v>
      </c>
      <c r="C15" s="25" t="s">
        <v>7</v>
      </c>
      <c r="D15" s="82" t="s">
        <v>801</v>
      </c>
      <c r="E15" s="85">
        <v>29</v>
      </c>
      <c r="F15" s="85"/>
      <c r="G15" s="86"/>
      <c r="H15" s="86"/>
      <c r="I15" s="86"/>
      <c r="J15" s="86"/>
      <c r="K15" s="86"/>
      <c r="L15" s="86"/>
      <c r="M15" s="86"/>
      <c r="N15" s="86"/>
      <c r="O15" s="86"/>
      <c r="P15" s="87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</row>
    <row r="16" spans="1:44" ht="14.6" customHeight="1" x14ac:dyDescent="0.4">
      <c r="A16" s="5" t="str">
        <f t="shared" si="0"/>
        <v>AN-GUANAPE</v>
      </c>
      <c r="B16" s="5" t="str">
        <f t="shared" si="2"/>
        <v>AN</v>
      </c>
      <c r="C16" s="25" t="s">
        <v>7</v>
      </c>
      <c r="D16" s="82" t="s">
        <v>802</v>
      </c>
      <c r="E16" s="85">
        <v>15</v>
      </c>
      <c r="F16" s="85"/>
      <c r="G16" s="86"/>
      <c r="H16" s="86"/>
      <c r="I16" s="86"/>
      <c r="J16" s="86"/>
      <c r="K16" s="86"/>
      <c r="L16" s="86"/>
      <c r="M16" s="86"/>
      <c r="N16" s="86"/>
      <c r="O16" s="86"/>
      <c r="P16" s="87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</row>
    <row r="17" spans="1:44" ht="14.6" customHeight="1" x14ac:dyDescent="0.4">
      <c r="A17" s="5" t="str">
        <f t="shared" si="0"/>
        <v>AN-GUANIPA</v>
      </c>
      <c r="B17" s="5" t="str">
        <f t="shared" si="2"/>
        <v>AN</v>
      </c>
      <c r="C17" s="25" t="s">
        <v>7</v>
      </c>
      <c r="D17" s="82" t="s">
        <v>803</v>
      </c>
      <c r="E17" s="85">
        <v>109</v>
      </c>
      <c r="F17" s="85"/>
      <c r="G17" s="86"/>
      <c r="H17" s="86"/>
      <c r="I17" s="86"/>
      <c r="J17" s="86"/>
      <c r="K17" s="86"/>
      <c r="L17" s="86"/>
      <c r="M17" s="86"/>
      <c r="N17" s="86"/>
      <c r="O17" s="86"/>
      <c r="P17" s="87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</row>
    <row r="18" spans="1:44" ht="14.6" customHeight="1" x14ac:dyDescent="0.4">
      <c r="A18" s="5" t="str">
        <f t="shared" si="0"/>
        <v>AN-GUANTA</v>
      </c>
      <c r="B18" s="5" t="str">
        <f t="shared" si="2"/>
        <v>AN</v>
      </c>
      <c r="C18" s="25" t="s">
        <v>7</v>
      </c>
      <c r="D18" s="82" t="s">
        <v>804</v>
      </c>
      <c r="E18" s="85">
        <v>44</v>
      </c>
      <c r="F18" s="85"/>
      <c r="G18" s="86"/>
      <c r="H18" s="86"/>
      <c r="I18" s="86"/>
      <c r="J18" s="86"/>
      <c r="K18" s="86"/>
      <c r="L18" s="86"/>
      <c r="M18" s="86"/>
      <c r="N18" s="86"/>
      <c r="O18" s="86"/>
      <c r="P18" s="87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</row>
    <row r="19" spans="1:44" ht="14.6" customHeight="1" x14ac:dyDescent="0.4">
      <c r="A19" s="5" t="str">
        <f t="shared" ref="A19:A41" si="3">+B19&amp;"-"&amp;D19</f>
        <v>AN-GUEVARA Y LIRA (ANACO)</v>
      </c>
      <c r="B19" s="5" t="str">
        <f t="shared" si="2"/>
        <v>AN</v>
      </c>
      <c r="C19" s="25" t="s">
        <v>7</v>
      </c>
      <c r="D19" s="82" t="s">
        <v>805</v>
      </c>
      <c r="E19" s="85">
        <v>204</v>
      </c>
      <c r="F19" s="85"/>
      <c r="G19" s="86"/>
      <c r="H19" s="86"/>
      <c r="I19" s="86"/>
      <c r="J19" s="86"/>
      <c r="K19" s="86"/>
      <c r="L19" s="86"/>
      <c r="M19" s="86"/>
      <c r="N19" s="86"/>
      <c r="O19" s="86"/>
      <c r="P19" s="87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</row>
    <row r="20" spans="1:44" ht="14.6" customHeight="1" x14ac:dyDescent="0.4">
      <c r="A20" s="5" t="str">
        <f t="shared" si="3"/>
        <v>AN-LIBERTADOR</v>
      </c>
      <c r="B20" s="5" t="str">
        <f t="shared" si="2"/>
        <v>AN</v>
      </c>
      <c r="C20" s="25" t="s">
        <v>7</v>
      </c>
      <c r="D20" s="82" t="s">
        <v>806</v>
      </c>
      <c r="E20" s="85">
        <v>4</v>
      </c>
      <c r="F20" s="85"/>
      <c r="G20" s="86"/>
      <c r="H20" s="86"/>
      <c r="I20" s="86"/>
      <c r="J20" s="86"/>
      <c r="K20" s="86"/>
      <c r="L20" s="86"/>
      <c r="M20" s="86"/>
      <c r="N20" s="86"/>
      <c r="O20" s="86"/>
      <c r="P20" s="87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</row>
    <row r="21" spans="1:44" ht="14.6" customHeight="1" x14ac:dyDescent="0.4">
      <c r="A21" s="5" t="str">
        <f t="shared" si="3"/>
        <v>AN-LICENCIADO URBANEJA</v>
      </c>
      <c r="B21" s="5" t="str">
        <f t="shared" si="2"/>
        <v>AN</v>
      </c>
      <c r="C21" s="25" t="s">
        <v>7</v>
      </c>
      <c r="D21" s="82" t="s">
        <v>807</v>
      </c>
      <c r="E21" s="85">
        <v>72</v>
      </c>
      <c r="F21" s="85"/>
      <c r="G21" s="86"/>
      <c r="H21" s="86"/>
      <c r="I21" s="86"/>
      <c r="J21" s="86"/>
      <c r="K21" s="86"/>
      <c r="L21" s="86"/>
      <c r="M21" s="86"/>
      <c r="N21" s="86"/>
      <c r="O21" s="86"/>
      <c r="P21" s="87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</row>
    <row r="22" spans="1:44" ht="14.6" customHeight="1" x14ac:dyDescent="0.4">
      <c r="A22" s="5" t="str">
        <f t="shared" si="3"/>
        <v>AN-MAMO</v>
      </c>
      <c r="B22" s="5" t="str">
        <f t="shared" si="2"/>
        <v>AN</v>
      </c>
      <c r="C22" s="25" t="s">
        <v>7</v>
      </c>
      <c r="D22" s="82" t="s">
        <v>808</v>
      </c>
      <c r="E22" s="85">
        <v>8</v>
      </c>
      <c r="F22" s="85"/>
      <c r="G22" s="86"/>
      <c r="H22" s="86"/>
      <c r="I22" s="86"/>
      <c r="J22" s="86"/>
      <c r="K22" s="86"/>
      <c r="L22" s="86"/>
      <c r="M22" s="86"/>
      <c r="N22" s="86"/>
      <c r="O22" s="86"/>
      <c r="P22" s="87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</row>
    <row r="23" spans="1:44" ht="14.6" customHeight="1" x14ac:dyDescent="0.4">
      <c r="A23" s="5" t="str">
        <f t="shared" si="3"/>
        <v>AN-MAPIRE (MONAGAS)</v>
      </c>
      <c r="B23" s="5" t="str">
        <f t="shared" si="2"/>
        <v>AN</v>
      </c>
      <c r="C23" s="25" t="s">
        <v>7</v>
      </c>
      <c r="D23" s="82" t="s">
        <v>809</v>
      </c>
      <c r="E23" s="85">
        <v>13</v>
      </c>
      <c r="F23" s="85"/>
      <c r="G23" s="86"/>
      <c r="H23" s="86"/>
      <c r="I23" s="86"/>
      <c r="J23" s="86"/>
      <c r="K23" s="86"/>
      <c r="L23" s="86"/>
      <c r="M23" s="86"/>
      <c r="N23" s="86"/>
      <c r="O23" s="86"/>
      <c r="P23" s="87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</row>
    <row r="24" spans="1:44" ht="14.6" customHeight="1" x14ac:dyDescent="0.4">
      <c r="A24" s="5" t="str">
        <f t="shared" si="3"/>
        <v>AN-MCGREGOR</v>
      </c>
      <c r="B24" s="5" t="str">
        <f t="shared" si="2"/>
        <v>AN</v>
      </c>
      <c r="C24" s="25" t="s">
        <v>7</v>
      </c>
      <c r="D24" s="82" t="s">
        <v>810</v>
      </c>
      <c r="E24" s="85">
        <v>21</v>
      </c>
      <c r="F24" s="85"/>
      <c r="G24" s="86"/>
      <c r="H24" s="86"/>
      <c r="I24" s="86"/>
      <c r="J24" s="86"/>
      <c r="K24" s="86"/>
      <c r="L24" s="86"/>
      <c r="M24" s="86"/>
      <c r="N24" s="86"/>
      <c r="O24" s="86"/>
      <c r="P24" s="87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</row>
    <row r="25" spans="1:44" ht="14.6" customHeight="1" x14ac:dyDescent="0.4">
      <c r="A25" s="5" t="str">
        <f t="shared" si="3"/>
        <v>AN-NARICUAL</v>
      </c>
      <c r="B25" s="5" t="str">
        <f t="shared" ref="B25:B34" si="4">+MID(C25,1,2)</f>
        <v>AN</v>
      </c>
      <c r="C25" s="25" t="s">
        <v>7</v>
      </c>
      <c r="D25" s="82" t="s">
        <v>811</v>
      </c>
      <c r="E25" s="85">
        <v>21</v>
      </c>
      <c r="F25" s="85"/>
      <c r="G25" s="86"/>
      <c r="H25" s="86"/>
      <c r="I25" s="86"/>
      <c r="J25" s="86"/>
      <c r="K25" s="86"/>
      <c r="L25" s="86"/>
      <c r="M25" s="86"/>
      <c r="N25" s="86"/>
      <c r="O25" s="86"/>
      <c r="P25" s="87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</row>
    <row r="26" spans="1:44" ht="14.6" customHeight="1" x14ac:dyDescent="0.4">
      <c r="A26" s="5" t="str">
        <f t="shared" si="3"/>
        <v>AN-ONOTO (CAJIGAL)</v>
      </c>
      <c r="B26" s="5" t="str">
        <f t="shared" si="4"/>
        <v>AN</v>
      </c>
      <c r="C26" s="25" t="s">
        <v>7</v>
      </c>
      <c r="D26" s="82" t="s">
        <v>812</v>
      </c>
      <c r="E26" s="85">
        <v>8</v>
      </c>
      <c r="F26" s="85"/>
      <c r="G26" s="86"/>
      <c r="H26" s="86"/>
      <c r="I26" s="86"/>
      <c r="J26" s="86"/>
      <c r="K26" s="86"/>
      <c r="L26" s="86"/>
      <c r="M26" s="86"/>
      <c r="N26" s="86"/>
      <c r="O26" s="86"/>
      <c r="P26" s="87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</row>
    <row r="27" spans="1:44" ht="14.6" customHeight="1" x14ac:dyDescent="0.4">
      <c r="A27" s="5" t="str">
        <f t="shared" si="3"/>
        <v>AN-PARIGUIAN (MIRANDA)</v>
      </c>
      <c r="B27" s="5" t="str">
        <f t="shared" si="4"/>
        <v>AN</v>
      </c>
      <c r="C27" s="25" t="s">
        <v>7</v>
      </c>
      <c r="D27" s="82" t="s">
        <v>813</v>
      </c>
      <c r="E27" s="85">
        <v>72</v>
      </c>
      <c r="F27" s="85"/>
      <c r="G27" s="86"/>
      <c r="H27" s="86"/>
      <c r="I27" s="86"/>
      <c r="J27" s="86"/>
      <c r="K27" s="86"/>
      <c r="L27" s="86"/>
      <c r="M27" s="86"/>
      <c r="N27" s="86"/>
      <c r="O27" s="86"/>
      <c r="P27" s="87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</row>
    <row r="28" spans="1:44" ht="14.6" customHeight="1" x14ac:dyDescent="0.4">
      <c r="A28" s="5" t="str">
        <f t="shared" si="3"/>
        <v>AN-PIAR</v>
      </c>
      <c r="B28" s="5" t="str">
        <f t="shared" si="4"/>
        <v>AN</v>
      </c>
      <c r="C28" s="25" t="s">
        <v>7</v>
      </c>
      <c r="D28" s="82" t="s">
        <v>814</v>
      </c>
      <c r="E28" s="85">
        <v>4</v>
      </c>
      <c r="F28" s="85"/>
      <c r="G28" s="86"/>
      <c r="H28" s="86"/>
      <c r="I28" s="86"/>
      <c r="J28" s="86"/>
      <c r="K28" s="86"/>
      <c r="L28" s="86"/>
      <c r="M28" s="86"/>
      <c r="N28" s="86"/>
      <c r="O28" s="86"/>
      <c r="P28" s="87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</row>
    <row r="29" spans="1:44" ht="14.6" customHeight="1" x14ac:dyDescent="0.4">
      <c r="A29" s="5" t="str">
        <f t="shared" si="3"/>
        <v>AN-PIRITU</v>
      </c>
      <c r="B29" s="5" t="str">
        <f t="shared" si="4"/>
        <v>AN</v>
      </c>
      <c r="C29" s="25" t="s">
        <v>7</v>
      </c>
      <c r="D29" s="82" t="s">
        <v>815</v>
      </c>
      <c r="E29" s="85">
        <v>49</v>
      </c>
      <c r="F29" s="85"/>
      <c r="G29" s="86"/>
      <c r="H29" s="86"/>
      <c r="I29" s="86"/>
      <c r="J29" s="86"/>
      <c r="K29" s="86"/>
      <c r="L29" s="86"/>
      <c r="M29" s="86"/>
      <c r="N29" s="86"/>
      <c r="O29" s="86"/>
      <c r="P29" s="87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</row>
    <row r="30" spans="1:44" ht="14.6" customHeight="1" x14ac:dyDescent="0.4">
      <c r="A30" s="5" t="str">
        <f t="shared" si="3"/>
        <v>AN-POZUELOS</v>
      </c>
      <c r="B30" s="5" t="str">
        <f t="shared" si="4"/>
        <v>AN</v>
      </c>
      <c r="C30" s="25" t="s">
        <v>7</v>
      </c>
      <c r="D30" s="82" t="s">
        <v>816</v>
      </c>
      <c r="E30" s="85">
        <v>121</v>
      </c>
      <c r="F30" s="85"/>
      <c r="G30" s="86"/>
      <c r="H30" s="86"/>
      <c r="I30" s="86"/>
      <c r="J30" s="86"/>
      <c r="K30" s="86"/>
      <c r="L30" s="86"/>
      <c r="M30" s="86"/>
      <c r="N30" s="86"/>
      <c r="O30" s="86"/>
      <c r="P30" s="87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</row>
    <row r="31" spans="1:44" ht="14.6" customHeight="1" x14ac:dyDescent="0.4">
      <c r="A31" s="5" t="str">
        <f t="shared" si="3"/>
        <v>AN-PUERTO LA CRUZ (SOTILLO)</v>
      </c>
      <c r="B31" s="5" t="str">
        <f t="shared" si="4"/>
        <v>AN</v>
      </c>
      <c r="C31" s="25" t="s">
        <v>7</v>
      </c>
      <c r="D31" s="82" t="s">
        <v>817</v>
      </c>
      <c r="E31" s="85">
        <v>358</v>
      </c>
      <c r="F31" s="85"/>
      <c r="G31" s="86"/>
      <c r="H31" s="86"/>
      <c r="I31" s="86"/>
      <c r="J31" s="86"/>
      <c r="K31" s="86"/>
      <c r="L31" s="86"/>
      <c r="M31" s="86"/>
      <c r="N31" s="86"/>
      <c r="O31" s="86"/>
      <c r="P31" s="87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</row>
    <row r="32" spans="1:44" ht="14.6" customHeight="1" x14ac:dyDescent="0.4">
      <c r="A32" s="5" t="str">
        <f t="shared" si="3"/>
        <v>AN-SABANA DE UCHIRE</v>
      </c>
      <c r="B32" s="5" t="str">
        <f t="shared" si="4"/>
        <v>AN</v>
      </c>
      <c r="C32" s="25" t="s">
        <v>7</v>
      </c>
      <c r="D32" s="82" t="s">
        <v>818</v>
      </c>
      <c r="E32" s="85">
        <v>18</v>
      </c>
      <c r="F32" s="85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</row>
    <row r="33" spans="1:44" ht="14.6" customHeight="1" x14ac:dyDescent="0.4">
      <c r="A33" s="5" t="str">
        <f t="shared" si="3"/>
        <v>AN-SAN CRISTOBAL</v>
      </c>
      <c r="B33" s="5" t="str">
        <f t="shared" si="4"/>
        <v>AN</v>
      </c>
      <c r="C33" s="25" t="s">
        <v>7</v>
      </c>
      <c r="D33" s="82" t="s">
        <v>819</v>
      </c>
      <c r="E33" s="85">
        <v>198</v>
      </c>
      <c r="F33" s="85"/>
      <c r="G33" s="86"/>
      <c r="H33" s="86"/>
      <c r="I33" s="86"/>
      <c r="J33" s="86"/>
      <c r="K33" s="86"/>
      <c r="L33" s="86"/>
      <c r="M33" s="86"/>
      <c r="N33" s="86"/>
      <c r="O33" s="86"/>
      <c r="P33" s="87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</row>
    <row r="34" spans="1:44" ht="14.6" customHeight="1" x14ac:dyDescent="0.4">
      <c r="A34" s="5" t="str">
        <f t="shared" si="3"/>
        <v>AN-SAN DIEGO DE CABRUTICA</v>
      </c>
      <c r="B34" s="5" t="str">
        <f t="shared" si="4"/>
        <v>AN</v>
      </c>
      <c r="C34" s="25" t="s">
        <v>7</v>
      </c>
      <c r="D34" s="82" t="s">
        <v>820</v>
      </c>
      <c r="E34" s="85">
        <v>4</v>
      </c>
      <c r="F34" s="85"/>
      <c r="G34" s="86"/>
      <c r="H34" s="86"/>
      <c r="I34" s="86"/>
      <c r="J34" s="86"/>
      <c r="K34" s="86"/>
      <c r="L34" s="86"/>
      <c r="M34" s="86"/>
      <c r="N34" s="86"/>
      <c r="O34" s="86"/>
      <c r="P34" s="87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</row>
    <row r="35" spans="1:44" ht="14.6" customHeight="1" x14ac:dyDescent="0.4">
      <c r="A35" s="5" t="str">
        <f t="shared" si="3"/>
        <v>AN-SAN JOAQUIN</v>
      </c>
      <c r="B35" s="5" t="str">
        <f t="shared" ref="B35:B47" si="5">+MID(C35,1,2)</f>
        <v>AN</v>
      </c>
      <c r="C35" s="25" t="s">
        <v>7</v>
      </c>
      <c r="D35" s="82" t="s">
        <v>821</v>
      </c>
      <c r="E35" s="85">
        <v>8</v>
      </c>
      <c r="F35" s="85"/>
      <c r="G35" s="86"/>
      <c r="H35" s="86"/>
      <c r="I35" s="86"/>
      <c r="J35" s="86"/>
      <c r="K35" s="86"/>
      <c r="L35" s="86"/>
      <c r="M35" s="86"/>
      <c r="N35" s="86"/>
      <c r="O35" s="86"/>
      <c r="P35" s="87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</row>
    <row r="36" spans="1:44" ht="14.6" customHeight="1" x14ac:dyDescent="0.4">
      <c r="A36" s="5" t="str">
        <f t="shared" si="3"/>
        <v>AN-SAN MATEO (LIBERTAD)</v>
      </c>
      <c r="B36" s="5" t="str">
        <f t="shared" si="5"/>
        <v>AN</v>
      </c>
      <c r="C36" s="25" t="s">
        <v>7</v>
      </c>
      <c r="D36" s="82" t="s">
        <v>822</v>
      </c>
      <c r="E36" s="85">
        <v>17</v>
      </c>
      <c r="F36" s="85"/>
      <c r="G36" s="86"/>
      <c r="H36" s="86"/>
      <c r="I36" s="86"/>
      <c r="J36" s="86"/>
      <c r="K36" s="86"/>
      <c r="L36" s="86"/>
      <c r="M36" s="86"/>
      <c r="N36" s="86"/>
      <c r="O36" s="86"/>
      <c r="P36" s="87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</row>
    <row r="37" spans="1:44" ht="14.6" customHeight="1" x14ac:dyDescent="0.4">
      <c r="A37" s="5" t="str">
        <f t="shared" si="3"/>
        <v>AN-SAN MIGUEL</v>
      </c>
      <c r="B37" s="5" t="str">
        <f t="shared" si="5"/>
        <v>AN</v>
      </c>
      <c r="C37" s="25" t="s">
        <v>7</v>
      </c>
      <c r="D37" s="82" t="s">
        <v>823</v>
      </c>
      <c r="E37" s="85">
        <v>9</v>
      </c>
      <c r="F37" s="85"/>
      <c r="G37" s="86"/>
      <c r="H37" s="86"/>
      <c r="I37" s="86"/>
      <c r="J37" s="86"/>
      <c r="K37" s="86"/>
      <c r="L37" s="86"/>
      <c r="M37" s="86"/>
      <c r="N37" s="86"/>
      <c r="O37" s="86"/>
      <c r="P37" s="87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</row>
    <row r="38" spans="1:44" ht="14.6" customHeight="1" x14ac:dyDescent="0.4">
      <c r="A38" s="5" t="str">
        <f t="shared" si="3"/>
        <v>AN-SAN PABLO</v>
      </c>
      <c r="B38" s="5" t="str">
        <f t="shared" si="5"/>
        <v>AN</v>
      </c>
      <c r="C38" s="25" t="s">
        <v>7</v>
      </c>
      <c r="D38" s="82" t="s">
        <v>824</v>
      </c>
      <c r="E38" s="85">
        <v>4</v>
      </c>
      <c r="F38" s="85"/>
      <c r="G38" s="86"/>
      <c r="H38" s="86"/>
      <c r="I38" s="86"/>
      <c r="J38" s="86"/>
      <c r="K38" s="86"/>
      <c r="L38" s="86"/>
      <c r="M38" s="86"/>
      <c r="N38" s="86"/>
      <c r="O38" s="86"/>
      <c r="P38" s="87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</row>
    <row r="39" spans="1:44" ht="14.6" customHeight="1" x14ac:dyDescent="0.4">
      <c r="A39" s="5" t="str">
        <f t="shared" si="3"/>
        <v>AN-SANTA ANA</v>
      </c>
      <c r="B39" s="5" t="str">
        <f t="shared" si="5"/>
        <v>AN</v>
      </c>
      <c r="C39" s="25" t="s">
        <v>7</v>
      </c>
      <c r="D39" s="82" t="s">
        <v>768</v>
      </c>
      <c r="E39" s="85">
        <v>21</v>
      </c>
      <c r="F39" s="85"/>
      <c r="G39" s="86"/>
      <c r="H39" s="86"/>
      <c r="I39" s="86"/>
      <c r="J39" s="86"/>
      <c r="K39" s="86"/>
      <c r="L39" s="86"/>
      <c r="M39" s="86"/>
      <c r="N39" s="86"/>
      <c r="O39" s="86"/>
      <c r="P39" s="87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</row>
    <row r="40" spans="1:44" ht="14.6" customHeight="1" x14ac:dyDescent="0.4">
      <c r="A40" s="5" t="str">
        <f t="shared" si="3"/>
        <v>AN-SANTA CLARA</v>
      </c>
      <c r="B40" s="5" t="str">
        <f t="shared" si="5"/>
        <v>AN</v>
      </c>
      <c r="C40" s="25" t="s">
        <v>7</v>
      </c>
      <c r="D40" s="82" t="s">
        <v>825</v>
      </c>
      <c r="E40" s="85">
        <v>6</v>
      </c>
      <c r="F40" s="85"/>
      <c r="G40" s="86"/>
      <c r="H40" s="86"/>
      <c r="I40" s="86"/>
      <c r="J40" s="86"/>
      <c r="K40" s="86"/>
      <c r="L40" s="86"/>
      <c r="M40" s="86"/>
      <c r="N40" s="86"/>
      <c r="O40" s="86"/>
      <c r="P40" s="87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</row>
    <row r="41" spans="1:44" ht="14.6" customHeight="1" x14ac:dyDescent="0.4">
      <c r="A41" s="5" t="str">
        <f t="shared" si="3"/>
        <v>AN-SANTA INES</v>
      </c>
      <c r="B41" s="5" t="str">
        <f t="shared" si="5"/>
        <v>AN</v>
      </c>
      <c r="C41" s="25" t="s">
        <v>7</v>
      </c>
      <c r="D41" s="82" t="s">
        <v>826</v>
      </c>
      <c r="E41" s="85">
        <v>13</v>
      </c>
      <c r="F41" s="85"/>
      <c r="G41" s="86"/>
      <c r="H41" s="86"/>
      <c r="I41" s="86"/>
      <c r="J41" s="86"/>
      <c r="K41" s="86"/>
      <c r="L41" s="86"/>
      <c r="M41" s="86"/>
      <c r="N41" s="86"/>
      <c r="O41" s="86"/>
      <c r="P41" s="87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</row>
    <row r="42" spans="1:44" ht="14.6" customHeight="1" x14ac:dyDescent="0.4">
      <c r="A42" s="5" t="str">
        <f t="shared" ref="A42:A62" si="6">+B42&amp;"-"&amp;D42</f>
        <v>AN-SANTA ROSA</v>
      </c>
      <c r="B42" s="5" t="str">
        <f t="shared" si="5"/>
        <v>AN</v>
      </c>
      <c r="C42" s="25" t="s">
        <v>7</v>
      </c>
      <c r="D42" s="82" t="s">
        <v>827</v>
      </c>
      <c r="E42" s="85">
        <v>14</v>
      </c>
      <c r="F42" s="85"/>
      <c r="G42" s="86"/>
      <c r="H42" s="86"/>
      <c r="I42" s="86"/>
      <c r="J42" s="86"/>
      <c r="K42" s="86"/>
      <c r="L42" s="86"/>
      <c r="M42" s="86"/>
      <c r="N42" s="86"/>
      <c r="O42" s="86"/>
      <c r="P42" s="87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</row>
    <row r="43" spans="1:44" ht="14.6" customHeight="1" x14ac:dyDescent="0.4">
      <c r="A43" s="5" t="str">
        <f t="shared" si="6"/>
        <v>AN-SOLEDAD</v>
      </c>
      <c r="B43" s="5" t="str">
        <f t="shared" si="5"/>
        <v>AN</v>
      </c>
      <c r="C43" s="25" t="s">
        <v>7</v>
      </c>
      <c r="D43" s="82" t="s">
        <v>828</v>
      </c>
      <c r="E43" s="85">
        <v>37</v>
      </c>
      <c r="F43" s="85"/>
      <c r="G43" s="86"/>
      <c r="H43" s="86"/>
      <c r="I43" s="86"/>
      <c r="J43" s="86"/>
      <c r="K43" s="86"/>
      <c r="L43" s="86"/>
      <c r="M43" s="86"/>
      <c r="N43" s="86"/>
      <c r="O43" s="86"/>
      <c r="P43" s="87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</row>
    <row r="44" spans="1:44" ht="14.6" customHeight="1" x14ac:dyDescent="0.4">
      <c r="A44" s="5" t="str">
        <f t="shared" si="6"/>
        <v>AN-SUCRE</v>
      </c>
      <c r="B44" s="5" t="str">
        <f t="shared" si="5"/>
        <v>AN</v>
      </c>
      <c r="C44" s="25" t="s">
        <v>7</v>
      </c>
      <c r="D44" s="82" t="s">
        <v>829</v>
      </c>
      <c r="E44" s="85">
        <v>12</v>
      </c>
      <c r="F44" s="85"/>
      <c r="G44" s="86"/>
      <c r="H44" s="86"/>
      <c r="I44" s="86"/>
      <c r="J44" s="86"/>
      <c r="K44" s="86"/>
      <c r="L44" s="86"/>
      <c r="M44" s="86"/>
      <c r="N44" s="86"/>
      <c r="O44" s="86"/>
      <c r="P44" s="87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</row>
    <row r="45" spans="1:44" ht="14.6" customHeight="1" x14ac:dyDescent="0.4">
      <c r="A45" s="5" t="str">
        <f t="shared" si="6"/>
        <v>AN-URICA</v>
      </c>
      <c r="B45" s="5" t="str">
        <f t="shared" si="5"/>
        <v>AN</v>
      </c>
      <c r="C45" s="25" t="s">
        <v>7</v>
      </c>
      <c r="D45" s="82" t="s">
        <v>830</v>
      </c>
      <c r="E45" s="85">
        <v>4</v>
      </c>
      <c r="F45" s="85"/>
      <c r="G45" s="86"/>
      <c r="H45" s="86"/>
      <c r="I45" s="86"/>
      <c r="J45" s="86"/>
      <c r="K45" s="86"/>
      <c r="L45" s="86"/>
      <c r="M45" s="86"/>
      <c r="N45" s="86"/>
      <c r="O45" s="86"/>
      <c r="P45" s="87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</row>
    <row r="46" spans="1:44" ht="14.6" customHeight="1" x14ac:dyDescent="0.4">
      <c r="A46" s="5" t="str">
        <f t="shared" si="6"/>
        <v>AN-UVERITO</v>
      </c>
      <c r="B46" s="5" t="str">
        <f t="shared" si="5"/>
        <v>AN</v>
      </c>
      <c r="C46" s="25" t="s">
        <v>7</v>
      </c>
      <c r="D46" s="82" t="s">
        <v>831</v>
      </c>
      <c r="E46" s="85">
        <v>2</v>
      </c>
      <c r="F46" s="85"/>
      <c r="G46" s="86"/>
      <c r="H46" s="86"/>
      <c r="I46" s="86"/>
      <c r="J46" s="86"/>
      <c r="K46" s="86"/>
      <c r="L46" s="86"/>
      <c r="M46" s="86"/>
      <c r="N46" s="86"/>
      <c r="O46" s="86"/>
      <c r="P46" s="87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</row>
    <row r="47" spans="1:44" ht="14.6" customHeight="1" x14ac:dyDescent="0.4">
      <c r="A47" s="5" t="str">
        <f t="shared" si="6"/>
        <v>AN-ZUATA</v>
      </c>
      <c r="B47" s="5" t="str">
        <f t="shared" si="5"/>
        <v>AN</v>
      </c>
      <c r="C47" s="25" t="s">
        <v>7</v>
      </c>
      <c r="D47" s="82" t="s">
        <v>832</v>
      </c>
      <c r="E47" s="85">
        <v>6</v>
      </c>
      <c r="F47" s="85"/>
      <c r="G47" s="86"/>
      <c r="H47" s="86"/>
      <c r="I47" s="86"/>
      <c r="J47" s="86"/>
      <c r="K47" s="86"/>
      <c r="L47" s="86"/>
      <c r="M47" s="86"/>
      <c r="N47" s="86"/>
      <c r="O47" s="86"/>
      <c r="P47" s="87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</row>
    <row r="48" spans="1:44" ht="14.6" customHeight="1" x14ac:dyDescent="0.4">
      <c r="A48" s="5" t="str">
        <f t="shared" si="6"/>
        <v>AP-ACHAGUAS</v>
      </c>
      <c r="B48" s="5" t="str">
        <f t="shared" ref="B48:B59" si="7">+MID(C48,1,2)</f>
        <v>AP</v>
      </c>
      <c r="C48" s="83" t="s">
        <v>833</v>
      </c>
      <c r="D48" s="82" t="s">
        <v>834</v>
      </c>
      <c r="E48" s="85">
        <v>97</v>
      </c>
      <c r="F48" s="85"/>
      <c r="G48" s="86"/>
      <c r="H48" s="86"/>
      <c r="I48" s="86"/>
      <c r="J48" s="86"/>
      <c r="K48" s="86"/>
      <c r="L48" s="86"/>
      <c r="M48" s="86"/>
      <c r="N48" s="86"/>
      <c r="O48" s="86"/>
      <c r="P48" s="87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</row>
    <row r="49" spans="1:44" ht="14.6" customHeight="1" x14ac:dyDescent="0.4">
      <c r="A49" s="5" t="str">
        <f t="shared" si="6"/>
        <v>AP-APURITO</v>
      </c>
      <c r="B49" s="5" t="str">
        <f t="shared" si="7"/>
        <v>AP</v>
      </c>
      <c r="C49" s="83" t="s">
        <v>833</v>
      </c>
      <c r="D49" s="82" t="s">
        <v>835</v>
      </c>
      <c r="E49" s="85">
        <v>1</v>
      </c>
      <c r="F49" s="85"/>
      <c r="G49" s="86"/>
      <c r="H49" s="86"/>
      <c r="I49" s="86"/>
      <c r="J49" s="86"/>
      <c r="K49" s="86"/>
      <c r="L49" s="86"/>
      <c r="M49" s="86"/>
      <c r="N49" s="86"/>
      <c r="O49" s="86"/>
      <c r="P49" s="87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</row>
    <row r="50" spans="1:44" ht="14.6" customHeight="1" x14ac:dyDescent="0.4">
      <c r="A50" s="5" t="str">
        <f t="shared" si="6"/>
        <v>AP-ARAMENDI</v>
      </c>
      <c r="B50" s="5" t="str">
        <f t="shared" si="7"/>
        <v>AP</v>
      </c>
      <c r="C50" s="83" t="s">
        <v>833</v>
      </c>
      <c r="D50" s="82" t="s">
        <v>836</v>
      </c>
      <c r="E50" s="85">
        <v>1</v>
      </c>
      <c r="F50" s="85"/>
      <c r="G50" s="86"/>
      <c r="H50" s="86"/>
      <c r="I50" s="86"/>
      <c r="J50" s="86"/>
      <c r="K50" s="86"/>
      <c r="L50" s="86"/>
      <c r="M50" s="86"/>
      <c r="N50" s="86"/>
      <c r="O50" s="86"/>
      <c r="P50" s="87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</row>
    <row r="51" spans="1:44" ht="14.6" customHeight="1" x14ac:dyDescent="0.4">
      <c r="A51" s="5" t="str">
        <f t="shared" si="6"/>
        <v>AP-BIRUACA</v>
      </c>
      <c r="B51" s="5" t="str">
        <f t="shared" si="7"/>
        <v>AP</v>
      </c>
      <c r="C51" s="83" t="s">
        <v>833</v>
      </c>
      <c r="D51" s="82" t="s">
        <v>837</v>
      </c>
      <c r="E51" s="85">
        <v>49</v>
      </c>
      <c r="F51" s="85"/>
      <c r="G51" s="86"/>
      <c r="H51" s="86"/>
      <c r="I51" s="86"/>
      <c r="J51" s="86"/>
      <c r="K51" s="86"/>
      <c r="L51" s="86"/>
      <c r="M51" s="86"/>
      <c r="N51" s="86"/>
      <c r="O51" s="86"/>
      <c r="P51" s="87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</row>
    <row r="52" spans="1:44" ht="14.6" customHeight="1" x14ac:dyDescent="0.4">
      <c r="A52" s="5" t="str">
        <f t="shared" si="6"/>
        <v>AP-LOCALIDAD</v>
      </c>
      <c r="B52" s="5" t="str">
        <f t="shared" si="7"/>
        <v>AP</v>
      </c>
      <c r="C52" s="83" t="s">
        <v>833</v>
      </c>
      <c r="D52" s="88" t="s">
        <v>838</v>
      </c>
      <c r="E52" s="88" t="s">
        <v>839</v>
      </c>
      <c r="F52" s="88"/>
      <c r="G52" s="89"/>
      <c r="H52" s="89"/>
      <c r="I52" s="89"/>
      <c r="J52" s="89"/>
      <c r="K52" s="89"/>
      <c r="L52" s="89"/>
      <c r="M52" s="89"/>
      <c r="N52" s="89"/>
      <c r="O52" s="89"/>
      <c r="P52" s="90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</row>
    <row r="53" spans="1:44" ht="14.6" customHeight="1" x14ac:dyDescent="0.4">
      <c r="A53" s="5" t="str">
        <f t="shared" si="6"/>
        <v>AP-BRUZUAL</v>
      </c>
      <c r="B53" s="5" t="str">
        <f t="shared" si="7"/>
        <v>AP</v>
      </c>
      <c r="C53" s="83" t="s">
        <v>833</v>
      </c>
      <c r="D53" s="82" t="s">
        <v>840</v>
      </c>
      <c r="E53" s="85">
        <v>1</v>
      </c>
      <c r="F53" s="85"/>
      <c r="G53" s="86"/>
      <c r="H53" s="86"/>
      <c r="I53" s="86"/>
      <c r="J53" s="86"/>
      <c r="K53" s="86"/>
      <c r="L53" s="86"/>
      <c r="M53" s="86"/>
      <c r="N53" s="86"/>
      <c r="O53" s="86"/>
      <c r="P53" s="87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</row>
    <row r="54" spans="1:44" ht="14.6" customHeight="1" x14ac:dyDescent="0.4">
      <c r="A54" s="5" t="str">
        <f t="shared" si="6"/>
        <v>AP-CODAZZI</v>
      </c>
      <c r="B54" s="5" t="str">
        <f t="shared" si="7"/>
        <v>AP</v>
      </c>
      <c r="C54" s="83" t="s">
        <v>833</v>
      </c>
      <c r="D54" s="82" t="s">
        <v>841</v>
      </c>
      <c r="E54" s="85">
        <v>3</v>
      </c>
      <c r="F54" s="85"/>
      <c r="G54" s="86"/>
      <c r="H54" s="86"/>
      <c r="I54" s="86"/>
      <c r="J54" s="86"/>
      <c r="K54" s="86"/>
      <c r="L54" s="86"/>
      <c r="M54" s="86"/>
      <c r="N54" s="86"/>
      <c r="O54" s="86"/>
      <c r="P54" s="87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</row>
    <row r="55" spans="1:44" ht="14.6" customHeight="1" x14ac:dyDescent="0.4">
      <c r="A55" s="5" t="str">
        <f t="shared" si="6"/>
        <v>AP-CUNAVICHE</v>
      </c>
      <c r="B55" s="5" t="str">
        <f t="shared" si="7"/>
        <v>AP</v>
      </c>
      <c r="C55" s="83" t="s">
        <v>833</v>
      </c>
      <c r="D55" s="82" t="s">
        <v>842</v>
      </c>
      <c r="E55" s="85">
        <v>12</v>
      </c>
      <c r="F55" s="85"/>
      <c r="G55" s="86"/>
      <c r="H55" s="86"/>
      <c r="I55" s="86"/>
      <c r="J55" s="86"/>
      <c r="K55" s="86"/>
      <c r="L55" s="86"/>
      <c r="M55" s="86"/>
      <c r="N55" s="86"/>
      <c r="O55" s="86"/>
      <c r="P55" s="87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</row>
    <row r="56" spans="1:44" ht="14.6" customHeight="1" x14ac:dyDescent="0.4">
      <c r="A56" s="5" t="str">
        <f t="shared" si="6"/>
        <v>AP-EL AMPARO</v>
      </c>
      <c r="B56" s="5" t="str">
        <f t="shared" si="7"/>
        <v>AP</v>
      </c>
      <c r="C56" s="83" t="s">
        <v>833</v>
      </c>
      <c r="D56" s="82" t="s">
        <v>843</v>
      </c>
      <c r="E56" s="85">
        <v>9</v>
      </c>
      <c r="F56" s="85"/>
      <c r="G56" s="86"/>
      <c r="H56" s="86"/>
      <c r="I56" s="86"/>
      <c r="J56" s="86"/>
      <c r="K56" s="86"/>
      <c r="L56" s="86"/>
      <c r="M56" s="86"/>
      <c r="N56" s="86"/>
      <c r="O56" s="86"/>
      <c r="P56" s="87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</row>
    <row r="57" spans="1:44" ht="14.6" customHeight="1" x14ac:dyDescent="0.4">
      <c r="A57" s="5" t="str">
        <f t="shared" si="6"/>
        <v>AP-EL YAGUAL</v>
      </c>
      <c r="B57" s="5" t="str">
        <f t="shared" si="7"/>
        <v>AP</v>
      </c>
      <c r="C57" s="83" t="s">
        <v>833</v>
      </c>
      <c r="D57" s="82" t="s">
        <v>844</v>
      </c>
      <c r="E57" s="85">
        <v>3</v>
      </c>
      <c r="F57" s="85"/>
      <c r="G57" s="86"/>
      <c r="H57" s="86"/>
      <c r="I57" s="86"/>
      <c r="J57" s="86"/>
      <c r="K57" s="86"/>
      <c r="L57" s="86"/>
      <c r="M57" s="86"/>
      <c r="N57" s="86"/>
      <c r="O57" s="86"/>
      <c r="P57" s="87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</row>
    <row r="58" spans="1:44" ht="14.6" customHeight="1" x14ac:dyDescent="0.4">
      <c r="A58" s="5" t="str">
        <f t="shared" si="6"/>
        <v>AP-ELORZA</v>
      </c>
      <c r="B58" s="5" t="str">
        <f t="shared" si="7"/>
        <v>AP</v>
      </c>
      <c r="C58" s="83" t="s">
        <v>833</v>
      </c>
      <c r="D58" s="82" t="s">
        <v>845</v>
      </c>
      <c r="E58" s="85">
        <v>16</v>
      </c>
      <c r="F58" s="85"/>
      <c r="G58" s="86"/>
      <c r="H58" s="86"/>
      <c r="I58" s="86"/>
      <c r="J58" s="86"/>
      <c r="K58" s="86"/>
      <c r="L58" s="86"/>
      <c r="M58" s="86"/>
      <c r="N58" s="86"/>
      <c r="O58" s="86"/>
      <c r="P58" s="87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</row>
    <row r="59" spans="1:44" ht="14.6" customHeight="1" x14ac:dyDescent="0.4">
      <c r="A59" s="5" t="str">
        <f t="shared" si="6"/>
        <v>AP-GUACHARA</v>
      </c>
      <c r="B59" s="5" t="str">
        <f t="shared" si="7"/>
        <v>AP</v>
      </c>
      <c r="C59" s="83" t="s">
        <v>833</v>
      </c>
      <c r="D59" s="82" t="s">
        <v>846</v>
      </c>
      <c r="E59" s="85">
        <v>5</v>
      </c>
      <c r="F59" s="85"/>
      <c r="G59" s="86"/>
      <c r="H59" s="86"/>
      <c r="I59" s="86"/>
      <c r="J59" s="86"/>
      <c r="K59" s="86"/>
      <c r="L59" s="86"/>
      <c r="M59" s="86"/>
      <c r="N59" s="86"/>
      <c r="O59" s="86"/>
      <c r="P59" s="87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</row>
    <row r="60" spans="1:44" ht="14.6" customHeight="1" x14ac:dyDescent="0.4">
      <c r="A60" s="5" t="str">
        <f t="shared" si="6"/>
        <v>AP-GUASDUALITO</v>
      </c>
      <c r="B60" s="5" t="str">
        <f t="shared" ref="B60:B67" si="8">+MID(C60,1,2)</f>
        <v>AP</v>
      </c>
      <c r="C60" s="83" t="s">
        <v>833</v>
      </c>
      <c r="D60" s="82" t="s">
        <v>847</v>
      </c>
      <c r="E60" s="85">
        <v>143</v>
      </c>
      <c r="F60" s="85"/>
      <c r="G60" s="86"/>
      <c r="H60" s="86"/>
      <c r="I60" s="86"/>
      <c r="J60" s="86"/>
      <c r="K60" s="86"/>
      <c r="L60" s="86"/>
      <c r="M60" s="86"/>
      <c r="N60" s="86"/>
      <c r="O60" s="86"/>
      <c r="P60" s="87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</row>
    <row r="61" spans="1:44" ht="14.6" customHeight="1" x14ac:dyDescent="0.4">
      <c r="A61" s="5" t="str">
        <f t="shared" si="6"/>
        <v>AP-LA TRINIDAD</v>
      </c>
      <c r="B61" s="5" t="str">
        <f t="shared" si="8"/>
        <v>AP</v>
      </c>
      <c r="C61" s="83" t="s">
        <v>833</v>
      </c>
      <c r="D61" s="82" t="s">
        <v>848</v>
      </c>
      <c r="E61" s="85">
        <v>1</v>
      </c>
      <c r="F61" s="85"/>
      <c r="G61" s="86"/>
      <c r="H61" s="86"/>
      <c r="I61" s="86"/>
      <c r="J61" s="86"/>
      <c r="K61" s="86"/>
      <c r="L61" s="86"/>
      <c r="M61" s="86"/>
      <c r="N61" s="86"/>
      <c r="O61" s="86"/>
      <c r="P61" s="87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</row>
    <row r="62" spans="1:44" ht="14.6" customHeight="1" x14ac:dyDescent="0.4">
      <c r="A62" s="5" t="str">
        <f t="shared" si="6"/>
        <v>AP-MANTECAL</v>
      </c>
      <c r="B62" s="5" t="str">
        <f t="shared" si="8"/>
        <v>AP</v>
      </c>
      <c r="C62" s="83" t="s">
        <v>833</v>
      </c>
      <c r="D62" s="82" t="s">
        <v>849</v>
      </c>
      <c r="E62" s="85">
        <v>14</v>
      </c>
      <c r="F62" s="85"/>
      <c r="G62" s="86"/>
      <c r="H62" s="86"/>
      <c r="I62" s="86"/>
      <c r="J62" s="86"/>
      <c r="K62" s="86"/>
      <c r="L62" s="86"/>
      <c r="M62" s="86"/>
      <c r="N62" s="86"/>
      <c r="O62" s="86"/>
      <c r="P62" s="87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</row>
    <row r="63" spans="1:44" ht="14.6" customHeight="1" x14ac:dyDescent="0.4">
      <c r="A63" s="5" t="str">
        <f>+B63&amp;"-"&amp;D63</f>
        <v>AP-MUCURITAS</v>
      </c>
      <c r="B63" s="5" t="str">
        <f t="shared" si="8"/>
        <v>AP</v>
      </c>
      <c r="C63" s="83" t="s">
        <v>833</v>
      </c>
      <c r="D63" s="82" t="s">
        <v>850</v>
      </c>
      <c r="E63" s="85">
        <v>5</v>
      </c>
      <c r="F63" s="85"/>
      <c r="G63" s="86"/>
      <c r="H63" s="86"/>
      <c r="I63" s="86"/>
      <c r="J63" s="86"/>
      <c r="K63" s="86"/>
      <c r="L63" s="86"/>
      <c r="M63" s="86"/>
      <c r="N63" s="86"/>
      <c r="O63" s="86"/>
      <c r="P63" s="87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</row>
    <row r="64" spans="1:44" ht="14.6" customHeight="1" x14ac:dyDescent="0.4">
      <c r="A64" s="5" t="str">
        <f>+B64&amp;"-"&amp;D64</f>
        <v>AP-PEÑALVER</v>
      </c>
      <c r="B64" s="5" t="str">
        <f t="shared" si="8"/>
        <v>AP</v>
      </c>
      <c r="C64" s="83" t="s">
        <v>833</v>
      </c>
      <c r="D64" s="82" t="s">
        <v>851</v>
      </c>
      <c r="E64" s="85">
        <v>6</v>
      </c>
      <c r="F64" s="85"/>
      <c r="G64" s="86"/>
      <c r="H64" s="86"/>
      <c r="I64" s="86"/>
      <c r="J64" s="86"/>
      <c r="K64" s="86"/>
      <c r="L64" s="86"/>
      <c r="M64" s="86"/>
      <c r="N64" s="86"/>
      <c r="O64" s="86"/>
      <c r="P64" s="87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</row>
    <row r="65" spans="1:44" ht="14.6" customHeight="1" x14ac:dyDescent="0.4">
      <c r="A65" s="5" t="str">
        <f>+B65&amp;"-"&amp;D65</f>
        <v>AP-QUESERAS DEL MEDIO</v>
      </c>
      <c r="B65" s="5" t="str">
        <f t="shared" si="8"/>
        <v>AP</v>
      </c>
      <c r="C65" s="83" t="s">
        <v>833</v>
      </c>
      <c r="D65" s="82" t="s">
        <v>852</v>
      </c>
      <c r="E65" s="85">
        <v>10</v>
      </c>
      <c r="F65" s="85"/>
      <c r="G65" s="86"/>
      <c r="H65" s="86"/>
      <c r="I65" s="86"/>
      <c r="J65" s="86"/>
      <c r="K65" s="86"/>
      <c r="L65" s="86"/>
      <c r="M65" s="86"/>
      <c r="N65" s="86"/>
      <c r="O65" s="86"/>
      <c r="P65" s="87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</row>
    <row r="66" spans="1:44" ht="14.6" customHeight="1" x14ac:dyDescent="0.4">
      <c r="A66" s="5" t="str">
        <f>+B66&amp;"-"&amp;D66</f>
        <v>AP-QUINTERO</v>
      </c>
      <c r="B66" s="5" t="str">
        <f t="shared" si="8"/>
        <v>AP</v>
      </c>
      <c r="C66" s="83" t="s">
        <v>833</v>
      </c>
      <c r="D66" s="82" t="s">
        <v>853</v>
      </c>
      <c r="E66" s="85">
        <v>2</v>
      </c>
      <c r="F66" s="85"/>
      <c r="G66" s="86"/>
      <c r="H66" s="86"/>
      <c r="I66" s="86"/>
      <c r="J66" s="86"/>
      <c r="K66" s="86"/>
      <c r="L66" s="86"/>
      <c r="M66" s="86"/>
      <c r="N66" s="86"/>
      <c r="O66" s="86"/>
      <c r="P66" s="87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</row>
    <row r="67" spans="1:44" ht="14.6" customHeight="1" x14ac:dyDescent="0.4">
      <c r="A67" s="5" t="str">
        <f>+B67&amp;"-"&amp;D67</f>
        <v>AP-RINCON HONDO</v>
      </c>
      <c r="B67" s="5" t="str">
        <f t="shared" si="8"/>
        <v>AP</v>
      </c>
      <c r="C67" s="83" t="s">
        <v>833</v>
      </c>
      <c r="D67" s="82" t="s">
        <v>854</v>
      </c>
      <c r="E67" s="85">
        <v>1</v>
      </c>
      <c r="F67" s="85"/>
      <c r="G67" s="86"/>
      <c r="H67" s="86"/>
      <c r="I67" s="86"/>
      <c r="J67" s="86"/>
      <c r="K67" s="86"/>
      <c r="L67" s="86"/>
      <c r="M67" s="86"/>
      <c r="N67" s="86"/>
      <c r="O67" s="86"/>
      <c r="P67" s="87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</row>
    <row r="68" spans="1:44" ht="14.6" customHeight="1" x14ac:dyDescent="0.4">
      <c r="A68" s="5" t="str">
        <f t="shared" ref="A68:A77" si="9">+B68&amp;"-"&amp;D68</f>
        <v>AP-SAN CAMILO</v>
      </c>
      <c r="B68" s="5" t="str">
        <f t="shared" ref="B68:B77" si="10">+MID(C68,1,2)</f>
        <v>AP</v>
      </c>
      <c r="C68" s="83" t="s">
        <v>833</v>
      </c>
      <c r="D68" s="82" t="s">
        <v>855</v>
      </c>
      <c r="E68" s="85">
        <v>52</v>
      </c>
      <c r="F68" s="85"/>
      <c r="G68" s="86"/>
      <c r="H68" s="86"/>
      <c r="I68" s="86"/>
      <c r="J68" s="86"/>
      <c r="K68" s="86"/>
      <c r="L68" s="86"/>
      <c r="M68" s="86"/>
      <c r="N68" s="86"/>
      <c r="O68" s="86"/>
      <c r="P68" s="87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</row>
    <row r="69" spans="1:44" ht="14.6" customHeight="1" x14ac:dyDescent="0.4">
      <c r="A69" s="5" t="str">
        <f t="shared" si="9"/>
        <v>AP-SAN FERNANDO</v>
      </c>
      <c r="B69" s="5" t="str">
        <f t="shared" si="10"/>
        <v>AP</v>
      </c>
      <c r="C69" s="83" t="s">
        <v>833</v>
      </c>
      <c r="D69" s="82" t="s">
        <v>856</v>
      </c>
      <c r="E69" s="85">
        <v>714</v>
      </c>
      <c r="F69" s="85"/>
      <c r="G69" s="86"/>
      <c r="H69" s="86"/>
      <c r="I69" s="86"/>
      <c r="J69" s="86"/>
      <c r="K69" s="86"/>
      <c r="L69" s="86"/>
      <c r="M69" s="86"/>
      <c r="N69" s="86"/>
      <c r="O69" s="86"/>
      <c r="P69" s="87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</row>
    <row r="70" spans="1:44" ht="14.6" customHeight="1" x14ac:dyDescent="0.4">
      <c r="A70" s="5" t="str">
        <f t="shared" si="9"/>
        <v>AP-SAN JUAN DE PAYARA</v>
      </c>
      <c r="B70" s="5" t="str">
        <f t="shared" si="10"/>
        <v>AP</v>
      </c>
      <c r="C70" s="83" t="s">
        <v>833</v>
      </c>
      <c r="D70" s="82" t="s">
        <v>857</v>
      </c>
      <c r="E70" s="85">
        <v>7</v>
      </c>
      <c r="F70" s="85"/>
      <c r="G70" s="86"/>
      <c r="H70" s="86"/>
      <c r="I70" s="86"/>
      <c r="J70" s="86"/>
      <c r="K70" s="86"/>
      <c r="L70" s="86"/>
      <c r="M70" s="86"/>
      <c r="N70" s="86"/>
      <c r="O70" s="86"/>
      <c r="P70" s="87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</row>
    <row r="71" spans="1:44" ht="14.6" customHeight="1" x14ac:dyDescent="0.4">
      <c r="A71" s="5" t="str">
        <f t="shared" si="9"/>
        <v>AP-SAN RAFAEL DE ATAMAICA</v>
      </c>
      <c r="B71" s="5" t="str">
        <f t="shared" si="10"/>
        <v>AP</v>
      </c>
      <c r="C71" s="83" t="s">
        <v>833</v>
      </c>
      <c r="D71" s="82" t="s">
        <v>858</v>
      </c>
      <c r="E71" s="85">
        <v>10</v>
      </c>
      <c r="F71" s="85"/>
      <c r="G71" s="86"/>
      <c r="H71" s="86"/>
      <c r="I71" s="86"/>
      <c r="J71" s="86"/>
      <c r="K71" s="86"/>
      <c r="L71" s="86"/>
      <c r="M71" s="86"/>
      <c r="N71" s="86"/>
      <c r="O71" s="86"/>
      <c r="P71" s="87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</row>
    <row r="72" spans="1:44" ht="14.6" customHeight="1" x14ac:dyDescent="0.4">
      <c r="A72" s="5" t="str">
        <f t="shared" si="9"/>
        <v>AP-URDANETA</v>
      </c>
      <c r="B72" s="5" t="str">
        <f t="shared" si="10"/>
        <v>AP</v>
      </c>
      <c r="C72" s="83" t="s">
        <v>833</v>
      </c>
      <c r="D72" s="82" t="s">
        <v>859</v>
      </c>
      <c r="E72" s="85">
        <v>10</v>
      </c>
      <c r="F72" s="85"/>
      <c r="G72" s="86"/>
      <c r="H72" s="86"/>
      <c r="I72" s="86"/>
      <c r="J72" s="86"/>
      <c r="K72" s="86"/>
      <c r="L72" s="86"/>
      <c r="M72" s="86"/>
      <c r="N72" s="86"/>
      <c r="O72" s="86"/>
      <c r="P72" s="87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</row>
    <row r="73" spans="1:44" ht="14.6" customHeight="1" x14ac:dyDescent="0.4">
      <c r="A73" s="5" t="str">
        <f t="shared" si="9"/>
        <v>AR-BARBACOAS</v>
      </c>
      <c r="B73" s="5" t="str">
        <f t="shared" si="10"/>
        <v>AR</v>
      </c>
      <c r="C73" s="83" t="s">
        <v>769</v>
      </c>
      <c r="D73" s="82" t="s">
        <v>860</v>
      </c>
      <c r="E73" s="85">
        <v>31</v>
      </c>
      <c r="F73" s="85"/>
      <c r="G73" s="86"/>
      <c r="H73" s="86"/>
      <c r="I73" s="86"/>
      <c r="J73" s="86"/>
      <c r="K73" s="86"/>
      <c r="L73" s="86"/>
      <c r="M73" s="86"/>
      <c r="N73" s="86"/>
      <c r="O73" s="86"/>
      <c r="P73" s="87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</row>
    <row r="74" spans="1:44" ht="14.6" customHeight="1" x14ac:dyDescent="0.4">
      <c r="A74" s="5" t="str">
        <f t="shared" si="9"/>
        <v>AR-BELLA VISTA</v>
      </c>
      <c r="B74" s="5" t="str">
        <f t="shared" si="10"/>
        <v>AR</v>
      </c>
      <c r="C74" s="83" t="s">
        <v>769</v>
      </c>
      <c r="D74" s="82" t="s">
        <v>861</v>
      </c>
      <c r="E74" s="85">
        <v>7</v>
      </c>
      <c r="F74" s="85"/>
      <c r="G74" s="86"/>
      <c r="H74" s="86"/>
      <c r="I74" s="86"/>
      <c r="J74" s="86"/>
      <c r="K74" s="86"/>
      <c r="L74" s="86"/>
      <c r="M74" s="86"/>
      <c r="N74" s="86"/>
      <c r="O74" s="86"/>
      <c r="P74" s="87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</row>
    <row r="75" spans="1:44" ht="14.6" customHeight="1" x14ac:dyDescent="0.4">
      <c r="A75" s="5" t="str">
        <f t="shared" si="9"/>
        <v>AR-CAGUA</v>
      </c>
      <c r="B75" s="5" t="str">
        <f t="shared" si="10"/>
        <v>AR</v>
      </c>
      <c r="C75" s="83" t="s">
        <v>769</v>
      </c>
      <c r="D75" s="82" t="s">
        <v>862</v>
      </c>
      <c r="E75" s="85">
        <v>312</v>
      </c>
      <c r="F75" s="85"/>
      <c r="G75" s="86"/>
      <c r="H75" s="86"/>
      <c r="I75" s="86"/>
      <c r="J75" s="86"/>
      <c r="K75" s="86"/>
      <c r="L75" s="86"/>
      <c r="M75" s="86"/>
      <c r="N75" s="86"/>
      <c r="O75" s="86"/>
      <c r="P75" s="87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</row>
    <row r="76" spans="1:44" ht="14.6" customHeight="1" x14ac:dyDescent="0.4">
      <c r="A76" s="5" t="str">
        <f t="shared" si="9"/>
        <v>AR-CAMATAGUA</v>
      </c>
      <c r="B76" s="5" t="str">
        <f t="shared" si="10"/>
        <v>AR</v>
      </c>
      <c r="C76" s="83" t="s">
        <v>769</v>
      </c>
      <c r="D76" s="82" t="s">
        <v>863</v>
      </c>
      <c r="E76" s="85">
        <v>42</v>
      </c>
      <c r="F76" s="85"/>
      <c r="G76" s="86"/>
      <c r="H76" s="86"/>
      <c r="I76" s="86"/>
      <c r="J76" s="86"/>
      <c r="K76" s="86"/>
      <c r="L76" s="86"/>
      <c r="M76" s="86"/>
      <c r="N76" s="86"/>
      <c r="O76" s="86"/>
      <c r="P76" s="87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</row>
    <row r="77" spans="1:44" ht="14.6" customHeight="1" x14ac:dyDescent="0.4">
      <c r="A77" s="5" t="str">
        <f t="shared" si="9"/>
        <v>AR-CARMEN DE CURA</v>
      </c>
      <c r="B77" s="5" t="str">
        <f t="shared" si="10"/>
        <v>AR</v>
      </c>
      <c r="C77" s="83" t="s">
        <v>769</v>
      </c>
      <c r="D77" s="82" t="s">
        <v>864</v>
      </c>
      <c r="E77" s="85">
        <v>1</v>
      </c>
      <c r="F77" s="85"/>
      <c r="G77" s="86"/>
      <c r="H77" s="86"/>
      <c r="I77" s="86"/>
      <c r="J77" s="86"/>
      <c r="K77" s="86"/>
      <c r="L77" s="86"/>
      <c r="M77" s="86"/>
      <c r="N77" s="86"/>
      <c r="O77" s="86"/>
      <c r="P77" s="87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</row>
    <row r="78" spans="1:44" ht="14.6" customHeight="1" x14ac:dyDescent="0.4">
      <c r="A78" s="5" t="str">
        <f t="shared" ref="A78:A85" si="11">+B78&amp;"-"&amp;D78</f>
        <v>AR-CHORONI</v>
      </c>
      <c r="B78" s="5" t="str">
        <f t="shared" ref="B78:B85" si="12">+MID(C78,1,2)</f>
        <v>AR</v>
      </c>
      <c r="C78" s="83" t="s">
        <v>769</v>
      </c>
      <c r="D78" s="82" t="s">
        <v>865</v>
      </c>
      <c r="E78" s="85">
        <v>20</v>
      </c>
      <c r="F78" s="85"/>
      <c r="G78" s="86"/>
      <c r="H78" s="86"/>
      <c r="I78" s="86"/>
      <c r="J78" s="86"/>
      <c r="K78" s="86"/>
      <c r="L78" s="86"/>
      <c r="M78" s="86"/>
      <c r="N78" s="86"/>
      <c r="O78" s="86"/>
      <c r="P78" s="87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</row>
    <row r="79" spans="1:44" ht="14.6" customHeight="1" x14ac:dyDescent="0.4">
      <c r="A79" s="5" t="str">
        <f t="shared" si="11"/>
        <v>AR-COLONIA TOVAR</v>
      </c>
      <c r="B79" s="5" t="str">
        <f t="shared" si="12"/>
        <v>AR</v>
      </c>
      <c r="C79" s="83" t="s">
        <v>769</v>
      </c>
      <c r="D79" s="82" t="s">
        <v>866</v>
      </c>
      <c r="E79" s="85">
        <v>35</v>
      </c>
      <c r="F79" s="85"/>
      <c r="G79" s="86"/>
      <c r="H79" s="86"/>
      <c r="I79" s="86"/>
      <c r="J79" s="86"/>
      <c r="K79" s="86"/>
      <c r="L79" s="86"/>
      <c r="M79" s="86"/>
      <c r="N79" s="86"/>
      <c r="O79" s="86"/>
      <c r="P79" s="87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</row>
    <row r="80" spans="1:44" ht="14.6" customHeight="1" x14ac:dyDescent="0.4">
      <c r="A80" s="5" t="str">
        <f t="shared" si="11"/>
        <v>AR-CRESPO</v>
      </c>
      <c r="B80" s="5" t="str">
        <f t="shared" si="12"/>
        <v>AR</v>
      </c>
      <c r="C80" s="83" t="s">
        <v>769</v>
      </c>
      <c r="D80" s="82" t="s">
        <v>867</v>
      </c>
      <c r="E80" s="85">
        <v>2632</v>
      </c>
      <c r="F80" s="85"/>
      <c r="G80" s="86"/>
      <c r="H80" s="86"/>
      <c r="I80" s="86"/>
      <c r="J80" s="86"/>
      <c r="K80" s="86"/>
      <c r="L80" s="86"/>
      <c r="M80" s="86"/>
      <c r="N80" s="86"/>
      <c r="O80" s="86"/>
      <c r="P80" s="87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</row>
    <row r="81" spans="1:44" ht="14.6" customHeight="1" x14ac:dyDescent="0.4">
      <c r="A81" s="5" t="str">
        <f t="shared" si="11"/>
        <v>AR-EL CONSEJO</v>
      </c>
      <c r="B81" s="5" t="str">
        <f t="shared" si="12"/>
        <v>AR</v>
      </c>
      <c r="C81" s="83" t="s">
        <v>769</v>
      </c>
      <c r="D81" s="82" t="s">
        <v>868</v>
      </c>
      <c r="E81" s="85">
        <v>88</v>
      </c>
      <c r="F81" s="85"/>
      <c r="G81" s="86"/>
      <c r="H81" s="86"/>
      <c r="I81" s="86"/>
      <c r="J81" s="86"/>
      <c r="K81" s="86"/>
      <c r="L81" s="86"/>
      <c r="M81" s="86"/>
      <c r="N81" s="86"/>
      <c r="O81" s="86"/>
      <c r="P81" s="87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</row>
    <row r="82" spans="1:44" ht="14.6" customHeight="1" x14ac:dyDescent="0.4">
      <c r="A82" s="5" t="str">
        <f t="shared" si="11"/>
        <v>AR-GUIRIPA</v>
      </c>
      <c r="B82" s="5" t="str">
        <f t="shared" si="12"/>
        <v>AR</v>
      </c>
      <c r="C82" s="83" t="s">
        <v>769</v>
      </c>
      <c r="D82" s="82" t="s">
        <v>869</v>
      </c>
      <c r="E82" s="85">
        <v>5</v>
      </c>
      <c r="F82" s="85"/>
      <c r="G82" s="86"/>
      <c r="H82" s="86"/>
      <c r="I82" s="86"/>
      <c r="J82" s="86"/>
      <c r="K82" s="86"/>
      <c r="L82" s="86"/>
      <c r="M82" s="86"/>
      <c r="N82" s="86"/>
      <c r="O82" s="86"/>
      <c r="P82" s="87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</row>
    <row r="83" spans="1:44" ht="14.6" customHeight="1" x14ac:dyDescent="0.4">
      <c r="A83" s="5" t="str">
        <f t="shared" si="11"/>
        <v>AR-LA VICTORIA</v>
      </c>
      <c r="B83" s="5" t="str">
        <f t="shared" si="12"/>
        <v>AR</v>
      </c>
      <c r="C83" s="83" t="s">
        <v>769</v>
      </c>
      <c r="D83" s="82" t="s">
        <v>870</v>
      </c>
      <c r="E83" s="85">
        <v>710</v>
      </c>
      <c r="F83" s="85"/>
      <c r="G83" s="86"/>
      <c r="H83" s="86"/>
      <c r="I83" s="86"/>
      <c r="J83" s="86"/>
      <c r="K83" s="86"/>
      <c r="L83" s="86"/>
      <c r="M83" s="86"/>
      <c r="N83" s="86"/>
      <c r="O83" s="86"/>
      <c r="P83" s="87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</row>
    <row r="84" spans="1:44" ht="14.6" customHeight="1" x14ac:dyDescent="0.4">
      <c r="A84" s="5" t="str">
        <f t="shared" si="11"/>
        <v>AR-LAS PEÑITAS</v>
      </c>
      <c r="B84" s="5" t="str">
        <f t="shared" si="12"/>
        <v>AR</v>
      </c>
      <c r="C84" s="83" t="s">
        <v>769</v>
      </c>
      <c r="D84" s="82" t="s">
        <v>871</v>
      </c>
      <c r="E84" s="85">
        <v>5</v>
      </c>
      <c r="F84" s="85"/>
      <c r="G84" s="86"/>
      <c r="H84" s="86"/>
      <c r="I84" s="86"/>
      <c r="J84" s="86"/>
      <c r="K84" s="86"/>
      <c r="L84" s="86"/>
      <c r="M84" s="86"/>
      <c r="N84" s="86"/>
      <c r="O84" s="86"/>
      <c r="P84" s="87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</row>
    <row r="85" spans="1:44" ht="14.6" customHeight="1" x14ac:dyDescent="0.4">
      <c r="A85" s="5" t="str">
        <f t="shared" si="11"/>
        <v>AR-LAS TEJERIAS</v>
      </c>
      <c r="B85" s="5" t="str">
        <f t="shared" si="12"/>
        <v>AR</v>
      </c>
      <c r="C85" s="83" t="s">
        <v>769</v>
      </c>
      <c r="D85" s="82" t="s">
        <v>872</v>
      </c>
      <c r="E85" s="85">
        <v>72</v>
      </c>
      <c r="F85" s="85"/>
      <c r="G85" s="86"/>
      <c r="H85" s="86"/>
      <c r="I85" s="86"/>
      <c r="J85" s="86"/>
      <c r="K85" s="86"/>
      <c r="L85" s="86"/>
      <c r="M85" s="86"/>
      <c r="N85" s="86"/>
      <c r="O85" s="86"/>
      <c r="P85" s="87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</row>
    <row r="86" spans="1:44" ht="14.6" customHeight="1" x14ac:dyDescent="0.4">
      <c r="A86" s="5" t="str">
        <f t="shared" ref="A86:A97" si="13">+B86&amp;"-"&amp;D86</f>
        <v>AR-MAGDALENO</v>
      </c>
      <c r="B86" s="5" t="str">
        <f t="shared" ref="B86:B97" si="14">+MID(C86,1,2)</f>
        <v>AR</v>
      </c>
      <c r="C86" s="83" t="s">
        <v>769</v>
      </c>
      <c r="D86" s="82" t="s">
        <v>873</v>
      </c>
      <c r="E86" s="85">
        <v>31</v>
      </c>
      <c r="F86" s="85"/>
      <c r="G86" s="86"/>
      <c r="H86" s="86"/>
      <c r="I86" s="86"/>
      <c r="J86" s="86"/>
      <c r="K86" s="86"/>
      <c r="L86" s="86"/>
      <c r="M86" s="86"/>
      <c r="N86" s="86"/>
      <c r="O86" s="86"/>
      <c r="P86" s="87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</row>
    <row r="87" spans="1:44" ht="14.6" customHeight="1" x14ac:dyDescent="0.4">
      <c r="A87" s="5" t="str">
        <f t="shared" si="13"/>
        <v>AR-MARIO BRICEÑO IRAGORRY</v>
      </c>
      <c r="B87" s="5" t="str">
        <f t="shared" si="14"/>
        <v>AR</v>
      </c>
      <c r="C87" s="83" t="s">
        <v>769</v>
      </c>
      <c r="D87" s="82" t="s">
        <v>874</v>
      </c>
      <c r="E87" s="85">
        <v>198</v>
      </c>
      <c r="F87" s="85"/>
      <c r="G87" s="86"/>
      <c r="H87" s="86"/>
      <c r="I87" s="86"/>
      <c r="J87" s="86"/>
      <c r="K87" s="86"/>
      <c r="L87" s="86"/>
      <c r="M87" s="86"/>
      <c r="N87" s="86"/>
      <c r="O87" s="86"/>
      <c r="P87" s="87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</row>
    <row r="88" spans="1:44" ht="14.6" customHeight="1" x14ac:dyDescent="0.4">
      <c r="A88" s="5" t="str">
        <f t="shared" si="13"/>
        <v>AR-OCUMARE DE LA COSTA</v>
      </c>
      <c r="B88" s="5" t="str">
        <f t="shared" si="14"/>
        <v>AR</v>
      </c>
      <c r="C88" s="83" t="s">
        <v>769</v>
      </c>
      <c r="D88" s="82" t="s">
        <v>875</v>
      </c>
      <c r="E88" s="85">
        <v>27</v>
      </c>
      <c r="F88" s="85"/>
      <c r="G88" s="86"/>
      <c r="H88" s="86"/>
      <c r="I88" s="86"/>
      <c r="J88" s="86"/>
      <c r="K88" s="86"/>
      <c r="L88" s="86"/>
      <c r="M88" s="86"/>
      <c r="N88" s="86"/>
      <c r="O88" s="86"/>
      <c r="P88" s="87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</row>
    <row r="89" spans="1:44" ht="14.6" customHeight="1" x14ac:dyDescent="0.4">
      <c r="A89" s="5" t="str">
        <f t="shared" si="13"/>
        <v>AR-OLLA DE CARAMACATE</v>
      </c>
      <c r="B89" s="5" t="str">
        <f t="shared" si="14"/>
        <v>AR</v>
      </c>
      <c r="C89" s="83" t="s">
        <v>769</v>
      </c>
      <c r="D89" s="82" t="s">
        <v>876</v>
      </c>
      <c r="E89" s="85">
        <v>2</v>
      </c>
      <c r="F89" s="85"/>
      <c r="G89" s="86"/>
      <c r="H89" s="86"/>
      <c r="I89" s="86"/>
      <c r="J89" s="86"/>
      <c r="K89" s="86"/>
      <c r="L89" s="86"/>
      <c r="M89" s="86"/>
      <c r="N89" s="86"/>
      <c r="O89" s="86"/>
      <c r="P89" s="87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</row>
    <row r="90" spans="1:44" ht="14.6" customHeight="1" x14ac:dyDescent="0.4">
      <c r="A90" s="5" t="str">
        <f t="shared" si="13"/>
        <v>AR-PAEZ</v>
      </c>
      <c r="B90" s="5" t="str">
        <f t="shared" si="14"/>
        <v>AR</v>
      </c>
      <c r="C90" s="83" t="s">
        <v>769</v>
      </c>
      <c r="D90" s="82" t="s">
        <v>877</v>
      </c>
      <c r="E90" s="85">
        <v>323</v>
      </c>
      <c r="F90" s="85"/>
      <c r="G90" s="86"/>
      <c r="H90" s="86"/>
      <c r="I90" s="86"/>
      <c r="J90" s="86"/>
      <c r="K90" s="86"/>
      <c r="L90" s="86"/>
      <c r="M90" s="86"/>
      <c r="N90" s="86"/>
      <c r="O90" s="86"/>
      <c r="P90" s="87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</row>
    <row r="91" spans="1:44" ht="14.6" customHeight="1" x14ac:dyDescent="0.4">
      <c r="A91" s="5" t="str">
        <f t="shared" si="13"/>
        <v>AR-Palo negro (Libertador)</v>
      </c>
      <c r="B91" s="5" t="str">
        <f t="shared" si="14"/>
        <v>AR</v>
      </c>
      <c r="C91" s="83" t="s">
        <v>769</v>
      </c>
      <c r="D91" s="82" t="s">
        <v>878</v>
      </c>
      <c r="E91" s="85">
        <v>399</v>
      </c>
      <c r="F91" s="85"/>
      <c r="G91" s="86"/>
      <c r="H91" s="86"/>
      <c r="I91" s="86"/>
      <c r="J91" s="86"/>
      <c r="K91" s="86"/>
      <c r="L91" s="86"/>
      <c r="M91" s="86"/>
      <c r="N91" s="86"/>
      <c r="O91" s="86"/>
      <c r="P91" s="87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</row>
    <row r="92" spans="1:44" ht="14.6" customHeight="1" x14ac:dyDescent="0.4">
      <c r="A92" s="5" t="str">
        <f t="shared" si="13"/>
        <v>AR-PAO DE ZARATE</v>
      </c>
      <c r="B92" s="5" t="str">
        <f t="shared" si="14"/>
        <v>AR</v>
      </c>
      <c r="C92" s="83" t="s">
        <v>769</v>
      </c>
      <c r="D92" s="82" t="s">
        <v>879</v>
      </c>
      <c r="E92" s="85">
        <v>6</v>
      </c>
      <c r="F92" s="85"/>
      <c r="G92" s="86"/>
      <c r="H92" s="86"/>
      <c r="I92" s="86"/>
      <c r="J92" s="86"/>
      <c r="K92" s="86"/>
      <c r="L92" s="86"/>
      <c r="M92" s="86"/>
      <c r="N92" s="86"/>
      <c r="O92" s="86"/>
      <c r="P92" s="87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</row>
    <row r="93" spans="1:44" ht="14.6" customHeight="1" x14ac:dyDescent="0.4">
      <c r="A93" s="5" t="str">
        <f t="shared" si="13"/>
        <v>AR-SAMAN DE GUERE</v>
      </c>
      <c r="B93" s="5" t="str">
        <f t="shared" si="14"/>
        <v>AR</v>
      </c>
      <c r="C93" s="83" t="s">
        <v>769</v>
      </c>
      <c r="D93" s="82" t="s">
        <v>880</v>
      </c>
      <c r="E93" s="85">
        <v>72</v>
      </c>
      <c r="F93" s="85"/>
      <c r="G93" s="86"/>
      <c r="H93" s="86"/>
      <c r="I93" s="86"/>
      <c r="J93" s="86"/>
      <c r="K93" s="86"/>
      <c r="L93" s="86"/>
      <c r="M93" s="86"/>
      <c r="N93" s="86"/>
      <c r="O93" s="86"/>
      <c r="P93" s="87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</row>
    <row r="94" spans="1:44" ht="14.6" customHeight="1" x14ac:dyDescent="0.4">
      <c r="A94" s="5" t="str">
        <f t="shared" si="13"/>
        <v>AR-SAN CASIMIRO</v>
      </c>
      <c r="B94" s="5" t="str">
        <f t="shared" si="14"/>
        <v>AR</v>
      </c>
      <c r="C94" s="83" t="s">
        <v>769</v>
      </c>
      <c r="D94" s="82" t="s">
        <v>881</v>
      </c>
      <c r="E94" s="85">
        <v>68</v>
      </c>
      <c r="F94" s="85"/>
      <c r="G94" s="86"/>
      <c r="H94" s="86"/>
      <c r="I94" s="86"/>
      <c r="J94" s="86"/>
      <c r="K94" s="86"/>
      <c r="L94" s="86"/>
      <c r="M94" s="86"/>
      <c r="N94" s="86"/>
      <c r="O94" s="86"/>
      <c r="P94" s="87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</row>
    <row r="95" spans="1:44" ht="14.6" customHeight="1" x14ac:dyDescent="0.4">
      <c r="A95" s="5" t="str">
        <f t="shared" si="13"/>
        <v>AR-SAN FRANCISCO DE ASIS</v>
      </c>
      <c r="B95" s="5" t="str">
        <f t="shared" si="14"/>
        <v>AR</v>
      </c>
      <c r="C95" s="83" t="s">
        <v>769</v>
      </c>
      <c r="D95" s="82" t="s">
        <v>882</v>
      </c>
      <c r="E95" s="85">
        <v>44</v>
      </c>
      <c r="F95" s="85"/>
      <c r="G95" s="86"/>
      <c r="H95" s="86"/>
      <c r="I95" s="86"/>
      <c r="J95" s="86"/>
      <c r="K95" s="86"/>
      <c r="L95" s="86"/>
      <c r="M95" s="86"/>
      <c r="N95" s="86"/>
      <c r="O95" s="86"/>
      <c r="P95" s="87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</row>
    <row r="96" spans="1:44" ht="14.6" customHeight="1" x14ac:dyDescent="0.4">
      <c r="A96" s="5" t="str">
        <f t="shared" si="13"/>
        <v>AR-SAN FRANCISCO DE CARA</v>
      </c>
      <c r="B96" s="5" t="str">
        <f t="shared" si="14"/>
        <v>AR</v>
      </c>
      <c r="C96" s="83" t="s">
        <v>769</v>
      </c>
      <c r="D96" s="82" t="s">
        <v>883</v>
      </c>
      <c r="E96" s="85">
        <v>7</v>
      </c>
      <c r="F96" s="85"/>
      <c r="G96" s="86"/>
      <c r="H96" s="86"/>
      <c r="I96" s="86"/>
      <c r="J96" s="86"/>
      <c r="K96" s="86"/>
      <c r="L96" s="86"/>
      <c r="M96" s="86"/>
      <c r="N96" s="86"/>
      <c r="O96" s="86"/>
      <c r="P96" s="87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</row>
    <row r="97" spans="1:44" ht="14.6" customHeight="1" x14ac:dyDescent="0.4">
      <c r="A97" s="5" t="str">
        <f t="shared" si="13"/>
        <v>AR-SAN MATEO</v>
      </c>
      <c r="B97" s="5" t="str">
        <f t="shared" si="14"/>
        <v>AR</v>
      </c>
      <c r="C97" s="83" t="s">
        <v>769</v>
      </c>
      <c r="D97" s="82" t="s">
        <v>884</v>
      </c>
      <c r="E97" s="85">
        <v>111</v>
      </c>
      <c r="F97" s="85"/>
      <c r="G97" s="86"/>
      <c r="H97" s="86"/>
      <c r="I97" s="86"/>
      <c r="J97" s="86"/>
      <c r="K97" s="86"/>
      <c r="L97" s="86"/>
      <c r="M97" s="86"/>
      <c r="N97" s="86"/>
      <c r="O97" s="86"/>
      <c r="P97" s="87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</row>
    <row r="98" spans="1:44" ht="14.6" customHeight="1" x14ac:dyDescent="0.4">
      <c r="A98" s="5" t="str">
        <f t="shared" ref="A98:A112" si="15">+B98&amp;"-"&amp;D98</f>
        <v>AR-SAN SEBASTIAN</v>
      </c>
      <c r="B98" s="5" t="str">
        <f t="shared" ref="B98:B112" si="16">+MID(C98,1,2)</f>
        <v>AR</v>
      </c>
      <c r="C98" s="83" t="s">
        <v>769</v>
      </c>
      <c r="D98" s="82" t="s">
        <v>885</v>
      </c>
      <c r="E98" s="85">
        <v>54</v>
      </c>
      <c r="F98" s="85"/>
      <c r="G98" s="86"/>
      <c r="H98" s="86"/>
      <c r="I98" s="86"/>
      <c r="J98" s="86"/>
      <c r="K98" s="86"/>
      <c r="L98" s="86"/>
      <c r="M98" s="86"/>
      <c r="N98" s="86"/>
      <c r="O98" s="86"/>
      <c r="P98" s="87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</row>
    <row r="99" spans="1:44" ht="14.6" customHeight="1" x14ac:dyDescent="0.4">
      <c r="A99" s="5" t="str">
        <f t="shared" si="15"/>
        <v>AR-SANTA CRUZ</v>
      </c>
      <c r="B99" s="5" t="str">
        <f t="shared" si="16"/>
        <v>AR</v>
      </c>
      <c r="C99" s="83" t="s">
        <v>769</v>
      </c>
      <c r="D99" s="82" t="s">
        <v>886</v>
      </c>
      <c r="E99" s="85">
        <v>56</v>
      </c>
      <c r="F99" s="85"/>
      <c r="G99" s="86"/>
      <c r="H99" s="86"/>
      <c r="I99" s="86"/>
      <c r="J99" s="86"/>
      <c r="K99" s="86"/>
      <c r="L99" s="86"/>
      <c r="M99" s="86"/>
      <c r="N99" s="86"/>
      <c r="O99" s="86"/>
      <c r="P99" s="87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</row>
    <row r="100" spans="1:44" ht="14.6" customHeight="1" x14ac:dyDescent="0.4">
      <c r="A100" s="5" t="str">
        <f t="shared" si="15"/>
        <v>AR-SANTA RITA</v>
      </c>
      <c r="B100" s="5" t="str">
        <f t="shared" si="16"/>
        <v>AR</v>
      </c>
      <c r="C100" s="83" t="s">
        <v>769</v>
      </c>
      <c r="D100" s="82" t="s">
        <v>887</v>
      </c>
      <c r="E100" s="85">
        <v>158</v>
      </c>
      <c r="F100" s="85"/>
      <c r="G100" s="86"/>
      <c r="H100" s="86"/>
      <c r="I100" s="86"/>
      <c r="J100" s="86"/>
      <c r="K100" s="86"/>
      <c r="L100" s="86"/>
      <c r="M100" s="86"/>
      <c r="N100" s="86"/>
      <c r="O100" s="86"/>
      <c r="P100" s="87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</row>
    <row r="101" spans="1:44" ht="14.6" customHeight="1" x14ac:dyDescent="0.4">
      <c r="A101" s="5" t="str">
        <f t="shared" si="15"/>
        <v>AR-TAGUAY</v>
      </c>
      <c r="B101" s="5" t="str">
        <f t="shared" si="16"/>
        <v>AR</v>
      </c>
      <c r="C101" s="83" t="s">
        <v>769</v>
      </c>
      <c r="D101" s="82" t="s">
        <v>888</v>
      </c>
      <c r="E101" s="85">
        <v>9</v>
      </c>
      <c r="F101" s="85"/>
      <c r="G101" s="86"/>
      <c r="H101" s="86"/>
      <c r="I101" s="86"/>
      <c r="J101" s="86"/>
      <c r="K101" s="86"/>
      <c r="L101" s="86"/>
      <c r="M101" s="86"/>
      <c r="N101" s="86"/>
      <c r="O101" s="86"/>
      <c r="P101" s="87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</row>
    <row r="102" spans="1:44" ht="14.6" customHeight="1" x14ac:dyDescent="0.4">
      <c r="A102" s="5" t="str">
        <f t="shared" si="15"/>
        <v>AR-TIARA</v>
      </c>
      <c r="B102" s="5" t="str">
        <f t="shared" si="16"/>
        <v>AR</v>
      </c>
      <c r="C102" s="83" t="s">
        <v>769</v>
      </c>
      <c r="D102" s="82" t="s">
        <v>889</v>
      </c>
      <c r="E102" s="85">
        <v>6</v>
      </c>
      <c r="F102" s="85"/>
      <c r="G102" s="86"/>
      <c r="H102" s="86"/>
      <c r="I102" s="86"/>
      <c r="J102" s="86"/>
      <c r="K102" s="86"/>
      <c r="L102" s="86"/>
      <c r="M102" s="86"/>
      <c r="N102" s="86"/>
      <c r="O102" s="86"/>
      <c r="P102" s="87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</row>
    <row r="103" spans="1:44" ht="14.6" customHeight="1" x14ac:dyDescent="0.4">
      <c r="A103" s="5" t="str">
        <f t="shared" si="15"/>
        <v>AR-TURMERO</v>
      </c>
      <c r="B103" s="5" t="str">
        <f t="shared" si="16"/>
        <v>AR</v>
      </c>
      <c r="C103" s="83" t="s">
        <v>769</v>
      </c>
      <c r="D103" s="82" t="s">
        <v>890</v>
      </c>
      <c r="E103" s="85">
        <v>202</v>
      </c>
      <c r="F103" s="85"/>
      <c r="G103" s="86"/>
      <c r="H103" s="86"/>
      <c r="I103" s="86"/>
      <c r="J103" s="86"/>
      <c r="K103" s="86"/>
      <c r="L103" s="86"/>
      <c r="M103" s="86"/>
      <c r="N103" s="86"/>
      <c r="O103" s="86"/>
      <c r="P103" s="87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</row>
    <row r="104" spans="1:44" ht="14.6" customHeight="1" x14ac:dyDescent="0.4">
      <c r="A104" s="5" t="str">
        <f t="shared" si="15"/>
        <v>AR-VALLE DE MORIN</v>
      </c>
      <c r="B104" s="5" t="str">
        <f t="shared" si="16"/>
        <v>AR</v>
      </c>
      <c r="C104" s="83" t="s">
        <v>769</v>
      </c>
      <c r="D104" s="82" t="s">
        <v>891</v>
      </c>
      <c r="E104" s="85">
        <v>10</v>
      </c>
      <c r="F104" s="85"/>
      <c r="G104" s="86"/>
      <c r="H104" s="86"/>
      <c r="I104" s="86"/>
      <c r="J104" s="86"/>
      <c r="K104" s="86"/>
      <c r="L104" s="86"/>
      <c r="M104" s="86"/>
      <c r="N104" s="86"/>
      <c r="O104" s="86"/>
      <c r="P104" s="87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</row>
    <row r="105" spans="1:44" ht="14.6" customHeight="1" x14ac:dyDescent="0.4">
      <c r="A105" s="5" t="str">
        <f t="shared" si="15"/>
        <v>AR-VILLA DE CURA</v>
      </c>
      <c r="B105" s="5" t="str">
        <f t="shared" si="16"/>
        <v>AR</v>
      </c>
      <c r="C105" s="83" t="s">
        <v>769</v>
      </c>
      <c r="D105" s="82" t="s">
        <v>892</v>
      </c>
      <c r="E105" s="85">
        <v>299</v>
      </c>
      <c r="F105" s="85"/>
      <c r="G105" s="86"/>
      <c r="H105" s="86"/>
      <c r="I105" s="86"/>
      <c r="J105" s="86"/>
      <c r="K105" s="86"/>
      <c r="L105" s="86"/>
      <c r="M105" s="86"/>
      <c r="N105" s="86"/>
      <c r="O105" s="86"/>
      <c r="P105" s="87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</row>
    <row r="106" spans="1:44" ht="14.6" customHeight="1" x14ac:dyDescent="0.4">
      <c r="A106" s="5" t="str">
        <f t="shared" si="15"/>
        <v>AR-LOCALIDAD</v>
      </c>
      <c r="B106" s="5" t="str">
        <f t="shared" si="16"/>
        <v>AR</v>
      </c>
      <c r="C106" s="83" t="s">
        <v>769</v>
      </c>
      <c r="D106" s="88" t="s">
        <v>838</v>
      </c>
      <c r="E106" s="88" t="s">
        <v>839</v>
      </c>
      <c r="F106" s="88"/>
      <c r="G106" s="89"/>
      <c r="H106" s="89"/>
      <c r="I106" s="89"/>
      <c r="J106" s="89"/>
      <c r="K106" s="89"/>
      <c r="L106" s="89"/>
      <c r="M106" s="89"/>
      <c r="N106" s="89"/>
      <c r="O106" s="89"/>
      <c r="P106" s="90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</row>
    <row r="107" spans="1:44" ht="14.6" customHeight="1" x14ac:dyDescent="0.4">
      <c r="A107" s="5" t="str">
        <f t="shared" si="15"/>
        <v>AR-ZUATA</v>
      </c>
      <c r="B107" s="5" t="str">
        <f t="shared" si="16"/>
        <v>AR</v>
      </c>
      <c r="C107" s="83" t="s">
        <v>769</v>
      </c>
      <c r="D107" s="82" t="s">
        <v>832</v>
      </c>
      <c r="E107" s="85">
        <v>44</v>
      </c>
      <c r="F107" s="85"/>
      <c r="G107" s="86"/>
      <c r="H107" s="86"/>
      <c r="I107" s="86"/>
      <c r="J107" s="86"/>
      <c r="K107" s="86"/>
      <c r="L107" s="86"/>
      <c r="M107" s="86"/>
      <c r="N107" s="86"/>
      <c r="O107" s="86"/>
      <c r="P107" s="87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</row>
    <row r="108" spans="1:44" ht="14.6" customHeight="1" x14ac:dyDescent="0.4">
      <c r="A108" s="5" t="str">
        <f t="shared" si="15"/>
        <v>BA-ALTAMIRA</v>
      </c>
      <c r="B108" s="5" t="str">
        <f t="shared" si="16"/>
        <v>BA</v>
      </c>
      <c r="C108" s="83" t="s">
        <v>770</v>
      </c>
      <c r="D108" s="82" t="s">
        <v>893</v>
      </c>
      <c r="E108" s="85">
        <v>14</v>
      </c>
      <c r="F108" s="85"/>
      <c r="G108" s="86"/>
      <c r="H108" s="86"/>
      <c r="I108" s="86"/>
      <c r="J108" s="86"/>
      <c r="K108" s="86"/>
      <c r="L108" s="86"/>
      <c r="M108" s="86"/>
      <c r="N108" s="86"/>
      <c r="O108" s="86"/>
      <c r="P108" s="87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</row>
    <row r="109" spans="1:44" ht="14.6" customHeight="1" x14ac:dyDescent="0.4">
      <c r="A109" s="5" t="str">
        <f t="shared" si="15"/>
        <v>BA-ANDRES BELLO</v>
      </c>
      <c r="B109" s="5" t="str">
        <f t="shared" si="16"/>
        <v>BA</v>
      </c>
      <c r="C109" s="83" t="s">
        <v>770</v>
      </c>
      <c r="D109" s="82" t="s">
        <v>894</v>
      </c>
      <c r="E109" s="85">
        <v>3</v>
      </c>
      <c r="F109" s="85"/>
      <c r="G109" s="86"/>
      <c r="H109" s="86"/>
      <c r="I109" s="86"/>
      <c r="J109" s="86"/>
      <c r="K109" s="86"/>
      <c r="L109" s="86"/>
      <c r="M109" s="86"/>
      <c r="N109" s="86"/>
      <c r="O109" s="86"/>
      <c r="P109" s="87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</row>
    <row r="110" spans="1:44" ht="14.6" customHeight="1" x14ac:dyDescent="0.4">
      <c r="A110" s="5" t="str">
        <f t="shared" si="15"/>
        <v>BA-ANDRES ELOY BLANCO</v>
      </c>
      <c r="B110" s="5" t="str">
        <f t="shared" si="16"/>
        <v>BA</v>
      </c>
      <c r="C110" s="83" t="s">
        <v>770</v>
      </c>
      <c r="D110" s="82" t="s">
        <v>895</v>
      </c>
      <c r="E110" s="85">
        <v>38</v>
      </c>
      <c r="F110" s="85"/>
      <c r="G110" s="86"/>
      <c r="H110" s="86"/>
      <c r="I110" s="86"/>
      <c r="J110" s="86"/>
      <c r="K110" s="86"/>
      <c r="L110" s="86"/>
      <c r="M110" s="86"/>
      <c r="N110" s="86"/>
      <c r="O110" s="86"/>
      <c r="P110" s="87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</row>
    <row r="111" spans="1:44" ht="14.6" customHeight="1" x14ac:dyDescent="0.4">
      <c r="A111" s="5" t="str">
        <f t="shared" si="15"/>
        <v>BA-ANTONIO JOSE DE SUCRE
(TICOPORO)</v>
      </c>
      <c r="B111" s="5" t="str">
        <f t="shared" si="16"/>
        <v>BA</v>
      </c>
      <c r="C111" s="83" t="s">
        <v>770</v>
      </c>
      <c r="D111" s="84" t="s">
        <v>896</v>
      </c>
      <c r="E111" s="85">
        <v>164</v>
      </c>
      <c r="F111" s="85"/>
      <c r="G111" s="86"/>
      <c r="H111" s="86"/>
      <c r="I111" s="86"/>
      <c r="J111" s="86"/>
      <c r="K111" s="86"/>
      <c r="L111" s="86"/>
      <c r="M111" s="86"/>
      <c r="N111" s="86"/>
      <c r="O111" s="86"/>
      <c r="P111" s="87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</row>
    <row r="112" spans="1:44" ht="14.6" customHeight="1" x14ac:dyDescent="0.4">
      <c r="A112" s="5" t="str">
        <f t="shared" si="15"/>
        <v>BA-ARISMENDI</v>
      </c>
      <c r="B112" s="5" t="str">
        <f t="shared" si="16"/>
        <v>BA</v>
      </c>
      <c r="C112" s="83" t="s">
        <v>770</v>
      </c>
      <c r="D112" s="82" t="s">
        <v>897</v>
      </c>
      <c r="E112" s="85">
        <v>18</v>
      </c>
      <c r="F112" s="85"/>
      <c r="G112" s="86"/>
      <c r="H112" s="86"/>
      <c r="I112" s="86"/>
      <c r="J112" s="86"/>
      <c r="K112" s="86"/>
      <c r="L112" s="86"/>
      <c r="M112" s="86"/>
      <c r="N112" s="86"/>
      <c r="O112" s="86"/>
      <c r="P112" s="87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</row>
    <row r="113" spans="1:44" ht="14.6" customHeight="1" x14ac:dyDescent="0.4">
      <c r="A113" s="5" t="str">
        <f t="shared" ref="A113:A126" si="17">+B113&amp;"-"&amp;D113</f>
        <v>BA-BARINITAS</v>
      </c>
      <c r="B113" s="5" t="str">
        <f t="shared" ref="B113:B126" si="18">+MID(C113,1,2)</f>
        <v>BA</v>
      </c>
      <c r="C113" s="83" t="s">
        <v>770</v>
      </c>
      <c r="D113" s="82" t="s">
        <v>898</v>
      </c>
      <c r="E113" s="85">
        <v>88</v>
      </c>
      <c r="F113" s="85"/>
      <c r="G113" s="86"/>
      <c r="H113" s="86"/>
      <c r="I113" s="86"/>
      <c r="J113" s="86"/>
      <c r="K113" s="86"/>
      <c r="L113" s="86"/>
      <c r="M113" s="86"/>
      <c r="N113" s="86"/>
      <c r="O113" s="86"/>
      <c r="P113" s="87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</row>
    <row r="114" spans="1:44" ht="14.6" customHeight="1" x14ac:dyDescent="0.4">
      <c r="A114" s="5" t="str">
        <f t="shared" si="17"/>
        <v>BA-CALDERAS</v>
      </c>
      <c r="B114" s="5" t="str">
        <f t="shared" si="18"/>
        <v>BA</v>
      </c>
      <c r="C114" s="83" t="s">
        <v>770</v>
      </c>
      <c r="D114" s="82" t="s">
        <v>899</v>
      </c>
      <c r="E114" s="85">
        <v>17</v>
      </c>
      <c r="F114" s="85"/>
      <c r="G114" s="86"/>
      <c r="H114" s="86"/>
      <c r="I114" s="86"/>
      <c r="J114" s="86"/>
      <c r="K114" s="86"/>
      <c r="L114" s="86"/>
      <c r="M114" s="86"/>
      <c r="N114" s="86"/>
      <c r="O114" s="86"/>
      <c r="P114" s="87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</row>
    <row r="115" spans="1:44" ht="14.6" customHeight="1" x14ac:dyDescent="0.4">
      <c r="A115" s="5" t="str">
        <f t="shared" si="17"/>
        <v>BA-CATEDRAL (2)</v>
      </c>
      <c r="B115" s="5" t="str">
        <f t="shared" si="18"/>
        <v>BA</v>
      </c>
      <c r="C115" s="83" t="s">
        <v>770</v>
      </c>
      <c r="D115" s="82" t="s">
        <v>900</v>
      </c>
      <c r="E115" s="85">
        <v>110</v>
      </c>
      <c r="F115" s="85"/>
      <c r="G115" s="86"/>
      <c r="H115" s="86"/>
      <c r="I115" s="86"/>
      <c r="J115" s="86"/>
      <c r="K115" s="86"/>
      <c r="L115" s="86"/>
      <c r="M115" s="86"/>
      <c r="N115" s="86"/>
      <c r="O115" s="86"/>
      <c r="P115" s="87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</row>
    <row r="116" spans="1:44" ht="14.6" customHeight="1" x14ac:dyDescent="0.4">
      <c r="A116" s="5" t="str">
        <f t="shared" si="17"/>
        <v>BA-CIUDAD BOLIVIA</v>
      </c>
      <c r="B116" s="5" t="str">
        <f t="shared" si="18"/>
        <v>BA</v>
      </c>
      <c r="C116" s="83" t="s">
        <v>770</v>
      </c>
      <c r="D116" s="82" t="s">
        <v>901</v>
      </c>
      <c r="E116" s="85">
        <v>118</v>
      </c>
      <c r="F116" s="85"/>
      <c r="G116" s="86"/>
      <c r="H116" s="86"/>
      <c r="I116" s="86"/>
      <c r="J116" s="86"/>
      <c r="K116" s="86"/>
      <c r="L116" s="86"/>
      <c r="M116" s="86"/>
      <c r="N116" s="86"/>
      <c r="O116" s="86"/>
      <c r="P116" s="87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</row>
    <row r="117" spans="1:44" ht="14.6" customHeight="1" x14ac:dyDescent="0.4">
      <c r="A117" s="5" t="str">
        <f t="shared" si="17"/>
        <v>BA-CIUDAD DE NUTRIAS</v>
      </c>
      <c r="B117" s="5" t="str">
        <f t="shared" si="18"/>
        <v>BA</v>
      </c>
      <c r="C117" s="83" t="s">
        <v>770</v>
      </c>
      <c r="D117" s="82" t="s">
        <v>902</v>
      </c>
      <c r="E117" s="85">
        <v>11</v>
      </c>
      <c r="F117" s="85"/>
      <c r="G117" s="86"/>
      <c r="H117" s="86"/>
      <c r="I117" s="86"/>
      <c r="J117" s="86"/>
      <c r="K117" s="86"/>
      <c r="L117" s="86"/>
      <c r="M117" s="86"/>
      <c r="N117" s="86"/>
      <c r="O117" s="86"/>
      <c r="P117" s="87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</row>
    <row r="118" spans="1:44" ht="14.6" customHeight="1" x14ac:dyDescent="0.4">
      <c r="A118" s="5" t="str">
        <f t="shared" si="17"/>
        <v>BA-CORAZON DE JESUS (2)</v>
      </c>
      <c r="B118" s="5" t="str">
        <f t="shared" si="18"/>
        <v>BA</v>
      </c>
      <c r="C118" s="83" t="s">
        <v>770</v>
      </c>
      <c r="D118" s="82" t="s">
        <v>903</v>
      </c>
      <c r="E118" s="85">
        <v>886</v>
      </c>
      <c r="F118" s="85"/>
      <c r="G118" s="86"/>
      <c r="H118" s="86"/>
      <c r="I118" s="86"/>
      <c r="J118" s="86"/>
      <c r="K118" s="86"/>
      <c r="L118" s="86"/>
      <c r="M118" s="86"/>
      <c r="N118" s="86"/>
      <c r="O118" s="86"/>
      <c r="P118" s="87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</row>
    <row r="119" spans="1:44" ht="14.6" customHeight="1" x14ac:dyDescent="0.4">
      <c r="A119" s="5" t="str">
        <f t="shared" si="17"/>
        <v>BA-CRUZ PAREDES (BARRANCAS)</v>
      </c>
      <c r="B119" s="5" t="str">
        <f t="shared" si="18"/>
        <v>BA</v>
      </c>
      <c r="C119" s="83" t="s">
        <v>770</v>
      </c>
      <c r="D119" s="82" t="s">
        <v>904</v>
      </c>
      <c r="E119" s="85">
        <v>46</v>
      </c>
      <c r="F119" s="85"/>
      <c r="G119" s="86"/>
      <c r="H119" s="86"/>
      <c r="I119" s="86"/>
      <c r="J119" s="86"/>
      <c r="K119" s="86"/>
      <c r="L119" s="86"/>
      <c r="M119" s="86"/>
      <c r="N119" s="86"/>
      <c r="O119" s="86"/>
      <c r="P119" s="87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</row>
    <row r="120" spans="1:44" ht="14.6" customHeight="1" x14ac:dyDescent="0.4">
      <c r="A120" s="5" t="str">
        <f t="shared" si="17"/>
        <v>BA-DOLORES</v>
      </c>
      <c r="B120" s="5" t="str">
        <f t="shared" si="18"/>
        <v>BA</v>
      </c>
      <c r="C120" s="83" t="s">
        <v>770</v>
      </c>
      <c r="D120" s="82" t="s">
        <v>905</v>
      </c>
      <c r="E120" s="85">
        <v>22</v>
      </c>
      <c r="F120" s="85"/>
      <c r="G120" s="86"/>
      <c r="H120" s="86"/>
      <c r="I120" s="86"/>
      <c r="J120" s="86"/>
      <c r="K120" s="86"/>
      <c r="L120" s="86"/>
      <c r="M120" s="86"/>
      <c r="N120" s="86"/>
      <c r="O120" s="86"/>
      <c r="P120" s="87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</row>
    <row r="121" spans="1:44" ht="14.6" customHeight="1" x14ac:dyDescent="0.4">
      <c r="A121" s="5" t="str">
        <f t="shared" si="17"/>
        <v>BA-EL CARMEN (2)</v>
      </c>
      <c r="B121" s="5" t="str">
        <f t="shared" si="18"/>
        <v>BA</v>
      </c>
      <c r="C121" s="83" t="s">
        <v>770</v>
      </c>
      <c r="D121" s="82" t="s">
        <v>906</v>
      </c>
      <c r="E121" s="85">
        <v>152</v>
      </c>
      <c r="F121" s="85"/>
      <c r="G121" s="86"/>
      <c r="H121" s="86"/>
      <c r="I121" s="86"/>
      <c r="J121" s="86"/>
      <c r="K121" s="86"/>
      <c r="L121" s="86"/>
      <c r="M121" s="86"/>
      <c r="N121" s="86"/>
      <c r="O121" s="86"/>
      <c r="P121" s="87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</row>
    <row r="122" spans="1:44" ht="14.6" customHeight="1" x14ac:dyDescent="0.4">
      <c r="A122" s="5" t="str">
        <f t="shared" si="17"/>
        <v>BA-EL REGALO</v>
      </c>
      <c r="B122" s="5" t="str">
        <f t="shared" si="18"/>
        <v>BA</v>
      </c>
      <c r="C122" s="83" t="s">
        <v>770</v>
      </c>
      <c r="D122" s="82" t="s">
        <v>907</v>
      </c>
      <c r="E122" s="85">
        <v>4</v>
      </c>
      <c r="F122" s="85"/>
      <c r="G122" s="86"/>
      <c r="H122" s="86"/>
      <c r="I122" s="86"/>
      <c r="J122" s="86"/>
      <c r="K122" s="86"/>
      <c r="L122" s="86"/>
      <c r="M122" s="86"/>
      <c r="N122" s="86"/>
      <c r="O122" s="86"/>
      <c r="P122" s="87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</row>
    <row r="123" spans="1:44" ht="14.6" customHeight="1" x14ac:dyDescent="0.4">
      <c r="A123" s="5" t="str">
        <f t="shared" si="17"/>
        <v>BA-GUADARRAMA</v>
      </c>
      <c r="B123" s="5" t="str">
        <f t="shared" si="18"/>
        <v>BA</v>
      </c>
      <c r="C123" s="83" t="s">
        <v>770</v>
      </c>
      <c r="D123" s="82" t="s">
        <v>908</v>
      </c>
      <c r="E123" s="85">
        <v>6</v>
      </c>
      <c r="F123" s="85"/>
      <c r="G123" s="86"/>
      <c r="H123" s="86"/>
      <c r="I123" s="86"/>
      <c r="J123" s="86"/>
      <c r="K123" s="86"/>
      <c r="L123" s="86"/>
      <c r="M123" s="86"/>
      <c r="N123" s="86"/>
      <c r="O123" s="86"/>
      <c r="P123" s="87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</row>
    <row r="124" spans="1:44" ht="14.6" customHeight="1" x14ac:dyDescent="0.4">
      <c r="A124" s="5" t="str">
        <f t="shared" si="17"/>
        <v>BA-IGNACIO BRICEÑO</v>
      </c>
      <c r="B124" s="5" t="str">
        <f t="shared" si="18"/>
        <v>BA</v>
      </c>
      <c r="C124" s="83" t="s">
        <v>770</v>
      </c>
      <c r="D124" s="82" t="s">
        <v>909</v>
      </c>
      <c r="E124" s="85">
        <v>11</v>
      </c>
      <c r="F124" s="85"/>
      <c r="G124" s="86"/>
      <c r="H124" s="86"/>
      <c r="I124" s="86"/>
      <c r="J124" s="86"/>
      <c r="K124" s="86"/>
      <c r="L124" s="86"/>
      <c r="M124" s="86"/>
      <c r="N124" s="86"/>
      <c r="O124" s="86"/>
      <c r="P124" s="87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</row>
    <row r="125" spans="1:44" ht="14.6" customHeight="1" x14ac:dyDescent="0.4">
      <c r="A125" s="5" t="str">
        <f t="shared" si="17"/>
        <v>BA-JOSE FELIX RIVAS (3)</v>
      </c>
      <c r="B125" s="5" t="str">
        <f t="shared" si="18"/>
        <v>BA</v>
      </c>
      <c r="C125" s="83" t="s">
        <v>770</v>
      </c>
      <c r="D125" s="82" t="s">
        <v>910</v>
      </c>
      <c r="E125" s="85">
        <v>1</v>
      </c>
      <c r="F125" s="85"/>
      <c r="G125" s="86"/>
      <c r="H125" s="86"/>
      <c r="I125" s="86"/>
      <c r="J125" s="86"/>
      <c r="K125" s="86"/>
      <c r="L125" s="86"/>
      <c r="M125" s="86"/>
      <c r="N125" s="86"/>
      <c r="O125" s="86"/>
      <c r="P125" s="87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</row>
    <row r="126" spans="1:44" ht="14.6" customHeight="1" x14ac:dyDescent="0.4">
      <c r="A126" s="5" t="str">
        <f t="shared" si="17"/>
        <v>BA-JOSE I. DEL PUMAR</v>
      </c>
      <c r="B126" s="5" t="str">
        <f t="shared" si="18"/>
        <v>BA</v>
      </c>
      <c r="C126" s="83" t="s">
        <v>770</v>
      </c>
      <c r="D126" s="82" t="s">
        <v>911</v>
      </c>
      <c r="E126" s="85">
        <v>9</v>
      </c>
      <c r="F126" s="85"/>
      <c r="G126" s="86"/>
      <c r="H126" s="86"/>
      <c r="I126" s="86"/>
      <c r="J126" s="86"/>
      <c r="K126" s="86"/>
      <c r="L126" s="86"/>
      <c r="M126" s="86"/>
      <c r="N126" s="86"/>
      <c r="O126" s="86"/>
      <c r="P126" s="87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</row>
    <row r="127" spans="1:44" ht="14.6" customHeight="1" x14ac:dyDescent="0.4">
      <c r="A127" s="5" t="str">
        <f t="shared" ref="A127:A141" si="19">+B127&amp;"-"&amp;D127</f>
        <v>BA-LA LUZ</v>
      </c>
      <c r="B127" s="5" t="str">
        <f t="shared" ref="B127:B141" si="20">+MID(C127,1,2)</f>
        <v>BA</v>
      </c>
      <c r="C127" s="83" t="s">
        <v>770</v>
      </c>
      <c r="D127" s="82" t="s">
        <v>912</v>
      </c>
      <c r="E127" s="85">
        <v>13</v>
      </c>
      <c r="F127" s="85"/>
      <c r="G127" s="86"/>
      <c r="H127" s="86"/>
      <c r="I127" s="86"/>
      <c r="J127" s="86"/>
      <c r="K127" s="86"/>
      <c r="L127" s="86"/>
      <c r="M127" s="86"/>
      <c r="N127" s="86"/>
      <c r="O127" s="86"/>
      <c r="P127" s="87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</row>
    <row r="128" spans="1:44" ht="14.6" customHeight="1" x14ac:dyDescent="0.4">
      <c r="A128" s="5" t="str">
        <f t="shared" si="19"/>
        <v>BA-LA UNION</v>
      </c>
      <c r="B128" s="5" t="str">
        <f t="shared" si="20"/>
        <v>BA</v>
      </c>
      <c r="C128" s="83" t="s">
        <v>770</v>
      </c>
      <c r="D128" s="82" t="s">
        <v>913</v>
      </c>
      <c r="E128" s="85">
        <v>10</v>
      </c>
      <c r="F128" s="85"/>
      <c r="G128" s="86"/>
      <c r="H128" s="86"/>
      <c r="I128" s="86"/>
      <c r="J128" s="86"/>
      <c r="K128" s="86"/>
      <c r="L128" s="86"/>
      <c r="M128" s="86"/>
      <c r="N128" s="86"/>
      <c r="O128" s="86"/>
      <c r="P128" s="87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</row>
    <row r="129" spans="1:44" ht="14.6" customHeight="1" x14ac:dyDescent="0.4">
      <c r="A129" s="5" t="str">
        <f t="shared" si="19"/>
        <v>BA-LIBERTAD</v>
      </c>
      <c r="B129" s="5" t="str">
        <f t="shared" si="20"/>
        <v>BA</v>
      </c>
      <c r="C129" s="83" t="s">
        <v>770</v>
      </c>
      <c r="D129" s="82" t="s">
        <v>914</v>
      </c>
      <c r="E129" s="85">
        <v>44</v>
      </c>
      <c r="F129" s="85"/>
      <c r="G129" s="86"/>
      <c r="H129" s="86"/>
      <c r="I129" s="86"/>
      <c r="J129" s="86"/>
      <c r="K129" s="86"/>
      <c r="L129" s="86"/>
      <c r="M129" s="86"/>
      <c r="N129" s="86"/>
      <c r="O129" s="86"/>
      <c r="P129" s="87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</row>
    <row r="130" spans="1:44" ht="14.6" customHeight="1" x14ac:dyDescent="0.4">
      <c r="A130" s="5" t="str">
        <f t="shared" si="19"/>
        <v>BA-NICOLAS PULIDO</v>
      </c>
      <c r="B130" s="5" t="str">
        <f t="shared" si="20"/>
        <v>BA</v>
      </c>
      <c r="C130" s="83" t="s">
        <v>770</v>
      </c>
      <c r="D130" s="82" t="s">
        <v>915</v>
      </c>
      <c r="E130" s="85">
        <v>9</v>
      </c>
      <c r="F130" s="85"/>
      <c r="G130" s="86"/>
      <c r="H130" s="86"/>
      <c r="I130" s="86"/>
      <c r="J130" s="86"/>
      <c r="K130" s="86"/>
      <c r="L130" s="86"/>
      <c r="M130" s="86"/>
      <c r="N130" s="86"/>
      <c r="O130" s="86"/>
      <c r="P130" s="87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</row>
    <row r="131" spans="1:44" ht="14.6" customHeight="1" x14ac:dyDescent="0.4">
      <c r="A131" s="5" t="str">
        <f t="shared" si="19"/>
        <v>BA-OBISPOS</v>
      </c>
      <c r="B131" s="5" t="str">
        <f t="shared" si="20"/>
        <v>BA</v>
      </c>
      <c r="C131" s="83" t="s">
        <v>770</v>
      </c>
      <c r="D131" s="82" t="s">
        <v>916</v>
      </c>
      <c r="E131" s="85">
        <v>45</v>
      </c>
      <c r="F131" s="85"/>
      <c r="G131" s="86"/>
      <c r="H131" s="86"/>
      <c r="I131" s="86"/>
      <c r="J131" s="86"/>
      <c r="K131" s="86"/>
      <c r="L131" s="86"/>
      <c r="M131" s="86"/>
      <c r="N131" s="86"/>
      <c r="O131" s="86"/>
      <c r="P131" s="87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</row>
    <row r="132" spans="1:44" ht="14.6" customHeight="1" x14ac:dyDescent="0.4">
      <c r="A132" s="5" t="str">
        <f t="shared" si="19"/>
        <v>BA-PAEZ (CANAGUA)</v>
      </c>
      <c r="B132" s="5" t="str">
        <f t="shared" si="20"/>
        <v>BA</v>
      </c>
      <c r="C132" s="83" t="s">
        <v>770</v>
      </c>
      <c r="D132" s="82" t="s">
        <v>917</v>
      </c>
      <c r="E132" s="85">
        <v>8</v>
      </c>
      <c r="F132" s="85"/>
      <c r="G132" s="86"/>
      <c r="H132" s="86"/>
      <c r="I132" s="86"/>
      <c r="J132" s="86"/>
      <c r="K132" s="86"/>
      <c r="L132" s="86"/>
      <c r="M132" s="86"/>
      <c r="N132" s="86"/>
      <c r="O132" s="86"/>
      <c r="P132" s="87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</row>
    <row r="133" spans="1:44" ht="14.6" customHeight="1" x14ac:dyDescent="0.4">
      <c r="A133" s="5" t="str">
        <f t="shared" si="19"/>
        <v>BA-PALCIOS FAJARDO</v>
      </c>
      <c r="B133" s="5" t="str">
        <f t="shared" si="20"/>
        <v>BA</v>
      </c>
      <c r="C133" s="83" t="s">
        <v>770</v>
      </c>
      <c r="D133" s="82" t="s">
        <v>918</v>
      </c>
      <c r="E133" s="85">
        <v>10</v>
      </c>
      <c r="F133" s="85"/>
      <c r="G133" s="86"/>
      <c r="H133" s="86"/>
      <c r="I133" s="86"/>
      <c r="J133" s="86"/>
      <c r="K133" s="86"/>
      <c r="L133" s="86"/>
      <c r="M133" s="86"/>
      <c r="N133" s="86"/>
      <c r="O133" s="86"/>
      <c r="P133" s="87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</row>
    <row r="134" spans="1:44" ht="14.6" customHeight="1" x14ac:dyDescent="0.4">
      <c r="A134" s="5" t="str">
        <f t="shared" si="19"/>
        <v>BA-PEDRO BRICEÑO MENDEZ</v>
      </c>
      <c r="B134" s="5" t="str">
        <f t="shared" si="20"/>
        <v>BA</v>
      </c>
      <c r="C134" s="83" t="s">
        <v>770</v>
      </c>
      <c r="D134" s="82" t="s">
        <v>919</v>
      </c>
      <c r="E134" s="85">
        <v>9</v>
      </c>
      <c r="F134" s="85"/>
      <c r="G134" s="86"/>
      <c r="H134" s="86"/>
      <c r="I134" s="86"/>
      <c r="J134" s="86"/>
      <c r="K134" s="86"/>
      <c r="L134" s="86"/>
      <c r="M134" s="86"/>
      <c r="N134" s="86"/>
      <c r="O134" s="86"/>
      <c r="P134" s="87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</row>
    <row r="135" spans="1:44" ht="14.6" customHeight="1" x14ac:dyDescent="0.4">
      <c r="A135" s="5" t="str">
        <f t="shared" si="19"/>
        <v>BA-PUERTO DE NUTRIAS</v>
      </c>
      <c r="B135" s="5" t="str">
        <f t="shared" si="20"/>
        <v>BA</v>
      </c>
      <c r="C135" s="83" t="s">
        <v>770</v>
      </c>
      <c r="D135" s="82" t="s">
        <v>920</v>
      </c>
      <c r="E135" s="85">
        <v>14</v>
      </c>
      <c r="F135" s="85"/>
      <c r="G135" s="86"/>
      <c r="H135" s="86"/>
      <c r="I135" s="86"/>
      <c r="J135" s="86"/>
      <c r="K135" s="86"/>
      <c r="L135" s="86"/>
      <c r="M135" s="86"/>
      <c r="N135" s="86"/>
      <c r="O135" s="86"/>
      <c r="P135" s="87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</row>
    <row r="136" spans="1:44" ht="14.6" customHeight="1" x14ac:dyDescent="0.4">
      <c r="A136" s="5" t="str">
        <f t="shared" si="19"/>
        <v>BA-RAMON IGNACIO MENDEZ</v>
      </c>
      <c r="B136" s="5" t="str">
        <f t="shared" si="20"/>
        <v>BA</v>
      </c>
      <c r="C136" s="83" t="s">
        <v>770</v>
      </c>
      <c r="D136" s="82" t="s">
        <v>921</v>
      </c>
      <c r="E136" s="85">
        <v>14</v>
      </c>
      <c r="F136" s="85"/>
      <c r="G136" s="86"/>
      <c r="H136" s="86"/>
      <c r="I136" s="86"/>
      <c r="J136" s="86"/>
      <c r="K136" s="86"/>
      <c r="L136" s="86"/>
      <c r="M136" s="86"/>
      <c r="N136" s="86"/>
      <c r="O136" s="86"/>
      <c r="P136" s="87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</row>
    <row r="137" spans="1:44" ht="14.6" customHeight="1" x14ac:dyDescent="0.4">
      <c r="A137" s="5" t="str">
        <f t="shared" si="19"/>
        <v>BA-RODRIGUEZ DOMINGUEZ</v>
      </c>
      <c r="B137" s="5" t="str">
        <f t="shared" si="20"/>
        <v>BA</v>
      </c>
      <c r="C137" s="83" t="s">
        <v>770</v>
      </c>
      <c r="D137" s="82" t="s">
        <v>922</v>
      </c>
      <c r="E137" s="85">
        <v>15</v>
      </c>
      <c r="F137" s="85"/>
      <c r="G137" s="86"/>
      <c r="H137" s="86"/>
      <c r="I137" s="86"/>
      <c r="J137" s="86"/>
      <c r="K137" s="86"/>
      <c r="L137" s="86"/>
      <c r="M137" s="86"/>
      <c r="N137" s="86"/>
      <c r="O137" s="86"/>
      <c r="P137" s="87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</row>
    <row r="138" spans="1:44" ht="14.6" customHeight="1" x14ac:dyDescent="0.4">
      <c r="A138" s="5" t="str">
        <f t="shared" si="19"/>
        <v>BA-ROMULO BETANCOURT (2)</v>
      </c>
      <c r="B138" s="5" t="str">
        <f t="shared" si="20"/>
        <v>BA</v>
      </c>
      <c r="C138" s="83" t="s">
        <v>770</v>
      </c>
      <c r="D138" s="82" t="s">
        <v>923</v>
      </c>
      <c r="E138" s="85">
        <v>92</v>
      </c>
      <c r="F138" s="85"/>
      <c r="G138" s="86"/>
      <c r="H138" s="86"/>
      <c r="I138" s="86"/>
      <c r="J138" s="86"/>
      <c r="K138" s="86"/>
      <c r="L138" s="86"/>
      <c r="M138" s="86"/>
      <c r="N138" s="86"/>
      <c r="O138" s="86"/>
      <c r="P138" s="87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</row>
    <row r="139" spans="1:44" ht="14.6" customHeight="1" x14ac:dyDescent="0.4">
      <c r="A139" s="5" t="str">
        <f t="shared" si="19"/>
        <v>BA-SABANETA</v>
      </c>
      <c r="B139" s="5" t="str">
        <f t="shared" si="20"/>
        <v>BA</v>
      </c>
      <c r="C139" s="83" t="s">
        <v>770</v>
      </c>
      <c r="D139" s="82" t="s">
        <v>924</v>
      </c>
      <c r="E139" s="85">
        <v>92</v>
      </c>
      <c r="F139" s="85"/>
      <c r="G139" s="86"/>
      <c r="H139" s="86"/>
      <c r="I139" s="86"/>
      <c r="J139" s="86"/>
      <c r="K139" s="86"/>
      <c r="L139" s="86"/>
      <c r="M139" s="86"/>
      <c r="N139" s="86"/>
      <c r="O139" s="86"/>
      <c r="P139" s="87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</row>
    <row r="140" spans="1:44" ht="14.6" customHeight="1" x14ac:dyDescent="0.4">
      <c r="A140" s="5" t="str">
        <f t="shared" si="19"/>
        <v>BA-SAN ANTONIO</v>
      </c>
      <c r="B140" s="5" t="str">
        <f t="shared" si="20"/>
        <v>BA</v>
      </c>
      <c r="C140" s="83" t="s">
        <v>770</v>
      </c>
      <c r="D140" s="82" t="s">
        <v>925</v>
      </c>
      <c r="E140" s="85">
        <v>1</v>
      </c>
      <c r="F140" s="85"/>
      <c r="G140" s="86"/>
      <c r="H140" s="86"/>
      <c r="I140" s="86"/>
      <c r="J140" s="86"/>
      <c r="K140" s="86"/>
      <c r="L140" s="86"/>
      <c r="M140" s="86"/>
      <c r="N140" s="86"/>
      <c r="O140" s="86"/>
      <c r="P140" s="87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</row>
    <row r="141" spans="1:44" ht="14.6" customHeight="1" x14ac:dyDescent="0.4">
      <c r="A141" s="5" t="str">
        <f t="shared" si="19"/>
        <v>BA-SAN SILVESTRE</v>
      </c>
      <c r="B141" s="5" t="str">
        <f t="shared" si="20"/>
        <v>BA</v>
      </c>
      <c r="C141" s="83" t="s">
        <v>770</v>
      </c>
      <c r="D141" s="82" t="s">
        <v>926</v>
      </c>
      <c r="E141" s="85">
        <v>12</v>
      </c>
      <c r="F141" s="85"/>
      <c r="G141" s="86"/>
      <c r="H141" s="86"/>
      <c r="I141" s="86"/>
      <c r="J141" s="86"/>
      <c r="K141" s="86"/>
      <c r="L141" s="86"/>
      <c r="M141" s="86"/>
      <c r="N141" s="86"/>
      <c r="O141" s="86"/>
      <c r="P141" s="87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</row>
    <row r="142" spans="1:44" ht="14.6" customHeight="1" x14ac:dyDescent="0.4">
      <c r="A142" s="5" t="str">
        <f t="shared" ref="A142:A153" si="21">+B142&amp;"-"&amp;D142</f>
        <v>BA-SANTA BARBARA</v>
      </c>
      <c r="B142" s="5" t="str">
        <f t="shared" ref="B142:B153" si="22">+MID(C142,1,2)</f>
        <v>BA</v>
      </c>
      <c r="C142" s="83" t="s">
        <v>770</v>
      </c>
      <c r="D142" s="82" t="s">
        <v>927</v>
      </c>
      <c r="E142" s="85">
        <v>125</v>
      </c>
      <c r="F142" s="85"/>
      <c r="G142" s="86"/>
      <c r="H142" s="86"/>
      <c r="I142" s="86"/>
      <c r="J142" s="86"/>
      <c r="K142" s="86"/>
      <c r="L142" s="86"/>
      <c r="M142" s="86"/>
      <c r="N142" s="86"/>
      <c r="O142" s="86"/>
      <c r="P142" s="87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</row>
    <row r="143" spans="1:44" ht="14.6" customHeight="1" x14ac:dyDescent="0.4">
      <c r="A143" s="5" t="str">
        <f t="shared" si="21"/>
        <v>BA-SANTA CATALINA</v>
      </c>
      <c r="B143" s="5" t="str">
        <f t="shared" si="22"/>
        <v>BA</v>
      </c>
      <c r="C143" s="83" t="s">
        <v>770</v>
      </c>
      <c r="D143" s="82" t="s">
        <v>928</v>
      </c>
      <c r="E143" s="85">
        <v>1</v>
      </c>
      <c r="F143" s="85"/>
      <c r="G143" s="86"/>
      <c r="H143" s="86"/>
      <c r="I143" s="86"/>
      <c r="J143" s="86"/>
      <c r="K143" s="86"/>
      <c r="L143" s="86"/>
      <c r="M143" s="86"/>
      <c r="N143" s="86"/>
      <c r="O143" s="86"/>
      <c r="P143" s="87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</row>
    <row r="144" spans="1:44" ht="14.6" customHeight="1" x14ac:dyDescent="0.4">
      <c r="A144" s="5" t="str">
        <f t="shared" si="21"/>
        <v>BA-SANTA INES</v>
      </c>
      <c r="B144" s="5" t="str">
        <f t="shared" si="22"/>
        <v>BA</v>
      </c>
      <c r="C144" s="83" t="s">
        <v>770</v>
      </c>
      <c r="D144" s="82" t="s">
        <v>826</v>
      </c>
      <c r="E144" s="85">
        <v>5</v>
      </c>
      <c r="F144" s="85"/>
      <c r="G144" s="86"/>
      <c r="H144" s="86"/>
      <c r="I144" s="86"/>
      <c r="J144" s="86"/>
      <c r="K144" s="86"/>
      <c r="L144" s="86"/>
      <c r="M144" s="86"/>
      <c r="N144" s="86"/>
      <c r="O144" s="86"/>
      <c r="P144" s="87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</row>
    <row r="145" spans="1:44" ht="14.6" customHeight="1" x14ac:dyDescent="0.4">
      <c r="A145" s="5" t="str">
        <f t="shared" si="21"/>
        <v>BA-SANTA LUCIA</v>
      </c>
      <c r="B145" s="5" t="str">
        <f t="shared" si="22"/>
        <v>BA</v>
      </c>
      <c r="C145" s="83" t="s">
        <v>770</v>
      </c>
      <c r="D145" s="82" t="s">
        <v>929</v>
      </c>
      <c r="E145" s="85">
        <v>5</v>
      </c>
      <c r="F145" s="85"/>
      <c r="G145" s="86"/>
      <c r="H145" s="86"/>
      <c r="I145" s="86"/>
      <c r="J145" s="86"/>
      <c r="K145" s="86"/>
      <c r="L145" s="86"/>
      <c r="M145" s="86"/>
      <c r="N145" s="86"/>
      <c r="O145" s="86"/>
      <c r="P145" s="87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</row>
    <row r="146" spans="1:44" ht="14.6" customHeight="1" x14ac:dyDescent="0.4">
      <c r="A146" s="5" t="str">
        <f t="shared" si="21"/>
        <v>BA-SANTA ROSA</v>
      </c>
      <c r="B146" s="5" t="str">
        <f t="shared" si="22"/>
        <v>BA</v>
      </c>
      <c r="C146" s="83" t="s">
        <v>770</v>
      </c>
      <c r="D146" s="82" t="s">
        <v>827</v>
      </c>
      <c r="E146" s="85">
        <v>16</v>
      </c>
      <c r="F146" s="85"/>
      <c r="G146" s="86"/>
      <c r="H146" s="86"/>
      <c r="I146" s="86"/>
      <c r="J146" s="86"/>
      <c r="K146" s="86"/>
      <c r="L146" s="86"/>
      <c r="M146" s="86"/>
      <c r="N146" s="86"/>
      <c r="O146" s="86"/>
      <c r="P146" s="87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</row>
    <row r="147" spans="1:44" ht="14.6" customHeight="1" x14ac:dyDescent="0.4">
      <c r="A147" s="5" t="str">
        <f t="shared" si="21"/>
        <v>BA-TORUNOS</v>
      </c>
      <c r="B147" s="5" t="str">
        <f t="shared" si="22"/>
        <v>BA</v>
      </c>
      <c r="C147" s="83" t="s">
        <v>770</v>
      </c>
      <c r="D147" s="82" t="s">
        <v>930</v>
      </c>
      <c r="E147" s="85">
        <v>10</v>
      </c>
      <c r="F147" s="85"/>
      <c r="G147" s="86"/>
      <c r="H147" s="86"/>
      <c r="I147" s="86"/>
      <c r="J147" s="86"/>
      <c r="K147" s="86"/>
      <c r="L147" s="86"/>
      <c r="M147" s="86"/>
      <c r="N147" s="86"/>
      <c r="O147" s="86"/>
      <c r="P147" s="87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</row>
    <row r="148" spans="1:44" ht="14.6" customHeight="1" x14ac:dyDescent="0.4">
      <c r="A148" s="5" t="str">
        <f t="shared" si="21"/>
        <v>BO-ANDRES ELOY BLANCO</v>
      </c>
      <c r="B148" s="5" t="str">
        <f t="shared" si="22"/>
        <v>BO</v>
      </c>
      <c r="C148" s="83" t="s">
        <v>771</v>
      </c>
      <c r="D148" s="82" t="s">
        <v>895</v>
      </c>
      <c r="E148" s="85">
        <v>1</v>
      </c>
      <c r="F148" s="85"/>
      <c r="G148" s="86"/>
      <c r="H148" s="86"/>
      <c r="I148" s="86"/>
      <c r="J148" s="86"/>
      <c r="K148" s="86"/>
      <c r="L148" s="86"/>
      <c r="M148" s="86"/>
      <c r="N148" s="86"/>
      <c r="O148" s="86"/>
      <c r="P148" s="87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</row>
    <row r="149" spans="1:44" ht="14.6" customHeight="1" x14ac:dyDescent="0.4">
      <c r="A149" s="5" t="str">
        <f t="shared" si="21"/>
        <v>BO-ASCENSION</v>
      </c>
      <c r="B149" s="5" t="str">
        <f t="shared" si="22"/>
        <v>BO</v>
      </c>
      <c r="C149" s="83" t="s">
        <v>771</v>
      </c>
      <c r="D149" s="82" t="s">
        <v>931</v>
      </c>
      <c r="E149" s="85">
        <v>14</v>
      </c>
      <c r="F149" s="85"/>
      <c r="G149" s="86"/>
      <c r="H149" s="86"/>
      <c r="I149" s="86"/>
      <c r="J149" s="86"/>
      <c r="K149" s="86"/>
      <c r="L149" s="86"/>
      <c r="M149" s="86"/>
      <c r="N149" s="86"/>
      <c r="O149" s="86"/>
      <c r="P149" s="87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</row>
    <row r="150" spans="1:44" ht="14.6" customHeight="1" x14ac:dyDescent="0.4">
      <c r="A150" s="5" t="str">
        <f t="shared" si="21"/>
        <v>BO-BARCELONETA</v>
      </c>
      <c r="B150" s="5" t="str">
        <f t="shared" si="22"/>
        <v>BO</v>
      </c>
      <c r="C150" s="83" t="s">
        <v>771</v>
      </c>
      <c r="D150" s="82" t="s">
        <v>932</v>
      </c>
      <c r="E150" s="85">
        <v>27</v>
      </c>
      <c r="F150" s="85"/>
      <c r="G150" s="86"/>
      <c r="H150" s="86"/>
      <c r="I150" s="86"/>
      <c r="J150" s="86"/>
      <c r="K150" s="86"/>
      <c r="L150" s="86"/>
      <c r="M150" s="86"/>
      <c r="N150" s="86"/>
      <c r="O150" s="86"/>
      <c r="P150" s="87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</row>
    <row r="151" spans="1:44" ht="14.6" customHeight="1" x14ac:dyDescent="0.4">
      <c r="A151" s="5" t="str">
        <f t="shared" si="21"/>
        <v>BO-CAICARA</v>
      </c>
      <c r="B151" s="5" t="str">
        <f t="shared" si="22"/>
        <v>BO</v>
      </c>
      <c r="C151" s="83" t="s">
        <v>771</v>
      </c>
      <c r="D151" s="82" t="s">
        <v>933</v>
      </c>
      <c r="E151" s="85">
        <v>152</v>
      </c>
      <c r="F151" s="85"/>
      <c r="G151" s="86"/>
      <c r="H151" s="86"/>
      <c r="I151" s="86"/>
      <c r="J151" s="86"/>
      <c r="K151" s="86"/>
      <c r="L151" s="86"/>
      <c r="M151" s="86"/>
      <c r="N151" s="86"/>
      <c r="O151" s="86"/>
      <c r="P151" s="87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</row>
    <row r="152" spans="1:44" ht="14.6" customHeight="1" x14ac:dyDescent="0.4">
      <c r="A152" s="5" t="str">
        <f t="shared" si="21"/>
        <v>BO-CIUDAD BOLIVAR</v>
      </c>
      <c r="B152" s="5" t="str">
        <f t="shared" si="22"/>
        <v>BO</v>
      </c>
      <c r="C152" s="83" t="s">
        <v>771</v>
      </c>
      <c r="D152" s="82" t="s">
        <v>934</v>
      </c>
      <c r="E152" s="85">
        <v>1712</v>
      </c>
      <c r="F152" s="85"/>
      <c r="G152" s="86"/>
      <c r="H152" s="86"/>
      <c r="I152" s="86"/>
      <c r="J152" s="86"/>
      <c r="K152" s="86"/>
      <c r="L152" s="86"/>
      <c r="M152" s="86"/>
      <c r="N152" s="86"/>
      <c r="O152" s="86"/>
      <c r="P152" s="87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</row>
    <row r="153" spans="1:44" ht="14.6" customHeight="1" x14ac:dyDescent="0.4">
      <c r="A153" s="5" t="str">
        <f t="shared" si="21"/>
        <v>BO-DALLA COSTA</v>
      </c>
      <c r="B153" s="5" t="str">
        <f t="shared" si="22"/>
        <v>BO</v>
      </c>
      <c r="C153" s="83" t="s">
        <v>771</v>
      </c>
      <c r="D153" s="82" t="s">
        <v>935</v>
      </c>
      <c r="E153" s="85">
        <v>1</v>
      </c>
      <c r="F153" s="85"/>
      <c r="G153" s="86"/>
      <c r="H153" s="86"/>
      <c r="I153" s="86"/>
      <c r="J153" s="86"/>
      <c r="K153" s="86"/>
      <c r="L153" s="86"/>
      <c r="M153" s="86"/>
      <c r="N153" s="86"/>
      <c r="O153" s="86"/>
      <c r="P153" s="87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</row>
    <row r="154" spans="1:44" ht="14.6" customHeight="1" x14ac:dyDescent="0.4">
      <c r="A154" s="5" t="str">
        <f t="shared" ref="A154:A169" si="23">+B154&amp;"-"&amp;D154</f>
        <v>BO-EL CALLAO</v>
      </c>
      <c r="B154" s="5" t="str">
        <f t="shared" ref="B154:B169" si="24">+MID(C154,1,2)</f>
        <v>BO</v>
      </c>
      <c r="C154" s="83" t="s">
        <v>771</v>
      </c>
      <c r="D154" s="82" t="s">
        <v>936</v>
      </c>
      <c r="E154" s="85">
        <v>74</v>
      </c>
      <c r="F154" s="85"/>
      <c r="G154" s="86"/>
      <c r="H154" s="86"/>
      <c r="I154" s="86"/>
      <c r="J154" s="86"/>
      <c r="K154" s="86"/>
      <c r="L154" s="86"/>
      <c r="M154" s="86"/>
      <c r="N154" s="86"/>
      <c r="O154" s="86"/>
      <c r="P154" s="87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</row>
    <row r="155" spans="1:44" ht="14.6" customHeight="1" x14ac:dyDescent="0.4">
      <c r="A155" s="5" t="str">
        <f t="shared" si="23"/>
        <v>BO-EL PALMAR</v>
      </c>
      <c r="B155" s="5" t="str">
        <f t="shared" si="24"/>
        <v>BO</v>
      </c>
      <c r="C155" s="83" t="s">
        <v>771</v>
      </c>
      <c r="D155" s="82" t="s">
        <v>937</v>
      </c>
      <c r="E155" s="85">
        <v>27</v>
      </c>
      <c r="F155" s="85"/>
      <c r="G155" s="86"/>
      <c r="H155" s="86"/>
      <c r="I155" s="86"/>
      <c r="J155" s="86"/>
      <c r="K155" s="86"/>
      <c r="L155" s="86"/>
      <c r="M155" s="86"/>
      <c r="N155" s="86"/>
      <c r="O155" s="86"/>
      <c r="P155" s="87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</row>
    <row r="156" spans="1:44" ht="14.6" customHeight="1" x14ac:dyDescent="0.4">
      <c r="A156" s="5" t="str">
        <f t="shared" si="23"/>
        <v>BO-GUARATARO</v>
      </c>
      <c r="B156" s="5" t="str">
        <f t="shared" si="24"/>
        <v>BO</v>
      </c>
      <c r="C156" s="83" t="s">
        <v>771</v>
      </c>
      <c r="D156" s="82" t="s">
        <v>938</v>
      </c>
      <c r="E156" s="85">
        <v>10</v>
      </c>
      <c r="F156" s="85"/>
      <c r="G156" s="86"/>
      <c r="H156" s="86"/>
      <c r="I156" s="86"/>
      <c r="J156" s="86"/>
      <c r="K156" s="86"/>
      <c r="L156" s="86"/>
      <c r="M156" s="86"/>
      <c r="N156" s="86"/>
      <c r="O156" s="86"/>
      <c r="P156" s="87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</row>
    <row r="157" spans="1:44" ht="14.6" customHeight="1" x14ac:dyDescent="0.4">
      <c r="A157" s="5" t="str">
        <f t="shared" si="23"/>
        <v>BO-GUASIPATI</v>
      </c>
      <c r="B157" s="5" t="str">
        <f t="shared" si="24"/>
        <v>BO</v>
      </c>
      <c r="C157" s="83" t="s">
        <v>771</v>
      </c>
      <c r="D157" s="82" t="s">
        <v>939</v>
      </c>
      <c r="E157" s="85">
        <v>51</v>
      </c>
      <c r="F157" s="85"/>
      <c r="G157" s="86"/>
      <c r="H157" s="86"/>
      <c r="I157" s="86"/>
      <c r="J157" s="86"/>
      <c r="K157" s="86"/>
      <c r="L157" s="86"/>
      <c r="M157" s="86"/>
      <c r="N157" s="86"/>
      <c r="O157" s="86"/>
      <c r="P157" s="87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</row>
    <row r="158" spans="1:44" ht="14.6" customHeight="1" x14ac:dyDescent="0.4">
      <c r="A158" s="5" t="str">
        <f t="shared" si="23"/>
        <v>BO-LOCALIDAD</v>
      </c>
      <c r="B158" s="5" t="str">
        <f t="shared" si="24"/>
        <v>BO</v>
      </c>
      <c r="C158" s="83" t="s">
        <v>771</v>
      </c>
      <c r="D158" s="88" t="s">
        <v>838</v>
      </c>
      <c r="E158" s="88" t="s">
        <v>839</v>
      </c>
      <c r="F158" s="88"/>
      <c r="G158" s="89"/>
      <c r="H158" s="89"/>
      <c r="I158" s="89"/>
      <c r="J158" s="89"/>
      <c r="K158" s="89"/>
      <c r="L158" s="89"/>
      <c r="M158" s="89"/>
      <c r="N158" s="89"/>
      <c r="O158" s="89"/>
      <c r="P158" s="90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</row>
    <row r="159" spans="1:44" ht="14.6" customHeight="1" x14ac:dyDescent="0.4">
      <c r="A159" s="5" t="str">
        <f t="shared" si="23"/>
        <v>BO-LA URBANA</v>
      </c>
      <c r="B159" s="5" t="str">
        <f t="shared" si="24"/>
        <v>BO</v>
      </c>
      <c r="C159" s="83" t="s">
        <v>771</v>
      </c>
      <c r="D159" s="82" t="s">
        <v>940</v>
      </c>
      <c r="E159" s="85">
        <v>7</v>
      </c>
      <c r="F159" s="85"/>
      <c r="G159" s="86"/>
      <c r="H159" s="86"/>
      <c r="I159" s="86"/>
      <c r="J159" s="86"/>
      <c r="K159" s="86"/>
      <c r="L159" s="86"/>
      <c r="M159" s="86"/>
      <c r="N159" s="86"/>
      <c r="O159" s="86"/>
      <c r="P159" s="87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</row>
    <row r="160" spans="1:44" ht="14.6" customHeight="1" x14ac:dyDescent="0.4">
      <c r="A160" s="5" t="str">
        <f t="shared" si="23"/>
        <v>BO-LAS BONITAS</v>
      </c>
      <c r="B160" s="5" t="str">
        <f t="shared" si="24"/>
        <v>BO</v>
      </c>
      <c r="C160" s="83" t="s">
        <v>771</v>
      </c>
      <c r="D160" s="82" t="s">
        <v>941</v>
      </c>
      <c r="E160" s="85">
        <v>3</v>
      </c>
      <c r="F160" s="85"/>
      <c r="G160" s="86"/>
      <c r="H160" s="86"/>
      <c r="I160" s="86"/>
      <c r="J160" s="86"/>
      <c r="K160" s="86"/>
      <c r="L160" s="86"/>
      <c r="M160" s="86"/>
      <c r="N160" s="86"/>
      <c r="O160" s="86"/>
      <c r="P160" s="87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</row>
    <row r="161" spans="1:44" ht="14.6" customHeight="1" x14ac:dyDescent="0.4">
      <c r="A161" s="5" t="str">
        <f t="shared" si="23"/>
        <v>BO-MARIPA</v>
      </c>
      <c r="B161" s="5" t="str">
        <f t="shared" si="24"/>
        <v>BO</v>
      </c>
      <c r="C161" s="83" t="s">
        <v>771</v>
      </c>
      <c r="D161" s="82" t="s">
        <v>942</v>
      </c>
      <c r="E161" s="85">
        <v>3</v>
      </c>
      <c r="F161" s="85"/>
      <c r="G161" s="86"/>
      <c r="H161" s="86"/>
      <c r="I161" s="86"/>
      <c r="J161" s="86"/>
      <c r="K161" s="86"/>
      <c r="L161" s="86"/>
      <c r="M161" s="86"/>
      <c r="N161" s="86"/>
      <c r="O161" s="86"/>
      <c r="P161" s="87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</row>
    <row r="162" spans="1:44" ht="14.6" customHeight="1" x14ac:dyDescent="0.4">
      <c r="A162" s="5" t="str">
        <f t="shared" si="23"/>
        <v>BO-MOITACO</v>
      </c>
      <c r="B162" s="5" t="str">
        <f t="shared" si="24"/>
        <v>BO</v>
      </c>
      <c r="C162" s="83" t="s">
        <v>771</v>
      </c>
      <c r="D162" s="82" t="s">
        <v>943</v>
      </c>
      <c r="E162" s="85">
        <v>2</v>
      </c>
      <c r="F162" s="85"/>
      <c r="G162" s="86"/>
      <c r="H162" s="86"/>
      <c r="I162" s="86"/>
      <c r="J162" s="86"/>
      <c r="K162" s="86"/>
      <c r="L162" s="86"/>
      <c r="M162" s="86"/>
      <c r="N162" s="86"/>
      <c r="O162" s="86"/>
      <c r="P162" s="87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</row>
    <row r="163" spans="1:44" ht="14.6" customHeight="1" x14ac:dyDescent="0.4">
      <c r="A163" s="5" t="str">
        <f t="shared" si="23"/>
        <v>BO-PEDRO COVA</v>
      </c>
      <c r="B163" s="5" t="str">
        <f t="shared" si="24"/>
        <v>BO</v>
      </c>
      <c r="C163" s="83" t="s">
        <v>771</v>
      </c>
      <c r="D163" s="82" t="s">
        <v>944</v>
      </c>
      <c r="E163" s="85">
        <v>38</v>
      </c>
      <c r="F163" s="85"/>
      <c r="G163" s="86"/>
      <c r="H163" s="86"/>
      <c r="I163" s="86"/>
      <c r="J163" s="86"/>
      <c r="K163" s="86"/>
      <c r="L163" s="86"/>
      <c r="M163" s="86"/>
      <c r="N163" s="86"/>
      <c r="O163" s="86"/>
      <c r="P163" s="87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</row>
    <row r="164" spans="1:44" ht="14.6" customHeight="1" x14ac:dyDescent="0.4">
      <c r="A164" s="5" t="str">
        <f t="shared" si="23"/>
        <v>BO-RAUL LEONI</v>
      </c>
      <c r="B164" s="5" t="str">
        <f t="shared" si="24"/>
        <v>BO</v>
      </c>
      <c r="C164" s="83" t="s">
        <v>771</v>
      </c>
      <c r="D164" s="82" t="s">
        <v>945</v>
      </c>
      <c r="E164" s="85">
        <v>1</v>
      </c>
      <c r="F164" s="85"/>
      <c r="G164" s="86"/>
      <c r="H164" s="86"/>
      <c r="I164" s="86"/>
      <c r="J164" s="86"/>
      <c r="K164" s="86"/>
      <c r="L164" s="86"/>
      <c r="M164" s="86"/>
      <c r="N164" s="86"/>
      <c r="O164" s="86"/>
      <c r="P164" s="87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</row>
    <row r="165" spans="1:44" ht="14.6" customHeight="1" x14ac:dyDescent="0.4">
      <c r="A165" s="5" t="str">
        <f t="shared" si="23"/>
        <v>BO-SALOM</v>
      </c>
      <c r="B165" s="5" t="str">
        <f t="shared" si="24"/>
        <v>BO</v>
      </c>
      <c r="C165" s="83" t="s">
        <v>771</v>
      </c>
      <c r="D165" s="82" t="s">
        <v>946</v>
      </c>
      <c r="E165" s="85">
        <v>2</v>
      </c>
      <c r="F165" s="85"/>
      <c r="G165" s="86"/>
      <c r="H165" s="86"/>
      <c r="I165" s="86"/>
      <c r="J165" s="86"/>
      <c r="K165" s="86"/>
      <c r="L165" s="86"/>
      <c r="M165" s="86"/>
      <c r="N165" s="86"/>
      <c r="O165" s="86"/>
      <c r="P165" s="87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</row>
    <row r="166" spans="1:44" ht="14.6" customHeight="1" x14ac:dyDescent="0.4">
      <c r="A166" s="5" t="str">
        <f t="shared" si="23"/>
        <v>BO-SAN FELIX</v>
      </c>
      <c r="B166" s="5" t="str">
        <f t="shared" si="24"/>
        <v>BO</v>
      </c>
      <c r="C166" s="83" t="s">
        <v>771</v>
      </c>
      <c r="D166" s="82" t="s">
        <v>947</v>
      </c>
      <c r="E166" s="85">
        <v>2465</v>
      </c>
      <c r="F166" s="85"/>
      <c r="G166" s="86"/>
      <c r="H166" s="86"/>
      <c r="I166" s="86"/>
      <c r="J166" s="86"/>
      <c r="K166" s="86"/>
      <c r="L166" s="86"/>
      <c r="M166" s="86"/>
      <c r="N166" s="86"/>
      <c r="O166" s="86"/>
      <c r="P166" s="87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</row>
    <row r="167" spans="1:44" ht="14.6" customHeight="1" x14ac:dyDescent="0.4">
      <c r="A167" s="5" t="str">
        <f t="shared" si="23"/>
        <v>BO-SAN FRANCISCO DE LA</v>
      </c>
      <c r="B167" s="5" t="str">
        <f t="shared" si="24"/>
        <v>BO</v>
      </c>
      <c r="C167" s="83" t="s">
        <v>771</v>
      </c>
      <c r="D167" s="82" t="s">
        <v>948</v>
      </c>
      <c r="E167" s="85">
        <v>3</v>
      </c>
      <c r="F167" s="85"/>
      <c r="G167" s="86"/>
      <c r="H167" s="86"/>
      <c r="I167" s="86"/>
      <c r="J167" s="86"/>
      <c r="K167" s="86"/>
      <c r="L167" s="86"/>
      <c r="M167" s="86"/>
      <c r="N167" s="86"/>
      <c r="O167" s="86"/>
      <c r="P167" s="87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</row>
    <row r="168" spans="1:44" ht="14.6" customHeight="1" x14ac:dyDescent="0.4">
      <c r="A168" s="5" t="str">
        <f t="shared" si="23"/>
        <v>BO-SAN ISIDRO</v>
      </c>
      <c r="B168" s="5" t="str">
        <f t="shared" si="24"/>
        <v>BO</v>
      </c>
      <c r="C168" s="83" t="s">
        <v>771</v>
      </c>
      <c r="D168" s="82" t="s">
        <v>949</v>
      </c>
      <c r="E168" s="85">
        <v>3</v>
      </c>
      <c r="F168" s="85"/>
      <c r="G168" s="86"/>
      <c r="H168" s="86"/>
      <c r="I168" s="86"/>
      <c r="J168" s="86"/>
      <c r="K168" s="86"/>
      <c r="L168" s="86"/>
      <c r="M168" s="86"/>
      <c r="N168" s="86"/>
      <c r="O168" s="86"/>
      <c r="P168" s="87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</row>
    <row r="169" spans="1:44" ht="14.6" customHeight="1" x14ac:dyDescent="0.4">
      <c r="A169" s="5" t="str">
        <f t="shared" si="23"/>
        <v>BO-TUMEREMO</v>
      </c>
      <c r="B169" s="5" t="str">
        <f t="shared" si="24"/>
        <v>BO</v>
      </c>
      <c r="C169" s="83" t="s">
        <v>771</v>
      </c>
      <c r="D169" s="82" t="s">
        <v>950</v>
      </c>
      <c r="E169" s="85">
        <v>115</v>
      </c>
      <c r="F169" s="85"/>
      <c r="G169" s="86"/>
      <c r="H169" s="86"/>
      <c r="I169" s="86"/>
      <c r="J169" s="86"/>
      <c r="K169" s="86"/>
      <c r="L169" s="86"/>
      <c r="M169" s="86"/>
      <c r="N169" s="86"/>
      <c r="O169" s="86"/>
      <c r="P169" s="87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</row>
    <row r="170" spans="1:44" ht="14.6" customHeight="1" x14ac:dyDescent="0.4">
      <c r="A170" s="5" t="str">
        <f t="shared" ref="A170:A191" si="25">+B170&amp;"-"&amp;D170</f>
        <v>BO-UPATA</v>
      </c>
      <c r="B170" s="5" t="str">
        <f t="shared" ref="B170:B191" si="26">+MID(C170,1,2)</f>
        <v>BO</v>
      </c>
      <c r="C170" s="83" t="s">
        <v>771</v>
      </c>
      <c r="D170" s="82" t="s">
        <v>951</v>
      </c>
      <c r="E170" s="85">
        <v>312</v>
      </c>
      <c r="F170" s="85"/>
      <c r="G170" s="86"/>
      <c r="H170" s="86"/>
      <c r="I170" s="86"/>
      <c r="J170" s="86"/>
      <c r="K170" s="86"/>
      <c r="L170" s="86"/>
      <c r="M170" s="86"/>
      <c r="N170" s="86"/>
      <c r="O170" s="86"/>
      <c r="P170" s="87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</row>
    <row r="171" spans="1:44" ht="14.6" customHeight="1" x14ac:dyDescent="0.4">
      <c r="A171" s="5" t="str">
        <f t="shared" si="25"/>
        <v>BO-URDANETA</v>
      </c>
      <c r="B171" s="5" t="str">
        <f t="shared" si="26"/>
        <v>BO</v>
      </c>
      <c r="C171" s="83" t="s">
        <v>771</v>
      </c>
      <c r="D171" s="82" t="s">
        <v>859</v>
      </c>
      <c r="E171" s="85">
        <v>49</v>
      </c>
      <c r="F171" s="85"/>
      <c r="G171" s="86"/>
      <c r="H171" s="86"/>
      <c r="I171" s="86"/>
      <c r="J171" s="86"/>
      <c r="K171" s="86"/>
      <c r="L171" s="86"/>
      <c r="M171" s="86"/>
      <c r="N171" s="86"/>
      <c r="O171" s="86"/>
      <c r="P171" s="87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</row>
    <row r="172" spans="1:44" ht="14.6" customHeight="1" x14ac:dyDescent="0.4">
      <c r="A172" s="5" t="str">
        <f t="shared" si="25"/>
        <v>CA-AGUA CALIENTE</v>
      </c>
      <c r="B172" s="5" t="str">
        <f t="shared" si="26"/>
        <v>CA</v>
      </c>
      <c r="C172" s="83" t="s">
        <v>772</v>
      </c>
      <c r="D172" s="82" t="s">
        <v>952</v>
      </c>
      <c r="E172" s="85">
        <v>58</v>
      </c>
      <c r="F172" s="85"/>
      <c r="G172" s="86"/>
      <c r="H172" s="86"/>
      <c r="I172" s="86"/>
      <c r="J172" s="86"/>
      <c r="K172" s="86"/>
      <c r="L172" s="86"/>
      <c r="M172" s="86"/>
      <c r="N172" s="86"/>
      <c r="O172" s="86"/>
      <c r="P172" s="87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</row>
    <row r="173" spans="1:44" ht="14.6" customHeight="1" x14ac:dyDescent="0.4">
      <c r="A173" s="5" t="str">
        <f t="shared" si="25"/>
        <v>CA-BEJUMA</v>
      </c>
      <c r="B173" s="5" t="str">
        <f t="shared" si="26"/>
        <v>CA</v>
      </c>
      <c r="C173" s="83" t="s">
        <v>772</v>
      </c>
      <c r="D173" s="82" t="s">
        <v>953</v>
      </c>
      <c r="E173" s="85">
        <v>192</v>
      </c>
      <c r="F173" s="85"/>
      <c r="G173" s="86"/>
      <c r="H173" s="86"/>
      <c r="I173" s="86"/>
      <c r="J173" s="86"/>
      <c r="K173" s="86"/>
      <c r="L173" s="86"/>
      <c r="M173" s="86"/>
      <c r="N173" s="86"/>
      <c r="O173" s="86"/>
      <c r="P173" s="87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</row>
    <row r="174" spans="1:44" ht="14.6" customHeight="1" x14ac:dyDescent="0.4">
      <c r="A174" s="5" t="str">
        <f t="shared" si="25"/>
        <v>CA-BELEN</v>
      </c>
      <c r="B174" s="5" t="str">
        <f t="shared" si="26"/>
        <v>CA</v>
      </c>
      <c r="C174" s="83" t="s">
        <v>772</v>
      </c>
      <c r="D174" s="82" t="s">
        <v>954</v>
      </c>
      <c r="E174" s="85">
        <v>27</v>
      </c>
      <c r="F174" s="85"/>
      <c r="G174" s="86"/>
      <c r="H174" s="86"/>
      <c r="I174" s="86"/>
      <c r="J174" s="86"/>
      <c r="K174" s="86"/>
      <c r="L174" s="86"/>
      <c r="M174" s="86"/>
      <c r="N174" s="86"/>
      <c r="O174" s="86"/>
      <c r="P174" s="87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</row>
    <row r="175" spans="1:44" ht="14.6" customHeight="1" x14ac:dyDescent="0.4">
      <c r="A175" s="5" t="str">
        <f t="shared" si="25"/>
        <v>CA-BORBURATA</v>
      </c>
      <c r="B175" s="5" t="str">
        <f t="shared" si="26"/>
        <v>CA</v>
      </c>
      <c r="C175" s="83" t="s">
        <v>772</v>
      </c>
      <c r="D175" s="82" t="s">
        <v>955</v>
      </c>
      <c r="E175" s="85">
        <v>24</v>
      </c>
      <c r="F175" s="85"/>
      <c r="G175" s="86"/>
      <c r="H175" s="86"/>
      <c r="I175" s="86"/>
      <c r="J175" s="86"/>
      <c r="K175" s="86"/>
      <c r="L175" s="86"/>
      <c r="M175" s="86"/>
      <c r="N175" s="86"/>
      <c r="O175" s="86"/>
      <c r="P175" s="87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</row>
    <row r="176" spans="1:44" ht="14.6" customHeight="1" x14ac:dyDescent="0.4">
      <c r="A176" s="5" t="str">
        <f t="shared" si="25"/>
        <v>CA-CANDELARIA</v>
      </c>
      <c r="B176" s="5" t="str">
        <f t="shared" si="26"/>
        <v>CA</v>
      </c>
      <c r="C176" s="83" t="s">
        <v>772</v>
      </c>
      <c r="D176" s="82" t="s">
        <v>956</v>
      </c>
      <c r="E176" s="85">
        <v>1707</v>
      </c>
      <c r="F176" s="85"/>
      <c r="G176" s="86"/>
      <c r="H176" s="86"/>
      <c r="I176" s="86"/>
      <c r="J176" s="86"/>
      <c r="K176" s="86"/>
      <c r="L176" s="86"/>
      <c r="M176" s="86"/>
      <c r="N176" s="86"/>
      <c r="O176" s="86"/>
      <c r="P176" s="87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</row>
    <row r="177" spans="1:44" ht="14.6" customHeight="1" x14ac:dyDescent="0.4">
      <c r="A177" s="5" t="str">
        <f t="shared" si="25"/>
        <v>CA-CANOABO</v>
      </c>
      <c r="B177" s="5" t="str">
        <f t="shared" si="26"/>
        <v>CA</v>
      </c>
      <c r="C177" s="83" t="s">
        <v>772</v>
      </c>
      <c r="D177" s="82" t="s">
        <v>957</v>
      </c>
      <c r="E177" s="85">
        <v>16</v>
      </c>
      <c r="F177" s="85"/>
      <c r="G177" s="86"/>
      <c r="H177" s="86"/>
      <c r="I177" s="86"/>
      <c r="J177" s="86"/>
      <c r="K177" s="86"/>
      <c r="L177" s="86"/>
      <c r="M177" s="86"/>
      <c r="N177" s="86"/>
      <c r="O177" s="86"/>
      <c r="P177" s="87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</row>
    <row r="178" spans="1:44" ht="14.6" customHeight="1" x14ac:dyDescent="0.4">
      <c r="A178" s="5" t="str">
        <f t="shared" si="25"/>
        <v>CA-CATEDRAL</v>
      </c>
      <c r="B178" s="5" t="str">
        <f t="shared" si="26"/>
        <v>CA</v>
      </c>
      <c r="C178" s="83" t="s">
        <v>772</v>
      </c>
      <c r="D178" s="82" t="s">
        <v>958</v>
      </c>
      <c r="E178" s="85">
        <v>177</v>
      </c>
      <c r="F178" s="85"/>
      <c r="G178" s="86"/>
      <c r="H178" s="86"/>
      <c r="I178" s="86"/>
      <c r="J178" s="86"/>
      <c r="K178" s="86"/>
      <c r="L178" s="86"/>
      <c r="M178" s="86"/>
      <c r="N178" s="86"/>
      <c r="O178" s="86"/>
      <c r="P178" s="87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</row>
    <row r="179" spans="1:44" ht="14.6" customHeight="1" x14ac:dyDescent="0.4">
      <c r="A179" s="5" t="str">
        <f t="shared" si="25"/>
        <v>CA-CENTRAL TACARIGUA</v>
      </c>
      <c r="B179" s="5" t="str">
        <f t="shared" si="26"/>
        <v>CA</v>
      </c>
      <c r="C179" s="83" t="s">
        <v>772</v>
      </c>
      <c r="D179" s="82" t="s">
        <v>959</v>
      </c>
      <c r="E179" s="85">
        <v>119</v>
      </c>
      <c r="F179" s="85"/>
      <c r="G179" s="86"/>
      <c r="H179" s="86"/>
      <c r="I179" s="86"/>
      <c r="J179" s="86"/>
      <c r="K179" s="86"/>
      <c r="L179" s="86"/>
      <c r="M179" s="86"/>
      <c r="N179" s="86"/>
      <c r="O179" s="86"/>
      <c r="P179" s="87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</row>
    <row r="180" spans="1:44" ht="14.6" customHeight="1" x14ac:dyDescent="0.4">
      <c r="A180" s="5" t="str">
        <f t="shared" si="25"/>
        <v>CA-CIUDAD ALIANZA</v>
      </c>
      <c r="B180" s="5" t="str">
        <f t="shared" si="26"/>
        <v>CA</v>
      </c>
      <c r="C180" s="83" t="s">
        <v>772</v>
      </c>
      <c r="D180" s="82" t="s">
        <v>960</v>
      </c>
      <c r="E180" s="85">
        <v>25</v>
      </c>
      <c r="F180" s="85"/>
      <c r="G180" s="86"/>
      <c r="H180" s="86"/>
      <c r="I180" s="86"/>
      <c r="J180" s="86"/>
      <c r="K180" s="86"/>
      <c r="L180" s="86"/>
      <c r="M180" s="86"/>
      <c r="N180" s="86"/>
      <c r="O180" s="86"/>
      <c r="P180" s="87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</row>
    <row r="181" spans="1:44" ht="14.6" customHeight="1" x14ac:dyDescent="0.4">
      <c r="A181" s="5" t="str">
        <f t="shared" si="25"/>
        <v>CA-DEMOCRACIA</v>
      </c>
      <c r="B181" s="5" t="str">
        <f t="shared" si="26"/>
        <v>CA</v>
      </c>
      <c r="C181" s="83" t="s">
        <v>772</v>
      </c>
      <c r="D181" s="82" t="s">
        <v>961</v>
      </c>
      <c r="E181" s="85">
        <v>29</v>
      </c>
      <c r="F181" s="85"/>
      <c r="G181" s="86"/>
      <c r="H181" s="86"/>
      <c r="I181" s="86"/>
      <c r="J181" s="86"/>
      <c r="K181" s="86"/>
      <c r="L181" s="86"/>
      <c r="M181" s="86"/>
      <c r="N181" s="86"/>
      <c r="O181" s="86"/>
      <c r="P181" s="87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</row>
    <row r="182" spans="1:44" ht="14.6" customHeight="1" x14ac:dyDescent="0.4">
      <c r="A182" s="5" t="str">
        <f t="shared" si="25"/>
        <v>CA-DIEGO IBARRA</v>
      </c>
      <c r="B182" s="5" t="str">
        <f t="shared" si="26"/>
        <v>CA</v>
      </c>
      <c r="C182" s="83" t="s">
        <v>772</v>
      </c>
      <c r="D182" s="82" t="s">
        <v>962</v>
      </c>
      <c r="E182" s="85">
        <v>159</v>
      </c>
      <c r="F182" s="85"/>
      <c r="G182" s="86"/>
      <c r="H182" s="86"/>
      <c r="I182" s="86"/>
      <c r="J182" s="86"/>
      <c r="K182" s="86"/>
      <c r="L182" s="86"/>
      <c r="M182" s="86"/>
      <c r="N182" s="86"/>
      <c r="O182" s="86"/>
      <c r="P182" s="87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</row>
    <row r="183" spans="1:44" ht="14.6" customHeight="1" x14ac:dyDescent="0.4">
      <c r="A183" s="5" t="str">
        <f t="shared" si="25"/>
        <v>CA-EL SOCORRO</v>
      </c>
      <c r="B183" s="5" t="str">
        <f t="shared" si="26"/>
        <v>CA</v>
      </c>
      <c r="C183" s="83" t="s">
        <v>772</v>
      </c>
      <c r="D183" s="82" t="s">
        <v>963</v>
      </c>
      <c r="E183" s="85">
        <v>33</v>
      </c>
      <c r="F183" s="85"/>
      <c r="G183" s="86"/>
      <c r="H183" s="86"/>
      <c r="I183" s="86"/>
      <c r="J183" s="86"/>
      <c r="K183" s="86"/>
      <c r="L183" s="86"/>
      <c r="M183" s="86"/>
      <c r="N183" s="86"/>
      <c r="O183" s="86"/>
      <c r="P183" s="87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</row>
    <row r="184" spans="1:44" ht="14.6" customHeight="1" x14ac:dyDescent="0.4">
      <c r="A184" s="5" t="str">
        <f t="shared" si="25"/>
        <v>CA-FRATERNIDAD</v>
      </c>
      <c r="B184" s="5" t="str">
        <f t="shared" si="26"/>
        <v>CA</v>
      </c>
      <c r="C184" s="83" t="s">
        <v>772</v>
      </c>
      <c r="D184" s="82" t="s">
        <v>964</v>
      </c>
      <c r="E184" s="85">
        <v>225</v>
      </c>
      <c r="F184" s="85"/>
      <c r="G184" s="86"/>
      <c r="H184" s="86"/>
      <c r="I184" s="86"/>
      <c r="J184" s="86"/>
      <c r="K184" s="86"/>
      <c r="L184" s="86"/>
      <c r="M184" s="86"/>
      <c r="N184" s="86"/>
      <c r="O184" s="86"/>
      <c r="P184" s="87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</row>
    <row r="185" spans="1:44" ht="14.6" customHeight="1" x14ac:dyDescent="0.4">
      <c r="A185" s="5" t="str">
        <f t="shared" si="25"/>
        <v>CA-GOAIGOAZA</v>
      </c>
      <c r="B185" s="5" t="str">
        <f t="shared" si="26"/>
        <v>CA</v>
      </c>
      <c r="C185" s="83" t="s">
        <v>772</v>
      </c>
      <c r="D185" s="82" t="s">
        <v>965</v>
      </c>
      <c r="E185" s="85">
        <v>55</v>
      </c>
      <c r="F185" s="85"/>
      <c r="G185" s="86"/>
      <c r="H185" s="86"/>
      <c r="I185" s="86"/>
      <c r="J185" s="86"/>
      <c r="K185" s="86"/>
      <c r="L185" s="86"/>
      <c r="M185" s="86"/>
      <c r="N185" s="86"/>
      <c r="O185" s="86"/>
      <c r="P185" s="87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</row>
    <row r="186" spans="1:44" ht="14.6" customHeight="1" x14ac:dyDescent="0.4">
      <c r="A186" s="5" t="str">
        <f t="shared" si="25"/>
        <v>CA-GUACARA</v>
      </c>
      <c r="B186" s="5" t="str">
        <f t="shared" si="26"/>
        <v>CA</v>
      </c>
      <c r="C186" s="83" t="s">
        <v>772</v>
      </c>
      <c r="D186" s="82" t="s">
        <v>966</v>
      </c>
      <c r="E186" s="85">
        <v>270</v>
      </c>
      <c r="F186" s="85"/>
      <c r="G186" s="86"/>
      <c r="H186" s="86"/>
      <c r="I186" s="86"/>
      <c r="J186" s="86"/>
      <c r="K186" s="86"/>
      <c r="L186" s="86"/>
      <c r="M186" s="86"/>
      <c r="N186" s="86"/>
      <c r="O186" s="86"/>
      <c r="P186" s="87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</row>
    <row r="187" spans="1:44" ht="14.6" customHeight="1" x14ac:dyDescent="0.4">
      <c r="A187" s="5" t="str">
        <f t="shared" si="25"/>
        <v>CA-GUIGUE</v>
      </c>
      <c r="B187" s="5" t="str">
        <f t="shared" si="26"/>
        <v>CA</v>
      </c>
      <c r="C187" s="83" t="s">
        <v>772</v>
      </c>
      <c r="D187" s="82" t="s">
        <v>967</v>
      </c>
      <c r="E187" s="85">
        <v>195</v>
      </c>
      <c r="F187" s="85"/>
      <c r="G187" s="86"/>
      <c r="H187" s="86"/>
      <c r="I187" s="86"/>
      <c r="J187" s="86"/>
      <c r="K187" s="86"/>
      <c r="L187" s="86"/>
      <c r="M187" s="86"/>
      <c r="N187" s="86"/>
      <c r="O187" s="86"/>
      <c r="P187" s="87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</row>
    <row r="188" spans="1:44" ht="14.6" customHeight="1" x14ac:dyDescent="0.4">
      <c r="A188" s="5" t="str">
        <f t="shared" si="25"/>
        <v>CA-INDEPENDENCIA</v>
      </c>
      <c r="B188" s="5" t="str">
        <f t="shared" si="26"/>
        <v>CA</v>
      </c>
      <c r="C188" s="83" t="s">
        <v>772</v>
      </c>
      <c r="D188" s="82" t="s">
        <v>968</v>
      </c>
      <c r="E188" s="85">
        <v>74</v>
      </c>
      <c r="F188" s="85"/>
      <c r="G188" s="86"/>
      <c r="H188" s="86"/>
      <c r="I188" s="86"/>
      <c r="J188" s="86"/>
      <c r="K188" s="86"/>
      <c r="L188" s="86"/>
      <c r="M188" s="86"/>
      <c r="N188" s="86"/>
      <c r="O188" s="86"/>
      <c r="P188" s="87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</row>
    <row r="189" spans="1:44" ht="14.6" customHeight="1" x14ac:dyDescent="0.4">
      <c r="A189" s="5" t="str">
        <f t="shared" si="25"/>
        <v>CA-JUAN JOSE FLORES</v>
      </c>
      <c r="B189" s="5" t="str">
        <f t="shared" si="26"/>
        <v>CA</v>
      </c>
      <c r="C189" s="83" t="s">
        <v>772</v>
      </c>
      <c r="D189" s="82" t="s">
        <v>969</v>
      </c>
      <c r="E189" s="85">
        <v>503</v>
      </c>
      <c r="F189" s="85"/>
      <c r="G189" s="86"/>
      <c r="H189" s="86"/>
      <c r="I189" s="86"/>
      <c r="J189" s="86"/>
      <c r="K189" s="86"/>
      <c r="L189" s="86"/>
      <c r="M189" s="86"/>
      <c r="N189" s="86"/>
      <c r="O189" s="86"/>
      <c r="P189" s="87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</row>
    <row r="190" spans="1:44" ht="14.6" customHeight="1" x14ac:dyDescent="0.4">
      <c r="A190" s="5" t="str">
        <f t="shared" si="25"/>
        <v>CA-JUAN JOSE MORA</v>
      </c>
      <c r="B190" s="5" t="str">
        <f t="shared" si="26"/>
        <v>CA</v>
      </c>
      <c r="C190" s="83" t="s">
        <v>772</v>
      </c>
      <c r="D190" s="82" t="s">
        <v>970</v>
      </c>
      <c r="E190" s="85">
        <v>110</v>
      </c>
      <c r="F190" s="85"/>
      <c r="G190" s="86"/>
      <c r="H190" s="86"/>
      <c r="I190" s="86"/>
      <c r="J190" s="86"/>
      <c r="K190" s="86"/>
      <c r="L190" s="86"/>
      <c r="M190" s="86"/>
      <c r="N190" s="86"/>
      <c r="O190" s="86"/>
      <c r="P190" s="87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</row>
    <row r="191" spans="1:44" ht="14.6" customHeight="1" x14ac:dyDescent="0.4">
      <c r="A191" s="5" t="str">
        <f t="shared" si="25"/>
        <v>CA-LOS GUAYOS</v>
      </c>
      <c r="B191" s="5" t="str">
        <f t="shared" si="26"/>
        <v>CA</v>
      </c>
      <c r="C191" s="83" t="s">
        <v>772</v>
      </c>
      <c r="D191" s="82" t="s">
        <v>971</v>
      </c>
      <c r="E191" s="85">
        <v>155</v>
      </c>
      <c r="F191" s="85"/>
      <c r="G191" s="86"/>
      <c r="H191" s="86"/>
      <c r="I191" s="86"/>
      <c r="J191" s="86"/>
      <c r="K191" s="86"/>
      <c r="L191" s="86"/>
      <c r="M191" s="86"/>
      <c r="N191" s="86"/>
      <c r="O191" s="86"/>
      <c r="P191" s="87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</row>
    <row r="192" spans="1:44" ht="14.6" customHeight="1" x14ac:dyDescent="0.4">
      <c r="A192" s="5" t="str">
        <f t="shared" ref="A192:A212" si="27">+B192&amp;"-"&amp;D192</f>
        <v>CA-MIGUEL PEÑA</v>
      </c>
      <c r="B192" s="5" t="str">
        <f t="shared" ref="B192:B212" si="28">+MID(C192,1,2)</f>
        <v>CA</v>
      </c>
      <c r="C192" s="83" t="s">
        <v>772</v>
      </c>
      <c r="D192" s="82" t="s">
        <v>972</v>
      </c>
      <c r="E192" s="85">
        <v>539</v>
      </c>
      <c r="F192" s="85"/>
      <c r="G192" s="86"/>
      <c r="H192" s="86"/>
      <c r="I192" s="86"/>
      <c r="J192" s="86"/>
      <c r="K192" s="86"/>
      <c r="L192" s="86"/>
      <c r="M192" s="86"/>
      <c r="N192" s="86"/>
      <c r="O192" s="86"/>
      <c r="P192" s="87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</row>
    <row r="193" spans="1:44" ht="14.6" customHeight="1" x14ac:dyDescent="0.4">
      <c r="A193" s="5" t="str">
        <f t="shared" si="27"/>
        <v>CA-MIRANDA</v>
      </c>
      <c r="B193" s="5" t="str">
        <f t="shared" si="28"/>
        <v>CA</v>
      </c>
      <c r="C193" s="83" t="s">
        <v>772</v>
      </c>
      <c r="D193" s="82" t="s">
        <v>973</v>
      </c>
      <c r="E193" s="85">
        <v>66</v>
      </c>
      <c r="F193" s="85"/>
      <c r="G193" s="86"/>
      <c r="H193" s="86"/>
      <c r="I193" s="86"/>
      <c r="J193" s="86"/>
      <c r="K193" s="86"/>
      <c r="L193" s="86"/>
      <c r="M193" s="86"/>
      <c r="N193" s="86"/>
      <c r="O193" s="86"/>
      <c r="P193" s="87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</row>
    <row r="194" spans="1:44" ht="14.6" customHeight="1" x14ac:dyDescent="0.4">
      <c r="A194" s="5" t="str">
        <f t="shared" si="27"/>
        <v>CA-MONTALBAN</v>
      </c>
      <c r="B194" s="5" t="str">
        <f t="shared" si="28"/>
        <v>CA</v>
      </c>
      <c r="C194" s="83" t="s">
        <v>772</v>
      </c>
      <c r="D194" s="82" t="s">
        <v>974</v>
      </c>
      <c r="E194" s="85">
        <v>55</v>
      </c>
      <c r="F194" s="85"/>
      <c r="G194" s="86"/>
      <c r="H194" s="86"/>
      <c r="I194" s="86"/>
      <c r="J194" s="86"/>
      <c r="K194" s="86"/>
      <c r="L194" s="86"/>
      <c r="M194" s="86"/>
      <c r="N194" s="86"/>
      <c r="O194" s="86"/>
      <c r="P194" s="87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</row>
    <row r="195" spans="1:44" ht="14.6" customHeight="1" x14ac:dyDescent="0.4">
      <c r="A195" s="5" t="str">
        <f t="shared" si="27"/>
        <v>CA-NAGUANAGUA</v>
      </c>
      <c r="B195" s="5" t="str">
        <f t="shared" si="28"/>
        <v>CA</v>
      </c>
      <c r="C195" s="83" t="s">
        <v>772</v>
      </c>
      <c r="D195" s="82" t="s">
        <v>975</v>
      </c>
      <c r="E195" s="85">
        <v>1002</v>
      </c>
      <c r="F195" s="85"/>
      <c r="G195" s="86"/>
      <c r="H195" s="86"/>
      <c r="I195" s="86"/>
      <c r="J195" s="86"/>
      <c r="K195" s="86"/>
      <c r="L195" s="86"/>
      <c r="M195" s="86"/>
      <c r="N195" s="86"/>
      <c r="O195" s="86"/>
      <c r="P195" s="87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</row>
    <row r="196" spans="1:44" ht="14.6" customHeight="1" x14ac:dyDescent="0.4">
      <c r="A196" s="5" t="str">
        <f t="shared" si="27"/>
        <v>CA-NEGRO PRIMERO</v>
      </c>
      <c r="B196" s="5" t="str">
        <f t="shared" si="28"/>
        <v>CA</v>
      </c>
      <c r="C196" s="83" t="s">
        <v>772</v>
      </c>
      <c r="D196" s="82" t="s">
        <v>976</v>
      </c>
      <c r="E196" s="85">
        <v>28</v>
      </c>
      <c r="F196" s="85"/>
      <c r="G196" s="86"/>
      <c r="H196" s="86"/>
      <c r="I196" s="86"/>
      <c r="J196" s="86"/>
      <c r="K196" s="86"/>
      <c r="L196" s="86"/>
      <c r="M196" s="86"/>
      <c r="N196" s="86"/>
      <c r="O196" s="86"/>
      <c r="P196" s="87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</row>
    <row r="197" spans="1:44" ht="14.6" customHeight="1" x14ac:dyDescent="0.4">
      <c r="A197" s="5" t="str">
        <f t="shared" si="27"/>
        <v>CA-PATANEMO</v>
      </c>
      <c r="B197" s="5" t="str">
        <f t="shared" si="28"/>
        <v>CA</v>
      </c>
      <c r="C197" s="83" t="s">
        <v>772</v>
      </c>
      <c r="D197" s="82" t="s">
        <v>977</v>
      </c>
      <c r="E197" s="85">
        <v>15</v>
      </c>
      <c r="F197" s="85"/>
      <c r="G197" s="86"/>
      <c r="H197" s="86"/>
      <c r="I197" s="86"/>
      <c r="J197" s="86"/>
      <c r="K197" s="86"/>
      <c r="L197" s="86"/>
      <c r="M197" s="86"/>
      <c r="N197" s="86"/>
      <c r="O197" s="86"/>
      <c r="P197" s="87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</row>
    <row r="198" spans="1:44" ht="14.6" customHeight="1" x14ac:dyDescent="0.4">
      <c r="A198" s="5" t="str">
        <f t="shared" si="27"/>
        <v>CA-RAFAEL URDANETA</v>
      </c>
      <c r="B198" s="5" t="str">
        <f t="shared" si="28"/>
        <v>CA</v>
      </c>
      <c r="C198" s="83" t="s">
        <v>772</v>
      </c>
      <c r="D198" s="82" t="s">
        <v>978</v>
      </c>
      <c r="E198" s="85">
        <v>346</v>
      </c>
      <c r="F198" s="85"/>
      <c r="G198" s="86"/>
      <c r="H198" s="86"/>
      <c r="I198" s="86"/>
      <c r="J198" s="86"/>
      <c r="K198" s="86"/>
      <c r="L198" s="86"/>
      <c r="M198" s="86"/>
      <c r="N198" s="86"/>
      <c r="O198" s="86"/>
      <c r="P198" s="87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</row>
    <row r="199" spans="1:44" ht="14.6" customHeight="1" x14ac:dyDescent="0.4">
      <c r="A199" s="5" t="str">
        <f t="shared" si="27"/>
        <v>CA-SALOM</v>
      </c>
      <c r="B199" s="5" t="str">
        <f t="shared" si="28"/>
        <v>CA</v>
      </c>
      <c r="C199" s="83" t="s">
        <v>772</v>
      </c>
      <c r="D199" s="82" t="s">
        <v>946</v>
      </c>
      <c r="E199" s="85">
        <v>70</v>
      </c>
      <c r="F199" s="85"/>
      <c r="G199" s="86"/>
      <c r="H199" s="86"/>
      <c r="I199" s="86"/>
      <c r="J199" s="86"/>
      <c r="K199" s="86"/>
      <c r="L199" s="86"/>
      <c r="M199" s="86"/>
      <c r="N199" s="86"/>
      <c r="O199" s="86"/>
      <c r="P199" s="87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</row>
    <row r="200" spans="1:44" ht="14.6" customHeight="1" x14ac:dyDescent="0.4">
      <c r="A200" s="5" t="str">
        <f t="shared" si="27"/>
        <v>CA-SAN BLAS</v>
      </c>
      <c r="B200" s="5" t="str">
        <f t="shared" si="28"/>
        <v>CA</v>
      </c>
      <c r="C200" s="83" t="s">
        <v>772</v>
      </c>
      <c r="D200" s="82" t="s">
        <v>979</v>
      </c>
      <c r="E200" s="85">
        <v>147</v>
      </c>
      <c r="F200" s="85"/>
      <c r="G200" s="86"/>
      <c r="H200" s="86"/>
      <c r="I200" s="86"/>
      <c r="J200" s="86"/>
      <c r="K200" s="86"/>
      <c r="L200" s="86"/>
      <c r="M200" s="86"/>
      <c r="N200" s="86"/>
      <c r="O200" s="86"/>
      <c r="P200" s="87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</row>
    <row r="201" spans="1:44" ht="14.6" customHeight="1" x14ac:dyDescent="0.4">
      <c r="A201" s="5" t="str">
        <f t="shared" si="27"/>
        <v>CA-SAN DIEGO</v>
      </c>
      <c r="B201" s="5" t="str">
        <f t="shared" si="28"/>
        <v>CA</v>
      </c>
      <c r="C201" s="83" t="s">
        <v>772</v>
      </c>
      <c r="D201" s="82" t="s">
        <v>980</v>
      </c>
      <c r="E201" s="85">
        <v>73</v>
      </c>
      <c r="F201" s="85"/>
      <c r="G201" s="86"/>
      <c r="H201" s="86"/>
      <c r="I201" s="86"/>
      <c r="J201" s="86"/>
      <c r="K201" s="86"/>
      <c r="L201" s="86"/>
      <c r="M201" s="86"/>
      <c r="N201" s="86"/>
      <c r="O201" s="86"/>
      <c r="P201" s="87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</row>
    <row r="202" spans="1:44" ht="14.6" customHeight="1" x14ac:dyDescent="0.4">
      <c r="A202" s="5" t="str">
        <f t="shared" si="27"/>
        <v>CA-SAN JOAQUIN</v>
      </c>
      <c r="B202" s="5" t="str">
        <f t="shared" si="28"/>
        <v>CA</v>
      </c>
      <c r="C202" s="83" t="s">
        <v>772</v>
      </c>
      <c r="D202" s="82" t="s">
        <v>821</v>
      </c>
      <c r="E202" s="85">
        <v>115</v>
      </c>
      <c r="F202" s="85"/>
      <c r="G202" s="86"/>
      <c r="H202" s="86"/>
      <c r="I202" s="86"/>
      <c r="J202" s="86"/>
      <c r="K202" s="86"/>
      <c r="L202" s="86"/>
      <c r="M202" s="86"/>
      <c r="N202" s="86"/>
      <c r="O202" s="86"/>
      <c r="P202" s="87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</row>
    <row r="203" spans="1:44" ht="14.6" customHeight="1" x14ac:dyDescent="0.4">
      <c r="A203" s="5" t="str">
        <f t="shared" si="27"/>
        <v>CA-SAN JOSE</v>
      </c>
      <c r="B203" s="5" t="str">
        <f t="shared" si="28"/>
        <v>CA</v>
      </c>
      <c r="C203" s="83" t="s">
        <v>772</v>
      </c>
      <c r="D203" s="82" t="s">
        <v>981</v>
      </c>
      <c r="E203" s="85">
        <v>544</v>
      </c>
      <c r="F203" s="85"/>
      <c r="G203" s="86"/>
      <c r="H203" s="86"/>
      <c r="I203" s="86"/>
      <c r="J203" s="86"/>
      <c r="K203" s="86"/>
      <c r="L203" s="86"/>
      <c r="M203" s="86"/>
      <c r="N203" s="86"/>
      <c r="O203" s="86"/>
      <c r="P203" s="87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</row>
    <row r="204" spans="1:44" ht="14.6" customHeight="1" x14ac:dyDescent="0.4">
      <c r="A204" s="5" t="str">
        <f t="shared" si="27"/>
        <v>CA-SANTA ROSA</v>
      </c>
      <c r="B204" s="5" t="str">
        <f t="shared" si="28"/>
        <v>CA</v>
      </c>
      <c r="C204" s="83" t="s">
        <v>772</v>
      </c>
      <c r="D204" s="82" t="s">
        <v>827</v>
      </c>
      <c r="E204" s="85">
        <v>168</v>
      </c>
      <c r="F204" s="85"/>
      <c r="G204" s="86"/>
      <c r="H204" s="86"/>
      <c r="I204" s="86"/>
      <c r="J204" s="86"/>
      <c r="K204" s="86"/>
      <c r="L204" s="86"/>
      <c r="M204" s="86"/>
      <c r="N204" s="86"/>
      <c r="O204" s="86"/>
      <c r="P204" s="87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</row>
    <row r="205" spans="1:44" ht="14.6" customHeight="1" x14ac:dyDescent="0.4">
      <c r="A205" s="5" t="str">
        <f t="shared" si="27"/>
        <v>CA-SIMON BOLIVAR</v>
      </c>
      <c r="B205" s="5" t="str">
        <f t="shared" si="28"/>
        <v>CA</v>
      </c>
      <c r="C205" s="83" t="s">
        <v>772</v>
      </c>
      <c r="D205" s="82" t="s">
        <v>982</v>
      </c>
      <c r="E205" s="85">
        <v>13</v>
      </c>
      <c r="F205" s="85"/>
      <c r="G205" s="86"/>
      <c r="H205" s="86"/>
      <c r="I205" s="86"/>
      <c r="J205" s="86"/>
      <c r="K205" s="86"/>
      <c r="L205" s="86"/>
      <c r="M205" s="86"/>
      <c r="N205" s="86"/>
      <c r="O205" s="86"/>
      <c r="P205" s="87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</row>
    <row r="206" spans="1:44" ht="14.6" customHeight="1" x14ac:dyDescent="0.4">
      <c r="A206" s="5" t="str">
        <f t="shared" si="27"/>
        <v>CA-TOCUYITO</v>
      </c>
      <c r="B206" s="5" t="str">
        <f t="shared" si="28"/>
        <v>CA</v>
      </c>
      <c r="C206" s="83" t="s">
        <v>772</v>
      </c>
      <c r="D206" s="82" t="s">
        <v>983</v>
      </c>
      <c r="E206" s="85">
        <v>234</v>
      </c>
      <c r="F206" s="85"/>
      <c r="G206" s="86"/>
      <c r="H206" s="86"/>
      <c r="I206" s="86"/>
      <c r="J206" s="86"/>
      <c r="K206" s="86"/>
      <c r="L206" s="86"/>
      <c r="M206" s="86"/>
      <c r="N206" s="86"/>
      <c r="O206" s="86"/>
      <c r="P206" s="87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</row>
    <row r="207" spans="1:44" ht="14.6" customHeight="1" x14ac:dyDescent="0.4">
      <c r="A207" s="5" t="str">
        <f t="shared" si="27"/>
        <v>CA-UNION</v>
      </c>
      <c r="B207" s="5" t="str">
        <f t="shared" si="28"/>
        <v>CA</v>
      </c>
      <c r="C207" s="83" t="s">
        <v>772</v>
      </c>
      <c r="D207" s="82" t="s">
        <v>984</v>
      </c>
      <c r="E207" s="85">
        <v>13</v>
      </c>
      <c r="F207" s="85"/>
      <c r="G207" s="86"/>
      <c r="H207" s="86"/>
      <c r="I207" s="86"/>
      <c r="J207" s="86"/>
      <c r="K207" s="86"/>
      <c r="L207" s="86"/>
      <c r="M207" s="86"/>
      <c r="N207" s="86"/>
      <c r="O207" s="86"/>
      <c r="P207" s="87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</row>
    <row r="208" spans="1:44" ht="14.6" customHeight="1" x14ac:dyDescent="0.4">
      <c r="A208" s="5" t="str">
        <f t="shared" si="27"/>
        <v>CA-URAMA</v>
      </c>
      <c r="B208" s="5" t="str">
        <f t="shared" si="28"/>
        <v>CA</v>
      </c>
      <c r="C208" s="83" t="s">
        <v>772</v>
      </c>
      <c r="D208" s="82" t="s">
        <v>985</v>
      </c>
      <c r="E208" s="85">
        <v>17</v>
      </c>
      <c r="F208" s="85"/>
      <c r="G208" s="86"/>
      <c r="H208" s="86"/>
      <c r="I208" s="86"/>
      <c r="J208" s="86"/>
      <c r="K208" s="86"/>
      <c r="L208" s="86"/>
      <c r="M208" s="86"/>
      <c r="N208" s="86"/>
      <c r="O208" s="86"/>
      <c r="P208" s="87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</row>
    <row r="209" spans="1:44" ht="14.6" customHeight="1" x14ac:dyDescent="0.4">
      <c r="A209" s="5" t="str">
        <f t="shared" si="27"/>
        <v>CA-YAGUA</v>
      </c>
      <c r="B209" s="5" t="str">
        <f t="shared" si="28"/>
        <v>CA</v>
      </c>
      <c r="C209" s="83" t="s">
        <v>772</v>
      </c>
      <c r="D209" s="82" t="s">
        <v>986</v>
      </c>
      <c r="E209" s="85">
        <v>41</v>
      </c>
      <c r="F209" s="85"/>
      <c r="G209" s="86"/>
      <c r="H209" s="86"/>
      <c r="I209" s="86"/>
      <c r="J209" s="86"/>
      <c r="K209" s="86"/>
      <c r="L209" s="86"/>
      <c r="M209" s="86"/>
      <c r="N209" s="86"/>
      <c r="O209" s="86"/>
      <c r="P209" s="87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</row>
    <row r="210" spans="1:44" ht="14.6" customHeight="1" x14ac:dyDescent="0.4">
      <c r="A210" s="5" t="str">
        <f t="shared" si="27"/>
        <v>CO-AMPARO</v>
      </c>
      <c r="B210" s="5" t="str">
        <f t="shared" si="28"/>
        <v>CO</v>
      </c>
      <c r="C210" s="83" t="s">
        <v>773</v>
      </c>
      <c r="D210" s="82" t="s">
        <v>987</v>
      </c>
      <c r="E210" s="85">
        <v>5</v>
      </c>
      <c r="F210" s="85"/>
      <c r="G210" s="86"/>
      <c r="H210" s="86"/>
      <c r="I210" s="86"/>
      <c r="J210" s="86"/>
      <c r="K210" s="86"/>
      <c r="L210" s="86"/>
      <c r="M210" s="86"/>
      <c r="N210" s="86"/>
      <c r="O210" s="86"/>
      <c r="P210" s="87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</row>
    <row r="211" spans="1:44" ht="14.6" customHeight="1" x14ac:dyDescent="0.4">
      <c r="A211" s="5" t="str">
        <f t="shared" si="27"/>
        <v>CO-LOCALIDAD</v>
      </c>
      <c r="B211" s="5" t="str">
        <f t="shared" si="28"/>
        <v>CO</v>
      </c>
      <c r="C211" s="83" t="s">
        <v>773</v>
      </c>
      <c r="D211" s="88" t="s">
        <v>838</v>
      </c>
      <c r="E211" s="88" t="s">
        <v>839</v>
      </c>
      <c r="F211" s="88"/>
      <c r="G211" s="89"/>
      <c r="H211" s="89"/>
      <c r="I211" s="89"/>
      <c r="J211" s="89"/>
      <c r="K211" s="89"/>
      <c r="L211" s="89"/>
      <c r="M211" s="89"/>
      <c r="N211" s="89"/>
      <c r="O211" s="89"/>
      <c r="P211" s="90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</row>
    <row r="212" spans="1:44" ht="14.6" customHeight="1" x14ac:dyDescent="0.4">
      <c r="A212" s="5" t="str">
        <f t="shared" si="27"/>
        <v>CO-COJEDES</v>
      </c>
      <c r="B212" s="5" t="str">
        <f t="shared" si="28"/>
        <v>CO</v>
      </c>
      <c r="C212" s="83" t="s">
        <v>773</v>
      </c>
      <c r="D212" s="82" t="s">
        <v>988</v>
      </c>
      <c r="E212" s="85">
        <v>15</v>
      </c>
      <c r="F212" s="85"/>
      <c r="G212" s="86"/>
      <c r="H212" s="86"/>
      <c r="I212" s="86"/>
      <c r="J212" s="86"/>
      <c r="K212" s="86"/>
      <c r="L212" s="86"/>
      <c r="M212" s="86"/>
      <c r="N212" s="86"/>
      <c r="O212" s="86"/>
      <c r="P212" s="87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</row>
    <row r="213" spans="1:44" ht="14.6" customHeight="1" x14ac:dyDescent="0.4">
      <c r="A213" s="5" t="str">
        <f>+B213&amp;"-"&amp;D213</f>
        <v>CO-EL BAUL</v>
      </c>
      <c r="B213" s="5" t="str">
        <f>+MID(C213,1,2)</f>
        <v>CO</v>
      </c>
      <c r="C213" s="83" t="s">
        <v>773</v>
      </c>
      <c r="D213" s="82" t="s">
        <v>989</v>
      </c>
      <c r="E213" s="85">
        <v>23</v>
      </c>
      <c r="F213" s="85"/>
      <c r="G213" s="86"/>
      <c r="H213" s="86"/>
      <c r="I213" s="86"/>
      <c r="J213" s="86"/>
      <c r="K213" s="86"/>
      <c r="L213" s="86"/>
      <c r="M213" s="86"/>
      <c r="N213" s="86"/>
      <c r="O213" s="86"/>
      <c r="P213" s="87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</row>
    <row r="214" spans="1:44" ht="14.6" customHeight="1" x14ac:dyDescent="0.4">
      <c r="A214" s="5" t="str">
        <f>+B214&amp;"-"&amp;D214</f>
        <v>CO-JUAN DE MATA SUAREZ</v>
      </c>
      <c r="B214" s="5" t="str">
        <f>+MID(C214,1,2)</f>
        <v>CO</v>
      </c>
      <c r="C214" s="83" t="s">
        <v>773</v>
      </c>
      <c r="D214" s="82" t="s">
        <v>990</v>
      </c>
      <c r="E214" s="85">
        <v>30</v>
      </c>
      <c r="F214" s="85"/>
      <c r="G214" s="86"/>
      <c r="H214" s="86"/>
      <c r="I214" s="86"/>
      <c r="J214" s="86"/>
      <c r="K214" s="86"/>
      <c r="L214" s="86"/>
      <c r="M214" s="86"/>
      <c r="N214" s="86"/>
      <c r="O214" s="86"/>
      <c r="P214" s="87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</row>
    <row r="215" spans="1:44" ht="14.6" customHeight="1" x14ac:dyDescent="0.4">
      <c r="A215" s="5" t="str">
        <f>+B215&amp;"-"&amp;D215</f>
        <v>CO-JUAN MIGUEL BRAVO</v>
      </c>
      <c r="B215" s="5" t="str">
        <f>+MID(C215,1,2)</f>
        <v>CO</v>
      </c>
      <c r="C215" s="83" t="s">
        <v>773</v>
      </c>
      <c r="D215" s="82" t="s">
        <v>991</v>
      </c>
      <c r="E215" s="85">
        <v>2</v>
      </c>
      <c r="F215" s="85"/>
      <c r="G215" s="86"/>
      <c r="H215" s="86"/>
      <c r="I215" s="86"/>
      <c r="J215" s="86"/>
      <c r="K215" s="86"/>
      <c r="L215" s="86"/>
      <c r="M215" s="86"/>
      <c r="N215" s="86"/>
      <c r="O215" s="86"/>
      <c r="P215" s="87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</row>
    <row r="216" spans="1:44" ht="14.6" customHeight="1" x14ac:dyDescent="0.4">
      <c r="A216" s="5" t="str">
        <f>+B216&amp;"-"&amp;D216</f>
        <v>CO-LIBERTAD</v>
      </c>
      <c r="B216" s="5" t="str">
        <f>+MID(C216,1,2)</f>
        <v>CO</v>
      </c>
      <c r="C216" s="83" t="s">
        <v>773</v>
      </c>
      <c r="D216" s="82" t="s">
        <v>914</v>
      </c>
      <c r="E216" s="85">
        <v>16</v>
      </c>
      <c r="F216" s="85"/>
      <c r="G216" s="86"/>
      <c r="H216" s="86"/>
      <c r="I216" s="86"/>
      <c r="J216" s="86"/>
      <c r="K216" s="86"/>
      <c r="L216" s="86"/>
      <c r="M216" s="86"/>
      <c r="N216" s="86"/>
      <c r="O216" s="86"/>
      <c r="P216" s="87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</row>
    <row r="217" spans="1:44" ht="14.6" customHeight="1" x14ac:dyDescent="0.4">
      <c r="A217" s="5" t="str">
        <f>+B217&amp;"-"&amp;D217</f>
        <v>CO-LIMA BLANCO</v>
      </c>
      <c r="B217" s="5" t="str">
        <f>+MID(C217,1,2)</f>
        <v>CO</v>
      </c>
      <c r="C217" s="83" t="s">
        <v>773</v>
      </c>
      <c r="D217" s="82" t="s">
        <v>992</v>
      </c>
      <c r="E217" s="85">
        <v>19</v>
      </c>
      <c r="F217" s="85"/>
      <c r="G217" s="86"/>
      <c r="H217" s="86"/>
      <c r="I217" s="86"/>
      <c r="J217" s="86"/>
      <c r="K217" s="86"/>
      <c r="L217" s="86"/>
      <c r="M217" s="86"/>
      <c r="N217" s="86"/>
      <c r="O217" s="86"/>
      <c r="P217" s="87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</row>
    <row r="218" spans="1:44" ht="14.6" customHeight="1" x14ac:dyDescent="0.4">
      <c r="A218" s="5" t="str">
        <f t="shared" ref="A218:A238" si="29">+B218&amp;"-"&amp;D218</f>
        <v>CO-MANRIQUE</v>
      </c>
      <c r="B218" s="5" t="str">
        <f t="shared" ref="B218:B238" si="30">+MID(C218,1,2)</f>
        <v>CO</v>
      </c>
      <c r="C218" s="83" t="s">
        <v>773</v>
      </c>
      <c r="D218" s="82" t="s">
        <v>993</v>
      </c>
      <c r="E218" s="85">
        <v>3</v>
      </c>
      <c r="F218" s="85"/>
      <c r="G218" s="86"/>
      <c r="H218" s="86"/>
      <c r="I218" s="86"/>
      <c r="J218" s="86"/>
      <c r="K218" s="86"/>
      <c r="L218" s="86"/>
      <c r="M218" s="86"/>
      <c r="N218" s="86"/>
      <c r="O218" s="86"/>
      <c r="P218" s="87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</row>
    <row r="219" spans="1:44" ht="14.6" customHeight="1" x14ac:dyDescent="0.4">
      <c r="A219" s="5" t="str">
        <f t="shared" si="29"/>
        <v>CO-PAO DE SAN JUAN BAUTISTA</v>
      </c>
      <c r="B219" s="5" t="str">
        <f t="shared" si="30"/>
        <v>CO</v>
      </c>
      <c r="C219" s="83" t="s">
        <v>773</v>
      </c>
      <c r="D219" s="82" t="s">
        <v>994</v>
      </c>
      <c r="E219" s="85">
        <v>37</v>
      </c>
      <c r="F219" s="85"/>
      <c r="G219" s="86"/>
      <c r="H219" s="86"/>
      <c r="I219" s="86"/>
      <c r="J219" s="86"/>
      <c r="K219" s="86"/>
      <c r="L219" s="86"/>
      <c r="M219" s="86"/>
      <c r="N219" s="86"/>
      <c r="O219" s="86"/>
      <c r="P219" s="87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</row>
    <row r="220" spans="1:44" ht="14.6" customHeight="1" x14ac:dyDescent="0.4">
      <c r="A220" s="5" t="str">
        <f t="shared" si="29"/>
        <v>CO-ROMULO GALLEGOS</v>
      </c>
      <c r="B220" s="5" t="str">
        <f t="shared" si="30"/>
        <v>CO</v>
      </c>
      <c r="C220" s="83" t="s">
        <v>773</v>
      </c>
      <c r="D220" s="82" t="s">
        <v>995</v>
      </c>
      <c r="E220" s="85">
        <v>21</v>
      </c>
      <c r="F220" s="85"/>
      <c r="G220" s="86"/>
      <c r="H220" s="86"/>
      <c r="I220" s="86"/>
      <c r="J220" s="86"/>
      <c r="K220" s="86"/>
      <c r="L220" s="86"/>
      <c r="M220" s="86"/>
      <c r="N220" s="86"/>
      <c r="O220" s="86"/>
      <c r="P220" s="87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</row>
    <row r="221" spans="1:44" ht="14.6" customHeight="1" x14ac:dyDescent="0.4">
      <c r="A221" s="5" t="str">
        <f t="shared" si="29"/>
        <v>CO-SAN CARLOS</v>
      </c>
      <c r="B221" s="5" t="str">
        <f t="shared" si="30"/>
        <v>CO</v>
      </c>
      <c r="C221" s="83" t="s">
        <v>773</v>
      </c>
      <c r="D221" s="82" t="s">
        <v>996</v>
      </c>
      <c r="E221" s="85">
        <v>472</v>
      </c>
      <c r="F221" s="85"/>
      <c r="G221" s="86"/>
      <c r="H221" s="86"/>
      <c r="I221" s="86"/>
      <c r="J221" s="86"/>
      <c r="K221" s="86"/>
      <c r="L221" s="86"/>
      <c r="M221" s="86"/>
      <c r="N221" s="86"/>
      <c r="O221" s="86"/>
      <c r="P221" s="87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</row>
    <row r="222" spans="1:44" ht="14.6" customHeight="1" x14ac:dyDescent="0.4">
      <c r="A222" s="5" t="str">
        <f t="shared" si="29"/>
        <v>CO-SUCRE</v>
      </c>
      <c r="B222" s="5" t="str">
        <f t="shared" si="30"/>
        <v>CO</v>
      </c>
      <c r="C222" s="83" t="s">
        <v>773</v>
      </c>
      <c r="D222" s="82" t="s">
        <v>829</v>
      </c>
      <c r="E222" s="85">
        <v>3</v>
      </c>
      <c r="F222" s="85"/>
      <c r="G222" s="86"/>
      <c r="H222" s="86"/>
      <c r="I222" s="86"/>
      <c r="J222" s="86"/>
      <c r="K222" s="86"/>
      <c r="L222" s="86"/>
      <c r="M222" s="86"/>
      <c r="N222" s="86"/>
      <c r="O222" s="86"/>
      <c r="P222" s="87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</row>
    <row r="223" spans="1:44" ht="14.6" customHeight="1" x14ac:dyDescent="0.4">
      <c r="A223" s="5" t="str">
        <f t="shared" si="29"/>
        <v>CO-TINACO</v>
      </c>
      <c r="B223" s="5" t="str">
        <f t="shared" si="30"/>
        <v>CO</v>
      </c>
      <c r="C223" s="83" t="s">
        <v>773</v>
      </c>
      <c r="D223" s="82" t="s">
        <v>997</v>
      </c>
      <c r="E223" s="85">
        <v>94</v>
      </c>
      <c r="F223" s="85"/>
      <c r="G223" s="86"/>
      <c r="H223" s="86"/>
      <c r="I223" s="86"/>
      <c r="J223" s="86"/>
      <c r="K223" s="86"/>
      <c r="L223" s="86"/>
      <c r="M223" s="86"/>
      <c r="N223" s="86"/>
      <c r="O223" s="86"/>
      <c r="P223" s="87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</row>
    <row r="224" spans="1:44" ht="14.6" customHeight="1" x14ac:dyDescent="0.4">
      <c r="A224" s="5" t="str">
        <f t="shared" si="29"/>
        <v>CO-TINAQUILLO</v>
      </c>
      <c r="B224" s="5" t="str">
        <f t="shared" si="30"/>
        <v>CO</v>
      </c>
      <c r="C224" s="83" t="s">
        <v>773</v>
      </c>
      <c r="D224" s="82" t="s">
        <v>998</v>
      </c>
      <c r="E224" s="85">
        <v>238</v>
      </c>
      <c r="F224" s="85"/>
      <c r="G224" s="86"/>
      <c r="H224" s="86"/>
      <c r="I224" s="86"/>
      <c r="J224" s="86"/>
      <c r="K224" s="86"/>
      <c r="L224" s="86"/>
      <c r="M224" s="86"/>
      <c r="N224" s="86"/>
      <c r="O224" s="86"/>
      <c r="P224" s="87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</row>
    <row r="225" spans="1:44" ht="14.6" customHeight="1" x14ac:dyDescent="0.4">
      <c r="A225" s="5" t="str">
        <f t="shared" si="29"/>
        <v>DI-23 DE ENERO</v>
      </c>
      <c r="B225" s="5" t="str">
        <f t="shared" si="30"/>
        <v>DI</v>
      </c>
      <c r="C225" s="83" t="s">
        <v>999</v>
      </c>
      <c r="D225" s="82" t="s">
        <v>1000</v>
      </c>
      <c r="E225" s="85">
        <v>292</v>
      </c>
      <c r="F225" s="85"/>
      <c r="G225" s="86"/>
      <c r="H225" s="86"/>
      <c r="I225" s="86"/>
      <c r="J225" s="86"/>
      <c r="K225" s="86"/>
      <c r="L225" s="86"/>
      <c r="M225" s="86"/>
      <c r="N225" s="86"/>
      <c r="O225" s="86"/>
      <c r="P225" s="87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</row>
    <row r="226" spans="1:44" ht="14.6" customHeight="1" x14ac:dyDescent="0.4">
      <c r="A226" s="5" t="str">
        <f t="shared" si="29"/>
        <v>DI-ALTAGRACIA</v>
      </c>
      <c r="B226" s="5" t="str">
        <f t="shared" si="30"/>
        <v>DI</v>
      </c>
      <c r="C226" s="83" t="s">
        <v>999</v>
      </c>
      <c r="D226" s="82" t="s">
        <v>1001</v>
      </c>
      <c r="E226" s="85">
        <v>72</v>
      </c>
      <c r="F226" s="85"/>
      <c r="G226" s="86"/>
      <c r="H226" s="86"/>
      <c r="I226" s="86"/>
      <c r="J226" s="86"/>
      <c r="K226" s="86"/>
      <c r="L226" s="86"/>
      <c r="M226" s="86"/>
      <c r="N226" s="86"/>
      <c r="O226" s="86"/>
      <c r="P226" s="87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</row>
    <row r="227" spans="1:44" ht="14.6" customHeight="1" x14ac:dyDescent="0.4">
      <c r="A227" s="5" t="str">
        <f t="shared" si="29"/>
        <v>DI-ANTIMANO</v>
      </c>
      <c r="B227" s="5" t="str">
        <f t="shared" si="30"/>
        <v>DI</v>
      </c>
      <c r="C227" s="83" t="s">
        <v>999</v>
      </c>
      <c r="D227" s="82" t="s">
        <v>1002</v>
      </c>
      <c r="E227" s="85">
        <v>494</v>
      </c>
      <c r="F227" s="85"/>
      <c r="G227" s="86"/>
      <c r="H227" s="86"/>
      <c r="I227" s="86"/>
      <c r="J227" s="86"/>
      <c r="K227" s="86"/>
      <c r="L227" s="86"/>
      <c r="M227" s="86"/>
      <c r="N227" s="86"/>
      <c r="O227" s="86"/>
      <c r="P227" s="87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</row>
    <row r="228" spans="1:44" ht="14.6" customHeight="1" x14ac:dyDescent="0.4">
      <c r="A228" s="5" t="str">
        <f t="shared" si="29"/>
        <v>DI-CANDELARIA</v>
      </c>
      <c r="B228" s="5" t="str">
        <f t="shared" si="30"/>
        <v>DI</v>
      </c>
      <c r="C228" s="83" t="s">
        <v>999</v>
      </c>
      <c r="D228" s="82" t="s">
        <v>956</v>
      </c>
      <c r="E228" s="85">
        <v>953</v>
      </c>
      <c r="F228" s="85"/>
      <c r="G228" s="86"/>
      <c r="H228" s="86"/>
      <c r="I228" s="86"/>
      <c r="J228" s="86"/>
      <c r="K228" s="86"/>
      <c r="L228" s="86"/>
      <c r="M228" s="86"/>
      <c r="N228" s="86"/>
      <c r="O228" s="86"/>
      <c r="P228" s="87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</row>
    <row r="229" spans="1:44" ht="14.6" customHeight="1" x14ac:dyDescent="0.4">
      <c r="A229" s="5" t="str">
        <f t="shared" si="29"/>
        <v>DI-CARABALLEDA</v>
      </c>
      <c r="B229" s="5" t="str">
        <f t="shared" si="30"/>
        <v>DI</v>
      </c>
      <c r="C229" s="83" t="s">
        <v>999</v>
      </c>
      <c r="D229" s="82" t="s">
        <v>1003</v>
      </c>
      <c r="E229" s="85">
        <v>99</v>
      </c>
      <c r="F229" s="85"/>
      <c r="G229" s="86"/>
      <c r="H229" s="86"/>
      <c r="I229" s="86"/>
      <c r="J229" s="86"/>
      <c r="K229" s="86"/>
      <c r="L229" s="86"/>
      <c r="M229" s="86"/>
      <c r="N229" s="86"/>
      <c r="O229" s="86"/>
      <c r="P229" s="87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</row>
    <row r="230" spans="1:44" ht="14.6" customHeight="1" x14ac:dyDescent="0.4">
      <c r="A230" s="5" t="str">
        <f t="shared" si="29"/>
        <v>DI-CARAYACA</v>
      </c>
      <c r="B230" s="5" t="str">
        <f t="shared" si="30"/>
        <v>DI</v>
      </c>
      <c r="C230" s="83" t="s">
        <v>999</v>
      </c>
      <c r="D230" s="82" t="s">
        <v>1004</v>
      </c>
      <c r="E230" s="85">
        <v>79</v>
      </c>
      <c r="F230" s="85"/>
      <c r="G230" s="86"/>
      <c r="H230" s="86"/>
      <c r="I230" s="86"/>
      <c r="J230" s="86"/>
      <c r="K230" s="86"/>
      <c r="L230" s="86"/>
      <c r="M230" s="86"/>
      <c r="N230" s="86"/>
      <c r="O230" s="86"/>
      <c r="P230" s="87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</row>
    <row r="231" spans="1:44" ht="14.6" customHeight="1" x14ac:dyDescent="0.4">
      <c r="A231" s="5" t="str">
        <f t="shared" si="29"/>
        <v>DI-CARICUAO</v>
      </c>
      <c r="B231" s="5" t="str">
        <f t="shared" si="30"/>
        <v>DI</v>
      </c>
      <c r="C231" s="83" t="s">
        <v>999</v>
      </c>
      <c r="D231" s="82" t="s">
        <v>1005</v>
      </c>
      <c r="E231" s="85">
        <v>300</v>
      </c>
      <c r="F231" s="85"/>
      <c r="G231" s="86"/>
      <c r="H231" s="86"/>
      <c r="I231" s="86"/>
      <c r="J231" s="86"/>
      <c r="K231" s="86"/>
      <c r="L231" s="86"/>
      <c r="M231" s="86"/>
      <c r="N231" s="86"/>
      <c r="O231" s="86"/>
      <c r="P231" s="87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</row>
    <row r="232" spans="1:44" ht="14.6" customHeight="1" x14ac:dyDescent="0.4">
      <c r="A232" s="5" t="str">
        <f t="shared" si="29"/>
        <v>DI-CAROAO</v>
      </c>
      <c r="B232" s="5" t="str">
        <f t="shared" si="30"/>
        <v>DI</v>
      </c>
      <c r="C232" s="83" t="s">
        <v>999</v>
      </c>
      <c r="D232" s="82" t="s">
        <v>1006</v>
      </c>
      <c r="E232" s="85">
        <v>30</v>
      </c>
      <c r="F232" s="85"/>
      <c r="G232" s="86"/>
      <c r="H232" s="86"/>
      <c r="I232" s="86"/>
      <c r="J232" s="86"/>
      <c r="K232" s="86"/>
      <c r="L232" s="86"/>
      <c r="M232" s="86"/>
      <c r="N232" s="86"/>
      <c r="O232" s="86"/>
      <c r="P232" s="87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</row>
    <row r="233" spans="1:44" ht="14.6" customHeight="1" x14ac:dyDescent="0.4">
      <c r="A233" s="5" t="str">
        <f t="shared" si="29"/>
        <v>DI-CATEDRAL</v>
      </c>
      <c r="B233" s="5" t="str">
        <f t="shared" si="30"/>
        <v>DI</v>
      </c>
      <c r="C233" s="83" t="s">
        <v>999</v>
      </c>
      <c r="D233" s="82" t="s">
        <v>958</v>
      </c>
      <c r="E233" s="85">
        <v>32</v>
      </c>
      <c r="F233" s="85"/>
      <c r="G233" s="86"/>
      <c r="H233" s="86"/>
      <c r="I233" s="86"/>
      <c r="J233" s="86"/>
      <c r="K233" s="86"/>
      <c r="L233" s="86"/>
      <c r="M233" s="86"/>
      <c r="N233" s="86"/>
      <c r="O233" s="86"/>
      <c r="P233" s="87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</row>
    <row r="234" spans="1:44" ht="14.6" customHeight="1" x14ac:dyDescent="0.4">
      <c r="A234" s="5" t="str">
        <f t="shared" si="29"/>
        <v>DI-CATIA LA  MAR</v>
      </c>
      <c r="B234" s="5" t="str">
        <f t="shared" si="30"/>
        <v>DI</v>
      </c>
      <c r="C234" s="83" t="s">
        <v>999</v>
      </c>
      <c r="D234" s="82" t="s">
        <v>1007</v>
      </c>
      <c r="E234" s="85">
        <v>247</v>
      </c>
      <c r="F234" s="85"/>
      <c r="G234" s="86"/>
      <c r="H234" s="86"/>
      <c r="I234" s="86"/>
      <c r="J234" s="86"/>
      <c r="K234" s="86"/>
      <c r="L234" s="86"/>
      <c r="M234" s="86"/>
      <c r="N234" s="86"/>
      <c r="O234" s="86"/>
      <c r="P234" s="87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</row>
    <row r="235" spans="1:44" ht="14.6" customHeight="1" x14ac:dyDescent="0.4">
      <c r="A235" s="5" t="str">
        <f t="shared" si="29"/>
        <v>DI-COCHE</v>
      </c>
      <c r="B235" s="5" t="str">
        <f t="shared" si="30"/>
        <v>DI</v>
      </c>
      <c r="C235" s="83" t="s">
        <v>999</v>
      </c>
      <c r="D235" s="82" t="s">
        <v>1008</v>
      </c>
      <c r="E235" s="85">
        <v>552</v>
      </c>
      <c r="F235" s="85"/>
      <c r="G235" s="86"/>
      <c r="H235" s="86"/>
      <c r="I235" s="86"/>
      <c r="J235" s="86"/>
      <c r="K235" s="86"/>
      <c r="L235" s="86"/>
      <c r="M235" s="86"/>
      <c r="N235" s="86"/>
      <c r="O235" s="86"/>
      <c r="P235" s="87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</row>
    <row r="236" spans="1:44" ht="14.6" customHeight="1" x14ac:dyDescent="0.4">
      <c r="A236" s="5" t="str">
        <f t="shared" si="29"/>
        <v>DI-EL JUNKO</v>
      </c>
      <c r="B236" s="5" t="str">
        <f t="shared" si="30"/>
        <v>DI</v>
      </c>
      <c r="C236" s="83" t="s">
        <v>999</v>
      </c>
      <c r="D236" s="82" t="s">
        <v>1009</v>
      </c>
      <c r="E236" s="85">
        <v>18</v>
      </c>
      <c r="F236" s="85"/>
      <c r="G236" s="86"/>
      <c r="H236" s="86"/>
      <c r="I236" s="86"/>
      <c r="J236" s="86"/>
      <c r="K236" s="86"/>
      <c r="L236" s="86"/>
      <c r="M236" s="86"/>
      <c r="N236" s="86"/>
      <c r="O236" s="86"/>
      <c r="P236" s="87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</row>
    <row r="237" spans="1:44" ht="14.6" customHeight="1" x14ac:dyDescent="0.4">
      <c r="A237" s="5" t="str">
        <f t="shared" si="29"/>
        <v>DI-EL JUNQUITO</v>
      </c>
      <c r="B237" s="5" t="str">
        <f t="shared" si="30"/>
        <v>DI</v>
      </c>
      <c r="C237" s="83" t="s">
        <v>999</v>
      </c>
      <c r="D237" s="82" t="s">
        <v>1010</v>
      </c>
      <c r="E237" s="85">
        <v>61</v>
      </c>
      <c r="F237" s="85"/>
      <c r="G237" s="86"/>
      <c r="H237" s="86"/>
      <c r="I237" s="86"/>
      <c r="J237" s="86"/>
      <c r="K237" s="86"/>
      <c r="L237" s="86"/>
      <c r="M237" s="86"/>
      <c r="N237" s="86"/>
      <c r="O237" s="86"/>
      <c r="P237" s="87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</row>
    <row r="238" spans="1:44" ht="14.6" customHeight="1" x14ac:dyDescent="0.4">
      <c r="A238" s="5" t="str">
        <f t="shared" si="29"/>
        <v>DI-EL RECREO</v>
      </c>
      <c r="B238" s="5" t="str">
        <f t="shared" si="30"/>
        <v>DI</v>
      </c>
      <c r="C238" s="83" t="s">
        <v>999</v>
      </c>
      <c r="D238" s="82" t="s">
        <v>1011</v>
      </c>
      <c r="E238" s="85">
        <v>684</v>
      </c>
      <c r="F238" s="85"/>
      <c r="G238" s="86"/>
      <c r="H238" s="86"/>
      <c r="I238" s="86"/>
      <c r="J238" s="86"/>
      <c r="K238" s="86"/>
      <c r="L238" s="86"/>
      <c r="M238" s="86"/>
      <c r="N238" s="86"/>
      <c r="O238" s="86"/>
      <c r="P238" s="87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</row>
    <row r="239" spans="1:44" ht="14.6" customHeight="1" x14ac:dyDescent="0.4">
      <c r="A239" s="5" t="str">
        <f t="shared" ref="A239:A259" si="31">+B239&amp;"-"&amp;D239</f>
        <v>DI-EL VALLE</v>
      </c>
      <c r="B239" s="5" t="str">
        <f t="shared" ref="B239:B259" si="32">+MID(C239,1,2)</f>
        <v>DI</v>
      </c>
      <c r="C239" s="83" t="s">
        <v>999</v>
      </c>
      <c r="D239" s="82" t="s">
        <v>1012</v>
      </c>
      <c r="E239" s="85">
        <v>393</v>
      </c>
      <c r="F239" s="85"/>
      <c r="G239" s="86"/>
      <c r="H239" s="86"/>
      <c r="I239" s="86"/>
      <c r="J239" s="86"/>
      <c r="K239" s="86"/>
      <c r="L239" s="86"/>
      <c r="M239" s="86"/>
      <c r="N239" s="86"/>
      <c r="O239" s="86"/>
      <c r="P239" s="87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</row>
    <row r="240" spans="1:44" ht="14.6" customHeight="1" x14ac:dyDescent="0.4">
      <c r="A240" s="5" t="str">
        <f t="shared" si="31"/>
        <v>DI-LA GUAIRA</v>
      </c>
      <c r="B240" s="5" t="str">
        <f t="shared" si="32"/>
        <v>DI</v>
      </c>
      <c r="C240" s="83" t="s">
        <v>999</v>
      </c>
      <c r="D240" s="82" t="s">
        <v>1013</v>
      </c>
      <c r="E240" s="85">
        <v>289</v>
      </c>
      <c r="F240" s="85"/>
      <c r="G240" s="86"/>
      <c r="H240" s="86"/>
      <c r="I240" s="86"/>
      <c r="J240" s="86"/>
      <c r="K240" s="86"/>
      <c r="L240" s="86"/>
      <c r="M240" s="86"/>
      <c r="N240" s="86"/>
      <c r="O240" s="86"/>
      <c r="P240" s="87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</row>
    <row r="241" spans="1:44" ht="14.6" customHeight="1" x14ac:dyDescent="0.4">
      <c r="A241" s="5" t="str">
        <f t="shared" si="31"/>
        <v>DI-LA PASTORA</v>
      </c>
      <c r="B241" s="5" t="str">
        <f t="shared" si="32"/>
        <v>DI</v>
      </c>
      <c r="C241" s="83" t="s">
        <v>999</v>
      </c>
      <c r="D241" s="82" t="s">
        <v>1014</v>
      </c>
      <c r="E241" s="85">
        <v>496</v>
      </c>
      <c r="F241" s="85"/>
      <c r="G241" s="86"/>
      <c r="H241" s="86"/>
      <c r="I241" s="86"/>
      <c r="J241" s="86"/>
      <c r="K241" s="86"/>
      <c r="L241" s="86"/>
      <c r="M241" s="86"/>
      <c r="N241" s="86"/>
      <c r="O241" s="86"/>
      <c r="P241" s="87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</row>
    <row r="242" spans="1:44" ht="14.6" customHeight="1" x14ac:dyDescent="0.4">
      <c r="A242" s="5" t="str">
        <f t="shared" si="31"/>
        <v>DI-LA VEGA</v>
      </c>
      <c r="B242" s="5" t="str">
        <f t="shared" si="32"/>
        <v>DI</v>
      </c>
      <c r="C242" s="83" t="s">
        <v>999</v>
      </c>
      <c r="D242" s="82" t="s">
        <v>1015</v>
      </c>
      <c r="E242" s="85">
        <v>1989</v>
      </c>
      <c r="F242" s="85"/>
      <c r="G242" s="86"/>
      <c r="H242" s="86"/>
      <c r="I242" s="86"/>
      <c r="J242" s="86"/>
      <c r="K242" s="86"/>
      <c r="L242" s="86"/>
      <c r="M242" s="86"/>
      <c r="N242" s="86"/>
      <c r="O242" s="86"/>
      <c r="P242" s="87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</row>
    <row r="243" spans="1:44" ht="14.6" customHeight="1" x14ac:dyDescent="0.4">
      <c r="A243" s="5" t="str">
        <f t="shared" si="31"/>
        <v>DI-MACARAO</v>
      </c>
      <c r="B243" s="5" t="str">
        <f t="shared" si="32"/>
        <v>DI</v>
      </c>
      <c r="C243" s="83" t="s">
        <v>999</v>
      </c>
      <c r="D243" s="82" t="s">
        <v>1016</v>
      </c>
      <c r="E243" s="85">
        <v>75</v>
      </c>
      <c r="F243" s="85"/>
      <c r="G243" s="86"/>
      <c r="H243" s="86"/>
      <c r="I243" s="86"/>
      <c r="J243" s="86"/>
      <c r="K243" s="86"/>
      <c r="L243" s="86"/>
      <c r="M243" s="86"/>
      <c r="N243" s="86"/>
      <c r="O243" s="86"/>
      <c r="P243" s="87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</row>
    <row r="244" spans="1:44" ht="14.6" customHeight="1" x14ac:dyDescent="0.4">
      <c r="A244" s="5" t="str">
        <f t="shared" si="31"/>
        <v>DI-MACUTO</v>
      </c>
      <c r="B244" s="5" t="str">
        <f t="shared" si="32"/>
        <v>DI</v>
      </c>
      <c r="C244" s="83" t="s">
        <v>999</v>
      </c>
      <c r="D244" s="82" t="s">
        <v>1017</v>
      </c>
      <c r="E244" s="85">
        <v>102</v>
      </c>
      <c r="F244" s="85"/>
      <c r="G244" s="86"/>
      <c r="H244" s="86"/>
      <c r="I244" s="86"/>
      <c r="J244" s="86"/>
      <c r="K244" s="86"/>
      <c r="L244" s="86"/>
      <c r="M244" s="86"/>
      <c r="N244" s="86"/>
      <c r="O244" s="86"/>
      <c r="P244" s="87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</row>
    <row r="245" spans="1:44" ht="14.6" customHeight="1" x14ac:dyDescent="0.4">
      <c r="A245" s="5" t="str">
        <f t="shared" si="31"/>
        <v>DI-MAIQUETIA</v>
      </c>
      <c r="B245" s="5" t="str">
        <f t="shared" si="32"/>
        <v>DI</v>
      </c>
      <c r="C245" s="83" t="s">
        <v>999</v>
      </c>
      <c r="D245" s="82" t="s">
        <v>1018</v>
      </c>
      <c r="E245" s="85">
        <v>377</v>
      </c>
      <c r="F245" s="85"/>
      <c r="G245" s="86"/>
      <c r="H245" s="86"/>
      <c r="I245" s="86"/>
      <c r="J245" s="86"/>
      <c r="K245" s="86"/>
      <c r="L245" s="86"/>
      <c r="M245" s="86"/>
      <c r="N245" s="86"/>
      <c r="O245" s="86"/>
      <c r="P245" s="87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</row>
    <row r="246" spans="1:44" ht="14.6" customHeight="1" x14ac:dyDescent="0.4">
      <c r="A246" s="5" t="str">
        <f t="shared" si="31"/>
        <v>DI-NAIGUATA</v>
      </c>
      <c r="B246" s="5" t="str">
        <f t="shared" si="32"/>
        <v>DI</v>
      </c>
      <c r="C246" s="83" t="s">
        <v>999</v>
      </c>
      <c r="D246" s="82" t="s">
        <v>1019</v>
      </c>
      <c r="E246" s="85">
        <v>64</v>
      </c>
      <c r="F246" s="85"/>
      <c r="G246" s="86"/>
      <c r="H246" s="86"/>
      <c r="I246" s="86"/>
      <c r="J246" s="86"/>
      <c r="K246" s="86"/>
      <c r="L246" s="86"/>
      <c r="M246" s="86"/>
      <c r="N246" s="86"/>
      <c r="O246" s="86"/>
      <c r="P246" s="87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</row>
    <row r="247" spans="1:44" ht="14.6" customHeight="1" x14ac:dyDescent="0.4">
      <c r="A247" s="5" t="str">
        <f t="shared" si="31"/>
        <v>DI-SAN AGUSTIN</v>
      </c>
      <c r="B247" s="5" t="str">
        <f t="shared" si="32"/>
        <v>DI</v>
      </c>
      <c r="C247" s="83" t="s">
        <v>999</v>
      </c>
      <c r="D247" s="82" t="s">
        <v>1020</v>
      </c>
      <c r="E247" s="85">
        <v>115</v>
      </c>
      <c r="F247" s="85"/>
      <c r="G247" s="86"/>
      <c r="H247" s="86"/>
      <c r="I247" s="86"/>
      <c r="J247" s="86"/>
      <c r="K247" s="86"/>
      <c r="L247" s="86"/>
      <c r="M247" s="86"/>
      <c r="N247" s="86"/>
      <c r="O247" s="86"/>
      <c r="P247" s="87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</row>
    <row r="248" spans="1:44" ht="14.6" customHeight="1" x14ac:dyDescent="0.4">
      <c r="A248" s="5" t="str">
        <f t="shared" si="31"/>
        <v>DI-SAN JOSE</v>
      </c>
      <c r="B248" s="5" t="str">
        <f t="shared" si="32"/>
        <v>DI</v>
      </c>
      <c r="C248" s="83" t="s">
        <v>999</v>
      </c>
      <c r="D248" s="82" t="s">
        <v>981</v>
      </c>
      <c r="E248" s="85">
        <v>1695</v>
      </c>
      <c r="F248" s="85"/>
      <c r="G248" s="86"/>
      <c r="H248" s="86"/>
      <c r="I248" s="86"/>
      <c r="J248" s="86"/>
      <c r="K248" s="86"/>
      <c r="L248" s="86"/>
      <c r="M248" s="86"/>
      <c r="N248" s="86"/>
      <c r="O248" s="86"/>
      <c r="P248" s="87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</row>
    <row r="249" spans="1:44" ht="14.6" customHeight="1" x14ac:dyDescent="0.4">
      <c r="A249" s="5" t="str">
        <f t="shared" si="31"/>
        <v>DI-SAN JUAN</v>
      </c>
      <c r="B249" s="5" t="str">
        <f t="shared" si="32"/>
        <v>DI</v>
      </c>
      <c r="C249" s="83" t="s">
        <v>999</v>
      </c>
      <c r="D249" s="82" t="s">
        <v>1021</v>
      </c>
      <c r="E249" s="85">
        <v>1000</v>
      </c>
      <c r="F249" s="85"/>
      <c r="G249" s="86"/>
      <c r="H249" s="86"/>
      <c r="I249" s="86"/>
      <c r="J249" s="86"/>
      <c r="K249" s="86"/>
      <c r="L249" s="86"/>
      <c r="M249" s="86"/>
      <c r="N249" s="86"/>
      <c r="O249" s="86"/>
      <c r="P249" s="87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</row>
    <row r="250" spans="1:44" ht="14.6" customHeight="1" x14ac:dyDescent="0.4">
      <c r="A250" s="5" t="str">
        <f t="shared" si="31"/>
        <v>DI-SANTA ROSALIA</v>
      </c>
      <c r="B250" s="5" t="str">
        <f t="shared" si="32"/>
        <v>DI</v>
      </c>
      <c r="C250" s="83" t="s">
        <v>999</v>
      </c>
      <c r="D250" s="82" t="s">
        <v>1022</v>
      </c>
      <c r="E250" s="85">
        <v>1563</v>
      </c>
      <c r="F250" s="85"/>
      <c r="G250" s="86"/>
      <c r="H250" s="86"/>
      <c r="I250" s="86"/>
      <c r="J250" s="86"/>
      <c r="K250" s="86"/>
      <c r="L250" s="86"/>
      <c r="M250" s="86"/>
      <c r="N250" s="86"/>
      <c r="O250" s="86"/>
      <c r="P250" s="87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</row>
    <row r="251" spans="1:44" ht="14.6" customHeight="1" x14ac:dyDescent="0.4">
      <c r="A251" s="5" t="str">
        <f t="shared" si="31"/>
        <v>DI-SANTA TERESA</v>
      </c>
      <c r="B251" s="5" t="str">
        <f t="shared" si="32"/>
        <v>DI</v>
      </c>
      <c r="C251" s="83" t="s">
        <v>999</v>
      </c>
      <c r="D251" s="82" t="s">
        <v>1023</v>
      </c>
      <c r="E251" s="85">
        <v>50</v>
      </c>
      <c r="F251" s="85"/>
      <c r="G251" s="86"/>
      <c r="H251" s="86"/>
      <c r="I251" s="86"/>
      <c r="J251" s="86"/>
      <c r="K251" s="86"/>
      <c r="L251" s="86"/>
      <c r="M251" s="86"/>
      <c r="N251" s="86"/>
      <c r="O251" s="86"/>
      <c r="P251" s="87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</row>
    <row r="252" spans="1:44" ht="14.6" customHeight="1" x14ac:dyDescent="0.4">
      <c r="A252" s="5" t="str">
        <f t="shared" si="31"/>
        <v>DI-SUCRE</v>
      </c>
      <c r="B252" s="5" t="str">
        <f t="shared" si="32"/>
        <v>DI</v>
      </c>
      <c r="C252" s="83" t="s">
        <v>999</v>
      </c>
      <c r="D252" s="82" t="s">
        <v>829</v>
      </c>
      <c r="E252" s="85">
        <v>1833</v>
      </c>
      <c r="F252" s="85"/>
      <c r="G252" s="86"/>
      <c r="H252" s="86"/>
      <c r="I252" s="86"/>
      <c r="J252" s="86"/>
      <c r="K252" s="86"/>
      <c r="L252" s="86"/>
      <c r="M252" s="86"/>
      <c r="N252" s="86"/>
      <c r="O252" s="86"/>
      <c r="P252" s="87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</row>
    <row r="253" spans="1:44" ht="14.6" customHeight="1" x14ac:dyDescent="0.4">
      <c r="A253" s="5" t="str">
        <f t="shared" si="31"/>
        <v>FA-ACURIGUA</v>
      </c>
      <c r="B253" s="5" t="str">
        <f t="shared" si="32"/>
        <v>FA</v>
      </c>
      <c r="C253" s="83" t="s">
        <v>1024</v>
      </c>
      <c r="D253" s="82" t="s">
        <v>1025</v>
      </c>
      <c r="E253" s="85">
        <v>3</v>
      </c>
      <c r="F253" s="85"/>
      <c r="G253" s="86"/>
      <c r="H253" s="86"/>
      <c r="I253" s="86"/>
      <c r="J253" s="86"/>
      <c r="K253" s="86"/>
      <c r="L253" s="86"/>
      <c r="M253" s="86"/>
      <c r="N253" s="86"/>
      <c r="O253" s="86"/>
      <c r="P253" s="87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</row>
    <row r="254" spans="1:44" ht="14.6" customHeight="1" x14ac:dyDescent="0.4">
      <c r="A254" s="5" t="str">
        <f t="shared" si="31"/>
        <v>FA-ADICORA</v>
      </c>
      <c r="B254" s="5" t="str">
        <f t="shared" si="32"/>
        <v>FA</v>
      </c>
      <c r="C254" s="83" t="s">
        <v>1024</v>
      </c>
      <c r="D254" s="82" t="s">
        <v>1026</v>
      </c>
      <c r="E254" s="85">
        <v>23</v>
      </c>
      <c r="F254" s="85"/>
      <c r="G254" s="86"/>
      <c r="H254" s="86"/>
      <c r="I254" s="86"/>
      <c r="J254" s="86"/>
      <c r="K254" s="86"/>
      <c r="L254" s="86"/>
      <c r="M254" s="86"/>
      <c r="N254" s="86"/>
      <c r="O254" s="86"/>
      <c r="P254" s="87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</row>
    <row r="255" spans="1:44" ht="14.6" customHeight="1" x14ac:dyDescent="0.4">
      <c r="A255" s="5" t="str">
        <f t="shared" si="31"/>
        <v>FA-AGUA LARGA</v>
      </c>
      <c r="B255" s="5" t="str">
        <f t="shared" si="32"/>
        <v>FA</v>
      </c>
      <c r="C255" s="83" t="s">
        <v>1024</v>
      </c>
      <c r="D255" s="82" t="s">
        <v>1027</v>
      </c>
      <c r="E255" s="85">
        <v>9</v>
      </c>
      <c r="F255" s="85"/>
      <c r="G255" s="86"/>
      <c r="H255" s="86"/>
      <c r="I255" s="86"/>
      <c r="J255" s="86"/>
      <c r="K255" s="86"/>
      <c r="L255" s="86"/>
      <c r="M255" s="86"/>
      <c r="N255" s="86"/>
      <c r="O255" s="86"/>
      <c r="P255" s="87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</row>
    <row r="256" spans="1:44" ht="14.6" customHeight="1" x14ac:dyDescent="0.4">
      <c r="A256" s="5" t="str">
        <f t="shared" si="31"/>
        <v>FA-ARAUCA</v>
      </c>
      <c r="B256" s="5" t="str">
        <f t="shared" si="32"/>
        <v>FA</v>
      </c>
      <c r="C256" s="83" t="s">
        <v>1024</v>
      </c>
      <c r="D256" s="82" t="s">
        <v>1028</v>
      </c>
      <c r="E256" s="85">
        <v>6</v>
      </c>
      <c r="F256" s="85"/>
      <c r="G256" s="86"/>
      <c r="H256" s="86"/>
      <c r="I256" s="86"/>
      <c r="J256" s="86"/>
      <c r="K256" s="86"/>
      <c r="L256" s="86"/>
      <c r="M256" s="86"/>
      <c r="N256" s="86"/>
      <c r="O256" s="86"/>
      <c r="P256" s="87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</row>
    <row r="257" spans="1:44" ht="14.6" customHeight="1" x14ac:dyDescent="0.4">
      <c r="A257" s="5" t="str">
        <f t="shared" si="31"/>
        <v>FA-ARAURIMA</v>
      </c>
      <c r="B257" s="5" t="str">
        <f t="shared" si="32"/>
        <v>FA</v>
      </c>
      <c r="C257" s="83" t="s">
        <v>1024</v>
      </c>
      <c r="D257" s="82" t="s">
        <v>1029</v>
      </c>
      <c r="E257" s="85">
        <v>2</v>
      </c>
      <c r="F257" s="85"/>
      <c r="G257" s="86"/>
      <c r="H257" s="86"/>
      <c r="I257" s="86"/>
      <c r="J257" s="86"/>
      <c r="K257" s="86"/>
      <c r="L257" s="86"/>
      <c r="M257" s="86"/>
      <c r="N257" s="86"/>
      <c r="O257" s="86"/>
      <c r="P257" s="87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</row>
    <row r="258" spans="1:44" ht="14.6" customHeight="1" x14ac:dyDescent="0.4">
      <c r="A258" s="5" t="str">
        <f t="shared" si="31"/>
        <v>FA-BARAIVED</v>
      </c>
      <c r="B258" s="5" t="str">
        <f t="shared" si="32"/>
        <v>FA</v>
      </c>
      <c r="C258" s="83" t="s">
        <v>1024</v>
      </c>
      <c r="D258" s="82" t="s">
        <v>1030</v>
      </c>
      <c r="E258" s="85">
        <v>11</v>
      </c>
      <c r="F258" s="85"/>
      <c r="G258" s="86"/>
      <c r="H258" s="86"/>
      <c r="I258" s="86"/>
      <c r="J258" s="86"/>
      <c r="K258" s="86"/>
      <c r="L258" s="86"/>
      <c r="M258" s="86"/>
      <c r="N258" s="86"/>
      <c r="O258" s="86"/>
      <c r="P258" s="87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</row>
    <row r="259" spans="1:44" ht="14.6" customHeight="1" x14ac:dyDescent="0.4">
      <c r="A259" s="5" t="str">
        <f t="shared" si="31"/>
        <v>FA-BARIRO</v>
      </c>
      <c r="B259" s="5" t="str">
        <f t="shared" si="32"/>
        <v>FA</v>
      </c>
      <c r="C259" s="83" t="s">
        <v>1024</v>
      </c>
      <c r="D259" s="82" t="s">
        <v>1031</v>
      </c>
      <c r="E259" s="85">
        <v>8</v>
      </c>
      <c r="F259" s="85"/>
      <c r="G259" s="86"/>
      <c r="H259" s="86"/>
      <c r="I259" s="86"/>
      <c r="J259" s="86"/>
      <c r="K259" s="86"/>
      <c r="L259" s="86"/>
      <c r="M259" s="86"/>
      <c r="N259" s="86"/>
      <c r="O259" s="86"/>
      <c r="P259" s="87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</row>
    <row r="260" spans="1:44" ht="14.6" customHeight="1" x14ac:dyDescent="0.4">
      <c r="A260" s="5" t="str">
        <f t="shared" ref="A260:A277" si="33">+B260&amp;"-"&amp;D260</f>
        <v>FA-BOCA DE AROA</v>
      </c>
      <c r="B260" s="5" t="str">
        <f t="shared" ref="B260:B277" si="34">+MID(C260,1,2)</f>
        <v>FA</v>
      </c>
      <c r="C260" s="83" t="s">
        <v>1024</v>
      </c>
      <c r="D260" s="82" t="s">
        <v>1032</v>
      </c>
      <c r="E260" s="85">
        <v>32</v>
      </c>
      <c r="F260" s="85"/>
      <c r="G260" s="86"/>
      <c r="H260" s="86"/>
      <c r="I260" s="86"/>
      <c r="J260" s="86"/>
      <c r="K260" s="86"/>
      <c r="L260" s="86"/>
      <c r="M260" s="86"/>
      <c r="N260" s="86"/>
      <c r="O260" s="86"/>
      <c r="P260" s="87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</row>
    <row r="261" spans="1:44" ht="14.6" customHeight="1" x14ac:dyDescent="0.4">
      <c r="A261" s="5" t="str">
        <f t="shared" si="33"/>
        <v>FA-BOCA DE TOCUYO</v>
      </c>
      <c r="B261" s="5" t="str">
        <f t="shared" si="34"/>
        <v>FA</v>
      </c>
      <c r="C261" s="83" t="s">
        <v>1024</v>
      </c>
      <c r="D261" s="82" t="s">
        <v>1033</v>
      </c>
      <c r="E261" s="85">
        <v>4</v>
      </c>
      <c r="F261" s="85"/>
      <c r="G261" s="86"/>
      <c r="H261" s="86"/>
      <c r="I261" s="86"/>
      <c r="J261" s="86"/>
      <c r="K261" s="86"/>
      <c r="L261" s="86"/>
      <c r="M261" s="86"/>
      <c r="N261" s="86"/>
      <c r="O261" s="86"/>
      <c r="P261" s="87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</row>
    <row r="262" spans="1:44" ht="14.6" customHeight="1" x14ac:dyDescent="0.4">
      <c r="A262" s="5" t="str">
        <f t="shared" si="33"/>
        <v>FA-BOLIVAR</v>
      </c>
      <c r="B262" s="5" t="str">
        <f t="shared" si="34"/>
        <v>FA</v>
      </c>
      <c r="C262" s="83" t="s">
        <v>1024</v>
      </c>
      <c r="D262" s="82" t="s">
        <v>1034</v>
      </c>
      <c r="E262" s="85">
        <v>6</v>
      </c>
      <c r="F262" s="85"/>
      <c r="G262" s="86"/>
      <c r="H262" s="86"/>
      <c r="I262" s="86"/>
      <c r="J262" s="86"/>
      <c r="K262" s="86"/>
      <c r="L262" s="86"/>
      <c r="M262" s="86"/>
      <c r="N262" s="86"/>
      <c r="O262" s="86"/>
      <c r="P262" s="87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</row>
    <row r="263" spans="1:44" ht="14.6" customHeight="1" x14ac:dyDescent="0.4">
      <c r="A263" s="5" t="str">
        <f t="shared" si="33"/>
        <v>FA-BOROJO</v>
      </c>
      <c r="B263" s="5" t="str">
        <f t="shared" si="34"/>
        <v>FA</v>
      </c>
      <c r="C263" s="83" t="s">
        <v>1024</v>
      </c>
      <c r="D263" s="82" t="s">
        <v>1035</v>
      </c>
      <c r="E263" s="85">
        <v>2</v>
      </c>
      <c r="F263" s="85"/>
      <c r="G263" s="86"/>
      <c r="H263" s="86"/>
      <c r="I263" s="86"/>
      <c r="J263" s="86"/>
      <c r="K263" s="86"/>
      <c r="L263" s="86"/>
      <c r="M263" s="86"/>
      <c r="N263" s="86"/>
      <c r="O263" s="86"/>
      <c r="P263" s="87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</row>
    <row r="264" spans="1:44" ht="14.6" customHeight="1" x14ac:dyDescent="0.4">
      <c r="A264" s="5" t="str">
        <f t="shared" si="33"/>
        <v>FA-LOCALIDAD</v>
      </c>
      <c r="B264" s="5" t="str">
        <f t="shared" si="34"/>
        <v>FA</v>
      </c>
      <c r="C264" s="83" t="s">
        <v>1024</v>
      </c>
      <c r="D264" s="88" t="s">
        <v>838</v>
      </c>
      <c r="E264" s="88" t="s">
        <v>839</v>
      </c>
      <c r="F264" s="88"/>
      <c r="G264" s="89"/>
      <c r="H264" s="89"/>
      <c r="I264" s="89"/>
      <c r="J264" s="89"/>
      <c r="K264" s="89"/>
      <c r="L264" s="89"/>
      <c r="M264" s="89"/>
      <c r="N264" s="89"/>
      <c r="O264" s="89"/>
      <c r="P264" s="90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</row>
    <row r="265" spans="1:44" ht="14.6" customHeight="1" x14ac:dyDescent="0.4">
      <c r="A265" s="5" t="str">
        <f t="shared" si="33"/>
        <v>FA-BUENA VISTA</v>
      </c>
      <c r="B265" s="5" t="str">
        <f t="shared" si="34"/>
        <v>FA</v>
      </c>
      <c r="C265" s="83" t="s">
        <v>1024</v>
      </c>
      <c r="D265" s="82" t="s">
        <v>1036</v>
      </c>
      <c r="E265" s="85">
        <v>18</v>
      </c>
      <c r="F265" s="85"/>
      <c r="G265" s="86"/>
      <c r="H265" s="86"/>
      <c r="I265" s="86"/>
      <c r="J265" s="86"/>
      <c r="K265" s="86"/>
      <c r="L265" s="86"/>
      <c r="M265" s="86"/>
      <c r="N265" s="86"/>
      <c r="O265" s="86"/>
      <c r="P265" s="87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</row>
    <row r="266" spans="1:44" ht="14.6" customHeight="1" x14ac:dyDescent="0.4">
      <c r="A266" s="5" t="str">
        <f t="shared" si="33"/>
        <v>FA-CABURE (PETIT)</v>
      </c>
      <c r="B266" s="5" t="str">
        <f t="shared" si="34"/>
        <v>FA</v>
      </c>
      <c r="C266" s="83" t="s">
        <v>1024</v>
      </c>
      <c r="D266" s="82" t="s">
        <v>1037</v>
      </c>
      <c r="E266" s="85">
        <v>28</v>
      </c>
      <c r="F266" s="85"/>
      <c r="G266" s="86"/>
      <c r="H266" s="86"/>
      <c r="I266" s="86"/>
      <c r="J266" s="86"/>
      <c r="K266" s="86"/>
      <c r="L266" s="86"/>
      <c r="M266" s="86"/>
      <c r="N266" s="86"/>
      <c r="O266" s="86"/>
      <c r="P266" s="87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</row>
    <row r="267" spans="1:44" ht="14.6" customHeight="1" x14ac:dyDescent="0.4">
      <c r="A267" s="5" t="str">
        <f t="shared" si="33"/>
        <v>FA-CACIQUE MANAURE</v>
      </c>
      <c r="B267" s="5" t="str">
        <f t="shared" si="34"/>
        <v>FA</v>
      </c>
      <c r="C267" s="83" t="s">
        <v>1024</v>
      </c>
      <c r="D267" s="82" t="s">
        <v>1038</v>
      </c>
      <c r="E267" s="85">
        <v>15</v>
      </c>
      <c r="F267" s="85"/>
      <c r="G267" s="86"/>
      <c r="H267" s="86"/>
      <c r="I267" s="86"/>
      <c r="J267" s="86"/>
      <c r="K267" s="86"/>
      <c r="L267" s="86"/>
      <c r="M267" s="86"/>
      <c r="N267" s="86"/>
      <c r="O267" s="86"/>
      <c r="P267" s="87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</row>
    <row r="268" spans="1:44" ht="14.6" customHeight="1" x14ac:dyDescent="0.4">
      <c r="A268" s="5" t="str">
        <f t="shared" si="33"/>
        <v>FA-CAPADARE</v>
      </c>
      <c r="B268" s="5" t="str">
        <f t="shared" si="34"/>
        <v>FA</v>
      </c>
      <c r="C268" s="83" t="s">
        <v>1024</v>
      </c>
      <c r="D268" s="82" t="s">
        <v>1039</v>
      </c>
      <c r="E268" s="85">
        <v>17</v>
      </c>
      <c r="F268" s="85"/>
      <c r="G268" s="86"/>
      <c r="H268" s="86"/>
      <c r="I268" s="86"/>
      <c r="J268" s="86"/>
      <c r="K268" s="86"/>
      <c r="L268" s="86"/>
      <c r="M268" s="86"/>
      <c r="N268" s="86"/>
      <c r="O268" s="86"/>
      <c r="P268" s="87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</row>
    <row r="269" spans="1:44" ht="14.6" customHeight="1" x14ac:dyDescent="0.4">
      <c r="A269" s="5" t="str">
        <f t="shared" si="33"/>
        <v>FA-CAPATARIDA (BUCHIVACOA)</v>
      </c>
      <c r="B269" s="5" t="str">
        <f t="shared" si="34"/>
        <v>FA</v>
      </c>
      <c r="C269" s="83" t="s">
        <v>1024</v>
      </c>
      <c r="D269" s="82" t="s">
        <v>1040</v>
      </c>
      <c r="E269" s="85">
        <v>19</v>
      </c>
      <c r="F269" s="85"/>
      <c r="G269" s="86"/>
      <c r="H269" s="86"/>
      <c r="I269" s="86"/>
      <c r="J269" s="86"/>
      <c r="K269" s="86"/>
      <c r="L269" s="86"/>
      <c r="M269" s="86"/>
      <c r="N269" s="86"/>
      <c r="O269" s="86"/>
      <c r="P269" s="87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</row>
    <row r="270" spans="1:44" ht="14.6" customHeight="1" x14ac:dyDescent="0.4">
      <c r="A270" s="5" t="str">
        <f t="shared" si="33"/>
        <v>FA-CARIRUBANA</v>
      </c>
      <c r="B270" s="5" t="str">
        <f t="shared" si="34"/>
        <v>FA</v>
      </c>
      <c r="C270" s="83" t="s">
        <v>1024</v>
      </c>
      <c r="D270" s="82" t="s">
        <v>1041</v>
      </c>
      <c r="E270" s="85">
        <v>5</v>
      </c>
      <c r="F270" s="85"/>
      <c r="G270" s="86"/>
      <c r="H270" s="86"/>
      <c r="I270" s="86"/>
      <c r="J270" s="86"/>
      <c r="K270" s="86"/>
      <c r="L270" s="86"/>
      <c r="M270" s="86"/>
      <c r="N270" s="86"/>
      <c r="O270" s="86"/>
      <c r="P270" s="87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</row>
    <row r="271" spans="1:44" ht="14.6" customHeight="1" x14ac:dyDescent="0.4">
      <c r="A271" s="5" t="str">
        <f t="shared" si="33"/>
        <v>FA-CASIGUA</v>
      </c>
      <c r="B271" s="5" t="str">
        <f t="shared" si="34"/>
        <v>FA</v>
      </c>
      <c r="C271" s="83" t="s">
        <v>1024</v>
      </c>
      <c r="D271" s="82" t="s">
        <v>1042</v>
      </c>
      <c r="E271" s="85">
        <v>3</v>
      </c>
      <c r="F271" s="85"/>
      <c r="G271" s="86"/>
      <c r="H271" s="86"/>
      <c r="I271" s="86"/>
      <c r="J271" s="86"/>
      <c r="K271" s="86"/>
      <c r="L271" s="86"/>
      <c r="M271" s="86"/>
      <c r="N271" s="86"/>
      <c r="O271" s="86"/>
      <c r="P271" s="87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</row>
    <row r="272" spans="1:44" ht="14.6" customHeight="1" x14ac:dyDescent="0.4">
      <c r="A272" s="5" t="str">
        <f t="shared" si="33"/>
        <v>FA-CHICHIRIVICHE</v>
      </c>
      <c r="B272" s="5" t="str">
        <f t="shared" si="34"/>
        <v>FA</v>
      </c>
      <c r="C272" s="83" t="s">
        <v>1024</v>
      </c>
      <c r="D272" s="82" t="s">
        <v>1043</v>
      </c>
      <c r="E272" s="85">
        <v>22</v>
      </c>
      <c r="F272" s="85"/>
      <c r="G272" s="86"/>
      <c r="H272" s="86"/>
      <c r="I272" s="86"/>
      <c r="J272" s="86"/>
      <c r="K272" s="86"/>
      <c r="L272" s="86"/>
      <c r="M272" s="86"/>
      <c r="N272" s="86"/>
      <c r="O272" s="86"/>
      <c r="P272" s="87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</row>
    <row r="273" spans="1:44" ht="14.6" customHeight="1" x14ac:dyDescent="0.4">
      <c r="A273" s="5" t="str">
        <f t="shared" si="33"/>
        <v>FA-CHURUGUARA</v>
      </c>
      <c r="B273" s="5" t="str">
        <f t="shared" si="34"/>
        <v>FA</v>
      </c>
      <c r="C273" s="83" t="s">
        <v>1024</v>
      </c>
      <c r="D273" s="82" t="s">
        <v>1044</v>
      </c>
      <c r="E273" s="85">
        <v>56</v>
      </c>
      <c r="F273" s="85"/>
      <c r="G273" s="86"/>
      <c r="H273" s="86"/>
      <c r="I273" s="86"/>
      <c r="J273" s="86"/>
      <c r="K273" s="86"/>
      <c r="L273" s="86"/>
      <c r="M273" s="86"/>
      <c r="N273" s="86"/>
      <c r="O273" s="86"/>
      <c r="P273" s="87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</row>
    <row r="274" spans="1:44" ht="14.6" customHeight="1" x14ac:dyDescent="0.4">
      <c r="A274" s="5" t="str">
        <f t="shared" si="33"/>
        <v>FA-COLINA</v>
      </c>
      <c r="B274" s="5" t="str">
        <f t="shared" si="34"/>
        <v>FA</v>
      </c>
      <c r="C274" s="83" t="s">
        <v>1024</v>
      </c>
      <c r="D274" s="82" t="s">
        <v>1045</v>
      </c>
      <c r="E274" s="85">
        <v>4</v>
      </c>
      <c r="F274" s="85"/>
      <c r="G274" s="86"/>
      <c r="H274" s="86"/>
      <c r="I274" s="86"/>
      <c r="J274" s="86"/>
      <c r="K274" s="86"/>
      <c r="L274" s="86"/>
      <c r="M274" s="86"/>
      <c r="N274" s="86"/>
      <c r="O274" s="86"/>
      <c r="P274" s="87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</row>
    <row r="275" spans="1:44" ht="14.6" customHeight="1" x14ac:dyDescent="0.4">
      <c r="A275" s="5" t="str">
        <f t="shared" si="33"/>
        <v>FA-CURIMAGUA</v>
      </c>
      <c r="B275" s="5" t="str">
        <f t="shared" si="34"/>
        <v>FA</v>
      </c>
      <c r="C275" s="83" t="s">
        <v>1024</v>
      </c>
      <c r="D275" s="82" t="s">
        <v>1046</v>
      </c>
      <c r="E275" s="85">
        <v>17</v>
      </c>
      <c r="F275" s="85"/>
      <c r="G275" s="86"/>
      <c r="H275" s="86"/>
      <c r="I275" s="86"/>
      <c r="J275" s="86"/>
      <c r="K275" s="86"/>
      <c r="L275" s="86"/>
      <c r="M275" s="86"/>
      <c r="N275" s="86"/>
      <c r="O275" s="86"/>
      <c r="P275" s="87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</row>
    <row r="276" spans="1:44" ht="14.6" customHeight="1" x14ac:dyDescent="0.4">
      <c r="A276" s="5" t="str">
        <f t="shared" si="33"/>
        <v>FA-DABAJURO</v>
      </c>
      <c r="B276" s="5" t="str">
        <f t="shared" si="34"/>
        <v>FA</v>
      </c>
      <c r="C276" s="83" t="s">
        <v>1024</v>
      </c>
      <c r="D276" s="82" t="s">
        <v>1047</v>
      </c>
      <c r="E276" s="85">
        <v>50</v>
      </c>
      <c r="F276" s="85"/>
      <c r="G276" s="86"/>
      <c r="H276" s="86"/>
      <c r="I276" s="86"/>
      <c r="J276" s="86"/>
      <c r="K276" s="86"/>
      <c r="L276" s="86"/>
      <c r="M276" s="86"/>
      <c r="N276" s="86"/>
      <c r="O276" s="86"/>
      <c r="P276" s="87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</row>
    <row r="277" spans="1:44" ht="14.6" customHeight="1" x14ac:dyDescent="0.4">
      <c r="A277" s="5" t="str">
        <f t="shared" si="33"/>
        <v>FA-EL CHARAL</v>
      </c>
      <c r="B277" s="5" t="str">
        <f t="shared" si="34"/>
        <v>FA</v>
      </c>
      <c r="C277" s="83" t="s">
        <v>1024</v>
      </c>
      <c r="D277" s="82" t="s">
        <v>1048</v>
      </c>
      <c r="E277" s="85">
        <v>3</v>
      </c>
      <c r="F277" s="85"/>
      <c r="G277" s="86"/>
      <c r="H277" s="86"/>
      <c r="I277" s="86"/>
      <c r="J277" s="86"/>
      <c r="K277" s="86"/>
      <c r="L277" s="86"/>
      <c r="M277" s="86"/>
      <c r="N277" s="86"/>
      <c r="O277" s="86"/>
      <c r="P277" s="87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</row>
    <row r="278" spans="1:44" ht="14.6" customHeight="1" x14ac:dyDescent="0.4">
      <c r="A278" s="5" t="str">
        <f t="shared" ref="A278:A296" si="35">+B278&amp;"-"&amp;D278</f>
        <v>FA-EL PAUJI</v>
      </c>
      <c r="B278" s="5" t="str">
        <f t="shared" ref="B278:B296" si="36">+MID(C278,1,2)</f>
        <v>FA</v>
      </c>
      <c r="C278" s="83" t="s">
        <v>1024</v>
      </c>
      <c r="D278" s="82" t="s">
        <v>1049</v>
      </c>
      <c r="E278" s="85">
        <v>4</v>
      </c>
      <c r="F278" s="85"/>
      <c r="G278" s="86"/>
      <c r="H278" s="86"/>
      <c r="I278" s="86"/>
      <c r="J278" s="86"/>
      <c r="K278" s="86"/>
      <c r="L278" s="86"/>
      <c r="M278" s="86"/>
      <c r="N278" s="86"/>
      <c r="O278" s="86"/>
      <c r="P278" s="87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</row>
    <row r="279" spans="1:44" ht="14.6" customHeight="1" x14ac:dyDescent="0.4">
      <c r="A279" s="5" t="str">
        <f t="shared" si="35"/>
        <v>FA-EL VINCULO</v>
      </c>
      <c r="B279" s="5" t="str">
        <f t="shared" si="36"/>
        <v>FA</v>
      </c>
      <c r="C279" s="83" t="s">
        <v>1024</v>
      </c>
      <c r="D279" s="82" t="s">
        <v>1050</v>
      </c>
      <c r="E279" s="85">
        <v>9</v>
      </c>
      <c r="F279" s="85"/>
      <c r="G279" s="86"/>
      <c r="H279" s="86"/>
      <c r="I279" s="86"/>
      <c r="J279" s="86"/>
      <c r="K279" s="86"/>
      <c r="L279" s="86"/>
      <c r="M279" s="86"/>
      <c r="N279" s="86"/>
      <c r="O279" s="86"/>
      <c r="P279" s="87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</row>
    <row r="280" spans="1:44" ht="14.6" customHeight="1" x14ac:dyDescent="0.4">
      <c r="A280" s="5" t="str">
        <f t="shared" si="35"/>
        <v>FA-GUZMAN GUILLERMO</v>
      </c>
      <c r="B280" s="5" t="str">
        <f t="shared" si="36"/>
        <v>FA</v>
      </c>
      <c r="C280" s="83" t="s">
        <v>1024</v>
      </c>
      <c r="D280" s="82" t="s">
        <v>1051</v>
      </c>
      <c r="E280" s="85">
        <v>3</v>
      </c>
      <c r="F280" s="85"/>
      <c r="G280" s="86"/>
      <c r="H280" s="86"/>
      <c r="I280" s="86"/>
      <c r="J280" s="86"/>
      <c r="K280" s="86"/>
      <c r="L280" s="86"/>
      <c r="M280" s="86"/>
      <c r="N280" s="86"/>
      <c r="O280" s="86"/>
      <c r="P280" s="87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</row>
    <row r="281" spans="1:44" ht="14.6" customHeight="1" x14ac:dyDescent="0.4">
      <c r="A281" s="5" t="str">
        <f t="shared" si="35"/>
        <v>FA-INDEPENDENCIA</v>
      </c>
      <c r="B281" s="5" t="str">
        <f t="shared" si="36"/>
        <v>FA</v>
      </c>
      <c r="C281" s="83" t="s">
        <v>1024</v>
      </c>
      <c r="D281" s="82" t="s">
        <v>968</v>
      </c>
      <c r="E281" s="85">
        <v>6</v>
      </c>
      <c r="F281" s="85"/>
      <c r="G281" s="86"/>
      <c r="H281" s="86"/>
      <c r="I281" s="86"/>
      <c r="J281" s="86"/>
      <c r="K281" s="86"/>
      <c r="L281" s="86"/>
      <c r="M281" s="86"/>
      <c r="N281" s="86"/>
      <c r="O281" s="86"/>
      <c r="P281" s="87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</row>
    <row r="282" spans="1:44" ht="14.6" customHeight="1" x14ac:dyDescent="0.4">
      <c r="A282" s="5" t="str">
        <f t="shared" si="35"/>
        <v>FA-JACURA</v>
      </c>
      <c r="B282" s="5" t="str">
        <f t="shared" si="36"/>
        <v>FA</v>
      </c>
      <c r="C282" s="83" t="s">
        <v>1024</v>
      </c>
      <c r="D282" s="82" t="s">
        <v>1052</v>
      </c>
      <c r="E282" s="85">
        <v>17</v>
      </c>
      <c r="F282" s="85"/>
      <c r="G282" s="86"/>
      <c r="H282" s="86"/>
      <c r="I282" s="86"/>
      <c r="J282" s="86"/>
      <c r="K282" s="86"/>
      <c r="L282" s="86"/>
      <c r="M282" s="86"/>
      <c r="N282" s="86"/>
      <c r="O282" s="86"/>
      <c r="P282" s="87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</row>
    <row r="283" spans="1:44" ht="14.6" customHeight="1" x14ac:dyDescent="0.4">
      <c r="A283" s="5" t="str">
        <f t="shared" si="35"/>
        <v>FA-JADACAQUIVA</v>
      </c>
      <c r="B283" s="5" t="str">
        <f t="shared" si="36"/>
        <v>FA</v>
      </c>
      <c r="C283" s="83" t="s">
        <v>1024</v>
      </c>
      <c r="D283" s="82" t="s">
        <v>1053</v>
      </c>
      <c r="E283" s="85">
        <v>6</v>
      </c>
      <c r="F283" s="85"/>
      <c r="G283" s="86"/>
      <c r="H283" s="86"/>
      <c r="I283" s="86"/>
      <c r="J283" s="86"/>
      <c r="K283" s="86"/>
      <c r="L283" s="86"/>
      <c r="M283" s="86"/>
      <c r="N283" s="86"/>
      <c r="O283" s="86"/>
      <c r="P283" s="87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</row>
    <row r="284" spans="1:44" ht="14.6" customHeight="1" x14ac:dyDescent="0.4">
      <c r="A284" s="5" t="str">
        <f t="shared" si="35"/>
        <v>FA-LA CIENEGA</v>
      </c>
      <c r="B284" s="5" t="str">
        <f t="shared" si="36"/>
        <v>FA</v>
      </c>
      <c r="C284" s="83" t="s">
        <v>1024</v>
      </c>
      <c r="D284" s="82" t="s">
        <v>1054</v>
      </c>
      <c r="E284" s="85">
        <v>4</v>
      </c>
      <c r="F284" s="85"/>
      <c r="G284" s="86"/>
      <c r="H284" s="86"/>
      <c r="I284" s="86"/>
      <c r="J284" s="86"/>
      <c r="K284" s="86"/>
      <c r="L284" s="86"/>
      <c r="M284" s="86"/>
      <c r="N284" s="86"/>
      <c r="O284" s="86"/>
      <c r="P284" s="87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</row>
    <row r="285" spans="1:44" ht="14.6" customHeight="1" x14ac:dyDescent="0.4">
      <c r="A285" s="5" t="str">
        <f t="shared" si="35"/>
        <v>FA-LA PASTORA</v>
      </c>
      <c r="B285" s="5" t="str">
        <f t="shared" si="36"/>
        <v>FA</v>
      </c>
      <c r="C285" s="83" t="s">
        <v>1024</v>
      </c>
      <c r="D285" s="82" t="s">
        <v>1014</v>
      </c>
      <c r="E285" s="85">
        <v>5</v>
      </c>
      <c r="F285" s="85"/>
      <c r="G285" s="86"/>
      <c r="H285" s="86"/>
      <c r="I285" s="86"/>
      <c r="J285" s="86"/>
      <c r="K285" s="86"/>
      <c r="L285" s="86"/>
      <c r="M285" s="86"/>
      <c r="N285" s="86"/>
      <c r="O285" s="86"/>
      <c r="P285" s="87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</row>
    <row r="286" spans="1:44" ht="14.6" customHeight="1" x14ac:dyDescent="0.4">
      <c r="A286" s="5" t="str">
        <f t="shared" si="35"/>
        <v>FA-LA PEÑA</v>
      </c>
      <c r="B286" s="5" t="str">
        <f t="shared" si="36"/>
        <v>FA</v>
      </c>
      <c r="C286" s="83" t="s">
        <v>1024</v>
      </c>
      <c r="D286" s="82" t="s">
        <v>1055</v>
      </c>
      <c r="E286" s="85">
        <v>1</v>
      </c>
      <c r="F286" s="85"/>
      <c r="G286" s="86"/>
      <c r="H286" s="86"/>
      <c r="I286" s="86"/>
      <c r="J286" s="86"/>
      <c r="K286" s="86"/>
      <c r="L286" s="86"/>
      <c r="M286" s="86"/>
      <c r="N286" s="86"/>
      <c r="O286" s="86"/>
      <c r="P286" s="87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</row>
    <row r="287" spans="1:44" ht="14.6" customHeight="1" x14ac:dyDescent="0.4">
      <c r="A287" s="5" t="str">
        <f t="shared" si="35"/>
        <v>FA-LA VELA DE CORO (COLINA)</v>
      </c>
      <c r="B287" s="5" t="str">
        <f t="shared" si="36"/>
        <v>FA</v>
      </c>
      <c r="C287" s="83" t="s">
        <v>1024</v>
      </c>
      <c r="D287" s="82" t="s">
        <v>1056</v>
      </c>
      <c r="E287" s="85">
        <v>41</v>
      </c>
      <c r="F287" s="85"/>
      <c r="G287" s="86"/>
      <c r="H287" s="86"/>
      <c r="I287" s="86"/>
      <c r="J287" s="86"/>
      <c r="K287" s="86"/>
      <c r="L287" s="86"/>
      <c r="M287" s="86"/>
      <c r="N287" s="86"/>
      <c r="O287" s="86"/>
      <c r="P287" s="87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</row>
    <row r="288" spans="1:44" ht="14.6" customHeight="1" x14ac:dyDescent="0.4">
      <c r="A288" s="5" t="str">
        <f t="shared" si="35"/>
        <v>FA-LAS VEGAS DEL TUY</v>
      </c>
      <c r="B288" s="5" t="str">
        <f t="shared" si="36"/>
        <v>FA</v>
      </c>
      <c r="C288" s="83" t="s">
        <v>1024</v>
      </c>
      <c r="D288" s="82" t="s">
        <v>1057</v>
      </c>
      <c r="E288" s="85">
        <v>9</v>
      </c>
      <c r="F288" s="85"/>
      <c r="G288" s="86"/>
      <c r="H288" s="86"/>
      <c r="I288" s="86"/>
      <c r="J288" s="86"/>
      <c r="K288" s="86"/>
      <c r="L288" s="86"/>
      <c r="M288" s="86"/>
      <c r="N288" s="86"/>
      <c r="O288" s="86"/>
      <c r="P288" s="87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</row>
    <row r="289" spans="1:44" ht="14.6" customHeight="1" x14ac:dyDescent="0.4">
      <c r="A289" s="5" t="str">
        <f t="shared" si="35"/>
        <v>FA-LIBERTADOR</v>
      </c>
      <c r="B289" s="5" t="str">
        <f t="shared" si="36"/>
        <v>FA</v>
      </c>
      <c r="C289" s="83" t="s">
        <v>1024</v>
      </c>
      <c r="D289" s="82" t="s">
        <v>806</v>
      </c>
      <c r="E289" s="85">
        <v>4</v>
      </c>
      <c r="F289" s="85"/>
      <c r="G289" s="86"/>
      <c r="H289" s="86"/>
      <c r="I289" s="86"/>
      <c r="J289" s="86"/>
      <c r="K289" s="86"/>
      <c r="L289" s="86"/>
      <c r="M289" s="86"/>
      <c r="N289" s="86"/>
      <c r="O289" s="86"/>
      <c r="P289" s="87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</row>
    <row r="290" spans="1:44" ht="14.6" customHeight="1" x14ac:dyDescent="0.4">
      <c r="A290" s="5" t="str">
        <f t="shared" si="35"/>
        <v>FA-LOS TAQUES</v>
      </c>
      <c r="B290" s="5" t="str">
        <f t="shared" si="36"/>
        <v>FA</v>
      </c>
      <c r="C290" s="83" t="s">
        <v>1024</v>
      </c>
      <c r="D290" s="82" t="s">
        <v>1058</v>
      </c>
      <c r="E290" s="85">
        <v>80</v>
      </c>
      <c r="F290" s="85"/>
      <c r="G290" s="86"/>
      <c r="H290" s="86"/>
      <c r="I290" s="86"/>
      <c r="J290" s="86"/>
      <c r="K290" s="86"/>
      <c r="L290" s="86"/>
      <c r="M290" s="86"/>
      <c r="N290" s="86"/>
      <c r="O290" s="86"/>
      <c r="P290" s="87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  <c r="AO290" s="81"/>
      <c r="AP290" s="81"/>
      <c r="AQ290" s="81"/>
      <c r="AR290" s="81"/>
    </row>
    <row r="291" spans="1:44" ht="14.6" customHeight="1" x14ac:dyDescent="0.4">
      <c r="A291" s="5" t="str">
        <f t="shared" si="35"/>
        <v>FA-MACORUCA</v>
      </c>
      <c r="B291" s="5" t="str">
        <f t="shared" si="36"/>
        <v>FA</v>
      </c>
      <c r="C291" s="83" t="s">
        <v>1024</v>
      </c>
      <c r="D291" s="82" t="s">
        <v>1059</v>
      </c>
      <c r="E291" s="85">
        <v>6</v>
      </c>
      <c r="F291" s="85"/>
      <c r="G291" s="86"/>
      <c r="H291" s="86"/>
      <c r="I291" s="86"/>
      <c r="J291" s="86"/>
      <c r="K291" s="86"/>
      <c r="L291" s="86"/>
      <c r="M291" s="86"/>
      <c r="N291" s="86"/>
      <c r="O291" s="86"/>
      <c r="P291" s="87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  <c r="AM291" s="81"/>
      <c r="AN291" s="81"/>
      <c r="AO291" s="81"/>
      <c r="AP291" s="81"/>
      <c r="AQ291" s="81"/>
      <c r="AR291" s="81"/>
    </row>
    <row r="292" spans="1:44" ht="14.6" customHeight="1" x14ac:dyDescent="0.4">
      <c r="A292" s="5" t="str">
        <f t="shared" si="35"/>
        <v>FA-MAPARARI</v>
      </c>
      <c r="B292" s="5" t="str">
        <f t="shared" si="36"/>
        <v>FA</v>
      </c>
      <c r="C292" s="83" t="s">
        <v>1024</v>
      </c>
      <c r="D292" s="82" t="s">
        <v>1060</v>
      </c>
      <c r="E292" s="85">
        <v>26</v>
      </c>
      <c r="F292" s="85"/>
      <c r="G292" s="86"/>
      <c r="H292" s="86"/>
      <c r="I292" s="86"/>
      <c r="J292" s="86"/>
      <c r="K292" s="86"/>
      <c r="L292" s="86"/>
      <c r="M292" s="86"/>
      <c r="N292" s="86"/>
      <c r="O292" s="86"/>
      <c r="P292" s="87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  <c r="AM292" s="81"/>
      <c r="AN292" s="81"/>
      <c r="AO292" s="81"/>
      <c r="AP292" s="81"/>
      <c r="AQ292" s="81"/>
      <c r="AR292" s="81"/>
    </row>
    <row r="293" spans="1:44" ht="14.6" customHeight="1" x14ac:dyDescent="0.4">
      <c r="A293" s="5" t="str">
        <f t="shared" si="35"/>
        <v>FA-MENE DE MAUROA (MAUROA)</v>
      </c>
      <c r="B293" s="5" t="str">
        <f t="shared" si="36"/>
        <v>FA</v>
      </c>
      <c r="C293" s="83" t="s">
        <v>1024</v>
      </c>
      <c r="D293" s="82" t="s">
        <v>1061</v>
      </c>
      <c r="E293" s="85">
        <v>46</v>
      </c>
      <c r="F293" s="85"/>
      <c r="G293" s="86"/>
      <c r="H293" s="86"/>
      <c r="I293" s="86"/>
      <c r="J293" s="86"/>
      <c r="K293" s="86"/>
      <c r="L293" s="86"/>
      <c r="M293" s="86"/>
      <c r="N293" s="86"/>
      <c r="O293" s="86"/>
      <c r="P293" s="87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  <c r="AO293" s="81"/>
      <c r="AP293" s="81"/>
      <c r="AQ293" s="81"/>
      <c r="AR293" s="81"/>
    </row>
    <row r="294" spans="1:44" ht="14.6" customHeight="1" x14ac:dyDescent="0.4">
      <c r="A294" s="5" t="str">
        <f t="shared" si="35"/>
        <v>FA-MITARE</v>
      </c>
      <c r="B294" s="5" t="str">
        <f t="shared" si="36"/>
        <v>FA</v>
      </c>
      <c r="C294" s="83" t="s">
        <v>1024</v>
      </c>
      <c r="D294" s="82" t="s">
        <v>1062</v>
      </c>
      <c r="E294" s="85">
        <v>2</v>
      </c>
      <c r="F294" s="85"/>
      <c r="G294" s="86"/>
      <c r="H294" s="86"/>
      <c r="I294" s="86"/>
      <c r="J294" s="86"/>
      <c r="K294" s="86"/>
      <c r="L294" s="86"/>
      <c r="M294" s="86"/>
      <c r="N294" s="86"/>
      <c r="O294" s="86"/>
      <c r="P294" s="87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  <c r="AO294" s="81"/>
      <c r="AP294" s="81"/>
      <c r="AQ294" s="81"/>
      <c r="AR294" s="81"/>
    </row>
    <row r="295" spans="1:44" ht="14.6" customHeight="1" x14ac:dyDescent="0.4">
      <c r="A295" s="5" t="str">
        <f t="shared" si="35"/>
        <v>FA-MORUY</v>
      </c>
      <c r="B295" s="5" t="str">
        <f t="shared" si="36"/>
        <v>FA</v>
      </c>
      <c r="C295" s="83" t="s">
        <v>1024</v>
      </c>
      <c r="D295" s="82" t="s">
        <v>1063</v>
      </c>
      <c r="E295" s="85">
        <v>9</v>
      </c>
      <c r="F295" s="85"/>
      <c r="G295" s="86"/>
      <c r="H295" s="86"/>
      <c r="I295" s="86"/>
      <c r="J295" s="86"/>
      <c r="K295" s="86"/>
      <c r="L295" s="86"/>
      <c r="M295" s="86"/>
      <c r="N295" s="86"/>
      <c r="O295" s="86"/>
      <c r="P295" s="87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  <c r="AO295" s="81"/>
      <c r="AP295" s="81"/>
      <c r="AQ295" s="81"/>
      <c r="AR295" s="81"/>
    </row>
    <row r="296" spans="1:44" ht="14.6" customHeight="1" x14ac:dyDescent="0.4">
      <c r="A296" s="5" t="str">
        <f t="shared" si="35"/>
        <v>FA-PECAYA</v>
      </c>
      <c r="B296" s="5" t="str">
        <f t="shared" si="36"/>
        <v>FA</v>
      </c>
      <c r="C296" s="83" t="s">
        <v>1024</v>
      </c>
      <c r="D296" s="82" t="s">
        <v>1064</v>
      </c>
      <c r="E296" s="85">
        <v>11</v>
      </c>
      <c r="F296" s="85"/>
      <c r="G296" s="86"/>
      <c r="H296" s="86"/>
      <c r="I296" s="86"/>
      <c r="J296" s="86"/>
      <c r="K296" s="86"/>
      <c r="L296" s="86"/>
      <c r="M296" s="86"/>
      <c r="N296" s="86"/>
      <c r="O296" s="86"/>
      <c r="P296" s="87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  <c r="AO296" s="81"/>
      <c r="AP296" s="81"/>
      <c r="AQ296" s="81"/>
      <c r="AR296" s="81"/>
    </row>
    <row r="297" spans="1:44" ht="14.6" customHeight="1" x14ac:dyDescent="0.4">
      <c r="A297" s="5" t="str">
        <f t="shared" ref="A297:A313" si="37">+B297&amp;"-"&amp;D297</f>
        <v>FA-PEDREGAL (DEMOCRACIA)</v>
      </c>
      <c r="B297" s="5" t="str">
        <f t="shared" ref="B297:B313" si="38">+MID(C297,1,2)</f>
        <v>FA</v>
      </c>
      <c r="C297" s="83" t="s">
        <v>1024</v>
      </c>
      <c r="D297" s="82" t="s">
        <v>1065</v>
      </c>
      <c r="E297" s="85">
        <v>26</v>
      </c>
      <c r="F297" s="85"/>
      <c r="G297" s="86"/>
      <c r="H297" s="86"/>
      <c r="I297" s="86"/>
      <c r="J297" s="86"/>
      <c r="K297" s="86"/>
      <c r="L297" s="86"/>
      <c r="M297" s="86"/>
      <c r="N297" s="86"/>
      <c r="O297" s="86"/>
      <c r="P297" s="87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  <c r="AM297" s="81"/>
      <c r="AN297" s="81"/>
      <c r="AO297" s="81"/>
      <c r="AP297" s="81"/>
      <c r="AQ297" s="81"/>
      <c r="AR297" s="81"/>
    </row>
    <row r="298" spans="1:44" ht="14.6" customHeight="1" x14ac:dyDescent="0.4">
      <c r="A298" s="5" t="str">
        <f t="shared" si="37"/>
        <v>FA-PIEDRA GRANDE</v>
      </c>
      <c r="B298" s="5" t="str">
        <f t="shared" si="38"/>
        <v>FA</v>
      </c>
      <c r="C298" s="83" t="s">
        <v>1024</v>
      </c>
      <c r="D298" s="82" t="s">
        <v>1066</v>
      </c>
      <c r="E298" s="85">
        <v>10</v>
      </c>
      <c r="F298" s="85"/>
      <c r="G298" s="86"/>
      <c r="H298" s="86"/>
      <c r="I298" s="86"/>
      <c r="J298" s="86"/>
      <c r="K298" s="86"/>
      <c r="L298" s="86"/>
      <c r="M298" s="86"/>
      <c r="N298" s="86"/>
      <c r="O298" s="86"/>
      <c r="P298" s="87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  <c r="AM298" s="81"/>
      <c r="AN298" s="81"/>
      <c r="AO298" s="81"/>
      <c r="AP298" s="81"/>
      <c r="AQ298" s="81"/>
      <c r="AR298" s="81"/>
    </row>
    <row r="299" spans="1:44" ht="14.6" customHeight="1" x14ac:dyDescent="0.4">
      <c r="A299" s="5" t="str">
        <f t="shared" si="37"/>
        <v>FA-PIRITU</v>
      </c>
      <c r="B299" s="5" t="str">
        <f t="shared" si="38"/>
        <v>FA</v>
      </c>
      <c r="C299" s="83" t="s">
        <v>1024</v>
      </c>
      <c r="D299" s="82" t="s">
        <v>815</v>
      </c>
      <c r="E299" s="85">
        <v>27</v>
      </c>
      <c r="F299" s="85"/>
      <c r="G299" s="86"/>
      <c r="H299" s="86"/>
      <c r="I299" s="86"/>
      <c r="J299" s="86"/>
      <c r="K299" s="86"/>
      <c r="L299" s="86"/>
      <c r="M299" s="86"/>
      <c r="N299" s="86"/>
      <c r="O299" s="86"/>
      <c r="P299" s="87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  <c r="AM299" s="81"/>
      <c r="AN299" s="81"/>
      <c r="AO299" s="81"/>
      <c r="AP299" s="81"/>
      <c r="AQ299" s="81"/>
      <c r="AR299" s="81"/>
    </row>
    <row r="300" spans="1:44" ht="14.6" customHeight="1" x14ac:dyDescent="0.4">
      <c r="A300" s="5" t="str">
        <f t="shared" si="37"/>
        <v>FA-PUEBLO CUMAREBO</v>
      </c>
      <c r="B300" s="5" t="str">
        <f t="shared" si="38"/>
        <v>FA</v>
      </c>
      <c r="C300" s="83" t="s">
        <v>1024</v>
      </c>
      <c r="D300" s="82" t="s">
        <v>1067</v>
      </c>
      <c r="E300" s="85">
        <v>10</v>
      </c>
      <c r="F300" s="85"/>
      <c r="G300" s="86"/>
      <c r="H300" s="86"/>
      <c r="I300" s="86"/>
      <c r="J300" s="86"/>
      <c r="K300" s="86"/>
      <c r="L300" s="86"/>
      <c r="M300" s="86"/>
      <c r="N300" s="86"/>
      <c r="O300" s="86"/>
      <c r="P300" s="87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  <c r="AN300" s="81"/>
      <c r="AO300" s="81"/>
      <c r="AP300" s="81"/>
      <c r="AQ300" s="81"/>
      <c r="AR300" s="81"/>
    </row>
    <row r="301" spans="1:44" ht="14.6" customHeight="1" x14ac:dyDescent="0.4">
      <c r="A301" s="5" t="str">
        <f t="shared" si="37"/>
        <v>FA-PUEBLO NUEVO</v>
      </c>
      <c r="B301" s="5" t="str">
        <f t="shared" si="38"/>
        <v>FA</v>
      </c>
      <c r="C301" s="83" t="s">
        <v>1024</v>
      </c>
      <c r="D301" s="82" t="s">
        <v>1068</v>
      </c>
      <c r="E301" s="85">
        <v>13</v>
      </c>
      <c r="F301" s="85"/>
      <c r="G301" s="86"/>
      <c r="H301" s="86"/>
      <c r="I301" s="86"/>
      <c r="J301" s="86"/>
      <c r="K301" s="86"/>
      <c r="L301" s="86"/>
      <c r="M301" s="86"/>
      <c r="N301" s="86"/>
      <c r="O301" s="86"/>
      <c r="P301" s="87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  <c r="AM301" s="81"/>
      <c r="AN301" s="81"/>
      <c r="AO301" s="81"/>
      <c r="AP301" s="81"/>
      <c r="AQ301" s="81"/>
      <c r="AR301" s="81"/>
    </row>
    <row r="302" spans="1:44" ht="14.6" customHeight="1" x14ac:dyDescent="0.4">
      <c r="A302" s="5" t="str">
        <f t="shared" si="37"/>
        <v>FA-PUEBLO NUEVO (FALCON)</v>
      </c>
      <c r="B302" s="5" t="str">
        <f t="shared" si="38"/>
        <v>FA</v>
      </c>
      <c r="C302" s="83" t="s">
        <v>1024</v>
      </c>
      <c r="D302" s="82" t="s">
        <v>1069</v>
      </c>
      <c r="E302" s="85">
        <v>50</v>
      </c>
      <c r="F302" s="85"/>
      <c r="G302" s="86"/>
      <c r="H302" s="86"/>
      <c r="I302" s="86"/>
      <c r="J302" s="86"/>
      <c r="K302" s="86"/>
      <c r="L302" s="86"/>
      <c r="M302" s="86"/>
      <c r="N302" s="86"/>
      <c r="O302" s="86"/>
      <c r="P302" s="87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  <c r="AO302" s="81"/>
      <c r="AP302" s="81"/>
      <c r="AQ302" s="81"/>
      <c r="AR302" s="81"/>
    </row>
    <row r="303" spans="1:44" ht="14.6" customHeight="1" x14ac:dyDescent="0.4">
      <c r="A303" s="5" t="str">
        <f t="shared" si="37"/>
        <v>FA-PUERTO CUMAREBO (ZAMORA)</v>
      </c>
      <c r="B303" s="5" t="str">
        <f t="shared" si="38"/>
        <v>FA</v>
      </c>
      <c r="C303" s="83" t="s">
        <v>1024</v>
      </c>
      <c r="D303" s="82" t="s">
        <v>1070</v>
      </c>
      <c r="E303" s="85">
        <v>84</v>
      </c>
      <c r="F303" s="85"/>
      <c r="G303" s="86"/>
      <c r="H303" s="86"/>
      <c r="I303" s="86"/>
      <c r="J303" s="86"/>
      <c r="K303" s="86"/>
      <c r="L303" s="86"/>
      <c r="M303" s="86"/>
      <c r="N303" s="86"/>
      <c r="O303" s="86"/>
      <c r="P303" s="87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  <c r="AM303" s="81"/>
      <c r="AN303" s="81"/>
      <c r="AO303" s="81"/>
      <c r="AP303" s="81"/>
      <c r="AQ303" s="81"/>
      <c r="AR303" s="81"/>
    </row>
    <row r="304" spans="1:44" ht="14.6" customHeight="1" x14ac:dyDescent="0.4">
      <c r="A304" s="5" t="str">
        <f t="shared" si="37"/>
        <v>FA-PUNTA CARDON</v>
      </c>
      <c r="B304" s="5" t="str">
        <f t="shared" si="38"/>
        <v>FA</v>
      </c>
      <c r="C304" s="83" t="s">
        <v>1024</v>
      </c>
      <c r="D304" s="82" t="s">
        <v>1071</v>
      </c>
      <c r="E304" s="85">
        <v>334</v>
      </c>
      <c r="F304" s="85"/>
      <c r="G304" s="86"/>
      <c r="H304" s="86"/>
      <c r="I304" s="86"/>
      <c r="J304" s="86"/>
      <c r="K304" s="86"/>
      <c r="L304" s="86"/>
      <c r="M304" s="86"/>
      <c r="N304" s="86"/>
      <c r="O304" s="86"/>
      <c r="P304" s="87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  <c r="AM304" s="81"/>
      <c r="AN304" s="81"/>
      <c r="AO304" s="81"/>
      <c r="AP304" s="81"/>
      <c r="AQ304" s="81"/>
      <c r="AR304" s="81"/>
    </row>
    <row r="305" spans="1:44" ht="14.6" customHeight="1" x14ac:dyDescent="0.4">
      <c r="A305" s="5" t="str">
        <f t="shared" si="37"/>
        <v>FA-PUNTO FIJO (CARIRURAMA)</v>
      </c>
      <c r="B305" s="5" t="str">
        <f t="shared" si="38"/>
        <v>FA</v>
      </c>
      <c r="C305" s="83" t="s">
        <v>1024</v>
      </c>
      <c r="D305" s="82" t="s">
        <v>1072</v>
      </c>
      <c r="E305" s="85">
        <v>249</v>
      </c>
      <c r="F305" s="85"/>
      <c r="G305" s="86"/>
      <c r="H305" s="86"/>
      <c r="I305" s="86"/>
      <c r="J305" s="86"/>
      <c r="K305" s="86"/>
      <c r="L305" s="86"/>
      <c r="M305" s="86"/>
      <c r="N305" s="86"/>
      <c r="O305" s="86"/>
      <c r="P305" s="87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  <c r="AM305" s="81"/>
      <c r="AN305" s="81"/>
      <c r="AO305" s="81"/>
      <c r="AP305" s="81"/>
      <c r="AQ305" s="81"/>
      <c r="AR305" s="81"/>
    </row>
    <row r="306" spans="1:44" ht="14.6" customHeight="1" x14ac:dyDescent="0.4">
      <c r="A306" s="5" t="str">
        <f t="shared" si="37"/>
        <v>FA-SABANETA</v>
      </c>
      <c r="B306" s="5" t="str">
        <f t="shared" si="38"/>
        <v>FA</v>
      </c>
      <c r="C306" s="83" t="s">
        <v>1024</v>
      </c>
      <c r="D306" s="82" t="s">
        <v>924</v>
      </c>
      <c r="E306" s="85">
        <v>12</v>
      </c>
      <c r="F306" s="85"/>
      <c r="G306" s="86"/>
      <c r="H306" s="86"/>
      <c r="I306" s="86"/>
      <c r="J306" s="86"/>
      <c r="K306" s="86"/>
      <c r="L306" s="86"/>
      <c r="M306" s="86"/>
      <c r="N306" s="86"/>
      <c r="O306" s="86"/>
      <c r="P306" s="87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  <c r="AM306" s="81"/>
      <c r="AN306" s="81"/>
      <c r="AO306" s="81"/>
      <c r="AP306" s="81"/>
      <c r="AQ306" s="81"/>
      <c r="AR306" s="81"/>
    </row>
    <row r="307" spans="1:44" ht="14.6" customHeight="1" x14ac:dyDescent="0.4">
      <c r="A307" s="5" t="str">
        <f t="shared" si="37"/>
        <v>FA-SAN ANTONIO</v>
      </c>
      <c r="B307" s="5" t="str">
        <f t="shared" si="38"/>
        <v>FA</v>
      </c>
      <c r="C307" s="83" t="s">
        <v>1024</v>
      </c>
      <c r="D307" s="82" t="s">
        <v>925</v>
      </c>
      <c r="E307" s="85">
        <v>726</v>
      </c>
      <c r="F307" s="85"/>
      <c r="G307" s="86"/>
      <c r="H307" s="86"/>
      <c r="I307" s="86"/>
      <c r="J307" s="86"/>
      <c r="K307" s="86"/>
      <c r="L307" s="86"/>
      <c r="M307" s="86"/>
      <c r="N307" s="86"/>
      <c r="O307" s="86"/>
      <c r="P307" s="87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  <c r="AL307" s="81"/>
      <c r="AM307" s="81"/>
      <c r="AN307" s="81"/>
      <c r="AO307" s="81"/>
      <c r="AP307" s="81"/>
      <c r="AQ307" s="81"/>
      <c r="AR307" s="81"/>
    </row>
    <row r="308" spans="1:44" ht="14.6" customHeight="1" x14ac:dyDescent="0.4">
      <c r="A308" s="5" t="str">
        <f t="shared" si="37"/>
        <v>FA-SAN FELIX</v>
      </c>
      <c r="B308" s="5" t="str">
        <f t="shared" si="38"/>
        <v>FA</v>
      </c>
      <c r="C308" s="83" t="s">
        <v>1024</v>
      </c>
      <c r="D308" s="82" t="s">
        <v>947</v>
      </c>
      <c r="E308" s="85">
        <v>2</v>
      </c>
      <c r="F308" s="85"/>
      <c r="G308" s="86"/>
      <c r="H308" s="86"/>
      <c r="I308" s="86"/>
      <c r="J308" s="86"/>
      <c r="K308" s="86"/>
      <c r="L308" s="86"/>
      <c r="M308" s="86"/>
      <c r="N308" s="86"/>
      <c r="O308" s="86"/>
      <c r="P308" s="87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  <c r="AJ308" s="81"/>
      <c r="AK308" s="81"/>
      <c r="AL308" s="81"/>
      <c r="AM308" s="81"/>
      <c r="AN308" s="81"/>
      <c r="AO308" s="81"/>
      <c r="AP308" s="81"/>
      <c r="AQ308" s="81"/>
      <c r="AR308" s="81"/>
    </row>
    <row r="309" spans="1:44" ht="14.6" customHeight="1" x14ac:dyDescent="0.4">
      <c r="A309" s="5" t="str">
        <f t="shared" si="37"/>
        <v>FA-SAN FRANCISCO</v>
      </c>
      <c r="B309" s="5" t="str">
        <f t="shared" si="38"/>
        <v>FA</v>
      </c>
      <c r="C309" s="83" t="s">
        <v>1024</v>
      </c>
      <c r="D309" s="82" t="s">
        <v>1073</v>
      </c>
      <c r="E309" s="85">
        <v>45</v>
      </c>
      <c r="F309" s="85"/>
      <c r="G309" s="86"/>
      <c r="H309" s="86"/>
      <c r="I309" s="86"/>
      <c r="J309" s="86"/>
      <c r="K309" s="86"/>
      <c r="L309" s="86"/>
      <c r="M309" s="86"/>
      <c r="N309" s="86"/>
      <c r="O309" s="86"/>
      <c r="P309" s="87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  <c r="AJ309" s="81"/>
      <c r="AK309" s="81"/>
      <c r="AL309" s="81"/>
      <c r="AM309" s="81"/>
      <c r="AN309" s="81"/>
      <c r="AO309" s="81"/>
      <c r="AP309" s="81"/>
      <c r="AQ309" s="81"/>
      <c r="AR309" s="81"/>
    </row>
    <row r="310" spans="1:44" ht="14.6" customHeight="1" x14ac:dyDescent="0.4">
      <c r="A310" s="5" t="str">
        <f t="shared" si="37"/>
        <v>FA-SAN GABRIEL</v>
      </c>
      <c r="B310" s="5" t="str">
        <f t="shared" si="38"/>
        <v>FA</v>
      </c>
      <c r="C310" s="83" t="s">
        <v>1024</v>
      </c>
      <c r="D310" s="82" t="s">
        <v>1074</v>
      </c>
      <c r="E310" s="85">
        <v>164</v>
      </c>
      <c r="F310" s="85"/>
      <c r="G310" s="86"/>
      <c r="H310" s="86"/>
      <c r="I310" s="86"/>
      <c r="J310" s="86"/>
      <c r="K310" s="86"/>
      <c r="L310" s="86"/>
      <c r="M310" s="86"/>
      <c r="N310" s="86"/>
      <c r="O310" s="86"/>
      <c r="P310" s="87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81"/>
      <c r="AK310" s="81"/>
      <c r="AL310" s="81"/>
      <c r="AM310" s="81"/>
      <c r="AN310" s="81"/>
      <c r="AO310" s="81"/>
      <c r="AP310" s="81"/>
      <c r="AQ310" s="81"/>
      <c r="AR310" s="81"/>
    </row>
    <row r="311" spans="1:44" ht="14.6" customHeight="1" x14ac:dyDescent="0.4">
      <c r="A311" s="5" t="str">
        <f t="shared" si="37"/>
        <v>FA-SAN JOSE DE LA COSTA</v>
      </c>
      <c r="B311" s="5" t="str">
        <f t="shared" si="38"/>
        <v>FA</v>
      </c>
      <c r="C311" s="83" t="s">
        <v>1024</v>
      </c>
      <c r="D311" s="82" t="s">
        <v>1075</v>
      </c>
      <c r="E311" s="85">
        <v>6</v>
      </c>
      <c r="F311" s="85"/>
      <c r="G311" s="86"/>
      <c r="H311" s="86"/>
      <c r="I311" s="86"/>
      <c r="J311" s="86"/>
      <c r="K311" s="86"/>
      <c r="L311" s="86"/>
      <c r="M311" s="86"/>
      <c r="N311" s="86"/>
      <c r="O311" s="86"/>
      <c r="P311" s="87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  <c r="AO311" s="81"/>
      <c r="AP311" s="81"/>
      <c r="AQ311" s="81"/>
      <c r="AR311" s="81"/>
    </row>
    <row r="312" spans="1:44" ht="14.6" customHeight="1" x14ac:dyDescent="0.4">
      <c r="A312" s="5" t="str">
        <f t="shared" si="37"/>
        <v>FA-SAN JUAN DE LOS CAYOS</v>
      </c>
      <c r="B312" s="5" t="str">
        <f t="shared" si="38"/>
        <v>FA</v>
      </c>
      <c r="C312" s="83" t="s">
        <v>1024</v>
      </c>
      <c r="D312" s="82" t="s">
        <v>1076</v>
      </c>
      <c r="E312" s="85">
        <v>16</v>
      </c>
      <c r="F312" s="85"/>
      <c r="G312" s="86"/>
      <c r="H312" s="86"/>
      <c r="I312" s="86"/>
      <c r="J312" s="86"/>
      <c r="K312" s="86"/>
      <c r="L312" s="86"/>
      <c r="M312" s="86"/>
      <c r="N312" s="86"/>
      <c r="O312" s="86"/>
      <c r="P312" s="87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81"/>
      <c r="AK312" s="81"/>
      <c r="AL312" s="81"/>
      <c r="AM312" s="81"/>
      <c r="AN312" s="81"/>
      <c r="AO312" s="81"/>
      <c r="AP312" s="81"/>
      <c r="AQ312" s="81"/>
      <c r="AR312" s="81"/>
    </row>
    <row r="313" spans="1:44" ht="14.6" customHeight="1" x14ac:dyDescent="0.4">
      <c r="A313" s="5" t="str">
        <f t="shared" si="37"/>
        <v>FA-SAN LUIS (BOLIVAR)</v>
      </c>
      <c r="B313" s="5" t="str">
        <f t="shared" si="38"/>
        <v>FA</v>
      </c>
      <c r="C313" s="83" t="s">
        <v>1024</v>
      </c>
      <c r="D313" s="82" t="s">
        <v>1077</v>
      </c>
      <c r="E313" s="85">
        <v>14</v>
      </c>
      <c r="F313" s="85"/>
      <c r="G313" s="86"/>
      <c r="H313" s="86"/>
      <c r="I313" s="86"/>
      <c r="J313" s="86"/>
      <c r="K313" s="86"/>
      <c r="L313" s="86"/>
      <c r="M313" s="86"/>
      <c r="N313" s="86"/>
      <c r="O313" s="86"/>
      <c r="P313" s="87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81"/>
      <c r="AK313" s="81"/>
      <c r="AL313" s="81"/>
      <c r="AM313" s="81"/>
      <c r="AN313" s="81"/>
      <c r="AO313" s="81"/>
      <c r="AP313" s="81"/>
      <c r="AQ313" s="81"/>
      <c r="AR313" s="81"/>
    </row>
    <row r="314" spans="1:44" x14ac:dyDescent="0.4">
      <c r="A314" s="5" t="str">
        <f t="shared" ref="A314:A377" si="39">+B314&amp;"-"&amp;D314</f>
        <v>FA-SANTA ANA</v>
      </c>
      <c r="B314" s="5" t="str">
        <f t="shared" ref="B314:B377" si="40">+MID(C314,1,2)</f>
        <v>FA</v>
      </c>
      <c r="C314" s="83" t="s">
        <v>1024</v>
      </c>
      <c r="D314" s="82" t="s">
        <v>768</v>
      </c>
      <c r="E314" s="85">
        <v>75</v>
      </c>
      <c r="F314" s="85"/>
      <c r="G314" s="86"/>
      <c r="H314" s="86"/>
      <c r="I314" s="86"/>
      <c r="J314" s="86"/>
      <c r="K314" s="86"/>
      <c r="L314" s="86"/>
      <c r="M314" s="86"/>
      <c r="N314" s="86"/>
      <c r="O314" s="86"/>
      <c r="P314" s="87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  <c r="AM314" s="81"/>
      <c r="AN314" s="81"/>
      <c r="AO314" s="81"/>
      <c r="AP314" s="81"/>
      <c r="AQ314" s="81"/>
      <c r="AR314" s="81"/>
    </row>
    <row r="315" spans="1:44" x14ac:dyDescent="0.4">
      <c r="A315" s="5" t="str">
        <f t="shared" si="39"/>
        <v>FA-SANTA ANA</v>
      </c>
      <c r="B315" s="5" t="str">
        <f t="shared" si="40"/>
        <v>FA</v>
      </c>
      <c r="C315" s="83" t="s">
        <v>1024</v>
      </c>
      <c r="D315" s="82" t="s">
        <v>768</v>
      </c>
      <c r="E315" s="85">
        <v>27</v>
      </c>
      <c r="F315" s="85"/>
      <c r="G315" s="86"/>
      <c r="H315" s="86"/>
      <c r="I315" s="86"/>
      <c r="J315" s="86"/>
      <c r="K315" s="86"/>
      <c r="L315" s="86"/>
      <c r="M315" s="86"/>
      <c r="N315" s="86"/>
      <c r="O315" s="86"/>
      <c r="P315" s="87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  <c r="AM315" s="81"/>
      <c r="AN315" s="81"/>
      <c r="AO315" s="81"/>
      <c r="AP315" s="81"/>
      <c r="AQ315" s="81"/>
      <c r="AR315" s="81"/>
    </row>
    <row r="316" spans="1:44" x14ac:dyDescent="0.4">
      <c r="A316" s="5" t="str">
        <f t="shared" si="39"/>
        <v>FA-SEQUE</v>
      </c>
      <c r="B316" s="5" t="str">
        <f t="shared" si="40"/>
        <v>FA</v>
      </c>
      <c r="C316" s="83" t="s">
        <v>1024</v>
      </c>
      <c r="D316" s="82" t="s">
        <v>1078</v>
      </c>
      <c r="E316" s="85">
        <v>5</v>
      </c>
      <c r="F316" s="85"/>
      <c r="G316" s="86"/>
      <c r="H316" s="86"/>
      <c r="I316" s="86"/>
      <c r="J316" s="86"/>
      <c r="K316" s="86"/>
      <c r="L316" s="86"/>
      <c r="M316" s="86"/>
      <c r="N316" s="86"/>
      <c r="O316" s="86"/>
      <c r="P316" s="87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  <c r="AM316" s="81"/>
      <c r="AN316" s="81"/>
      <c r="AO316" s="81"/>
      <c r="AP316" s="81"/>
      <c r="AQ316" s="81"/>
      <c r="AR316" s="81"/>
    </row>
    <row r="317" spans="1:44" x14ac:dyDescent="0.4">
      <c r="A317" s="5" t="str">
        <f t="shared" si="39"/>
        <v>FA-SUCRE</v>
      </c>
      <c r="B317" s="5" t="str">
        <f t="shared" si="40"/>
        <v>FA</v>
      </c>
      <c r="C317" s="83" t="s">
        <v>1024</v>
      </c>
      <c r="D317" s="82" t="s">
        <v>829</v>
      </c>
      <c r="E317" s="85">
        <v>19</v>
      </c>
      <c r="F317" s="85"/>
      <c r="G317" s="86"/>
      <c r="H317" s="86"/>
      <c r="I317" s="86"/>
      <c r="J317" s="86"/>
      <c r="K317" s="86"/>
      <c r="L317" s="86"/>
      <c r="M317" s="86"/>
      <c r="N317" s="86"/>
      <c r="O317" s="86"/>
      <c r="P317" s="87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  <c r="AM317" s="81"/>
      <c r="AN317" s="81"/>
      <c r="AO317" s="81"/>
      <c r="AP317" s="81"/>
      <c r="AQ317" s="81"/>
      <c r="AR317" s="81"/>
    </row>
    <row r="318" spans="1:44" x14ac:dyDescent="0.4">
      <c r="A318" s="5" t="str">
        <f t="shared" si="39"/>
        <v>FA-TOCOPERO</v>
      </c>
      <c r="B318" s="5" t="str">
        <f t="shared" si="40"/>
        <v>FA</v>
      </c>
      <c r="C318" s="83" t="s">
        <v>1024</v>
      </c>
      <c r="D318" s="82" t="s">
        <v>1079</v>
      </c>
      <c r="E318" s="85">
        <v>22</v>
      </c>
      <c r="F318" s="85"/>
      <c r="G318" s="86"/>
      <c r="H318" s="86"/>
      <c r="I318" s="86"/>
      <c r="J318" s="86"/>
      <c r="K318" s="86"/>
      <c r="L318" s="86"/>
      <c r="M318" s="86"/>
      <c r="N318" s="86"/>
      <c r="O318" s="86"/>
      <c r="P318" s="87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  <c r="AJ318" s="81"/>
      <c r="AK318" s="81"/>
      <c r="AL318" s="81"/>
      <c r="AM318" s="81"/>
      <c r="AN318" s="81"/>
      <c r="AO318" s="81"/>
      <c r="AP318" s="81"/>
      <c r="AQ318" s="81"/>
      <c r="AR318" s="81"/>
    </row>
    <row r="319" spans="1:44" x14ac:dyDescent="0.4">
      <c r="A319" s="5" t="str">
        <f t="shared" si="39"/>
        <v>FA-TOCUYO DE LA COSTA</v>
      </c>
      <c r="B319" s="5" t="str">
        <f t="shared" si="40"/>
        <v>FA</v>
      </c>
      <c r="C319" s="83" t="s">
        <v>1024</v>
      </c>
      <c r="D319" s="82" t="s">
        <v>1080</v>
      </c>
      <c r="E319" s="85">
        <v>22</v>
      </c>
      <c r="F319" s="85"/>
      <c r="G319" s="86"/>
      <c r="H319" s="86"/>
      <c r="I319" s="86"/>
      <c r="J319" s="86"/>
      <c r="K319" s="86"/>
      <c r="L319" s="86"/>
      <c r="M319" s="86"/>
      <c r="N319" s="86"/>
      <c r="O319" s="86"/>
      <c r="P319" s="87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  <c r="AJ319" s="81"/>
      <c r="AK319" s="81"/>
      <c r="AL319" s="81"/>
      <c r="AM319" s="81"/>
      <c r="AN319" s="81"/>
      <c r="AO319" s="81"/>
      <c r="AP319" s="81"/>
      <c r="AQ319" s="81"/>
      <c r="AR319" s="81"/>
    </row>
    <row r="320" spans="1:44" x14ac:dyDescent="0.4">
      <c r="A320" s="5" t="str">
        <f t="shared" si="39"/>
        <v>FA-TUCACAS (SILVA)</v>
      </c>
      <c r="B320" s="5" t="str">
        <f t="shared" si="40"/>
        <v>FA</v>
      </c>
      <c r="C320" s="83" t="s">
        <v>1024</v>
      </c>
      <c r="D320" s="82" t="s">
        <v>1081</v>
      </c>
      <c r="E320" s="85">
        <v>70</v>
      </c>
      <c r="F320" s="85"/>
      <c r="G320" s="86"/>
      <c r="H320" s="86"/>
      <c r="I320" s="86"/>
      <c r="J320" s="86"/>
      <c r="K320" s="86"/>
      <c r="L320" s="86"/>
      <c r="M320" s="86"/>
      <c r="N320" s="86"/>
      <c r="O320" s="86"/>
      <c r="P320" s="87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81"/>
      <c r="AK320" s="81"/>
      <c r="AL320" s="81"/>
      <c r="AM320" s="81"/>
      <c r="AN320" s="81"/>
      <c r="AO320" s="81"/>
      <c r="AP320" s="81"/>
      <c r="AQ320" s="81"/>
      <c r="AR320" s="81"/>
    </row>
    <row r="321" spans="1:44" x14ac:dyDescent="0.4">
      <c r="A321" s="5" t="str">
        <f t="shared" si="39"/>
        <v>FA-UNION</v>
      </c>
      <c r="B321" s="5" t="str">
        <f t="shared" si="40"/>
        <v>FA</v>
      </c>
      <c r="C321" s="83" t="s">
        <v>1024</v>
      </c>
      <c r="D321" s="82" t="s">
        <v>984</v>
      </c>
      <c r="E321" s="85">
        <v>15</v>
      </c>
      <c r="F321" s="85"/>
      <c r="G321" s="86"/>
      <c r="H321" s="86"/>
      <c r="I321" s="86"/>
      <c r="J321" s="86"/>
      <c r="K321" s="86"/>
      <c r="L321" s="86"/>
      <c r="M321" s="86"/>
      <c r="N321" s="86"/>
      <c r="O321" s="86"/>
      <c r="P321" s="87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  <c r="AJ321" s="81"/>
      <c r="AK321" s="81"/>
      <c r="AL321" s="81"/>
      <c r="AM321" s="81"/>
      <c r="AN321" s="81"/>
      <c r="AO321" s="81"/>
      <c r="AP321" s="81"/>
      <c r="AQ321" s="81"/>
      <c r="AR321" s="81"/>
    </row>
    <row r="322" spans="1:44" x14ac:dyDescent="0.4">
      <c r="A322" s="5" t="str">
        <f t="shared" si="39"/>
        <v>FA-URUMACO</v>
      </c>
      <c r="B322" s="5" t="str">
        <f t="shared" si="40"/>
        <v>FA</v>
      </c>
      <c r="C322" s="83" t="s">
        <v>1024</v>
      </c>
      <c r="D322" s="82" t="s">
        <v>1082</v>
      </c>
      <c r="E322" s="85">
        <v>12</v>
      </c>
      <c r="F322" s="85"/>
      <c r="G322" s="86"/>
      <c r="H322" s="86"/>
      <c r="I322" s="86"/>
      <c r="J322" s="86"/>
      <c r="K322" s="86"/>
      <c r="L322" s="86"/>
      <c r="M322" s="86"/>
      <c r="N322" s="86"/>
      <c r="O322" s="86"/>
      <c r="P322" s="87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  <c r="AJ322" s="81"/>
      <c r="AK322" s="81"/>
      <c r="AL322" s="81"/>
      <c r="AM322" s="81"/>
      <c r="AN322" s="81"/>
      <c r="AO322" s="81"/>
      <c r="AP322" s="81"/>
      <c r="AQ322" s="81"/>
      <c r="AR322" s="81"/>
    </row>
    <row r="323" spans="1:44" x14ac:dyDescent="0.4">
      <c r="A323" s="5" t="str">
        <f t="shared" si="39"/>
        <v>FA-ZAZARIDA</v>
      </c>
      <c r="B323" s="5" t="str">
        <f t="shared" si="40"/>
        <v>FA</v>
      </c>
      <c r="C323" s="83" t="s">
        <v>1024</v>
      </c>
      <c r="D323" s="82" t="s">
        <v>1083</v>
      </c>
      <c r="E323" s="85">
        <v>10</v>
      </c>
      <c r="F323" s="85"/>
      <c r="G323" s="86"/>
      <c r="H323" s="86"/>
      <c r="I323" s="86"/>
      <c r="J323" s="86"/>
      <c r="K323" s="86"/>
      <c r="L323" s="86"/>
      <c r="M323" s="86"/>
      <c r="N323" s="86"/>
      <c r="O323" s="86"/>
      <c r="P323" s="87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  <c r="AJ323" s="81"/>
      <c r="AK323" s="81"/>
      <c r="AL323" s="81"/>
      <c r="AM323" s="81"/>
      <c r="AN323" s="81"/>
      <c r="AO323" s="81"/>
      <c r="AP323" s="81"/>
      <c r="AQ323" s="81"/>
      <c r="AR323" s="81"/>
    </row>
    <row r="324" spans="1:44" ht="14.6" customHeight="1" x14ac:dyDescent="0.4">
      <c r="A324" s="5" t="str">
        <f t="shared" si="39"/>
        <v>GU-ALTAGRACIA DE ORITUCO
(MONAGAS)</v>
      </c>
      <c r="B324" s="5" t="str">
        <f t="shared" si="40"/>
        <v>GU</v>
      </c>
      <c r="C324" s="83" t="s">
        <v>1084</v>
      </c>
      <c r="D324" s="84" t="s">
        <v>1085</v>
      </c>
      <c r="E324" s="85">
        <v>282</v>
      </c>
      <c r="F324" s="85"/>
      <c r="G324" s="86"/>
      <c r="H324" s="86"/>
      <c r="I324" s="86"/>
      <c r="J324" s="86"/>
      <c r="K324" s="86"/>
      <c r="L324" s="86"/>
      <c r="M324" s="86"/>
      <c r="N324" s="86"/>
      <c r="O324" s="86"/>
      <c r="P324" s="87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  <c r="AJ324" s="81"/>
      <c r="AK324" s="81"/>
      <c r="AL324" s="81"/>
      <c r="AM324" s="81"/>
      <c r="AN324" s="81"/>
      <c r="AO324" s="81"/>
      <c r="AP324" s="81"/>
      <c r="AQ324" s="81"/>
      <c r="AR324" s="81"/>
    </row>
    <row r="325" spans="1:44" x14ac:dyDescent="0.4">
      <c r="A325" s="5" t="str">
        <f t="shared" si="39"/>
        <v>GU-CABRUTA</v>
      </c>
      <c r="B325" s="5" t="str">
        <f t="shared" si="40"/>
        <v>GU</v>
      </c>
      <c r="C325" s="83" t="s">
        <v>1084</v>
      </c>
      <c r="D325" s="82" t="s">
        <v>1086</v>
      </c>
      <c r="E325" s="85">
        <v>23</v>
      </c>
      <c r="F325" s="85"/>
      <c r="G325" s="86"/>
      <c r="H325" s="86"/>
      <c r="I325" s="86"/>
      <c r="J325" s="86"/>
      <c r="K325" s="86"/>
      <c r="L325" s="86"/>
      <c r="M325" s="86"/>
      <c r="N325" s="86"/>
      <c r="O325" s="86"/>
      <c r="P325" s="87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  <c r="AJ325" s="81"/>
      <c r="AK325" s="81"/>
      <c r="AL325" s="81"/>
      <c r="AM325" s="81"/>
      <c r="AN325" s="81"/>
      <c r="AO325" s="81"/>
      <c r="AP325" s="81"/>
      <c r="AQ325" s="81"/>
      <c r="AR325" s="81"/>
    </row>
    <row r="326" spans="1:44" x14ac:dyDescent="0.4">
      <c r="A326" s="5" t="str">
        <f t="shared" si="39"/>
        <v>GU-CALABOZO (MIRANDA)</v>
      </c>
      <c r="B326" s="5" t="str">
        <f t="shared" si="40"/>
        <v>GU</v>
      </c>
      <c r="C326" s="83" t="s">
        <v>1084</v>
      </c>
      <c r="D326" s="82" t="s">
        <v>1087</v>
      </c>
      <c r="E326" s="85">
        <v>520</v>
      </c>
      <c r="F326" s="85"/>
      <c r="G326" s="86"/>
      <c r="H326" s="86"/>
      <c r="I326" s="86"/>
      <c r="J326" s="86"/>
      <c r="K326" s="86"/>
      <c r="L326" s="86"/>
      <c r="M326" s="86"/>
      <c r="N326" s="86"/>
      <c r="O326" s="86"/>
      <c r="P326" s="87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  <c r="AJ326" s="81"/>
      <c r="AK326" s="81"/>
      <c r="AL326" s="81"/>
      <c r="AM326" s="81"/>
      <c r="AN326" s="81"/>
      <c r="AO326" s="81"/>
      <c r="AP326" s="81"/>
      <c r="AQ326" s="81"/>
      <c r="AR326" s="81"/>
    </row>
    <row r="327" spans="1:44" x14ac:dyDescent="0.4">
      <c r="A327" s="5" t="str">
        <f t="shared" si="39"/>
        <v>GU-CAMAGUAN</v>
      </c>
      <c r="B327" s="5" t="str">
        <f t="shared" si="40"/>
        <v>GU</v>
      </c>
      <c r="C327" s="83" t="s">
        <v>1084</v>
      </c>
      <c r="D327" s="82" t="s">
        <v>1088</v>
      </c>
      <c r="E327" s="85">
        <v>40</v>
      </c>
      <c r="F327" s="85"/>
      <c r="G327" s="86"/>
      <c r="H327" s="86"/>
      <c r="I327" s="86"/>
      <c r="J327" s="86"/>
      <c r="K327" s="86"/>
      <c r="L327" s="86"/>
      <c r="M327" s="86"/>
      <c r="N327" s="86"/>
      <c r="O327" s="86"/>
      <c r="P327" s="87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  <c r="AJ327" s="81"/>
      <c r="AK327" s="81"/>
      <c r="AL327" s="81"/>
      <c r="AM327" s="81"/>
      <c r="AN327" s="81"/>
      <c r="AO327" s="81"/>
      <c r="AP327" s="81"/>
      <c r="AQ327" s="81"/>
      <c r="AR327" s="81"/>
    </row>
    <row r="328" spans="1:44" x14ac:dyDescent="0.4">
      <c r="A328" s="5" t="str">
        <f t="shared" si="39"/>
        <v>GU-CANTAGALLO</v>
      </c>
      <c r="B328" s="5" t="str">
        <f t="shared" si="40"/>
        <v>GU</v>
      </c>
      <c r="C328" s="83" t="s">
        <v>1084</v>
      </c>
      <c r="D328" s="82" t="s">
        <v>1089</v>
      </c>
      <c r="E328" s="85">
        <v>1</v>
      </c>
      <c r="F328" s="85"/>
      <c r="G328" s="86"/>
      <c r="H328" s="86"/>
      <c r="I328" s="86"/>
      <c r="J328" s="86"/>
      <c r="K328" s="86"/>
      <c r="L328" s="86"/>
      <c r="M328" s="86"/>
      <c r="N328" s="86"/>
      <c r="O328" s="86"/>
      <c r="P328" s="87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  <c r="AJ328" s="81"/>
      <c r="AK328" s="81"/>
      <c r="AL328" s="81"/>
      <c r="AM328" s="81"/>
      <c r="AN328" s="81"/>
      <c r="AO328" s="81"/>
      <c r="AP328" s="81"/>
      <c r="AQ328" s="81"/>
      <c r="AR328" s="81"/>
    </row>
    <row r="329" spans="1:44" x14ac:dyDescent="0.4">
      <c r="A329" s="5" t="str">
        <f t="shared" si="39"/>
        <v>GU-CHAGUARAMAS</v>
      </c>
      <c r="B329" s="5" t="str">
        <f t="shared" si="40"/>
        <v>GU</v>
      </c>
      <c r="C329" s="83" t="s">
        <v>1084</v>
      </c>
      <c r="D329" s="82" t="s">
        <v>1090</v>
      </c>
      <c r="E329" s="85">
        <v>31</v>
      </c>
      <c r="F329" s="85"/>
      <c r="G329" s="86"/>
      <c r="H329" s="86"/>
      <c r="I329" s="86"/>
      <c r="J329" s="86"/>
      <c r="K329" s="86"/>
      <c r="L329" s="86"/>
      <c r="M329" s="86"/>
      <c r="N329" s="86"/>
      <c r="O329" s="86"/>
      <c r="P329" s="87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81"/>
      <c r="AK329" s="81"/>
      <c r="AL329" s="81"/>
      <c r="AM329" s="81"/>
      <c r="AN329" s="81"/>
      <c r="AO329" s="81"/>
      <c r="AP329" s="81"/>
      <c r="AQ329" s="81"/>
      <c r="AR329" s="81"/>
    </row>
    <row r="330" spans="1:44" x14ac:dyDescent="0.4">
      <c r="A330" s="5" t="str">
        <f t="shared" si="39"/>
        <v>GU-EL RASTRO</v>
      </c>
      <c r="B330" s="5" t="str">
        <f t="shared" si="40"/>
        <v>GU</v>
      </c>
      <c r="C330" s="83" t="s">
        <v>1084</v>
      </c>
      <c r="D330" s="82" t="s">
        <v>1091</v>
      </c>
      <c r="E330" s="85">
        <v>3</v>
      </c>
      <c r="F330" s="85"/>
      <c r="G330" s="86"/>
      <c r="H330" s="86"/>
      <c r="I330" s="86"/>
      <c r="J330" s="86"/>
      <c r="K330" s="86"/>
      <c r="L330" s="86"/>
      <c r="M330" s="86"/>
      <c r="N330" s="86"/>
      <c r="O330" s="86"/>
      <c r="P330" s="87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81"/>
      <c r="AK330" s="81"/>
      <c r="AL330" s="81"/>
      <c r="AM330" s="81"/>
      <c r="AN330" s="81"/>
      <c r="AO330" s="81"/>
      <c r="AP330" s="81"/>
      <c r="AQ330" s="81"/>
      <c r="AR330" s="81"/>
    </row>
    <row r="331" spans="1:44" x14ac:dyDescent="0.4">
      <c r="A331" s="5" t="str">
        <f t="shared" si="39"/>
        <v>GU-EL SOCORRO</v>
      </c>
      <c r="B331" s="5" t="str">
        <f t="shared" si="40"/>
        <v>GU</v>
      </c>
      <c r="C331" s="83" t="s">
        <v>1084</v>
      </c>
      <c r="D331" s="82" t="s">
        <v>963</v>
      </c>
      <c r="E331" s="85">
        <v>39</v>
      </c>
      <c r="F331" s="85"/>
      <c r="G331" s="86"/>
      <c r="H331" s="86"/>
      <c r="I331" s="86"/>
      <c r="J331" s="86"/>
      <c r="K331" s="86"/>
      <c r="L331" s="86"/>
      <c r="M331" s="86"/>
      <c r="N331" s="86"/>
      <c r="O331" s="86"/>
      <c r="P331" s="87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81"/>
      <c r="AK331" s="81"/>
      <c r="AL331" s="81"/>
      <c r="AM331" s="81"/>
      <c r="AN331" s="81"/>
      <c r="AO331" s="81"/>
      <c r="AP331" s="81"/>
      <c r="AQ331" s="81"/>
      <c r="AR331" s="81"/>
    </row>
    <row r="332" spans="1:44" x14ac:dyDescent="0.4">
      <c r="A332" s="5" t="str">
        <f t="shared" si="39"/>
        <v>GU-EL SOMBRERO</v>
      </c>
      <c r="B332" s="5" t="str">
        <f t="shared" si="40"/>
        <v>GU</v>
      </c>
      <c r="C332" s="83" t="s">
        <v>1084</v>
      </c>
      <c r="D332" s="82" t="s">
        <v>1092</v>
      </c>
      <c r="E332" s="85">
        <v>90</v>
      </c>
      <c r="F332" s="85"/>
      <c r="G332" s="86"/>
      <c r="H332" s="86"/>
      <c r="I332" s="86"/>
      <c r="J332" s="86"/>
      <c r="K332" s="86"/>
      <c r="L332" s="86"/>
      <c r="M332" s="86"/>
      <c r="N332" s="86"/>
      <c r="O332" s="86"/>
      <c r="P332" s="87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  <c r="AL332" s="81"/>
      <c r="AM332" s="81"/>
      <c r="AN332" s="81"/>
      <c r="AO332" s="81"/>
      <c r="AP332" s="81"/>
      <c r="AQ332" s="81"/>
      <c r="AR332" s="81"/>
    </row>
    <row r="333" spans="1:44" x14ac:dyDescent="0.4">
      <c r="A333" s="5" t="str">
        <f t="shared" si="39"/>
        <v>GU-ESPINO</v>
      </c>
      <c r="B333" s="5" t="str">
        <f t="shared" si="40"/>
        <v>GU</v>
      </c>
      <c r="C333" s="83" t="s">
        <v>1084</v>
      </c>
      <c r="D333" s="82" t="s">
        <v>1093</v>
      </c>
      <c r="E333" s="85">
        <v>8</v>
      </c>
      <c r="F333" s="85"/>
      <c r="G333" s="86"/>
      <c r="H333" s="86"/>
      <c r="I333" s="86"/>
      <c r="J333" s="86"/>
      <c r="K333" s="86"/>
      <c r="L333" s="86"/>
      <c r="M333" s="86"/>
      <c r="N333" s="86"/>
      <c r="O333" s="86"/>
      <c r="P333" s="87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81"/>
      <c r="AK333" s="81"/>
      <c r="AL333" s="81"/>
      <c r="AM333" s="81"/>
      <c r="AN333" s="81"/>
      <c r="AO333" s="81"/>
      <c r="AP333" s="81"/>
      <c r="AQ333" s="81"/>
      <c r="AR333" s="81"/>
    </row>
    <row r="334" spans="1:44" x14ac:dyDescent="0.4">
      <c r="A334" s="5" t="str">
        <f t="shared" si="39"/>
        <v>GU-GUARDATINAJAS</v>
      </c>
      <c r="B334" s="5" t="str">
        <f t="shared" si="40"/>
        <v>GU</v>
      </c>
      <c r="C334" s="83" t="s">
        <v>1084</v>
      </c>
      <c r="D334" s="82" t="s">
        <v>1094</v>
      </c>
      <c r="E334" s="85">
        <v>5</v>
      </c>
      <c r="F334" s="85"/>
      <c r="G334" s="86"/>
      <c r="H334" s="86"/>
      <c r="I334" s="86"/>
      <c r="J334" s="86"/>
      <c r="K334" s="86"/>
      <c r="L334" s="86"/>
      <c r="M334" s="86"/>
      <c r="N334" s="86"/>
      <c r="O334" s="86"/>
      <c r="P334" s="87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1"/>
      <c r="AI334" s="81"/>
      <c r="AJ334" s="81"/>
      <c r="AK334" s="81"/>
      <c r="AL334" s="81"/>
      <c r="AM334" s="81"/>
      <c r="AN334" s="81"/>
      <c r="AO334" s="81"/>
      <c r="AP334" s="81"/>
      <c r="AQ334" s="81"/>
      <c r="AR334" s="81"/>
    </row>
    <row r="335" spans="1:44" x14ac:dyDescent="0.4">
      <c r="A335" s="5" t="str">
        <f t="shared" si="39"/>
        <v>GU-GUAYABAL</v>
      </c>
      <c r="B335" s="5" t="str">
        <f t="shared" si="40"/>
        <v>GU</v>
      </c>
      <c r="C335" s="83" t="s">
        <v>1084</v>
      </c>
      <c r="D335" s="82" t="s">
        <v>1095</v>
      </c>
      <c r="E335" s="85">
        <v>15</v>
      </c>
      <c r="F335" s="85"/>
      <c r="G335" s="86"/>
      <c r="H335" s="86"/>
      <c r="I335" s="86"/>
      <c r="J335" s="86"/>
      <c r="K335" s="86"/>
      <c r="L335" s="86"/>
      <c r="M335" s="86"/>
      <c r="N335" s="86"/>
      <c r="O335" s="86"/>
      <c r="P335" s="87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  <c r="AJ335" s="81"/>
      <c r="AK335" s="81"/>
      <c r="AL335" s="81"/>
      <c r="AM335" s="81"/>
      <c r="AN335" s="81"/>
      <c r="AO335" s="81"/>
      <c r="AP335" s="81"/>
      <c r="AQ335" s="81"/>
      <c r="AR335" s="81"/>
    </row>
    <row r="336" spans="1:44" x14ac:dyDescent="0.4">
      <c r="A336" s="5" t="str">
        <f t="shared" si="39"/>
        <v>GU-LAS MERCEDES</v>
      </c>
      <c r="B336" s="5" t="str">
        <f t="shared" si="40"/>
        <v>GU</v>
      </c>
      <c r="C336" s="83" t="s">
        <v>1084</v>
      </c>
      <c r="D336" s="82" t="s">
        <v>1096</v>
      </c>
      <c r="E336" s="85">
        <v>57</v>
      </c>
      <c r="F336" s="85"/>
      <c r="G336" s="86"/>
      <c r="H336" s="86"/>
      <c r="I336" s="86"/>
      <c r="J336" s="86"/>
      <c r="K336" s="86"/>
      <c r="L336" s="86"/>
      <c r="M336" s="86"/>
      <c r="N336" s="86"/>
      <c r="O336" s="86"/>
      <c r="P336" s="87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  <c r="AJ336" s="81"/>
      <c r="AK336" s="81"/>
      <c r="AL336" s="81"/>
      <c r="AM336" s="81"/>
      <c r="AN336" s="81"/>
      <c r="AO336" s="81"/>
      <c r="AP336" s="81"/>
      <c r="AQ336" s="81"/>
      <c r="AR336" s="81"/>
    </row>
    <row r="337" spans="1:44" x14ac:dyDescent="0.4">
      <c r="A337" s="5" t="str">
        <f t="shared" si="39"/>
        <v>GU-LEZAMA</v>
      </c>
      <c r="B337" s="5" t="str">
        <f t="shared" si="40"/>
        <v>GU</v>
      </c>
      <c r="C337" s="83" t="s">
        <v>1084</v>
      </c>
      <c r="D337" s="82" t="s">
        <v>1097</v>
      </c>
      <c r="E337" s="85">
        <v>10</v>
      </c>
      <c r="F337" s="85"/>
      <c r="G337" s="86"/>
      <c r="H337" s="86"/>
      <c r="I337" s="86"/>
      <c r="J337" s="86"/>
      <c r="K337" s="86"/>
      <c r="L337" s="86"/>
      <c r="M337" s="86"/>
      <c r="N337" s="86"/>
      <c r="O337" s="86"/>
      <c r="P337" s="87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  <c r="AJ337" s="81"/>
      <c r="AK337" s="81"/>
      <c r="AL337" s="81"/>
      <c r="AM337" s="81"/>
      <c r="AN337" s="81"/>
      <c r="AO337" s="81"/>
      <c r="AP337" s="81"/>
      <c r="AQ337" s="81"/>
      <c r="AR337" s="81"/>
    </row>
    <row r="338" spans="1:44" x14ac:dyDescent="0.4">
      <c r="A338" s="5" t="str">
        <f t="shared" si="39"/>
        <v>GU-LIBERTAD DE ORITUCO</v>
      </c>
      <c r="B338" s="5" t="str">
        <f t="shared" si="40"/>
        <v>GU</v>
      </c>
      <c r="C338" s="83" t="s">
        <v>1084</v>
      </c>
      <c r="D338" s="82" t="s">
        <v>1098</v>
      </c>
      <c r="E338" s="85">
        <v>4</v>
      </c>
      <c r="F338" s="85"/>
      <c r="G338" s="86"/>
      <c r="H338" s="86"/>
      <c r="I338" s="86"/>
      <c r="J338" s="86"/>
      <c r="K338" s="86"/>
      <c r="L338" s="86"/>
      <c r="M338" s="86"/>
      <c r="N338" s="86"/>
      <c r="O338" s="86"/>
      <c r="P338" s="87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1"/>
      <c r="AI338" s="81"/>
      <c r="AJ338" s="81"/>
      <c r="AK338" s="81"/>
      <c r="AL338" s="81"/>
      <c r="AM338" s="81"/>
      <c r="AN338" s="81"/>
      <c r="AO338" s="81"/>
      <c r="AP338" s="81"/>
      <c r="AQ338" s="81"/>
      <c r="AR338" s="81"/>
    </row>
    <row r="339" spans="1:44" x14ac:dyDescent="0.4">
      <c r="A339" s="5" t="str">
        <f t="shared" si="39"/>
        <v>GU-ORTIZ</v>
      </c>
      <c r="B339" s="5" t="str">
        <f t="shared" si="40"/>
        <v>GU</v>
      </c>
      <c r="C339" s="83" t="s">
        <v>1084</v>
      </c>
      <c r="D339" s="82" t="s">
        <v>1099</v>
      </c>
      <c r="E339" s="85">
        <v>26</v>
      </c>
      <c r="F339" s="85"/>
      <c r="G339" s="86"/>
      <c r="H339" s="86"/>
      <c r="I339" s="86"/>
      <c r="J339" s="86"/>
      <c r="K339" s="86"/>
      <c r="L339" s="86"/>
      <c r="M339" s="86"/>
      <c r="N339" s="86"/>
      <c r="O339" s="86"/>
      <c r="P339" s="87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1"/>
      <c r="AI339" s="81"/>
      <c r="AJ339" s="81"/>
      <c r="AK339" s="81"/>
      <c r="AL339" s="81"/>
      <c r="AM339" s="81"/>
      <c r="AN339" s="81"/>
      <c r="AO339" s="81"/>
      <c r="AP339" s="81"/>
      <c r="AQ339" s="81"/>
      <c r="AR339" s="81"/>
    </row>
    <row r="340" spans="1:44" x14ac:dyDescent="0.4">
      <c r="A340" s="5" t="str">
        <f t="shared" si="39"/>
        <v>GU-PARAPARA</v>
      </c>
      <c r="B340" s="5" t="str">
        <f t="shared" si="40"/>
        <v>GU</v>
      </c>
      <c r="C340" s="83" t="s">
        <v>1084</v>
      </c>
      <c r="D340" s="82" t="s">
        <v>1100</v>
      </c>
      <c r="E340" s="85">
        <v>6</v>
      </c>
      <c r="F340" s="85"/>
      <c r="G340" s="86"/>
      <c r="H340" s="86"/>
      <c r="I340" s="86"/>
      <c r="J340" s="86"/>
      <c r="K340" s="86"/>
      <c r="L340" s="86"/>
      <c r="M340" s="86"/>
      <c r="N340" s="86"/>
      <c r="O340" s="86"/>
      <c r="P340" s="87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81"/>
      <c r="AH340" s="81"/>
      <c r="AI340" s="81"/>
      <c r="AJ340" s="81"/>
      <c r="AK340" s="81"/>
      <c r="AL340" s="81"/>
      <c r="AM340" s="81"/>
      <c r="AN340" s="81"/>
      <c r="AO340" s="81"/>
      <c r="AP340" s="81"/>
      <c r="AQ340" s="81"/>
      <c r="AR340" s="81"/>
    </row>
    <row r="341" spans="1:44" x14ac:dyDescent="0.4">
      <c r="A341" s="5" t="str">
        <f t="shared" si="39"/>
        <v>GU-PASO REAL DE MACAIRA</v>
      </c>
      <c r="B341" s="5" t="str">
        <f t="shared" si="40"/>
        <v>GU</v>
      </c>
      <c r="C341" s="83" t="s">
        <v>1084</v>
      </c>
      <c r="D341" s="82" t="s">
        <v>1101</v>
      </c>
      <c r="E341" s="85">
        <v>15</v>
      </c>
      <c r="F341" s="85"/>
      <c r="G341" s="86"/>
      <c r="H341" s="86"/>
      <c r="I341" s="86"/>
      <c r="J341" s="86"/>
      <c r="K341" s="86"/>
      <c r="L341" s="86"/>
      <c r="M341" s="86"/>
      <c r="N341" s="86"/>
      <c r="O341" s="86"/>
      <c r="P341" s="87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  <c r="AG341" s="81"/>
      <c r="AH341" s="81"/>
      <c r="AI341" s="81"/>
      <c r="AJ341" s="81"/>
      <c r="AK341" s="81"/>
      <c r="AL341" s="81"/>
      <c r="AM341" s="81"/>
      <c r="AN341" s="81"/>
      <c r="AO341" s="81"/>
      <c r="AP341" s="81"/>
      <c r="AQ341" s="81"/>
      <c r="AR341" s="81"/>
    </row>
    <row r="342" spans="1:44" x14ac:dyDescent="0.4">
      <c r="A342" s="5" t="str">
        <f t="shared" si="39"/>
        <v>GU-SAN FRANCISCO DE MACAIRA</v>
      </c>
      <c r="B342" s="5" t="str">
        <f t="shared" si="40"/>
        <v>GU</v>
      </c>
      <c r="C342" s="83" t="s">
        <v>1084</v>
      </c>
      <c r="D342" s="82" t="s">
        <v>1102</v>
      </c>
      <c r="E342" s="85">
        <v>40</v>
      </c>
      <c r="F342" s="85"/>
      <c r="G342" s="86"/>
      <c r="H342" s="86"/>
      <c r="I342" s="86"/>
      <c r="J342" s="86"/>
      <c r="K342" s="86"/>
      <c r="L342" s="86"/>
      <c r="M342" s="86"/>
      <c r="N342" s="86"/>
      <c r="O342" s="86"/>
      <c r="P342" s="87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1"/>
      <c r="AI342" s="81"/>
      <c r="AJ342" s="81"/>
      <c r="AK342" s="81"/>
      <c r="AL342" s="81"/>
      <c r="AM342" s="81"/>
      <c r="AN342" s="81"/>
      <c r="AO342" s="81"/>
      <c r="AP342" s="81"/>
      <c r="AQ342" s="81"/>
      <c r="AR342" s="81"/>
    </row>
    <row r="343" spans="1:44" x14ac:dyDescent="0.4">
      <c r="A343" s="5" t="str">
        <f t="shared" si="39"/>
        <v>GU-SAN FRANCISCO DE TIZNADOS</v>
      </c>
      <c r="B343" s="5" t="str">
        <f t="shared" si="40"/>
        <v>GU</v>
      </c>
      <c r="C343" s="83" t="s">
        <v>1084</v>
      </c>
      <c r="D343" s="82" t="s">
        <v>1103</v>
      </c>
      <c r="E343" s="85">
        <v>7</v>
      </c>
      <c r="F343" s="85"/>
      <c r="G343" s="86"/>
      <c r="H343" s="86"/>
      <c r="I343" s="86"/>
      <c r="J343" s="86"/>
      <c r="K343" s="86"/>
      <c r="L343" s="86"/>
      <c r="M343" s="86"/>
      <c r="N343" s="86"/>
      <c r="O343" s="86"/>
      <c r="P343" s="87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1"/>
      <c r="AI343" s="81"/>
      <c r="AJ343" s="81"/>
      <c r="AK343" s="81"/>
      <c r="AL343" s="81"/>
      <c r="AM343" s="81"/>
      <c r="AN343" s="81"/>
      <c r="AO343" s="81"/>
      <c r="AP343" s="81"/>
      <c r="AQ343" s="81"/>
      <c r="AR343" s="81"/>
    </row>
    <row r="344" spans="1:44" x14ac:dyDescent="0.4">
      <c r="A344" s="5" t="str">
        <f t="shared" si="39"/>
        <v>GU-SAN JOSE DE GUARIBE</v>
      </c>
      <c r="B344" s="5" t="str">
        <f t="shared" si="40"/>
        <v>GU</v>
      </c>
      <c r="C344" s="83" t="s">
        <v>1084</v>
      </c>
      <c r="D344" s="82" t="s">
        <v>1104</v>
      </c>
      <c r="E344" s="85">
        <v>28</v>
      </c>
      <c r="F344" s="85"/>
      <c r="G344" s="86"/>
      <c r="H344" s="86"/>
      <c r="I344" s="86"/>
      <c r="J344" s="86"/>
      <c r="K344" s="86"/>
      <c r="L344" s="86"/>
      <c r="M344" s="86"/>
      <c r="N344" s="86"/>
      <c r="O344" s="86"/>
      <c r="P344" s="87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  <c r="AG344" s="81"/>
      <c r="AH344" s="81"/>
      <c r="AI344" s="81"/>
      <c r="AJ344" s="81"/>
      <c r="AK344" s="81"/>
      <c r="AL344" s="81"/>
      <c r="AM344" s="81"/>
      <c r="AN344" s="81"/>
      <c r="AO344" s="81"/>
      <c r="AP344" s="81"/>
      <c r="AQ344" s="81"/>
      <c r="AR344" s="81"/>
    </row>
    <row r="345" spans="1:44" x14ac:dyDescent="0.4">
      <c r="A345" s="5" t="str">
        <f t="shared" si="39"/>
        <v>GU-SAN JOSE DE TIZNADOS</v>
      </c>
      <c r="B345" s="5" t="str">
        <f t="shared" si="40"/>
        <v>GU</v>
      </c>
      <c r="C345" s="83" t="s">
        <v>1084</v>
      </c>
      <c r="D345" s="82" t="s">
        <v>1105</v>
      </c>
      <c r="E345" s="85">
        <v>6</v>
      </c>
      <c r="F345" s="85"/>
      <c r="G345" s="86"/>
      <c r="H345" s="86"/>
      <c r="I345" s="86"/>
      <c r="J345" s="86"/>
      <c r="K345" s="86"/>
      <c r="L345" s="86"/>
      <c r="M345" s="86"/>
      <c r="N345" s="86"/>
      <c r="O345" s="86"/>
      <c r="P345" s="87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  <c r="AI345" s="81"/>
      <c r="AJ345" s="81"/>
      <c r="AK345" s="81"/>
      <c r="AL345" s="81"/>
      <c r="AM345" s="81"/>
      <c r="AN345" s="81"/>
      <c r="AO345" s="81"/>
      <c r="AP345" s="81"/>
      <c r="AQ345" s="81"/>
      <c r="AR345" s="81"/>
    </row>
    <row r="346" spans="1:44" x14ac:dyDescent="0.4">
      <c r="A346" s="5" t="str">
        <f t="shared" si="39"/>
        <v>GU-SAN JOSE DE UNARE</v>
      </c>
      <c r="B346" s="5" t="str">
        <f t="shared" si="40"/>
        <v>GU</v>
      </c>
      <c r="C346" s="83" t="s">
        <v>1084</v>
      </c>
      <c r="D346" s="82" t="s">
        <v>1106</v>
      </c>
      <c r="E346" s="85">
        <v>1</v>
      </c>
      <c r="F346" s="85"/>
      <c r="G346" s="86"/>
      <c r="H346" s="86"/>
      <c r="I346" s="86"/>
      <c r="J346" s="86"/>
      <c r="K346" s="86"/>
      <c r="L346" s="86"/>
      <c r="M346" s="86"/>
      <c r="N346" s="86"/>
      <c r="O346" s="86"/>
      <c r="P346" s="87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  <c r="AI346" s="81"/>
      <c r="AJ346" s="81"/>
      <c r="AK346" s="81"/>
      <c r="AL346" s="81"/>
      <c r="AM346" s="81"/>
      <c r="AN346" s="81"/>
      <c r="AO346" s="81"/>
      <c r="AP346" s="81"/>
      <c r="AQ346" s="81"/>
      <c r="AR346" s="81"/>
    </row>
    <row r="347" spans="1:44" ht="14.6" customHeight="1" x14ac:dyDescent="0.4">
      <c r="A347" s="5" t="str">
        <f t="shared" si="39"/>
        <v>GU-SAN JUAN DE LOS MORROS
(ROSCIO)</v>
      </c>
      <c r="B347" s="5" t="str">
        <f t="shared" si="40"/>
        <v>GU</v>
      </c>
      <c r="C347" s="83" t="s">
        <v>1084</v>
      </c>
      <c r="D347" s="84" t="s">
        <v>1107</v>
      </c>
      <c r="E347" s="85">
        <v>511</v>
      </c>
      <c r="F347" s="85"/>
      <c r="G347" s="86"/>
      <c r="H347" s="86"/>
      <c r="I347" s="86"/>
      <c r="J347" s="86"/>
      <c r="K347" s="86"/>
      <c r="L347" s="86"/>
      <c r="M347" s="86"/>
      <c r="N347" s="86"/>
      <c r="O347" s="86"/>
      <c r="P347" s="87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1"/>
      <c r="AI347" s="81"/>
      <c r="AJ347" s="81"/>
      <c r="AK347" s="81"/>
      <c r="AL347" s="81"/>
      <c r="AM347" s="81"/>
      <c r="AN347" s="81"/>
      <c r="AO347" s="81"/>
      <c r="AP347" s="81"/>
      <c r="AQ347" s="81"/>
      <c r="AR347" s="81"/>
    </row>
    <row r="348" spans="1:44" x14ac:dyDescent="0.4">
      <c r="A348" s="5" t="str">
        <f t="shared" si="39"/>
        <v>GU-SAN LORENZO DE TIZNADOS</v>
      </c>
      <c r="B348" s="5" t="str">
        <f t="shared" si="40"/>
        <v>GU</v>
      </c>
      <c r="C348" s="83" t="s">
        <v>1084</v>
      </c>
      <c r="D348" s="82" t="s">
        <v>1108</v>
      </c>
      <c r="E348" s="85">
        <v>7</v>
      </c>
      <c r="F348" s="85"/>
      <c r="G348" s="86"/>
      <c r="H348" s="86"/>
      <c r="I348" s="86"/>
      <c r="J348" s="86"/>
      <c r="K348" s="86"/>
      <c r="L348" s="86"/>
      <c r="M348" s="86"/>
      <c r="N348" s="86"/>
      <c r="O348" s="86"/>
      <c r="P348" s="87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1"/>
      <c r="AI348" s="81"/>
      <c r="AJ348" s="81"/>
      <c r="AK348" s="81"/>
      <c r="AL348" s="81"/>
      <c r="AM348" s="81"/>
      <c r="AN348" s="81"/>
      <c r="AO348" s="81"/>
      <c r="AP348" s="81"/>
      <c r="AQ348" s="81"/>
      <c r="AR348" s="81"/>
    </row>
    <row r="349" spans="1:44" x14ac:dyDescent="0.4">
      <c r="A349" s="5" t="str">
        <f t="shared" si="39"/>
        <v>GU-SAN RAFAEL DE LAYA</v>
      </c>
      <c r="B349" s="5" t="str">
        <f t="shared" si="40"/>
        <v>GU</v>
      </c>
      <c r="C349" s="83" t="s">
        <v>1084</v>
      </c>
      <c r="D349" s="82" t="s">
        <v>1109</v>
      </c>
      <c r="E349" s="85">
        <v>3</v>
      </c>
      <c r="F349" s="85"/>
      <c r="G349" s="86"/>
      <c r="H349" s="86"/>
      <c r="I349" s="86"/>
      <c r="J349" s="86"/>
      <c r="K349" s="86"/>
      <c r="L349" s="86"/>
      <c r="M349" s="86"/>
      <c r="N349" s="86"/>
      <c r="O349" s="86"/>
      <c r="P349" s="87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81"/>
      <c r="AH349" s="81"/>
      <c r="AI349" s="81"/>
      <c r="AJ349" s="81"/>
      <c r="AK349" s="81"/>
      <c r="AL349" s="81"/>
      <c r="AM349" s="81"/>
      <c r="AN349" s="81"/>
      <c r="AO349" s="81"/>
      <c r="AP349" s="81"/>
      <c r="AQ349" s="81"/>
      <c r="AR349" s="81"/>
    </row>
    <row r="350" spans="1:44" x14ac:dyDescent="0.4">
      <c r="A350" s="5" t="str">
        <f t="shared" si="39"/>
        <v>GU-SAN RAFAEL DE ORITUCO</v>
      </c>
      <c r="B350" s="5" t="str">
        <f t="shared" si="40"/>
        <v>GU</v>
      </c>
      <c r="C350" s="83" t="s">
        <v>1084</v>
      </c>
      <c r="D350" s="82" t="s">
        <v>1110</v>
      </c>
      <c r="E350" s="85">
        <v>9</v>
      </c>
      <c r="F350" s="85"/>
      <c r="G350" s="86"/>
      <c r="H350" s="86"/>
      <c r="I350" s="86"/>
      <c r="J350" s="86"/>
      <c r="K350" s="86"/>
      <c r="L350" s="86"/>
      <c r="M350" s="86"/>
      <c r="N350" s="86"/>
      <c r="O350" s="86"/>
      <c r="P350" s="87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  <c r="AI350" s="81"/>
      <c r="AJ350" s="81"/>
      <c r="AK350" s="81"/>
      <c r="AL350" s="81"/>
      <c r="AM350" s="81"/>
      <c r="AN350" s="81"/>
      <c r="AO350" s="81"/>
      <c r="AP350" s="81"/>
      <c r="AQ350" s="81"/>
      <c r="AR350" s="81"/>
    </row>
    <row r="351" spans="1:44" x14ac:dyDescent="0.4">
      <c r="A351" s="5" t="str">
        <f t="shared" si="39"/>
        <v>GU-SANTA MARIA DE IPIRE</v>
      </c>
      <c r="B351" s="5" t="str">
        <f t="shared" si="40"/>
        <v>GU</v>
      </c>
      <c r="C351" s="83" t="s">
        <v>1084</v>
      </c>
      <c r="D351" s="82" t="s">
        <v>1111</v>
      </c>
      <c r="E351" s="85">
        <v>56</v>
      </c>
      <c r="F351" s="85"/>
      <c r="G351" s="86"/>
      <c r="H351" s="86"/>
      <c r="I351" s="86"/>
      <c r="J351" s="86"/>
      <c r="K351" s="86"/>
      <c r="L351" s="86"/>
      <c r="M351" s="86"/>
      <c r="N351" s="86"/>
      <c r="O351" s="86"/>
      <c r="P351" s="87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1"/>
      <c r="AI351" s="81"/>
      <c r="AJ351" s="81"/>
      <c r="AK351" s="81"/>
      <c r="AL351" s="81"/>
      <c r="AM351" s="81"/>
      <c r="AN351" s="81"/>
      <c r="AO351" s="81"/>
      <c r="AP351" s="81"/>
      <c r="AQ351" s="81"/>
      <c r="AR351" s="81"/>
    </row>
    <row r="352" spans="1:44" x14ac:dyDescent="0.4">
      <c r="A352" s="5" t="str">
        <f t="shared" si="39"/>
        <v>GU-SANTA RITA DE MANAPIRE</v>
      </c>
      <c r="B352" s="5" t="str">
        <f t="shared" si="40"/>
        <v>GU</v>
      </c>
      <c r="C352" s="83" t="s">
        <v>1084</v>
      </c>
      <c r="D352" s="82" t="s">
        <v>1112</v>
      </c>
      <c r="E352" s="85">
        <v>3</v>
      </c>
      <c r="F352" s="85"/>
      <c r="G352" s="86"/>
      <c r="H352" s="86"/>
      <c r="I352" s="86"/>
      <c r="J352" s="86"/>
      <c r="K352" s="86"/>
      <c r="L352" s="86"/>
      <c r="M352" s="86"/>
      <c r="N352" s="86"/>
      <c r="O352" s="86"/>
      <c r="P352" s="87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  <c r="AI352" s="81"/>
      <c r="AJ352" s="81"/>
      <c r="AK352" s="81"/>
      <c r="AL352" s="81"/>
      <c r="AM352" s="81"/>
      <c r="AN352" s="81"/>
      <c r="AO352" s="81"/>
      <c r="AP352" s="81"/>
      <c r="AQ352" s="81"/>
      <c r="AR352" s="81"/>
    </row>
    <row r="353" spans="1:44" x14ac:dyDescent="0.4">
      <c r="A353" s="5" t="str">
        <f t="shared" si="39"/>
        <v>GU-SOBLETTE</v>
      </c>
      <c r="B353" s="5" t="str">
        <f t="shared" si="40"/>
        <v>GU</v>
      </c>
      <c r="C353" s="83" t="s">
        <v>1084</v>
      </c>
      <c r="D353" s="82" t="s">
        <v>1113</v>
      </c>
      <c r="E353" s="85">
        <v>12</v>
      </c>
      <c r="F353" s="85"/>
      <c r="G353" s="86"/>
      <c r="H353" s="86"/>
      <c r="I353" s="86"/>
      <c r="J353" s="86"/>
      <c r="K353" s="86"/>
      <c r="L353" s="86"/>
      <c r="M353" s="86"/>
      <c r="N353" s="86"/>
      <c r="O353" s="86"/>
      <c r="P353" s="87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  <c r="AI353" s="81"/>
      <c r="AJ353" s="81"/>
      <c r="AK353" s="81"/>
      <c r="AL353" s="81"/>
      <c r="AM353" s="81"/>
      <c r="AN353" s="81"/>
      <c r="AO353" s="81"/>
      <c r="AP353" s="81"/>
      <c r="AQ353" s="81"/>
      <c r="AR353" s="81"/>
    </row>
    <row r="354" spans="1:44" x14ac:dyDescent="0.4">
      <c r="A354" s="5" t="str">
        <f t="shared" si="39"/>
        <v>GU-SOSA</v>
      </c>
      <c r="B354" s="5" t="str">
        <f t="shared" si="40"/>
        <v>GU</v>
      </c>
      <c r="C354" s="83" t="s">
        <v>1084</v>
      </c>
      <c r="D354" s="82" t="s">
        <v>1114</v>
      </c>
      <c r="E354" s="85">
        <v>2</v>
      </c>
      <c r="F354" s="85"/>
      <c r="G354" s="86"/>
      <c r="H354" s="86"/>
      <c r="I354" s="86"/>
      <c r="J354" s="86"/>
      <c r="K354" s="86"/>
      <c r="L354" s="86"/>
      <c r="M354" s="86"/>
      <c r="N354" s="86"/>
      <c r="O354" s="86"/>
      <c r="P354" s="87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  <c r="AI354" s="81"/>
      <c r="AJ354" s="81"/>
      <c r="AK354" s="81"/>
      <c r="AL354" s="81"/>
      <c r="AM354" s="81"/>
      <c r="AN354" s="81"/>
      <c r="AO354" s="81"/>
      <c r="AP354" s="81"/>
      <c r="AQ354" s="81"/>
      <c r="AR354" s="81"/>
    </row>
    <row r="355" spans="1:44" x14ac:dyDescent="0.4">
      <c r="A355" s="5" t="str">
        <f t="shared" si="39"/>
        <v>GU-TUCUPIDO (RIBAS)</v>
      </c>
      <c r="B355" s="5" t="str">
        <f t="shared" si="40"/>
        <v>GU</v>
      </c>
      <c r="C355" s="83" t="s">
        <v>1084</v>
      </c>
      <c r="D355" s="82" t="s">
        <v>1115</v>
      </c>
      <c r="E355" s="85">
        <v>99</v>
      </c>
      <c r="F355" s="85"/>
      <c r="G355" s="86"/>
      <c r="H355" s="86"/>
      <c r="I355" s="86"/>
      <c r="J355" s="86"/>
      <c r="K355" s="86"/>
      <c r="L355" s="86"/>
      <c r="M355" s="86"/>
      <c r="N355" s="86"/>
      <c r="O355" s="86"/>
      <c r="P355" s="87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  <c r="AI355" s="81"/>
      <c r="AJ355" s="81"/>
      <c r="AK355" s="81"/>
      <c r="AL355" s="81"/>
      <c r="AM355" s="81"/>
      <c r="AN355" s="81"/>
      <c r="AO355" s="81"/>
      <c r="AP355" s="81"/>
      <c r="AQ355" s="81"/>
      <c r="AR355" s="81"/>
    </row>
    <row r="356" spans="1:44" x14ac:dyDescent="0.4">
      <c r="A356" s="5" t="str">
        <f t="shared" si="39"/>
        <v>GU-VALLE DE LA PASCUA (INFANTE)</v>
      </c>
      <c r="B356" s="5" t="str">
        <f t="shared" si="40"/>
        <v>GU</v>
      </c>
      <c r="C356" s="83" t="s">
        <v>1084</v>
      </c>
      <c r="D356" s="82" t="s">
        <v>1116</v>
      </c>
      <c r="E356" s="85">
        <v>539</v>
      </c>
      <c r="F356" s="85"/>
      <c r="G356" s="86"/>
      <c r="H356" s="86"/>
      <c r="I356" s="86"/>
      <c r="J356" s="86"/>
      <c r="K356" s="86"/>
      <c r="L356" s="86"/>
      <c r="M356" s="86"/>
      <c r="N356" s="86"/>
      <c r="O356" s="86"/>
      <c r="P356" s="87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1"/>
      <c r="AI356" s="81"/>
      <c r="AJ356" s="81"/>
      <c r="AK356" s="81"/>
      <c r="AL356" s="81"/>
      <c r="AM356" s="81"/>
      <c r="AN356" s="81"/>
      <c r="AO356" s="81"/>
      <c r="AP356" s="81"/>
      <c r="AQ356" s="81"/>
      <c r="AR356" s="81"/>
    </row>
    <row r="357" spans="1:44" x14ac:dyDescent="0.4">
      <c r="A357" s="5" t="str">
        <f t="shared" si="39"/>
        <v>GU-ZARAZA</v>
      </c>
      <c r="B357" s="5" t="str">
        <f t="shared" si="40"/>
        <v>GU</v>
      </c>
      <c r="C357" s="83" t="s">
        <v>1084</v>
      </c>
      <c r="D357" s="82" t="s">
        <v>1117</v>
      </c>
      <c r="E357" s="85">
        <v>209</v>
      </c>
      <c r="F357" s="85"/>
      <c r="G357" s="86"/>
      <c r="H357" s="86"/>
      <c r="I357" s="86"/>
      <c r="J357" s="86"/>
      <c r="K357" s="86"/>
      <c r="L357" s="86"/>
      <c r="M357" s="86"/>
      <c r="N357" s="86"/>
      <c r="O357" s="86"/>
      <c r="P357" s="87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1"/>
      <c r="AI357" s="81"/>
      <c r="AJ357" s="81"/>
      <c r="AK357" s="81"/>
      <c r="AL357" s="81"/>
      <c r="AM357" s="81"/>
      <c r="AN357" s="81"/>
      <c r="AO357" s="81"/>
      <c r="AP357" s="81"/>
      <c r="AQ357" s="81"/>
      <c r="AR357" s="81"/>
    </row>
    <row r="358" spans="1:44" x14ac:dyDescent="0.4">
      <c r="A358" s="5" t="str">
        <f t="shared" si="39"/>
        <v>LA-AGUEDO F. ALVARADO</v>
      </c>
      <c r="B358" s="5" t="str">
        <f t="shared" si="40"/>
        <v>LA</v>
      </c>
      <c r="C358" s="83" t="s">
        <v>775</v>
      </c>
      <c r="D358" s="82" t="s">
        <v>1118</v>
      </c>
      <c r="E358" s="85">
        <v>40</v>
      </c>
      <c r="F358" s="85"/>
      <c r="G358" s="86"/>
      <c r="H358" s="86"/>
      <c r="I358" s="86"/>
      <c r="J358" s="86"/>
      <c r="K358" s="86"/>
      <c r="L358" s="86"/>
      <c r="M358" s="86"/>
      <c r="N358" s="86"/>
      <c r="O358" s="86"/>
      <c r="P358" s="87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  <c r="AI358" s="81"/>
      <c r="AJ358" s="81"/>
      <c r="AK358" s="81"/>
      <c r="AL358" s="81"/>
      <c r="AM358" s="81"/>
      <c r="AN358" s="81"/>
      <c r="AO358" s="81"/>
      <c r="AP358" s="81"/>
      <c r="AQ358" s="81"/>
      <c r="AR358" s="81"/>
    </row>
    <row r="359" spans="1:44" x14ac:dyDescent="0.4">
      <c r="A359" s="5" t="str">
        <f t="shared" si="39"/>
        <v>LA-ANTONIO DIAZ</v>
      </c>
      <c r="B359" s="5" t="str">
        <f t="shared" si="40"/>
        <v>LA</v>
      </c>
      <c r="C359" s="83" t="s">
        <v>775</v>
      </c>
      <c r="D359" s="82" t="s">
        <v>1119</v>
      </c>
      <c r="E359" s="85">
        <v>15</v>
      </c>
      <c r="F359" s="85"/>
      <c r="G359" s="86"/>
      <c r="H359" s="86"/>
      <c r="I359" s="86"/>
      <c r="J359" s="86"/>
      <c r="K359" s="86"/>
      <c r="L359" s="86"/>
      <c r="M359" s="86"/>
      <c r="N359" s="86"/>
      <c r="O359" s="86"/>
      <c r="P359" s="87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1"/>
      <c r="AI359" s="81"/>
      <c r="AJ359" s="81"/>
      <c r="AK359" s="81"/>
      <c r="AL359" s="81"/>
      <c r="AM359" s="81"/>
      <c r="AN359" s="81"/>
      <c r="AO359" s="81"/>
      <c r="AP359" s="81"/>
      <c r="AQ359" s="81"/>
      <c r="AR359" s="81"/>
    </row>
    <row r="360" spans="1:44" x14ac:dyDescent="0.4">
      <c r="A360" s="5" t="str">
        <f t="shared" si="39"/>
        <v>LA-ANZOATEGUI</v>
      </c>
      <c r="B360" s="5" t="str">
        <f t="shared" si="40"/>
        <v>LA</v>
      </c>
      <c r="C360" s="83" t="s">
        <v>775</v>
      </c>
      <c r="D360" s="82" t="s">
        <v>1120</v>
      </c>
      <c r="E360" s="85">
        <v>13</v>
      </c>
      <c r="F360" s="85"/>
      <c r="G360" s="86"/>
      <c r="H360" s="86"/>
      <c r="I360" s="86"/>
      <c r="J360" s="86"/>
      <c r="K360" s="86"/>
      <c r="L360" s="86"/>
      <c r="M360" s="86"/>
      <c r="N360" s="86"/>
      <c r="O360" s="86"/>
      <c r="P360" s="87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1"/>
      <c r="AI360" s="81"/>
      <c r="AJ360" s="81"/>
      <c r="AK360" s="81"/>
      <c r="AL360" s="81"/>
      <c r="AM360" s="81"/>
      <c r="AN360" s="81"/>
      <c r="AO360" s="81"/>
      <c r="AP360" s="81"/>
      <c r="AQ360" s="81"/>
      <c r="AR360" s="81"/>
    </row>
    <row r="361" spans="1:44" x14ac:dyDescent="0.4">
      <c r="A361" s="5" t="str">
        <f t="shared" si="39"/>
        <v>LA-BOLIVAR</v>
      </c>
      <c r="B361" s="5" t="str">
        <f t="shared" si="40"/>
        <v>LA</v>
      </c>
      <c r="C361" s="83" t="s">
        <v>775</v>
      </c>
      <c r="D361" s="82" t="s">
        <v>1034</v>
      </c>
      <c r="E361" s="85">
        <v>238</v>
      </c>
      <c r="F361" s="85"/>
      <c r="G361" s="86"/>
      <c r="H361" s="86"/>
      <c r="I361" s="86"/>
      <c r="J361" s="86"/>
      <c r="K361" s="86"/>
      <c r="L361" s="86"/>
      <c r="M361" s="86"/>
      <c r="N361" s="86"/>
      <c r="O361" s="86"/>
      <c r="P361" s="87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1"/>
      <c r="AI361" s="81"/>
      <c r="AJ361" s="81"/>
      <c r="AK361" s="81"/>
      <c r="AL361" s="81"/>
      <c r="AM361" s="81"/>
      <c r="AN361" s="81"/>
      <c r="AO361" s="81"/>
      <c r="AP361" s="81"/>
      <c r="AQ361" s="81"/>
      <c r="AR361" s="81"/>
    </row>
    <row r="362" spans="1:44" x14ac:dyDescent="0.4">
      <c r="A362" s="5" t="str">
        <f t="shared" si="39"/>
        <v>LA-BUENA VISTA</v>
      </c>
      <c r="B362" s="5" t="str">
        <f t="shared" si="40"/>
        <v>LA</v>
      </c>
      <c r="C362" s="83" t="s">
        <v>775</v>
      </c>
      <c r="D362" s="82" t="s">
        <v>1036</v>
      </c>
      <c r="E362" s="85">
        <v>20</v>
      </c>
      <c r="F362" s="85"/>
      <c r="G362" s="86"/>
      <c r="H362" s="86"/>
      <c r="I362" s="86"/>
      <c r="J362" s="86"/>
      <c r="K362" s="86"/>
      <c r="L362" s="86"/>
      <c r="M362" s="86"/>
      <c r="N362" s="86"/>
      <c r="O362" s="86"/>
      <c r="P362" s="87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1"/>
      <c r="AI362" s="81"/>
      <c r="AJ362" s="81"/>
      <c r="AK362" s="81"/>
      <c r="AL362" s="81"/>
      <c r="AM362" s="81"/>
      <c r="AN362" s="81"/>
      <c r="AO362" s="81"/>
      <c r="AP362" s="81"/>
      <c r="AQ362" s="81"/>
      <c r="AR362" s="81"/>
    </row>
    <row r="363" spans="1:44" x14ac:dyDescent="0.4">
      <c r="A363" s="5" t="str">
        <f t="shared" si="39"/>
        <v>LA-BURIO</v>
      </c>
      <c r="B363" s="5" t="str">
        <f t="shared" si="40"/>
        <v>LA</v>
      </c>
      <c r="C363" s="83" t="s">
        <v>775</v>
      </c>
      <c r="D363" s="82" t="s">
        <v>1121</v>
      </c>
      <c r="E363" s="85">
        <v>6</v>
      </c>
      <c r="F363" s="85"/>
      <c r="G363" s="86"/>
      <c r="H363" s="86"/>
      <c r="I363" s="86"/>
      <c r="J363" s="86"/>
      <c r="K363" s="86"/>
      <c r="L363" s="86"/>
      <c r="M363" s="86"/>
      <c r="N363" s="86"/>
      <c r="O363" s="86"/>
      <c r="P363" s="87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1"/>
      <c r="AI363" s="81"/>
      <c r="AJ363" s="81"/>
      <c r="AK363" s="81"/>
      <c r="AL363" s="81"/>
      <c r="AM363" s="81"/>
      <c r="AN363" s="81"/>
      <c r="AO363" s="81"/>
      <c r="AP363" s="81"/>
      <c r="AQ363" s="81"/>
      <c r="AR363" s="81"/>
    </row>
    <row r="364" spans="1:44" x14ac:dyDescent="0.4">
      <c r="A364" s="5" t="str">
        <f t="shared" si="39"/>
        <v>LA-CABUDARE</v>
      </c>
      <c r="B364" s="5" t="str">
        <f t="shared" si="40"/>
        <v>LA</v>
      </c>
      <c r="C364" s="83" t="s">
        <v>775</v>
      </c>
      <c r="D364" s="82" t="s">
        <v>1122</v>
      </c>
      <c r="E364" s="85">
        <v>153</v>
      </c>
      <c r="F364" s="85"/>
      <c r="G364" s="86"/>
      <c r="H364" s="86"/>
      <c r="I364" s="86"/>
      <c r="J364" s="86"/>
      <c r="K364" s="86"/>
      <c r="L364" s="86"/>
      <c r="M364" s="86"/>
      <c r="N364" s="86"/>
      <c r="O364" s="86"/>
      <c r="P364" s="87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1"/>
      <c r="AI364" s="81"/>
      <c r="AJ364" s="81"/>
      <c r="AK364" s="81"/>
      <c r="AL364" s="81"/>
      <c r="AM364" s="81"/>
      <c r="AN364" s="81"/>
      <c r="AO364" s="81"/>
      <c r="AP364" s="81"/>
      <c r="AQ364" s="81"/>
      <c r="AR364" s="81"/>
    </row>
    <row r="365" spans="1:44" x14ac:dyDescent="0.4">
      <c r="A365" s="5" t="str">
        <f t="shared" si="39"/>
        <v>LA-CAMACARO</v>
      </c>
      <c r="B365" s="5" t="str">
        <f t="shared" si="40"/>
        <v>LA</v>
      </c>
      <c r="C365" s="83" t="s">
        <v>775</v>
      </c>
      <c r="D365" s="82" t="s">
        <v>1123</v>
      </c>
      <c r="E365" s="85">
        <v>26</v>
      </c>
      <c r="F365" s="85"/>
      <c r="G365" s="86"/>
      <c r="H365" s="86"/>
      <c r="I365" s="86"/>
      <c r="J365" s="86"/>
      <c r="K365" s="86"/>
      <c r="L365" s="86"/>
      <c r="M365" s="86"/>
      <c r="N365" s="86"/>
      <c r="O365" s="86"/>
      <c r="P365" s="87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1"/>
      <c r="AI365" s="81"/>
      <c r="AJ365" s="81"/>
      <c r="AK365" s="81"/>
      <c r="AL365" s="81"/>
      <c r="AM365" s="81"/>
      <c r="AN365" s="81"/>
      <c r="AO365" s="81"/>
      <c r="AP365" s="81"/>
      <c r="AQ365" s="81"/>
      <c r="AR365" s="81"/>
    </row>
    <row r="366" spans="1:44" x14ac:dyDescent="0.4">
      <c r="A366" s="5" t="str">
        <f t="shared" si="39"/>
        <v>LA-CASTAÑEDA</v>
      </c>
      <c r="B366" s="5" t="str">
        <f t="shared" si="40"/>
        <v>LA</v>
      </c>
      <c r="C366" s="83" t="s">
        <v>775</v>
      </c>
      <c r="D366" s="82" t="s">
        <v>1124</v>
      </c>
      <c r="E366" s="85">
        <v>20</v>
      </c>
      <c r="F366" s="85"/>
      <c r="G366" s="86"/>
      <c r="H366" s="86"/>
      <c r="I366" s="86"/>
      <c r="J366" s="86"/>
      <c r="K366" s="86"/>
      <c r="L366" s="86"/>
      <c r="M366" s="86"/>
      <c r="N366" s="86"/>
      <c r="O366" s="86"/>
      <c r="P366" s="87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1"/>
      <c r="AI366" s="81"/>
      <c r="AJ366" s="81"/>
      <c r="AK366" s="81"/>
      <c r="AL366" s="81"/>
      <c r="AM366" s="81"/>
      <c r="AN366" s="81"/>
      <c r="AO366" s="81"/>
      <c r="AP366" s="81"/>
      <c r="AQ366" s="81"/>
      <c r="AR366" s="81"/>
    </row>
    <row r="367" spans="1:44" x14ac:dyDescent="0.4">
      <c r="A367" s="5" t="str">
        <f t="shared" si="39"/>
        <v>LA-CATEDRAL</v>
      </c>
      <c r="B367" s="5" t="str">
        <f t="shared" si="40"/>
        <v>LA</v>
      </c>
      <c r="C367" s="83" t="s">
        <v>775</v>
      </c>
      <c r="D367" s="82" t="s">
        <v>958</v>
      </c>
      <c r="E367" s="85">
        <v>2746</v>
      </c>
      <c r="F367" s="85"/>
      <c r="G367" s="86"/>
      <c r="H367" s="86"/>
      <c r="I367" s="86"/>
      <c r="J367" s="86"/>
      <c r="K367" s="86"/>
      <c r="L367" s="86"/>
      <c r="M367" s="86"/>
      <c r="N367" s="86"/>
      <c r="O367" s="86"/>
      <c r="P367" s="87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1"/>
      <c r="AI367" s="81"/>
      <c r="AJ367" s="81"/>
      <c r="AK367" s="81"/>
      <c r="AL367" s="81"/>
      <c r="AM367" s="81"/>
      <c r="AN367" s="81"/>
      <c r="AO367" s="81"/>
      <c r="AP367" s="81"/>
      <c r="AQ367" s="81"/>
      <c r="AR367" s="81"/>
    </row>
    <row r="368" spans="1:44" x14ac:dyDescent="0.4">
      <c r="A368" s="5" t="str">
        <f t="shared" si="39"/>
        <v>LA-CECILIO ZUBILLAGA</v>
      </c>
      <c r="B368" s="5" t="str">
        <f t="shared" si="40"/>
        <v>LA</v>
      </c>
      <c r="C368" s="83" t="s">
        <v>775</v>
      </c>
      <c r="D368" s="82" t="s">
        <v>1125</v>
      </c>
      <c r="E368" s="85">
        <v>17</v>
      </c>
      <c r="F368" s="85"/>
      <c r="G368" s="86"/>
      <c r="H368" s="86"/>
      <c r="I368" s="86"/>
      <c r="J368" s="86"/>
      <c r="K368" s="86"/>
      <c r="L368" s="86"/>
      <c r="M368" s="86"/>
      <c r="N368" s="86"/>
      <c r="O368" s="86"/>
      <c r="P368" s="87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1"/>
      <c r="AI368" s="81"/>
      <c r="AJ368" s="81"/>
      <c r="AK368" s="81"/>
      <c r="AL368" s="81"/>
      <c r="AM368" s="81"/>
      <c r="AN368" s="81"/>
      <c r="AO368" s="81"/>
      <c r="AP368" s="81"/>
      <c r="AQ368" s="81"/>
      <c r="AR368" s="81"/>
    </row>
    <row r="369" spans="1:44" x14ac:dyDescent="0.4">
      <c r="A369" s="5" t="str">
        <f t="shared" si="39"/>
        <v>LA-CHIQUINQUIRA</v>
      </c>
      <c r="B369" s="5" t="str">
        <f t="shared" si="40"/>
        <v>LA</v>
      </c>
      <c r="C369" s="83" t="s">
        <v>775</v>
      </c>
      <c r="D369" s="82" t="s">
        <v>1126</v>
      </c>
      <c r="E369" s="85">
        <v>20</v>
      </c>
      <c r="F369" s="85"/>
      <c r="G369" s="86"/>
      <c r="H369" s="86"/>
      <c r="I369" s="86"/>
      <c r="J369" s="86"/>
      <c r="K369" s="86"/>
      <c r="L369" s="86"/>
      <c r="M369" s="86"/>
      <c r="N369" s="86"/>
      <c r="O369" s="86"/>
      <c r="P369" s="87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1"/>
      <c r="AI369" s="81"/>
      <c r="AJ369" s="81"/>
      <c r="AK369" s="81"/>
      <c r="AL369" s="81"/>
      <c r="AM369" s="81"/>
      <c r="AN369" s="81"/>
      <c r="AO369" s="81"/>
      <c r="AP369" s="81"/>
      <c r="AQ369" s="81"/>
      <c r="AR369" s="81"/>
    </row>
    <row r="370" spans="1:44" x14ac:dyDescent="0.4">
      <c r="A370" s="5" t="str">
        <f t="shared" si="39"/>
        <v>LA-CONCEPCION</v>
      </c>
      <c r="B370" s="5" t="str">
        <f t="shared" si="40"/>
        <v>LA</v>
      </c>
      <c r="C370" s="83" t="s">
        <v>775</v>
      </c>
      <c r="D370" s="82" t="s">
        <v>1127</v>
      </c>
      <c r="E370" s="85">
        <v>572</v>
      </c>
      <c r="F370" s="85"/>
      <c r="G370" s="86"/>
      <c r="H370" s="86"/>
      <c r="I370" s="86"/>
      <c r="J370" s="86"/>
      <c r="K370" s="86"/>
      <c r="L370" s="86"/>
      <c r="M370" s="86"/>
      <c r="N370" s="86"/>
      <c r="O370" s="86"/>
      <c r="P370" s="87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1"/>
      <c r="AI370" s="81"/>
      <c r="AJ370" s="81"/>
      <c r="AK370" s="81"/>
      <c r="AL370" s="81"/>
      <c r="AM370" s="81"/>
      <c r="AN370" s="81"/>
      <c r="AO370" s="81"/>
      <c r="AP370" s="81"/>
      <c r="AQ370" s="81"/>
      <c r="AR370" s="81"/>
    </row>
    <row r="371" spans="1:44" x14ac:dyDescent="0.4">
      <c r="A371" s="5" t="str">
        <f t="shared" si="39"/>
        <v>LA-CUARA</v>
      </c>
      <c r="B371" s="5" t="str">
        <f t="shared" si="40"/>
        <v>LA</v>
      </c>
      <c r="C371" s="83" t="s">
        <v>775</v>
      </c>
      <c r="D371" s="82" t="s">
        <v>1128</v>
      </c>
      <c r="E371" s="85">
        <v>9</v>
      </c>
      <c r="F371" s="85"/>
      <c r="G371" s="86"/>
      <c r="H371" s="86"/>
      <c r="I371" s="86"/>
      <c r="J371" s="86"/>
      <c r="K371" s="86"/>
      <c r="L371" s="86"/>
      <c r="M371" s="86"/>
      <c r="N371" s="86"/>
      <c r="O371" s="86"/>
      <c r="P371" s="87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1"/>
      <c r="AI371" s="81"/>
      <c r="AJ371" s="81"/>
      <c r="AK371" s="81"/>
      <c r="AL371" s="81"/>
      <c r="AM371" s="81"/>
      <c r="AN371" s="81"/>
      <c r="AO371" s="81"/>
      <c r="AP371" s="81"/>
      <c r="AQ371" s="81"/>
      <c r="AR371" s="81"/>
    </row>
    <row r="372" spans="1:44" x14ac:dyDescent="0.4">
      <c r="A372" s="5" t="str">
        <f t="shared" si="39"/>
        <v>LA-EL BLANCO</v>
      </c>
      <c r="B372" s="5" t="str">
        <f t="shared" si="40"/>
        <v>LA</v>
      </c>
      <c r="C372" s="83" t="s">
        <v>775</v>
      </c>
      <c r="D372" s="82" t="s">
        <v>1129</v>
      </c>
      <c r="E372" s="85">
        <v>17</v>
      </c>
      <c r="F372" s="85"/>
      <c r="G372" s="86"/>
      <c r="H372" s="86"/>
      <c r="I372" s="86"/>
      <c r="J372" s="86"/>
      <c r="K372" s="86"/>
      <c r="L372" s="86"/>
      <c r="M372" s="86"/>
      <c r="N372" s="86"/>
      <c r="O372" s="86"/>
      <c r="P372" s="87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1"/>
      <c r="AI372" s="81"/>
      <c r="AJ372" s="81"/>
      <c r="AK372" s="81"/>
      <c r="AL372" s="81"/>
      <c r="AM372" s="81"/>
      <c r="AN372" s="81"/>
      <c r="AO372" s="81"/>
      <c r="AP372" s="81"/>
      <c r="AQ372" s="81"/>
      <c r="AR372" s="81"/>
    </row>
    <row r="373" spans="1:44" x14ac:dyDescent="0.4">
      <c r="A373" s="5" t="str">
        <f t="shared" si="39"/>
        <v>LA-EL CUJI</v>
      </c>
      <c r="B373" s="5" t="str">
        <f t="shared" si="40"/>
        <v>LA</v>
      </c>
      <c r="C373" s="83" t="s">
        <v>775</v>
      </c>
      <c r="D373" s="82" t="s">
        <v>1130</v>
      </c>
      <c r="E373" s="85">
        <v>21</v>
      </c>
      <c r="F373" s="85"/>
      <c r="G373" s="86"/>
      <c r="H373" s="86"/>
      <c r="I373" s="86"/>
      <c r="J373" s="86"/>
      <c r="K373" s="86"/>
      <c r="L373" s="86"/>
      <c r="M373" s="86"/>
      <c r="N373" s="86"/>
      <c r="O373" s="86"/>
      <c r="P373" s="87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  <c r="AI373" s="81"/>
      <c r="AJ373" s="81"/>
      <c r="AK373" s="81"/>
      <c r="AL373" s="81"/>
      <c r="AM373" s="81"/>
      <c r="AN373" s="81"/>
      <c r="AO373" s="81"/>
      <c r="AP373" s="81"/>
      <c r="AQ373" s="81"/>
      <c r="AR373" s="81"/>
    </row>
    <row r="374" spans="1:44" x14ac:dyDescent="0.4">
      <c r="A374" s="5" t="str">
        <f t="shared" si="39"/>
        <v>LA-ESPINOZA DE LOS MONTEROS</v>
      </c>
      <c r="B374" s="5" t="str">
        <f t="shared" si="40"/>
        <v>LA</v>
      </c>
      <c r="C374" s="83" t="s">
        <v>775</v>
      </c>
      <c r="D374" s="82" t="s">
        <v>1131</v>
      </c>
      <c r="E374" s="85">
        <v>14</v>
      </c>
      <c r="F374" s="85"/>
      <c r="G374" s="86"/>
      <c r="H374" s="86"/>
      <c r="I374" s="86"/>
      <c r="J374" s="86"/>
      <c r="K374" s="86"/>
      <c r="L374" s="86"/>
      <c r="M374" s="86"/>
      <c r="N374" s="86"/>
      <c r="O374" s="86"/>
      <c r="P374" s="87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1"/>
      <c r="AI374" s="81"/>
      <c r="AJ374" s="81"/>
      <c r="AK374" s="81"/>
      <c r="AL374" s="81"/>
      <c r="AM374" s="81"/>
      <c r="AN374" s="81"/>
      <c r="AO374" s="81"/>
      <c r="AP374" s="81"/>
      <c r="AQ374" s="81"/>
      <c r="AR374" s="81"/>
    </row>
    <row r="375" spans="1:44" x14ac:dyDescent="0.4">
      <c r="A375" s="5" t="str">
        <f t="shared" si="39"/>
        <v>LA-FREITEZ</v>
      </c>
      <c r="B375" s="5" t="str">
        <f t="shared" si="40"/>
        <v>LA</v>
      </c>
      <c r="C375" s="83" t="s">
        <v>775</v>
      </c>
      <c r="D375" s="82" t="s">
        <v>1132</v>
      </c>
      <c r="E375" s="85">
        <v>107</v>
      </c>
      <c r="F375" s="85"/>
      <c r="G375" s="86"/>
      <c r="H375" s="86"/>
      <c r="I375" s="86"/>
      <c r="J375" s="86"/>
      <c r="K375" s="86"/>
      <c r="L375" s="86"/>
      <c r="M375" s="86"/>
      <c r="N375" s="86"/>
      <c r="O375" s="86"/>
      <c r="P375" s="87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1"/>
      <c r="AI375" s="81"/>
      <c r="AJ375" s="81"/>
      <c r="AK375" s="81"/>
      <c r="AL375" s="81"/>
      <c r="AM375" s="81"/>
      <c r="AN375" s="81"/>
      <c r="AO375" s="81"/>
      <c r="AP375" s="81"/>
      <c r="AQ375" s="81"/>
      <c r="AR375" s="81"/>
    </row>
    <row r="376" spans="1:44" x14ac:dyDescent="0.4">
      <c r="A376" s="5" t="str">
        <f t="shared" si="39"/>
        <v>LA-GUARICO</v>
      </c>
      <c r="B376" s="5" t="str">
        <f t="shared" si="40"/>
        <v>LA</v>
      </c>
      <c r="C376" s="83" t="s">
        <v>775</v>
      </c>
      <c r="D376" s="82" t="s">
        <v>1133</v>
      </c>
      <c r="E376" s="85">
        <v>79</v>
      </c>
      <c r="F376" s="85"/>
      <c r="G376" s="86"/>
      <c r="H376" s="86"/>
      <c r="I376" s="86"/>
      <c r="J376" s="86"/>
      <c r="K376" s="86"/>
      <c r="L376" s="86"/>
      <c r="M376" s="86"/>
      <c r="N376" s="86"/>
      <c r="O376" s="86"/>
      <c r="P376" s="87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  <c r="AI376" s="81"/>
      <c r="AJ376" s="81"/>
      <c r="AK376" s="81"/>
      <c r="AL376" s="81"/>
      <c r="AM376" s="81"/>
      <c r="AN376" s="81"/>
      <c r="AO376" s="81"/>
      <c r="AP376" s="81"/>
      <c r="AQ376" s="81"/>
      <c r="AR376" s="81"/>
    </row>
    <row r="377" spans="1:44" x14ac:dyDescent="0.4">
      <c r="A377" s="5" t="str">
        <f t="shared" si="39"/>
        <v>LA-GUSTAVO VEGAS LEON</v>
      </c>
      <c r="B377" s="5" t="str">
        <f t="shared" si="40"/>
        <v>LA</v>
      </c>
      <c r="C377" s="83" t="s">
        <v>775</v>
      </c>
      <c r="D377" s="82" t="s">
        <v>1134</v>
      </c>
      <c r="E377" s="85">
        <v>18</v>
      </c>
      <c r="F377" s="85"/>
      <c r="G377" s="86"/>
      <c r="H377" s="86"/>
      <c r="I377" s="86"/>
      <c r="J377" s="86"/>
      <c r="K377" s="86"/>
      <c r="L377" s="86"/>
      <c r="M377" s="86"/>
      <c r="N377" s="86"/>
      <c r="O377" s="86"/>
      <c r="P377" s="87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  <c r="AI377" s="81"/>
      <c r="AJ377" s="81"/>
      <c r="AK377" s="81"/>
      <c r="AL377" s="81"/>
      <c r="AM377" s="81"/>
      <c r="AN377" s="81"/>
      <c r="AO377" s="81"/>
      <c r="AP377" s="81"/>
      <c r="AQ377" s="81"/>
      <c r="AR377" s="81"/>
    </row>
    <row r="378" spans="1:44" x14ac:dyDescent="0.4">
      <c r="A378" s="5" t="str">
        <f t="shared" ref="A378:A441" si="41">+B378&amp;"-"&amp;D378</f>
        <v>LA-HILARIO LUNA Y LUNA</v>
      </c>
      <c r="B378" s="5" t="str">
        <f t="shared" ref="B378:B441" si="42">+MID(C378,1,2)</f>
        <v>LA</v>
      </c>
      <c r="C378" s="83" t="s">
        <v>775</v>
      </c>
      <c r="D378" s="82" t="s">
        <v>1135</v>
      </c>
      <c r="E378" s="85">
        <v>22</v>
      </c>
      <c r="F378" s="85"/>
      <c r="G378" s="86"/>
      <c r="H378" s="86"/>
      <c r="I378" s="86"/>
      <c r="J378" s="86"/>
      <c r="K378" s="86"/>
      <c r="L378" s="86"/>
      <c r="M378" s="86"/>
      <c r="N378" s="86"/>
      <c r="O378" s="86"/>
      <c r="P378" s="87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  <c r="AI378" s="81"/>
      <c r="AJ378" s="81"/>
      <c r="AK378" s="81"/>
      <c r="AL378" s="81"/>
      <c r="AM378" s="81"/>
      <c r="AN378" s="81"/>
      <c r="AO378" s="81"/>
      <c r="AP378" s="81"/>
      <c r="AQ378" s="81"/>
      <c r="AR378" s="81"/>
    </row>
    <row r="379" spans="1:44" x14ac:dyDescent="0.4">
      <c r="A379" s="5" t="str">
        <f t="shared" si="41"/>
        <v>LA-HUMOCARO ALTO</v>
      </c>
      <c r="B379" s="5" t="str">
        <f t="shared" si="42"/>
        <v>LA</v>
      </c>
      <c r="C379" s="83" t="s">
        <v>775</v>
      </c>
      <c r="D379" s="82" t="s">
        <v>1136</v>
      </c>
      <c r="E379" s="85">
        <v>29</v>
      </c>
      <c r="F379" s="85"/>
      <c r="G379" s="86"/>
      <c r="H379" s="86"/>
      <c r="I379" s="86"/>
      <c r="J379" s="86"/>
      <c r="K379" s="86"/>
      <c r="L379" s="86"/>
      <c r="M379" s="86"/>
      <c r="N379" s="86"/>
      <c r="O379" s="86"/>
      <c r="P379" s="87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  <c r="AI379" s="81"/>
      <c r="AJ379" s="81"/>
      <c r="AK379" s="81"/>
      <c r="AL379" s="81"/>
      <c r="AM379" s="81"/>
      <c r="AN379" s="81"/>
      <c r="AO379" s="81"/>
      <c r="AP379" s="81"/>
      <c r="AQ379" s="81"/>
      <c r="AR379" s="81"/>
    </row>
    <row r="380" spans="1:44" x14ac:dyDescent="0.4">
      <c r="A380" s="5" t="str">
        <f t="shared" si="41"/>
        <v>LA-HUMOCARO BAJO</v>
      </c>
      <c r="B380" s="5" t="str">
        <f t="shared" si="42"/>
        <v>LA</v>
      </c>
      <c r="C380" s="83" t="s">
        <v>775</v>
      </c>
      <c r="D380" s="82" t="s">
        <v>1137</v>
      </c>
      <c r="E380" s="85">
        <v>57</v>
      </c>
      <c r="F380" s="85"/>
      <c r="G380" s="86"/>
      <c r="H380" s="86"/>
      <c r="I380" s="86"/>
      <c r="J380" s="86"/>
      <c r="K380" s="86"/>
      <c r="L380" s="86"/>
      <c r="M380" s="86"/>
      <c r="N380" s="86"/>
      <c r="O380" s="86"/>
      <c r="P380" s="87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  <c r="AI380" s="81"/>
      <c r="AJ380" s="81"/>
      <c r="AK380" s="81"/>
      <c r="AL380" s="81"/>
      <c r="AM380" s="81"/>
      <c r="AN380" s="81"/>
      <c r="AO380" s="81"/>
      <c r="AP380" s="81"/>
      <c r="AQ380" s="81"/>
      <c r="AR380" s="81"/>
    </row>
    <row r="381" spans="1:44" x14ac:dyDescent="0.4">
      <c r="A381" s="5" t="str">
        <f t="shared" si="41"/>
        <v>LA-JOSE G. BASTIDAS</v>
      </c>
      <c r="B381" s="5" t="str">
        <f t="shared" si="42"/>
        <v>LA</v>
      </c>
      <c r="C381" s="83" t="s">
        <v>775</v>
      </c>
      <c r="D381" s="82" t="s">
        <v>1138</v>
      </c>
      <c r="E381" s="85">
        <v>56</v>
      </c>
      <c r="F381" s="85"/>
      <c r="G381" s="86"/>
      <c r="H381" s="86"/>
      <c r="I381" s="86"/>
      <c r="J381" s="86"/>
      <c r="K381" s="86"/>
      <c r="L381" s="86"/>
      <c r="M381" s="86"/>
      <c r="N381" s="86"/>
      <c r="O381" s="86"/>
      <c r="P381" s="87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1"/>
      <c r="AI381" s="81"/>
      <c r="AJ381" s="81"/>
      <c r="AK381" s="81"/>
      <c r="AL381" s="81"/>
      <c r="AM381" s="81"/>
      <c r="AN381" s="81"/>
      <c r="AO381" s="81"/>
      <c r="AP381" s="81"/>
      <c r="AQ381" s="81"/>
      <c r="AR381" s="81"/>
    </row>
    <row r="382" spans="1:44" x14ac:dyDescent="0.4">
      <c r="A382" s="5" t="str">
        <f t="shared" si="41"/>
        <v>LA-JOSE MARIA BLANCO</v>
      </c>
      <c r="B382" s="5" t="str">
        <f t="shared" si="42"/>
        <v>LA</v>
      </c>
      <c r="C382" s="83" t="s">
        <v>775</v>
      </c>
      <c r="D382" s="82" t="s">
        <v>1139</v>
      </c>
      <c r="E382" s="85">
        <v>19</v>
      </c>
      <c r="F382" s="85"/>
      <c r="G382" s="86"/>
      <c r="H382" s="86"/>
      <c r="I382" s="86"/>
      <c r="J382" s="86"/>
      <c r="K382" s="86"/>
      <c r="L382" s="86"/>
      <c r="M382" s="86"/>
      <c r="N382" s="86"/>
      <c r="O382" s="86"/>
      <c r="P382" s="87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1"/>
      <c r="AI382" s="81"/>
      <c r="AJ382" s="81"/>
      <c r="AK382" s="81"/>
      <c r="AL382" s="81"/>
      <c r="AM382" s="81"/>
      <c r="AN382" s="81"/>
      <c r="AO382" s="81"/>
      <c r="AP382" s="81"/>
      <c r="AQ382" s="81"/>
      <c r="AR382" s="81"/>
    </row>
    <row r="383" spans="1:44" x14ac:dyDescent="0.4">
      <c r="A383" s="5" t="str">
        <f t="shared" si="41"/>
        <v>LA-JUAN B. RODRIGUEZ</v>
      </c>
      <c r="B383" s="5" t="str">
        <f t="shared" si="42"/>
        <v>LA</v>
      </c>
      <c r="C383" s="83" t="s">
        <v>775</v>
      </c>
      <c r="D383" s="82" t="s">
        <v>1140</v>
      </c>
      <c r="E383" s="85">
        <v>200</v>
      </c>
      <c r="F383" s="85"/>
      <c r="G383" s="86"/>
      <c r="H383" s="86"/>
      <c r="I383" s="86"/>
      <c r="J383" s="86"/>
      <c r="K383" s="86"/>
      <c r="L383" s="86"/>
      <c r="M383" s="86"/>
      <c r="N383" s="86"/>
      <c r="O383" s="86"/>
      <c r="P383" s="87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  <c r="AL383" s="81"/>
      <c r="AM383" s="81"/>
      <c r="AN383" s="81"/>
      <c r="AO383" s="81"/>
      <c r="AP383" s="81"/>
      <c r="AQ383" s="81"/>
      <c r="AR383" s="81"/>
    </row>
    <row r="384" spans="1:44" x14ac:dyDescent="0.4">
      <c r="A384" s="5" t="str">
        <f t="shared" si="41"/>
        <v>LA-JUAN DE VILLEGAS</v>
      </c>
      <c r="B384" s="5" t="str">
        <f t="shared" si="42"/>
        <v>LA</v>
      </c>
      <c r="C384" s="83" t="s">
        <v>775</v>
      </c>
      <c r="D384" s="82" t="s">
        <v>1141</v>
      </c>
      <c r="E384" s="85">
        <v>959</v>
      </c>
      <c r="F384" s="85"/>
      <c r="G384" s="86"/>
      <c r="H384" s="86"/>
      <c r="I384" s="86"/>
      <c r="J384" s="86"/>
      <c r="K384" s="86"/>
      <c r="L384" s="86"/>
      <c r="M384" s="86"/>
      <c r="N384" s="86"/>
      <c r="O384" s="86"/>
      <c r="P384" s="87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1"/>
      <c r="AI384" s="81"/>
      <c r="AJ384" s="81"/>
      <c r="AK384" s="81"/>
      <c r="AL384" s="81"/>
      <c r="AM384" s="81"/>
      <c r="AN384" s="81"/>
      <c r="AO384" s="81"/>
      <c r="AP384" s="81"/>
      <c r="AQ384" s="81"/>
      <c r="AR384" s="81"/>
    </row>
    <row r="385" spans="1:44" x14ac:dyDescent="0.4">
      <c r="A385" s="5" t="str">
        <f t="shared" si="41"/>
        <v>LA-JUAREZ</v>
      </c>
      <c r="B385" s="5" t="str">
        <f t="shared" si="42"/>
        <v>LA</v>
      </c>
      <c r="C385" s="83" t="s">
        <v>775</v>
      </c>
      <c r="D385" s="82" t="s">
        <v>1142</v>
      </c>
      <c r="E385" s="85">
        <v>25</v>
      </c>
      <c r="F385" s="85"/>
      <c r="G385" s="86"/>
      <c r="H385" s="86"/>
      <c r="I385" s="86"/>
      <c r="J385" s="86"/>
      <c r="K385" s="86"/>
      <c r="L385" s="86"/>
      <c r="M385" s="86"/>
      <c r="N385" s="86"/>
      <c r="O385" s="86"/>
      <c r="P385" s="87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1"/>
      <c r="AI385" s="81"/>
      <c r="AJ385" s="81"/>
      <c r="AK385" s="81"/>
      <c r="AL385" s="81"/>
      <c r="AM385" s="81"/>
      <c r="AN385" s="81"/>
      <c r="AO385" s="81"/>
      <c r="AP385" s="81"/>
      <c r="AQ385" s="81"/>
      <c r="AR385" s="81"/>
    </row>
    <row r="386" spans="1:44" x14ac:dyDescent="0.4">
      <c r="A386" s="5" t="str">
        <f t="shared" si="41"/>
        <v>LA-LARA</v>
      </c>
      <c r="B386" s="5" t="str">
        <f t="shared" si="42"/>
        <v>LA</v>
      </c>
      <c r="C386" s="83" t="s">
        <v>775</v>
      </c>
      <c r="D386" s="82" t="s">
        <v>1143</v>
      </c>
      <c r="E386" s="85">
        <v>5</v>
      </c>
      <c r="F386" s="85"/>
      <c r="G386" s="86"/>
      <c r="H386" s="86"/>
      <c r="I386" s="86"/>
      <c r="J386" s="86"/>
      <c r="K386" s="86"/>
      <c r="L386" s="86"/>
      <c r="M386" s="86"/>
      <c r="N386" s="86"/>
      <c r="O386" s="86"/>
      <c r="P386" s="87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1"/>
      <c r="AI386" s="81"/>
      <c r="AJ386" s="81"/>
      <c r="AK386" s="81"/>
      <c r="AL386" s="81"/>
      <c r="AM386" s="81"/>
      <c r="AN386" s="81"/>
      <c r="AO386" s="81"/>
      <c r="AP386" s="81"/>
      <c r="AQ386" s="81"/>
      <c r="AR386" s="81"/>
    </row>
    <row r="387" spans="1:44" x14ac:dyDescent="0.4">
      <c r="A387" s="5" t="str">
        <f t="shared" si="41"/>
        <v>LA-LAS MERCEDES</v>
      </c>
      <c r="B387" s="5" t="str">
        <f t="shared" si="42"/>
        <v>LA</v>
      </c>
      <c r="C387" s="83" t="s">
        <v>775</v>
      </c>
      <c r="D387" s="82" t="s">
        <v>1096</v>
      </c>
      <c r="E387" s="85">
        <v>20</v>
      </c>
      <c r="F387" s="85"/>
      <c r="G387" s="86"/>
      <c r="H387" s="86"/>
      <c r="I387" s="86"/>
      <c r="J387" s="86"/>
      <c r="K387" s="86"/>
      <c r="L387" s="86"/>
      <c r="M387" s="86"/>
      <c r="N387" s="86"/>
      <c r="O387" s="86"/>
      <c r="P387" s="87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1"/>
      <c r="AI387" s="81"/>
      <c r="AJ387" s="81"/>
      <c r="AK387" s="81"/>
      <c r="AL387" s="81"/>
      <c r="AM387" s="81"/>
      <c r="AN387" s="81"/>
      <c r="AO387" s="81"/>
      <c r="AP387" s="81"/>
      <c r="AQ387" s="81"/>
      <c r="AR387" s="81"/>
    </row>
    <row r="388" spans="1:44" x14ac:dyDescent="0.4">
      <c r="A388" s="5" t="str">
        <f t="shared" si="41"/>
        <v>LA-MANUEL MORILLO</v>
      </c>
      <c r="B388" s="5" t="str">
        <f t="shared" si="42"/>
        <v>LA</v>
      </c>
      <c r="C388" s="83" t="s">
        <v>775</v>
      </c>
      <c r="D388" s="82" t="s">
        <v>1144</v>
      </c>
      <c r="E388" s="85">
        <v>7</v>
      </c>
      <c r="F388" s="85"/>
      <c r="G388" s="86"/>
      <c r="H388" s="86"/>
      <c r="I388" s="86"/>
      <c r="J388" s="86"/>
      <c r="K388" s="86"/>
      <c r="L388" s="86"/>
      <c r="M388" s="86"/>
      <c r="N388" s="86"/>
      <c r="O388" s="86"/>
      <c r="P388" s="87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1"/>
      <c r="AI388" s="81"/>
      <c r="AJ388" s="81"/>
      <c r="AK388" s="81"/>
      <c r="AL388" s="81"/>
      <c r="AM388" s="81"/>
      <c r="AN388" s="81"/>
      <c r="AO388" s="81"/>
      <c r="AP388" s="81"/>
      <c r="AQ388" s="81"/>
      <c r="AR388" s="81"/>
    </row>
    <row r="389" spans="1:44" x14ac:dyDescent="0.4">
      <c r="A389" s="5" t="str">
        <f t="shared" si="41"/>
        <v>LA-MONTAÑA VERDE</v>
      </c>
      <c r="B389" s="5" t="str">
        <f t="shared" si="42"/>
        <v>LA</v>
      </c>
      <c r="C389" s="83" t="s">
        <v>775</v>
      </c>
      <c r="D389" s="82" t="s">
        <v>1145</v>
      </c>
      <c r="E389" s="85">
        <v>20</v>
      </c>
      <c r="F389" s="85"/>
      <c r="G389" s="86"/>
      <c r="H389" s="86"/>
      <c r="I389" s="86"/>
      <c r="J389" s="86"/>
      <c r="K389" s="86"/>
      <c r="L389" s="86"/>
      <c r="M389" s="86"/>
      <c r="N389" s="86"/>
      <c r="O389" s="86"/>
      <c r="P389" s="87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1"/>
      <c r="AI389" s="81"/>
      <c r="AJ389" s="81"/>
      <c r="AK389" s="81"/>
      <c r="AL389" s="81"/>
      <c r="AM389" s="81"/>
      <c r="AN389" s="81"/>
      <c r="AO389" s="81"/>
      <c r="AP389" s="81"/>
      <c r="AQ389" s="81"/>
      <c r="AR389" s="81"/>
    </row>
    <row r="390" spans="1:44" x14ac:dyDescent="0.4">
      <c r="A390" s="5" t="str">
        <f t="shared" si="41"/>
        <v>LA-MONTES DE OCA</v>
      </c>
      <c r="B390" s="5" t="str">
        <f t="shared" si="42"/>
        <v>LA</v>
      </c>
      <c r="C390" s="83" t="s">
        <v>775</v>
      </c>
      <c r="D390" s="82" t="s">
        <v>1146</v>
      </c>
      <c r="E390" s="85">
        <v>8</v>
      </c>
      <c r="F390" s="85"/>
      <c r="G390" s="86"/>
      <c r="H390" s="86"/>
      <c r="I390" s="86"/>
      <c r="J390" s="86"/>
      <c r="K390" s="86"/>
      <c r="L390" s="86"/>
      <c r="M390" s="86"/>
      <c r="N390" s="86"/>
      <c r="O390" s="86"/>
      <c r="P390" s="87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  <c r="AI390" s="81"/>
      <c r="AJ390" s="81"/>
      <c r="AK390" s="81"/>
      <c r="AL390" s="81"/>
      <c r="AM390" s="81"/>
      <c r="AN390" s="81"/>
      <c r="AO390" s="81"/>
      <c r="AP390" s="81"/>
      <c r="AQ390" s="81"/>
      <c r="AR390" s="81"/>
    </row>
    <row r="391" spans="1:44" x14ac:dyDescent="0.4">
      <c r="A391" s="5" t="str">
        <f t="shared" si="41"/>
        <v>LA-MORAN</v>
      </c>
      <c r="B391" s="5" t="str">
        <f t="shared" si="42"/>
        <v>LA</v>
      </c>
      <c r="C391" s="83" t="s">
        <v>775</v>
      </c>
      <c r="D391" s="82" t="s">
        <v>1147</v>
      </c>
      <c r="E391" s="85">
        <v>12</v>
      </c>
      <c r="F391" s="85"/>
      <c r="G391" s="86"/>
      <c r="H391" s="86"/>
      <c r="I391" s="86"/>
      <c r="J391" s="86"/>
      <c r="K391" s="86"/>
      <c r="L391" s="86"/>
      <c r="M391" s="86"/>
      <c r="N391" s="86"/>
      <c r="O391" s="86"/>
      <c r="P391" s="87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  <c r="AI391" s="81"/>
      <c r="AJ391" s="81"/>
      <c r="AK391" s="81"/>
      <c r="AL391" s="81"/>
      <c r="AM391" s="81"/>
      <c r="AN391" s="81"/>
      <c r="AO391" s="81"/>
      <c r="AP391" s="81"/>
      <c r="AQ391" s="81"/>
      <c r="AR391" s="81"/>
    </row>
    <row r="392" spans="1:44" x14ac:dyDescent="0.4">
      <c r="A392" s="5" t="str">
        <f t="shared" si="41"/>
        <v>LA-MOROTURO</v>
      </c>
      <c r="B392" s="5" t="str">
        <f t="shared" si="42"/>
        <v>LA</v>
      </c>
      <c r="C392" s="83" t="s">
        <v>775</v>
      </c>
      <c r="D392" s="82" t="s">
        <v>1148</v>
      </c>
      <c r="E392" s="85">
        <v>2</v>
      </c>
      <c r="F392" s="85"/>
      <c r="G392" s="86"/>
      <c r="H392" s="86"/>
      <c r="I392" s="86"/>
      <c r="J392" s="86"/>
      <c r="K392" s="86"/>
      <c r="L392" s="86"/>
      <c r="M392" s="86"/>
      <c r="N392" s="86"/>
      <c r="O392" s="86"/>
      <c r="P392" s="87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1"/>
      <c r="AI392" s="81"/>
      <c r="AJ392" s="81"/>
      <c r="AK392" s="81"/>
      <c r="AL392" s="81"/>
      <c r="AM392" s="81"/>
      <c r="AN392" s="81"/>
      <c r="AO392" s="81"/>
      <c r="AP392" s="81"/>
      <c r="AQ392" s="81"/>
      <c r="AR392" s="81"/>
    </row>
    <row r="393" spans="1:44" x14ac:dyDescent="0.4">
      <c r="A393" s="5" t="str">
        <f t="shared" si="41"/>
        <v>LA-PIO TAMAYO</v>
      </c>
      <c r="B393" s="5" t="str">
        <f t="shared" si="42"/>
        <v>LA</v>
      </c>
      <c r="C393" s="83" t="s">
        <v>775</v>
      </c>
      <c r="D393" s="82" t="s">
        <v>1149</v>
      </c>
      <c r="E393" s="85">
        <v>127</v>
      </c>
      <c r="F393" s="85"/>
      <c r="G393" s="86"/>
      <c r="H393" s="86"/>
      <c r="I393" s="86"/>
      <c r="J393" s="86"/>
      <c r="K393" s="86"/>
      <c r="L393" s="86"/>
      <c r="M393" s="86"/>
      <c r="N393" s="86"/>
      <c r="O393" s="86"/>
      <c r="P393" s="87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  <c r="AI393" s="81"/>
      <c r="AJ393" s="81"/>
      <c r="AK393" s="81"/>
      <c r="AL393" s="81"/>
      <c r="AM393" s="81"/>
      <c r="AN393" s="81"/>
      <c r="AO393" s="81"/>
      <c r="AP393" s="81"/>
      <c r="AQ393" s="81"/>
      <c r="AR393" s="81"/>
    </row>
    <row r="394" spans="1:44" x14ac:dyDescent="0.4">
      <c r="A394" s="5" t="str">
        <f t="shared" si="41"/>
        <v>LA-SAN DIEGO DE LOZADA</v>
      </c>
      <c r="B394" s="5" t="str">
        <f t="shared" si="42"/>
        <v>LA</v>
      </c>
      <c r="C394" s="83" t="s">
        <v>775</v>
      </c>
      <c r="D394" s="82" t="s">
        <v>1150</v>
      </c>
      <c r="E394" s="85">
        <v>13</v>
      </c>
      <c r="F394" s="85"/>
      <c r="G394" s="86"/>
      <c r="H394" s="86"/>
      <c r="I394" s="86"/>
      <c r="J394" s="86"/>
      <c r="K394" s="86"/>
      <c r="L394" s="86"/>
      <c r="M394" s="86"/>
      <c r="N394" s="86"/>
      <c r="O394" s="86"/>
      <c r="P394" s="87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  <c r="AJ394" s="81"/>
      <c r="AK394" s="81"/>
      <c r="AL394" s="81"/>
      <c r="AM394" s="81"/>
      <c r="AN394" s="81"/>
      <c r="AO394" s="81"/>
      <c r="AP394" s="81"/>
      <c r="AQ394" s="81"/>
      <c r="AR394" s="81"/>
    </row>
    <row r="395" spans="1:44" x14ac:dyDescent="0.4">
      <c r="A395" s="5" t="str">
        <f t="shared" si="41"/>
        <v>LA-SAN MIGUEL</v>
      </c>
      <c r="B395" s="5" t="str">
        <f t="shared" si="42"/>
        <v>LA</v>
      </c>
      <c r="C395" s="83" t="s">
        <v>775</v>
      </c>
      <c r="D395" s="82" t="s">
        <v>823</v>
      </c>
      <c r="E395" s="85">
        <v>4</v>
      </c>
      <c r="F395" s="85"/>
      <c r="G395" s="86"/>
      <c r="H395" s="86"/>
      <c r="I395" s="86"/>
      <c r="J395" s="86"/>
      <c r="K395" s="86"/>
      <c r="L395" s="86"/>
      <c r="M395" s="86"/>
      <c r="N395" s="86"/>
      <c r="O395" s="86"/>
      <c r="P395" s="87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  <c r="AQ395" s="81"/>
      <c r="AR395" s="81"/>
    </row>
    <row r="396" spans="1:44" x14ac:dyDescent="0.4">
      <c r="A396" s="5" t="str">
        <f t="shared" si="41"/>
        <v>LA-SAN MIGUEL</v>
      </c>
      <c r="B396" s="5" t="str">
        <f t="shared" si="42"/>
        <v>LA</v>
      </c>
      <c r="C396" s="83" t="s">
        <v>775</v>
      </c>
      <c r="D396" s="82" t="s">
        <v>823</v>
      </c>
      <c r="E396" s="85">
        <v>44</v>
      </c>
      <c r="F396" s="85"/>
      <c r="G396" s="86"/>
      <c r="H396" s="86"/>
      <c r="I396" s="86"/>
      <c r="J396" s="86"/>
      <c r="K396" s="86"/>
      <c r="L396" s="86"/>
      <c r="M396" s="86"/>
      <c r="N396" s="86"/>
      <c r="O396" s="86"/>
      <c r="P396" s="87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  <c r="AI396" s="81"/>
      <c r="AJ396" s="81"/>
      <c r="AK396" s="81"/>
      <c r="AL396" s="81"/>
      <c r="AM396" s="81"/>
      <c r="AN396" s="81"/>
      <c r="AO396" s="81"/>
      <c r="AP396" s="81"/>
      <c r="AQ396" s="81"/>
      <c r="AR396" s="81"/>
    </row>
    <row r="397" spans="1:44" x14ac:dyDescent="0.4">
      <c r="A397" s="5" t="str">
        <f t="shared" si="41"/>
        <v>LA-SANTA ROSA</v>
      </c>
      <c r="B397" s="5" t="str">
        <f t="shared" si="42"/>
        <v>LA</v>
      </c>
      <c r="C397" s="83" t="s">
        <v>775</v>
      </c>
      <c r="D397" s="82" t="s">
        <v>827</v>
      </c>
      <c r="E397" s="85">
        <v>130</v>
      </c>
      <c r="F397" s="85"/>
      <c r="G397" s="86"/>
      <c r="H397" s="86"/>
      <c r="I397" s="86"/>
      <c r="J397" s="86"/>
      <c r="K397" s="86"/>
      <c r="L397" s="86"/>
      <c r="M397" s="86"/>
      <c r="N397" s="86"/>
      <c r="O397" s="86"/>
      <c r="P397" s="87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81"/>
      <c r="AH397" s="81"/>
      <c r="AI397" s="81"/>
      <c r="AJ397" s="81"/>
      <c r="AK397" s="81"/>
      <c r="AL397" s="81"/>
      <c r="AM397" s="81"/>
      <c r="AN397" s="81"/>
      <c r="AO397" s="81"/>
      <c r="AP397" s="81"/>
      <c r="AQ397" s="81"/>
      <c r="AR397" s="81"/>
    </row>
    <row r="398" spans="1:44" x14ac:dyDescent="0.4">
      <c r="A398" s="5" t="str">
        <f t="shared" si="41"/>
        <v>LA-SIMON PLANAS</v>
      </c>
      <c r="B398" s="5" t="str">
        <f t="shared" si="42"/>
        <v>LA</v>
      </c>
      <c r="C398" s="83" t="s">
        <v>775</v>
      </c>
      <c r="D398" s="82" t="s">
        <v>1151</v>
      </c>
      <c r="E398" s="85">
        <v>45</v>
      </c>
      <c r="F398" s="85"/>
      <c r="G398" s="86"/>
      <c r="H398" s="86"/>
      <c r="I398" s="86"/>
      <c r="J398" s="86"/>
      <c r="K398" s="86"/>
      <c r="L398" s="86"/>
      <c r="M398" s="86"/>
      <c r="N398" s="86"/>
      <c r="O398" s="86"/>
      <c r="P398" s="87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1"/>
      <c r="AI398" s="81"/>
      <c r="AJ398" s="81"/>
      <c r="AK398" s="81"/>
      <c r="AL398" s="81"/>
      <c r="AM398" s="81"/>
      <c r="AN398" s="81"/>
      <c r="AO398" s="81"/>
      <c r="AP398" s="81"/>
      <c r="AQ398" s="81"/>
      <c r="AR398" s="81"/>
    </row>
    <row r="399" spans="1:44" x14ac:dyDescent="0.4">
      <c r="A399" s="5" t="str">
        <f t="shared" si="41"/>
        <v>LA-SIQUISIQUE</v>
      </c>
      <c r="B399" s="5" t="str">
        <f t="shared" si="42"/>
        <v>LA</v>
      </c>
      <c r="C399" s="83" t="s">
        <v>775</v>
      </c>
      <c r="D399" s="82" t="s">
        <v>1152</v>
      </c>
      <c r="E399" s="85">
        <v>73</v>
      </c>
      <c r="F399" s="85"/>
      <c r="G399" s="86"/>
      <c r="H399" s="86"/>
      <c r="I399" s="86"/>
      <c r="J399" s="86"/>
      <c r="K399" s="86"/>
      <c r="L399" s="86"/>
      <c r="M399" s="86"/>
      <c r="N399" s="86"/>
      <c r="O399" s="86"/>
      <c r="P399" s="87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1"/>
      <c r="AI399" s="81"/>
      <c r="AJ399" s="81"/>
      <c r="AK399" s="81"/>
      <c r="AL399" s="81"/>
      <c r="AM399" s="81"/>
      <c r="AN399" s="81"/>
      <c r="AO399" s="81"/>
      <c r="AP399" s="81"/>
      <c r="AQ399" s="81"/>
      <c r="AR399" s="81"/>
    </row>
    <row r="400" spans="1:44" x14ac:dyDescent="0.4">
      <c r="A400" s="5" t="str">
        <f t="shared" si="41"/>
        <v>LA-TORRES</v>
      </c>
      <c r="B400" s="5" t="str">
        <f t="shared" si="42"/>
        <v>LA</v>
      </c>
      <c r="C400" s="83" t="s">
        <v>775</v>
      </c>
      <c r="D400" s="82" t="s">
        <v>1153</v>
      </c>
      <c r="E400" s="85">
        <v>9</v>
      </c>
      <c r="F400" s="85"/>
      <c r="G400" s="86"/>
      <c r="H400" s="86"/>
      <c r="I400" s="86"/>
      <c r="J400" s="86"/>
      <c r="K400" s="86"/>
      <c r="L400" s="86"/>
      <c r="M400" s="86"/>
      <c r="N400" s="86"/>
      <c r="O400" s="86"/>
      <c r="P400" s="87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1"/>
      <c r="AI400" s="81"/>
      <c r="AJ400" s="81"/>
      <c r="AK400" s="81"/>
      <c r="AL400" s="81"/>
      <c r="AM400" s="81"/>
      <c r="AN400" s="81"/>
      <c r="AO400" s="81"/>
      <c r="AP400" s="81"/>
      <c r="AQ400" s="81"/>
      <c r="AR400" s="81"/>
    </row>
    <row r="401" spans="1:44" x14ac:dyDescent="0.4">
      <c r="A401" s="5" t="str">
        <f t="shared" si="41"/>
        <v>LA-TRINIDAD SAMUEL</v>
      </c>
      <c r="B401" s="5" t="str">
        <f t="shared" si="42"/>
        <v>LA</v>
      </c>
      <c r="C401" s="83" t="s">
        <v>775</v>
      </c>
      <c r="D401" s="82" t="s">
        <v>1154</v>
      </c>
      <c r="E401" s="85">
        <v>555</v>
      </c>
      <c r="F401" s="85"/>
      <c r="G401" s="86"/>
      <c r="H401" s="86"/>
      <c r="I401" s="86"/>
      <c r="J401" s="86"/>
      <c r="K401" s="86"/>
      <c r="L401" s="86"/>
      <c r="M401" s="86"/>
      <c r="N401" s="86"/>
      <c r="O401" s="86"/>
      <c r="P401" s="87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81"/>
      <c r="AH401" s="81"/>
      <c r="AI401" s="81"/>
      <c r="AJ401" s="81"/>
      <c r="AK401" s="81"/>
      <c r="AL401" s="81"/>
      <c r="AM401" s="81"/>
      <c r="AN401" s="81"/>
      <c r="AO401" s="81"/>
      <c r="AP401" s="81"/>
      <c r="AQ401" s="81"/>
      <c r="AR401" s="81"/>
    </row>
    <row r="402" spans="1:44" x14ac:dyDescent="0.4">
      <c r="A402" s="5" t="str">
        <f t="shared" si="41"/>
        <v>LA-UNION</v>
      </c>
      <c r="B402" s="5" t="str">
        <f t="shared" si="42"/>
        <v>LA</v>
      </c>
      <c r="C402" s="83" t="s">
        <v>775</v>
      </c>
      <c r="D402" s="82" t="s">
        <v>984</v>
      </c>
      <c r="E402" s="85">
        <v>219</v>
      </c>
      <c r="F402" s="85"/>
      <c r="G402" s="86"/>
      <c r="H402" s="86"/>
      <c r="I402" s="86"/>
      <c r="J402" s="86"/>
      <c r="K402" s="86"/>
      <c r="L402" s="86"/>
      <c r="M402" s="86"/>
      <c r="N402" s="86"/>
      <c r="O402" s="86"/>
      <c r="P402" s="87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1"/>
      <c r="AI402" s="81"/>
      <c r="AJ402" s="81"/>
      <c r="AK402" s="81"/>
      <c r="AL402" s="81"/>
      <c r="AM402" s="81"/>
      <c r="AN402" s="81"/>
      <c r="AO402" s="81"/>
      <c r="AP402" s="81"/>
      <c r="AQ402" s="81"/>
      <c r="AR402" s="81"/>
    </row>
    <row r="403" spans="1:44" x14ac:dyDescent="0.4">
      <c r="A403" s="5" t="str">
        <f t="shared" si="41"/>
        <v>LA-YACAMBU</v>
      </c>
      <c r="B403" s="5" t="str">
        <f t="shared" si="42"/>
        <v>LA</v>
      </c>
      <c r="C403" s="83" t="s">
        <v>775</v>
      </c>
      <c r="D403" s="82" t="s">
        <v>1155</v>
      </c>
      <c r="E403" s="85">
        <v>4</v>
      </c>
      <c r="F403" s="85"/>
      <c r="G403" s="86"/>
      <c r="H403" s="86"/>
      <c r="I403" s="86"/>
      <c r="J403" s="86"/>
      <c r="K403" s="86"/>
      <c r="L403" s="86"/>
      <c r="M403" s="86"/>
      <c r="N403" s="86"/>
      <c r="O403" s="86"/>
      <c r="P403" s="87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81"/>
      <c r="AH403" s="81"/>
      <c r="AI403" s="81"/>
      <c r="AJ403" s="81"/>
      <c r="AK403" s="81"/>
      <c r="AL403" s="81"/>
      <c r="AM403" s="81"/>
      <c r="AN403" s="81"/>
      <c r="AO403" s="81"/>
      <c r="AP403" s="81"/>
      <c r="AQ403" s="81"/>
      <c r="AR403" s="81"/>
    </row>
    <row r="404" spans="1:44" x14ac:dyDescent="0.4">
      <c r="A404" s="5" t="str">
        <f t="shared" si="41"/>
        <v>ME-ACEQUIAS</v>
      </c>
      <c r="B404" s="5" t="str">
        <f t="shared" si="42"/>
        <v>ME</v>
      </c>
      <c r="C404" s="83" t="s">
        <v>1156</v>
      </c>
      <c r="D404" s="82" t="s">
        <v>1157</v>
      </c>
      <c r="E404" s="85">
        <v>12</v>
      </c>
      <c r="F404" s="85"/>
      <c r="G404" s="86"/>
      <c r="H404" s="86"/>
      <c r="I404" s="86"/>
      <c r="J404" s="86"/>
      <c r="K404" s="86"/>
      <c r="L404" s="86"/>
      <c r="M404" s="86"/>
      <c r="N404" s="86"/>
      <c r="O404" s="86"/>
      <c r="P404" s="87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81"/>
      <c r="AH404" s="81"/>
      <c r="AI404" s="81"/>
      <c r="AJ404" s="81"/>
      <c r="AK404" s="81"/>
      <c r="AL404" s="81"/>
      <c r="AM404" s="81"/>
      <c r="AN404" s="81"/>
      <c r="AO404" s="81"/>
      <c r="AP404" s="81"/>
      <c r="AQ404" s="81"/>
      <c r="AR404" s="81"/>
    </row>
    <row r="405" spans="1:44" x14ac:dyDescent="0.4">
      <c r="A405" s="5" t="str">
        <f t="shared" si="41"/>
        <v>ME-ANDRES BELLO</v>
      </c>
      <c r="B405" s="5" t="str">
        <f t="shared" si="42"/>
        <v>ME</v>
      </c>
      <c r="C405" s="83" t="s">
        <v>1156</v>
      </c>
      <c r="D405" s="82" t="s">
        <v>894</v>
      </c>
      <c r="E405" s="85">
        <v>37</v>
      </c>
      <c r="F405" s="85"/>
      <c r="G405" s="86"/>
      <c r="H405" s="86"/>
      <c r="I405" s="86"/>
      <c r="J405" s="86"/>
      <c r="K405" s="86"/>
      <c r="L405" s="86"/>
      <c r="M405" s="86"/>
      <c r="N405" s="86"/>
      <c r="O405" s="86"/>
      <c r="P405" s="87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81"/>
      <c r="AH405" s="81"/>
      <c r="AI405" s="81"/>
      <c r="AJ405" s="81"/>
      <c r="AK405" s="81"/>
      <c r="AL405" s="81"/>
      <c r="AM405" s="81"/>
      <c r="AN405" s="81"/>
      <c r="AO405" s="81"/>
      <c r="AP405" s="81"/>
      <c r="AQ405" s="81"/>
      <c r="AR405" s="81"/>
    </row>
    <row r="406" spans="1:44" x14ac:dyDescent="0.4">
      <c r="A406" s="5" t="str">
        <f t="shared" si="41"/>
        <v>ME-ANDRES ELOY BLANCO</v>
      </c>
      <c r="B406" s="5" t="str">
        <f t="shared" si="42"/>
        <v>ME</v>
      </c>
      <c r="C406" s="83" t="s">
        <v>1156</v>
      </c>
      <c r="D406" s="82" t="s">
        <v>895</v>
      </c>
      <c r="E406" s="85">
        <v>13</v>
      </c>
      <c r="F406" s="85"/>
      <c r="G406" s="86"/>
      <c r="H406" s="86"/>
      <c r="I406" s="86"/>
      <c r="J406" s="86"/>
      <c r="K406" s="86"/>
      <c r="L406" s="86"/>
      <c r="M406" s="86"/>
      <c r="N406" s="86"/>
      <c r="O406" s="86"/>
      <c r="P406" s="87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81"/>
      <c r="AH406" s="81"/>
      <c r="AI406" s="81"/>
      <c r="AJ406" s="81"/>
      <c r="AK406" s="81"/>
      <c r="AL406" s="81"/>
      <c r="AM406" s="81"/>
      <c r="AN406" s="81"/>
      <c r="AO406" s="81"/>
      <c r="AP406" s="81"/>
      <c r="AQ406" s="81"/>
      <c r="AR406" s="81"/>
    </row>
    <row r="407" spans="1:44" x14ac:dyDescent="0.4">
      <c r="A407" s="5" t="str">
        <f t="shared" si="41"/>
        <v>ME-ANTONIO ESPINETTI DINI</v>
      </c>
      <c r="B407" s="5" t="str">
        <f t="shared" si="42"/>
        <v>ME</v>
      </c>
      <c r="C407" s="83" t="s">
        <v>1156</v>
      </c>
      <c r="D407" s="82" t="s">
        <v>1158</v>
      </c>
      <c r="E407" s="85">
        <v>80</v>
      </c>
      <c r="F407" s="85"/>
      <c r="G407" s="86"/>
      <c r="H407" s="86"/>
      <c r="I407" s="86"/>
      <c r="J407" s="86"/>
      <c r="K407" s="86"/>
      <c r="L407" s="86"/>
      <c r="M407" s="86"/>
      <c r="N407" s="86"/>
      <c r="O407" s="86"/>
      <c r="P407" s="87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81"/>
      <c r="AH407" s="81"/>
      <c r="AI407" s="81"/>
      <c r="AJ407" s="81"/>
      <c r="AK407" s="81"/>
      <c r="AL407" s="81"/>
      <c r="AM407" s="81"/>
      <c r="AN407" s="81"/>
      <c r="AO407" s="81"/>
      <c r="AP407" s="81"/>
      <c r="AQ407" s="81"/>
      <c r="AR407" s="81"/>
    </row>
    <row r="408" spans="1:44" x14ac:dyDescent="0.4">
      <c r="A408" s="5" t="str">
        <f t="shared" si="41"/>
        <v>ME-ARIAS</v>
      </c>
      <c r="B408" s="5" t="str">
        <f t="shared" si="42"/>
        <v>ME</v>
      </c>
      <c r="C408" s="83" t="s">
        <v>1156</v>
      </c>
      <c r="D408" s="82" t="s">
        <v>1159</v>
      </c>
      <c r="E408" s="85">
        <v>27</v>
      </c>
      <c r="F408" s="85"/>
      <c r="G408" s="86"/>
      <c r="H408" s="86"/>
      <c r="I408" s="86"/>
      <c r="J408" s="86"/>
      <c r="K408" s="86"/>
      <c r="L408" s="86"/>
      <c r="M408" s="86"/>
      <c r="N408" s="86"/>
      <c r="O408" s="86"/>
      <c r="P408" s="87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81"/>
      <c r="AH408" s="81"/>
      <c r="AI408" s="81"/>
      <c r="AJ408" s="81"/>
      <c r="AK408" s="81"/>
      <c r="AL408" s="81"/>
      <c r="AM408" s="81"/>
      <c r="AN408" s="81"/>
      <c r="AO408" s="81"/>
      <c r="AP408" s="81"/>
      <c r="AQ408" s="81"/>
      <c r="AR408" s="81"/>
    </row>
    <row r="409" spans="1:44" x14ac:dyDescent="0.4">
      <c r="A409" s="5" t="str">
        <f t="shared" si="41"/>
        <v>ME-ARICAGUA</v>
      </c>
      <c r="B409" s="5" t="str">
        <f t="shared" si="42"/>
        <v>ME</v>
      </c>
      <c r="C409" s="83" t="s">
        <v>1156</v>
      </c>
      <c r="D409" s="82" t="s">
        <v>1160</v>
      </c>
      <c r="E409" s="85">
        <v>12</v>
      </c>
      <c r="F409" s="85"/>
      <c r="G409" s="86"/>
      <c r="H409" s="86"/>
      <c r="I409" s="86"/>
      <c r="J409" s="86"/>
      <c r="K409" s="86"/>
      <c r="L409" s="86"/>
      <c r="M409" s="86"/>
      <c r="N409" s="86"/>
      <c r="O409" s="86"/>
      <c r="P409" s="87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81"/>
      <c r="AH409" s="81"/>
      <c r="AI409" s="81"/>
      <c r="AJ409" s="81"/>
      <c r="AK409" s="81"/>
      <c r="AL409" s="81"/>
      <c r="AM409" s="81"/>
      <c r="AN409" s="81"/>
      <c r="AO409" s="81"/>
      <c r="AP409" s="81"/>
      <c r="AQ409" s="81"/>
      <c r="AR409" s="81"/>
    </row>
    <row r="410" spans="1:44" x14ac:dyDescent="0.4">
      <c r="A410" s="5" t="str">
        <f t="shared" si="41"/>
        <v>ME-CACUTE</v>
      </c>
      <c r="B410" s="5" t="str">
        <f t="shared" si="42"/>
        <v>ME</v>
      </c>
      <c r="C410" s="83" t="s">
        <v>1156</v>
      </c>
      <c r="D410" s="82" t="s">
        <v>1161</v>
      </c>
      <c r="E410" s="85">
        <v>1</v>
      </c>
      <c r="F410" s="85"/>
      <c r="G410" s="86"/>
      <c r="H410" s="86"/>
      <c r="I410" s="86"/>
      <c r="J410" s="86"/>
      <c r="K410" s="86"/>
      <c r="L410" s="86"/>
      <c r="M410" s="86"/>
      <c r="N410" s="86"/>
      <c r="O410" s="86"/>
      <c r="P410" s="87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81"/>
      <c r="AH410" s="81"/>
      <c r="AI410" s="81"/>
      <c r="AJ410" s="81"/>
      <c r="AK410" s="81"/>
      <c r="AL410" s="81"/>
      <c r="AM410" s="81"/>
      <c r="AN410" s="81"/>
      <c r="AO410" s="81"/>
      <c r="AP410" s="81"/>
      <c r="AQ410" s="81"/>
      <c r="AR410" s="81"/>
    </row>
    <row r="411" spans="1:44" x14ac:dyDescent="0.4">
      <c r="A411" s="5" t="str">
        <f t="shared" si="41"/>
        <v>ME-CANAGUA</v>
      </c>
      <c r="B411" s="5" t="str">
        <f t="shared" si="42"/>
        <v>ME</v>
      </c>
      <c r="C411" s="83" t="s">
        <v>1156</v>
      </c>
      <c r="D411" s="82" t="s">
        <v>1162</v>
      </c>
      <c r="E411" s="85">
        <v>1</v>
      </c>
      <c r="F411" s="85"/>
      <c r="G411" s="86"/>
      <c r="H411" s="86"/>
      <c r="I411" s="86"/>
      <c r="J411" s="86"/>
      <c r="K411" s="86"/>
      <c r="L411" s="86"/>
      <c r="M411" s="86"/>
      <c r="N411" s="86"/>
      <c r="O411" s="86"/>
      <c r="P411" s="87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81"/>
      <c r="AH411" s="81"/>
      <c r="AI411" s="81"/>
      <c r="AJ411" s="81"/>
      <c r="AK411" s="81"/>
      <c r="AL411" s="81"/>
      <c r="AM411" s="81"/>
      <c r="AN411" s="81"/>
      <c r="AO411" s="81"/>
      <c r="AP411" s="81"/>
      <c r="AQ411" s="81"/>
      <c r="AR411" s="81"/>
    </row>
    <row r="412" spans="1:44" x14ac:dyDescent="0.4">
      <c r="A412" s="5" t="str">
        <f t="shared" si="41"/>
        <v>ME-CANAGUA (ARSOBISPO</v>
      </c>
      <c r="B412" s="5" t="str">
        <f t="shared" si="42"/>
        <v>ME</v>
      </c>
      <c r="C412" s="83" t="s">
        <v>1156</v>
      </c>
      <c r="D412" s="82" t="s">
        <v>1163</v>
      </c>
      <c r="E412" s="85">
        <v>13</v>
      </c>
      <c r="F412" s="85"/>
      <c r="G412" s="86"/>
      <c r="H412" s="86"/>
      <c r="I412" s="86"/>
      <c r="J412" s="86"/>
      <c r="K412" s="86"/>
      <c r="L412" s="86"/>
      <c r="M412" s="86"/>
      <c r="N412" s="86"/>
      <c r="O412" s="86"/>
      <c r="P412" s="87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  <c r="AG412" s="81"/>
      <c r="AH412" s="81"/>
      <c r="AI412" s="81"/>
      <c r="AJ412" s="81"/>
      <c r="AK412" s="81"/>
      <c r="AL412" s="81"/>
      <c r="AM412" s="81"/>
      <c r="AN412" s="81"/>
      <c r="AO412" s="81"/>
      <c r="AP412" s="81"/>
      <c r="AQ412" s="81"/>
      <c r="AR412" s="81"/>
    </row>
    <row r="413" spans="1:44" x14ac:dyDescent="0.4">
      <c r="A413" s="5" t="str">
        <f t="shared" si="41"/>
        <v>ME-CAÑO DE TIGRE</v>
      </c>
      <c r="B413" s="5" t="str">
        <f t="shared" si="42"/>
        <v>ME</v>
      </c>
      <c r="C413" s="83" t="s">
        <v>1156</v>
      </c>
      <c r="D413" s="82" t="s">
        <v>1164</v>
      </c>
      <c r="E413" s="85">
        <v>4</v>
      </c>
      <c r="F413" s="85"/>
      <c r="G413" s="86"/>
      <c r="H413" s="86"/>
      <c r="I413" s="86"/>
      <c r="J413" s="86"/>
      <c r="K413" s="86"/>
      <c r="L413" s="86"/>
      <c r="M413" s="86"/>
      <c r="N413" s="86"/>
      <c r="O413" s="86"/>
      <c r="P413" s="87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81"/>
      <c r="AH413" s="81"/>
      <c r="AI413" s="81"/>
      <c r="AJ413" s="81"/>
      <c r="AK413" s="81"/>
      <c r="AL413" s="81"/>
      <c r="AM413" s="81"/>
      <c r="AN413" s="81"/>
      <c r="AO413" s="81"/>
      <c r="AP413" s="81"/>
      <c r="AQ413" s="81"/>
      <c r="AR413" s="81"/>
    </row>
    <row r="414" spans="1:44" x14ac:dyDescent="0.4">
      <c r="A414" s="5" t="str">
        <f t="shared" si="41"/>
        <v>ME-CAPURI</v>
      </c>
      <c r="B414" s="5" t="str">
        <f t="shared" si="42"/>
        <v>ME</v>
      </c>
      <c r="C414" s="83" t="s">
        <v>1156</v>
      </c>
      <c r="D414" s="82" t="s">
        <v>1165</v>
      </c>
      <c r="E414" s="85">
        <v>2</v>
      </c>
      <c r="F414" s="85"/>
      <c r="G414" s="86"/>
      <c r="H414" s="86"/>
      <c r="I414" s="86"/>
      <c r="J414" s="86"/>
      <c r="K414" s="86"/>
      <c r="L414" s="86"/>
      <c r="M414" s="86"/>
      <c r="N414" s="86"/>
      <c r="O414" s="86"/>
      <c r="P414" s="87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81"/>
      <c r="AH414" s="81"/>
      <c r="AI414" s="81"/>
      <c r="AJ414" s="81"/>
      <c r="AK414" s="81"/>
      <c r="AL414" s="81"/>
      <c r="AM414" s="81"/>
      <c r="AN414" s="81"/>
      <c r="AO414" s="81"/>
      <c r="AP414" s="81"/>
      <c r="AQ414" s="81"/>
      <c r="AR414" s="81"/>
    </row>
    <row r="415" spans="1:44" x14ac:dyDescent="0.4">
      <c r="A415" s="5" t="str">
        <f t="shared" si="41"/>
        <v>ME-CARACCIOLLO PARRA OLMEDO</v>
      </c>
      <c r="B415" s="5" t="str">
        <f t="shared" si="42"/>
        <v>ME</v>
      </c>
      <c r="C415" s="83" t="s">
        <v>1156</v>
      </c>
      <c r="D415" s="82" t="s">
        <v>1166</v>
      </c>
      <c r="E415" s="85">
        <v>80</v>
      </c>
      <c r="F415" s="85"/>
      <c r="G415" s="86"/>
      <c r="H415" s="86"/>
      <c r="I415" s="86"/>
      <c r="J415" s="86"/>
      <c r="K415" s="86"/>
      <c r="L415" s="86"/>
      <c r="M415" s="86"/>
      <c r="N415" s="86"/>
      <c r="O415" s="86"/>
      <c r="P415" s="87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81"/>
      <c r="AH415" s="81"/>
      <c r="AI415" s="81"/>
      <c r="AJ415" s="81"/>
      <c r="AK415" s="81"/>
      <c r="AL415" s="81"/>
      <c r="AM415" s="81"/>
      <c r="AN415" s="81"/>
      <c r="AO415" s="81"/>
      <c r="AP415" s="81"/>
      <c r="AQ415" s="81"/>
      <c r="AR415" s="81"/>
    </row>
    <row r="416" spans="1:44" x14ac:dyDescent="0.4">
      <c r="A416" s="5" t="str">
        <f t="shared" si="41"/>
        <v>ME-CARACCIOLO PARRA PEREZ</v>
      </c>
      <c r="B416" s="5" t="str">
        <f t="shared" si="42"/>
        <v>ME</v>
      </c>
      <c r="C416" s="83" t="s">
        <v>1156</v>
      </c>
      <c r="D416" s="82" t="s">
        <v>1167</v>
      </c>
      <c r="E416" s="85">
        <v>25</v>
      </c>
      <c r="F416" s="85"/>
      <c r="G416" s="86"/>
      <c r="H416" s="86"/>
      <c r="I416" s="86"/>
      <c r="J416" s="86"/>
      <c r="K416" s="86"/>
      <c r="L416" s="86"/>
      <c r="M416" s="86"/>
      <c r="N416" s="86"/>
      <c r="O416" s="86"/>
      <c r="P416" s="87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81"/>
      <c r="AH416" s="81"/>
      <c r="AI416" s="81"/>
      <c r="AJ416" s="81"/>
      <c r="AK416" s="81"/>
      <c r="AL416" s="81"/>
      <c r="AM416" s="81"/>
      <c r="AN416" s="81"/>
      <c r="AO416" s="81"/>
      <c r="AP416" s="81"/>
      <c r="AQ416" s="81"/>
      <c r="AR416" s="81"/>
    </row>
    <row r="417" spans="1:44" x14ac:dyDescent="0.4">
      <c r="A417" s="5" t="str">
        <f t="shared" si="41"/>
        <v>ME-CARDENAL QUINTERO</v>
      </c>
      <c r="B417" s="5" t="str">
        <f t="shared" si="42"/>
        <v>ME</v>
      </c>
      <c r="C417" s="83" t="s">
        <v>1156</v>
      </c>
      <c r="D417" s="82" t="s">
        <v>1168</v>
      </c>
      <c r="E417" s="85">
        <v>21</v>
      </c>
      <c r="F417" s="85"/>
      <c r="G417" s="86"/>
      <c r="H417" s="86"/>
      <c r="I417" s="86"/>
      <c r="J417" s="86"/>
      <c r="K417" s="86"/>
      <c r="L417" s="86"/>
      <c r="M417" s="86"/>
      <c r="N417" s="86"/>
      <c r="O417" s="86"/>
      <c r="P417" s="87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  <c r="AG417" s="81"/>
      <c r="AH417" s="81"/>
      <c r="AI417" s="81"/>
      <c r="AJ417" s="81"/>
      <c r="AK417" s="81"/>
      <c r="AL417" s="81"/>
      <c r="AM417" s="81"/>
      <c r="AN417" s="81"/>
      <c r="AO417" s="81"/>
      <c r="AP417" s="81"/>
      <c r="AQ417" s="81"/>
      <c r="AR417" s="81"/>
    </row>
    <row r="418" spans="1:44" x14ac:dyDescent="0.4">
      <c r="A418" s="5" t="str">
        <f t="shared" si="41"/>
        <v>ME-CHACANTA</v>
      </c>
      <c r="B418" s="5" t="str">
        <f t="shared" si="42"/>
        <v>ME</v>
      </c>
      <c r="C418" s="83" t="s">
        <v>1156</v>
      </c>
      <c r="D418" s="82" t="s">
        <v>1169</v>
      </c>
      <c r="E418" s="85">
        <v>11</v>
      </c>
      <c r="F418" s="85"/>
      <c r="G418" s="86"/>
      <c r="H418" s="86"/>
      <c r="I418" s="86"/>
      <c r="J418" s="86"/>
      <c r="K418" s="86"/>
      <c r="L418" s="86"/>
      <c r="M418" s="86"/>
      <c r="N418" s="86"/>
      <c r="O418" s="86"/>
      <c r="P418" s="87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  <c r="AG418" s="81"/>
      <c r="AH418" s="81"/>
      <c r="AI418" s="81"/>
      <c r="AJ418" s="81"/>
      <c r="AK418" s="81"/>
      <c r="AL418" s="81"/>
      <c r="AM418" s="81"/>
      <c r="AN418" s="81"/>
      <c r="AO418" s="81"/>
      <c r="AP418" s="81"/>
      <c r="AQ418" s="81"/>
      <c r="AR418" s="81"/>
    </row>
    <row r="419" spans="1:44" x14ac:dyDescent="0.4">
      <c r="A419" s="5" t="str">
        <f t="shared" si="41"/>
        <v>ME-CHIGUARA</v>
      </c>
      <c r="B419" s="5" t="str">
        <f t="shared" si="42"/>
        <v>ME</v>
      </c>
      <c r="C419" s="83" t="s">
        <v>1156</v>
      </c>
      <c r="D419" s="82" t="s">
        <v>1170</v>
      </c>
      <c r="E419" s="85">
        <v>29</v>
      </c>
      <c r="F419" s="85"/>
      <c r="G419" s="86"/>
      <c r="H419" s="86"/>
      <c r="I419" s="86"/>
      <c r="J419" s="86"/>
      <c r="K419" s="86"/>
      <c r="L419" s="86"/>
      <c r="M419" s="86"/>
      <c r="N419" s="86"/>
      <c r="O419" s="86"/>
      <c r="P419" s="87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81"/>
      <c r="AH419" s="81"/>
      <c r="AI419" s="81"/>
      <c r="AJ419" s="81"/>
      <c r="AK419" s="81"/>
      <c r="AL419" s="81"/>
      <c r="AM419" s="81"/>
      <c r="AN419" s="81"/>
      <c r="AO419" s="81"/>
      <c r="AP419" s="81"/>
      <c r="AQ419" s="81"/>
      <c r="AR419" s="81"/>
    </row>
    <row r="420" spans="1:44" x14ac:dyDescent="0.4">
      <c r="A420" s="5" t="str">
        <f t="shared" si="41"/>
        <v>ME-DOMINGO PEÑA</v>
      </c>
      <c r="B420" s="5" t="str">
        <f t="shared" si="42"/>
        <v>ME</v>
      </c>
      <c r="C420" s="83" t="s">
        <v>1156</v>
      </c>
      <c r="D420" s="82" t="s">
        <v>1171</v>
      </c>
      <c r="E420" s="85">
        <v>989</v>
      </c>
      <c r="F420" s="85"/>
      <c r="G420" s="86"/>
      <c r="H420" s="86"/>
      <c r="I420" s="86"/>
      <c r="J420" s="86"/>
      <c r="K420" s="86"/>
      <c r="L420" s="86"/>
      <c r="M420" s="86"/>
      <c r="N420" s="86"/>
      <c r="O420" s="86"/>
      <c r="P420" s="87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81"/>
      <c r="AH420" s="81"/>
      <c r="AI420" s="81"/>
      <c r="AJ420" s="81"/>
      <c r="AK420" s="81"/>
      <c r="AL420" s="81"/>
      <c r="AM420" s="81"/>
      <c r="AN420" s="81"/>
      <c r="AO420" s="81"/>
      <c r="AP420" s="81"/>
      <c r="AQ420" s="81"/>
      <c r="AR420" s="81"/>
    </row>
    <row r="421" spans="1:44" x14ac:dyDescent="0.4">
      <c r="A421" s="5" t="str">
        <f t="shared" si="41"/>
        <v>ME-EL AMPARO</v>
      </c>
      <c r="B421" s="5" t="str">
        <f t="shared" si="42"/>
        <v>ME</v>
      </c>
      <c r="C421" s="83" t="s">
        <v>1156</v>
      </c>
      <c r="D421" s="82" t="s">
        <v>843</v>
      </c>
      <c r="E421" s="85">
        <v>9</v>
      </c>
      <c r="F421" s="85"/>
      <c r="G421" s="86"/>
      <c r="H421" s="86"/>
      <c r="I421" s="86"/>
      <c r="J421" s="86"/>
      <c r="K421" s="86"/>
      <c r="L421" s="86"/>
      <c r="M421" s="86"/>
      <c r="N421" s="86"/>
      <c r="O421" s="86"/>
      <c r="P421" s="87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  <c r="AI421" s="81"/>
      <c r="AJ421" s="81"/>
      <c r="AK421" s="81"/>
      <c r="AL421" s="81"/>
      <c r="AM421" s="81"/>
      <c r="AN421" s="81"/>
      <c r="AO421" s="81"/>
      <c r="AP421" s="81"/>
      <c r="AQ421" s="81"/>
      <c r="AR421" s="81"/>
    </row>
    <row r="422" spans="1:44" x14ac:dyDescent="0.4">
      <c r="A422" s="5" t="str">
        <f t="shared" si="41"/>
        <v>ME-EL LLANO (LIBERTAD)</v>
      </c>
      <c r="B422" s="5" t="str">
        <f t="shared" si="42"/>
        <v>ME</v>
      </c>
      <c r="C422" s="83" t="s">
        <v>1156</v>
      </c>
      <c r="D422" s="82" t="s">
        <v>1172</v>
      </c>
      <c r="E422" s="85">
        <v>82</v>
      </c>
      <c r="F422" s="85"/>
      <c r="G422" s="86"/>
      <c r="H422" s="86"/>
      <c r="I422" s="86"/>
      <c r="J422" s="86"/>
      <c r="K422" s="86"/>
      <c r="L422" s="86"/>
      <c r="M422" s="86"/>
      <c r="N422" s="86"/>
      <c r="O422" s="86"/>
      <c r="P422" s="87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1"/>
      <c r="AI422" s="81"/>
      <c r="AJ422" s="81"/>
      <c r="AK422" s="81"/>
      <c r="AL422" s="81"/>
      <c r="AM422" s="81"/>
      <c r="AN422" s="81"/>
      <c r="AO422" s="81"/>
      <c r="AP422" s="81"/>
      <c r="AQ422" s="81"/>
      <c r="AR422" s="81"/>
    </row>
    <row r="423" spans="1:44" x14ac:dyDescent="0.4">
      <c r="A423" s="5" t="str">
        <f t="shared" si="41"/>
        <v>ME-EL LLANO (TOVAR)</v>
      </c>
      <c r="B423" s="5" t="str">
        <f t="shared" si="42"/>
        <v>ME</v>
      </c>
      <c r="C423" s="83" t="s">
        <v>1156</v>
      </c>
      <c r="D423" s="82" t="s">
        <v>1173</v>
      </c>
      <c r="E423" s="85">
        <v>103</v>
      </c>
      <c r="F423" s="85"/>
      <c r="G423" s="86"/>
      <c r="H423" s="86"/>
      <c r="I423" s="86"/>
      <c r="J423" s="86"/>
      <c r="K423" s="86"/>
      <c r="L423" s="86"/>
      <c r="M423" s="86"/>
      <c r="N423" s="86"/>
      <c r="O423" s="86"/>
      <c r="P423" s="87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1"/>
      <c r="AI423" s="81"/>
      <c r="AJ423" s="81"/>
      <c r="AK423" s="81"/>
      <c r="AL423" s="81"/>
      <c r="AM423" s="81"/>
      <c r="AN423" s="81"/>
      <c r="AO423" s="81"/>
      <c r="AP423" s="81"/>
      <c r="AQ423" s="81"/>
      <c r="AR423" s="81"/>
    </row>
    <row r="424" spans="1:44" x14ac:dyDescent="0.4">
      <c r="A424" s="5" t="str">
        <f t="shared" si="41"/>
        <v>ME-EL MOLINO</v>
      </c>
      <c r="B424" s="5" t="str">
        <f t="shared" si="42"/>
        <v>ME</v>
      </c>
      <c r="C424" s="83" t="s">
        <v>1156</v>
      </c>
      <c r="D424" s="82" t="s">
        <v>1174</v>
      </c>
      <c r="E424" s="85">
        <v>6</v>
      </c>
      <c r="F424" s="85"/>
      <c r="G424" s="86"/>
      <c r="H424" s="86"/>
      <c r="I424" s="86"/>
      <c r="J424" s="86"/>
      <c r="K424" s="86"/>
      <c r="L424" s="86"/>
      <c r="M424" s="86"/>
      <c r="N424" s="86"/>
      <c r="O424" s="86"/>
      <c r="P424" s="87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1"/>
      <c r="AI424" s="81"/>
      <c r="AJ424" s="81"/>
      <c r="AK424" s="81"/>
      <c r="AL424" s="81"/>
      <c r="AM424" s="81"/>
      <c r="AN424" s="81"/>
      <c r="AO424" s="81"/>
      <c r="AP424" s="81"/>
      <c r="AQ424" s="81"/>
      <c r="AR424" s="81"/>
    </row>
    <row r="425" spans="1:44" x14ac:dyDescent="0.4">
      <c r="A425" s="5" t="str">
        <f t="shared" si="41"/>
        <v>ME-EL MORRO</v>
      </c>
      <c r="B425" s="5" t="str">
        <f t="shared" si="42"/>
        <v>ME</v>
      </c>
      <c r="C425" s="83" t="s">
        <v>1156</v>
      </c>
      <c r="D425" s="82" t="s">
        <v>1175</v>
      </c>
      <c r="E425" s="85">
        <v>10</v>
      </c>
      <c r="F425" s="85"/>
      <c r="G425" s="86"/>
      <c r="H425" s="86"/>
      <c r="I425" s="86"/>
      <c r="J425" s="86"/>
      <c r="K425" s="86"/>
      <c r="L425" s="86"/>
      <c r="M425" s="86"/>
      <c r="N425" s="86"/>
      <c r="O425" s="86"/>
      <c r="P425" s="87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81"/>
      <c r="AH425" s="81"/>
      <c r="AI425" s="81"/>
      <c r="AJ425" s="81"/>
      <c r="AK425" s="81"/>
      <c r="AL425" s="81"/>
      <c r="AM425" s="81"/>
      <c r="AN425" s="81"/>
      <c r="AO425" s="81"/>
      <c r="AP425" s="81"/>
      <c r="AQ425" s="81"/>
      <c r="AR425" s="81"/>
    </row>
    <row r="426" spans="1:44" x14ac:dyDescent="0.4">
      <c r="A426" s="5" t="str">
        <f t="shared" si="41"/>
        <v>ME-ELOY PAREDES</v>
      </c>
      <c r="B426" s="5" t="str">
        <f t="shared" si="42"/>
        <v>ME</v>
      </c>
      <c r="C426" s="83" t="s">
        <v>1156</v>
      </c>
      <c r="D426" s="82" t="s">
        <v>1176</v>
      </c>
      <c r="E426" s="85">
        <v>22</v>
      </c>
      <c r="F426" s="85"/>
      <c r="G426" s="86"/>
      <c r="H426" s="86"/>
      <c r="I426" s="86"/>
      <c r="J426" s="86"/>
      <c r="K426" s="86"/>
      <c r="L426" s="86"/>
      <c r="M426" s="86"/>
      <c r="N426" s="86"/>
      <c r="O426" s="86"/>
      <c r="P426" s="87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81"/>
      <c r="AH426" s="81"/>
      <c r="AI426" s="81"/>
      <c r="AJ426" s="81"/>
      <c r="AK426" s="81"/>
      <c r="AL426" s="81"/>
      <c r="AM426" s="81"/>
      <c r="AN426" s="81"/>
      <c r="AO426" s="81"/>
      <c r="AP426" s="81"/>
      <c r="AQ426" s="81"/>
      <c r="AR426" s="81"/>
    </row>
    <row r="427" spans="1:44" x14ac:dyDescent="0.4">
      <c r="A427" s="5" t="str">
        <f t="shared" si="41"/>
        <v>ME-ESTANQUES</v>
      </c>
      <c r="B427" s="5" t="str">
        <f t="shared" si="42"/>
        <v>ME</v>
      </c>
      <c r="C427" s="83" t="s">
        <v>1156</v>
      </c>
      <c r="D427" s="82" t="s">
        <v>1177</v>
      </c>
      <c r="E427" s="85">
        <v>17</v>
      </c>
      <c r="F427" s="85"/>
      <c r="G427" s="86"/>
      <c r="H427" s="86"/>
      <c r="I427" s="86"/>
      <c r="J427" s="86"/>
      <c r="K427" s="86"/>
      <c r="L427" s="86"/>
      <c r="M427" s="86"/>
      <c r="N427" s="86"/>
      <c r="O427" s="86"/>
      <c r="P427" s="87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81"/>
      <c r="AH427" s="81"/>
      <c r="AI427" s="81"/>
      <c r="AJ427" s="81"/>
      <c r="AK427" s="81"/>
      <c r="AL427" s="81"/>
      <c r="AM427" s="81"/>
      <c r="AN427" s="81"/>
      <c r="AO427" s="81"/>
      <c r="AP427" s="81"/>
      <c r="AQ427" s="81"/>
      <c r="AR427" s="81"/>
    </row>
    <row r="428" spans="1:44" x14ac:dyDescent="0.4">
      <c r="A428" s="5" t="str">
        <f t="shared" si="41"/>
        <v>ME-FERNADEZ PEÑA</v>
      </c>
      <c r="B428" s="5" t="str">
        <f t="shared" si="42"/>
        <v>ME</v>
      </c>
      <c r="C428" s="83" t="s">
        <v>1156</v>
      </c>
      <c r="D428" s="82" t="s">
        <v>1178</v>
      </c>
      <c r="E428" s="85">
        <v>43</v>
      </c>
      <c r="F428" s="85"/>
      <c r="G428" s="86"/>
      <c r="H428" s="86"/>
      <c r="I428" s="86"/>
      <c r="J428" s="86"/>
      <c r="K428" s="86"/>
      <c r="L428" s="86"/>
      <c r="M428" s="86"/>
      <c r="N428" s="86"/>
      <c r="O428" s="86"/>
      <c r="P428" s="87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1"/>
      <c r="AI428" s="81"/>
      <c r="AJ428" s="81"/>
      <c r="AK428" s="81"/>
      <c r="AL428" s="81"/>
      <c r="AM428" s="81"/>
      <c r="AN428" s="81"/>
      <c r="AO428" s="81"/>
      <c r="AP428" s="81"/>
      <c r="AQ428" s="81"/>
      <c r="AR428" s="81"/>
    </row>
    <row r="429" spans="1:44" x14ac:dyDescent="0.4">
      <c r="A429" s="5" t="str">
        <f t="shared" si="41"/>
        <v>ME-FLORENCIO RAMIREZ</v>
      </c>
      <c r="B429" s="5" t="str">
        <f t="shared" si="42"/>
        <v>ME</v>
      </c>
      <c r="C429" s="83" t="s">
        <v>1156</v>
      </c>
      <c r="D429" s="82" t="s">
        <v>1179</v>
      </c>
      <c r="E429" s="85">
        <v>18</v>
      </c>
      <c r="F429" s="85"/>
      <c r="G429" s="86"/>
      <c r="H429" s="86"/>
      <c r="I429" s="86"/>
      <c r="J429" s="86"/>
      <c r="K429" s="86"/>
      <c r="L429" s="86"/>
      <c r="M429" s="86"/>
      <c r="N429" s="86"/>
      <c r="O429" s="86"/>
      <c r="P429" s="87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1"/>
      <c r="AI429" s="81"/>
      <c r="AJ429" s="81"/>
      <c r="AK429" s="81"/>
      <c r="AL429" s="81"/>
      <c r="AM429" s="81"/>
      <c r="AN429" s="81"/>
      <c r="AO429" s="81"/>
      <c r="AP429" s="81"/>
      <c r="AQ429" s="81"/>
      <c r="AR429" s="81"/>
    </row>
    <row r="430" spans="1:44" x14ac:dyDescent="0.4">
      <c r="A430" s="5" t="str">
        <f t="shared" si="41"/>
        <v>ME-GABRIEL PICON G.</v>
      </c>
      <c r="B430" s="5" t="str">
        <f t="shared" si="42"/>
        <v>ME</v>
      </c>
      <c r="C430" s="83" t="s">
        <v>1156</v>
      </c>
      <c r="D430" s="82" t="s">
        <v>1180</v>
      </c>
      <c r="E430" s="85">
        <v>10</v>
      </c>
      <c r="F430" s="85"/>
      <c r="G430" s="86"/>
      <c r="H430" s="86"/>
      <c r="I430" s="86"/>
      <c r="J430" s="86"/>
      <c r="K430" s="86"/>
      <c r="L430" s="86"/>
      <c r="M430" s="86"/>
      <c r="N430" s="86"/>
      <c r="O430" s="86"/>
      <c r="P430" s="87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81"/>
      <c r="AH430" s="81"/>
      <c r="AI430" s="81"/>
      <c r="AJ430" s="81"/>
      <c r="AK430" s="81"/>
      <c r="AL430" s="81"/>
      <c r="AM430" s="81"/>
      <c r="AN430" s="81"/>
      <c r="AO430" s="81"/>
      <c r="AP430" s="81"/>
      <c r="AQ430" s="81"/>
      <c r="AR430" s="81"/>
    </row>
    <row r="431" spans="1:44" x14ac:dyDescent="0.4">
      <c r="A431" s="5" t="str">
        <f t="shared" si="41"/>
        <v>ME-GERONIMO MALDONADO</v>
      </c>
      <c r="B431" s="5" t="str">
        <f t="shared" si="42"/>
        <v>ME</v>
      </c>
      <c r="C431" s="83" t="s">
        <v>1156</v>
      </c>
      <c r="D431" s="82" t="s">
        <v>1181</v>
      </c>
      <c r="E431" s="85">
        <v>10</v>
      </c>
      <c r="F431" s="85"/>
      <c r="G431" s="86"/>
      <c r="H431" s="86"/>
      <c r="I431" s="86"/>
      <c r="J431" s="86"/>
      <c r="K431" s="86"/>
      <c r="L431" s="86"/>
      <c r="M431" s="86"/>
      <c r="N431" s="86"/>
      <c r="O431" s="86"/>
      <c r="P431" s="87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81"/>
      <c r="AH431" s="81"/>
      <c r="AI431" s="81"/>
      <c r="AJ431" s="81"/>
      <c r="AK431" s="81"/>
      <c r="AL431" s="81"/>
      <c r="AM431" s="81"/>
      <c r="AN431" s="81"/>
      <c r="AO431" s="81"/>
      <c r="AP431" s="81"/>
      <c r="AQ431" s="81"/>
      <c r="AR431" s="81"/>
    </row>
    <row r="432" spans="1:44" x14ac:dyDescent="0.4">
      <c r="A432" s="5" t="str">
        <f t="shared" si="41"/>
        <v>ME-GONZALO PICON FEBREZ</v>
      </c>
      <c r="B432" s="5" t="str">
        <f t="shared" si="42"/>
        <v>ME</v>
      </c>
      <c r="C432" s="83" t="s">
        <v>1156</v>
      </c>
      <c r="D432" s="82" t="s">
        <v>1182</v>
      </c>
      <c r="E432" s="85">
        <v>22</v>
      </c>
      <c r="F432" s="85"/>
      <c r="G432" s="86"/>
      <c r="H432" s="86"/>
      <c r="I432" s="86"/>
      <c r="J432" s="86"/>
      <c r="K432" s="86"/>
      <c r="L432" s="86"/>
      <c r="M432" s="86"/>
      <c r="N432" s="86"/>
      <c r="O432" s="86"/>
      <c r="P432" s="87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1"/>
      <c r="AI432" s="81"/>
      <c r="AJ432" s="81"/>
      <c r="AK432" s="81"/>
      <c r="AL432" s="81"/>
      <c r="AM432" s="81"/>
      <c r="AN432" s="81"/>
      <c r="AO432" s="81"/>
      <c r="AP432" s="81"/>
      <c r="AQ432" s="81"/>
      <c r="AR432" s="81"/>
    </row>
    <row r="433" spans="1:44" x14ac:dyDescent="0.4">
      <c r="A433" s="5" t="str">
        <f t="shared" si="41"/>
        <v>ME-GUAIMARAL</v>
      </c>
      <c r="B433" s="5" t="str">
        <f t="shared" si="42"/>
        <v>ME</v>
      </c>
      <c r="C433" s="83" t="s">
        <v>1156</v>
      </c>
      <c r="D433" s="82" t="s">
        <v>1183</v>
      </c>
      <c r="E433" s="85">
        <v>2</v>
      </c>
      <c r="F433" s="85"/>
      <c r="G433" s="86"/>
      <c r="H433" s="86"/>
      <c r="I433" s="86"/>
      <c r="J433" s="86"/>
      <c r="K433" s="86"/>
      <c r="L433" s="86"/>
      <c r="M433" s="86"/>
      <c r="N433" s="86"/>
      <c r="O433" s="86"/>
      <c r="P433" s="87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1"/>
      <c r="AI433" s="81"/>
      <c r="AJ433" s="81"/>
      <c r="AK433" s="81"/>
      <c r="AL433" s="81"/>
      <c r="AM433" s="81"/>
      <c r="AN433" s="81"/>
      <c r="AO433" s="81"/>
      <c r="AP433" s="81"/>
      <c r="AQ433" s="81"/>
      <c r="AR433" s="81"/>
    </row>
    <row r="434" spans="1:44" x14ac:dyDescent="0.4">
      <c r="A434" s="5" t="str">
        <f t="shared" si="41"/>
        <v>ME-GUARAQUE</v>
      </c>
      <c r="B434" s="5" t="str">
        <f t="shared" si="42"/>
        <v>ME</v>
      </c>
      <c r="C434" s="83" t="s">
        <v>1156</v>
      </c>
      <c r="D434" s="82" t="s">
        <v>1184</v>
      </c>
      <c r="E434" s="85">
        <v>13</v>
      </c>
      <c r="F434" s="85"/>
      <c r="G434" s="86"/>
      <c r="H434" s="86"/>
      <c r="I434" s="86"/>
      <c r="J434" s="86"/>
      <c r="K434" s="86"/>
      <c r="L434" s="86"/>
      <c r="M434" s="86"/>
      <c r="N434" s="86"/>
      <c r="O434" s="86"/>
      <c r="P434" s="87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1"/>
      <c r="AI434" s="81"/>
      <c r="AJ434" s="81"/>
      <c r="AK434" s="81"/>
      <c r="AL434" s="81"/>
      <c r="AM434" s="81"/>
      <c r="AN434" s="81"/>
      <c r="AO434" s="81"/>
      <c r="AP434" s="81"/>
      <c r="AQ434" s="81"/>
      <c r="AR434" s="81"/>
    </row>
    <row r="435" spans="1:44" x14ac:dyDescent="0.4">
      <c r="A435" s="5" t="str">
        <f t="shared" si="41"/>
        <v>ME-HECTOR AMABLE MORA</v>
      </c>
      <c r="B435" s="5" t="str">
        <f t="shared" si="42"/>
        <v>ME</v>
      </c>
      <c r="C435" s="83" t="s">
        <v>1156</v>
      </c>
      <c r="D435" s="82" t="s">
        <v>1185</v>
      </c>
      <c r="E435" s="85">
        <v>31</v>
      </c>
      <c r="F435" s="85"/>
      <c r="G435" s="86"/>
      <c r="H435" s="86"/>
      <c r="I435" s="86"/>
      <c r="J435" s="86"/>
      <c r="K435" s="86"/>
      <c r="L435" s="86"/>
      <c r="M435" s="86"/>
      <c r="N435" s="86"/>
      <c r="O435" s="86"/>
      <c r="P435" s="87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1"/>
      <c r="AI435" s="81"/>
      <c r="AJ435" s="81"/>
      <c r="AK435" s="81"/>
      <c r="AL435" s="81"/>
      <c r="AM435" s="81"/>
      <c r="AN435" s="81"/>
      <c r="AO435" s="81"/>
      <c r="AP435" s="81"/>
      <c r="AQ435" s="81"/>
      <c r="AR435" s="81"/>
    </row>
    <row r="436" spans="1:44" x14ac:dyDescent="0.4">
      <c r="A436" s="5" t="str">
        <f t="shared" si="41"/>
        <v>ME-INDEPENDENCIA</v>
      </c>
      <c r="B436" s="5" t="str">
        <f t="shared" si="42"/>
        <v>ME</v>
      </c>
      <c r="C436" s="83" t="s">
        <v>1156</v>
      </c>
      <c r="D436" s="82" t="s">
        <v>968</v>
      </c>
      <c r="E436" s="85">
        <v>25</v>
      </c>
      <c r="F436" s="85"/>
      <c r="G436" s="86"/>
      <c r="H436" s="86"/>
      <c r="I436" s="86"/>
      <c r="J436" s="86"/>
      <c r="K436" s="86"/>
      <c r="L436" s="86"/>
      <c r="M436" s="86"/>
      <c r="N436" s="86"/>
      <c r="O436" s="86"/>
      <c r="P436" s="87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81"/>
      <c r="AH436" s="81"/>
      <c r="AI436" s="81"/>
      <c r="AJ436" s="81"/>
      <c r="AK436" s="81"/>
      <c r="AL436" s="81"/>
      <c r="AM436" s="81"/>
      <c r="AN436" s="81"/>
      <c r="AO436" s="81"/>
      <c r="AP436" s="81"/>
      <c r="AQ436" s="81"/>
      <c r="AR436" s="81"/>
    </row>
    <row r="437" spans="1:44" x14ac:dyDescent="0.4">
      <c r="A437" s="5" t="str">
        <f t="shared" si="41"/>
        <v>ME-JACINTO PLAZA</v>
      </c>
      <c r="B437" s="5" t="str">
        <f t="shared" si="42"/>
        <v>ME</v>
      </c>
      <c r="C437" s="83" t="s">
        <v>1156</v>
      </c>
      <c r="D437" s="82" t="s">
        <v>1186</v>
      </c>
      <c r="E437" s="85">
        <v>38</v>
      </c>
      <c r="F437" s="85"/>
      <c r="G437" s="86"/>
      <c r="H437" s="86"/>
      <c r="I437" s="86"/>
      <c r="J437" s="86"/>
      <c r="K437" s="86"/>
      <c r="L437" s="86"/>
      <c r="M437" s="86"/>
      <c r="N437" s="86"/>
      <c r="O437" s="86"/>
      <c r="P437" s="87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  <c r="AI437" s="81"/>
      <c r="AJ437" s="81"/>
      <c r="AK437" s="81"/>
      <c r="AL437" s="81"/>
      <c r="AM437" s="81"/>
      <c r="AN437" s="81"/>
      <c r="AO437" s="81"/>
      <c r="AP437" s="81"/>
      <c r="AQ437" s="81"/>
      <c r="AR437" s="81"/>
    </row>
    <row r="438" spans="1:44" x14ac:dyDescent="0.4">
      <c r="A438" s="5" t="str">
        <f t="shared" si="41"/>
        <v>ME-JAJI</v>
      </c>
      <c r="B438" s="5" t="str">
        <f t="shared" si="42"/>
        <v>ME</v>
      </c>
      <c r="C438" s="83" t="s">
        <v>1156</v>
      </c>
      <c r="D438" s="82" t="s">
        <v>1187</v>
      </c>
      <c r="E438" s="85">
        <v>19</v>
      </c>
      <c r="F438" s="85"/>
      <c r="G438" s="86"/>
      <c r="H438" s="86"/>
      <c r="I438" s="86"/>
      <c r="J438" s="86"/>
      <c r="K438" s="86"/>
      <c r="L438" s="86"/>
      <c r="M438" s="86"/>
      <c r="N438" s="86"/>
      <c r="O438" s="86"/>
      <c r="P438" s="87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81"/>
      <c r="AH438" s="81"/>
      <c r="AI438" s="81"/>
      <c r="AJ438" s="81"/>
      <c r="AK438" s="81"/>
      <c r="AL438" s="81"/>
      <c r="AM438" s="81"/>
      <c r="AN438" s="81"/>
      <c r="AO438" s="81"/>
      <c r="AP438" s="81"/>
      <c r="AQ438" s="81"/>
      <c r="AR438" s="81"/>
    </row>
    <row r="439" spans="1:44" x14ac:dyDescent="0.4">
      <c r="A439" s="5" t="str">
        <f t="shared" si="41"/>
        <v>ME-JOSE NUCETE SARDI</v>
      </c>
      <c r="B439" s="5" t="str">
        <f t="shared" si="42"/>
        <v>ME</v>
      </c>
      <c r="C439" s="83" t="s">
        <v>1156</v>
      </c>
      <c r="D439" s="82" t="s">
        <v>1188</v>
      </c>
      <c r="E439" s="85">
        <v>3</v>
      </c>
      <c r="F439" s="85"/>
      <c r="G439" s="86"/>
      <c r="H439" s="86"/>
      <c r="I439" s="86"/>
      <c r="J439" s="86"/>
      <c r="K439" s="86"/>
      <c r="L439" s="86"/>
      <c r="M439" s="86"/>
      <c r="N439" s="86"/>
      <c r="O439" s="86"/>
      <c r="P439" s="87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/>
      <c r="AI439" s="81"/>
      <c r="AJ439" s="81"/>
      <c r="AK439" s="81"/>
      <c r="AL439" s="81"/>
      <c r="AM439" s="81"/>
      <c r="AN439" s="81"/>
      <c r="AO439" s="81"/>
      <c r="AP439" s="81"/>
      <c r="AQ439" s="81"/>
      <c r="AR439" s="81"/>
    </row>
    <row r="440" spans="1:44" x14ac:dyDescent="0.4">
      <c r="A440" s="5" t="str">
        <f t="shared" si="41"/>
        <v>ME-JUAN RODRIGUEZ SUAREZ</v>
      </c>
      <c r="B440" s="5" t="str">
        <f t="shared" si="42"/>
        <v>ME</v>
      </c>
      <c r="C440" s="83" t="s">
        <v>1156</v>
      </c>
      <c r="D440" s="82" t="s">
        <v>1189</v>
      </c>
      <c r="E440" s="85">
        <v>46</v>
      </c>
      <c r="F440" s="85"/>
      <c r="G440" s="86"/>
      <c r="H440" s="86"/>
      <c r="I440" s="86"/>
      <c r="J440" s="86"/>
      <c r="K440" s="86"/>
      <c r="L440" s="86"/>
      <c r="M440" s="86"/>
      <c r="N440" s="86"/>
      <c r="O440" s="86"/>
      <c r="P440" s="87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/>
      <c r="AI440" s="81"/>
      <c r="AJ440" s="81"/>
      <c r="AK440" s="81"/>
      <c r="AL440" s="81"/>
      <c r="AM440" s="81"/>
      <c r="AN440" s="81"/>
      <c r="AO440" s="81"/>
      <c r="AP440" s="81"/>
      <c r="AQ440" s="81"/>
      <c r="AR440" s="81"/>
    </row>
    <row r="441" spans="1:44" x14ac:dyDescent="0.4">
      <c r="A441" s="5" t="str">
        <f t="shared" si="41"/>
        <v>ME-JULIO CESAR SALAS</v>
      </c>
      <c r="B441" s="5" t="str">
        <f t="shared" si="42"/>
        <v>ME</v>
      </c>
      <c r="C441" s="83" t="s">
        <v>1156</v>
      </c>
      <c r="D441" s="82" t="s">
        <v>1190</v>
      </c>
      <c r="E441" s="85">
        <v>48</v>
      </c>
      <c r="F441" s="85"/>
      <c r="G441" s="86"/>
      <c r="H441" s="86"/>
      <c r="I441" s="86"/>
      <c r="J441" s="86"/>
      <c r="K441" s="86"/>
      <c r="L441" s="86"/>
      <c r="M441" s="86"/>
      <c r="N441" s="86"/>
      <c r="O441" s="86"/>
      <c r="P441" s="87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1"/>
      <c r="AI441" s="81"/>
      <c r="AJ441" s="81"/>
      <c r="AK441" s="81"/>
      <c r="AL441" s="81"/>
      <c r="AM441" s="81"/>
      <c r="AN441" s="81"/>
      <c r="AO441" s="81"/>
      <c r="AP441" s="81"/>
      <c r="AQ441" s="81"/>
      <c r="AR441" s="81"/>
    </row>
    <row r="442" spans="1:44" x14ac:dyDescent="0.4">
      <c r="A442" s="5" t="str">
        <f t="shared" ref="A442:A505" si="43">+B442&amp;"-"&amp;D442</f>
        <v>ME-LA MESA</v>
      </c>
      <c r="B442" s="5" t="str">
        <f t="shared" ref="B442:B505" si="44">+MID(C442,1,2)</f>
        <v>ME</v>
      </c>
      <c r="C442" s="83" t="s">
        <v>1156</v>
      </c>
      <c r="D442" s="82" t="s">
        <v>1191</v>
      </c>
      <c r="E442" s="85">
        <v>13</v>
      </c>
      <c r="F442" s="85"/>
      <c r="G442" s="86"/>
      <c r="H442" s="86"/>
      <c r="I442" s="86"/>
      <c r="J442" s="86"/>
      <c r="K442" s="86"/>
      <c r="L442" s="86"/>
      <c r="M442" s="86"/>
      <c r="N442" s="86"/>
      <c r="O442" s="86"/>
      <c r="P442" s="87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81"/>
      <c r="AH442" s="81"/>
      <c r="AI442" s="81"/>
      <c r="AJ442" s="81"/>
      <c r="AK442" s="81"/>
      <c r="AL442" s="81"/>
      <c r="AM442" s="81"/>
      <c r="AN442" s="81"/>
      <c r="AO442" s="81"/>
      <c r="AP442" s="81"/>
      <c r="AQ442" s="81"/>
      <c r="AR442" s="81"/>
    </row>
    <row r="443" spans="1:44" x14ac:dyDescent="0.4">
      <c r="A443" s="5" t="str">
        <f t="shared" si="43"/>
        <v>ME-LA TOMA</v>
      </c>
      <c r="B443" s="5" t="str">
        <f t="shared" si="44"/>
        <v>ME</v>
      </c>
      <c r="C443" s="83" t="s">
        <v>1156</v>
      </c>
      <c r="D443" s="82" t="s">
        <v>1192</v>
      </c>
      <c r="E443" s="85">
        <v>4</v>
      </c>
      <c r="F443" s="85"/>
      <c r="G443" s="86"/>
      <c r="H443" s="86"/>
      <c r="I443" s="86"/>
      <c r="J443" s="86"/>
      <c r="K443" s="86"/>
      <c r="L443" s="86"/>
      <c r="M443" s="86"/>
      <c r="N443" s="86"/>
      <c r="O443" s="86"/>
      <c r="P443" s="87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81"/>
      <c r="AH443" s="81"/>
      <c r="AI443" s="81"/>
      <c r="AJ443" s="81"/>
      <c r="AK443" s="81"/>
      <c r="AL443" s="81"/>
      <c r="AM443" s="81"/>
      <c r="AN443" s="81"/>
      <c r="AO443" s="81"/>
      <c r="AP443" s="81"/>
      <c r="AQ443" s="81"/>
      <c r="AR443" s="81"/>
    </row>
    <row r="444" spans="1:44" x14ac:dyDescent="0.4">
      <c r="A444" s="5" t="str">
        <f t="shared" si="43"/>
        <v>ME-LA TRAMPA</v>
      </c>
      <c r="B444" s="5" t="str">
        <f t="shared" si="44"/>
        <v>ME</v>
      </c>
      <c r="C444" s="83" t="s">
        <v>1156</v>
      </c>
      <c r="D444" s="82" t="s">
        <v>1193</v>
      </c>
      <c r="E444" s="85">
        <v>11</v>
      </c>
      <c r="F444" s="85"/>
      <c r="G444" s="86"/>
      <c r="H444" s="86"/>
      <c r="I444" s="86"/>
      <c r="J444" s="86"/>
      <c r="K444" s="86"/>
      <c r="L444" s="86"/>
      <c r="M444" s="86"/>
      <c r="N444" s="86"/>
      <c r="O444" s="86"/>
      <c r="P444" s="87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81"/>
      <c r="AH444" s="81"/>
      <c r="AI444" s="81"/>
      <c r="AJ444" s="81"/>
      <c r="AK444" s="81"/>
      <c r="AL444" s="81"/>
      <c r="AM444" s="81"/>
      <c r="AN444" s="81"/>
      <c r="AO444" s="81"/>
      <c r="AP444" s="81"/>
      <c r="AQ444" s="81"/>
      <c r="AR444" s="81"/>
    </row>
    <row r="445" spans="1:44" x14ac:dyDescent="0.4">
      <c r="A445" s="5" t="str">
        <f t="shared" si="43"/>
        <v>ME-LA VENTA</v>
      </c>
      <c r="B445" s="5" t="str">
        <f t="shared" si="44"/>
        <v>ME</v>
      </c>
      <c r="C445" s="83" t="s">
        <v>1156</v>
      </c>
      <c r="D445" s="82" t="s">
        <v>1194</v>
      </c>
      <c r="E445" s="85">
        <v>11</v>
      </c>
      <c r="F445" s="85"/>
      <c r="G445" s="86"/>
      <c r="H445" s="86"/>
      <c r="I445" s="86"/>
      <c r="J445" s="86"/>
      <c r="K445" s="86"/>
      <c r="L445" s="86"/>
      <c r="M445" s="86"/>
      <c r="N445" s="86"/>
      <c r="O445" s="86"/>
      <c r="P445" s="87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81"/>
      <c r="AH445" s="81"/>
      <c r="AI445" s="81"/>
      <c r="AJ445" s="81"/>
      <c r="AK445" s="81"/>
      <c r="AL445" s="81"/>
      <c r="AM445" s="81"/>
      <c r="AN445" s="81"/>
      <c r="AO445" s="81"/>
      <c r="AP445" s="81"/>
      <c r="AQ445" s="81"/>
      <c r="AR445" s="81"/>
    </row>
    <row r="446" spans="1:44" x14ac:dyDescent="0.4">
      <c r="A446" s="5" t="str">
        <f t="shared" si="43"/>
        <v>ME-LAS PIEDRAS</v>
      </c>
      <c r="B446" s="5" t="str">
        <f t="shared" si="44"/>
        <v>ME</v>
      </c>
      <c r="C446" s="83" t="s">
        <v>1156</v>
      </c>
      <c r="D446" s="82" t="s">
        <v>1195</v>
      </c>
      <c r="E446" s="85">
        <v>19</v>
      </c>
      <c r="F446" s="85"/>
      <c r="G446" s="86"/>
      <c r="H446" s="86"/>
      <c r="I446" s="86"/>
      <c r="J446" s="86"/>
      <c r="K446" s="86"/>
      <c r="L446" s="86"/>
      <c r="M446" s="86"/>
      <c r="N446" s="86"/>
      <c r="O446" s="86"/>
      <c r="P446" s="87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81"/>
      <c r="AH446" s="81"/>
      <c r="AI446" s="81"/>
      <c r="AJ446" s="81"/>
      <c r="AK446" s="81"/>
      <c r="AL446" s="81"/>
      <c r="AM446" s="81"/>
      <c r="AN446" s="81"/>
      <c r="AO446" s="81"/>
      <c r="AP446" s="81"/>
      <c r="AQ446" s="81"/>
      <c r="AR446" s="81"/>
    </row>
    <row r="447" spans="1:44" x14ac:dyDescent="0.4">
      <c r="A447" s="5" t="str">
        <f t="shared" si="43"/>
        <v>ME-LASSO DE LA VEGA</v>
      </c>
      <c r="B447" s="5" t="str">
        <f t="shared" si="44"/>
        <v>ME</v>
      </c>
      <c r="C447" s="83" t="s">
        <v>1156</v>
      </c>
      <c r="D447" s="82" t="s">
        <v>1196</v>
      </c>
      <c r="E447" s="85">
        <v>21</v>
      </c>
      <c r="F447" s="85"/>
      <c r="G447" s="86"/>
      <c r="H447" s="86"/>
      <c r="I447" s="86"/>
      <c r="J447" s="86"/>
      <c r="K447" s="86"/>
      <c r="L447" s="86"/>
      <c r="M447" s="86"/>
      <c r="N447" s="86"/>
      <c r="O447" s="86"/>
      <c r="P447" s="87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81"/>
      <c r="AH447" s="81"/>
      <c r="AI447" s="81"/>
      <c r="AJ447" s="81"/>
      <c r="AK447" s="81"/>
      <c r="AL447" s="81"/>
      <c r="AM447" s="81"/>
      <c r="AN447" s="81"/>
      <c r="AO447" s="81"/>
      <c r="AP447" s="81"/>
      <c r="AQ447" s="81"/>
      <c r="AR447" s="81"/>
    </row>
    <row r="448" spans="1:44" x14ac:dyDescent="0.4">
      <c r="A448" s="5" t="str">
        <f t="shared" si="43"/>
        <v>ME-LOS NEVADOS</v>
      </c>
      <c r="B448" s="5" t="str">
        <f t="shared" si="44"/>
        <v>ME</v>
      </c>
      <c r="C448" s="83" t="s">
        <v>1156</v>
      </c>
      <c r="D448" s="82" t="s">
        <v>1197</v>
      </c>
      <c r="E448" s="85">
        <v>10</v>
      </c>
      <c r="F448" s="85"/>
      <c r="G448" s="86"/>
      <c r="H448" s="86"/>
      <c r="I448" s="86"/>
      <c r="J448" s="86"/>
      <c r="K448" s="86"/>
      <c r="L448" s="86"/>
      <c r="M448" s="86"/>
      <c r="N448" s="86"/>
      <c r="O448" s="86"/>
      <c r="P448" s="87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  <c r="AG448" s="81"/>
      <c r="AH448" s="81"/>
      <c r="AI448" s="81"/>
      <c r="AJ448" s="81"/>
      <c r="AK448" s="81"/>
      <c r="AL448" s="81"/>
      <c r="AM448" s="81"/>
      <c r="AN448" s="81"/>
      <c r="AO448" s="81"/>
      <c r="AP448" s="81"/>
      <c r="AQ448" s="81"/>
      <c r="AR448" s="81"/>
    </row>
    <row r="449" spans="1:44" x14ac:dyDescent="0.4">
      <c r="A449" s="5" t="str">
        <f t="shared" si="43"/>
        <v>ME-MARIA DE LA C. PALACIOS</v>
      </c>
      <c r="B449" s="5" t="str">
        <f t="shared" si="44"/>
        <v>ME</v>
      </c>
      <c r="C449" s="83" t="s">
        <v>1156</v>
      </c>
      <c r="D449" s="82" t="s">
        <v>1198</v>
      </c>
      <c r="E449" s="85">
        <v>8</v>
      </c>
      <c r="F449" s="85"/>
      <c r="G449" s="86"/>
      <c r="H449" s="86"/>
      <c r="I449" s="86"/>
      <c r="J449" s="86"/>
      <c r="K449" s="86"/>
      <c r="L449" s="86"/>
      <c r="M449" s="86"/>
      <c r="N449" s="86"/>
      <c r="O449" s="86"/>
      <c r="P449" s="87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  <c r="AG449" s="81"/>
      <c r="AH449" s="81"/>
      <c r="AI449" s="81"/>
      <c r="AJ449" s="81"/>
      <c r="AK449" s="81"/>
      <c r="AL449" s="81"/>
      <c r="AM449" s="81"/>
      <c r="AN449" s="81"/>
      <c r="AO449" s="81"/>
      <c r="AP449" s="81"/>
      <c r="AQ449" s="81"/>
      <c r="AR449" s="81"/>
    </row>
    <row r="450" spans="1:44" x14ac:dyDescent="0.4">
      <c r="A450" s="5" t="str">
        <f t="shared" si="43"/>
        <v>ME-MARIANO PICON SALAS</v>
      </c>
      <c r="B450" s="5" t="str">
        <f t="shared" si="44"/>
        <v>ME</v>
      </c>
      <c r="C450" s="83" t="s">
        <v>1156</v>
      </c>
      <c r="D450" s="82" t="s">
        <v>1199</v>
      </c>
      <c r="E450" s="85">
        <v>20</v>
      </c>
      <c r="F450" s="85"/>
      <c r="G450" s="86"/>
      <c r="H450" s="86"/>
      <c r="I450" s="86"/>
      <c r="J450" s="86"/>
      <c r="K450" s="86"/>
      <c r="L450" s="86"/>
      <c r="M450" s="86"/>
      <c r="N450" s="86"/>
      <c r="O450" s="86"/>
      <c r="P450" s="87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  <c r="AG450" s="81"/>
      <c r="AH450" s="81"/>
      <c r="AI450" s="81"/>
      <c r="AJ450" s="81"/>
      <c r="AK450" s="81"/>
      <c r="AL450" s="81"/>
      <c r="AM450" s="81"/>
      <c r="AN450" s="81"/>
      <c r="AO450" s="81"/>
      <c r="AP450" s="81"/>
      <c r="AQ450" s="81"/>
      <c r="AR450" s="81"/>
    </row>
    <row r="451" spans="1:44" x14ac:dyDescent="0.4">
      <c r="A451" s="5" t="str">
        <f t="shared" si="43"/>
        <v>ME-MATRIZ</v>
      </c>
      <c r="B451" s="5" t="str">
        <f t="shared" si="44"/>
        <v>ME</v>
      </c>
      <c r="C451" s="83" t="s">
        <v>1156</v>
      </c>
      <c r="D451" s="82" t="s">
        <v>1200</v>
      </c>
      <c r="E451" s="85">
        <v>67</v>
      </c>
      <c r="F451" s="85"/>
      <c r="G451" s="86"/>
      <c r="H451" s="86"/>
      <c r="I451" s="86"/>
      <c r="J451" s="86"/>
      <c r="K451" s="86"/>
      <c r="L451" s="86"/>
      <c r="M451" s="86"/>
      <c r="N451" s="86"/>
      <c r="O451" s="86"/>
      <c r="P451" s="87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81"/>
      <c r="AH451" s="81"/>
      <c r="AI451" s="81"/>
      <c r="AJ451" s="81"/>
      <c r="AK451" s="81"/>
      <c r="AL451" s="81"/>
      <c r="AM451" s="81"/>
      <c r="AN451" s="81"/>
      <c r="AO451" s="81"/>
      <c r="AP451" s="81"/>
      <c r="AQ451" s="81"/>
      <c r="AR451" s="81"/>
    </row>
    <row r="452" spans="1:44" x14ac:dyDescent="0.4">
      <c r="A452" s="5" t="str">
        <f t="shared" si="43"/>
        <v>ME-MESA BOLIVAR</v>
      </c>
      <c r="B452" s="5" t="str">
        <f t="shared" si="44"/>
        <v>ME</v>
      </c>
      <c r="C452" s="83" t="s">
        <v>1156</v>
      </c>
      <c r="D452" s="82" t="s">
        <v>1201</v>
      </c>
      <c r="E452" s="85">
        <v>19</v>
      </c>
      <c r="F452" s="85"/>
      <c r="G452" s="86"/>
      <c r="H452" s="86"/>
      <c r="I452" s="86"/>
      <c r="J452" s="86"/>
      <c r="K452" s="86"/>
      <c r="L452" s="86"/>
      <c r="M452" s="86"/>
      <c r="N452" s="86"/>
      <c r="O452" s="86"/>
      <c r="P452" s="87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81"/>
      <c r="AH452" s="81"/>
      <c r="AI452" s="81"/>
      <c r="AJ452" s="81"/>
      <c r="AK452" s="81"/>
      <c r="AL452" s="81"/>
      <c r="AM452" s="81"/>
      <c r="AN452" s="81"/>
      <c r="AO452" s="81"/>
      <c r="AP452" s="81"/>
      <c r="AQ452" s="81"/>
      <c r="AR452" s="81"/>
    </row>
    <row r="453" spans="1:44" x14ac:dyDescent="0.4">
      <c r="A453" s="5" t="str">
        <f t="shared" si="43"/>
        <v>ME-MESA DE LAS PALMAS</v>
      </c>
      <c r="B453" s="5" t="str">
        <f t="shared" si="44"/>
        <v>ME</v>
      </c>
      <c r="C453" s="83" t="s">
        <v>1156</v>
      </c>
      <c r="D453" s="82" t="s">
        <v>1202</v>
      </c>
      <c r="E453" s="85">
        <v>5</v>
      </c>
      <c r="F453" s="85"/>
      <c r="G453" s="86"/>
      <c r="H453" s="86"/>
      <c r="I453" s="86"/>
      <c r="J453" s="86"/>
      <c r="K453" s="86"/>
      <c r="L453" s="86"/>
      <c r="M453" s="86"/>
      <c r="N453" s="86"/>
      <c r="O453" s="86"/>
      <c r="P453" s="87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81"/>
      <c r="AH453" s="81"/>
      <c r="AI453" s="81"/>
      <c r="AJ453" s="81"/>
      <c r="AK453" s="81"/>
      <c r="AL453" s="81"/>
      <c r="AM453" s="81"/>
      <c r="AN453" s="81"/>
      <c r="AO453" s="81"/>
      <c r="AP453" s="81"/>
      <c r="AQ453" s="81"/>
      <c r="AR453" s="81"/>
    </row>
    <row r="454" spans="1:44" x14ac:dyDescent="0.4">
      <c r="A454" s="5" t="str">
        <f t="shared" si="43"/>
        <v>ME-MESA DE QUINTERO</v>
      </c>
      <c r="B454" s="5" t="str">
        <f t="shared" si="44"/>
        <v>ME</v>
      </c>
      <c r="C454" s="83" t="s">
        <v>1156</v>
      </c>
      <c r="D454" s="82" t="s">
        <v>1203</v>
      </c>
      <c r="E454" s="85">
        <v>2</v>
      </c>
      <c r="F454" s="85"/>
      <c r="G454" s="86"/>
      <c r="H454" s="86"/>
      <c r="I454" s="86"/>
      <c r="J454" s="86"/>
      <c r="K454" s="86"/>
      <c r="L454" s="86"/>
      <c r="M454" s="86"/>
      <c r="N454" s="86"/>
      <c r="O454" s="86"/>
      <c r="P454" s="87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81"/>
      <c r="AH454" s="81"/>
      <c r="AI454" s="81"/>
      <c r="AJ454" s="81"/>
      <c r="AK454" s="81"/>
      <c r="AL454" s="81"/>
      <c r="AM454" s="81"/>
      <c r="AN454" s="81"/>
      <c r="AO454" s="81"/>
      <c r="AP454" s="81"/>
      <c r="AQ454" s="81"/>
      <c r="AR454" s="81"/>
    </row>
    <row r="455" spans="1:44" x14ac:dyDescent="0.4">
      <c r="A455" s="5" t="str">
        <f t="shared" si="43"/>
        <v>ME-MILLA</v>
      </c>
      <c r="B455" s="5" t="str">
        <f t="shared" si="44"/>
        <v>ME</v>
      </c>
      <c r="C455" s="83" t="s">
        <v>1156</v>
      </c>
      <c r="D455" s="82" t="s">
        <v>1204</v>
      </c>
      <c r="E455" s="85">
        <v>58</v>
      </c>
      <c r="F455" s="85"/>
      <c r="G455" s="86"/>
      <c r="H455" s="86"/>
      <c r="I455" s="86"/>
      <c r="J455" s="86"/>
      <c r="K455" s="86"/>
      <c r="L455" s="86"/>
      <c r="M455" s="86"/>
      <c r="N455" s="86"/>
      <c r="O455" s="86"/>
      <c r="P455" s="87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81"/>
      <c r="AH455" s="81"/>
      <c r="AI455" s="81"/>
      <c r="AJ455" s="81"/>
      <c r="AK455" s="81"/>
      <c r="AL455" s="81"/>
      <c r="AM455" s="81"/>
      <c r="AN455" s="81"/>
      <c r="AO455" s="81"/>
      <c r="AP455" s="81"/>
      <c r="AQ455" s="81"/>
      <c r="AR455" s="81"/>
    </row>
    <row r="456" spans="1:44" x14ac:dyDescent="0.4">
      <c r="A456" s="5" t="str">
        <f t="shared" si="43"/>
        <v>ME-MIRANDA (TIMOTES)</v>
      </c>
      <c r="B456" s="5" t="str">
        <f t="shared" si="44"/>
        <v>ME</v>
      </c>
      <c r="C456" s="83" t="s">
        <v>1156</v>
      </c>
      <c r="D456" s="82" t="s">
        <v>1205</v>
      </c>
      <c r="E456" s="85">
        <v>57</v>
      </c>
      <c r="F456" s="85"/>
      <c r="G456" s="86"/>
      <c r="H456" s="86"/>
      <c r="I456" s="86"/>
      <c r="J456" s="86"/>
      <c r="K456" s="86"/>
      <c r="L456" s="86"/>
      <c r="M456" s="86"/>
      <c r="N456" s="86"/>
      <c r="O456" s="86"/>
      <c r="P456" s="87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81"/>
      <c r="AH456" s="81"/>
      <c r="AI456" s="81"/>
      <c r="AJ456" s="81"/>
      <c r="AK456" s="81"/>
      <c r="AL456" s="81"/>
      <c r="AM456" s="81"/>
      <c r="AN456" s="81"/>
      <c r="AO456" s="81"/>
      <c r="AP456" s="81"/>
      <c r="AQ456" s="81"/>
      <c r="AR456" s="81"/>
    </row>
    <row r="457" spans="1:44" x14ac:dyDescent="0.4">
      <c r="A457" s="5" t="str">
        <f t="shared" si="43"/>
        <v>ME-MONTALBAN</v>
      </c>
      <c r="B457" s="5" t="str">
        <f t="shared" si="44"/>
        <v>ME</v>
      </c>
      <c r="C457" s="83" t="s">
        <v>1156</v>
      </c>
      <c r="D457" s="82" t="s">
        <v>974</v>
      </c>
      <c r="E457" s="85">
        <v>73</v>
      </c>
      <c r="F457" s="85"/>
      <c r="G457" s="86"/>
      <c r="H457" s="86"/>
      <c r="I457" s="86"/>
      <c r="J457" s="86"/>
      <c r="K457" s="86"/>
      <c r="L457" s="86"/>
      <c r="M457" s="86"/>
      <c r="N457" s="86"/>
      <c r="O457" s="86"/>
      <c r="P457" s="87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81"/>
      <c r="AH457" s="81"/>
      <c r="AI457" s="81"/>
      <c r="AJ457" s="81"/>
      <c r="AK457" s="81"/>
      <c r="AL457" s="81"/>
      <c r="AM457" s="81"/>
      <c r="AN457" s="81"/>
      <c r="AO457" s="81"/>
      <c r="AP457" s="81"/>
      <c r="AQ457" s="81"/>
      <c r="AR457" s="81"/>
    </row>
    <row r="458" spans="1:44" x14ac:dyDescent="0.4">
      <c r="A458" s="5" t="str">
        <f t="shared" si="43"/>
        <v>ME-MUCHACHI</v>
      </c>
      <c r="B458" s="5" t="str">
        <f t="shared" si="44"/>
        <v>ME</v>
      </c>
      <c r="C458" s="83" t="s">
        <v>1156</v>
      </c>
      <c r="D458" s="82" t="s">
        <v>1206</v>
      </c>
      <c r="E458" s="85">
        <v>9</v>
      </c>
      <c r="F458" s="85"/>
      <c r="G458" s="86"/>
      <c r="H458" s="86"/>
      <c r="I458" s="86"/>
      <c r="J458" s="86"/>
      <c r="K458" s="86"/>
      <c r="L458" s="86"/>
      <c r="M458" s="86"/>
      <c r="N458" s="86"/>
      <c r="O458" s="86"/>
      <c r="P458" s="87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  <c r="AG458" s="81"/>
      <c r="AH458" s="81"/>
      <c r="AI458" s="81"/>
      <c r="AJ458" s="81"/>
      <c r="AK458" s="81"/>
      <c r="AL458" s="81"/>
      <c r="AM458" s="81"/>
      <c r="AN458" s="81"/>
      <c r="AO458" s="81"/>
      <c r="AP458" s="81"/>
      <c r="AQ458" s="81"/>
      <c r="AR458" s="81"/>
    </row>
    <row r="459" spans="1:44" x14ac:dyDescent="0.4">
      <c r="A459" s="5" t="str">
        <f t="shared" si="43"/>
        <v>ME-MUCURUBA</v>
      </c>
      <c r="B459" s="5" t="str">
        <f t="shared" si="44"/>
        <v>ME</v>
      </c>
      <c r="C459" s="83" t="s">
        <v>1156</v>
      </c>
      <c r="D459" s="82" t="s">
        <v>1207</v>
      </c>
      <c r="E459" s="85">
        <v>4</v>
      </c>
      <c r="F459" s="85"/>
      <c r="G459" s="86"/>
      <c r="H459" s="86"/>
      <c r="I459" s="86"/>
      <c r="J459" s="86"/>
      <c r="K459" s="86"/>
      <c r="L459" s="86"/>
      <c r="M459" s="86"/>
      <c r="N459" s="86"/>
      <c r="O459" s="86"/>
      <c r="P459" s="87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1"/>
      <c r="AI459" s="81"/>
      <c r="AJ459" s="81"/>
      <c r="AK459" s="81"/>
      <c r="AL459" s="81"/>
      <c r="AM459" s="81"/>
      <c r="AN459" s="81"/>
      <c r="AO459" s="81"/>
      <c r="AP459" s="81"/>
      <c r="AQ459" s="81"/>
      <c r="AR459" s="81"/>
    </row>
    <row r="460" spans="1:44" x14ac:dyDescent="0.4">
      <c r="A460" s="5" t="str">
        <f t="shared" si="43"/>
        <v>ME-MUCUTUY</v>
      </c>
      <c r="B460" s="5" t="str">
        <f t="shared" si="44"/>
        <v>ME</v>
      </c>
      <c r="C460" s="83" t="s">
        <v>1156</v>
      </c>
      <c r="D460" s="82" t="s">
        <v>1208</v>
      </c>
      <c r="E460" s="85">
        <v>15</v>
      </c>
      <c r="F460" s="85"/>
      <c r="G460" s="86"/>
      <c r="H460" s="86"/>
      <c r="I460" s="86"/>
      <c r="J460" s="86"/>
      <c r="K460" s="86"/>
      <c r="L460" s="86"/>
      <c r="M460" s="86"/>
      <c r="N460" s="86"/>
      <c r="O460" s="86"/>
      <c r="P460" s="87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81"/>
      <c r="AH460" s="81"/>
      <c r="AI460" s="81"/>
      <c r="AJ460" s="81"/>
      <c r="AK460" s="81"/>
      <c r="AL460" s="81"/>
      <c r="AM460" s="81"/>
      <c r="AN460" s="81"/>
      <c r="AO460" s="81"/>
      <c r="AP460" s="81"/>
      <c r="AQ460" s="81"/>
      <c r="AR460" s="81"/>
    </row>
    <row r="461" spans="1:44" x14ac:dyDescent="0.4">
      <c r="A461" s="5" t="str">
        <f t="shared" si="43"/>
        <v>ME-OBISPO RAMOS DE LORA</v>
      </c>
      <c r="B461" s="5" t="str">
        <f t="shared" si="44"/>
        <v>ME</v>
      </c>
      <c r="C461" s="83" t="s">
        <v>1156</v>
      </c>
      <c r="D461" s="82" t="s">
        <v>1209</v>
      </c>
      <c r="E461" s="85">
        <v>52</v>
      </c>
      <c r="F461" s="85"/>
      <c r="G461" s="86"/>
      <c r="H461" s="86"/>
      <c r="I461" s="86"/>
      <c r="J461" s="86"/>
      <c r="K461" s="86"/>
      <c r="L461" s="86"/>
      <c r="M461" s="86"/>
      <c r="N461" s="86"/>
      <c r="O461" s="86"/>
      <c r="P461" s="87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81"/>
      <c r="AH461" s="81"/>
      <c r="AI461" s="81"/>
      <c r="AJ461" s="81"/>
      <c r="AK461" s="81"/>
      <c r="AL461" s="81"/>
      <c r="AM461" s="81"/>
      <c r="AN461" s="81"/>
      <c r="AO461" s="81"/>
      <c r="AP461" s="81"/>
      <c r="AQ461" s="81"/>
      <c r="AR461" s="81"/>
    </row>
    <row r="462" spans="1:44" x14ac:dyDescent="0.4">
      <c r="A462" s="5" t="str">
        <f t="shared" si="43"/>
        <v>ME-OSUNA RODRIGUEZ</v>
      </c>
      <c r="B462" s="5" t="str">
        <f t="shared" si="44"/>
        <v>ME</v>
      </c>
      <c r="C462" s="83" t="s">
        <v>1156</v>
      </c>
      <c r="D462" s="82" t="s">
        <v>1210</v>
      </c>
      <c r="E462" s="85">
        <v>33</v>
      </c>
      <c r="F462" s="85"/>
      <c r="G462" s="86"/>
      <c r="H462" s="86"/>
      <c r="I462" s="86"/>
      <c r="J462" s="86"/>
      <c r="K462" s="86"/>
      <c r="L462" s="86"/>
      <c r="M462" s="86"/>
      <c r="N462" s="86"/>
      <c r="O462" s="86"/>
      <c r="P462" s="87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81"/>
      <c r="AH462" s="81"/>
      <c r="AI462" s="81"/>
      <c r="AJ462" s="81"/>
      <c r="AK462" s="81"/>
      <c r="AL462" s="81"/>
      <c r="AM462" s="81"/>
      <c r="AN462" s="81"/>
      <c r="AO462" s="81"/>
      <c r="AP462" s="81"/>
      <c r="AQ462" s="81"/>
      <c r="AR462" s="81"/>
    </row>
    <row r="463" spans="1:44" x14ac:dyDescent="0.4">
      <c r="A463" s="5" t="str">
        <f t="shared" si="43"/>
        <v>ME-PADRE NOGUERA</v>
      </c>
      <c r="B463" s="5" t="str">
        <f t="shared" si="44"/>
        <v>ME</v>
      </c>
      <c r="C463" s="83" t="s">
        <v>1156</v>
      </c>
      <c r="D463" s="82" t="s">
        <v>1211</v>
      </c>
      <c r="E463" s="85">
        <v>6</v>
      </c>
      <c r="F463" s="85"/>
      <c r="G463" s="86"/>
      <c r="H463" s="86"/>
      <c r="I463" s="86"/>
      <c r="J463" s="86"/>
      <c r="K463" s="86"/>
      <c r="L463" s="86"/>
      <c r="M463" s="86"/>
      <c r="N463" s="86"/>
      <c r="O463" s="86"/>
      <c r="P463" s="87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81"/>
      <c r="AH463" s="81"/>
      <c r="AI463" s="81"/>
      <c r="AJ463" s="81"/>
      <c r="AK463" s="81"/>
      <c r="AL463" s="81"/>
      <c r="AM463" s="81"/>
      <c r="AN463" s="81"/>
      <c r="AO463" s="81"/>
      <c r="AP463" s="81"/>
      <c r="AQ463" s="81"/>
      <c r="AR463" s="81"/>
    </row>
    <row r="464" spans="1:44" x14ac:dyDescent="0.4">
      <c r="A464" s="5" t="str">
        <f t="shared" si="43"/>
        <v>ME-PALMIRA</v>
      </c>
      <c r="B464" s="5" t="str">
        <f t="shared" si="44"/>
        <v>ME</v>
      </c>
      <c r="C464" s="83" t="s">
        <v>1156</v>
      </c>
      <c r="D464" s="82" t="s">
        <v>1212</v>
      </c>
      <c r="E464" s="85">
        <v>14</v>
      </c>
      <c r="F464" s="85"/>
      <c r="G464" s="86"/>
      <c r="H464" s="86"/>
      <c r="I464" s="86"/>
      <c r="J464" s="86"/>
      <c r="K464" s="86"/>
      <c r="L464" s="86"/>
      <c r="M464" s="86"/>
      <c r="N464" s="86"/>
      <c r="O464" s="86"/>
      <c r="P464" s="87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1"/>
      <c r="AI464" s="81"/>
      <c r="AJ464" s="81"/>
      <c r="AK464" s="81"/>
      <c r="AL464" s="81"/>
      <c r="AM464" s="81"/>
      <c r="AN464" s="81"/>
      <c r="AO464" s="81"/>
      <c r="AP464" s="81"/>
      <c r="AQ464" s="81"/>
      <c r="AR464" s="81"/>
    </row>
    <row r="465" spans="1:44" x14ac:dyDescent="0.4">
      <c r="A465" s="5" t="str">
        <f t="shared" si="43"/>
        <v>ME-PIÑANGO</v>
      </c>
      <c r="B465" s="5" t="str">
        <f t="shared" si="44"/>
        <v>ME</v>
      </c>
      <c r="C465" s="83" t="s">
        <v>1156</v>
      </c>
      <c r="D465" s="82" t="s">
        <v>1213</v>
      </c>
      <c r="E465" s="85">
        <v>13</v>
      </c>
      <c r="F465" s="85"/>
      <c r="G465" s="86"/>
      <c r="H465" s="86"/>
      <c r="I465" s="86"/>
      <c r="J465" s="86"/>
      <c r="K465" s="86"/>
      <c r="L465" s="86"/>
      <c r="M465" s="86"/>
      <c r="N465" s="86"/>
      <c r="O465" s="86"/>
      <c r="P465" s="87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81"/>
      <c r="AH465" s="81"/>
      <c r="AI465" s="81"/>
      <c r="AJ465" s="81"/>
      <c r="AK465" s="81"/>
      <c r="AL465" s="81"/>
      <c r="AM465" s="81"/>
      <c r="AN465" s="81"/>
      <c r="AO465" s="81"/>
      <c r="AP465" s="81"/>
      <c r="AQ465" s="81"/>
      <c r="AR465" s="81"/>
    </row>
    <row r="466" spans="1:44" x14ac:dyDescent="0.4">
      <c r="A466" s="5" t="str">
        <f t="shared" si="43"/>
        <v>ME-PINTO SALIAS</v>
      </c>
      <c r="B466" s="5" t="str">
        <f t="shared" si="44"/>
        <v>ME</v>
      </c>
      <c r="C466" s="83" t="s">
        <v>1156</v>
      </c>
      <c r="D466" s="82" t="s">
        <v>1214</v>
      </c>
      <c r="E466" s="85">
        <v>54</v>
      </c>
      <c r="F466" s="85"/>
      <c r="G466" s="86"/>
      <c r="H466" s="86"/>
      <c r="I466" s="86"/>
      <c r="J466" s="86"/>
      <c r="K466" s="86"/>
      <c r="L466" s="86"/>
      <c r="M466" s="86"/>
      <c r="N466" s="86"/>
      <c r="O466" s="86"/>
      <c r="P466" s="87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81"/>
      <c r="AH466" s="81"/>
      <c r="AI466" s="81"/>
      <c r="AJ466" s="81"/>
      <c r="AK466" s="81"/>
      <c r="AL466" s="81"/>
      <c r="AM466" s="81"/>
      <c r="AN466" s="81"/>
      <c r="AO466" s="81"/>
      <c r="AP466" s="81"/>
      <c r="AQ466" s="81"/>
      <c r="AR466" s="81"/>
    </row>
    <row r="467" spans="1:44" x14ac:dyDescent="0.4">
      <c r="A467" s="5" t="str">
        <f t="shared" si="43"/>
        <v>ME-PRESIDENTE BETANCOURT</v>
      </c>
      <c r="B467" s="5" t="str">
        <f t="shared" si="44"/>
        <v>ME</v>
      </c>
      <c r="C467" s="83" t="s">
        <v>1156</v>
      </c>
      <c r="D467" s="82" t="s">
        <v>1215</v>
      </c>
      <c r="E467" s="85">
        <v>301</v>
      </c>
      <c r="F467" s="85"/>
      <c r="G467" s="86"/>
      <c r="H467" s="86"/>
      <c r="I467" s="86"/>
      <c r="J467" s="86"/>
      <c r="K467" s="86"/>
      <c r="L467" s="86"/>
      <c r="M467" s="86"/>
      <c r="N467" s="86"/>
      <c r="O467" s="86"/>
      <c r="P467" s="87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  <c r="AG467" s="81"/>
      <c r="AH467" s="81"/>
      <c r="AI467" s="81"/>
      <c r="AJ467" s="81"/>
      <c r="AK467" s="81"/>
      <c r="AL467" s="81"/>
      <c r="AM467" s="81"/>
      <c r="AN467" s="81"/>
      <c r="AO467" s="81"/>
      <c r="AP467" s="81"/>
      <c r="AQ467" s="81"/>
      <c r="AR467" s="81"/>
    </row>
    <row r="468" spans="1:44" x14ac:dyDescent="0.4">
      <c r="A468" s="5" t="str">
        <f t="shared" si="43"/>
        <v>ME-PRESIDENTE GALLEGOS</v>
      </c>
      <c r="B468" s="5" t="str">
        <f t="shared" si="44"/>
        <v>ME</v>
      </c>
      <c r="C468" s="83" t="s">
        <v>1156</v>
      </c>
      <c r="D468" s="82" t="s">
        <v>1216</v>
      </c>
      <c r="E468" s="85">
        <v>47</v>
      </c>
      <c r="F468" s="85"/>
      <c r="G468" s="86"/>
      <c r="H468" s="86"/>
      <c r="I468" s="86"/>
      <c r="J468" s="86"/>
      <c r="K468" s="86"/>
      <c r="L468" s="86"/>
      <c r="M468" s="86"/>
      <c r="N468" s="86"/>
      <c r="O468" s="86"/>
      <c r="P468" s="87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81"/>
      <c r="AH468" s="81"/>
      <c r="AI468" s="81"/>
      <c r="AJ468" s="81"/>
      <c r="AK468" s="81"/>
      <c r="AL468" s="81"/>
      <c r="AM468" s="81"/>
      <c r="AN468" s="81"/>
      <c r="AO468" s="81"/>
      <c r="AP468" s="81"/>
      <c r="AQ468" s="81"/>
      <c r="AR468" s="81"/>
    </row>
    <row r="469" spans="1:44" x14ac:dyDescent="0.4">
      <c r="A469" s="5" t="str">
        <f t="shared" si="43"/>
        <v>ME-PRESIDENTE PAEZ</v>
      </c>
      <c r="B469" s="5" t="str">
        <f t="shared" si="44"/>
        <v>ME</v>
      </c>
      <c r="C469" s="83" t="s">
        <v>1156</v>
      </c>
      <c r="D469" s="82" t="s">
        <v>1217</v>
      </c>
      <c r="E469" s="85">
        <v>76</v>
      </c>
      <c r="F469" s="85"/>
      <c r="G469" s="86"/>
      <c r="H469" s="86"/>
      <c r="I469" s="86"/>
      <c r="J469" s="86"/>
      <c r="K469" s="86"/>
      <c r="L469" s="86"/>
      <c r="M469" s="86"/>
      <c r="N469" s="86"/>
      <c r="O469" s="86"/>
      <c r="P469" s="87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  <c r="AF469" s="81"/>
      <c r="AG469" s="81"/>
      <c r="AH469" s="81"/>
      <c r="AI469" s="81"/>
      <c r="AJ469" s="81"/>
      <c r="AK469" s="81"/>
      <c r="AL469" s="81"/>
      <c r="AM469" s="81"/>
      <c r="AN469" s="81"/>
      <c r="AO469" s="81"/>
      <c r="AP469" s="81"/>
      <c r="AQ469" s="81"/>
      <c r="AR469" s="81"/>
    </row>
    <row r="470" spans="1:44" x14ac:dyDescent="0.4">
      <c r="A470" s="5" t="str">
        <f t="shared" si="43"/>
        <v>ME-PUEBLO LLANO</v>
      </c>
      <c r="B470" s="5" t="str">
        <f t="shared" si="44"/>
        <v>ME</v>
      </c>
      <c r="C470" s="83" t="s">
        <v>1156</v>
      </c>
      <c r="D470" s="82" t="s">
        <v>1218</v>
      </c>
      <c r="E470" s="85">
        <v>55</v>
      </c>
      <c r="F470" s="85"/>
      <c r="G470" s="86"/>
      <c r="H470" s="86"/>
      <c r="I470" s="86"/>
      <c r="J470" s="86"/>
      <c r="K470" s="86"/>
      <c r="L470" s="86"/>
      <c r="M470" s="86"/>
      <c r="N470" s="86"/>
      <c r="O470" s="86"/>
      <c r="P470" s="87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81"/>
      <c r="AH470" s="81"/>
      <c r="AI470" s="81"/>
      <c r="AJ470" s="81"/>
      <c r="AK470" s="81"/>
      <c r="AL470" s="81"/>
      <c r="AM470" s="81"/>
      <c r="AN470" s="81"/>
      <c r="AO470" s="81"/>
      <c r="AP470" s="81"/>
      <c r="AQ470" s="81"/>
      <c r="AR470" s="81"/>
    </row>
    <row r="471" spans="1:44" x14ac:dyDescent="0.4">
      <c r="A471" s="5" t="str">
        <f t="shared" si="43"/>
        <v>ME-PUEBLO NUEVO DEL SUR</v>
      </c>
      <c r="B471" s="5" t="str">
        <f t="shared" si="44"/>
        <v>ME</v>
      </c>
      <c r="C471" s="83" t="s">
        <v>1156</v>
      </c>
      <c r="D471" s="82" t="s">
        <v>1219</v>
      </c>
      <c r="E471" s="85">
        <v>27</v>
      </c>
      <c r="F471" s="85"/>
      <c r="G471" s="86"/>
      <c r="H471" s="86"/>
      <c r="I471" s="86"/>
      <c r="J471" s="86"/>
      <c r="K471" s="86"/>
      <c r="L471" s="86"/>
      <c r="M471" s="86"/>
      <c r="N471" s="86"/>
      <c r="O471" s="86"/>
      <c r="P471" s="87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81"/>
      <c r="AH471" s="81"/>
      <c r="AI471" s="81"/>
      <c r="AJ471" s="81"/>
      <c r="AK471" s="81"/>
      <c r="AL471" s="81"/>
      <c r="AM471" s="81"/>
      <c r="AN471" s="81"/>
      <c r="AO471" s="81"/>
      <c r="AP471" s="81"/>
      <c r="AQ471" s="81"/>
      <c r="AR471" s="81"/>
    </row>
    <row r="472" spans="1:44" x14ac:dyDescent="0.4">
      <c r="A472" s="5" t="str">
        <f t="shared" si="43"/>
        <v>ME-PULIDO MENDEZ</v>
      </c>
      <c r="B472" s="5" t="str">
        <f t="shared" si="44"/>
        <v>ME</v>
      </c>
      <c r="C472" s="83" t="s">
        <v>1156</v>
      </c>
      <c r="D472" s="82" t="s">
        <v>1220</v>
      </c>
      <c r="E472" s="85">
        <v>27</v>
      </c>
      <c r="F472" s="85"/>
      <c r="G472" s="86"/>
      <c r="H472" s="86"/>
      <c r="I472" s="86"/>
      <c r="J472" s="86"/>
      <c r="K472" s="86"/>
      <c r="L472" s="86"/>
      <c r="M472" s="86"/>
      <c r="N472" s="86"/>
      <c r="O472" s="86"/>
      <c r="P472" s="87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/>
      <c r="AI472" s="81"/>
      <c r="AJ472" s="81"/>
      <c r="AK472" s="81"/>
      <c r="AL472" s="81"/>
      <c r="AM472" s="81"/>
      <c r="AN472" s="81"/>
      <c r="AO472" s="81"/>
      <c r="AP472" s="81"/>
      <c r="AQ472" s="81"/>
      <c r="AR472" s="81"/>
    </row>
    <row r="473" spans="1:44" x14ac:dyDescent="0.4">
      <c r="A473" s="5" t="str">
        <f t="shared" si="43"/>
        <v>ME-RANGEL (MUCUCHIES)</v>
      </c>
      <c r="B473" s="5" t="str">
        <f t="shared" si="44"/>
        <v>ME</v>
      </c>
      <c r="C473" s="83" t="s">
        <v>1156</v>
      </c>
      <c r="D473" s="82" t="s">
        <v>1221</v>
      </c>
      <c r="E473" s="85">
        <v>26</v>
      </c>
      <c r="F473" s="85"/>
      <c r="G473" s="86"/>
      <c r="H473" s="86"/>
      <c r="I473" s="86"/>
      <c r="J473" s="86"/>
      <c r="K473" s="86"/>
      <c r="L473" s="86"/>
      <c r="M473" s="86"/>
      <c r="N473" s="86"/>
      <c r="O473" s="86"/>
      <c r="P473" s="87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  <c r="AI473" s="81"/>
      <c r="AJ473" s="81"/>
      <c r="AK473" s="81"/>
      <c r="AL473" s="81"/>
      <c r="AM473" s="81"/>
      <c r="AN473" s="81"/>
      <c r="AO473" s="81"/>
      <c r="AP473" s="81"/>
      <c r="AQ473" s="81"/>
      <c r="AR473" s="81"/>
    </row>
    <row r="474" spans="1:44" x14ac:dyDescent="0.4">
      <c r="A474" s="5" t="str">
        <f t="shared" si="43"/>
        <v>ME-RIO NEGRO</v>
      </c>
      <c r="B474" s="5" t="str">
        <f t="shared" si="44"/>
        <v>ME</v>
      </c>
      <c r="C474" s="83" t="s">
        <v>1156</v>
      </c>
      <c r="D474" s="82" t="s">
        <v>1222</v>
      </c>
      <c r="E474" s="85">
        <v>18</v>
      </c>
      <c r="F474" s="85"/>
      <c r="G474" s="86"/>
      <c r="H474" s="86"/>
      <c r="I474" s="86"/>
      <c r="J474" s="86"/>
      <c r="K474" s="86"/>
      <c r="L474" s="86"/>
      <c r="M474" s="86"/>
      <c r="N474" s="86"/>
      <c r="O474" s="86"/>
      <c r="P474" s="87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  <c r="AI474" s="81"/>
      <c r="AJ474" s="81"/>
      <c r="AK474" s="81"/>
      <c r="AL474" s="81"/>
      <c r="AM474" s="81"/>
      <c r="AN474" s="81"/>
      <c r="AO474" s="81"/>
      <c r="AP474" s="81"/>
      <c r="AQ474" s="81"/>
      <c r="AR474" s="81"/>
    </row>
    <row r="475" spans="1:44" x14ac:dyDescent="0.4">
      <c r="A475" s="5" t="str">
        <f t="shared" si="43"/>
        <v>ME-RIVAS DAVILA</v>
      </c>
      <c r="B475" s="5" t="str">
        <f t="shared" si="44"/>
        <v>ME</v>
      </c>
      <c r="C475" s="83" t="s">
        <v>1156</v>
      </c>
      <c r="D475" s="82" t="s">
        <v>1223</v>
      </c>
      <c r="E475" s="85">
        <v>39</v>
      </c>
      <c r="F475" s="85"/>
      <c r="G475" s="86"/>
      <c r="H475" s="86"/>
      <c r="I475" s="86"/>
      <c r="J475" s="86"/>
      <c r="K475" s="86"/>
      <c r="L475" s="86"/>
      <c r="M475" s="86"/>
      <c r="N475" s="86"/>
      <c r="O475" s="86"/>
      <c r="P475" s="87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  <c r="AI475" s="81"/>
      <c r="AJ475" s="81"/>
      <c r="AK475" s="81"/>
      <c r="AL475" s="81"/>
      <c r="AM475" s="81"/>
      <c r="AN475" s="81"/>
      <c r="AO475" s="81"/>
      <c r="AP475" s="81"/>
      <c r="AQ475" s="81"/>
      <c r="AR475" s="81"/>
    </row>
    <row r="476" spans="1:44" x14ac:dyDescent="0.4">
      <c r="A476" s="5" t="str">
        <f t="shared" si="43"/>
        <v>ME-SAGRARIO</v>
      </c>
      <c r="B476" s="5" t="str">
        <f t="shared" si="44"/>
        <v>ME</v>
      </c>
      <c r="C476" s="83" t="s">
        <v>1156</v>
      </c>
      <c r="D476" s="82" t="s">
        <v>1224</v>
      </c>
      <c r="E476" s="85">
        <v>18</v>
      </c>
      <c r="F476" s="85"/>
      <c r="G476" s="86"/>
      <c r="H476" s="86"/>
      <c r="I476" s="86"/>
      <c r="J476" s="86"/>
      <c r="K476" s="86"/>
      <c r="L476" s="86"/>
      <c r="M476" s="86"/>
      <c r="N476" s="86"/>
      <c r="O476" s="86"/>
      <c r="P476" s="87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  <c r="AI476" s="81"/>
      <c r="AJ476" s="81"/>
      <c r="AK476" s="81"/>
      <c r="AL476" s="81"/>
      <c r="AM476" s="81"/>
      <c r="AN476" s="81"/>
      <c r="AO476" s="81"/>
      <c r="AP476" s="81"/>
      <c r="AQ476" s="81"/>
      <c r="AR476" s="81"/>
    </row>
    <row r="477" spans="1:44" x14ac:dyDescent="0.4">
      <c r="A477" s="5" t="str">
        <f t="shared" si="43"/>
        <v>ME-SAN CRISTOBAL DE TORONDOY</v>
      </c>
      <c r="B477" s="5" t="str">
        <f t="shared" si="44"/>
        <v>ME</v>
      </c>
      <c r="C477" s="83" t="s">
        <v>1156</v>
      </c>
      <c r="D477" s="82" t="s">
        <v>1225</v>
      </c>
      <c r="E477" s="85">
        <v>4</v>
      </c>
      <c r="F477" s="85"/>
      <c r="G477" s="86"/>
      <c r="H477" s="86"/>
      <c r="I477" s="86"/>
      <c r="J477" s="86"/>
      <c r="K477" s="86"/>
      <c r="L477" s="86"/>
      <c r="M477" s="86"/>
      <c r="N477" s="86"/>
      <c r="O477" s="86"/>
      <c r="P477" s="87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  <c r="AI477" s="81"/>
      <c r="AJ477" s="81"/>
      <c r="AK477" s="81"/>
      <c r="AL477" s="81"/>
      <c r="AM477" s="81"/>
      <c r="AN477" s="81"/>
      <c r="AO477" s="81"/>
      <c r="AP477" s="81"/>
      <c r="AQ477" s="81"/>
      <c r="AR477" s="81"/>
    </row>
    <row r="478" spans="1:44" x14ac:dyDescent="0.4">
      <c r="A478" s="5" t="str">
        <f t="shared" si="43"/>
        <v>ME-SAN FRANCISCO</v>
      </c>
      <c r="B478" s="5" t="str">
        <f t="shared" si="44"/>
        <v>ME</v>
      </c>
      <c r="C478" s="83" t="s">
        <v>1156</v>
      </c>
      <c r="D478" s="82" t="s">
        <v>1073</v>
      </c>
      <c r="E478" s="85">
        <v>7</v>
      </c>
      <c r="F478" s="85"/>
      <c r="G478" s="86"/>
      <c r="H478" s="86"/>
      <c r="I478" s="86"/>
      <c r="J478" s="86"/>
      <c r="K478" s="86"/>
      <c r="L478" s="86"/>
      <c r="M478" s="86"/>
      <c r="N478" s="86"/>
      <c r="O478" s="86"/>
      <c r="P478" s="87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  <c r="AI478" s="81"/>
      <c r="AJ478" s="81"/>
      <c r="AK478" s="81"/>
      <c r="AL478" s="81"/>
      <c r="AM478" s="81"/>
      <c r="AN478" s="81"/>
      <c r="AO478" s="81"/>
      <c r="AP478" s="81"/>
      <c r="AQ478" s="81"/>
      <c r="AR478" s="81"/>
    </row>
    <row r="479" spans="1:44" x14ac:dyDescent="0.4">
      <c r="A479" s="5" t="str">
        <f t="shared" si="43"/>
        <v>ME-SAN JOSE</v>
      </c>
      <c r="B479" s="5" t="str">
        <f t="shared" si="44"/>
        <v>ME</v>
      </c>
      <c r="C479" s="83" t="s">
        <v>1156</v>
      </c>
      <c r="D479" s="82" t="s">
        <v>981</v>
      </c>
      <c r="E479" s="85">
        <v>5</v>
      </c>
      <c r="F479" s="85"/>
      <c r="G479" s="86"/>
      <c r="H479" s="86"/>
      <c r="I479" s="86"/>
      <c r="J479" s="86"/>
      <c r="K479" s="86"/>
      <c r="L479" s="86"/>
      <c r="M479" s="86"/>
      <c r="N479" s="86"/>
      <c r="O479" s="86"/>
      <c r="P479" s="87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  <c r="AI479" s="81"/>
      <c r="AJ479" s="81"/>
      <c r="AK479" s="81"/>
      <c r="AL479" s="81"/>
      <c r="AM479" s="81"/>
      <c r="AN479" s="81"/>
      <c r="AO479" s="81"/>
      <c r="AP479" s="81"/>
      <c r="AQ479" s="81"/>
      <c r="AR479" s="81"/>
    </row>
    <row r="480" spans="1:44" x14ac:dyDescent="0.4">
      <c r="A480" s="5" t="str">
        <f t="shared" si="43"/>
        <v>ME-SAN JUAN</v>
      </c>
      <c r="B480" s="5" t="str">
        <f t="shared" si="44"/>
        <v>ME</v>
      </c>
      <c r="C480" s="83" t="s">
        <v>1156</v>
      </c>
      <c r="D480" s="82" t="s">
        <v>1021</v>
      </c>
      <c r="E480" s="85">
        <v>30</v>
      </c>
      <c r="F480" s="85"/>
      <c r="G480" s="86"/>
      <c r="H480" s="86"/>
      <c r="I480" s="86"/>
      <c r="J480" s="86"/>
      <c r="K480" s="86"/>
      <c r="L480" s="86"/>
      <c r="M480" s="86"/>
      <c r="N480" s="86"/>
      <c r="O480" s="86"/>
      <c r="P480" s="87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  <c r="AI480" s="81"/>
      <c r="AJ480" s="81"/>
      <c r="AK480" s="81"/>
      <c r="AL480" s="81"/>
      <c r="AM480" s="81"/>
      <c r="AN480" s="81"/>
      <c r="AO480" s="81"/>
      <c r="AP480" s="81"/>
      <c r="AQ480" s="81"/>
      <c r="AR480" s="81"/>
    </row>
    <row r="481" spans="1:44" x14ac:dyDescent="0.4">
      <c r="A481" s="5" t="str">
        <f t="shared" si="43"/>
        <v>ME-SAN RAFAEL</v>
      </c>
      <c r="B481" s="5" t="str">
        <f t="shared" si="44"/>
        <v>ME</v>
      </c>
      <c r="C481" s="83" t="s">
        <v>1156</v>
      </c>
      <c r="D481" s="82" t="s">
        <v>1226</v>
      </c>
      <c r="E481" s="85">
        <v>19</v>
      </c>
      <c r="F481" s="85"/>
      <c r="G481" s="86"/>
      <c r="H481" s="86"/>
      <c r="I481" s="86"/>
      <c r="J481" s="86"/>
      <c r="K481" s="86"/>
      <c r="L481" s="86"/>
      <c r="M481" s="86"/>
      <c r="N481" s="86"/>
      <c r="O481" s="86"/>
      <c r="P481" s="87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  <c r="AI481" s="81"/>
      <c r="AJ481" s="81"/>
      <c r="AK481" s="81"/>
      <c r="AL481" s="81"/>
      <c r="AM481" s="81"/>
      <c r="AN481" s="81"/>
      <c r="AO481" s="81"/>
      <c r="AP481" s="81"/>
      <c r="AQ481" s="81"/>
      <c r="AR481" s="81"/>
    </row>
    <row r="482" spans="1:44" x14ac:dyDescent="0.4">
      <c r="A482" s="5" t="str">
        <f t="shared" si="43"/>
        <v>ME-SANTA APOLONIA</v>
      </c>
      <c r="B482" s="5" t="str">
        <f t="shared" si="44"/>
        <v>ME</v>
      </c>
      <c r="C482" s="83" t="s">
        <v>1156</v>
      </c>
      <c r="D482" s="82" t="s">
        <v>1227</v>
      </c>
      <c r="E482" s="85">
        <v>21</v>
      </c>
      <c r="F482" s="85"/>
      <c r="G482" s="86"/>
      <c r="H482" s="86"/>
      <c r="I482" s="86"/>
      <c r="J482" s="86"/>
      <c r="K482" s="86"/>
      <c r="L482" s="86"/>
      <c r="M482" s="86"/>
      <c r="N482" s="86"/>
      <c r="O482" s="86"/>
      <c r="P482" s="87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  <c r="AI482" s="81"/>
      <c r="AJ482" s="81"/>
      <c r="AK482" s="81"/>
      <c r="AL482" s="81"/>
      <c r="AM482" s="81"/>
      <c r="AN482" s="81"/>
      <c r="AO482" s="81"/>
      <c r="AP482" s="81"/>
      <c r="AQ482" s="81"/>
      <c r="AR482" s="81"/>
    </row>
    <row r="483" spans="1:44" x14ac:dyDescent="0.4">
      <c r="A483" s="5" t="str">
        <f t="shared" si="43"/>
        <v>ME-SANTOS MARQUINA</v>
      </c>
      <c r="B483" s="5" t="str">
        <f t="shared" si="44"/>
        <v>ME</v>
      </c>
      <c r="C483" s="83" t="s">
        <v>1156</v>
      </c>
      <c r="D483" s="82" t="s">
        <v>1228</v>
      </c>
      <c r="E483" s="85">
        <v>38</v>
      </c>
      <c r="F483" s="85"/>
      <c r="G483" s="86"/>
      <c r="H483" s="86"/>
      <c r="I483" s="86"/>
      <c r="J483" s="86"/>
      <c r="K483" s="86"/>
      <c r="L483" s="86"/>
      <c r="M483" s="86"/>
      <c r="N483" s="86"/>
      <c r="O483" s="86"/>
      <c r="P483" s="87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  <c r="AG483" s="81"/>
      <c r="AH483" s="81"/>
      <c r="AI483" s="81"/>
      <c r="AJ483" s="81"/>
      <c r="AK483" s="81"/>
      <c r="AL483" s="81"/>
      <c r="AM483" s="81"/>
      <c r="AN483" s="81"/>
      <c r="AO483" s="81"/>
      <c r="AP483" s="81"/>
      <c r="AQ483" s="81"/>
      <c r="AR483" s="81"/>
    </row>
    <row r="484" spans="1:44" x14ac:dyDescent="0.4">
      <c r="A484" s="5" t="str">
        <f t="shared" si="43"/>
        <v>ME-SUCRE (LAGUNILLAS)</v>
      </c>
      <c r="B484" s="5" t="str">
        <f t="shared" si="44"/>
        <v>ME</v>
      </c>
      <c r="C484" s="83" t="s">
        <v>1156</v>
      </c>
      <c r="D484" s="82" t="s">
        <v>1229</v>
      </c>
      <c r="E484" s="85">
        <v>76</v>
      </c>
      <c r="F484" s="85"/>
      <c r="G484" s="86"/>
      <c r="H484" s="86"/>
      <c r="I484" s="86"/>
      <c r="J484" s="86"/>
      <c r="K484" s="86"/>
      <c r="L484" s="86"/>
      <c r="M484" s="86"/>
      <c r="N484" s="86"/>
      <c r="O484" s="86"/>
      <c r="P484" s="87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81"/>
      <c r="AH484" s="81"/>
      <c r="AI484" s="81"/>
      <c r="AJ484" s="81"/>
      <c r="AK484" s="81"/>
      <c r="AL484" s="81"/>
      <c r="AM484" s="81"/>
      <c r="AN484" s="81"/>
      <c r="AO484" s="81"/>
      <c r="AP484" s="81"/>
      <c r="AQ484" s="81"/>
      <c r="AR484" s="81"/>
    </row>
    <row r="485" spans="1:44" x14ac:dyDescent="0.4">
      <c r="A485" s="5" t="str">
        <f t="shared" si="43"/>
        <v>ME-TORONTO (JURSTO BRICEÑO)</v>
      </c>
      <c r="B485" s="5" t="str">
        <f t="shared" si="44"/>
        <v>ME</v>
      </c>
      <c r="C485" s="83" t="s">
        <v>1156</v>
      </c>
      <c r="D485" s="82" t="s">
        <v>1230</v>
      </c>
      <c r="E485" s="85">
        <v>18</v>
      </c>
      <c r="F485" s="85"/>
      <c r="G485" s="86"/>
      <c r="H485" s="86"/>
      <c r="I485" s="86"/>
      <c r="J485" s="86"/>
      <c r="K485" s="86"/>
      <c r="L485" s="86"/>
      <c r="M485" s="86"/>
      <c r="N485" s="86"/>
      <c r="O485" s="86"/>
      <c r="P485" s="87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  <c r="AI485" s="81"/>
      <c r="AJ485" s="81"/>
      <c r="AK485" s="81"/>
      <c r="AL485" s="81"/>
      <c r="AM485" s="81"/>
      <c r="AN485" s="81"/>
      <c r="AO485" s="81"/>
      <c r="AP485" s="81"/>
      <c r="AQ485" s="81"/>
      <c r="AR485" s="81"/>
    </row>
    <row r="486" spans="1:44" x14ac:dyDescent="0.4">
      <c r="A486" s="5" t="str">
        <f t="shared" si="43"/>
        <v>ME-TOVAR</v>
      </c>
      <c r="B486" s="5" t="str">
        <f t="shared" si="44"/>
        <v>ME</v>
      </c>
      <c r="C486" s="83" t="s">
        <v>1156</v>
      </c>
      <c r="D486" s="82" t="s">
        <v>1231</v>
      </c>
      <c r="E486" s="85">
        <v>60</v>
      </c>
      <c r="F486" s="85"/>
      <c r="G486" s="86"/>
      <c r="H486" s="86"/>
      <c r="I486" s="86"/>
      <c r="J486" s="86"/>
      <c r="K486" s="86"/>
      <c r="L486" s="86"/>
      <c r="M486" s="86"/>
      <c r="N486" s="86"/>
      <c r="O486" s="86"/>
      <c r="P486" s="87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  <c r="AG486" s="81"/>
      <c r="AH486" s="81"/>
      <c r="AI486" s="81"/>
      <c r="AJ486" s="81"/>
      <c r="AK486" s="81"/>
      <c r="AL486" s="81"/>
      <c r="AM486" s="81"/>
      <c r="AN486" s="81"/>
      <c r="AO486" s="81"/>
      <c r="AP486" s="81"/>
      <c r="AQ486" s="81"/>
      <c r="AR486" s="81"/>
    </row>
    <row r="487" spans="1:44" x14ac:dyDescent="0.4">
      <c r="A487" s="5" t="str">
        <f t="shared" si="43"/>
        <v>ME-TULIO FEBRES CORDERO</v>
      </c>
      <c r="B487" s="5" t="str">
        <f t="shared" si="44"/>
        <v>ME</v>
      </c>
      <c r="C487" s="83" t="s">
        <v>1156</v>
      </c>
      <c r="D487" s="82" t="s">
        <v>1232</v>
      </c>
      <c r="E487" s="85">
        <v>18</v>
      </c>
      <c r="F487" s="85"/>
      <c r="G487" s="86"/>
      <c r="H487" s="86"/>
      <c r="I487" s="86"/>
      <c r="J487" s="86"/>
      <c r="K487" s="86"/>
      <c r="L487" s="86"/>
      <c r="M487" s="86"/>
      <c r="N487" s="86"/>
      <c r="O487" s="86"/>
      <c r="P487" s="87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  <c r="AG487" s="81"/>
      <c r="AH487" s="81"/>
      <c r="AI487" s="81"/>
      <c r="AJ487" s="81"/>
      <c r="AK487" s="81"/>
      <c r="AL487" s="81"/>
      <c r="AM487" s="81"/>
      <c r="AN487" s="81"/>
      <c r="AO487" s="81"/>
      <c r="AP487" s="81"/>
      <c r="AQ487" s="81"/>
      <c r="AR487" s="81"/>
    </row>
    <row r="488" spans="1:44" x14ac:dyDescent="0.4">
      <c r="A488" s="5" t="str">
        <f t="shared" si="43"/>
        <v>ME-ZEA</v>
      </c>
      <c r="B488" s="5" t="str">
        <f t="shared" si="44"/>
        <v>ME</v>
      </c>
      <c r="C488" s="83" t="s">
        <v>1156</v>
      </c>
      <c r="D488" s="82" t="s">
        <v>1233</v>
      </c>
      <c r="E488" s="85">
        <v>28</v>
      </c>
      <c r="F488" s="85"/>
      <c r="G488" s="86"/>
      <c r="H488" s="86"/>
      <c r="I488" s="86"/>
      <c r="J488" s="86"/>
      <c r="K488" s="86"/>
      <c r="L488" s="86"/>
      <c r="M488" s="86"/>
      <c r="N488" s="86"/>
      <c r="O488" s="86"/>
      <c r="P488" s="87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  <c r="AG488" s="81"/>
      <c r="AH488" s="81"/>
      <c r="AI488" s="81"/>
      <c r="AJ488" s="81"/>
      <c r="AK488" s="81"/>
      <c r="AL488" s="81"/>
      <c r="AM488" s="81"/>
      <c r="AN488" s="81"/>
      <c r="AO488" s="81"/>
      <c r="AP488" s="81"/>
      <c r="AQ488" s="81"/>
      <c r="AR488" s="81"/>
    </row>
    <row r="489" spans="1:44" x14ac:dyDescent="0.4">
      <c r="A489" s="5" t="str">
        <f t="shared" si="43"/>
        <v>MI-ALTAGRACIA DE LA MONTAÑA</v>
      </c>
      <c r="B489" s="5" t="str">
        <f t="shared" si="44"/>
        <v>MI</v>
      </c>
      <c r="C489" s="83" t="s">
        <v>776</v>
      </c>
      <c r="D489" s="82" t="s">
        <v>1234</v>
      </c>
      <c r="E489" s="85">
        <v>15</v>
      </c>
      <c r="F489" s="85"/>
      <c r="G489" s="86"/>
      <c r="H489" s="86"/>
      <c r="I489" s="86"/>
      <c r="J489" s="86"/>
      <c r="K489" s="86"/>
      <c r="L489" s="86"/>
      <c r="M489" s="86"/>
      <c r="N489" s="86"/>
      <c r="O489" s="86"/>
      <c r="P489" s="87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  <c r="AG489" s="81"/>
      <c r="AH489" s="81"/>
      <c r="AI489" s="81"/>
      <c r="AJ489" s="81"/>
      <c r="AK489" s="81"/>
      <c r="AL489" s="81"/>
      <c r="AM489" s="81"/>
      <c r="AN489" s="81"/>
      <c r="AO489" s="81"/>
      <c r="AP489" s="81"/>
      <c r="AQ489" s="81"/>
      <c r="AR489" s="81"/>
    </row>
    <row r="490" spans="1:44" x14ac:dyDescent="0.4">
      <c r="A490" s="5" t="str">
        <f t="shared" si="43"/>
        <v>MI-ARAGUITA</v>
      </c>
      <c r="B490" s="5" t="str">
        <f t="shared" si="44"/>
        <v>MI</v>
      </c>
      <c r="C490" s="83" t="s">
        <v>776</v>
      </c>
      <c r="D490" s="82" t="s">
        <v>1235</v>
      </c>
      <c r="E490" s="85">
        <v>15</v>
      </c>
      <c r="F490" s="85"/>
      <c r="G490" s="86"/>
      <c r="H490" s="86"/>
      <c r="I490" s="86"/>
      <c r="J490" s="86"/>
      <c r="K490" s="86"/>
      <c r="L490" s="86"/>
      <c r="M490" s="86"/>
      <c r="N490" s="86"/>
      <c r="O490" s="86"/>
      <c r="P490" s="87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  <c r="AG490" s="81"/>
      <c r="AH490" s="81"/>
      <c r="AI490" s="81"/>
      <c r="AJ490" s="81"/>
      <c r="AK490" s="81"/>
      <c r="AL490" s="81"/>
      <c r="AM490" s="81"/>
      <c r="AN490" s="81"/>
      <c r="AO490" s="81"/>
      <c r="AP490" s="81"/>
      <c r="AQ490" s="81"/>
      <c r="AR490" s="81"/>
    </row>
    <row r="491" spans="1:44" x14ac:dyDescent="0.4">
      <c r="A491" s="5" t="str">
        <f t="shared" si="43"/>
        <v>MI-AREVALO GONZALEZ</v>
      </c>
      <c r="B491" s="5" t="str">
        <f t="shared" si="44"/>
        <v>MI</v>
      </c>
      <c r="C491" s="83" t="s">
        <v>776</v>
      </c>
      <c r="D491" s="82" t="s">
        <v>1236</v>
      </c>
      <c r="E491" s="85">
        <v>24</v>
      </c>
      <c r="F491" s="85"/>
      <c r="G491" s="86"/>
      <c r="H491" s="86"/>
      <c r="I491" s="86"/>
      <c r="J491" s="86"/>
      <c r="K491" s="86"/>
      <c r="L491" s="86"/>
      <c r="M491" s="86"/>
      <c r="N491" s="86"/>
      <c r="O491" s="86"/>
      <c r="P491" s="87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1"/>
      <c r="AI491" s="81"/>
      <c r="AJ491" s="81"/>
      <c r="AK491" s="81"/>
      <c r="AL491" s="81"/>
      <c r="AM491" s="81"/>
      <c r="AN491" s="81"/>
      <c r="AO491" s="81"/>
      <c r="AP491" s="81"/>
      <c r="AQ491" s="81"/>
      <c r="AR491" s="81"/>
    </row>
    <row r="492" spans="1:44" x14ac:dyDescent="0.4">
      <c r="A492" s="5" t="str">
        <f t="shared" si="43"/>
        <v>MI-BARUTA</v>
      </c>
      <c r="B492" s="5" t="str">
        <f t="shared" si="44"/>
        <v>MI</v>
      </c>
      <c r="C492" s="83" t="s">
        <v>776</v>
      </c>
      <c r="D492" s="82" t="s">
        <v>1237</v>
      </c>
      <c r="E492" s="85">
        <v>619</v>
      </c>
      <c r="F492" s="85"/>
      <c r="G492" s="86"/>
      <c r="H492" s="86"/>
      <c r="I492" s="86"/>
      <c r="J492" s="86"/>
      <c r="K492" s="86"/>
      <c r="L492" s="86"/>
      <c r="M492" s="86"/>
      <c r="N492" s="86"/>
      <c r="O492" s="86"/>
      <c r="P492" s="87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  <c r="AG492" s="81"/>
      <c r="AH492" s="81"/>
      <c r="AI492" s="81"/>
      <c r="AJ492" s="81"/>
      <c r="AK492" s="81"/>
      <c r="AL492" s="81"/>
      <c r="AM492" s="81"/>
      <c r="AN492" s="81"/>
      <c r="AO492" s="81"/>
      <c r="AP492" s="81"/>
      <c r="AQ492" s="81"/>
      <c r="AR492" s="81"/>
    </row>
    <row r="493" spans="1:44" x14ac:dyDescent="0.4">
      <c r="A493" s="5" t="str">
        <f t="shared" si="43"/>
        <v>MI-BOLIVAR</v>
      </c>
      <c r="B493" s="5" t="str">
        <f t="shared" si="44"/>
        <v>MI</v>
      </c>
      <c r="C493" s="83" t="s">
        <v>776</v>
      </c>
      <c r="D493" s="82" t="s">
        <v>1034</v>
      </c>
      <c r="E493" s="85">
        <v>23</v>
      </c>
      <c r="F493" s="85"/>
      <c r="G493" s="86"/>
      <c r="H493" s="86"/>
      <c r="I493" s="86"/>
      <c r="J493" s="86"/>
      <c r="K493" s="86"/>
      <c r="L493" s="86"/>
      <c r="M493" s="86"/>
      <c r="N493" s="86"/>
      <c r="O493" s="86"/>
      <c r="P493" s="87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  <c r="AG493" s="81"/>
      <c r="AH493" s="81"/>
      <c r="AI493" s="81"/>
      <c r="AJ493" s="81"/>
      <c r="AK493" s="81"/>
      <c r="AL493" s="81"/>
      <c r="AM493" s="81"/>
      <c r="AN493" s="81"/>
      <c r="AO493" s="81"/>
      <c r="AP493" s="81"/>
      <c r="AQ493" s="81"/>
      <c r="AR493" s="81"/>
    </row>
    <row r="494" spans="1:44" x14ac:dyDescent="0.4">
      <c r="A494" s="5" t="str">
        <f t="shared" si="43"/>
        <v>MI-BUROZ</v>
      </c>
      <c r="B494" s="5" t="str">
        <f t="shared" si="44"/>
        <v>MI</v>
      </c>
      <c r="C494" s="83" t="s">
        <v>776</v>
      </c>
      <c r="D494" s="82" t="s">
        <v>1238</v>
      </c>
      <c r="E494" s="85">
        <v>42</v>
      </c>
      <c r="F494" s="85"/>
      <c r="G494" s="86"/>
      <c r="H494" s="86"/>
      <c r="I494" s="86"/>
      <c r="J494" s="86"/>
      <c r="K494" s="86"/>
      <c r="L494" s="86"/>
      <c r="M494" s="86"/>
      <c r="N494" s="86"/>
      <c r="O494" s="86"/>
      <c r="P494" s="87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  <c r="AG494" s="81"/>
      <c r="AH494" s="81"/>
      <c r="AI494" s="81"/>
      <c r="AJ494" s="81"/>
      <c r="AK494" s="81"/>
      <c r="AL494" s="81"/>
      <c r="AM494" s="81"/>
      <c r="AN494" s="81"/>
      <c r="AO494" s="81"/>
      <c r="AP494" s="81"/>
      <c r="AQ494" s="81"/>
      <c r="AR494" s="81"/>
    </row>
    <row r="495" spans="1:44" x14ac:dyDescent="0.4">
      <c r="A495" s="5" t="str">
        <f t="shared" si="43"/>
        <v>MI-CAPAYA</v>
      </c>
      <c r="B495" s="5" t="str">
        <f t="shared" si="44"/>
        <v>MI</v>
      </c>
      <c r="C495" s="83" t="s">
        <v>776</v>
      </c>
      <c r="D495" s="82" t="s">
        <v>1239</v>
      </c>
      <c r="E495" s="85">
        <v>48</v>
      </c>
      <c r="F495" s="85"/>
      <c r="G495" s="86"/>
      <c r="H495" s="86"/>
      <c r="I495" s="86"/>
      <c r="J495" s="86"/>
      <c r="K495" s="86"/>
      <c r="L495" s="86"/>
      <c r="M495" s="86"/>
      <c r="N495" s="86"/>
      <c r="O495" s="86"/>
      <c r="P495" s="87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  <c r="AG495" s="81"/>
      <c r="AH495" s="81"/>
      <c r="AI495" s="81"/>
      <c r="AJ495" s="81"/>
      <c r="AK495" s="81"/>
      <c r="AL495" s="81"/>
      <c r="AM495" s="81"/>
      <c r="AN495" s="81"/>
      <c r="AO495" s="81"/>
      <c r="AP495" s="81"/>
      <c r="AQ495" s="81"/>
      <c r="AR495" s="81"/>
    </row>
    <row r="496" spans="1:44" x14ac:dyDescent="0.4">
      <c r="A496" s="5" t="str">
        <f t="shared" si="43"/>
        <v>MI-CARRIZAL</v>
      </c>
      <c r="B496" s="5" t="str">
        <f t="shared" si="44"/>
        <v>MI</v>
      </c>
      <c r="C496" s="83" t="s">
        <v>776</v>
      </c>
      <c r="D496" s="82" t="s">
        <v>1240</v>
      </c>
      <c r="E496" s="85">
        <v>50</v>
      </c>
      <c r="F496" s="85"/>
      <c r="G496" s="86"/>
      <c r="H496" s="86"/>
      <c r="I496" s="86"/>
      <c r="J496" s="86"/>
      <c r="K496" s="86"/>
      <c r="L496" s="86"/>
      <c r="M496" s="86"/>
      <c r="N496" s="86"/>
      <c r="O496" s="86"/>
      <c r="P496" s="87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  <c r="AG496" s="81"/>
      <c r="AH496" s="81"/>
      <c r="AI496" s="81"/>
      <c r="AJ496" s="81"/>
      <c r="AK496" s="81"/>
      <c r="AL496" s="81"/>
      <c r="AM496" s="81"/>
      <c r="AN496" s="81"/>
      <c r="AO496" s="81"/>
      <c r="AP496" s="81"/>
      <c r="AQ496" s="81"/>
      <c r="AR496" s="81"/>
    </row>
    <row r="497" spans="1:44" x14ac:dyDescent="0.4">
      <c r="A497" s="5" t="str">
        <f t="shared" si="43"/>
        <v>MI-CARTANAL</v>
      </c>
      <c r="B497" s="5" t="str">
        <f t="shared" si="44"/>
        <v>MI</v>
      </c>
      <c r="C497" s="83" t="s">
        <v>776</v>
      </c>
      <c r="D497" s="82" t="s">
        <v>1241</v>
      </c>
      <c r="E497" s="85">
        <v>4</v>
      </c>
      <c r="F497" s="85"/>
      <c r="G497" s="86"/>
      <c r="H497" s="86"/>
      <c r="I497" s="86"/>
      <c r="J497" s="86"/>
      <c r="K497" s="86"/>
      <c r="L497" s="86"/>
      <c r="M497" s="86"/>
      <c r="N497" s="86"/>
      <c r="O497" s="86"/>
      <c r="P497" s="87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  <c r="AI497" s="81"/>
      <c r="AJ497" s="81"/>
      <c r="AK497" s="81"/>
      <c r="AL497" s="81"/>
      <c r="AM497" s="81"/>
      <c r="AN497" s="81"/>
      <c r="AO497" s="81"/>
      <c r="AP497" s="81"/>
      <c r="AQ497" s="81"/>
      <c r="AR497" s="81"/>
    </row>
    <row r="498" spans="1:44" x14ac:dyDescent="0.4">
      <c r="A498" s="5" t="str">
        <f t="shared" si="43"/>
        <v>MI-CAUCAGUA</v>
      </c>
      <c r="B498" s="5" t="str">
        <f t="shared" si="44"/>
        <v>MI</v>
      </c>
      <c r="C498" s="83" t="s">
        <v>776</v>
      </c>
      <c r="D498" s="82" t="s">
        <v>1242</v>
      </c>
      <c r="E498" s="85">
        <v>149</v>
      </c>
      <c r="F498" s="85"/>
      <c r="G498" s="86"/>
      <c r="H498" s="86"/>
      <c r="I498" s="86"/>
      <c r="J498" s="86"/>
      <c r="K498" s="86"/>
      <c r="L498" s="86"/>
      <c r="M498" s="86"/>
      <c r="N498" s="86"/>
      <c r="O498" s="86"/>
      <c r="P498" s="87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81"/>
      <c r="AH498" s="81"/>
      <c r="AI498" s="81"/>
      <c r="AJ498" s="81"/>
      <c r="AK498" s="81"/>
      <c r="AL498" s="81"/>
      <c r="AM498" s="81"/>
      <c r="AN498" s="81"/>
      <c r="AO498" s="81"/>
      <c r="AP498" s="81"/>
      <c r="AQ498" s="81"/>
      <c r="AR498" s="81"/>
    </row>
    <row r="499" spans="1:44" x14ac:dyDescent="0.4">
      <c r="A499" s="5" t="str">
        <f t="shared" si="43"/>
        <v>MI-CAUCAGUITA</v>
      </c>
      <c r="B499" s="5" t="str">
        <f t="shared" si="44"/>
        <v>MI</v>
      </c>
      <c r="C499" s="83" t="s">
        <v>776</v>
      </c>
      <c r="D499" s="82" t="s">
        <v>1243</v>
      </c>
      <c r="E499" s="85">
        <v>28</v>
      </c>
      <c r="F499" s="85"/>
      <c r="G499" s="86"/>
      <c r="H499" s="86"/>
      <c r="I499" s="86"/>
      <c r="J499" s="86"/>
      <c r="K499" s="86"/>
      <c r="L499" s="86"/>
      <c r="M499" s="86"/>
      <c r="N499" s="86"/>
      <c r="O499" s="86"/>
      <c r="P499" s="87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81"/>
      <c r="AH499" s="81"/>
      <c r="AI499" s="81"/>
      <c r="AJ499" s="81"/>
      <c r="AK499" s="81"/>
      <c r="AL499" s="81"/>
      <c r="AM499" s="81"/>
      <c r="AN499" s="81"/>
      <c r="AO499" s="81"/>
      <c r="AP499" s="81"/>
      <c r="AQ499" s="81"/>
      <c r="AR499" s="81"/>
    </row>
    <row r="500" spans="1:44" x14ac:dyDescent="0.4">
      <c r="A500" s="5" t="str">
        <f t="shared" si="43"/>
        <v>MI-CECILIO ACOSTA</v>
      </c>
      <c r="B500" s="5" t="str">
        <f t="shared" si="44"/>
        <v>MI</v>
      </c>
      <c r="C500" s="83" t="s">
        <v>776</v>
      </c>
      <c r="D500" s="82" t="s">
        <v>1244</v>
      </c>
      <c r="E500" s="85">
        <v>27</v>
      </c>
      <c r="F500" s="85"/>
      <c r="G500" s="86"/>
      <c r="H500" s="86"/>
      <c r="I500" s="86"/>
      <c r="J500" s="86"/>
      <c r="K500" s="86"/>
      <c r="L500" s="86"/>
      <c r="M500" s="86"/>
      <c r="N500" s="86"/>
      <c r="O500" s="86"/>
      <c r="P500" s="87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  <c r="AG500" s="81"/>
      <c r="AH500" s="81"/>
      <c r="AI500" s="81"/>
      <c r="AJ500" s="81"/>
      <c r="AK500" s="81"/>
      <c r="AL500" s="81"/>
      <c r="AM500" s="81"/>
      <c r="AN500" s="81"/>
      <c r="AO500" s="81"/>
      <c r="AP500" s="81"/>
      <c r="AQ500" s="81"/>
      <c r="AR500" s="81"/>
    </row>
    <row r="501" spans="1:44" x14ac:dyDescent="0.4">
      <c r="A501" s="5" t="str">
        <f t="shared" si="43"/>
        <v>MI-CHACAO</v>
      </c>
      <c r="B501" s="5" t="str">
        <f t="shared" si="44"/>
        <v>MI</v>
      </c>
      <c r="C501" s="83" t="s">
        <v>776</v>
      </c>
      <c r="D501" s="82" t="s">
        <v>1245</v>
      </c>
      <c r="E501" s="85">
        <v>626</v>
      </c>
      <c r="F501" s="85"/>
      <c r="G501" s="86"/>
      <c r="H501" s="86"/>
      <c r="I501" s="86"/>
      <c r="J501" s="86"/>
      <c r="K501" s="86"/>
      <c r="L501" s="86"/>
      <c r="M501" s="86"/>
      <c r="N501" s="86"/>
      <c r="O501" s="86"/>
      <c r="P501" s="87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1"/>
      <c r="AI501" s="81"/>
      <c r="AJ501" s="81"/>
      <c r="AK501" s="81"/>
      <c r="AL501" s="81"/>
      <c r="AM501" s="81"/>
      <c r="AN501" s="81"/>
      <c r="AO501" s="81"/>
      <c r="AP501" s="81"/>
      <c r="AQ501" s="81"/>
      <c r="AR501" s="81"/>
    </row>
    <row r="502" spans="1:44" x14ac:dyDescent="0.4">
      <c r="A502" s="5" t="str">
        <f t="shared" si="43"/>
        <v>MI-CHARAVALLE</v>
      </c>
      <c r="B502" s="5" t="str">
        <f t="shared" si="44"/>
        <v>MI</v>
      </c>
      <c r="C502" s="83" t="s">
        <v>776</v>
      </c>
      <c r="D502" s="82" t="s">
        <v>1246</v>
      </c>
      <c r="E502" s="85">
        <v>180</v>
      </c>
      <c r="F502" s="85"/>
      <c r="G502" s="86"/>
      <c r="H502" s="86"/>
      <c r="I502" s="86"/>
      <c r="J502" s="86"/>
      <c r="K502" s="86"/>
      <c r="L502" s="86"/>
      <c r="M502" s="86"/>
      <c r="N502" s="86"/>
      <c r="O502" s="86"/>
      <c r="P502" s="87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1"/>
      <c r="AI502" s="81"/>
      <c r="AJ502" s="81"/>
      <c r="AK502" s="81"/>
      <c r="AL502" s="81"/>
      <c r="AM502" s="81"/>
      <c r="AN502" s="81"/>
      <c r="AO502" s="81"/>
      <c r="AP502" s="81"/>
      <c r="AQ502" s="81"/>
      <c r="AR502" s="81"/>
    </row>
    <row r="503" spans="1:44" x14ac:dyDescent="0.4">
      <c r="A503" s="5" t="str">
        <f t="shared" si="43"/>
        <v>MI-CUA</v>
      </c>
      <c r="B503" s="5" t="str">
        <f t="shared" si="44"/>
        <v>MI</v>
      </c>
      <c r="C503" s="83" t="s">
        <v>776</v>
      </c>
      <c r="D503" s="82" t="s">
        <v>1247</v>
      </c>
      <c r="E503" s="85">
        <v>211</v>
      </c>
      <c r="F503" s="85"/>
      <c r="G503" s="86"/>
      <c r="H503" s="86"/>
      <c r="I503" s="86"/>
      <c r="J503" s="86"/>
      <c r="K503" s="86"/>
      <c r="L503" s="86"/>
      <c r="M503" s="86"/>
      <c r="N503" s="86"/>
      <c r="O503" s="86"/>
      <c r="P503" s="87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1"/>
      <c r="AI503" s="81"/>
      <c r="AJ503" s="81"/>
      <c r="AK503" s="81"/>
      <c r="AL503" s="81"/>
      <c r="AM503" s="81"/>
      <c r="AN503" s="81"/>
      <c r="AO503" s="81"/>
      <c r="AP503" s="81"/>
      <c r="AQ503" s="81"/>
      <c r="AR503" s="81"/>
    </row>
    <row r="504" spans="1:44" x14ac:dyDescent="0.4">
      <c r="A504" s="5" t="str">
        <f t="shared" si="43"/>
        <v>MI-CUMBO</v>
      </c>
      <c r="B504" s="5" t="str">
        <f t="shared" si="44"/>
        <v>MI</v>
      </c>
      <c r="C504" s="83" t="s">
        <v>776</v>
      </c>
      <c r="D504" s="82" t="s">
        <v>1248</v>
      </c>
      <c r="E504" s="85">
        <v>1</v>
      </c>
      <c r="F504" s="85"/>
      <c r="G504" s="86"/>
      <c r="H504" s="86"/>
      <c r="I504" s="86"/>
      <c r="J504" s="86"/>
      <c r="K504" s="86"/>
      <c r="L504" s="86"/>
      <c r="M504" s="86"/>
      <c r="N504" s="86"/>
      <c r="O504" s="86"/>
      <c r="P504" s="87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1"/>
      <c r="AI504" s="81"/>
      <c r="AJ504" s="81"/>
      <c r="AK504" s="81"/>
      <c r="AL504" s="81"/>
      <c r="AM504" s="81"/>
      <c r="AN504" s="81"/>
      <c r="AO504" s="81"/>
      <c r="AP504" s="81"/>
      <c r="AQ504" s="81"/>
      <c r="AR504" s="81"/>
    </row>
    <row r="505" spans="1:44" x14ac:dyDescent="0.4">
      <c r="A505" s="5" t="str">
        <f t="shared" si="43"/>
        <v>MI-CURIEPE</v>
      </c>
      <c r="B505" s="5" t="str">
        <f t="shared" si="44"/>
        <v>MI</v>
      </c>
      <c r="C505" s="83" t="s">
        <v>776</v>
      </c>
      <c r="D505" s="82" t="s">
        <v>1249</v>
      </c>
      <c r="E505" s="85">
        <v>27</v>
      </c>
      <c r="F505" s="85"/>
      <c r="G505" s="86"/>
      <c r="H505" s="86"/>
      <c r="I505" s="86"/>
      <c r="J505" s="86"/>
      <c r="K505" s="86"/>
      <c r="L505" s="86"/>
      <c r="M505" s="86"/>
      <c r="N505" s="86"/>
      <c r="O505" s="86"/>
      <c r="P505" s="87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1"/>
      <c r="AI505" s="81"/>
      <c r="AJ505" s="81"/>
      <c r="AK505" s="81"/>
      <c r="AL505" s="81"/>
      <c r="AM505" s="81"/>
      <c r="AN505" s="81"/>
      <c r="AO505" s="81"/>
      <c r="AP505" s="81"/>
      <c r="AQ505" s="81"/>
      <c r="AR505" s="81"/>
    </row>
    <row r="506" spans="1:44" x14ac:dyDescent="0.4">
      <c r="A506" s="5" t="str">
        <f t="shared" ref="A506:A569" si="45">+B506&amp;"-"&amp;D506</f>
        <v>MI-EL CAFE</v>
      </c>
      <c r="B506" s="5" t="str">
        <f t="shared" ref="B506:B569" si="46">+MID(C506,1,2)</f>
        <v>MI</v>
      </c>
      <c r="C506" s="83" t="s">
        <v>776</v>
      </c>
      <c r="D506" s="82" t="s">
        <v>1250</v>
      </c>
      <c r="E506" s="85">
        <v>3</v>
      </c>
      <c r="F506" s="85"/>
      <c r="G506" s="86"/>
      <c r="H506" s="86"/>
      <c r="I506" s="86"/>
      <c r="J506" s="86"/>
      <c r="K506" s="86"/>
      <c r="L506" s="86"/>
      <c r="M506" s="86"/>
      <c r="N506" s="86"/>
      <c r="O506" s="86"/>
      <c r="P506" s="87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1"/>
      <c r="AI506" s="81"/>
      <c r="AJ506" s="81"/>
      <c r="AK506" s="81"/>
      <c r="AL506" s="81"/>
      <c r="AM506" s="81"/>
      <c r="AN506" s="81"/>
      <c r="AO506" s="81"/>
      <c r="AP506" s="81"/>
      <c r="AQ506" s="81"/>
      <c r="AR506" s="81"/>
    </row>
    <row r="507" spans="1:44" x14ac:dyDescent="0.4">
      <c r="A507" s="5" t="str">
        <f t="shared" si="45"/>
        <v>MI-EL CAFETAL</v>
      </c>
      <c r="B507" s="5" t="str">
        <f t="shared" si="46"/>
        <v>MI</v>
      </c>
      <c r="C507" s="83" t="s">
        <v>776</v>
      </c>
      <c r="D507" s="82" t="s">
        <v>1251</v>
      </c>
      <c r="E507" s="85">
        <v>455</v>
      </c>
      <c r="F507" s="85"/>
      <c r="G507" s="86"/>
      <c r="H507" s="86"/>
      <c r="I507" s="86"/>
      <c r="J507" s="86"/>
      <c r="K507" s="86"/>
      <c r="L507" s="86"/>
      <c r="M507" s="86"/>
      <c r="N507" s="86"/>
      <c r="O507" s="86"/>
      <c r="P507" s="87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1"/>
      <c r="AI507" s="81"/>
      <c r="AJ507" s="81"/>
      <c r="AK507" s="81"/>
      <c r="AL507" s="81"/>
      <c r="AM507" s="81"/>
      <c r="AN507" s="81"/>
      <c r="AO507" s="81"/>
      <c r="AP507" s="81"/>
      <c r="AQ507" s="81"/>
      <c r="AR507" s="81"/>
    </row>
    <row r="508" spans="1:44" x14ac:dyDescent="0.4">
      <c r="A508" s="5" t="str">
        <f t="shared" si="45"/>
        <v>MI-EL GUAPO</v>
      </c>
      <c r="B508" s="5" t="str">
        <f t="shared" si="46"/>
        <v>MI</v>
      </c>
      <c r="C508" s="83" t="s">
        <v>776</v>
      </c>
      <c r="D508" s="82" t="s">
        <v>1252</v>
      </c>
      <c r="E508" s="85">
        <v>45</v>
      </c>
      <c r="F508" s="85"/>
      <c r="G508" s="86"/>
      <c r="H508" s="86"/>
      <c r="I508" s="86"/>
      <c r="J508" s="86"/>
      <c r="K508" s="86"/>
      <c r="L508" s="86"/>
      <c r="M508" s="86"/>
      <c r="N508" s="86"/>
      <c r="O508" s="86"/>
      <c r="P508" s="87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  <c r="AI508" s="81"/>
      <c r="AJ508" s="81"/>
      <c r="AK508" s="81"/>
      <c r="AL508" s="81"/>
      <c r="AM508" s="81"/>
      <c r="AN508" s="81"/>
      <c r="AO508" s="81"/>
      <c r="AP508" s="81"/>
      <c r="AQ508" s="81"/>
      <c r="AR508" s="81"/>
    </row>
    <row r="509" spans="1:44" x14ac:dyDescent="0.4">
      <c r="A509" s="5" t="str">
        <f t="shared" si="45"/>
        <v>MI-EL HATILLO</v>
      </c>
      <c r="B509" s="5" t="str">
        <f t="shared" si="46"/>
        <v>MI</v>
      </c>
      <c r="C509" s="83" t="s">
        <v>776</v>
      </c>
      <c r="D509" s="82" t="s">
        <v>1253</v>
      </c>
      <c r="E509" s="85">
        <v>104</v>
      </c>
      <c r="F509" s="85"/>
      <c r="G509" s="86"/>
      <c r="H509" s="86"/>
      <c r="I509" s="86"/>
      <c r="J509" s="86"/>
      <c r="K509" s="86"/>
      <c r="L509" s="86"/>
      <c r="M509" s="86"/>
      <c r="N509" s="86"/>
      <c r="O509" s="86"/>
      <c r="P509" s="87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1"/>
      <c r="AI509" s="81"/>
      <c r="AJ509" s="81"/>
      <c r="AK509" s="81"/>
      <c r="AL509" s="81"/>
      <c r="AM509" s="81"/>
      <c r="AN509" s="81"/>
      <c r="AO509" s="81"/>
      <c r="AP509" s="81"/>
      <c r="AQ509" s="81"/>
      <c r="AR509" s="81"/>
    </row>
    <row r="510" spans="1:44" x14ac:dyDescent="0.4">
      <c r="A510" s="5" t="str">
        <f t="shared" si="45"/>
        <v>MI-EL JARILLO</v>
      </c>
      <c r="B510" s="5" t="str">
        <f t="shared" si="46"/>
        <v>MI</v>
      </c>
      <c r="C510" s="83" t="s">
        <v>776</v>
      </c>
      <c r="D510" s="82" t="s">
        <v>1254</v>
      </c>
      <c r="E510" s="85">
        <v>4</v>
      </c>
      <c r="F510" s="85"/>
      <c r="G510" s="86"/>
      <c r="H510" s="86"/>
      <c r="I510" s="86"/>
      <c r="J510" s="86"/>
      <c r="K510" s="86"/>
      <c r="L510" s="86"/>
      <c r="M510" s="86"/>
      <c r="N510" s="86"/>
      <c r="O510" s="86"/>
      <c r="P510" s="87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81"/>
      <c r="AH510" s="81"/>
      <c r="AI510" s="81"/>
      <c r="AJ510" s="81"/>
      <c r="AK510" s="81"/>
      <c r="AL510" s="81"/>
      <c r="AM510" s="81"/>
      <c r="AN510" s="81"/>
      <c r="AO510" s="81"/>
      <c r="AP510" s="81"/>
      <c r="AQ510" s="81"/>
      <c r="AR510" s="81"/>
    </row>
    <row r="511" spans="1:44" x14ac:dyDescent="0.4">
      <c r="A511" s="5" t="str">
        <f t="shared" si="45"/>
        <v>MI-FILA DE MARICHES</v>
      </c>
      <c r="B511" s="5" t="str">
        <f t="shared" si="46"/>
        <v>MI</v>
      </c>
      <c r="C511" s="83" t="s">
        <v>776</v>
      </c>
      <c r="D511" s="82" t="s">
        <v>1255</v>
      </c>
      <c r="E511" s="85">
        <v>22</v>
      </c>
      <c r="F511" s="85"/>
      <c r="G511" s="86"/>
      <c r="H511" s="86"/>
      <c r="I511" s="86"/>
      <c r="J511" s="86"/>
      <c r="K511" s="86"/>
      <c r="L511" s="86"/>
      <c r="M511" s="86"/>
      <c r="N511" s="86"/>
      <c r="O511" s="86"/>
      <c r="P511" s="87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1"/>
      <c r="AI511" s="81"/>
      <c r="AJ511" s="81"/>
      <c r="AK511" s="81"/>
      <c r="AL511" s="81"/>
      <c r="AM511" s="81"/>
      <c r="AN511" s="81"/>
      <c r="AO511" s="81"/>
      <c r="AP511" s="81"/>
      <c r="AQ511" s="81"/>
      <c r="AR511" s="81"/>
    </row>
    <row r="512" spans="1:44" x14ac:dyDescent="0.4">
      <c r="A512" s="5" t="str">
        <f t="shared" si="45"/>
        <v>MI-GUARENAS</v>
      </c>
      <c r="B512" s="5" t="str">
        <f t="shared" si="46"/>
        <v>MI</v>
      </c>
      <c r="C512" s="83" t="s">
        <v>776</v>
      </c>
      <c r="D512" s="82" t="s">
        <v>1256</v>
      </c>
      <c r="E512" s="85">
        <v>400</v>
      </c>
      <c r="F512" s="85"/>
      <c r="G512" s="86"/>
      <c r="H512" s="86"/>
      <c r="I512" s="86"/>
      <c r="J512" s="86"/>
      <c r="K512" s="86"/>
      <c r="L512" s="86"/>
      <c r="M512" s="86"/>
      <c r="N512" s="86"/>
      <c r="O512" s="86"/>
      <c r="P512" s="87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  <c r="AG512" s="81"/>
      <c r="AH512" s="81"/>
      <c r="AI512" s="81"/>
      <c r="AJ512" s="81"/>
      <c r="AK512" s="81"/>
      <c r="AL512" s="81"/>
      <c r="AM512" s="81"/>
      <c r="AN512" s="81"/>
      <c r="AO512" s="81"/>
      <c r="AP512" s="81"/>
      <c r="AQ512" s="81"/>
      <c r="AR512" s="81"/>
    </row>
    <row r="513" spans="1:44" x14ac:dyDescent="0.4">
      <c r="A513" s="5" t="str">
        <f t="shared" si="45"/>
        <v>MI-GUATIRE</v>
      </c>
      <c r="B513" s="5" t="str">
        <f t="shared" si="46"/>
        <v>MI</v>
      </c>
      <c r="C513" s="83" t="s">
        <v>776</v>
      </c>
      <c r="D513" s="82" t="s">
        <v>1257</v>
      </c>
      <c r="E513" s="85">
        <v>399</v>
      </c>
      <c r="F513" s="85"/>
      <c r="G513" s="86"/>
      <c r="H513" s="86"/>
      <c r="I513" s="86"/>
      <c r="J513" s="86"/>
      <c r="K513" s="86"/>
      <c r="L513" s="86"/>
      <c r="M513" s="86"/>
      <c r="N513" s="86"/>
      <c r="O513" s="86"/>
      <c r="P513" s="87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81"/>
      <c r="AH513" s="81"/>
      <c r="AI513" s="81"/>
      <c r="AJ513" s="81"/>
      <c r="AK513" s="81"/>
      <c r="AL513" s="81"/>
      <c r="AM513" s="81"/>
      <c r="AN513" s="81"/>
      <c r="AO513" s="81"/>
      <c r="AP513" s="81"/>
      <c r="AQ513" s="81"/>
      <c r="AR513" s="81"/>
    </row>
    <row r="514" spans="1:44" x14ac:dyDescent="0.4">
      <c r="A514" s="5" t="str">
        <f t="shared" si="45"/>
        <v>MI-HIGUEROTE</v>
      </c>
      <c r="B514" s="5" t="str">
        <f t="shared" si="46"/>
        <v>MI</v>
      </c>
      <c r="C514" s="83" t="s">
        <v>776</v>
      </c>
      <c r="D514" s="82" t="s">
        <v>1258</v>
      </c>
      <c r="E514" s="85">
        <v>100</v>
      </c>
      <c r="F514" s="85"/>
      <c r="G514" s="86"/>
      <c r="H514" s="86"/>
      <c r="I514" s="86"/>
      <c r="J514" s="86"/>
      <c r="K514" s="86"/>
      <c r="L514" s="86"/>
      <c r="M514" s="86"/>
      <c r="N514" s="86"/>
      <c r="O514" s="86"/>
      <c r="P514" s="87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81"/>
      <c r="AH514" s="81"/>
      <c r="AI514" s="81"/>
      <c r="AJ514" s="81"/>
      <c r="AK514" s="81"/>
      <c r="AL514" s="81"/>
      <c r="AM514" s="81"/>
      <c r="AN514" s="81"/>
      <c r="AO514" s="81"/>
      <c r="AP514" s="81"/>
      <c r="AQ514" s="81"/>
      <c r="AR514" s="81"/>
    </row>
    <row r="515" spans="1:44" x14ac:dyDescent="0.4">
      <c r="A515" s="5" t="str">
        <f t="shared" si="45"/>
        <v>MI-LA DEMOCRACIA</v>
      </c>
      <c r="B515" s="5" t="str">
        <f t="shared" si="46"/>
        <v>MI</v>
      </c>
      <c r="C515" s="83" t="s">
        <v>776</v>
      </c>
      <c r="D515" s="82" t="s">
        <v>1259</v>
      </c>
      <c r="E515" s="85">
        <v>1</v>
      </c>
      <c r="F515" s="85"/>
      <c r="G515" s="86"/>
      <c r="H515" s="86"/>
      <c r="I515" s="86"/>
      <c r="J515" s="86"/>
      <c r="K515" s="86"/>
      <c r="L515" s="86"/>
      <c r="M515" s="86"/>
      <c r="N515" s="86"/>
      <c r="O515" s="86"/>
      <c r="P515" s="87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  <c r="AG515" s="81"/>
      <c r="AH515" s="81"/>
      <c r="AI515" s="81"/>
      <c r="AJ515" s="81"/>
      <c r="AK515" s="81"/>
      <c r="AL515" s="81"/>
      <c r="AM515" s="81"/>
      <c r="AN515" s="81"/>
      <c r="AO515" s="81"/>
      <c r="AP515" s="81"/>
      <c r="AQ515" s="81"/>
      <c r="AR515" s="81"/>
    </row>
    <row r="516" spans="1:44" x14ac:dyDescent="0.4">
      <c r="A516" s="5" t="str">
        <f t="shared" si="45"/>
        <v>MI-LA DOLORITA</v>
      </c>
      <c r="B516" s="5" t="str">
        <f t="shared" si="46"/>
        <v>MI</v>
      </c>
      <c r="C516" s="83" t="s">
        <v>776</v>
      </c>
      <c r="D516" s="82" t="s">
        <v>1260</v>
      </c>
      <c r="E516" s="85">
        <v>31</v>
      </c>
      <c r="F516" s="85"/>
      <c r="G516" s="86"/>
      <c r="H516" s="86"/>
      <c r="I516" s="86"/>
      <c r="J516" s="86"/>
      <c r="K516" s="86"/>
      <c r="L516" s="86"/>
      <c r="M516" s="86"/>
      <c r="N516" s="86"/>
      <c r="O516" s="86"/>
      <c r="P516" s="87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  <c r="AG516" s="81"/>
      <c r="AH516" s="81"/>
      <c r="AI516" s="81"/>
      <c r="AJ516" s="81"/>
      <c r="AK516" s="81"/>
      <c r="AL516" s="81"/>
      <c r="AM516" s="81"/>
      <c r="AN516" s="81"/>
      <c r="AO516" s="81"/>
      <c r="AP516" s="81"/>
      <c r="AQ516" s="81"/>
      <c r="AR516" s="81"/>
    </row>
    <row r="517" spans="1:44" x14ac:dyDescent="0.4">
      <c r="A517" s="5" t="str">
        <f t="shared" si="45"/>
        <v>MI-LAGUNA DE TACARIGUA</v>
      </c>
      <c r="B517" s="5" t="str">
        <f t="shared" si="46"/>
        <v>MI</v>
      </c>
      <c r="C517" s="83" t="s">
        <v>776</v>
      </c>
      <c r="D517" s="82" t="s">
        <v>1261</v>
      </c>
      <c r="E517" s="85">
        <v>5</v>
      </c>
      <c r="F517" s="85"/>
      <c r="G517" s="86"/>
      <c r="H517" s="86"/>
      <c r="I517" s="86"/>
      <c r="J517" s="86"/>
      <c r="K517" s="86"/>
      <c r="L517" s="86"/>
      <c r="M517" s="86"/>
      <c r="N517" s="86"/>
      <c r="O517" s="86"/>
      <c r="P517" s="87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  <c r="AF517" s="81"/>
      <c r="AG517" s="81"/>
      <c r="AH517" s="81"/>
      <c r="AI517" s="81"/>
      <c r="AJ517" s="81"/>
      <c r="AK517" s="81"/>
      <c r="AL517" s="81"/>
      <c r="AM517" s="81"/>
      <c r="AN517" s="81"/>
      <c r="AO517" s="81"/>
      <c r="AP517" s="81"/>
      <c r="AQ517" s="81"/>
      <c r="AR517" s="81"/>
    </row>
    <row r="518" spans="1:44" x14ac:dyDescent="0.4">
      <c r="A518" s="5" t="str">
        <f t="shared" si="45"/>
        <v>MI-LAS BRISAS</v>
      </c>
      <c r="B518" s="5" t="str">
        <f t="shared" si="46"/>
        <v>MI</v>
      </c>
      <c r="C518" s="83" t="s">
        <v>776</v>
      </c>
      <c r="D518" s="82" t="s">
        <v>1262</v>
      </c>
      <c r="E518" s="85">
        <v>19</v>
      </c>
      <c r="F518" s="85"/>
      <c r="G518" s="86"/>
      <c r="H518" s="86"/>
      <c r="I518" s="86"/>
      <c r="J518" s="86"/>
      <c r="K518" s="86"/>
      <c r="L518" s="86"/>
      <c r="M518" s="86"/>
      <c r="N518" s="86"/>
      <c r="O518" s="86"/>
      <c r="P518" s="87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/>
      <c r="AH518" s="81"/>
      <c r="AI518" s="81"/>
      <c r="AJ518" s="81"/>
      <c r="AK518" s="81"/>
      <c r="AL518" s="81"/>
      <c r="AM518" s="81"/>
      <c r="AN518" s="81"/>
      <c r="AO518" s="81"/>
      <c r="AP518" s="81"/>
      <c r="AQ518" s="81"/>
      <c r="AR518" s="81"/>
    </row>
    <row r="519" spans="1:44" x14ac:dyDescent="0.4">
      <c r="A519" s="5" t="str">
        <f t="shared" si="45"/>
        <v>MI-LEONCIO MARTINEZ</v>
      </c>
      <c r="B519" s="5" t="str">
        <f t="shared" si="46"/>
        <v>MI</v>
      </c>
      <c r="C519" s="83" t="s">
        <v>776</v>
      </c>
      <c r="D519" s="82" t="s">
        <v>1263</v>
      </c>
      <c r="E519" s="85">
        <v>258</v>
      </c>
      <c r="F519" s="85"/>
      <c r="G519" s="86"/>
      <c r="H519" s="86"/>
      <c r="I519" s="86"/>
      <c r="J519" s="86"/>
      <c r="K519" s="86"/>
      <c r="L519" s="86"/>
      <c r="M519" s="86"/>
      <c r="N519" s="86"/>
      <c r="O519" s="86"/>
      <c r="P519" s="87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81"/>
      <c r="AH519" s="81"/>
      <c r="AI519" s="81"/>
      <c r="AJ519" s="81"/>
      <c r="AK519" s="81"/>
      <c r="AL519" s="81"/>
      <c r="AM519" s="81"/>
      <c r="AN519" s="81"/>
      <c r="AO519" s="81"/>
      <c r="AP519" s="81"/>
      <c r="AQ519" s="81"/>
      <c r="AR519" s="81"/>
    </row>
    <row r="520" spans="1:44" x14ac:dyDescent="0.4">
      <c r="A520" s="5" t="str">
        <f t="shared" si="45"/>
        <v>MI-LOS TEQUES</v>
      </c>
      <c r="B520" s="5" t="str">
        <f t="shared" si="46"/>
        <v>MI</v>
      </c>
      <c r="C520" s="83" t="s">
        <v>776</v>
      </c>
      <c r="D520" s="82" t="s">
        <v>1264</v>
      </c>
      <c r="E520" s="85">
        <v>933</v>
      </c>
      <c r="F520" s="85"/>
      <c r="G520" s="86"/>
      <c r="H520" s="86"/>
      <c r="I520" s="86"/>
      <c r="J520" s="86"/>
      <c r="K520" s="86"/>
      <c r="L520" s="86"/>
      <c r="M520" s="86"/>
      <c r="N520" s="86"/>
      <c r="O520" s="86"/>
      <c r="P520" s="87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81"/>
      <c r="AH520" s="81"/>
      <c r="AI520" s="81"/>
      <c r="AJ520" s="81"/>
      <c r="AK520" s="81"/>
      <c r="AL520" s="81"/>
      <c r="AM520" s="81"/>
      <c r="AN520" s="81"/>
      <c r="AO520" s="81"/>
      <c r="AP520" s="81"/>
      <c r="AQ520" s="81"/>
      <c r="AR520" s="81"/>
    </row>
    <row r="521" spans="1:44" x14ac:dyDescent="0.4">
      <c r="A521" s="5" t="str">
        <f t="shared" si="45"/>
        <v>MI-MARIZAPA</v>
      </c>
      <c r="B521" s="5" t="str">
        <f t="shared" si="46"/>
        <v>MI</v>
      </c>
      <c r="C521" s="83" t="s">
        <v>776</v>
      </c>
      <c r="D521" s="82" t="s">
        <v>1265</v>
      </c>
      <c r="E521" s="85">
        <v>1</v>
      </c>
      <c r="F521" s="85"/>
      <c r="G521" s="86"/>
      <c r="H521" s="86"/>
      <c r="I521" s="86"/>
      <c r="J521" s="86"/>
      <c r="K521" s="86"/>
      <c r="L521" s="86"/>
      <c r="M521" s="86"/>
      <c r="N521" s="86"/>
      <c r="O521" s="86"/>
      <c r="P521" s="87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  <c r="AF521" s="81"/>
      <c r="AG521" s="81"/>
      <c r="AH521" s="81"/>
      <c r="AI521" s="81"/>
      <c r="AJ521" s="81"/>
      <c r="AK521" s="81"/>
      <c r="AL521" s="81"/>
      <c r="AM521" s="81"/>
      <c r="AN521" s="81"/>
      <c r="AO521" s="81"/>
      <c r="AP521" s="81"/>
      <c r="AQ521" s="81"/>
      <c r="AR521" s="81"/>
    </row>
    <row r="522" spans="1:44" x14ac:dyDescent="0.4">
      <c r="A522" s="5" t="str">
        <f t="shared" si="45"/>
        <v>MI-NUEVA CUA</v>
      </c>
      <c r="B522" s="5" t="str">
        <f t="shared" si="46"/>
        <v>MI</v>
      </c>
      <c r="C522" s="83" t="s">
        <v>776</v>
      </c>
      <c r="D522" s="82" t="s">
        <v>1266</v>
      </c>
      <c r="E522" s="85">
        <v>4</v>
      </c>
      <c r="F522" s="85"/>
      <c r="G522" s="86"/>
      <c r="H522" s="86"/>
      <c r="I522" s="86"/>
      <c r="J522" s="86"/>
      <c r="K522" s="86"/>
      <c r="L522" s="86"/>
      <c r="M522" s="86"/>
      <c r="N522" s="86"/>
      <c r="O522" s="86"/>
      <c r="P522" s="87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  <c r="AF522" s="81"/>
      <c r="AG522" s="81"/>
      <c r="AH522" s="81"/>
      <c r="AI522" s="81"/>
      <c r="AJ522" s="81"/>
      <c r="AK522" s="81"/>
      <c r="AL522" s="81"/>
      <c r="AM522" s="81"/>
      <c r="AN522" s="81"/>
      <c r="AO522" s="81"/>
      <c r="AP522" s="81"/>
      <c r="AQ522" s="81"/>
      <c r="AR522" s="81"/>
    </row>
    <row r="523" spans="1:44" x14ac:dyDescent="0.4">
      <c r="A523" s="5" t="str">
        <f t="shared" si="45"/>
        <v>MI-OCUMARE DEL TUY</v>
      </c>
      <c r="B523" s="5" t="str">
        <f t="shared" si="46"/>
        <v>MI</v>
      </c>
      <c r="C523" s="83" t="s">
        <v>776</v>
      </c>
      <c r="D523" s="82" t="s">
        <v>1267</v>
      </c>
      <c r="E523" s="85">
        <v>781</v>
      </c>
      <c r="F523" s="85"/>
      <c r="G523" s="86"/>
      <c r="H523" s="86"/>
      <c r="I523" s="86"/>
      <c r="J523" s="86"/>
      <c r="K523" s="86"/>
      <c r="L523" s="86"/>
      <c r="M523" s="86"/>
      <c r="N523" s="86"/>
      <c r="O523" s="86"/>
      <c r="P523" s="87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  <c r="AG523" s="81"/>
      <c r="AH523" s="81"/>
      <c r="AI523" s="81"/>
      <c r="AJ523" s="81"/>
      <c r="AK523" s="81"/>
      <c r="AL523" s="81"/>
      <c r="AM523" s="81"/>
      <c r="AN523" s="81"/>
      <c r="AO523" s="81"/>
      <c r="AP523" s="81"/>
      <c r="AQ523" s="81"/>
      <c r="AR523" s="81"/>
    </row>
    <row r="524" spans="1:44" x14ac:dyDescent="0.4">
      <c r="A524" s="5" t="str">
        <f t="shared" si="45"/>
        <v>MI-PANAQUIRE</v>
      </c>
      <c r="B524" s="5" t="str">
        <f t="shared" si="46"/>
        <v>MI</v>
      </c>
      <c r="C524" s="83" t="s">
        <v>776</v>
      </c>
      <c r="D524" s="82" t="s">
        <v>1268</v>
      </c>
      <c r="E524" s="85">
        <v>25</v>
      </c>
      <c r="F524" s="85"/>
      <c r="G524" s="86"/>
      <c r="H524" s="86"/>
      <c r="I524" s="86"/>
      <c r="J524" s="86"/>
      <c r="K524" s="86"/>
      <c r="L524" s="86"/>
      <c r="M524" s="86"/>
      <c r="N524" s="86"/>
      <c r="O524" s="86"/>
      <c r="P524" s="87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  <c r="AF524" s="81"/>
      <c r="AG524" s="81"/>
      <c r="AH524" s="81"/>
      <c r="AI524" s="81"/>
      <c r="AJ524" s="81"/>
      <c r="AK524" s="81"/>
      <c r="AL524" s="81"/>
      <c r="AM524" s="81"/>
      <c r="AN524" s="81"/>
      <c r="AO524" s="81"/>
      <c r="AP524" s="81"/>
      <c r="AQ524" s="81"/>
      <c r="AR524" s="81"/>
    </row>
    <row r="525" spans="1:44" x14ac:dyDescent="0.4">
      <c r="A525" s="5" t="str">
        <f t="shared" si="45"/>
        <v>MI-PAPARO</v>
      </c>
      <c r="B525" s="5" t="str">
        <f t="shared" si="46"/>
        <v>MI</v>
      </c>
      <c r="C525" s="83" t="s">
        <v>776</v>
      </c>
      <c r="D525" s="82" t="s">
        <v>1269</v>
      </c>
      <c r="E525" s="85">
        <v>2</v>
      </c>
      <c r="F525" s="85"/>
      <c r="G525" s="86"/>
      <c r="H525" s="86"/>
      <c r="I525" s="86"/>
      <c r="J525" s="86"/>
      <c r="K525" s="86"/>
      <c r="L525" s="86"/>
      <c r="M525" s="86"/>
      <c r="N525" s="86"/>
      <c r="O525" s="86"/>
      <c r="P525" s="87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  <c r="AF525" s="81"/>
      <c r="AG525" s="81"/>
      <c r="AH525" s="81"/>
      <c r="AI525" s="81"/>
      <c r="AJ525" s="81"/>
      <c r="AK525" s="81"/>
      <c r="AL525" s="81"/>
      <c r="AM525" s="81"/>
      <c r="AN525" s="81"/>
      <c r="AO525" s="81"/>
      <c r="AP525" s="81"/>
      <c r="AQ525" s="81"/>
      <c r="AR525" s="81"/>
    </row>
    <row r="526" spans="1:44" x14ac:dyDescent="0.4">
      <c r="A526" s="5" t="str">
        <f t="shared" si="45"/>
        <v>MI-PARACOTOS</v>
      </c>
      <c r="B526" s="5" t="str">
        <f t="shared" si="46"/>
        <v>MI</v>
      </c>
      <c r="C526" s="83" t="s">
        <v>776</v>
      </c>
      <c r="D526" s="82" t="s">
        <v>1270</v>
      </c>
      <c r="E526" s="85">
        <v>47</v>
      </c>
      <c r="F526" s="85"/>
      <c r="G526" s="86"/>
      <c r="H526" s="86"/>
      <c r="I526" s="86"/>
      <c r="J526" s="86"/>
      <c r="K526" s="86"/>
      <c r="L526" s="86"/>
      <c r="M526" s="86"/>
      <c r="N526" s="86"/>
      <c r="O526" s="86"/>
      <c r="P526" s="87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  <c r="AG526" s="81"/>
      <c r="AH526" s="81"/>
      <c r="AI526" s="81"/>
      <c r="AJ526" s="81"/>
      <c r="AK526" s="81"/>
      <c r="AL526" s="81"/>
      <c r="AM526" s="81"/>
      <c r="AN526" s="81"/>
      <c r="AO526" s="81"/>
      <c r="AP526" s="81"/>
      <c r="AQ526" s="81"/>
      <c r="AR526" s="81"/>
    </row>
    <row r="527" spans="1:44" x14ac:dyDescent="0.4">
      <c r="A527" s="5" t="str">
        <f t="shared" si="45"/>
        <v>MI-PEDRO GUAL</v>
      </c>
      <c r="B527" s="5" t="str">
        <f t="shared" si="46"/>
        <v>MI</v>
      </c>
      <c r="C527" s="83" t="s">
        <v>776</v>
      </c>
      <c r="D527" s="82" t="s">
        <v>1271</v>
      </c>
      <c r="E527" s="85">
        <v>76</v>
      </c>
      <c r="F527" s="85"/>
      <c r="G527" s="86"/>
      <c r="H527" s="86"/>
      <c r="I527" s="86"/>
      <c r="J527" s="86"/>
      <c r="K527" s="86"/>
      <c r="L527" s="86"/>
      <c r="M527" s="86"/>
      <c r="N527" s="86"/>
      <c r="O527" s="86"/>
      <c r="P527" s="87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  <c r="AF527" s="81"/>
      <c r="AG527" s="81"/>
      <c r="AH527" s="81"/>
      <c r="AI527" s="81"/>
      <c r="AJ527" s="81"/>
      <c r="AK527" s="81"/>
      <c r="AL527" s="81"/>
      <c r="AM527" s="81"/>
      <c r="AN527" s="81"/>
      <c r="AO527" s="81"/>
      <c r="AP527" s="81"/>
      <c r="AQ527" s="81"/>
      <c r="AR527" s="81"/>
    </row>
    <row r="528" spans="1:44" x14ac:dyDescent="0.4">
      <c r="A528" s="5" t="str">
        <f t="shared" si="45"/>
        <v>MI-PETARE</v>
      </c>
      <c r="B528" s="5" t="str">
        <f t="shared" si="46"/>
        <v>MI</v>
      </c>
      <c r="C528" s="83" t="s">
        <v>776</v>
      </c>
      <c r="D528" s="82" t="s">
        <v>1272</v>
      </c>
      <c r="E528" s="85">
        <v>2356</v>
      </c>
      <c r="F528" s="85"/>
      <c r="G528" s="86"/>
      <c r="H528" s="86"/>
      <c r="I528" s="86"/>
      <c r="J528" s="86"/>
      <c r="K528" s="86"/>
      <c r="L528" s="86"/>
      <c r="M528" s="86"/>
      <c r="N528" s="86"/>
      <c r="O528" s="86"/>
      <c r="P528" s="87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  <c r="AF528" s="81"/>
      <c r="AG528" s="81"/>
      <c r="AH528" s="81"/>
      <c r="AI528" s="81"/>
      <c r="AJ528" s="81"/>
      <c r="AK528" s="81"/>
      <c r="AL528" s="81"/>
      <c r="AM528" s="81"/>
      <c r="AN528" s="81"/>
      <c r="AO528" s="81"/>
      <c r="AP528" s="81"/>
      <c r="AQ528" s="81"/>
      <c r="AR528" s="81"/>
    </row>
    <row r="529" spans="1:44" x14ac:dyDescent="0.4">
      <c r="A529" s="5" t="str">
        <f t="shared" si="45"/>
        <v>MI-LOCALIDAD</v>
      </c>
      <c r="B529" s="5" t="str">
        <f t="shared" si="46"/>
        <v>MI</v>
      </c>
      <c r="C529" s="83" t="s">
        <v>776</v>
      </c>
      <c r="D529" s="88" t="s">
        <v>838</v>
      </c>
      <c r="E529" s="88" t="s">
        <v>839</v>
      </c>
      <c r="F529" s="88"/>
      <c r="G529" s="89"/>
      <c r="H529" s="89"/>
      <c r="I529" s="89"/>
      <c r="J529" s="89"/>
      <c r="K529" s="89"/>
      <c r="L529" s="89"/>
      <c r="M529" s="89"/>
      <c r="N529" s="89"/>
      <c r="O529" s="89"/>
      <c r="P529" s="90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  <c r="AG529" s="81"/>
      <c r="AH529" s="81"/>
      <c r="AI529" s="81"/>
      <c r="AJ529" s="81"/>
      <c r="AK529" s="81"/>
      <c r="AL529" s="81"/>
      <c r="AM529" s="81"/>
      <c r="AN529" s="81"/>
      <c r="AO529" s="81"/>
      <c r="AP529" s="81"/>
      <c r="AQ529" s="81"/>
      <c r="AR529" s="81"/>
    </row>
    <row r="530" spans="1:44" x14ac:dyDescent="0.4">
      <c r="A530" s="5" t="str">
        <f t="shared" si="45"/>
        <v>MI-REYES CUETA</v>
      </c>
      <c r="B530" s="5" t="str">
        <f t="shared" si="46"/>
        <v>MI</v>
      </c>
      <c r="C530" s="83" t="s">
        <v>776</v>
      </c>
      <c r="D530" s="82" t="s">
        <v>1273</v>
      </c>
      <c r="E530" s="85">
        <v>143</v>
      </c>
      <c r="F530" s="85"/>
      <c r="G530" s="86"/>
      <c r="H530" s="86"/>
      <c r="I530" s="86"/>
      <c r="J530" s="86"/>
      <c r="K530" s="86"/>
      <c r="L530" s="86"/>
      <c r="M530" s="86"/>
      <c r="N530" s="86"/>
      <c r="O530" s="86"/>
      <c r="P530" s="87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  <c r="AF530" s="81"/>
      <c r="AG530" s="81"/>
      <c r="AH530" s="81"/>
      <c r="AI530" s="81"/>
      <c r="AJ530" s="81"/>
      <c r="AK530" s="81"/>
      <c r="AL530" s="81"/>
      <c r="AM530" s="81"/>
      <c r="AN530" s="81"/>
      <c r="AO530" s="81"/>
      <c r="AP530" s="81"/>
      <c r="AQ530" s="81"/>
      <c r="AR530" s="81"/>
    </row>
    <row r="531" spans="1:44" x14ac:dyDescent="0.4">
      <c r="A531" s="5" t="str">
        <f t="shared" si="45"/>
        <v>MI-RIBAS</v>
      </c>
      <c r="B531" s="5" t="str">
        <f t="shared" si="46"/>
        <v>MI</v>
      </c>
      <c r="C531" s="83" t="s">
        <v>776</v>
      </c>
      <c r="D531" s="82" t="s">
        <v>1274</v>
      </c>
      <c r="E531" s="85">
        <v>35</v>
      </c>
      <c r="F531" s="85"/>
      <c r="G531" s="86"/>
      <c r="H531" s="86"/>
      <c r="I531" s="86"/>
      <c r="J531" s="86"/>
      <c r="K531" s="86"/>
      <c r="L531" s="86"/>
      <c r="M531" s="86"/>
      <c r="N531" s="86"/>
      <c r="O531" s="86"/>
      <c r="P531" s="87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  <c r="AF531" s="81"/>
      <c r="AG531" s="81"/>
      <c r="AH531" s="81"/>
      <c r="AI531" s="81"/>
      <c r="AJ531" s="81"/>
      <c r="AK531" s="81"/>
      <c r="AL531" s="81"/>
      <c r="AM531" s="81"/>
      <c r="AN531" s="81"/>
      <c r="AO531" s="81"/>
      <c r="AP531" s="81"/>
      <c r="AQ531" s="81"/>
      <c r="AR531" s="81"/>
    </row>
    <row r="532" spans="1:44" x14ac:dyDescent="0.4">
      <c r="A532" s="5" t="str">
        <f t="shared" si="45"/>
        <v>MI-RIO CHICO</v>
      </c>
      <c r="B532" s="5" t="str">
        <f t="shared" si="46"/>
        <v>MI</v>
      </c>
      <c r="C532" s="83" t="s">
        <v>776</v>
      </c>
      <c r="D532" s="82" t="s">
        <v>1275</v>
      </c>
      <c r="E532" s="85">
        <v>107</v>
      </c>
      <c r="F532" s="85"/>
      <c r="G532" s="86"/>
      <c r="H532" s="86"/>
      <c r="I532" s="86"/>
      <c r="J532" s="86"/>
      <c r="K532" s="86"/>
      <c r="L532" s="86"/>
      <c r="M532" s="86"/>
      <c r="N532" s="86"/>
      <c r="O532" s="86"/>
      <c r="P532" s="87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  <c r="AF532" s="81"/>
      <c r="AG532" s="81"/>
      <c r="AH532" s="81"/>
      <c r="AI532" s="81"/>
      <c r="AJ532" s="81"/>
      <c r="AK532" s="81"/>
      <c r="AL532" s="81"/>
      <c r="AM532" s="81"/>
      <c r="AN532" s="81"/>
      <c r="AO532" s="81"/>
      <c r="AP532" s="81"/>
      <c r="AQ532" s="81"/>
      <c r="AR532" s="81"/>
    </row>
    <row r="533" spans="1:44" x14ac:dyDescent="0.4">
      <c r="A533" s="5" t="str">
        <f t="shared" si="45"/>
        <v>MI-SAN ANTONIO</v>
      </c>
      <c r="B533" s="5" t="str">
        <f t="shared" si="46"/>
        <v>MI</v>
      </c>
      <c r="C533" s="83" t="s">
        <v>776</v>
      </c>
      <c r="D533" s="82" t="s">
        <v>925</v>
      </c>
      <c r="E533" s="85">
        <v>123</v>
      </c>
      <c r="F533" s="85"/>
      <c r="G533" s="86"/>
      <c r="H533" s="86"/>
      <c r="I533" s="86"/>
      <c r="J533" s="86"/>
      <c r="K533" s="86"/>
      <c r="L533" s="86"/>
      <c r="M533" s="86"/>
      <c r="N533" s="86"/>
      <c r="O533" s="86"/>
      <c r="P533" s="87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  <c r="AF533" s="81"/>
      <c r="AG533" s="81"/>
      <c r="AH533" s="81"/>
      <c r="AI533" s="81"/>
      <c r="AJ533" s="81"/>
      <c r="AK533" s="81"/>
      <c r="AL533" s="81"/>
      <c r="AM533" s="81"/>
      <c r="AN533" s="81"/>
      <c r="AO533" s="81"/>
      <c r="AP533" s="81"/>
      <c r="AQ533" s="81"/>
      <c r="AR533" s="81"/>
    </row>
    <row r="534" spans="1:44" x14ac:dyDescent="0.4">
      <c r="A534" s="5" t="str">
        <f t="shared" si="45"/>
        <v>MI-SAN ANTONIO DE YARE</v>
      </c>
      <c r="B534" s="5" t="str">
        <f t="shared" si="46"/>
        <v>MI</v>
      </c>
      <c r="C534" s="83" t="s">
        <v>776</v>
      </c>
      <c r="D534" s="82" t="s">
        <v>1276</v>
      </c>
      <c r="E534" s="85">
        <v>19</v>
      </c>
      <c r="F534" s="85"/>
      <c r="G534" s="86"/>
      <c r="H534" s="86"/>
      <c r="I534" s="86"/>
      <c r="J534" s="86"/>
      <c r="K534" s="86"/>
      <c r="L534" s="86"/>
      <c r="M534" s="86"/>
      <c r="N534" s="86"/>
      <c r="O534" s="86"/>
      <c r="P534" s="87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  <c r="AF534" s="81"/>
      <c r="AG534" s="81"/>
      <c r="AH534" s="81"/>
      <c r="AI534" s="81"/>
      <c r="AJ534" s="81"/>
      <c r="AK534" s="81"/>
      <c r="AL534" s="81"/>
      <c r="AM534" s="81"/>
      <c r="AN534" s="81"/>
      <c r="AO534" s="81"/>
      <c r="AP534" s="81"/>
      <c r="AQ534" s="81"/>
      <c r="AR534" s="81"/>
    </row>
    <row r="535" spans="1:44" x14ac:dyDescent="0.4">
      <c r="A535" s="5" t="str">
        <f t="shared" si="45"/>
        <v>MI-SAN FRANCISCO DE YARE</v>
      </c>
      <c r="B535" s="5" t="str">
        <f t="shared" si="46"/>
        <v>MI</v>
      </c>
      <c r="C535" s="83" t="s">
        <v>776</v>
      </c>
      <c r="D535" s="82" t="s">
        <v>1277</v>
      </c>
      <c r="E535" s="85">
        <v>51</v>
      </c>
      <c r="F535" s="85"/>
      <c r="G535" s="86"/>
      <c r="H535" s="86"/>
      <c r="I535" s="86"/>
      <c r="J535" s="86"/>
      <c r="K535" s="86"/>
      <c r="L535" s="86"/>
      <c r="M535" s="86"/>
      <c r="N535" s="86"/>
      <c r="O535" s="86"/>
      <c r="P535" s="87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81"/>
      <c r="AH535" s="81"/>
      <c r="AI535" s="81"/>
      <c r="AJ535" s="81"/>
      <c r="AK535" s="81"/>
      <c r="AL535" s="81"/>
      <c r="AM535" s="81"/>
      <c r="AN535" s="81"/>
      <c r="AO535" s="81"/>
      <c r="AP535" s="81"/>
      <c r="AQ535" s="81"/>
      <c r="AR535" s="81"/>
    </row>
    <row r="536" spans="1:44" x14ac:dyDescent="0.4">
      <c r="A536" s="5" t="str">
        <f t="shared" si="45"/>
        <v>MI-SAN JOSE DE BARLOVENTO</v>
      </c>
      <c r="B536" s="5" t="str">
        <f t="shared" si="46"/>
        <v>MI</v>
      </c>
      <c r="C536" s="83" t="s">
        <v>776</v>
      </c>
      <c r="D536" s="82" t="s">
        <v>1278</v>
      </c>
      <c r="E536" s="85">
        <v>56</v>
      </c>
      <c r="F536" s="85"/>
      <c r="G536" s="86"/>
      <c r="H536" s="86"/>
      <c r="I536" s="86"/>
      <c r="J536" s="86"/>
      <c r="K536" s="86"/>
      <c r="L536" s="86"/>
      <c r="M536" s="86"/>
      <c r="N536" s="86"/>
      <c r="O536" s="86"/>
      <c r="P536" s="87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  <c r="AF536" s="81"/>
      <c r="AG536" s="81"/>
      <c r="AH536" s="81"/>
      <c r="AI536" s="81"/>
      <c r="AJ536" s="81"/>
      <c r="AK536" s="81"/>
      <c r="AL536" s="81"/>
      <c r="AM536" s="81"/>
      <c r="AN536" s="81"/>
      <c r="AO536" s="81"/>
      <c r="AP536" s="81"/>
      <c r="AQ536" s="81"/>
      <c r="AR536" s="81"/>
    </row>
    <row r="537" spans="1:44" x14ac:dyDescent="0.4">
      <c r="A537" s="5" t="str">
        <f t="shared" si="45"/>
        <v>MI-SAN PEDRO</v>
      </c>
      <c r="B537" s="5" t="str">
        <f t="shared" si="46"/>
        <v>MI</v>
      </c>
      <c r="C537" s="83" t="s">
        <v>776</v>
      </c>
      <c r="D537" s="82" t="s">
        <v>1279</v>
      </c>
      <c r="E537" s="85">
        <v>25</v>
      </c>
      <c r="F537" s="85"/>
      <c r="G537" s="86"/>
      <c r="H537" s="86"/>
      <c r="I537" s="86"/>
      <c r="J537" s="86"/>
      <c r="K537" s="86"/>
      <c r="L537" s="86"/>
      <c r="M537" s="86"/>
      <c r="N537" s="86"/>
      <c r="O537" s="86"/>
      <c r="P537" s="87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  <c r="AG537" s="81"/>
      <c r="AH537" s="81"/>
      <c r="AI537" s="81"/>
      <c r="AJ537" s="81"/>
      <c r="AK537" s="81"/>
      <c r="AL537" s="81"/>
      <c r="AM537" s="81"/>
      <c r="AN537" s="81"/>
      <c r="AO537" s="81"/>
      <c r="AP537" s="81"/>
      <c r="AQ537" s="81"/>
      <c r="AR537" s="81"/>
    </row>
    <row r="538" spans="1:44" x14ac:dyDescent="0.4">
      <c r="A538" s="5" t="str">
        <f t="shared" si="45"/>
        <v>MI-SANTA BARBARA</v>
      </c>
      <c r="B538" s="5" t="str">
        <f t="shared" si="46"/>
        <v>MI</v>
      </c>
      <c r="C538" s="83" t="s">
        <v>776</v>
      </c>
      <c r="D538" s="82" t="s">
        <v>927</v>
      </c>
      <c r="E538" s="85">
        <v>9</v>
      </c>
      <c r="F538" s="85"/>
      <c r="G538" s="86"/>
      <c r="H538" s="86"/>
      <c r="I538" s="86"/>
      <c r="J538" s="86"/>
      <c r="K538" s="86"/>
      <c r="L538" s="86"/>
      <c r="M538" s="86"/>
      <c r="N538" s="86"/>
      <c r="O538" s="86"/>
      <c r="P538" s="87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  <c r="AF538" s="81"/>
      <c r="AG538" s="81"/>
      <c r="AH538" s="81"/>
      <c r="AI538" s="81"/>
      <c r="AJ538" s="81"/>
      <c r="AK538" s="81"/>
      <c r="AL538" s="81"/>
      <c r="AM538" s="81"/>
      <c r="AN538" s="81"/>
      <c r="AO538" s="81"/>
      <c r="AP538" s="81"/>
      <c r="AQ538" s="81"/>
      <c r="AR538" s="81"/>
    </row>
    <row r="539" spans="1:44" x14ac:dyDescent="0.4">
      <c r="A539" s="5" t="str">
        <f t="shared" si="45"/>
        <v>MI-SANTA TERESA</v>
      </c>
      <c r="B539" s="5" t="str">
        <f t="shared" si="46"/>
        <v>MI</v>
      </c>
      <c r="C539" s="83" t="s">
        <v>776</v>
      </c>
      <c r="D539" s="82" t="s">
        <v>1023</v>
      </c>
      <c r="E539" s="85">
        <v>277</v>
      </c>
      <c r="F539" s="85"/>
      <c r="G539" s="86"/>
      <c r="H539" s="86"/>
      <c r="I539" s="86"/>
      <c r="J539" s="86"/>
      <c r="K539" s="86"/>
      <c r="L539" s="86"/>
      <c r="M539" s="86"/>
      <c r="N539" s="86"/>
      <c r="O539" s="86"/>
      <c r="P539" s="87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  <c r="AF539" s="81"/>
      <c r="AG539" s="81"/>
      <c r="AH539" s="81"/>
      <c r="AI539" s="81"/>
      <c r="AJ539" s="81"/>
      <c r="AK539" s="81"/>
      <c r="AL539" s="81"/>
      <c r="AM539" s="81"/>
      <c r="AN539" s="81"/>
      <c r="AO539" s="81"/>
      <c r="AP539" s="81"/>
      <c r="AQ539" s="81"/>
      <c r="AR539" s="81"/>
    </row>
    <row r="540" spans="1:44" x14ac:dyDescent="0.4">
      <c r="A540" s="5" t="str">
        <f t="shared" si="45"/>
        <v>MI-TACARIGUA</v>
      </c>
      <c r="B540" s="5" t="str">
        <f t="shared" si="46"/>
        <v>MI</v>
      </c>
      <c r="C540" s="83" t="s">
        <v>776</v>
      </c>
      <c r="D540" s="82" t="s">
        <v>1280</v>
      </c>
      <c r="E540" s="85">
        <v>46</v>
      </c>
      <c r="F540" s="85"/>
      <c r="G540" s="86"/>
      <c r="H540" s="86"/>
      <c r="I540" s="86"/>
      <c r="J540" s="86"/>
      <c r="K540" s="86"/>
      <c r="L540" s="86"/>
      <c r="M540" s="86"/>
      <c r="N540" s="86"/>
      <c r="O540" s="86"/>
      <c r="P540" s="87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  <c r="AF540" s="81"/>
      <c r="AG540" s="81"/>
      <c r="AH540" s="81"/>
      <c r="AI540" s="81"/>
      <c r="AJ540" s="81"/>
      <c r="AK540" s="81"/>
      <c r="AL540" s="81"/>
      <c r="AM540" s="81"/>
      <c r="AN540" s="81"/>
      <c r="AO540" s="81"/>
      <c r="AP540" s="81"/>
      <c r="AQ540" s="81"/>
      <c r="AR540" s="81"/>
    </row>
    <row r="541" spans="1:44" x14ac:dyDescent="0.4">
      <c r="A541" s="5" t="str">
        <f t="shared" si="45"/>
        <v>MI-TACATA</v>
      </c>
      <c r="B541" s="5" t="str">
        <f t="shared" si="46"/>
        <v>MI</v>
      </c>
      <c r="C541" s="83" t="s">
        <v>776</v>
      </c>
      <c r="D541" s="82" t="s">
        <v>1281</v>
      </c>
      <c r="E541" s="85">
        <v>3</v>
      </c>
      <c r="F541" s="85"/>
      <c r="G541" s="86"/>
      <c r="H541" s="86"/>
      <c r="I541" s="86"/>
      <c r="J541" s="86"/>
      <c r="K541" s="86"/>
      <c r="L541" s="86"/>
      <c r="M541" s="86"/>
      <c r="N541" s="86"/>
      <c r="O541" s="86"/>
      <c r="P541" s="87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  <c r="AF541" s="81"/>
      <c r="AG541" s="81"/>
      <c r="AH541" s="81"/>
      <c r="AI541" s="81"/>
      <c r="AJ541" s="81"/>
      <c r="AK541" s="81"/>
      <c r="AL541" s="81"/>
      <c r="AM541" s="81"/>
      <c r="AN541" s="81"/>
      <c r="AO541" s="81"/>
      <c r="AP541" s="81"/>
      <c r="AQ541" s="81"/>
      <c r="AR541" s="81"/>
    </row>
    <row r="542" spans="1:44" x14ac:dyDescent="0.4">
      <c r="A542" s="5" t="str">
        <f t="shared" si="45"/>
        <v>MO-AGUASAY</v>
      </c>
      <c r="B542" s="5" t="str">
        <f t="shared" si="46"/>
        <v>MO</v>
      </c>
      <c r="C542" s="83" t="s">
        <v>777</v>
      </c>
      <c r="D542" s="82" t="s">
        <v>1282</v>
      </c>
      <c r="E542" s="85">
        <v>23</v>
      </c>
      <c r="F542" s="85"/>
      <c r="G542" s="86"/>
      <c r="H542" s="86"/>
      <c r="I542" s="86"/>
      <c r="J542" s="86"/>
      <c r="K542" s="86"/>
      <c r="L542" s="86"/>
      <c r="M542" s="86"/>
      <c r="N542" s="86"/>
      <c r="O542" s="86"/>
      <c r="P542" s="87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  <c r="AF542" s="81"/>
      <c r="AG542" s="81"/>
      <c r="AH542" s="81"/>
      <c r="AI542" s="81"/>
      <c r="AJ542" s="81"/>
      <c r="AK542" s="81"/>
      <c r="AL542" s="81"/>
      <c r="AM542" s="81"/>
      <c r="AN542" s="81"/>
      <c r="AO542" s="81"/>
      <c r="AP542" s="81"/>
      <c r="AQ542" s="81"/>
      <c r="AR542" s="81"/>
    </row>
    <row r="543" spans="1:44" x14ac:dyDescent="0.4">
      <c r="A543" s="5" t="str">
        <f t="shared" si="45"/>
        <v>MO-AREO</v>
      </c>
      <c r="B543" s="5" t="str">
        <f t="shared" si="46"/>
        <v>MO</v>
      </c>
      <c r="C543" s="83" t="s">
        <v>777</v>
      </c>
      <c r="D543" s="82" t="s">
        <v>1283</v>
      </c>
      <c r="E543" s="85">
        <v>9</v>
      </c>
      <c r="F543" s="85"/>
      <c r="G543" s="86"/>
      <c r="H543" s="86"/>
      <c r="I543" s="86"/>
      <c r="J543" s="86"/>
      <c r="K543" s="86"/>
      <c r="L543" s="86"/>
      <c r="M543" s="86"/>
      <c r="N543" s="86"/>
      <c r="O543" s="86"/>
      <c r="P543" s="87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  <c r="AF543" s="81"/>
      <c r="AG543" s="81"/>
      <c r="AH543" s="81"/>
      <c r="AI543" s="81"/>
      <c r="AJ543" s="81"/>
      <c r="AK543" s="81"/>
      <c r="AL543" s="81"/>
      <c r="AM543" s="81"/>
      <c r="AN543" s="81"/>
      <c r="AO543" s="81"/>
      <c r="AP543" s="81"/>
      <c r="AQ543" s="81"/>
      <c r="AR543" s="81"/>
    </row>
    <row r="544" spans="1:44" x14ac:dyDescent="0.4">
      <c r="A544" s="5" t="str">
        <f t="shared" si="45"/>
        <v>MO-BOQUERON</v>
      </c>
      <c r="B544" s="5" t="str">
        <f t="shared" si="46"/>
        <v>MO</v>
      </c>
      <c r="C544" s="83" t="s">
        <v>777</v>
      </c>
      <c r="D544" s="82" t="s">
        <v>1284</v>
      </c>
      <c r="E544" s="85">
        <v>39</v>
      </c>
      <c r="F544" s="85"/>
      <c r="G544" s="86"/>
      <c r="H544" s="86"/>
      <c r="I544" s="86"/>
      <c r="J544" s="86"/>
      <c r="K544" s="86"/>
      <c r="L544" s="86"/>
      <c r="M544" s="86"/>
      <c r="N544" s="86"/>
      <c r="O544" s="86"/>
      <c r="P544" s="87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  <c r="AF544" s="81"/>
      <c r="AG544" s="81"/>
      <c r="AH544" s="81"/>
      <c r="AI544" s="81"/>
      <c r="AJ544" s="81"/>
      <c r="AK544" s="81"/>
      <c r="AL544" s="81"/>
      <c r="AM544" s="81"/>
      <c r="AN544" s="81"/>
      <c r="AO544" s="81"/>
      <c r="AP544" s="81"/>
      <c r="AQ544" s="81"/>
      <c r="AR544" s="81"/>
    </row>
    <row r="545" spans="1:44" x14ac:dyDescent="0.4">
      <c r="A545" s="5" t="str">
        <f t="shared" si="45"/>
        <v>MO-BURRANCAS (SOTILLO)</v>
      </c>
      <c r="B545" s="5" t="str">
        <f t="shared" si="46"/>
        <v>MO</v>
      </c>
      <c r="C545" s="83" t="s">
        <v>777</v>
      </c>
      <c r="D545" s="82" t="s">
        <v>1285</v>
      </c>
      <c r="E545" s="85">
        <v>64</v>
      </c>
      <c r="F545" s="85"/>
      <c r="G545" s="86"/>
      <c r="H545" s="86"/>
      <c r="I545" s="86"/>
      <c r="J545" s="86"/>
      <c r="K545" s="86"/>
      <c r="L545" s="86"/>
      <c r="M545" s="86"/>
      <c r="N545" s="86"/>
      <c r="O545" s="86"/>
      <c r="P545" s="87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  <c r="AF545" s="81"/>
      <c r="AG545" s="81"/>
      <c r="AH545" s="81"/>
      <c r="AI545" s="81"/>
      <c r="AJ545" s="81"/>
      <c r="AK545" s="81"/>
      <c r="AL545" s="81"/>
      <c r="AM545" s="81"/>
      <c r="AN545" s="81"/>
      <c r="AO545" s="81"/>
      <c r="AP545" s="81"/>
      <c r="AQ545" s="81"/>
      <c r="AR545" s="81"/>
    </row>
    <row r="546" spans="1:44" x14ac:dyDescent="0.4">
      <c r="A546" s="5" t="str">
        <f t="shared" si="45"/>
        <v>MO-CACHIPO</v>
      </c>
      <c r="B546" s="5" t="str">
        <f t="shared" si="46"/>
        <v>MO</v>
      </c>
      <c r="C546" s="83" t="s">
        <v>777</v>
      </c>
      <c r="D546" s="82" t="s">
        <v>791</v>
      </c>
      <c r="E546" s="85">
        <v>11</v>
      </c>
      <c r="F546" s="85"/>
      <c r="G546" s="86"/>
      <c r="H546" s="86"/>
      <c r="I546" s="86"/>
      <c r="J546" s="86"/>
      <c r="K546" s="86"/>
      <c r="L546" s="86"/>
      <c r="M546" s="86"/>
      <c r="N546" s="86"/>
      <c r="O546" s="86"/>
      <c r="P546" s="87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  <c r="AF546" s="81"/>
      <c r="AG546" s="81"/>
      <c r="AH546" s="81"/>
      <c r="AI546" s="81"/>
      <c r="AJ546" s="81"/>
      <c r="AK546" s="81"/>
      <c r="AL546" s="81"/>
      <c r="AM546" s="81"/>
      <c r="AN546" s="81"/>
      <c r="AO546" s="81"/>
      <c r="AP546" s="81"/>
      <c r="AQ546" s="81"/>
      <c r="AR546" s="81"/>
    </row>
    <row r="547" spans="1:44" x14ac:dyDescent="0.4">
      <c r="A547" s="5" t="str">
        <f t="shared" si="45"/>
        <v>MO-CAICARA</v>
      </c>
      <c r="B547" s="5" t="str">
        <f t="shared" si="46"/>
        <v>MO</v>
      </c>
      <c r="C547" s="83" t="s">
        <v>777</v>
      </c>
      <c r="D547" s="82" t="s">
        <v>933</v>
      </c>
      <c r="E547" s="85">
        <v>30</v>
      </c>
      <c r="F547" s="85"/>
      <c r="G547" s="86"/>
      <c r="H547" s="86"/>
      <c r="I547" s="86"/>
      <c r="J547" s="86"/>
      <c r="K547" s="86"/>
      <c r="L547" s="86"/>
      <c r="M547" s="86"/>
      <c r="N547" s="86"/>
      <c r="O547" s="86"/>
      <c r="P547" s="87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  <c r="AF547" s="81"/>
      <c r="AG547" s="81"/>
      <c r="AH547" s="81"/>
      <c r="AI547" s="81"/>
      <c r="AJ547" s="81"/>
      <c r="AK547" s="81"/>
      <c r="AL547" s="81"/>
      <c r="AM547" s="81"/>
      <c r="AN547" s="81"/>
      <c r="AO547" s="81"/>
      <c r="AP547" s="81"/>
      <c r="AQ547" s="81"/>
      <c r="AR547" s="81"/>
    </row>
    <row r="548" spans="1:44" x14ac:dyDescent="0.4">
      <c r="A548" s="5" t="str">
        <f t="shared" si="45"/>
        <v>MO-CARIPE</v>
      </c>
      <c r="B548" s="5" t="str">
        <f t="shared" si="46"/>
        <v>MO</v>
      </c>
      <c r="C548" s="83" t="s">
        <v>777</v>
      </c>
      <c r="D548" s="82" t="s">
        <v>1286</v>
      </c>
      <c r="E548" s="85">
        <v>46</v>
      </c>
      <c r="F548" s="85"/>
      <c r="G548" s="86"/>
      <c r="H548" s="86"/>
      <c r="I548" s="86"/>
      <c r="J548" s="86"/>
      <c r="K548" s="86"/>
      <c r="L548" s="86"/>
      <c r="M548" s="86"/>
      <c r="N548" s="86"/>
      <c r="O548" s="86"/>
      <c r="P548" s="87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  <c r="AF548" s="81"/>
      <c r="AG548" s="81"/>
      <c r="AH548" s="81"/>
      <c r="AI548" s="81"/>
      <c r="AJ548" s="81"/>
      <c r="AK548" s="81"/>
      <c r="AL548" s="81"/>
      <c r="AM548" s="81"/>
      <c r="AN548" s="81"/>
      <c r="AO548" s="81"/>
      <c r="AP548" s="81"/>
      <c r="AQ548" s="81"/>
      <c r="AR548" s="81"/>
    </row>
    <row r="549" spans="1:44" x14ac:dyDescent="0.4">
      <c r="A549" s="5" t="str">
        <f t="shared" si="45"/>
        <v>MO-CHAGUARAMAL</v>
      </c>
      <c r="B549" s="5" t="str">
        <f t="shared" si="46"/>
        <v>MO</v>
      </c>
      <c r="C549" s="83" t="s">
        <v>777</v>
      </c>
      <c r="D549" s="82" t="s">
        <v>1287</v>
      </c>
      <c r="E549" s="85">
        <v>8</v>
      </c>
      <c r="F549" s="85"/>
      <c r="G549" s="86"/>
      <c r="H549" s="86"/>
      <c r="I549" s="86"/>
      <c r="J549" s="86"/>
      <c r="K549" s="86"/>
      <c r="L549" s="86"/>
      <c r="M549" s="86"/>
      <c r="N549" s="86"/>
      <c r="O549" s="86"/>
      <c r="P549" s="87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  <c r="AF549" s="81"/>
      <c r="AG549" s="81"/>
      <c r="AH549" s="81"/>
      <c r="AI549" s="81"/>
      <c r="AJ549" s="81"/>
      <c r="AK549" s="81"/>
      <c r="AL549" s="81"/>
      <c r="AM549" s="81"/>
      <c r="AN549" s="81"/>
      <c r="AO549" s="81"/>
      <c r="AP549" s="81"/>
      <c r="AQ549" s="81"/>
      <c r="AR549" s="81"/>
    </row>
    <row r="550" spans="1:44" x14ac:dyDescent="0.4">
      <c r="A550" s="5" t="str">
        <f t="shared" si="45"/>
        <v>MO-CHAGUARAMAS</v>
      </c>
      <c r="B550" s="5" t="str">
        <f t="shared" si="46"/>
        <v>MO</v>
      </c>
      <c r="C550" s="83" t="s">
        <v>777</v>
      </c>
      <c r="D550" s="82" t="s">
        <v>1090</v>
      </c>
      <c r="E550" s="85">
        <v>2</v>
      </c>
      <c r="F550" s="85"/>
      <c r="G550" s="86"/>
      <c r="H550" s="86"/>
      <c r="I550" s="86"/>
      <c r="J550" s="86"/>
      <c r="K550" s="86"/>
      <c r="L550" s="86"/>
      <c r="M550" s="86"/>
      <c r="N550" s="86"/>
      <c r="O550" s="86"/>
      <c r="P550" s="87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  <c r="AF550" s="81"/>
      <c r="AG550" s="81"/>
      <c r="AH550" s="81"/>
      <c r="AI550" s="81"/>
      <c r="AJ550" s="81"/>
      <c r="AK550" s="81"/>
      <c r="AL550" s="81"/>
      <c r="AM550" s="81"/>
      <c r="AN550" s="81"/>
      <c r="AO550" s="81"/>
      <c r="AP550" s="81"/>
      <c r="AQ550" s="81"/>
      <c r="AR550" s="81"/>
    </row>
    <row r="551" spans="1:44" x14ac:dyDescent="0.4">
      <c r="A551" s="5" t="str">
        <f t="shared" si="45"/>
        <v>MO-COLON</v>
      </c>
      <c r="B551" s="5" t="str">
        <f t="shared" si="46"/>
        <v>MO</v>
      </c>
      <c r="C551" s="83" t="s">
        <v>777</v>
      </c>
      <c r="D551" s="82" t="s">
        <v>1288</v>
      </c>
      <c r="E551" s="85">
        <v>103</v>
      </c>
      <c r="F551" s="85"/>
      <c r="G551" s="86"/>
      <c r="H551" s="86"/>
      <c r="I551" s="86"/>
      <c r="J551" s="86"/>
      <c r="K551" s="86"/>
      <c r="L551" s="86"/>
      <c r="M551" s="86"/>
      <c r="N551" s="86"/>
      <c r="O551" s="86"/>
      <c r="P551" s="87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  <c r="AG551" s="81"/>
      <c r="AH551" s="81"/>
      <c r="AI551" s="81"/>
      <c r="AJ551" s="81"/>
      <c r="AK551" s="81"/>
      <c r="AL551" s="81"/>
      <c r="AM551" s="81"/>
      <c r="AN551" s="81"/>
      <c r="AO551" s="81"/>
      <c r="AP551" s="81"/>
      <c r="AQ551" s="81"/>
      <c r="AR551" s="81"/>
    </row>
    <row r="552" spans="1:44" x14ac:dyDescent="0.4">
      <c r="A552" s="5" t="str">
        <f t="shared" si="45"/>
        <v>MO-EL COROZO</v>
      </c>
      <c r="B552" s="5" t="str">
        <f t="shared" si="46"/>
        <v>MO</v>
      </c>
      <c r="C552" s="83" t="s">
        <v>777</v>
      </c>
      <c r="D552" s="82" t="s">
        <v>1289</v>
      </c>
      <c r="E552" s="85">
        <v>3</v>
      </c>
      <c r="F552" s="85"/>
      <c r="G552" s="86"/>
      <c r="H552" s="86"/>
      <c r="I552" s="86"/>
      <c r="J552" s="86"/>
      <c r="K552" s="86"/>
      <c r="L552" s="86"/>
      <c r="M552" s="86"/>
      <c r="N552" s="86"/>
      <c r="O552" s="86"/>
      <c r="P552" s="87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  <c r="AG552" s="81"/>
      <c r="AH552" s="81"/>
      <c r="AI552" s="81"/>
      <c r="AJ552" s="81"/>
      <c r="AK552" s="81"/>
      <c r="AL552" s="81"/>
      <c r="AM552" s="81"/>
      <c r="AN552" s="81"/>
      <c r="AO552" s="81"/>
      <c r="AP552" s="81"/>
      <c r="AQ552" s="81"/>
      <c r="AR552" s="81"/>
    </row>
    <row r="553" spans="1:44" x14ac:dyDescent="0.4">
      <c r="A553" s="5" t="str">
        <f t="shared" si="45"/>
        <v>MO-EL GUACHARO</v>
      </c>
      <c r="B553" s="5" t="str">
        <f t="shared" si="46"/>
        <v>MO</v>
      </c>
      <c r="C553" s="83" t="s">
        <v>777</v>
      </c>
      <c r="D553" s="82" t="s">
        <v>1290</v>
      </c>
      <c r="E553" s="85">
        <v>21</v>
      </c>
      <c r="F553" s="85"/>
      <c r="G553" s="86"/>
      <c r="H553" s="86"/>
      <c r="I553" s="86"/>
      <c r="J553" s="86"/>
      <c r="K553" s="86"/>
      <c r="L553" s="86"/>
      <c r="M553" s="86"/>
      <c r="N553" s="86"/>
      <c r="O553" s="86"/>
      <c r="P553" s="87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81"/>
      <c r="AH553" s="81"/>
      <c r="AI553" s="81"/>
      <c r="AJ553" s="81"/>
      <c r="AK553" s="81"/>
      <c r="AL553" s="81"/>
      <c r="AM553" s="81"/>
      <c r="AN553" s="81"/>
      <c r="AO553" s="81"/>
      <c r="AP553" s="81"/>
      <c r="AQ553" s="81"/>
      <c r="AR553" s="81"/>
    </row>
    <row r="554" spans="1:44" x14ac:dyDescent="0.4">
      <c r="A554" s="5" t="str">
        <f t="shared" si="45"/>
        <v>MO-EL TEJERO</v>
      </c>
      <c r="B554" s="5" t="str">
        <f t="shared" si="46"/>
        <v>MO</v>
      </c>
      <c r="C554" s="83" t="s">
        <v>777</v>
      </c>
      <c r="D554" s="82" t="s">
        <v>1291</v>
      </c>
      <c r="E554" s="85">
        <v>12</v>
      </c>
      <c r="F554" s="85"/>
      <c r="G554" s="86"/>
      <c r="H554" s="86"/>
      <c r="I554" s="86"/>
      <c r="J554" s="86"/>
      <c r="K554" s="86"/>
      <c r="L554" s="86"/>
      <c r="M554" s="86"/>
      <c r="N554" s="86"/>
      <c r="O554" s="86"/>
      <c r="P554" s="87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  <c r="AG554" s="81"/>
      <c r="AH554" s="81"/>
      <c r="AI554" s="81"/>
      <c r="AJ554" s="81"/>
      <c r="AK554" s="81"/>
      <c r="AL554" s="81"/>
      <c r="AM554" s="81"/>
      <c r="AN554" s="81"/>
      <c r="AO554" s="81"/>
      <c r="AP554" s="81"/>
      <c r="AQ554" s="81"/>
      <c r="AR554" s="81"/>
    </row>
    <row r="555" spans="1:44" x14ac:dyDescent="0.4">
      <c r="A555" s="5" t="str">
        <f t="shared" si="45"/>
        <v>MO-EZEQUIEL ZAMORA</v>
      </c>
      <c r="B555" s="5" t="str">
        <f t="shared" si="46"/>
        <v>MO</v>
      </c>
      <c r="C555" s="83" t="s">
        <v>777</v>
      </c>
      <c r="D555" s="82" t="s">
        <v>1292</v>
      </c>
      <c r="E555" s="85">
        <v>81</v>
      </c>
      <c r="F555" s="85"/>
      <c r="G555" s="86"/>
      <c r="H555" s="86"/>
      <c r="I555" s="86"/>
      <c r="J555" s="86"/>
      <c r="K555" s="86"/>
      <c r="L555" s="86"/>
      <c r="M555" s="86"/>
      <c r="N555" s="86"/>
      <c r="O555" s="86"/>
      <c r="P555" s="87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  <c r="AG555" s="81"/>
      <c r="AH555" s="81"/>
      <c r="AI555" s="81"/>
      <c r="AJ555" s="81"/>
      <c r="AK555" s="81"/>
      <c r="AL555" s="81"/>
      <c r="AM555" s="81"/>
      <c r="AN555" s="81"/>
      <c r="AO555" s="81"/>
      <c r="AP555" s="81"/>
      <c r="AQ555" s="81"/>
      <c r="AR555" s="81"/>
    </row>
    <row r="556" spans="1:44" x14ac:dyDescent="0.4">
      <c r="A556" s="5" t="str">
        <f t="shared" si="45"/>
        <v>MO-GUANAGUANA</v>
      </c>
      <c r="B556" s="5" t="str">
        <f t="shared" si="46"/>
        <v>MO</v>
      </c>
      <c r="C556" s="83" t="s">
        <v>777</v>
      </c>
      <c r="D556" s="82" t="s">
        <v>1293</v>
      </c>
      <c r="E556" s="85">
        <v>10</v>
      </c>
      <c r="F556" s="85"/>
      <c r="G556" s="86"/>
      <c r="H556" s="86"/>
      <c r="I556" s="86"/>
      <c r="J556" s="86"/>
      <c r="K556" s="86"/>
      <c r="L556" s="86"/>
      <c r="M556" s="86"/>
      <c r="N556" s="86"/>
      <c r="O556" s="86"/>
      <c r="P556" s="87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  <c r="AF556" s="81"/>
      <c r="AG556" s="81"/>
      <c r="AH556" s="81"/>
      <c r="AI556" s="81"/>
      <c r="AJ556" s="81"/>
      <c r="AK556" s="81"/>
      <c r="AL556" s="81"/>
      <c r="AM556" s="81"/>
      <c r="AN556" s="81"/>
      <c r="AO556" s="81"/>
      <c r="AP556" s="81"/>
      <c r="AQ556" s="81"/>
      <c r="AR556" s="81"/>
    </row>
    <row r="557" spans="1:44" x14ac:dyDescent="0.4">
      <c r="A557" s="5" t="str">
        <f t="shared" si="45"/>
        <v>MO-GUANOTO</v>
      </c>
      <c r="B557" s="5" t="str">
        <f t="shared" si="46"/>
        <v>MO</v>
      </c>
      <c r="C557" s="83" t="s">
        <v>777</v>
      </c>
      <c r="D557" s="82" t="s">
        <v>1294</v>
      </c>
      <c r="E557" s="85">
        <v>8</v>
      </c>
      <c r="F557" s="85"/>
      <c r="G557" s="86"/>
      <c r="H557" s="86"/>
      <c r="I557" s="86"/>
      <c r="J557" s="86"/>
      <c r="K557" s="86"/>
      <c r="L557" s="86"/>
      <c r="M557" s="86"/>
      <c r="N557" s="86"/>
      <c r="O557" s="86"/>
      <c r="P557" s="87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  <c r="AF557" s="81"/>
      <c r="AG557" s="81"/>
      <c r="AH557" s="81"/>
      <c r="AI557" s="81"/>
      <c r="AJ557" s="81"/>
      <c r="AK557" s="81"/>
      <c r="AL557" s="81"/>
      <c r="AM557" s="81"/>
      <c r="AN557" s="81"/>
      <c r="AO557" s="81"/>
      <c r="AP557" s="81"/>
      <c r="AQ557" s="81"/>
      <c r="AR557" s="81"/>
    </row>
    <row r="558" spans="1:44" ht="14.6" customHeight="1" x14ac:dyDescent="0.4">
      <c r="A558" s="5" t="str">
        <f t="shared" si="45"/>
        <v>MO-JOSE TADEO MONAGAS (EL
FURRIAL)</v>
      </c>
      <c r="B558" s="5" t="str">
        <f t="shared" si="46"/>
        <v>MO</v>
      </c>
      <c r="C558" s="83" t="s">
        <v>777</v>
      </c>
      <c r="D558" s="84" t="s">
        <v>1295</v>
      </c>
      <c r="E558" s="85">
        <v>8</v>
      </c>
      <c r="F558" s="85"/>
      <c r="G558" s="86"/>
      <c r="H558" s="86"/>
      <c r="I558" s="86"/>
      <c r="J558" s="86"/>
      <c r="K558" s="86"/>
      <c r="L558" s="86"/>
      <c r="M558" s="86"/>
      <c r="N558" s="86"/>
      <c r="O558" s="86"/>
      <c r="P558" s="87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  <c r="AG558" s="81"/>
      <c r="AH558" s="81"/>
      <c r="AI558" s="81"/>
      <c r="AJ558" s="81"/>
      <c r="AK558" s="81"/>
      <c r="AL558" s="81"/>
      <c r="AM558" s="81"/>
      <c r="AN558" s="81"/>
      <c r="AO558" s="81"/>
      <c r="AP558" s="81"/>
      <c r="AQ558" s="81"/>
      <c r="AR558" s="81"/>
    </row>
    <row r="559" spans="1:44" x14ac:dyDescent="0.4">
      <c r="A559" s="5" t="str">
        <f t="shared" si="45"/>
        <v>MO-LA CRUZ</v>
      </c>
      <c r="B559" s="5" t="str">
        <f t="shared" si="46"/>
        <v>MO</v>
      </c>
      <c r="C559" s="83" t="s">
        <v>777</v>
      </c>
      <c r="D559" s="82" t="s">
        <v>1296</v>
      </c>
      <c r="E559" s="85">
        <v>32</v>
      </c>
      <c r="F559" s="85"/>
      <c r="G559" s="86"/>
      <c r="H559" s="86"/>
      <c r="I559" s="86"/>
      <c r="J559" s="86"/>
      <c r="K559" s="86"/>
      <c r="L559" s="86"/>
      <c r="M559" s="86"/>
      <c r="N559" s="86"/>
      <c r="O559" s="86"/>
      <c r="P559" s="87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  <c r="AG559" s="81"/>
      <c r="AH559" s="81"/>
      <c r="AI559" s="81"/>
      <c r="AJ559" s="81"/>
      <c r="AK559" s="81"/>
      <c r="AL559" s="81"/>
      <c r="AM559" s="81"/>
      <c r="AN559" s="81"/>
      <c r="AO559" s="81"/>
      <c r="AP559" s="81"/>
      <c r="AQ559" s="81"/>
      <c r="AR559" s="81"/>
    </row>
    <row r="560" spans="1:44" x14ac:dyDescent="0.4">
      <c r="A560" s="5" t="str">
        <f t="shared" si="45"/>
        <v>MO-LA PICA (ARAGUA)</v>
      </c>
      <c r="B560" s="5" t="str">
        <f t="shared" si="46"/>
        <v>MO</v>
      </c>
      <c r="C560" s="83" t="s">
        <v>777</v>
      </c>
      <c r="D560" s="82" t="s">
        <v>1297</v>
      </c>
      <c r="E560" s="85">
        <v>24</v>
      </c>
      <c r="F560" s="85"/>
      <c r="G560" s="86"/>
      <c r="H560" s="86"/>
      <c r="I560" s="86"/>
      <c r="J560" s="86"/>
      <c r="K560" s="86"/>
      <c r="L560" s="86"/>
      <c r="M560" s="86"/>
      <c r="N560" s="86"/>
      <c r="O560" s="86"/>
      <c r="P560" s="87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  <c r="AG560" s="81"/>
      <c r="AH560" s="81"/>
      <c r="AI560" s="81"/>
      <c r="AJ560" s="81"/>
      <c r="AK560" s="81"/>
      <c r="AL560" s="81"/>
      <c r="AM560" s="81"/>
      <c r="AN560" s="81"/>
      <c r="AO560" s="81"/>
      <c r="AP560" s="81"/>
      <c r="AQ560" s="81"/>
      <c r="AR560" s="81"/>
    </row>
    <row r="561" spans="1:44" x14ac:dyDescent="0.4">
      <c r="A561" s="5" t="str">
        <f t="shared" si="45"/>
        <v>MO-LA TOSCANA</v>
      </c>
      <c r="B561" s="5" t="str">
        <f t="shared" si="46"/>
        <v>MO</v>
      </c>
      <c r="C561" s="83" t="s">
        <v>777</v>
      </c>
      <c r="D561" s="82" t="s">
        <v>1298</v>
      </c>
      <c r="E561" s="85">
        <v>15</v>
      </c>
      <c r="F561" s="85"/>
      <c r="G561" s="86"/>
      <c r="H561" s="86"/>
      <c r="I561" s="86"/>
      <c r="J561" s="86"/>
      <c r="K561" s="86"/>
      <c r="L561" s="86"/>
      <c r="M561" s="86"/>
      <c r="N561" s="86"/>
      <c r="O561" s="86"/>
      <c r="P561" s="87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  <c r="AG561" s="81"/>
      <c r="AH561" s="81"/>
      <c r="AI561" s="81"/>
      <c r="AJ561" s="81"/>
      <c r="AK561" s="81"/>
      <c r="AL561" s="81"/>
      <c r="AM561" s="81"/>
      <c r="AN561" s="81"/>
      <c r="AO561" s="81"/>
      <c r="AP561" s="81"/>
      <c r="AQ561" s="81"/>
      <c r="AR561" s="81"/>
    </row>
    <row r="562" spans="1:44" x14ac:dyDescent="0.4">
      <c r="A562" s="5" t="str">
        <f t="shared" si="45"/>
        <v>MO-LAS ALHUACAS</v>
      </c>
      <c r="B562" s="5" t="str">
        <f t="shared" si="46"/>
        <v>MO</v>
      </c>
      <c r="C562" s="83" t="s">
        <v>777</v>
      </c>
      <c r="D562" s="82" t="s">
        <v>1299</v>
      </c>
      <c r="E562" s="85">
        <v>4</v>
      </c>
      <c r="F562" s="85"/>
      <c r="G562" s="86"/>
      <c r="H562" s="86"/>
      <c r="I562" s="86"/>
      <c r="J562" s="86"/>
      <c r="K562" s="86"/>
      <c r="L562" s="86"/>
      <c r="M562" s="86"/>
      <c r="N562" s="86"/>
      <c r="O562" s="86"/>
      <c r="P562" s="87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  <c r="AG562" s="81"/>
      <c r="AH562" s="81"/>
      <c r="AI562" s="81"/>
      <c r="AJ562" s="81"/>
      <c r="AK562" s="81"/>
      <c r="AL562" s="81"/>
      <c r="AM562" s="81"/>
      <c r="AN562" s="81"/>
      <c r="AO562" s="81"/>
      <c r="AP562" s="81"/>
      <c r="AQ562" s="81"/>
      <c r="AR562" s="81"/>
    </row>
    <row r="563" spans="1:44" x14ac:dyDescent="0.4">
      <c r="A563" s="5" t="str">
        <f t="shared" si="45"/>
        <v>MO-LAS COCUIZAS</v>
      </c>
      <c r="B563" s="5" t="str">
        <f t="shared" si="46"/>
        <v>MO</v>
      </c>
      <c r="C563" s="83" t="s">
        <v>777</v>
      </c>
      <c r="D563" s="82" t="s">
        <v>1300</v>
      </c>
      <c r="E563" s="85">
        <v>99</v>
      </c>
      <c r="F563" s="85"/>
      <c r="G563" s="86"/>
      <c r="H563" s="86"/>
      <c r="I563" s="86"/>
      <c r="J563" s="86"/>
      <c r="K563" s="86"/>
      <c r="L563" s="86"/>
      <c r="M563" s="86"/>
      <c r="N563" s="86"/>
      <c r="O563" s="86"/>
      <c r="P563" s="87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  <c r="AG563" s="81"/>
      <c r="AH563" s="81"/>
      <c r="AI563" s="81"/>
      <c r="AJ563" s="81"/>
      <c r="AK563" s="81"/>
      <c r="AL563" s="81"/>
      <c r="AM563" s="81"/>
      <c r="AN563" s="81"/>
      <c r="AO563" s="81"/>
      <c r="AP563" s="81"/>
      <c r="AQ563" s="81"/>
      <c r="AR563" s="81"/>
    </row>
    <row r="564" spans="1:44" x14ac:dyDescent="0.4">
      <c r="A564" s="5" t="str">
        <f t="shared" si="45"/>
        <v>MO-LIBERTADOR</v>
      </c>
      <c r="B564" s="5" t="str">
        <f t="shared" si="46"/>
        <v>MO</v>
      </c>
      <c r="C564" s="83" t="s">
        <v>777</v>
      </c>
      <c r="D564" s="82" t="s">
        <v>806</v>
      </c>
      <c r="E564" s="85">
        <v>58</v>
      </c>
      <c r="F564" s="85"/>
      <c r="G564" s="86"/>
      <c r="H564" s="86"/>
      <c r="I564" s="86"/>
      <c r="J564" s="86"/>
      <c r="K564" s="86"/>
      <c r="L564" s="86"/>
      <c r="M564" s="86"/>
      <c r="N564" s="86"/>
      <c r="O564" s="86"/>
      <c r="P564" s="87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  <c r="AG564" s="81"/>
      <c r="AH564" s="81"/>
      <c r="AI564" s="81"/>
      <c r="AJ564" s="81"/>
      <c r="AK564" s="81"/>
      <c r="AL564" s="81"/>
      <c r="AM564" s="81"/>
      <c r="AN564" s="81"/>
      <c r="AO564" s="81"/>
      <c r="AP564" s="81"/>
      <c r="AQ564" s="81"/>
      <c r="AR564" s="81"/>
    </row>
    <row r="565" spans="1:44" x14ac:dyDescent="0.4">
      <c r="A565" s="5" t="str">
        <f t="shared" si="45"/>
        <v>MO-LOS BARRANCOS DE FAJARDO</v>
      </c>
      <c r="B565" s="5" t="str">
        <f t="shared" si="46"/>
        <v>MO</v>
      </c>
      <c r="C565" s="83" t="s">
        <v>777</v>
      </c>
      <c r="D565" s="82" t="s">
        <v>1301</v>
      </c>
      <c r="E565" s="85">
        <v>16</v>
      </c>
      <c r="F565" s="85"/>
      <c r="G565" s="86"/>
      <c r="H565" s="86"/>
      <c r="I565" s="86"/>
      <c r="J565" s="86"/>
      <c r="K565" s="86"/>
      <c r="L565" s="86"/>
      <c r="M565" s="86"/>
      <c r="N565" s="86"/>
      <c r="O565" s="86"/>
      <c r="P565" s="87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/>
      <c r="AH565" s="81"/>
      <c r="AI565" s="81"/>
      <c r="AJ565" s="81"/>
      <c r="AK565" s="81"/>
      <c r="AL565" s="81"/>
      <c r="AM565" s="81"/>
      <c r="AN565" s="81"/>
      <c r="AO565" s="81"/>
      <c r="AP565" s="81"/>
      <c r="AQ565" s="81"/>
      <c r="AR565" s="81"/>
    </row>
    <row r="566" spans="1:44" x14ac:dyDescent="0.4">
      <c r="A566" s="5" t="str">
        <f t="shared" si="45"/>
        <v>MO-LOS GODOS</v>
      </c>
      <c r="B566" s="5" t="str">
        <f t="shared" si="46"/>
        <v>MO</v>
      </c>
      <c r="C566" s="83" t="s">
        <v>777</v>
      </c>
      <c r="D566" s="82" t="s">
        <v>1302</v>
      </c>
      <c r="E566" s="85">
        <v>45</v>
      </c>
      <c r="F566" s="85"/>
      <c r="G566" s="86"/>
      <c r="H566" s="86"/>
      <c r="I566" s="86"/>
      <c r="J566" s="86"/>
      <c r="K566" s="86"/>
      <c r="L566" s="86"/>
      <c r="M566" s="86"/>
      <c r="N566" s="86"/>
      <c r="O566" s="86"/>
      <c r="P566" s="87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  <c r="AG566" s="81"/>
      <c r="AH566" s="81"/>
      <c r="AI566" s="81"/>
      <c r="AJ566" s="81"/>
      <c r="AK566" s="81"/>
      <c r="AL566" s="81"/>
      <c r="AM566" s="81"/>
      <c r="AN566" s="81"/>
      <c r="AO566" s="81"/>
      <c r="AP566" s="81"/>
      <c r="AQ566" s="81"/>
      <c r="AR566" s="81"/>
    </row>
    <row r="567" spans="1:44" x14ac:dyDescent="0.4">
      <c r="A567" s="5" t="str">
        <f t="shared" si="45"/>
        <v>MO-MIRANDA</v>
      </c>
      <c r="B567" s="5" t="str">
        <f t="shared" si="46"/>
        <v>MO</v>
      </c>
      <c r="C567" s="83" t="s">
        <v>777</v>
      </c>
      <c r="D567" s="82" t="s">
        <v>973</v>
      </c>
      <c r="E567" s="85">
        <v>19</v>
      </c>
      <c r="F567" s="85"/>
      <c r="G567" s="86"/>
      <c r="H567" s="86"/>
      <c r="I567" s="86"/>
      <c r="J567" s="86"/>
      <c r="K567" s="86"/>
      <c r="L567" s="86"/>
      <c r="M567" s="86"/>
      <c r="N567" s="86"/>
      <c r="O567" s="86"/>
      <c r="P567" s="87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  <c r="AF567" s="81"/>
      <c r="AG567" s="81"/>
      <c r="AH567" s="81"/>
      <c r="AI567" s="81"/>
      <c r="AJ567" s="81"/>
      <c r="AK567" s="81"/>
      <c r="AL567" s="81"/>
      <c r="AM567" s="81"/>
      <c r="AN567" s="81"/>
      <c r="AO567" s="81"/>
      <c r="AP567" s="81"/>
      <c r="AQ567" s="81"/>
      <c r="AR567" s="81"/>
    </row>
    <row r="568" spans="1:44" x14ac:dyDescent="0.4">
      <c r="A568" s="5" t="str">
        <f t="shared" si="45"/>
        <v>MO-PIAR</v>
      </c>
      <c r="B568" s="5" t="str">
        <f t="shared" si="46"/>
        <v>MO</v>
      </c>
      <c r="C568" s="83" t="s">
        <v>777</v>
      </c>
      <c r="D568" s="82" t="s">
        <v>814</v>
      </c>
      <c r="E568" s="85">
        <v>35</v>
      </c>
      <c r="F568" s="85"/>
      <c r="G568" s="86"/>
      <c r="H568" s="86"/>
      <c r="I568" s="86"/>
      <c r="J568" s="86"/>
      <c r="K568" s="86"/>
      <c r="L568" s="86"/>
      <c r="M568" s="86"/>
      <c r="N568" s="86"/>
      <c r="O568" s="86"/>
      <c r="P568" s="87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  <c r="AF568" s="81"/>
      <c r="AG568" s="81"/>
      <c r="AH568" s="81"/>
      <c r="AI568" s="81"/>
      <c r="AJ568" s="81"/>
      <c r="AK568" s="81"/>
      <c r="AL568" s="81"/>
      <c r="AM568" s="81"/>
      <c r="AN568" s="81"/>
      <c r="AO568" s="81"/>
      <c r="AP568" s="81"/>
      <c r="AQ568" s="81"/>
      <c r="AR568" s="81"/>
    </row>
    <row r="569" spans="1:44" x14ac:dyDescent="0.4">
      <c r="A569" s="5" t="str">
        <f t="shared" si="45"/>
        <v>MO-PUNCERES</v>
      </c>
      <c r="B569" s="5" t="str">
        <f t="shared" si="46"/>
        <v>MO</v>
      </c>
      <c r="C569" s="83" t="s">
        <v>777</v>
      </c>
      <c r="D569" s="82" t="s">
        <v>1303</v>
      </c>
      <c r="E569" s="85">
        <v>39</v>
      </c>
      <c r="F569" s="85"/>
      <c r="G569" s="86"/>
      <c r="H569" s="86"/>
      <c r="I569" s="86"/>
      <c r="J569" s="86"/>
      <c r="K569" s="86"/>
      <c r="L569" s="86"/>
      <c r="M569" s="86"/>
      <c r="N569" s="86"/>
      <c r="O569" s="86"/>
      <c r="P569" s="87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  <c r="AG569" s="81"/>
      <c r="AH569" s="81"/>
      <c r="AI569" s="81"/>
      <c r="AJ569" s="81"/>
      <c r="AK569" s="81"/>
      <c r="AL569" s="81"/>
      <c r="AM569" s="81"/>
      <c r="AN569" s="81"/>
      <c r="AO569" s="81"/>
      <c r="AP569" s="81"/>
      <c r="AQ569" s="81"/>
      <c r="AR569" s="81"/>
    </row>
    <row r="570" spans="1:44" x14ac:dyDescent="0.4">
      <c r="A570" s="5" t="str">
        <f t="shared" ref="A570:A633" si="47">+B570&amp;"-"&amp;D570</f>
        <v>MO-ROMULO GALLEGOS</v>
      </c>
      <c r="B570" s="5" t="str">
        <f t="shared" ref="B570:B633" si="48">+MID(C570,1,2)</f>
        <v>MO</v>
      </c>
      <c r="C570" s="83" t="s">
        <v>777</v>
      </c>
      <c r="D570" s="82" t="s">
        <v>995</v>
      </c>
      <c r="E570" s="85">
        <v>3</v>
      </c>
      <c r="F570" s="85"/>
      <c r="G570" s="86"/>
      <c r="H570" s="86"/>
      <c r="I570" s="86"/>
      <c r="J570" s="86"/>
      <c r="K570" s="86"/>
      <c r="L570" s="86"/>
      <c r="M570" s="86"/>
      <c r="N570" s="86"/>
      <c r="O570" s="86"/>
      <c r="P570" s="87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  <c r="AF570" s="81"/>
      <c r="AG570" s="81"/>
      <c r="AH570" s="81"/>
      <c r="AI570" s="81"/>
      <c r="AJ570" s="81"/>
      <c r="AK570" s="81"/>
      <c r="AL570" s="81"/>
      <c r="AM570" s="81"/>
      <c r="AN570" s="81"/>
      <c r="AO570" s="81"/>
      <c r="AP570" s="81"/>
      <c r="AQ570" s="81"/>
      <c r="AR570" s="81"/>
    </row>
    <row r="571" spans="1:44" x14ac:dyDescent="0.4">
      <c r="A571" s="5" t="str">
        <f t="shared" si="47"/>
        <v>MO-SABANA DE PIEDRA</v>
      </c>
      <c r="B571" s="5" t="str">
        <f t="shared" si="48"/>
        <v>MO</v>
      </c>
      <c r="C571" s="83" t="s">
        <v>777</v>
      </c>
      <c r="D571" s="82" t="s">
        <v>1304</v>
      </c>
      <c r="E571" s="85">
        <v>12</v>
      </c>
      <c r="F571" s="85"/>
      <c r="G571" s="86"/>
      <c r="H571" s="86"/>
      <c r="I571" s="86"/>
      <c r="J571" s="86"/>
      <c r="K571" s="86"/>
      <c r="L571" s="86"/>
      <c r="M571" s="86"/>
      <c r="N571" s="86"/>
      <c r="O571" s="86"/>
      <c r="P571" s="87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  <c r="AF571" s="81"/>
      <c r="AG571" s="81"/>
      <c r="AH571" s="81"/>
      <c r="AI571" s="81"/>
      <c r="AJ571" s="81"/>
      <c r="AK571" s="81"/>
      <c r="AL571" s="81"/>
      <c r="AM571" s="81"/>
      <c r="AN571" s="81"/>
      <c r="AO571" s="81"/>
      <c r="AP571" s="81"/>
      <c r="AQ571" s="81"/>
      <c r="AR571" s="81"/>
    </row>
    <row r="572" spans="1:44" x14ac:dyDescent="0.4">
      <c r="A572" s="5" t="str">
        <f t="shared" si="47"/>
        <v>MO-SAN AGUSTIN</v>
      </c>
      <c r="B572" s="5" t="str">
        <f t="shared" si="48"/>
        <v>MO</v>
      </c>
      <c r="C572" s="83" t="s">
        <v>777</v>
      </c>
      <c r="D572" s="82" t="s">
        <v>1020</v>
      </c>
      <c r="E572" s="85">
        <v>9</v>
      </c>
      <c r="F572" s="85"/>
      <c r="G572" s="86"/>
      <c r="H572" s="86"/>
      <c r="I572" s="86"/>
      <c r="J572" s="86"/>
      <c r="K572" s="86"/>
      <c r="L572" s="86"/>
      <c r="M572" s="86"/>
      <c r="N572" s="86"/>
      <c r="O572" s="86"/>
      <c r="P572" s="87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  <c r="AF572" s="81"/>
      <c r="AG572" s="81"/>
      <c r="AH572" s="81"/>
      <c r="AI572" s="81"/>
      <c r="AJ572" s="81"/>
      <c r="AK572" s="81"/>
      <c r="AL572" s="81"/>
      <c r="AM572" s="81"/>
      <c r="AN572" s="81"/>
      <c r="AO572" s="81"/>
      <c r="AP572" s="81"/>
      <c r="AQ572" s="81"/>
      <c r="AR572" s="81"/>
    </row>
    <row r="573" spans="1:44" x14ac:dyDescent="0.4">
      <c r="A573" s="5" t="str">
        <f t="shared" si="47"/>
        <v>MO-SAN ANTONIO (ACOSTA)</v>
      </c>
      <c r="B573" s="5" t="str">
        <f t="shared" si="48"/>
        <v>MO</v>
      </c>
      <c r="C573" s="83" t="s">
        <v>777</v>
      </c>
      <c r="D573" s="82" t="s">
        <v>1305</v>
      </c>
      <c r="E573" s="85">
        <v>48</v>
      </c>
      <c r="F573" s="85"/>
      <c r="G573" s="86"/>
      <c r="H573" s="86"/>
      <c r="I573" s="86"/>
      <c r="J573" s="86"/>
      <c r="K573" s="86"/>
      <c r="L573" s="86"/>
      <c r="M573" s="86"/>
      <c r="N573" s="86"/>
      <c r="O573" s="86"/>
      <c r="P573" s="87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81"/>
      <c r="AH573" s="81"/>
      <c r="AI573" s="81"/>
      <c r="AJ573" s="81"/>
      <c r="AK573" s="81"/>
      <c r="AL573" s="81"/>
      <c r="AM573" s="81"/>
      <c r="AN573" s="81"/>
      <c r="AO573" s="81"/>
      <c r="AP573" s="81"/>
      <c r="AQ573" s="81"/>
      <c r="AR573" s="81"/>
    </row>
    <row r="574" spans="1:44" x14ac:dyDescent="0.4">
      <c r="A574" s="5" t="str">
        <f t="shared" si="47"/>
        <v>MO-SAN FELIX</v>
      </c>
      <c r="B574" s="5" t="str">
        <f t="shared" si="48"/>
        <v>MO</v>
      </c>
      <c r="C574" s="83" t="s">
        <v>777</v>
      </c>
      <c r="D574" s="82" t="s">
        <v>947</v>
      </c>
      <c r="E574" s="85">
        <v>10</v>
      </c>
      <c r="F574" s="85"/>
      <c r="G574" s="86"/>
      <c r="H574" s="86"/>
      <c r="I574" s="86"/>
      <c r="J574" s="86"/>
      <c r="K574" s="86"/>
      <c r="L574" s="86"/>
      <c r="M574" s="86"/>
      <c r="N574" s="86"/>
      <c r="O574" s="86"/>
      <c r="P574" s="87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  <c r="AF574" s="81"/>
      <c r="AG574" s="81"/>
      <c r="AH574" s="81"/>
      <c r="AI574" s="81"/>
      <c r="AJ574" s="81"/>
      <c r="AK574" s="81"/>
      <c r="AL574" s="81"/>
      <c r="AM574" s="81"/>
      <c r="AN574" s="81"/>
      <c r="AO574" s="81"/>
      <c r="AP574" s="81"/>
      <c r="AQ574" s="81"/>
      <c r="AR574" s="81"/>
    </row>
    <row r="575" spans="1:44" x14ac:dyDescent="0.4">
      <c r="A575" s="5" t="str">
        <f t="shared" si="47"/>
        <v>MO-SAN FRANCISCO</v>
      </c>
      <c r="B575" s="5" t="str">
        <f t="shared" si="48"/>
        <v>MO</v>
      </c>
      <c r="C575" s="83" t="s">
        <v>777</v>
      </c>
      <c r="D575" s="82" t="s">
        <v>1073</v>
      </c>
      <c r="E575" s="85">
        <v>14</v>
      </c>
      <c r="F575" s="85"/>
      <c r="G575" s="86"/>
      <c r="H575" s="86"/>
      <c r="I575" s="86"/>
      <c r="J575" s="86"/>
      <c r="K575" s="86"/>
      <c r="L575" s="86"/>
      <c r="M575" s="86"/>
      <c r="N575" s="86"/>
      <c r="O575" s="86"/>
      <c r="P575" s="87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  <c r="AF575" s="81"/>
      <c r="AG575" s="81"/>
      <c r="AH575" s="81"/>
      <c r="AI575" s="81"/>
      <c r="AJ575" s="81"/>
      <c r="AK575" s="81"/>
      <c r="AL575" s="81"/>
      <c r="AM575" s="81"/>
      <c r="AN575" s="81"/>
      <c r="AO575" s="81"/>
      <c r="AP575" s="81"/>
      <c r="AQ575" s="81"/>
      <c r="AR575" s="81"/>
    </row>
    <row r="576" spans="1:44" x14ac:dyDescent="0.4">
      <c r="A576" s="5" t="str">
        <f t="shared" si="47"/>
        <v>MO-SAN SIMON (MATURIN)</v>
      </c>
      <c r="B576" s="5" t="str">
        <f t="shared" si="48"/>
        <v>MO</v>
      </c>
      <c r="C576" s="83" t="s">
        <v>777</v>
      </c>
      <c r="D576" s="82" t="s">
        <v>1306</v>
      </c>
      <c r="E576" s="85">
        <v>1400</v>
      </c>
      <c r="F576" s="85"/>
      <c r="G576" s="86"/>
      <c r="H576" s="86"/>
      <c r="I576" s="86"/>
      <c r="J576" s="86"/>
      <c r="K576" s="86"/>
      <c r="L576" s="86"/>
      <c r="M576" s="86"/>
      <c r="N576" s="86"/>
      <c r="O576" s="86"/>
      <c r="P576" s="87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  <c r="AG576" s="81"/>
      <c r="AH576" s="81"/>
      <c r="AI576" s="81"/>
      <c r="AJ576" s="81"/>
      <c r="AK576" s="81"/>
      <c r="AL576" s="81"/>
      <c r="AM576" s="81"/>
      <c r="AN576" s="81"/>
      <c r="AO576" s="81"/>
      <c r="AP576" s="81"/>
      <c r="AQ576" s="81"/>
      <c r="AR576" s="81"/>
    </row>
    <row r="577" spans="1:44" x14ac:dyDescent="0.4">
      <c r="A577" s="5" t="str">
        <f t="shared" si="47"/>
        <v>MO-SAN VICENTE</v>
      </c>
      <c r="B577" s="5" t="str">
        <f t="shared" si="48"/>
        <v>MO</v>
      </c>
      <c r="C577" s="83" t="s">
        <v>777</v>
      </c>
      <c r="D577" s="82" t="s">
        <v>1307</v>
      </c>
      <c r="E577" s="85">
        <v>13</v>
      </c>
      <c r="F577" s="85"/>
      <c r="G577" s="86"/>
      <c r="H577" s="86"/>
      <c r="I577" s="86"/>
      <c r="J577" s="86"/>
      <c r="K577" s="86"/>
      <c r="L577" s="86"/>
      <c r="M577" s="86"/>
      <c r="N577" s="86"/>
      <c r="O577" s="86"/>
      <c r="P577" s="87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  <c r="AF577" s="81"/>
      <c r="AG577" s="81"/>
      <c r="AH577" s="81"/>
      <c r="AI577" s="81"/>
      <c r="AJ577" s="81"/>
      <c r="AK577" s="81"/>
      <c r="AL577" s="81"/>
      <c r="AM577" s="81"/>
      <c r="AN577" s="81"/>
      <c r="AO577" s="81"/>
      <c r="AP577" s="81"/>
      <c r="AQ577" s="81"/>
      <c r="AR577" s="81"/>
    </row>
    <row r="578" spans="1:44" x14ac:dyDescent="0.4">
      <c r="A578" s="5" t="str">
        <f t="shared" si="47"/>
        <v>MO-SANTA BARBARA</v>
      </c>
      <c r="B578" s="5" t="str">
        <f t="shared" si="48"/>
        <v>MO</v>
      </c>
      <c r="C578" s="83" t="s">
        <v>777</v>
      </c>
      <c r="D578" s="82" t="s">
        <v>927</v>
      </c>
      <c r="E578" s="85">
        <v>13</v>
      </c>
      <c r="F578" s="85"/>
      <c r="G578" s="86"/>
      <c r="H578" s="86"/>
      <c r="I578" s="86"/>
      <c r="J578" s="86"/>
      <c r="K578" s="86"/>
      <c r="L578" s="86"/>
      <c r="M578" s="86"/>
      <c r="N578" s="86"/>
      <c r="O578" s="86"/>
      <c r="P578" s="87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  <c r="AF578" s="81"/>
      <c r="AG578" s="81"/>
      <c r="AH578" s="81"/>
      <c r="AI578" s="81"/>
      <c r="AJ578" s="81"/>
      <c r="AK578" s="81"/>
      <c r="AL578" s="81"/>
      <c r="AM578" s="81"/>
      <c r="AN578" s="81"/>
      <c r="AO578" s="81"/>
      <c r="AP578" s="81"/>
      <c r="AQ578" s="81"/>
      <c r="AR578" s="81"/>
    </row>
    <row r="579" spans="1:44" x14ac:dyDescent="0.4">
      <c r="A579" s="5" t="str">
        <f t="shared" si="47"/>
        <v>MO-TABASCA</v>
      </c>
      <c r="B579" s="5" t="str">
        <f t="shared" si="48"/>
        <v>MO</v>
      </c>
      <c r="C579" s="83" t="s">
        <v>777</v>
      </c>
      <c r="D579" s="82" t="s">
        <v>1308</v>
      </c>
      <c r="E579" s="85">
        <v>7</v>
      </c>
      <c r="F579" s="85"/>
      <c r="G579" s="86"/>
      <c r="H579" s="86"/>
      <c r="I579" s="86"/>
      <c r="J579" s="86"/>
      <c r="K579" s="86"/>
      <c r="L579" s="86"/>
      <c r="M579" s="86"/>
      <c r="N579" s="86"/>
      <c r="O579" s="86"/>
      <c r="P579" s="87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  <c r="AG579" s="81"/>
      <c r="AH579" s="81"/>
      <c r="AI579" s="81"/>
      <c r="AJ579" s="81"/>
      <c r="AK579" s="81"/>
      <c r="AL579" s="81"/>
      <c r="AM579" s="81"/>
      <c r="AN579" s="81"/>
      <c r="AO579" s="81"/>
      <c r="AP579" s="81"/>
      <c r="AQ579" s="81"/>
      <c r="AR579" s="81"/>
    </row>
    <row r="580" spans="1:44" x14ac:dyDescent="0.4">
      <c r="A580" s="5" t="str">
        <f t="shared" si="47"/>
        <v>MO-TAGUAYA</v>
      </c>
      <c r="B580" s="5" t="str">
        <f t="shared" si="48"/>
        <v>MO</v>
      </c>
      <c r="C580" s="83" t="s">
        <v>777</v>
      </c>
      <c r="D580" s="82" t="s">
        <v>1309</v>
      </c>
      <c r="E580" s="85">
        <v>4</v>
      </c>
      <c r="F580" s="85"/>
      <c r="G580" s="86"/>
      <c r="H580" s="86"/>
      <c r="I580" s="86"/>
      <c r="J580" s="86"/>
      <c r="K580" s="86"/>
      <c r="L580" s="86"/>
      <c r="M580" s="86"/>
      <c r="N580" s="86"/>
      <c r="O580" s="86"/>
      <c r="P580" s="87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81"/>
      <c r="AH580" s="81"/>
      <c r="AI580" s="81"/>
      <c r="AJ580" s="81"/>
      <c r="AK580" s="81"/>
      <c r="AL580" s="81"/>
      <c r="AM580" s="81"/>
      <c r="AN580" s="81"/>
      <c r="AO580" s="81"/>
      <c r="AP580" s="81"/>
      <c r="AQ580" s="81"/>
      <c r="AR580" s="81"/>
    </row>
    <row r="581" spans="1:44" x14ac:dyDescent="0.4">
      <c r="A581" s="5" t="str">
        <f t="shared" si="47"/>
        <v>MO-URACOA</v>
      </c>
      <c r="B581" s="5" t="str">
        <f t="shared" si="48"/>
        <v>MO</v>
      </c>
      <c r="C581" s="83" t="s">
        <v>777</v>
      </c>
      <c r="D581" s="82" t="s">
        <v>1310</v>
      </c>
      <c r="E581" s="85">
        <v>15</v>
      </c>
      <c r="F581" s="85"/>
      <c r="G581" s="86"/>
      <c r="H581" s="86"/>
      <c r="I581" s="86"/>
      <c r="J581" s="86"/>
      <c r="K581" s="86"/>
      <c r="L581" s="86"/>
      <c r="M581" s="86"/>
      <c r="N581" s="86"/>
      <c r="O581" s="86"/>
      <c r="P581" s="87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81"/>
      <c r="AH581" s="81"/>
      <c r="AI581" s="81"/>
      <c r="AJ581" s="81"/>
      <c r="AK581" s="81"/>
      <c r="AL581" s="81"/>
      <c r="AM581" s="81"/>
      <c r="AN581" s="81"/>
      <c r="AO581" s="81"/>
      <c r="AP581" s="81"/>
      <c r="AQ581" s="81"/>
      <c r="AR581" s="81"/>
    </row>
    <row r="582" spans="1:44" x14ac:dyDescent="0.4">
      <c r="A582" s="5" t="str">
        <f t="shared" si="47"/>
        <v>MO-VIENTO FRESCO</v>
      </c>
      <c r="B582" s="5" t="str">
        <f t="shared" si="48"/>
        <v>MO</v>
      </c>
      <c r="C582" s="83" t="s">
        <v>777</v>
      </c>
      <c r="D582" s="82" t="s">
        <v>1311</v>
      </c>
      <c r="E582" s="85">
        <v>5</v>
      </c>
      <c r="F582" s="85"/>
      <c r="G582" s="86"/>
      <c r="H582" s="86"/>
      <c r="I582" s="86"/>
      <c r="J582" s="86"/>
      <c r="K582" s="86"/>
      <c r="L582" s="86"/>
      <c r="M582" s="86"/>
      <c r="N582" s="86"/>
      <c r="O582" s="86"/>
      <c r="P582" s="87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  <c r="AI582" s="81"/>
      <c r="AJ582" s="81"/>
      <c r="AK582" s="81"/>
      <c r="AL582" s="81"/>
      <c r="AM582" s="81"/>
      <c r="AN582" s="81"/>
      <c r="AO582" s="81"/>
      <c r="AP582" s="81"/>
      <c r="AQ582" s="81"/>
      <c r="AR582" s="81"/>
    </row>
    <row r="583" spans="1:44" x14ac:dyDescent="0.4">
      <c r="A583" s="5" t="str">
        <f t="shared" si="47"/>
        <v>NU-ADRIAN</v>
      </c>
      <c r="B583" s="5" t="str">
        <f t="shared" si="48"/>
        <v>NU</v>
      </c>
      <c r="C583" s="83" t="s">
        <v>778</v>
      </c>
      <c r="D583" s="82" t="s">
        <v>1312</v>
      </c>
      <c r="E583" s="85">
        <v>20</v>
      </c>
      <c r="F583" s="85"/>
      <c r="G583" s="86"/>
      <c r="H583" s="86"/>
      <c r="I583" s="86"/>
      <c r="J583" s="86"/>
      <c r="K583" s="86"/>
      <c r="L583" s="86"/>
      <c r="M583" s="86"/>
      <c r="N583" s="86"/>
      <c r="O583" s="86"/>
      <c r="P583" s="87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  <c r="AI583" s="81"/>
      <c r="AJ583" s="81"/>
      <c r="AK583" s="81"/>
      <c r="AL583" s="81"/>
      <c r="AM583" s="81"/>
      <c r="AN583" s="81"/>
      <c r="AO583" s="81"/>
      <c r="AP583" s="81"/>
      <c r="AQ583" s="81"/>
      <c r="AR583" s="81"/>
    </row>
    <row r="584" spans="1:44" x14ac:dyDescent="0.4">
      <c r="A584" s="5" t="str">
        <f t="shared" si="47"/>
        <v>NU-AGUIRRE</v>
      </c>
      <c r="B584" s="5" t="str">
        <f t="shared" si="48"/>
        <v>NU</v>
      </c>
      <c r="C584" s="83" t="s">
        <v>778</v>
      </c>
      <c r="D584" s="82" t="s">
        <v>1313</v>
      </c>
      <c r="E584" s="85">
        <v>35</v>
      </c>
      <c r="F584" s="85"/>
      <c r="G584" s="86"/>
      <c r="H584" s="86"/>
      <c r="I584" s="86"/>
      <c r="J584" s="86"/>
      <c r="K584" s="86"/>
      <c r="L584" s="86"/>
      <c r="M584" s="86"/>
      <c r="N584" s="86"/>
      <c r="O584" s="86"/>
      <c r="P584" s="87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1"/>
      <c r="AI584" s="81"/>
      <c r="AJ584" s="81"/>
      <c r="AK584" s="81"/>
      <c r="AL584" s="81"/>
      <c r="AM584" s="81"/>
      <c r="AN584" s="81"/>
      <c r="AO584" s="81"/>
      <c r="AP584" s="81"/>
      <c r="AQ584" s="81"/>
      <c r="AR584" s="81"/>
    </row>
    <row r="585" spans="1:44" x14ac:dyDescent="0.4">
      <c r="A585" s="5" t="str">
        <f t="shared" si="47"/>
        <v>NU-ANTALIA DEL CAMPO</v>
      </c>
      <c r="B585" s="5" t="str">
        <f t="shared" si="48"/>
        <v>NU</v>
      </c>
      <c r="C585" s="83" t="s">
        <v>778</v>
      </c>
      <c r="D585" s="82" t="s">
        <v>1314</v>
      </c>
      <c r="E585" s="85">
        <v>41</v>
      </c>
      <c r="F585" s="85"/>
      <c r="G585" s="86"/>
      <c r="H585" s="86"/>
      <c r="I585" s="86"/>
      <c r="J585" s="86"/>
      <c r="K585" s="86"/>
      <c r="L585" s="86"/>
      <c r="M585" s="86"/>
      <c r="N585" s="86"/>
      <c r="O585" s="86"/>
      <c r="P585" s="87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  <c r="AI585" s="81"/>
      <c r="AJ585" s="81"/>
      <c r="AK585" s="81"/>
      <c r="AL585" s="81"/>
      <c r="AM585" s="81"/>
      <c r="AN585" s="81"/>
      <c r="AO585" s="81"/>
      <c r="AP585" s="81"/>
      <c r="AQ585" s="81"/>
      <c r="AR585" s="81"/>
    </row>
    <row r="586" spans="1:44" x14ac:dyDescent="0.4">
      <c r="A586" s="5" t="str">
        <f t="shared" si="47"/>
        <v>NU-DIAZ</v>
      </c>
      <c r="B586" s="5" t="str">
        <f t="shared" si="48"/>
        <v>NU</v>
      </c>
      <c r="C586" s="83" t="s">
        <v>778</v>
      </c>
      <c r="D586" s="82" t="s">
        <v>1315</v>
      </c>
      <c r="E586" s="85">
        <v>46</v>
      </c>
      <c r="F586" s="85"/>
      <c r="G586" s="86"/>
      <c r="H586" s="86"/>
      <c r="I586" s="86"/>
      <c r="J586" s="86"/>
      <c r="K586" s="86"/>
      <c r="L586" s="86"/>
      <c r="M586" s="86"/>
      <c r="N586" s="86"/>
      <c r="O586" s="86"/>
      <c r="P586" s="87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1"/>
      <c r="AI586" s="81"/>
      <c r="AJ586" s="81"/>
      <c r="AK586" s="81"/>
      <c r="AL586" s="81"/>
      <c r="AM586" s="81"/>
      <c r="AN586" s="81"/>
      <c r="AO586" s="81"/>
      <c r="AP586" s="81"/>
      <c r="AQ586" s="81"/>
      <c r="AR586" s="81"/>
    </row>
    <row r="587" spans="1:44" x14ac:dyDescent="0.4">
      <c r="A587" s="5" t="str">
        <f t="shared" si="47"/>
        <v>NU-GARCIA</v>
      </c>
      <c r="B587" s="5" t="str">
        <f t="shared" si="48"/>
        <v>NU</v>
      </c>
      <c r="C587" s="83" t="s">
        <v>778</v>
      </c>
      <c r="D587" s="82" t="s">
        <v>1316</v>
      </c>
      <c r="E587" s="85">
        <v>15</v>
      </c>
      <c r="F587" s="85"/>
      <c r="G587" s="86"/>
      <c r="H587" s="86"/>
      <c r="I587" s="86"/>
      <c r="J587" s="86"/>
      <c r="K587" s="86"/>
      <c r="L587" s="86"/>
      <c r="M587" s="86"/>
      <c r="N587" s="86"/>
      <c r="O587" s="86"/>
      <c r="P587" s="87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  <c r="AI587" s="81"/>
      <c r="AJ587" s="81"/>
      <c r="AK587" s="81"/>
      <c r="AL587" s="81"/>
      <c r="AM587" s="81"/>
      <c r="AN587" s="81"/>
      <c r="AO587" s="81"/>
      <c r="AP587" s="81"/>
      <c r="AQ587" s="81"/>
      <c r="AR587" s="81"/>
    </row>
    <row r="588" spans="1:44" x14ac:dyDescent="0.4">
      <c r="A588" s="5" t="str">
        <f t="shared" si="47"/>
        <v>NU-GOMEZ</v>
      </c>
      <c r="B588" s="5" t="str">
        <f t="shared" si="48"/>
        <v>NU</v>
      </c>
      <c r="C588" s="83" t="s">
        <v>778</v>
      </c>
      <c r="D588" s="82" t="s">
        <v>1317</v>
      </c>
      <c r="E588" s="85">
        <v>28</v>
      </c>
      <c r="F588" s="85"/>
      <c r="G588" s="86"/>
      <c r="H588" s="86"/>
      <c r="I588" s="86"/>
      <c r="J588" s="86"/>
      <c r="K588" s="86"/>
      <c r="L588" s="86"/>
      <c r="M588" s="86"/>
      <c r="N588" s="86"/>
      <c r="O588" s="86"/>
      <c r="P588" s="87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1"/>
      <c r="AI588" s="81"/>
      <c r="AJ588" s="81"/>
      <c r="AK588" s="81"/>
      <c r="AL588" s="81"/>
      <c r="AM588" s="81"/>
      <c r="AN588" s="81"/>
      <c r="AO588" s="81"/>
      <c r="AP588" s="81"/>
      <c r="AQ588" s="81"/>
      <c r="AR588" s="81"/>
    </row>
    <row r="589" spans="1:44" x14ac:dyDescent="0.4">
      <c r="A589" s="5" t="str">
        <f t="shared" si="47"/>
        <v>NU-GUEVARA</v>
      </c>
      <c r="B589" s="5" t="str">
        <f t="shared" si="48"/>
        <v>NU</v>
      </c>
      <c r="C589" s="83" t="s">
        <v>778</v>
      </c>
      <c r="D589" s="82" t="s">
        <v>1318</v>
      </c>
      <c r="E589" s="85">
        <v>19</v>
      </c>
      <c r="F589" s="85"/>
      <c r="G589" s="86"/>
      <c r="H589" s="86"/>
      <c r="I589" s="86"/>
      <c r="J589" s="86"/>
      <c r="K589" s="86"/>
      <c r="L589" s="86"/>
      <c r="M589" s="86"/>
      <c r="N589" s="86"/>
      <c r="O589" s="86"/>
      <c r="P589" s="87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1"/>
      <c r="AI589" s="81"/>
      <c r="AJ589" s="81"/>
      <c r="AK589" s="81"/>
      <c r="AL589" s="81"/>
      <c r="AM589" s="81"/>
      <c r="AN589" s="81"/>
      <c r="AO589" s="81"/>
      <c r="AP589" s="81"/>
      <c r="AQ589" s="81"/>
      <c r="AR589" s="81"/>
    </row>
    <row r="590" spans="1:44" x14ac:dyDescent="0.4">
      <c r="A590" s="5" t="str">
        <f t="shared" si="47"/>
        <v>NU-LOS BARALES</v>
      </c>
      <c r="B590" s="5" t="str">
        <f t="shared" si="48"/>
        <v>NU</v>
      </c>
      <c r="C590" s="83" t="s">
        <v>778</v>
      </c>
      <c r="D590" s="82" t="s">
        <v>1319</v>
      </c>
      <c r="E590" s="85">
        <v>14</v>
      </c>
      <c r="F590" s="85"/>
      <c r="G590" s="86"/>
      <c r="H590" s="86"/>
      <c r="I590" s="86"/>
      <c r="J590" s="86"/>
      <c r="K590" s="86"/>
      <c r="L590" s="86"/>
      <c r="M590" s="86"/>
      <c r="N590" s="86"/>
      <c r="O590" s="86"/>
      <c r="P590" s="87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1"/>
      <c r="AI590" s="81"/>
      <c r="AJ590" s="81"/>
      <c r="AK590" s="81"/>
      <c r="AL590" s="81"/>
      <c r="AM590" s="81"/>
      <c r="AN590" s="81"/>
      <c r="AO590" s="81"/>
      <c r="AP590" s="81"/>
      <c r="AQ590" s="81"/>
      <c r="AR590" s="81"/>
    </row>
    <row r="591" spans="1:44" x14ac:dyDescent="0.4">
      <c r="A591" s="5" t="str">
        <f t="shared" si="47"/>
        <v>NU-LUISA CACERES DE ARISMENDI</v>
      </c>
      <c r="B591" s="5" t="str">
        <f t="shared" si="48"/>
        <v>NU</v>
      </c>
      <c r="C591" s="83" t="s">
        <v>778</v>
      </c>
      <c r="D591" s="82" t="s">
        <v>1320</v>
      </c>
      <c r="E591" s="85">
        <v>66</v>
      </c>
      <c r="F591" s="85"/>
      <c r="G591" s="86"/>
      <c r="H591" s="86"/>
      <c r="I591" s="86"/>
      <c r="J591" s="86"/>
      <c r="K591" s="86"/>
      <c r="L591" s="86"/>
      <c r="M591" s="86"/>
      <c r="N591" s="86"/>
      <c r="O591" s="86"/>
      <c r="P591" s="87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81"/>
      <c r="AH591" s="81"/>
      <c r="AI591" s="81"/>
      <c r="AJ591" s="81"/>
      <c r="AK591" s="81"/>
      <c r="AL591" s="81"/>
      <c r="AM591" s="81"/>
      <c r="AN591" s="81"/>
      <c r="AO591" s="81"/>
      <c r="AP591" s="81"/>
      <c r="AQ591" s="81"/>
      <c r="AR591" s="81"/>
    </row>
    <row r="592" spans="1:44" x14ac:dyDescent="0.4">
      <c r="A592" s="5" t="str">
        <f t="shared" si="47"/>
        <v>NU-MANEIRO</v>
      </c>
      <c r="B592" s="5" t="str">
        <f t="shared" si="48"/>
        <v>NU</v>
      </c>
      <c r="C592" s="83" t="s">
        <v>778</v>
      </c>
      <c r="D592" s="82" t="s">
        <v>1321</v>
      </c>
      <c r="E592" s="85">
        <v>49</v>
      </c>
      <c r="F592" s="85"/>
      <c r="G592" s="86"/>
      <c r="H592" s="86"/>
      <c r="I592" s="86"/>
      <c r="J592" s="86"/>
      <c r="K592" s="86"/>
      <c r="L592" s="86"/>
      <c r="M592" s="86"/>
      <c r="N592" s="86"/>
      <c r="O592" s="86"/>
      <c r="P592" s="87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81"/>
      <c r="AH592" s="81"/>
      <c r="AI592" s="81"/>
      <c r="AJ592" s="81"/>
      <c r="AK592" s="81"/>
      <c r="AL592" s="81"/>
      <c r="AM592" s="81"/>
      <c r="AN592" s="81"/>
      <c r="AO592" s="81"/>
      <c r="AP592" s="81"/>
      <c r="AQ592" s="81"/>
      <c r="AR592" s="81"/>
    </row>
    <row r="593" spans="1:44" x14ac:dyDescent="0.4">
      <c r="A593" s="5" t="str">
        <f t="shared" si="47"/>
        <v>NU-MARCANO</v>
      </c>
      <c r="B593" s="5" t="str">
        <f t="shared" si="48"/>
        <v>NU</v>
      </c>
      <c r="C593" s="83" t="s">
        <v>778</v>
      </c>
      <c r="D593" s="82" t="s">
        <v>1322</v>
      </c>
      <c r="E593" s="85">
        <v>73</v>
      </c>
      <c r="F593" s="85"/>
      <c r="G593" s="86"/>
      <c r="H593" s="86"/>
      <c r="I593" s="86"/>
      <c r="J593" s="86"/>
      <c r="K593" s="86"/>
      <c r="L593" s="86"/>
      <c r="M593" s="86"/>
      <c r="N593" s="86"/>
      <c r="O593" s="86"/>
      <c r="P593" s="87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81"/>
      <c r="AH593" s="81"/>
      <c r="AI593" s="81"/>
      <c r="AJ593" s="81"/>
      <c r="AK593" s="81"/>
      <c r="AL593" s="81"/>
      <c r="AM593" s="81"/>
      <c r="AN593" s="81"/>
      <c r="AO593" s="81"/>
      <c r="AP593" s="81"/>
      <c r="AQ593" s="81"/>
      <c r="AR593" s="81"/>
    </row>
    <row r="594" spans="1:44" x14ac:dyDescent="0.4">
      <c r="A594" s="5" t="str">
        <f t="shared" si="47"/>
        <v>NU-MARIÑO</v>
      </c>
      <c r="B594" s="5" t="str">
        <f t="shared" si="48"/>
        <v>NU</v>
      </c>
      <c r="C594" s="83" t="s">
        <v>778</v>
      </c>
      <c r="D594" s="82" t="s">
        <v>1323</v>
      </c>
      <c r="E594" s="85">
        <v>882</v>
      </c>
      <c r="F594" s="85"/>
      <c r="G594" s="86"/>
      <c r="H594" s="86"/>
      <c r="I594" s="86"/>
      <c r="J594" s="86"/>
      <c r="K594" s="86"/>
      <c r="L594" s="86"/>
      <c r="M594" s="86"/>
      <c r="N594" s="86"/>
      <c r="O594" s="86"/>
      <c r="P594" s="87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81"/>
      <c r="AH594" s="81"/>
      <c r="AI594" s="81"/>
      <c r="AJ594" s="81"/>
      <c r="AK594" s="81"/>
      <c r="AL594" s="81"/>
      <c r="AM594" s="81"/>
      <c r="AN594" s="81"/>
      <c r="AO594" s="81"/>
      <c r="AP594" s="81"/>
      <c r="AQ594" s="81"/>
      <c r="AR594" s="81"/>
    </row>
    <row r="595" spans="1:44" x14ac:dyDescent="0.4">
      <c r="A595" s="5" t="str">
        <f t="shared" si="47"/>
        <v>NU-MATASIETE</v>
      </c>
      <c r="B595" s="5" t="str">
        <f t="shared" si="48"/>
        <v>NU</v>
      </c>
      <c r="C595" s="83" t="s">
        <v>778</v>
      </c>
      <c r="D595" s="82" t="s">
        <v>1324</v>
      </c>
      <c r="E595" s="85">
        <v>8</v>
      </c>
      <c r="F595" s="85"/>
      <c r="G595" s="86"/>
      <c r="H595" s="86"/>
      <c r="I595" s="86"/>
      <c r="J595" s="86"/>
      <c r="K595" s="86"/>
      <c r="L595" s="86"/>
      <c r="M595" s="86"/>
      <c r="N595" s="86"/>
      <c r="O595" s="86"/>
      <c r="P595" s="87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  <c r="AF595" s="81"/>
      <c r="AG595" s="81"/>
      <c r="AH595" s="81"/>
      <c r="AI595" s="81"/>
      <c r="AJ595" s="81"/>
      <c r="AK595" s="81"/>
      <c r="AL595" s="81"/>
      <c r="AM595" s="81"/>
      <c r="AN595" s="81"/>
      <c r="AO595" s="81"/>
      <c r="AP595" s="81"/>
      <c r="AQ595" s="81"/>
      <c r="AR595" s="81"/>
    </row>
    <row r="596" spans="1:44" x14ac:dyDescent="0.4">
      <c r="A596" s="5" t="str">
        <f t="shared" si="47"/>
        <v>NU-PENINSULA MARCANO</v>
      </c>
      <c r="B596" s="5" t="str">
        <f t="shared" si="48"/>
        <v>NU</v>
      </c>
      <c r="C596" s="83" t="s">
        <v>778</v>
      </c>
      <c r="D596" s="82" t="s">
        <v>1325</v>
      </c>
      <c r="E596" s="85">
        <v>25</v>
      </c>
      <c r="F596" s="85"/>
      <c r="G596" s="86"/>
      <c r="H596" s="86"/>
      <c r="I596" s="86"/>
      <c r="J596" s="86"/>
      <c r="K596" s="86"/>
      <c r="L596" s="86"/>
      <c r="M596" s="86"/>
      <c r="N596" s="86"/>
      <c r="O596" s="86"/>
      <c r="P596" s="87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  <c r="AF596" s="81"/>
      <c r="AG596" s="81"/>
      <c r="AH596" s="81"/>
      <c r="AI596" s="81"/>
      <c r="AJ596" s="81"/>
      <c r="AK596" s="81"/>
      <c r="AL596" s="81"/>
      <c r="AM596" s="81"/>
      <c r="AN596" s="81"/>
      <c r="AO596" s="81"/>
      <c r="AP596" s="81"/>
      <c r="AQ596" s="81"/>
      <c r="AR596" s="81"/>
    </row>
    <row r="597" spans="1:44" x14ac:dyDescent="0.4">
      <c r="A597" s="5" t="str">
        <f t="shared" si="47"/>
        <v>NU-SAN FRANCISCO</v>
      </c>
      <c r="B597" s="5" t="str">
        <f t="shared" si="48"/>
        <v>NU</v>
      </c>
      <c r="C597" s="83" t="s">
        <v>778</v>
      </c>
      <c r="D597" s="82" t="s">
        <v>1073</v>
      </c>
      <c r="E597" s="85">
        <v>22</v>
      </c>
      <c r="F597" s="85"/>
      <c r="G597" s="86"/>
      <c r="H597" s="86"/>
      <c r="I597" s="86"/>
      <c r="J597" s="86"/>
      <c r="K597" s="86"/>
      <c r="L597" s="86"/>
      <c r="M597" s="86"/>
      <c r="N597" s="86"/>
      <c r="O597" s="86"/>
      <c r="P597" s="87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  <c r="AF597" s="81"/>
      <c r="AG597" s="81"/>
      <c r="AH597" s="81"/>
      <c r="AI597" s="81"/>
      <c r="AJ597" s="81"/>
      <c r="AK597" s="81"/>
      <c r="AL597" s="81"/>
      <c r="AM597" s="81"/>
      <c r="AN597" s="81"/>
      <c r="AO597" s="81"/>
      <c r="AP597" s="81"/>
      <c r="AQ597" s="81"/>
      <c r="AR597" s="81"/>
    </row>
    <row r="598" spans="1:44" x14ac:dyDescent="0.4">
      <c r="A598" s="5" t="str">
        <f t="shared" si="47"/>
        <v>NU-SAN FRANCISCO FAJARDO</v>
      </c>
      <c r="B598" s="5" t="str">
        <f t="shared" si="48"/>
        <v>NU</v>
      </c>
      <c r="C598" s="83" t="s">
        <v>778</v>
      </c>
      <c r="D598" s="82" t="s">
        <v>1326</v>
      </c>
      <c r="E598" s="85">
        <v>29</v>
      </c>
      <c r="F598" s="85"/>
      <c r="G598" s="86"/>
      <c r="H598" s="86"/>
      <c r="I598" s="86"/>
      <c r="J598" s="86"/>
      <c r="K598" s="86"/>
      <c r="L598" s="86"/>
      <c r="M598" s="86"/>
      <c r="N598" s="86"/>
      <c r="O598" s="86"/>
      <c r="P598" s="87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  <c r="AF598" s="81"/>
      <c r="AG598" s="81"/>
      <c r="AH598" s="81"/>
      <c r="AI598" s="81"/>
      <c r="AJ598" s="81"/>
      <c r="AK598" s="81"/>
      <c r="AL598" s="81"/>
      <c r="AM598" s="81"/>
      <c r="AN598" s="81"/>
      <c r="AO598" s="81"/>
      <c r="AP598" s="81"/>
      <c r="AQ598" s="81"/>
      <c r="AR598" s="81"/>
    </row>
    <row r="599" spans="1:44" x14ac:dyDescent="0.4">
      <c r="A599" s="5" t="str">
        <f t="shared" si="47"/>
        <v>NU-SIMON BOLIVAR</v>
      </c>
      <c r="B599" s="5" t="str">
        <f t="shared" si="48"/>
        <v>NU</v>
      </c>
      <c r="C599" s="83" t="s">
        <v>778</v>
      </c>
      <c r="D599" s="82" t="s">
        <v>982</v>
      </c>
      <c r="E599" s="85">
        <v>11</v>
      </c>
      <c r="F599" s="85"/>
      <c r="G599" s="86"/>
      <c r="H599" s="86"/>
      <c r="I599" s="86"/>
      <c r="J599" s="86"/>
      <c r="K599" s="86"/>
      <c r="L599" s="86"/>
      <c r="M599" s="86"/>
      <c r="N599" s="86"/>
      <c r="O599" s="86"/>
      <c r="P599" s="87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  <c r="AF599" s="81"/>
      <c r="AG599" s="81"/>
      <c r="AH599" s="81"/>
      <c r="AI599" s="81"/>
      <c r="AJ599" s="81"/>
      <c r="AK599" s="81"/>
      <c r="AL599" s="81"/>
      <c r="AM599" s="81"/>
      <c r="AN599" s="81"/>
      <c r="AO599" s="81"/>
      <c r="AP599" s="81"/>
      <c r="AQ599" s="81"/>
      <c r="AR599" s="81"/>
    </row>
    <row r="600" spans="1:44" x14ac:dyDescent="0.4">
      <c r="A600" s="5" t="str">
        <f t="shared" si="47"/>
        <v>NU-SUCRE</v>
      </c>
      <c r="B600" s="5" t="str">
        <f t="shared" si="48"/>
        <v>NU</v>
      </c>
      <c r="C600" s="83" t="s">
        <v>778</v>
      </c>
      <c r="D600" s="82" t="s">
        <v>829</v>
      </c>
      <c r="E600" s="85">
        <v>14</v>
      </c>
      <c r="F600" s="85"/>
      <c r="G600" s="86"/>
      <c r="H600" s="86"/>
      <c r="I600" s="86"/>
      <c r="J600" s="86"/>
      <c r="K600" s="86"/>
      <c r="L600" s="86"/>
      <c r="M600" s="86"/>
      <c r="N600" s="86"/>
      <c r="O600" s="86"/>
      <c r="P600" s="87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  <c r="AF600" s="81"/>
      <c r="AG600" s="81"/>
      <c r="AH600" s="81"/>
      <c r="AI600" s="81"/>
      <c r="AJ600" s="81"/>
      <c r="AK600" s="81"/>
      <c r="AL600" s="81"/>
      <c r="AM600" s="81"/>
      <c r="AN600" s="81"/>
      <c r="AO600" s="81"/>
      <c r="AP600" s="81"/>
      <c r="AQ600" s="81"/>
      <c r="AR600" s="81"/>
    </row>
    <row r="601" spans="1:44" x14ac:dyDescent="0.4">
      <c r="A601" s="5" t="str">
        <f t="shared" si="47"/>
        <v>NU-TUBARES</v>
      </c>
      <c r="B601" s="5" t="str">
        <f t="shared" si="48"/>
        <v>NU</v>
      </c>
      <c r="C601" s="83" t="s">
        <v>778</v>
      </c>
      <c r="D601" s="82" t="s">
        <v>1327</v>
      </c>
      <c r="E601" s="85">
        <v>43</v>
      </c>
      <c r="F601" s="85"/>
      <c r="G601" s="86"/>
      <c r="H601" s="86"/>
      <c r="I601" s="86"/>
      <c r="J601" s="86"/>
      <c r="K601" s="86"/>
      <c r="L601" s="86"/>
      <c r="M601" s="86"/>
      <c r="N601" s="86"/>
      <c r="O601" s="86"/>
      <c r="P601" s="87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  <c r="AF601" s="81"/>
      <c r="AG601" s="81"/>
      <c r="AH601" s="81"/>
      <c r="AI601" s="81"/>
      <c r="AJ601" s="81"/>
      <c r="AK601" s="81"/>
      <c r="AL601" s="81"/>
      <c r="AM601" s="81"/>
      <c r="AN601" s="81"/>
      <c r="AO601" s="81"/>
      <c r="AP601" s="81"/>
      <c r="AQ601" s="81"/>
      <c r="AR601" s="81"/>
    </row>
    <row r="602" spans="1:44" x14ac:dyDescent="0.4">
      <c r="A602" s="5" t="str">
        <f t="shared" si="47"/>
        <v>NU-VICENTE FUENTES</v>
      </c>
      <c r="B602" s="5" t="str">
        <f t="shared" si="48"/>
        <v>NU</v>
      </c>
      <c r="C602" s="83" t="s">
        <v>778</v>
      </c>
      <c r="D602" s="82" t="s">
        <v>1328</v>
      </c>
      <c r="E602" s="85">
        <v>6</v>
      </c>
      <c r="F602" s="85"/>
      <c r="G602" s="86"/>
      <c r="H602" s="86"/>
      <c r="I602" s="86"/>
      <c r="J602" s="86"/>
      <c r="K602" s="86"/>
      <c r="L602" s="86"/>
      <c r="M602" s="86"/>
      <c r="N602" s="86"/>
      <c r="O602" s="86"/>
      <c r="P602" s="87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  <c r="AF602" s="81"/>
      <c r="AG602" s="81"/>
      <c r="AH602" s="81"/>
      <c r="AI602" s="81"/>
      <c r="AJ602" s="81"/>
      <c r="AK602" s="81"/>
      <c r="AL602" s="81"/>
      <c r="AM602" s="81"/>
      <c r="AN602" s="81"/>
      <c r="AO602" s="81"/>
      <c r="AP602" s="81"/>
      <c r="AQ602" s="81"/>
      <c r="AR602" s="81"/>
    </row>
    <row r="603" spans="1:44" x14ac:dyDescent="0.4">
      <c r="A603" s="5" t="str">
        <f t="shared" si="47"/>
        <v>NU-VILLALBA</v>
      </c>
      <c r="B603" s="5" t="str">
        <f t="shared" si="48"/>
        <v>NU</v>
      </c>
      <c r="C603" s="83" t="s">
        <v>778</v>
      </c>
      <c r="D603" s="82" t="s">
        <v>1329</v>
      </c>
      <c r="E603" s="85">
        <v>13</v>
      </c>
      <c r="F603" s="85"/>
      <c r="G603" s="86"/>
      <c r="H603" s="86"/>
      <c r="I603" s="86"/>
      <c r="J603" s="86"/>
      <c r="K603" s="86"/>
      <c r="L603" s="86"/>
      <c r="M603" s="86"/>
      <c r="N603" s="86"/>
      <c r="O603" s="86"/>
      <c r="P603" s="87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  <c r="AF603" s="81"/>
      <c r="AG603" s="81"/>
      <c r="AH603" s="81"/>
      <c r="AI603" s="81"/>
      <c r="AJ603" s="81"/>
      <c r="AK603" s="81"/>
      <c r="AL603" s="81"/>
      <c r="AM603" s="81"/>
      <c r="AN603" s="81"/>
      <c r="AO603" s="81"/>
      <c r="AP603" s="81"/>
      <c r="AQ603" s="81"/>
      <c r="AR603" s="81"/>
    </row>
    <row r="604" spans="1:44" x14ac:dyDescent="0.4">
      <c r="A604" s="5" t="str">
        <f t="shared" si="47"/>
        <v>NU-ZABALA</v>
      </c>
      <c r="B604" s="5" t="str">
        <f t="shared" si="48"/>
        <v>NU</v>
      </c>
      <c r="C604" s="83" t="s">
        <v>778</v>
      </c>
      <c r="D604" s="82" t="s">
        <v>1330</v>
      </c>
      <c r="E604" s="85">
        <v>21</v>
      </c>
      <c r="F604" s="85"/>
      <c r="G604" s="86"/>
      <c r="H604" s="86"/>
      <c r="I604" s="86"/>
      <c r="J604" s="86"/>
      <c r="K604" s="86"/>
      <c r="L604" s="86"/>
      <c r="M604" s="86"/>
      <c r="N604" s="86"/>
      <c r="O604" s="86"/>
      <c r="P604" s="87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  <c r="AF604" s="81"/>
      <c r="AG604" s="81"/>
      <c r="AH604" s="81"/>
      <c r="AI604" s="81"/>
      <c r="AJ604" s="81"/>
      <c r="AK604" s="81"/>
      <c r="AL604" s="81"/>
      <c r="AM604" s="81"/>
      <c r="AN604" s="81"/>
      <c r="AO604" s="81"/>
      <c r="AP604" s="81"/>
      <c r="AQ604" s="81"/>
      <c r="AR604" s="81"/>
    </row>
    <row r="605" spans="1:44" x14ac:dyDescent="0.4">
      <c r="A605" s="5" t="str">
        <f t="shared" si="47"/>
        <v>PO-ACARIGUA (PAEZ)</v>
      </c>
      <c r="B605" s="5" t="str">
        <f t="shared" si="48"/>
        <v>PO</v>
      </c>
      <c r="C605" s="83" t="s">
        <v>779</v>
      </c>
      <c r="D605" s="82" t="s">
        <v>1331</v>
      </c>
      <c r="E605" s="85">
        <v>340</v>
      </c>
      <c r="F605" s="85"/>
      <c r="G605" s="86"/>
      <c r="H605" s="86"/>
      <c r="I605" s="86"/>
      <c r="J605" s="86"/>
      <c r="K605" s="86"/>
      <c r="L605" s="86"/>
      <c r="M605" s="86"/>
      <c r="N605" s="86"/>
      <c r="O605" s="86"/>
      <c r="P605" s="87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  <c r="AF605" s="81"/>
      <c r="AG605" s="81"/>
      <c r="AH605" s="81"/>
      <c r="AI605" s="81"/>
      <c r="AJ605" s="81"/>
      <c r="AK605" s="81"/>
      <c r="AL605" s="81"/>
      <c r="AM605" s="81"/>
      <c r="AN605" s="81"/>
      <c r="AO605" s="81"/>
      <c r="AP605" s="81"/>
      <c r="AQ605" s="81"/>
      <c r="AR605" s="81"/>
    </row>
    <row r="606" spans="1:44" x14ac:dyDescent="0.4">
      <c r="A606" s="5" t="str">
        <f t="shared" si="47"/>
        <v>PO-AGUA BLANCA</v>
      </c>
      <c r="B606" s="5" t="str">
        <f t="shared" si="48"/>
        <v>PO</v>
      </c>
      <c r="C606" s="83" t="s">
        <v>779</v>
      </c>
      <c r="D606" s="82" t="s">
        <v>1332</v>
      </c>
      <c r="E606" s="85">
        <v>49</v>
      </c>
      <c r="F606" s="85"/>
      <c r="G606" s="86"/>
      <c r="H606" s="86"/>
      <c r="I606" s="86"/>
      <c r="J606" s="86"/>
      <c r="K606" s="86"/>
      <c r="L606" s="86"/>
      <c r="M606" s="86"/>
      <c r="N606" s="86"/>
      <c r="O606" s="86"/>
      <c r="P606" s="87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  <c r="AF606" s="81"/>
      <c r="AG606" s="81"/>
      <c r="AH606" s="81"/>
      <c r="AI606" s="81"/>
      <c r="AJ606" s="81"/>
      <c r="AK606" s="81"/>
      <c r="AL606" s="81"/>
      <c r="AM606" s="81"/>
      <c r="AN606" s="81"/>
      <c r="AO606" s="81"/>
      <c r="AP606" s="81"/>
      <c r="AQ606" s="81"/>
      <c r="AR606" s="81"/>
    </row>
    <row r="607" spans="1:44" x14ac:dyDescent="0.4">
      <c r="A607" s="5" t="str">
        <f t="shared" si="47"/>
        <v>PO-ANTOLIN TOVAR</v>
      </c>
      <c r="B607" s="5" t="str">
        <f t="shared" si="48"/>
        <v>PO</v>
      </c>
      <c r="C607" s="83" t="s">
        <v>779</v>
      </c>
      <c r="D607" s="82" t="s">
        <v>1333</v>
      </c>
      <c r="E607" s="85">
        <v>12</v>
      </c>
      <c r="F607" s="85"/>
      <c r="G607" s="86"/>
      <c r="H607" s="86"/>
      <c r="I607" s="86"/>
      <c r="J607" s="86"/>
      <c r="K607" s="86"/>
      <c r="L607" s="86"/>
      <c r="M607" s="86"/>
      <c r="N607" s="86"/>
      <c r="O607" s="86"/>
      <c r="P607" s="87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  <c r="AG607" s="81"/>
      <c r="AH607" s="81"/>
      <c r="AI607" s="81"/>
      <c r="AJ607" s="81"/>
      <c r="AK607" s="81"/>
      <c r="AL607" s="81"/>
      <c r="AM607" s="81"/>
      <c r="AN607" s="81"/>
      <c r="AO607" s="81"/>
      <c r="AP607" s="81"/>
      <c r="AQ607" s="81"/>
      <c r="AR607" s="81"/>
    </row>
    <row r="608" spans="1:44" x14ac:dyDescent="0.4">
      <c r="A608" s="5" t="str">
        <f t="shared" si="47"/>
        <v>PO-APARICION</v>
      </c>
      <c r="B608" s="5" t="str">
        <f t="shared" si="48"/>
        <v>PO</v>
      </c>
      <c r="C608" s="83" t="s">
        <v>779</v>
      </c>
      <c r="D608" s="82" t="s">
        <v>1334</v>
      </c>
      <c r="E608" s="85">
        <v>22</v>
      </c>
      <c r="F608" s="85"/>
      <c r="G608" s="86"/>
      <c r="H608" s="86"/>
      <c r="I608" s="86"/>
      <c r="J608" s="86"/>
      <c r="K608" s="86"/>
      <c r="L608" s="86"/>
      <c r="M608" s="86"/>
      <c r="N608" s="86"/>
      <c r="O608" s="86"/>
      <c r="P608" s="87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81"/>
      <c r="AH608" s="81"/>
      <c r="AI608" s="81"/>
      <c r="AJ608" s="81"/>
      <c r="AK608" s="81"/>
      <c r="AL608" s="81"/>
      <c r="AM608" s="81"/>
      <c r="AN608" s="81"/>
      <c r="AO608" s="81"/>
      <c r="AP608" s="81"/>
      <c r="AQ608" s="81"/>
      <c r="AR608" s="81"/>
    </row>
    <row r="609" spans="1:44" x14ac:dyDescent="0.4">
      <c r="A609" s="5" t="str">
        <f t="shared" si="47"/>
        <v>PO-ARAURE</v>
      </c>
      <c r="B609" s="5" t="str">
        <f t="shared" si="48"/>
        <v>PO</v>
      </c>
      <c r="C609" s="83" t="s">
        <v>779</v>
      </c>
      <c r="D609" s="82" t="s">
        <v>1335</v>
      </c>
      <c r="E609" s="85">
        <v>961</v>
      </c>
      <c r="F609" s="85"/>
      <c r="G609" s="86"/>
      <c r="H609" s="86"/>
      <c r="I609" s="86"/>
      <c r="J609" s="86"/>
      <c r="K609" s="86"/>
      <c r="L609" s="86"/>
      <c r="M609" s="86"/>
      <c r="N609" s="86"/>
      <c r="O609" s="86"/>
      <c r="P609" s="87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  <c r="AG609" s="81"/>
      <c r="AH609" s="81"/>
      <c r="AI609" s="81"/>
      <c r="AJ609" s="81"/>
      <c r="AK609" s="81"/>
      <c r="AL609" s="81"/>
      <c r="AM609" s="81"/>
      <c r="AN609" s="81"/>
      <c r="AO609" s="81"/>
      <c r="AP609" s="81"/>
      <c r="AQ609" s="81"/>
      <c r="AR609" s="81"/>
    </row>
    <row r="610" spans="1:44" x14ac:dyDescent="0.4">
      <c r="A610" s="5" t="str">
        <f t="shared" si="47"/>
        <v>PO-BISCUCUY</v>
      </c>
      <c r="B610" s="5" t="str">
        <f t="shared" si="48"/>
        <v>PO</v>
      </c>
      <c r="C610" s="83" t="s">
        <v>779</v>
      </c>
      <c r="D610" s="82" t="s">
        <v>1336</v>
      </c>
      <c r="E610" s="85">
        <v>92</v>
      </c>
      <c r="F610" s="85"/>
      <c r="G610" s="86"/>
      <c r="H610" s="86"/>
      <c r="I610" s="86"/>
      <c r="J610" s="86"/>
      <c r="K610" s="86"/>
      <c r="L610" s="86"/>
      <c r="M610" s="86"/>
      <c r="N610" s="86"/>
      <c r="O610" s="86"/>
      <c r="P610" s="87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  <c r="AF610" s="81"/>
      <c r="AG610" s="81"/>
      <c r="AH610" s="81"/>
      <c r="AI610" s="81"/>
      <c r="AJ610" s="81"/>
      <c r="AK610" s="81"/>
      <c r="AL610" s="81"/>
      <c r="AM610" s="81"/>
      <c r="AN610" s="81"/>
      <c r="AO610" s="81"/>
      <c r="AP610" s="81"/>
      <c r="AQ610" s="81"/>
      <c r="AR610" s="81"/>
    </row>
    <row r="611" spans="1:44" x14ac:dyDescent="0.4">
      <c r="A611" s="5" t="str">
        <f t="shared" si="47"/>
        <v>PO-CANELONES</v>
      </c>
      <c r="B611" s="5" t="str">
        <f t="shared" si="48"/>
        <v>PO</v>
      </c>
      <c r="C611" s="83" t="s">
        <v>779</v>
      </c>
      <c r="D611" s="82" t="s">
        <v>1337</v>
      </c>
      <c r="E611" s="85">
        <v>14</v>
      </c>
      <c r="F611" s="85"/>
      <c r="G611" s="86"/>
      <c r="H611" s="86"/>
      <c r="I611" s="86"/>
      <c r="J611" s="86"/>
      <c r="K611" s="86"/>
      <c r="L611" s="86"/>
      <c r="M611" s="86"/>
      <c r="N611" s="86"/>
      <c r="O611" s="86"/>
      <c r="P611" s="87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81"/>
      <c r="AH611" s="81"/>
      <c r="AI611" s="81"/>
      <c r="AJ611" s="81"/>
      <c r="AK611" s="81"/>
      <c r="AL611" s="81"/>
      <c r="AM611" s="81"/>
      <c r="AN611" s="81"/>
      <c r="AO611" s="81"/>
      <c r="AP611" s="81"/>
      <c r="AQ611" s="81"/>
      <c r="AR611" s="81"/>
    </row>
    <row r="612" spans="1:44" x14ac:dyDescent="0.4">
      <c r="A612" s="5" t="str">
        <f t="shared" si="47"/>
        <v>PO-CAÑO DELGADITO</v>
      </c>
      <c r="B612" s="5" t="str">
        <f t="shared" si="48"/>
        <v>PO</v>
      </c>
      <c r="C612" s="83" t="s">
        <v>779</v>
      </c>
      <c r="D612" s="82" t="s">
        <v>1338</v>
      </c>
      <c r="E612" s="85">
        <v>1</v>
      </c>
      <c r="F612" s="85"/>
      <c r="G612" s="86"/>
      <c r="H612" s="86"/>
      <c r="I612" s="86"/>
      <c r="J612" s="86"/>
      <c r="K612" s="86"/>
      <c r="L612" s="86"/>
      <c r="M612" s="86"/>
      <c r="N612" s="86"/>
      <c r="O612" s="86"/>
      <c r="P612" s="87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/>
      <c r="AH612" s="81"/>
      <c r="AI612" s="81"/>
      <c r="AJ612" s="81"/>
      <c r="AK612" s="81"/>
      <c r="AL612" s="81"/>
      <c r="AM612" s="81"/>
      <c r="AN612" s="81"/>
      <c r="AO612" s="81"/>
      <c r="AP612" s="81"/>
      <c r="AQ612" s="81"/>
      <c r="AR612" s="81"/>
    </row>
    <row r="613" spans="1:44" x14ac:dyDescent="0.4">
      <c r="A613" s="5" t="str">
        <f t="shared" si="47"/>
        <v>PO-CONCEPCION</v>
      </c>
      <c r="B613" s="5" t="str">
        <f t="shared" si="48"/>
        <v>PO</v>
      </c>
      <c r="C613" s="83" t="s">
        <v>779</v>
      </c>
      <c r="D613" s="82" t="s">
        <v>1127</v>
      </c>
      <c r="E613" s="85">
        <v>4</v>
      </c>
      <c r="F613" s="85"/>
      <c r="G613" s="86"/>
      <c r="H613" s="86"/>
      <c r="I613" s="86"/>
      <c r="J613" s="86"/>
      <c r="K613" s="86"/>
      <c r="L613" s="86"/>
      <c r="M613" s="86"/>
      <c r="N613" s="86"/>
      <c r="O613" s="86"/>
      <c r="P613" s="87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81"/>
      <c r="AH613" s="81"/>
      <c r="AI613" s="81"/>
      <c r="AJ613" s="81"/>
      <c r="AK613" s="81"/>
      <c r="AL613" s="81"/>
      <c r="AM613" s="81"/>
      <c r="AN613" s="81"/>
      <c r="AO613" s="81"/>
      <c r="AP613" s="81"/>
      <c r="AQ613" s="81"/>
      <c r="AR613" s="81"/>
    </row>
    <row r="614" spans="1:44" x14ac:dyDescent="0.4">
      <c r="A614" s="5" t="str">
        <f t="shared" si="47"/>
        <v>PO-CORDOVA</v>
      </c>
      <c r="B614" s="5" t="str">
        <f t="shared" si="48"/>
        <v>PO</v>
      </c>
      <c r="C614" s="83" t="s">
        <v>779</v>
      </c>
      <c r="D614" s="82" t="s">
        <v>1339</v>
      </c>
      <c r="E614" s="85">
        <v>8</v>
      </c>
      <c r="F614" s="85"/>
      <c r="G614" s="86"/>
      <c r="H614" s="86"/>
      <c r="I614" s="86"/>
      <c r="J614" s="86"/>
      <c r="K614" s="86"/>
      <c r="L614" s="86"/>
      <c r="M614" s="86"/>
      <c r="N614" s="86"/>
      <c r="O614" s="86"/>
      <c r="P614" s="87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  <c r="AF614" s="81"/>
      <c r="AG614" s="81"/>
      <c r="AH614" s="81"/>
      <c r="AI614" s="81"/>
      <c r="AJ614" s="81"/>
      <c r="AK614" s="81"/>
      <c r="AL614" s="81"/>
      <c r="AM614" s="81"/>
      <c r="AN614" s="81"/>
      <c r="AO614" s="81"/>
      <c r="AP614" s="81"/>
      <c r="AQ614" s="81"/>
      <c r="AR614" s="81"/>
    </row>
    <row r="615" spans="1:44" x14ac:dyDescent="0.4">
      <c r="A615" s="5" t="str">
        <f t="shared" si="47"/>
        <v>PO-GUANARE</v>
      </c>
      <c r="B615" s="5" t="str">
        <f t="shared" si="48"/>
        <v>PO</v>
      </c>
      <c r="C615" s="83" t="s">
        <v>779</v>
      </c>
      <c r="D615" s="82" t="s">
        <v>1340</v>
      </c>
      <c r="E615" s="85">
        <v>551</v>
      </c>
      <c r="F615" s="85"/>
      <c r="G615" s="86"/>
      <c r="H615" s="86"/>
      <c r="I615" s="86"/>
      <c r="J615" s="86"/>
      <c r="K615" s="86"/>
      <c r="L615" s="86"/>
      <c r="M615" s="86"/>
      <c r="N615" s="86"/>
      <c r="O615" s="86"/>
      <c r="P615" s="87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  <c r="AE615" s="81"/>
      <c r="AF615" s="81"/>
      <c r="AG615" s="81"/>
      <c r="AH615" s="81"/>
      <c r="AI615" s="81"/>
      <c r="AJ615" s="81"/>
      <c r="AK615" s="81"/>
      <c r="AL615" s="81"/>
      <c r="AM615" s="81"/>
      <c r="AN615" s="81"/>
      <c r="AO615" s="81"/>
      <c r="AP615" s="81"/>
      <c r="AQ615" s="81"/>
      <c r="AR615" s="81"/>
    </row>
    <row r="616" spans="1:44" x14ac:dyDescent="0.4">
      <c r="A616" s="5" t="str">
        <f t="shared" si="47"/>
        <v>PO-GUANARITO</v>
      </c>
      <c r="B616" s="5" t="str">
        <f t="shared" si="48"/>
        <v>PO</v>
      </c>
      <c r="C616" s="83" t="s">
        <v>779</v>
      </c>
      <c r="D616" s="82" t="s">
        <v>1341</v>
      </c>
      <c r="E616" s="85">
        <v>63</v>
      </c>
      <c r="F616" s="85"/>
      <c r="G616" s="86"/>
      <c r="H616" s="86"/>
      <c r="I616" s="86"/>
      <c r="J616" s="86"/>
      <c r="K616" s="86"/>
      <c r="L616" s="86"/>
      <c r="M616" s="86"/>
      <c r="N616" s="86"/>
      <c r="O616" s="86"/>
      <c r="P616" s="87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  <c r="AE616" s="81"/>
      <c r="AF616" s="81"/>
      <c r="AG616" s="81"/>
      <c r="AH616" s="81"/>
      <c r="AI616" s="81"/>
      <c r="AJ616" s="81"/>
      <c r="AK616" s="81"/>
      <c r="AL616" s="81"/>
      <c r="AM616" s="81"/>
      <c r="AN616" s="81"/>
      <c r="AO616" s="81"/>
      <c r="AP616" s="81"/>
      <c r="AQ616" s="81"/>
      <c r="AR616" s="81"/>
    </row>
    <row r="617" spans="1:44" x14ac:dyDescent="0.4">
      <c r="A617" s="5" t="str">
        <f t="shared" si="47"/>
        <v>PO-NUEVA FLORIDA</v>
      </c>
      <c r="B617" s="5" t="str">
        <f t="shared" si="48"/>
        <v>PO</v>
      </c>
      <c r="C617" s="83" t="s">
        <v>779</v>
      </c>
      <c r="D617" s="82" t="s">
        <v>1342</v>
      </c>
      <c r="E617" s="85">
        <v>6</v>
      </c>
      <c r="F617" s="85"/>
      <c r="G617" s="86"/>
      <c r="H617" s="86"/>
      <c r="I617" s="86"/>
      <c r="J617" s="86"/>
      <c r="K617" s="86"/>
      <c r="L617" s="86"/>
      <c r="M617" s="86"/>
      <c r="N617" s="86"/>
      <c r="O617" s="86"/>
      <c r="P617" s="87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  <c r="AF617" s="81"/>
      <c r="AG617" s="81"/>
      <c r="AH617" s="81"/>
      <c r="AI617" s="81"/>
      <c r="AJ617" s="81"/>
      <c r="AK617" s="81"/>
      <c r="AL617" s="81"/>
      <c r="AM617" s="81"/>
      <c r="AN617" s="81"/>
      <c r="AO617" s="81"/>
      <c r="AP617" s="81"/>
      <c r="AQ617" s="81"/>
      <c r="AR617" s="81"/>
    </row>
    <row r="618" spans="1:44" x14ac:dyDescent="0.4">
      <c r="A618" s="5" t="str">
        <f t="shared" si="47"/>
        <v>PO-OSPINO</v>
      </c>
      <c r="B618" s="5" t="str">
        <f t="shared" si="48"/>
        <v>PO</v>
      </c>
      <c r="C618" s="83" t="s">
        <v>779</v>
      </c>
      <c r="D618" s="82" t="s">
        <v>1343</v>
      </c>
      <c r="E618" s="85">
        <v>74</v>
      </c>
      <c r="F618" s="85"/>
      <c r="G618" s="86"/>
      <c r="H618" s="86"/>
      <c r="I618" s="86"/>
      <c r="J618" s="86"/>
      <c r="K618" s="86"/>
      <c r="L618" s="86"/>
      <c r="M618" s="86"/>
      <c r="N618" s="86"/>
      <c r="O618" s="86"/>
      <c r="P618" s="87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  <c r="AF618" s="81"/>
      <c r="AG618" s="81"/>
      <c r="AH618" s="81"/>
      <c r="AI618" s="81"/>
      <c r="AJ618" s="81"/>
      <c r="AK618" s="81"/>
      <c r="AL618" s="81"/>
      <c r="AM618" s="81"/>
      <c r="AN618" s="81"/>
      <c r="AO618" s="81"/>
      <c r="AP618" s="81"/>
      <c r="AQ618" s="81"/>
      <c r="AR618" s="81"/>
    </row>
    <row r="619" spans="1:44" x14ac:dyDescent="0.4">
      <c r="A619" s="5" t="str">
        <f t="shared" si="47"/>
        <v>PO-PAPELON</v>
      </c>
      <c r="B619" s="5" t="str">
        <f t="shared" si="48"/>
        <v>PO</v>
      </c>
      <c r="C619" s="83" t="s">
        <v>779</v>
      </c>
      <c r="D619" s="82" t="s">
        <v>1344</v>
      </c>
      <c r="E619" s="85">
        <v>10</v>
      </c>
      <c r="F619" s="85"/>
      <c r="G619" s="86"/>
      <c r="H619" s="86"/>
      <c r="I619" s="86"/>
      <c r="J619" s="86"/>
      <c r="K619" s="86"/>
      <c r="L619" s="86"/>
      <c r="M619" s="86"/>
      <c r="N619" s="86"/>
      <c r="O619" s="86"/>
      <c r="P619" s="87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  <c r="AF619" s="81"/>
      <c r="AG619" s="81"/>
      <c r="AH619" s="81"/>
      <c r="AI619" s="81"/>
      <c r="AJ619" s="81"/>
      <c r="AK619" s="81"/>
      <c r="AL619" s="81"/>
      <c r="AM619" s="81"/>
      <c r="AN619" s="81"/>
      <c r="AO619" s="81"/>
      <c r="AP619" s="81"/>
      <c r="AQ619" s="81"/>
      <c r="AR619" s="81"/>
    </row>
    <row r="620" spans="1:44" x14ac:dyDescent="0.4">
      <c r="A620" s="5" t="str">
        <f t="shared" si="47"/>
        <v>PO-PARAISO</v>
      </c>
      <c r="B620" s="5" t="str">
        <f t="shared" si="48"/>
        <v>PO</v>
      </c>
      <c r="C620" s="83" t="s">
        <v>779</v>
      </c>
      <c r="D620" s="82" t="s">
        <v>1345</v>
      </c>
      <c r="E620" s="85">
        <v>72</v>
      </c>
      <c r="F620" s="85"/>
      <c r="G620" s="86"/>
      <c r="H620" s="86"/>
      <c r="I620" s="86"/>
      <c r="J620" s="86"/>
      <c r="K620" s="86"/>
      <c r="L620" s="86"/>
      <c r="M620" s="86"/>
      <c r="N620" s="86"/>
      <c r="O620" s="86"/>
      <c r="P620" s="87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  <c r="AF620" s="81"/>
      <c r="AG620" s="81"/>
      <c r="AH620" s="81"/>
      <c r="AI620" s="81"/>
      <c r="AJ620" s="81"/>
      <c r="AK620" s="81"/>
      <c r="AL620" s="81"/>
      <c r="AM620" s="81"/>
      <c r="AN620" s="81"/>
      <c r="AO620" s="81"/>
      <c r="AP620" s="81"/>
      <c r="AQ620" s="81"/>
      <c r="AR620" s="81"/>
    </row>
    <row r="621" spans="1:44" x14ac:dyDescent="0.4">
      <c r="A621" s="5" t="str">
        <f t="shared" si="47"/>
        <v>PO-PAYARA</v>
      </c>
      <c r="B621" s="5" t="str">
        <f t="shared" si="48"/>
        <v>PO</v>
      </c>
      <c r="C621" s="83" t="s">
        <v>779</v>
      </c>
      <c r="D621" s="82" t="s">
        <v>1346</v>
      </c>
      <c r="E621" s="85">
        <v>22</v>
      </c>
      <c r="F621" s="85"/>
      <c r="G621" s="86"/>
      <c r="H621" s="86"/>
      <c r="I621" s="86"/>
      <c r="J621" s="86"/>
      <c r="K621" s="86"/>
      <c r="L621" s="86"/>
      <c r="M621" s="86"/>
      <c r="N621" s="86"/>
      <c r="O621" s="86"/>
      <c r="P621" s="87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  <c r="AF621" s="81"/>
      <c r="AG621" s="81"/>
      <c r="AH621" s="81"/>
      <c r="AI621" s="81"/>
      <c r="AJ621" s="81"/>
      <c r="AK621" s="81"/>
      <c r="AL621" s="81"/>
      <c r="AM621" s="81"/>
      <c r="AN621" s="81"/>
      <c r="AO621" s="81"/>
      <c r="AP621" s="81"/>
      <c r="AQ621" s="81"/>
      <c r="AR621" s="81"/>
    </row>
    <row r="622" spans="1:44" x14ac:dyDescent="0.4">
      <c r="A622" s="5" t="str">
        <f t="shared" si="47"/>
        <v>PO-PIMPINELA</v>
      </c>
      <c r="B622" s="5" t="str">
        <f t="shared" si="48"/>
        <v>PO</v>
      </c>
      <c r="C622" s="83" t="s">
        <v>779</v>
      </c>
      <c r="D622" s="82" t="s">
        <v>1347</v>
      </c>
      <c r="E622" s="85">
        <v>10</v>
      </c>
      <c r="F622" s="85"/>
      <c r="G622" s="86"/>
      <c r="H622" s="86"/>
      <c r="I622" s="86"/>
      <c r="J622" s="86"/>
      <c r="K622" s="86"/>
      <c r="L622" s="86"/>
      <c r="M622" s="86"/>
      <c r="N622" s="86"/>
      <c r="O622" s="86"/>
      <c r="P622" s="87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  <c r="AF622" s="81"/>
      <c r="AG622" s="81"/>
      <c r="AH622" s="81"/>
      <c r="AI622" s="81"/>
      <c r="AJ622" s="81"/>
      <c r="AK622" s="81"/>
      <c r="AL622" s="81"/>
      <c r="AM622" s="81"/>
      <c r="AN622" s="81"/>
      <c r="AO622" s="81"/>
      <c r="AP622" s="81"/>
      <c r="AQ622" s="81"/>
      <c r="AR622" s="81"/>
    </row>
    <row r="623" spans="1:44" x14ac:dyDescent="0.4">
      <c r="A623" s="5" t="str">
        <f t="shared" si="47"/>
        <v>PO-PIRITU (STELLER)</v>
      </c>
      <c r="B623" s="5" t="str">
        <f t="shared" si="48"/>
        <v>PO</v>
      </c>
      <c r="C623" s="83" t="s">
        <v>779</v>
      </c>
      <c r="D623" s="82" t="s">
        <v>1348</v>
      </c>
      <c r="E623" s="85">
        <v>111</v>
      </c>
      <c r="F623" s="85"/>
      <c r="G623" s="86"/>
      <c r="H623" s="86"/>
      <c r="I623" s="86"/>
      <c r="J623" s="86"/>
      <c r="K623" s="86"/>
      <c r="L623" s="86"/>
      <c r="M623" s="86"/>
      <c r="N623" s="86"/>
      <c r="O623" s="86"/>
      <c r="P623" s="87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  <c r="AG623" s="81"/>
      <c r="AH623" s="81"/>
      <c r="AI623" s="81"/>
      <c r="AJ623" s="81"/>
      <c r="AK623" s="81"/>
      <c r="AL623" s="81"/>
      <c r="AM623" s="81"/>
      <c r="AN623" s="81"/>
      <c r="AO623" s="81"/>
      <c r="AP623" s="81"/>
      <c r="AQ623" s="81"/>
      <c r="AR623" s="81"/>
    </row>
    <row r="624" spans="1:44" x14ac:dyDescent="0.4">
      <c r="A624" s="5" t="str">
        <f t="shared" si="47"/>
        <v>PO-RIO ACARIGUA</v>
      </c>
      <c r="B624" s="5" t="str">
        <f t="shared" si="48"/>
        <v>PO</v>
      </c>
      <c r="C624" s="83" t="s">
        <v>779</v>
      </c>
      <c r="D624" s="82" t="s">
        <v>1349</v>
      </c>
      <c r="E624" s="85">
        <v>20</v>
      </c>
      <c r="F624" s="85"/>
      <c r="G624" s="86"/>
      <c r="H624" s="86"/>
      <c r="I624" s="86"/>
      <c r="J624" s="86"/>
      <c r="K624" s="86"/>
      <c r="L624" s="86"/>
      <c r="M624" s="86"/>
      <c r="N624" s="86"/>
      <c r="O624" s="86"/>
      <c r="P624" s="87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  <c r="AG624" s="81"/>
      <c r="AH624" s="81"/>
      <c r="AI624" s="81"/>
      <c r="AJ624" s="81"/>
      <c r="AK624" s="81"/>
      <c r="AL624" s="81"/>
      <c r="AM624" s="81"/>
      <c r="AN624" s="81"/>
      <c r="AO624" s="81"/>
      <c r="AP624" s="81"/>
      <c r="AQ624" s="81"/>
      <c r="AR624" s="81"/>
    </row>
    <row r="625" spans="1:44" x14ac:dyDescent="0.4">
      <c r="A625" s="5" t="str">
        <f t="shared" si="47"/>
        <v>PO-SAN  JUAN GUANAGUANARE</v>
      </c>
      <c r="B625" s="5" t="str">
        <f t="shared" si="48"/>
        <v>PO</v>
      </c>
      <c r="C625" s="83" t="s">
        <v>779</v>
      </c>
      <c r="D625" s="82" t="s">
        <v>1350</v>
      </c>
      <c r="E625" s="85">
        <v>27</v>
      </c>
      <c r="F625" s="85"/>
      <c r="G625" s="86"/>
      <c r="H625" s="86"/>
      <c r="I625" s="86"/>
      <c r="J625" s="86"/>
      <c r="K625" s="86"/>
      <c r="L625" s="86"/>
      <c r="M625" s="86"/>
      <c r="N625" s="86"/>
      <c r="O625" s="86"/>
      <c r="P625" s="87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  <c r="AF625" s="81"/>
      <c r="AG625" s="81"/>
      <c r="AH625" s="81"/>
      <c r="AI625" s="81"/>
      <c r="AJ625" s="81"/>
      <c r="AK625" s="81"/>
      <c r="AL625" s="81"/>
      <c r="AM625" s="81"/>
      <c r="AN625" s="81"/>
      <c r="AO625" s="81"/>
      <c r="AP625" s="81"/>
      <c r="AQ625" s="81"/>
      <c r="AR625" s="81"/>
    </row>
    <row r="626" spans="1:44" x14ac:dyDescent="0.4">
      <c r="A626" s="5" t="str">
        <f t="shared" si="47"/>
        <v>PO-SAN GENARO</v>
      </c>
      <c r="B626" s="5" t="str">
        <f t="shared" si="48"/>
        <v>PO</v>
      </c>
      <c r="C626" s="83" t="s">
        <v>779</v>
      </c>
      <c r="D626" s="82" t="s">
        <v>1351</v>
      </c>
      <c r="E626" s="85">
        <v>15</v>
      </c>
      <c r="F626" s="85"/>
      <c r="G626" s="86"/>
      <c r="H626" s="86"/>
      <c r="I626" s="86"/>
      <c r="J626" s="86"/>
      <c r="K626" s="86"/>
      <c r="L626" s="86"/>
      <c r="M626" s="86"/>
      <c r="N626" s="86"/>
      <c r="O626" s="86"/>
      <c r="P626" s="87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  <c r="AF626" s="81"/>
      <c r="AG626" s="81"/>
      <c r="AH626" s="81"/>
      <c r="AI626" s="81"/>
      <c r="AJ626" s="81"/>
      <c r="AK626" s="81"/>
      <c r="AL626" s="81"/>
      <c r="AM626" s="81"/>
      <c r="AN626" s="81"/>
      <c r="AO626" s="81"/>
      <c r="AP626" s="81"/>
      <c r="AQ626" s="81"/>
      <c r="AR626" s="81"/>
    </row>
    <row r="627" spans="1:44" x14ac:dyDescent="0.4">
      <c r="A627" s="5" t="str">
        <f t="shared" si="47"/>
        <v>PO-SAN ISIDRO LABRADOR</v>
      </c>
      <c r="B627" s="5" t="str">
        <f t="shared" si="48"/>
        <v>PO</v>
      </c>
      <c r="C627" s="83" t="s">
        <v>779</v>
      </c>
      <c r="D627" s="82" t="s">
        <v>1352</v>
      </c>
      <c r="E627" s="85">
        <v>12</v>
      </c>
      <c r="F627" s="85"/>
      <c r="G627" s="86"/>
      <c r="H627" s="86"/>
      <c r="I627" s="86"/>
      <c r="J627" s="86"/>
      <c r="K627" s="86"/>
      <c r="L627" s="86"/>
      <c r="M627" s="86"/>
      <c r="N627" s="86"/>
      <c r="O627" s="86"/>
      <c r="P627" s="87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  <c r="AG627" s="81"/>
      <c r="AH627" s="81"/>
      <c r="AI627" s="81"/>
      <c r="AJ627" s="81"/>
      <c r="AK627" s="81"/>
      <c r="AL627" s="81"/>
      <c r="AM627" s="81"/>
      <c r="AN627" s="81"/>
      <c r="AO627" s="81"/>
      <c r="AP627" s="81"/>
      <c r="AQ627" s="81"/>
      <c r="AR627" s="81"/>
    </row>
    <row r="628" spans="1:44" x14ac:dyDescent="0.4">
      <c r="A628" s="5" t="str">
        <f t="shared" si="47"/>
        <v>PO-SAN JOSE DE LA MONTAÑA</v>
      </c>
      <c r="B628" s="5" t="str">
        <f t="shared" si="48"/>
        <v>PO</v>
      </c>
      <c r="C628" s="83" t="s">
        <v>779</v>
      </c>
      <c r="D628" s="82" t="s">
        <v>1353</v>
      </c>
      <c r="E628" s="85">
        <v>5</v>
      </c>
      <c r="F628" s="85"/>
      <c r="G628" s="86"/>
      <c r="H628" s="86"/>
      <c r="I628" s="86"/>
      <c r="J628" s="86"/>
      <c r="K628" s="86"/>
      <c r="L628" s="86"/>
      <c r="M628" s="86"/>
      <c r="N628" s="86"/>
      <c r="O628" s="86"/>
      <c r="P628" s="87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  <c r="AF628" s="81"/>
      <c r="AG628" s="81"/>
      <c r="AH628" s="81"/>
      <c r="AI628" s="81"/>
      <c r="AJ628" s="81"/>
      <c r="AK628" s="81"/>
      <c r="AL628" s="81"/>
      <c r="AM628" s="81"/>
      <c r="AN628" s="81"/>
      <c r="AO628" s="81"/>
      <c r="AP628" s="81"/>
      <c r="AQ628" s="81"/>
      <c r="AR628" s="81"/>
    </row>
    <row r="629" spans="1:44" x14ac:dyDescent="0.4">
      <c r="A629" s="5" t="str">
        <f t="shared" si="47"/>
        <v>PO-SAN RAFAEL DE ONOTO</v>
      </c>
      <c r="B629" s="5" t="str">
        <f t="shared" si="48"/>
        <v>PO</v>
      </c>
      <c r="C629" s="83" t="s">
        <v>779</v>
      </c>
      <c r="D629" s="82" t="s">
        <v>1354</v>
      </c>
      <c r="E629" s="85">
        <v>40</v>
      </c>
      <c r="F629" s="85"/>
      <c r="G629" s="86"/>
      <c r="H629" s="86"/>
      <c r="I629" s="86"/>
      <c r="J629" s="86"/>
      <c r="K629" s="86"/>
      <c r="L629" s="86"/>
      <c r="M629" s="86"/>
      <c r="N629" s="86"/>
      <c r="O629" s="86"/>
      <c r="P629" s="87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  <c r="AF629" s="81"/>
      <c r="AG629" s="81"/>
      <c r="AH629" s="81"/>
      <c r="AI629" s="81"/>
      <c r="AJ629" s="81"/>
      <c r="AK629" s="81"/>
      <c r="AL629" s="81"/>
      <c r="AM629" s="81"/>
      <c r="AN629" s="81"/>
      <c r="AO629" s="81"/>
      <c r="AP629" s="81"/>
      <c r="AQ629" s="81"/>
      <c r="AR629" s="81"/>
    </row>
    <row r="630" spans="1:44" x14ac:dyDescent="0.4">
      <c r="A630" s="5" t="str">
        <f t="shared" si="47"/>
        <v>PO-SAN RAFAEL DE PALO ALZADO</v>
      </c>
      <c r="B630" s="5" t="str">
        <f t="shared" si="48"/>
        <v>PO</v>
      </c>
      <c r="C630" s="83" t="s">
        <v>779</v>
      </c>
      <c r="D630" s="82" t="s">
        <v>1355</v>
      </c>
      <c r="E630" s="85">
        <v>7</v>
      </c>
      <c r="F630" s="85"/>
      <c r="G630" s="86"/>
      <c r="H630" s="86"/>
      <c r="I630" s="86"/>
      <c r="J630" s="86"/>
      <c r="K630" s="86"/>
      <c r="L630" s="86"/>
      <c r="M630" s="86"/>
      <c r="N630" s="86"/>
      <c r="O630" s="86"/>
      <c r="P630" s="87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  <c r="AG630" s="81"/>
      <c r="AH630" s="81"/>
      <c r="AI630" s="81"/>
      <c r="AJ630" s="81"/>
      <c r="AK630" s="81"/>
      <c r="AL630" s="81"/>
      <c r="AM630" s="81"/>
      <c r="AN630" s="81"/>
      <c r="AO630" s="81"/>
      <c r="AP630" s="81"/>
      <c r="AQ630" s="81"/>
      <c r="AR630" s="81"/>
    </row>
    <row r="631" spans="1:44" x14ac:dyDescent="0.4">
      <c r="A631" s="5" t="str">
        <f t="shared" si="47"/>
        <v>PO-SANTA CRUZ</v>
      </c>
      <c r="B631" s="5" t="str">
        <f t="shared" si="48"/>
        <v>PO</v>
      </c>
      <c r="C631" s="83" t="s">
        <v>779</v>
      </c>
      <c r="D631" s="82" t="s">
        <v>886</v>
      </c>
      <c r="E631" s="85">
        <v>6</v>
      </c>
      <c r="F631" s="85"/>
      <c r="G631" s="86"/>
      <c r="H631" s="86"/>
      <c r="I631" s="86"/>
      <c r="J631" s="86"/>
      <c r="K631" s="86"/>
      <c r="L631" s="86"/>
      <c r="M631" s="86"/>
      <c r="N631" s="86"/>
      <c r="O631" s="86"/>
      <c r="P631" s="87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  <c r="AF631" s="81"/>
      <c r="AG631" s="81"/>
      <c r="AH631" s="81"/>
      <c r="AI631" s="81"/>
      <c r="AJ631" s="81"/>
      <c r="AK631" s="81"/>
      <c r="AL631" s="81"/>
      <c r="AM631" s="81"/>
      <c r="AN631" s="81"/>
      <c r="AO631" s="81"/>
      <c r="AP631" s="81"/>
      <c r="AQ631" s="81"/>
      <c r="AR631" s="81"/>
    </row>
    <row r="632" spans="1:44" x14ac:dyDescent="0.4">
      <c r="A632" s="5" t="str">
        <f t="shared" si="47"/>
        <v>PO-SANTA ROSALIA</v>
      </c>
      <c r="B632" s="5" t="str">
        <f t="shared" si="48"/>
        <v>PO</v>
      </c>
      <c r="C632" s="83" t="s">
        <v>779</v>
      </c>
      <c r="D632" s="82" t="s">
        <v>1022</v>
      </c>
      <c r="E632" s="85">
        <v>23</v>
      </c>
      <c r="F632" s="85"/>
      <c r="G632" s="86"/>
      <c r="H632" s="86"/>
      <c r="I632" s="86"/>
      <c r="J632" s="86"/>
      <c r="K632" s="86"/>
      <c r="L632" s="86"/>
      <c r="M632" s="86"/>
      <c r="N632" s="86"/>
      <c r="O632" s="86"/>
      <c r="P632" s="87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  <c r="AE632" s="81"/>
      <c r="AF632" s="81"/>
      <c r="AG632" s="81"/>
      <c r="AH632" s="81"/>
      <c r="AI632" s="81"/>
      <c r="AJ632" s="81"/>
      <c r="AK632" s="81"/>
      <c r="AL632" s="81"/>
      <c r="AM632" s="81"/>
      <c r="AN632" s="81"/>
      <c r="AO632" s="81"/>
      <c r="AP632" s="81"/>
      <c r="AQ632" s="81"/>
      <c r="AR632" s="81"/>
    </row>
    <row r="633" spans="1:44" x14ac:dyDescent="0.4">
      <c r="A633" s="5" t="str">
        <f t="shared" si="47"/>
        <v>PO-UBENCIO ANTONIO VELASQUEZ</v>
      </c>
      <c r="B633" s="5" t="str">
        <f t="shared" si="48"/>
        <v>PO</v>
      </c>
      <c r="C633" s="83" t="s">
        <v>779</v>
      </c>
      <c r="D633" s="82" t="s">
        <v>1356</v>
      </c>
      <c r="E633" s="85">
        <v>11</v>
      </c>
      <c r="F633" s="85"/>
      <c r="G633" s="86"/>
      <c r="H633" s="86"/>
      <c r="I633" s="86"/>
      <c r="J633" s="86"/>
      <c r="K633" s="86"/>
      <c r="L633" s="86"/>
      <c r="M633" s="86"/>
      <c r="N633" s="86"/>
      <c r="O633" s="86"/>
      <c r="P633" s="87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  <c r="AF633" s="81"/>
      <c r="AG633" s="81"/>
      <c r="AH633" s="81"/>
      <c r="AI633" s="81"/>
      <c r="AJ633" s="81"/>
      <c r="AK633" s="81"/>
      <c r="AL633" s="81"/>
      <c r="AM633" s="81"/>
      <c r="AN633" s="81"/>
      <c r="AO633" s="81"/>
      <c r="AP633" s="81"/>
      <c r="AQ633" s="81"/>
      <c r="AR633" s="81"/>
    </row>
    <row r="634" spans="1:44" x14ac:dyDescent="0.4">
      <c r="A634" s="5" t="str">
        <f t="shared" ref="A634:A697" si="49">+B634&amp;"-"&amp;D634</f>
        <v>PO-UVERAL</v>
      </c>
      <c r="B634" s="5" t="str">
        <f t="shared" ref="B634:B697" si="50">+MID(C634,1,2)</f>
        <v>PO</v>
      </c>
      <c r="C634" s="83" t="s">
        <v>779</v>
      </c>
      <c r="D634" s="82" t="s">
        <v>1357</v>
      </c>
      <c r="E634" s="85">
        <v>8</v>
      </c>
      <c r="F634" s="85"/>
      <c r="G634" s="86"/>
      <c r="H634" s="86"/>
      <c r="I634" s="86"/>
      <c r="J634" s="86"/>
      <c r="K634" s="86"/>
      <c r="L634" s="86"/>
      <c r="M634" s="86"/>
      <c r="N634" s="86"/>
      <c r="O634" s="86"/>
      <c r="P634" s="87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  <c r="AF634" s="81"/>
      <c r="AG634" s="81"/>
      <c r="AH634" s="81"/>
      <c r="AI634" s="81"/>
      <c r="AJ634" s="81"/>
      <c r="AK634" s="81"/>
      <c r="AL634" s="81"/>
      <c r="AM634" s="81"/>
      <c r="AN634" s="81"/>
      <c r="AO634" s="81"/>
      <c r="AP634" s="81"/>
      <c r="AQ634" s="81"/>
      <c r="AR634" s="81"/>
    </row>
    <row r="635" spans="1:44" x14ac:dyDescent="0.4">
      <c r="A635" s="5" t="str">
        <f t="shared" si="49"/>
        <v>PO-VILLA BRUZUAL</v>
      </c>
      <c r="B635" s="5" t="str">
        <f t="shared" si="50"/>
        <v>PO</v>
      </c>
      <c r="C635" s="83" t="s">
        <v>779</v>
      </c>
      <c r="D635" s="82" t="s">
        <v>1358</v>
      </c>
      <c r="E635" s="85">
        <v>126</v>
      </c>
      <c r="F635" s="85"/>
      <c r="G635" s="86"/>
      <c r="H635" s="86"/>
      <c r="I635" s="86"/>
      <c r="J635" s="86"/>
      <c r="K635" s="86"/>
      <c r="L635" s="86"/>
      <c r="M635" s="86"/>
      <c r="N635" s="86"/>
      <c r="O635" s="86"/>
      <c r="P635" s="87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  <c r="AE635" s="81"/>
      <c r="AF635" s="81"/>
      <c r="AG635" s="81"/>
      <c r="AH635" s="81"/>
      <c r="AI635" s="81"/>
      <c r="AJ635" s="81"/>
      <c r="AK635" s="81"/>
      <c r="AL635" s="81"/>
      <c r="AM635" s="81"/>
      <c r="AN635" s="81"/>
      <c r="AO635" s="81"/>
      <c r="AP635" s="81"/>
      <c r="AQ635" s="81"/>
      <c r="AR635" s="81"/>
    </row>
    <row r="636" spans="1:44" x14ac:dyDescent="0.4">
      <c r="A636" s="5" t="str">
        <f t="shared" si="49"/>
        <v>PO-VIRGEN DE LA COROMOTO</v>
      </c>
      <c r="B636" s="5" t="str">
        <f t="shared" si="50"/>
        <v>PO</v>
      </c>
      <c r="C636" s="83" t="s">
        <v>779</v>
      </c>
      <c r="D636" s="82" t="s">
        <v>1359</v>
      </c>
      <c r="E636" s="85">
        <v>13</v>
      </c>
      <c r="F636" s="85"/>
      <c r="G636" s="86"/>
      <c r="H636" s="86"/>
      <c r="I636" s="86"/>
      <c r="J636" s="86"/>
      <c r="K636" s="86"/>
      <c r="L636" s="86"/>
      <c r="M636" s="86"/>
      <c r="N636" s="86"/>
      <c r="O636" s="86"/>
      <c r="P636" s="87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  <c r="AF636" s="81"/>
      <c r="AG636" s="81"/>
      <c r="AH636" s="81"/>
      <c r="AI636" s="81"/>
      <c r="AJ636" s="81"/>
      <c r="AK636" s="81"/>
      <c r="AL636" s="81"/>
      <c r="AM636" s="81"/>
      <c r="AN636" s="81"/>
      <c r="AO636" s="81"/>
      <c r="AP636" s="81"/>
      <c r="AQ636" s="81"/>
      <c r="AR636" s="81"/>
    </row>
    <row r="637" spans="1:44" x14ac:dyDescent="0.4">
      <c r="A637" s="5" t="str">
        <f t="shared" si="49"/>
        <v>SU-ALTAGRACIA</v>
      </c>
      <c r="B637" s="5" t="str">
        <f t="shared" si="50"/>
        <v>SU</v>
      </c>
      <c r="C637" s="83" t="s">
        <v>780</v>
      </c>
      <c r="D637" s="82" t="s">
        <v>1001</v>
      </c>
      <c r="E637" s="85">
        <v>205</v>
      </c>
      <c r="F637" s="85"/>
      <c r="G637" s="86"/>
      <c r="H637" s="86"/>
      <c r="I637" s="86"/>
      <c r="J637" s="86"/>
      <c r="K637" s="86"/>
      <c r="L637" s="86"/>
      <c r="M637" s="86"/>
      <c r="N637" s="86"/>
      <c r="O637" s="86"/>
      <c r="P637" s="87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  <c r="AF637" s="81"/>
      <c r="AG637" s="81"/>
      <c r="AH637" s="81"/>
      <c r="AI637" s="81"/>
      <c r="AJ637" s="81"/>
      <c r="AK637" s="81"/>
      <c r="AL637" s="81"/>
      <c r="AM637" s="81"/>
      <c r="AN637" s="81"/>
      <c r="AO637" s="81"/>
      <c r="AP637" s="81"/>
      <c r="AQ637" s="81"/>
      <c r="AR637" s="81"/>
    </row>
    <row r="638" spans="1:44" x14ac:dyDescent="0.4">
      <c r="A638" s="5" t="str">
        <f t="shared" si="49"/>
        <v>SU-ARAYA (CRUZ SALMERON</v>
      </c>
      <c r="B638" s="5" t="str">
        <f t="shared" si="50"/>
        <v>SU</v>
      </c>
      <c r="C638" s="83" t="s">
        <v>780</v>
      </c>
      <c r="D638" s="82" t="s">
        <v>1360</v>
      </c>
      <c r="E638" s="85">
        <v>22</v>
      </c>
      <c r="F638" s="85"/>
      <c r="G638" s="86"/>
      <c r="H638" s="86"/>
      <c r="I638" s="86"/>
      <c r="J638" s="86"/>
      <c r="K638" s="86"/>
      <c r="L638" s="86"/>
      <c r="M638" s="86"/>
      <c r="N638" s="86"/>
      <c r="O638" s="86"/>
      <c r="P638" s="87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  <c r="AF638" s="81"/>
      <c r="AG638" s="81"/>
      <c r="AH638" s="81"/>
      <c r="AI638" s="81"/>
      <c r="AJ638" s="81"/>
      <c r="AK638" s="81"/>
      <c r="AL638" s="81"/>
      <c r="AM638" s="81"/>
      <c r="AN638" s="81"/>
      <c r="AO638" s="81"/>
      <c r="AP638" s="81"/>
      <c r="AQ638" s="81"/>
      <c r="AR638" s="81"/>
    </row>
    <row r="639" spans="1:44" x14ac:dyDescent="0.4">
      <c r="A639" s="5" t="str">
        <f t="shared" si="49"/>
        <v>SU-ARENAS</v>
      </c>
      <c r="B639" s="5" t="str">
        <f t="shared" si="50"/>
        <v>SU</v>
      </c>
      <c r="C639" s="83" t="s">
        <v>780</v>
      </c>
      <c r="D639" s="82" t="s">
        <v>1361</v>
      </c>
      <c r="E639" s="85">
        <v>20</v>
      </c>
      <c r="F639" s="85"/>
      <c r="G639" s="86"/>
      <c r="H639" s="86"/>
      <c r="I639" s="86"/>
      <c r="J639" s="86"/>
      <c r="K639" s="86"/>
      <c r="L639" s="86"/>
      <c r="M639" s="86"/>
      <c r="N639" s="86"/>
      <c r="O639" s="86"/>
      <c r="P639" s="87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  <c r="AF639" s="81"/>
      <c r="AG639" s="81"/>
      <c r="AH639" s="81"/>
      <c r="AI639" s="81"/>
      <c r="AJ639" s="81"/>
      <c r="AK639" s="81"/>
      <c r="AL639" s="81"/>
      <c r="AM639" s="81"/>
      <c r="AN639" s="81"/>
      <c r="AO639" s="81"/>
      <c r="AP639" s="81"/>
      <c r="AQ639" s="81"/>
      <c r="AR639" s="81"/>
    </row>
    <row r="640" spans="1:44" x14ac:dyDescent="0.4">
      <c r="A640" s="5" t="str">
        <f t="shared" si="49"/>
        <v>SU-ARICAGUA</v>
      </c>
      <c r="B640" s="5" t="str">
        <f t="shared" si="50"/>
        <v>SU</v>
      </c>
      <c r="C640" s="83" t="s">
        <v>780</v>
      </c>
      <c r="D640" s="82" t="s">
        <v>1160</v>
      </c>
      <c r="E640" s="85">
        <v>14</v>
      </c>
      <c r="F640" s="85"/>
      <c r="G640" s="86"/>
      <c r="H640" s="86"/>
      <c r="I640" s="86"/>
      <c r="J640" s="86"/>
      <c r="K640" s="86"/>
      <c r="L640" s="86"/>
      <c r="M640" s="86"/>
      <c r="N640" s="86"/>
      <c r="O640" s="86"/>
      <c r="P640" s="87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  <c r="AF640" s="81"/>
      <c r="AG640" s="81"/>
      <c r="AH640" s="81"/>
      <c r="AI640" s="81"/>
      <c r="AJ640" s="81"/>
      <c r="AK640" s="81"/>
      <c r="AL640" s="81"/>
      <c r="AM640" s="81"/>
      <c r="AN640" s="81"/>
      <c r="AO640" s="81"/>
      <c r="AP640" s="81"/>
      <c r="AQ640" s="81"/>
      <c r="AR640" s="81"/>
    </row>
    <row r="641" spans="1:44" x14ac:dyDescent="0.4">
      <c r="A641" s="5" t="str">
        <f t="shared" si="49"/>
        <v>SU-AYACUCHO</v>
      </c>
      <c r="B641" s="5" t="str">
        <f t="shared" si="50"/>
        <v>SU</v>
      </c>
      <c r="C641" s="83" t="s">
        <v>780</v>
      </c>
      <c r="D641" s="82" t="s">
        <v>1362</v>
      </c>
      <c r="E641" s="85">
        <v>127</v>
      </c>
      <c r="F641" s="85"/>
      <c r="G641" s="86"/>
      <c r="H641" s="86"/>
      <c r="I641" s="86"/>
      <c r="J641" s="86"/>
      <c r="K641" s="86"/>
      <c r="L641" s="86"/>
      <c r="M641" s="86"/>
      <c r="N641" s="86"/>
      <c r="O641" s="86"/>
      <c r="P641" s="87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  <c r="AF641" s="81"/>
      <c r="AG641" s="81"/>
      <c r="AH641" s="81"/>
      <c r="AI641" s="81"/>
      <c r="AJ641" s="81"/>
      <c r="AK641" s="81"/>
      <c r="AL641" s="81"/>
      <c r="AM641" s="81"/>
      <c r="AN641" s="81"/>
      <c r="AO641" s="81"/>
      <c r="AP641" s="81"/>
      <c r="AQ641" s="81"/>
      <c r="AR641" s="81"/>
    </row>
    <row r="642" spans="1:44" x14ac:dyDescent="0.4">
      <c r="A642" s="5" t="str">
        <f t="shared" si="49"/>
        <v>SU-BIDEAU</v>
      </c>
      <c r="B642" s="5" t="str">
        <f t="shared" si="50"/>
        <v>SU</v>
      </c>
      <c r="C642" s="83" t="s">
        <v>780</v>
      </c>
      <c r="D642" s="82" t="s">
        <v>1363</v>
      </c>
      <c r="E642" s="85">
        <v>4</v>
      </c>
      <c r="F642" s="85"/>
      <c r="G642" s="86"/>
      <c r="H642" s="86"/>
      <c r="I642" s="86"/>
      <c r="J642" s="86"/>
      <c r="K642" s="86"/>
      <c r="L642" s="86"/>
      <c r="M642" s="86"/>
      <c r="N642" s="86"/>
      <c r="O642" s="86"/>
      <c r="P642" s="87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  <c r="AF642" s="81"/>
      <c r="AG642" s="81"/>
      <c r="AH642" s="81"/>
      <c r="AI642" s="81"/>
      <c r="AJ642" s="81"/>
      <c r="AK642" s="81"/>
      <c r="AL642" s="81"/>
      <c r="AM642" s="81"/>
      <c r="AN642" s="81"/>
      <c r="AO642" s="81"/>
      <c r="AP642" s="81"/>
      <c r="AQ642" s="81"/>
      <c r="AR642" s="81"/>
    </row>
    <row r="643" spans="1:44" x14ac:dyDescent="0.4">
      <c r="A643" s="5" t="str">
        <f t="shared" si="49"/>
        <v>SU-BOLIVAR</v>
      </c>
      <c r="B643" s="5" t="str">
        <f t="shared" si="50"/>
        <v>SU</v>
      </c>
      <c r="C643" s="83" t="s">
        <v>780</v>
      </c>
      <c r="D643" s="82" t="s">
        <v>1034</v>
      </c>
      <c r="E643" s="85">
        <v>45</v>
      </c>
      <c r="F643" s="85"/>
      <c r="G643" s="86"/>
      <c r="H643" s="86"/>
      <c r="I643" s="86"/>
      <c r="J643" s="86"/>
      <c r="K643" s="86"/>
      <c r="L643" s="86"/>
      <c r="M643" s="86"/>
      <c r="N643" s="86"/>
      <c r="O643" s="86"/>
      <c r="P643" s="87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  <c r="AF643" s="81"/>
      <c r="AG643" s="81"/>
      <c r="AH643" s="81"/>
      <c r="AI643" s="81"/>
      <c r="AJ643" s="81"/>
      <c r="AK643" s="81"/>
      <c r="AL643" s="81"/>
      <c r="AM643" s="81"/>
      <c r="AN643" s="81"/>
      <c r="AO643" s="81"/>
      <c r="AP643" s="81"/>
      <c r="AQ643" s="81"/>
      <c r="AR643" s="81"/>
    </row>
    <row r="644" spans="1:44" x14ac:dyDescent="0.4">
      <c r="A644" s="5" t="str">
        <f t="shared" si="49"/>
        <v>SU-CAMPO CLARO</v>
      </c>
      <c r="B644" s="5" t="str">
        <f t="shared" si="50"/>
        <v>SU</v>
      </c>
      <c r="C644" s="83" t="s">
        <v>780</v>
      </c>
      <c r="D644" s="82" t="s">
        <v>1364</v>
      </c>
      <c r="E644" s="85">
        <v>10</v>
      </c>
      <c r="F644" s="85"/>
      <c r="G644" s="86"/>
      <c r="H644" s="86"/>
      <c r="I644" s="86"/>
      <c r="J644" s="86"/>
      <c r="K644" s="86"/>
      <c r="L644" s="86"/>
      <c r="M644" s="86"/>
      <c r="N644" s="86"/>
      <c r="O644" s="86"/>
      <c r="P644" s="87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  <c r="AF644" s="81"/>
      <c r="AG644" s="81"/>
      <c r="AH644" s="81"/>
      <c r="AI644" s="81"/>
      <c r="AJ644" s="81"/>
      <c r="AK644" s="81"/>
      <c r="AL644" s="81"/>
      <c r="AM644" s="81"/>
      <c r="AN644" s="81"/>
      <c r="AO644" s="81"/>
      <c r="AP644" s="81"/>
      <c r="AQ644" s="81"/>
      <c r="AR644" s="81"/>
    </row>
    <row r="645" spans="1:44" x14ac:dyDescent="0.4">
      <c r="A645" s="5" t="str">
        <f t="shared" si="49"/>
        <v>SU-CAMPO ELIAS</v>
      </c>
      <c r="B645" s="5" t="str">
        <f t="shared" si="50"/>
        <v>SU</v>
      </c>
      <c r="C645" s="83" t="s">
        <v>780</v>
      </c>
      <c r="D645" s="82" t="s">
        <v>1365</v>
      </c>
      <c r="E645" s="85">
        <v>7</v>
      </c>
      <c r="F645" s="85"/>
      <c r="G645" s="86"/>
      <c r="H645" s="86"/>
      <c r="I645" s="86"/>
      <c r="J645" s="86"/>
      <c r="K645" s="86"/>
      <c r="L645" s="86"/>
      <c r="M645" s="86"/>
      <c r="N645" s="86"/>
      <c r="O645" s="86"/>
      <c r="P645" s="87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  <c r="AF645" s="81"/>
      <c r="AG645" s="81"/>
      <c r="AH645" s="81"/>
      <c r="AI645" s="81"/>
      <c r="AJ645" s="81"/>
      <c r="AK645" s="81"/>
      <c r="AL645" s="81"/>
      <c r="AM645" s="81"/>
      <c r="AN645" s="81"/>
      <c r="AO645" s="81"/>
      <c r="AP645" s="81"/>
      <c r="AQ645" s="81"/>
      <c r="AR645" s="81"/>
    </row>
    <row r="646" spans="1:44" x14ac:dyDescent="0.4">
      <c r="A646" s="5" t="str">
        <f t="shared" si="49"/>
        <v>SU-CARIACO</v>
      </c>
      <c r="B646" s="5" t="str">
        <f t="shared" si="50"/>
        <v>SU</v>
      </c>
      <c r="C646" s="83" t="s">
        <v>780</v>
      </c>
      <c r="D646" s="82" t="s">
        <v>1366</v>
      </c>
      <c r="E646" s="85">
        <v>78</v>
      </c>
      <c r="F646" s="85"/>
      <c r="G646" s="86"/>
      <c r="H646" s="86"/>
      <c r="I646" s="86"/>
      <c r="J646" s="86"/>
      <c r="K646" s="86"/>
      <c r="L646" s="86"/>
      <c r="M646" s="86"/>
      <c r="N646" s="86"/>
      <c r="O646" s="86"/>
      <c r="P646" s="87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  <c r="AF646" s="81"/>
      <c r="AG646" s="81"/>
      <c r="AH646" s="81"/>
      <c r="AI646" s="81"/>
      <c r="AJ646" s="81"/>
      <c r="AK646" s="81"/>
      <c r="AL646" s="81"/>
      <c r="AM646" s="81"/>
      <c r="AN646" s="81"/>
      <c r="AO646" s="81"/>
      <c r="AP646" s="81"/>
      <c r="AQ646" s="81"/>
      <c r="AR646" s="81"/>
    </row>
    <row r="647" spans="1:44" x14ac:dyDescent="0.4">
      <c r="A647" s="5" t="str">
        <f t="shared" si="49"/>
        <v>SU-CATUARO</v>
      </c>
      <c r="B647" s="5" t="str">
        <f t="shared" si="50"/>
        <v>SU</v>
      </c>
      <c r="C647" s="83" t="s">
        <v>780</v>
      </c>
      <c r="D647" s="82" t="s">
        <v>1367</v>
      </c>
      <c r="E647" s="85">
        <v>17</v>
      </c>
      <c r="F647" s="85"/>
      <c r="G647" s="86"/>
      <c r="H647" s="86"/>
      <c r="I647" s="86"/>
      <c r="J647" s="86"/>
      <c r="K647" s="86"/>
      <c r="L647" s="86"/>
      <c r="M647" s="86"/>
      <c r="N647" s="86"/>
      <c r="O647" s="86"/>
      <c r="P647" s="87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  <c r="AE647" s="81"/>
      <c r="AF647" s="81"/>
      <c r="AG647" s="81"/>
      <c r="AH647" s="81"/>
      <c r="AI647" s="81"/>
      <c r="AJ647" s="81"/>
      <c r="AK647" s="81"/>
      <c r="AL647" s="81"/>
      <c r="AM647" s="81"/>
      <c r="AN647" s="81"/>
      <c r="AO647" s="81"/>
      <c r="AP647" s="81"/>
      <c r="AQ647" s="81"/>
      <c r="AR647" s="81"/>
    </row>
    <row r="648" spans="1:44" x14ac:dyDescent="0.4">
      <c r="A648" s="5" t="str">
        <f t="shared" si="49"/>
        <v>SU-CHACOPATA</v>
      </c>
      <c r="B648" s="5" t="str">
        <f t="shared" si="50"/>
        <v>SU</v>
      </c>
      <c r="C648" s="83" t="s">
        <v>780</v>
      </c>
      <c r="D648" s="82" t="s">
        <v>1368</v>
      </c>
      <c r="E648" s="85">
        <v>2</v>
      </c>
      <c r="F648" s="85"/>
      <c r="G648" s="86"/>
      <c r="H648" s="86"/>
      <c r="I648" s="86"/>
      <c r="J648" s="86"/>
      <c r="K648" s="86"/>
      <c r="L648" s="86"/>
      <c r="M648" s="86"/>
      <c r="N648" s="86"/>
      <c r="O648" s="86"/>
      <c r="P648" s="87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  <c r="AE648" s="81"/>
      <c r="AF648" s="81"/>
      <c r="AG648" s="81"/>
      <c r="AH648" s="81"/>
      <c r="AI648" s="81"/>
      <c r="AJ648" s="81"/>
      <c r="AK648" s="81"/>
      <c r="AL648" s="81"/>
      <c r="AM648" s="81"/>
      <c r="AN648" s="81"/>
      <c r="AO648" s="81"/>
      <c r="AP648" s="81"/>
      <c r="AQ648" s="81"/>
      <c r="AR648" s="81"/>
    </row>
    <row r="649" spans="1:44" x14ac:dyDescent="0.4">
      <c r="A649" s="5" t="str">
        <f t="shared" si="49"/>
        <v>SU-COCOYAR</v>
      </c>
      <c r="B649" s="5" t="str">
        <f t="shared" si="50"/>
        <v>SU</v>
      </c>
      <c r="C649" s="83" t="s">
        <v>780</v>
      </c>
      <c r="D649" s="82" t="s">
        <v>1369</v>
      </c>
      <c r="E649" s="85">
        <v>19</v>
      </c>
      <c r="F649" s="85"/>
      <c r="G649" s="86"/>
      <c r="H649" s="86"/>
      <c r="I649" s="86"/>
      <c r="J649" s="86"/>
      <c r="K649" s="86"/>
      <c r="L649" s="86"/>
      <c r="M649" s="86"/>
      <c r="N649" s="86"/>
      <c r="O649" s="86"/>
      <c r="P649" s="87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  <c r="AG649" s="81"/>
      <c r="AH649" s="81"/>
      <c r="AI649" s="81"/>
      <c r="AJ649" s="81"/>
      <c r="AK649" s="81"/>
      <c r="AL649" s="81"/>
      <c r="AM649" s="81"/>
      <c r="AN649" s="81"/>
      <c r="AO649" s="81"/>
      <c r="AP649" s="81"/>
      <c r="AQ649" s="81"/>
      <c r="AR649" s="81"/>
    </row>
    <row r="650" spans="1:44" x14ac:dyDescent="0.4">
      <c r="A650" s="5" t="str">
        <f t="shared" si="49"/>
        <v>SU-CUMANACOA (MONTES)</v>
      </c>
      <c r="B650" s="5" t="str">
        <f t="shared" si="50"/>
        <v>SU</v>
      </c>
      <c r="C650" s="83" t="s">
        <v>780</v>
      </c>
      <c r="D650" s="82" t="s">
        <v>1370</v>
      </c>
      <c r="E650" s="85">
        <v>94</v>
      </c>
      <c r="F650" s="85"/>
      <c r="G650" s="86"/>
      <c r="H650" s="86"/>
      <c r="I650" s="86"/>
      <c r="J650" s="86"/>
      <c r="K650" s="86"/>
      <c r="L650" s="86"/>
      <c r="M650" s="86"/>
      <c r="N650" s="86"/>
      <c r="O650" s="86"/>
      <c r="P650" s="87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  <c r="AF650" s="81"/>
      <c r="AG650" s="81"/>
      <c r="AH650" s="81"/>
      <c r="AI650" s="81"/>
      <c r="AJ650" s="81"/>
      <c r="AK650" s="81"/>
      <c r="AL650" s="81"/>
      <c r="AM650" s="81"/>
      <c r="AN650" s="81"/>
      <c r="AO650" s="81"/>
      <c r="AP650" s="81"/>
      <c r="AQ650" s="81"/>
      <c r="AR650" s="81"/>
    </row>
    <row r="651" spans="1:44" x14ac:dyDescent="0.4">
      <c r="A651" s="5" t="str">
        <f t="shared" si="49"/>
        <v>SU-EL MORRO DE PUERTO SANTO</v>
      </c>
      <c r="B651" s="5" t="str">
        <f t="shared" si="50"/>
        <v>SU</v>
      </c>
      <c r="C651" s="83" t="s">
        <v>780</v>
      </c>
      <c r="D651" s="82" t="s">
        <v>1371</v>
      </c>
      <c r="E651" s="85">
        <v>6</v>
      </c>
      <c r="F651" s="85"/>
      <c r="G651" s="86"/>
      <c r="H651" s="86"/>
      <c r="I651" s="86"/>
      <c r="J651" s="86"/>
      <c r="K651" s="86"/>
      <c r="L651" s="86"/>
      <c r="M651" s="86"/>
      <c r="N651" s="86"/>
      <c r="O651" s="86"/>
      <c r="P651" s="87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  <c r="AF651" s="81"/>
      <c r="AG651" s="81"/>
      <c r="AH651" s="81"/>
      <c r="AI651" s="81"/>
      <c r="AJ651" s="81"/>
      <c r="AK651" s="81"/>
      <c r="AL651" s="81"/>
      <c r="AM651" s="81"/>
      <c r="AN651" s="81"/>
      <c r="AO651" s="81"/>
      <c r="AP651" s="81"/>
      <c r="AQ651" s="81"/>
      <c r="AR651" s="81"/>
    </row>
    <row r="652" spans="1:44" x14ac:dyDescent="0.4">
      <c r="A652" s="5" t="str">
        <f t="shared" si="49"/>
        <v>SU-EL PAUJIL</v>
      </c>
      <c r="B652" s="5" t="str">
        <f t="shared" si="50"/>
        <v>SU</v>
      </c>
      <c r="C652" s="83" t="s">
        <v>780</v>
      </c>
      <c r="D652" s="82" t="s">
        <v>1372</v>
      </c>
      <c r="E652" s="85">
        <v>16</v>
      </c>
      <c r="F652" s="85"/>
      <c r="G652" s="86"/>
      <c r="H652" s="86"/>
      <c r="I652" s="86"/>
      <c r="J652" s="86"/>
      <c r="K652" s="86"/>
      <c r="L652" s="86"/>
      <c r="M652" s="86"/>
      <c r="N652" s="86"/>
      <c r="O652" s="86"/>
      <c r="P652" s="87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  <c r="AF652" s="81"/>
      <c r="AG652" s="81"/>
      <c r="AH652" s="81"/>
      <c r="AI652" s="81"/>
      <c r="AJ652" s="81"/>
      <c r="AK652" s="81"/>
      <c r="AL652" s="81"/>
      <c r="AM652" s="81"/>
      <c r="AN652" s="81"/>
      <c r="AO652" s="81"/>
      <c r="AP652" s="81"/>
      <c r="AQ652" s="81"/>
      <c r="AR652" s="81"/>
    </row>
    <row r="653" spans="1:44" x14ac:dyDescent="0.4">
      <c r="A653" s="5" t="str">
        <f t="shared" si="49"/>
        <v>SU-EL PILAR (BENITEZ)</v>
      </c>
      <c r="B653" s="5" t="str">
        <f t="shared" si="50"/>
        <v>SU</v>
      </c>
      <c r="C653" s="83" t="s">
        <v>780</v>
      </c>
      <c r="D653" s="82" t="s">
        <v>1373</v>
      </c>
      <c r="E653" s="85">
        <v>57</v>
      </c>
      <c r="F653" s="85"/>
      <c r="G653" s="86"/>
      <c r="H653" s="86"/>
      <c r="I653" s="86"/>
      <c r="J653" s="86"/>
      <c r="K653" s="86"/>
      <c r="L653" s="86"/>
      <c r="M653" s="86"/>
      <c r="N653" s="86"/>
      <c r="O653" s="86"/>
      <c r="P653" s="87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  <c r="AF653" s="81"/>
      <c r="AG653" s="81"/>
      <c r="AH653" s="81"/>
      <c r="AI653" s="81"/>
      <c r="AJ653" s="81"/>
      <c r="AK653" s="81"/>
      <c r="AL653" s="81"/>
      <c r="AM653" s="81"/>
      <c r="AN653" s="81"/>
      <c r="AO653" s="81"/>
      <c r="AP653" s="81"/>
      <c r="AQ653" s="81"/>
      <c r="AR653" s="81"/>
    </row>
    <row r="654" spans="1:44" x14ac:dyDescent="0.4">
      <c r="A654" s="5" t="str">
        <f t="shared" si="49"/>
        <v>SU-EL RINCON</v>
      </c>
      <c r="B654" s="5" t="str">
        <f t="shared" si="50"/>
        <v>SU</v>
      </c>
      <c r="C654" s="83" t="s">
        <v>780</v>
      </c>
      <c r="D654" s="82" t="s">
        <v>1374</v>
      </c>
      <c r="E654" s="85">
        <v>2</v>
      </c>
      <c r="F654" s="85"/>
      <c r="G654" s="86"/>
      <c r="H654" s="86"/>
      <c r="I654" s="86"/>
      <c r="J654" s="86"/>
      <c r="K654" s="86"/>
      <c r="L654" s="86"/>
      <c r="M654" s="86"/>
      <c r="N654" s="86"/>
      <c r="O654" s="86"/>
      <c r="P654" s="87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  <c r="AF654" s="81"/>
      <c r="AG654" s="81"/>
      <c r="AH654" s="81"/>
      <c r="AI654" s="81"/>
      <c r="AJ654" s="81"/>
      <c r="AK654" s="81"/>
      <c r="AL654" s="81"/>
      <c r="AM654" s="81"/>
      <c r="AN654" s="81"/>
      <c r="AO654" s="81"/>
      <c r="AP654" s="81"/>
      <c r="AQ654" s="81"/>
      <c r="AR654" s="81"/>
    </row>
    <row r="655" spans="1:44" ht="14.6" customHeight="1" x14ac:dyDescent="0.4">
      <c r="A655" s="5" t="str">
        <f t="shared" si="49"/>
        <v>SU-GENERAL FRANCISCO ANTONIO
VASQUEZ</v>
      </c>
      <c r="B655" s="5" t="str">
        <f t="shared" si="50"/>
        <v>SU</v>
      </c>
      <c r="C655" s="83" t="s">
        <v>780</v>
      </c>
      <c r="D655" s="84" t="s">
        <v>1375</v>
      </c>
      <c r="E655" s="85">
        <v>9</v>
      </c>
      <c r="F655" s="85"/>
      <c r="G655" s="86"/>
      <c r="H655" s="86"/>
      <c r="I655" s="86"/>
      <c r="J655" s="86"/>
      <c r="K655" s="86"/>
      <c r="L655" s="86"/>
      <c r="M655" s="86"/>
      <c r="N655" s="86"/>
      <c r="O655" s="86"/>
      <c r="P655" s="87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  <c r="AF655" s="81"/>
      <c r="AG655" s="81"/>
      <c r="AH655" s="81"/>
      <c r="AI655" s="81"/>
      <c r="AJ655" s="81"/>
      <c r="AK655" s="81"/>
      <c r="AL655" s="81"/>
      <c r="AM655" s="81"/>
      <c r="AN655" s="81"/>
      <c r="AO655" s="81"/>
      <c r="AP655" s="81"/>
      <c r="AQ655" s="81"/>
      <c r="AR655" s="81"/>
    </row>
    <row r="656" spans="1:44" x14ac:dyDescent="0.4">
      <c r="A656" s="5" t="str">
        <f t="shared" si="49"/>
        <v>SU-GUARAUNOS</v>
      </c>
      <c r="B656" s="5" t="str">
        <f t="shared" si="50"/>
        <v>SU</v>
      </c>
      <c r="C656" s="83" t="s">
        <v>780</v>
      </c>
      <c r="D656" s="82" t="s">
        <v>1376</v>
      </c>
      <c r="E656" s="85">
        <v>2</v>
      </c>
      <c r="F656" s="85"/>
      <c r="G656" s="86"/>
      <c r="H656" s="86"/>
      <c r="I656" s="86"/>
      <c r="J656" s="86"/>
      <c r="K656" s="86"/>
      <c r="L656" s="86"/>
      <c r="M656" s="86"/>
      <c r="N656" s="86"/>
      <c r="O656" s="86"/>
      <c r="P656" s="87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  <c r="AF656" s="81"/>
      <c r="AG656" s="81"/>
      <c r="AH656" s="81"/>
      <c r="AI656" s="81"/>
      <c r="AJ656" s="81"/>
      <c r="AK656" s="81"/>
      <c r="AL656" s="81"/>
      <c r="AM656" s="81"/>
      <c r="AN656" s="81"/>
      <c r="AO656" s="81"/>
      <c r="AP656" s="81"/>
      <c r="AQ656" s="81"/>
      <c r="AR656" s="81"/>
    </row>
    <row r="657" spans="1:44" x14ac:dyDescent="0.4">
      <c r="A657" s="5" t="str">
        <f t="shared" si="49"/>
        <v>SU-GUIRIA (VALDEZ)</v>
      </c>
      <c r="B657" s="5" t="str">
        <f t="shared" si="50"/>
        <v>SU</v>
      </c>
      <c r="C657" s="83" t="s">
        <v>780</v>
      </c>
      <c r="D657" s="82" t="s">
        <v>1377</v>
      </c>
      <c r="E657" s="85">
        <v>76</v>
      </c>
      <c r="F657" s="85"/>
      <c r="G657" s="86"/>
      <c r="H657" s="86"/>
      <c r="I657" s="86"/>
      <c r="J657" s="86"/>
      <c r="K657" s="86"/>
      <c r="L657" s="86"/>
      <c r="M657" s="86"/>
      <c r="N657" s="86"/>
      <c r="O657" s="86"/>
      <c r="P657" s="87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  <c r="AF657" s="81"/>
      <c r="AG657" s="81"/>
      <c r="AH657" s="81"/>
      <c r="AI657" s="81"/>
      <c r="AJ657" s="81"/>
      <c r="AK657" s="81"/>
      <c r="AL657" s="81"/>
      <c r="AM657" s="81"/>
      <c r="AN657" s="81"/>
      <c r="AO657" s="81"/>
      <c r="AP657" s="81"/>
      <c r="AQ657" s="81"/>
      <c r="AR657" s="81"/>
    </row>
    <row r="658" spans="1:44" x14ac:dyDescent="0.4">
      <c r="A658" s="5" t="str">
        <f t="shared" si="49"/>
        <v>SU-IRAPA</v>
      </c>
      <c r="B658" s="5" t="str">
        <f t="shared" si="50"/>
        <v>SU</v>
      </c>
      <c r="C658" s="83" t="s">
        <v>780</v>
      </c>
      <c r="D658" s="82" t="s">
        <v>1378</v>
      </c>
      <c r="E658" s="85">
        <v>44</v>
      </c>
      <c r="F658" s="85"/>
      <c r="G658" s="86"/>
      <c r="H658" s="86"/>
      <c r="I658" s="86"/>
      <c r="J658" s="86"/>
      <c r="K658" s="86"/>
      <c r="L658" s="86"/>
      <c r="M658" s="86"/>
      <c r="N658" s="86"/>
      <c r="O658" s="86"/>
      <c r="P658" s="87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  <c r="AF658" s="81"/>
      <c r="AG658" s="81"/>
      <c r="AH658" s="81"/>
      <c r="AI658" s="81"/>
      <c r="AJ658" s="81"/>
      <c r="AK658" s="81"/>
      <c r="AL658" s="81"/>
      <c r="AM658" s="81"/>
      <c r="AN658" s="81"/>
      <c r="AO658" s="81"/>
      <c r="AP658" s="81"/>
      <c r="AQ658" s="81"/>
      <c r="AR658" s="81"/>
    </row>
    <row r="659" spans="1:44" x14ac:dyDescent="0.4">
      <c r="A659" s="5" t="str">
        <f t="shared" si="49"/>
        <v>SU-LIBERTAD</v>
      </c>
      <c r="B659" s="5" t="str">
        <f t="shared" si="50"/>
        <v>SU</v>
      </c>
      <c r="C659" s="83" t="s">
        <v>780</v>
      </c>
      <c r="D659" s="82" t="s">
        <v>914</v>
      </c>
      <c r="E659" s="85">
        <v>9</v>
      </c>
      <c r="F659" s="85"/>
      <c r="G659" s="86"/>
      <c r="H659" s="86"/>
      <c r="I659" s="86"/>
      <c r="J659" s="86"/>
      <c r="K659" s="86"/>
      <c r="L659" s="86"/>
      <c r="M659" s="86"/>
      <c r="N659" s="86"/>
      <c r="O659" s="86"/>
      <c r="P659" s="87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  <c r="AF659" s="81"/>
      <c r="AG659" s="81"/>
      <c r="AH659" s="81"/>
      <c r="AI659" s="81"/>
      <c r="AJ659" s="81"/>
      <c r="AK659" s="81"/>
      <c r="AL659" s="81"/>
      <c r="AM659" s="81"/>
      <c r="AN659" s="81"/>
      <c r="AO659" s="81"/>
      <c r="AP659" s="81"/>
      <c r="AQ659" s="81"/>
      <c r="AR659" s="81"/>
    </row>
    <row r="660" spans="1:44" x14ac:dyDescent="0.4">
      <c r="A660" s="5" t="str">
        <f t="shared" si="49"/>
        <v>SU-MACARAPANA</v>
      </c>
      <c r="B660" s="5" t="str">
        <f t="shared" si="50"/>
        <v>SU</v>
      </c>
      <c r="C660" s="83" t="s">
        <v>780</v>
      </c>
      <c r="D660" s="82" t="s">
        <v>1379</v>
      </c>
      <c r="E660" s="85">
        <v>13</v>
      </c>
      <c r="F660" s="85"/>
      <c r="G660" s="86"/>
      <c r="H660" s="86"/>
      <c r="I660" s="86"/>
      <c r="J660" s="86"/>
      <c r="K660" s="86"/>
      <c r="L660" s="86"/>
      <c r="M660" s="86"/>
      <c r="N660" s="86"/>
      <c r="O660" s="86"/>
      <c r="P660" s="87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  <c r="AF660" s="81"/>
      <c r="AG660" s="81"/>
      <c r="AH660" s="81"/>
      <c r="AI660" s="81"/>
      <c r="AJ660" s="81"/>
      <c r="AK660" s="81"/>
      <c r="AL660" s="81"/>
      <c r="AM660" s="81"/>
      <c r="AN660" s="81"/>
      <c r="AO660" s="81"/>
      <c r="AP660" s="81"/>
      <c r="AQ660" s="81"/>
      <c r="AR660" s="81"/>
    </row>
    <row r="661" spans="1:44" x14ac:dyDescent="0.4">
      <c r="A661" s="5" t="str">
        <f t="shared" si="49"/>
        <v>SU-MANICUARE</v>
      </c>
      <c r="B661" s="5" t="str">
        <f t="shared" si="50"/>
        <v>SU</v>
      </c>
      <c r="C661" s="83" t="s">
        <v>780</v>
      </c>
      <c r="D661" s="82" t="s">
        <v>1380</v>
      </c>
      <c r="E661" s="85">
        <v>5</v>
      </c>
      <c r="F661" s="85"/>
      <c r="G661" s="86"/>
      <c r="H661" s="86"/>
      <c r="I661" s="86"/>
      <c r="J661" s="86"/>
      <c r="K661" s="86"/>
      <c r="L661" s="86"/>
      <c r="M661" s="86"/>
      <c r="N661" s="86"/>
      <c r="O661" s="86"/>
      <c r="P661" s="87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  <c r="AF661" s="81"/>
      <c r="AG661" s="81"/>
      <c r="AH661" s="81"/>
      <c r="AI661" s="81"/>
      <c r="AJ661" s="81"/>
      <c r="AK661" s="81"/>
      <c r="AL661" s="81"/>
      <c r="AM661" s="81"/>
      <c r="AN661" s="81"/>
      <c r="AO661" s="81"/>
      <c r="AP661" s="81"/>
      <c r="AQ661" s="81"/>
      <c r="AR661" s="81"/>
    </row>
    <row r="662" spans="1:44" x14ac:dyDescent="0.4">
      <c r="A662" s="5" t="str">
        <f t="shared" si="49"/>
        <v>SU-MARABAL</v>
      </c>
      <c r="B662" s="5" t="str">
        <f t="shared" si="50"/>
        <v>SU</v>
      </c>
      <c r="C662" s="83" t="s">
        <v>780</v>
      </c>
      <c r="D662" s="82" t="s">
        <v>1381</v>
      </c>
      <c r="E662" s="85">
        <v>5</v>
      </c>
      <c r="F662" s="85"/>
      <c r="G662" s="86"/>
      <c r="H662" s="86"/>
      <c r="I662" s="86"/>
      <c r="J662" s="86"/>
      <c r="K662" s="86"/>
      <c r="L662" s="86"/>
      <c r="M662" s="86"/>
      <c r="N662" s="86"/>
      <c r="O662" s="86"/>
      <c r="P662" s="87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  <c r="AF662" s="81"/>
      <c r="AG662" s="81"/>
      <c r="AH662" s="81"/>
      <c r="AI662" s="81"/>
      <c r="AJ662" s="81"/>
      <c r="AK662" s="81"/>
      <c r="AL662" s="81"/>
      <c r="AM662" s="81"/>
      <c r="AN662" s="81"/>
      <c r="AO662" s="81"/>
      <c r="AP662" s="81"/>
      <c r="AQ662" s="81"/>
      <c r="AR662" s="81"/>
    </row>
    <row r="663" spans="1:44" x14ac:dyDescent="0.4">
      <c r="A663" s="5" t="str">
        <f t="shared" si="49"/>
        <v>SU-MARIGUITAR</v>
      </c>
      <c r="B663" s="5" t="str">
        <f t="shared" si="50"/>
        <v>SU</v>
      </c>
      <c r="C663" s="83" t="s">
        <v>780</v>
      </c>
      <c r="D663" s="82" t="s">
        <v>1382</v>
      </c>
      <c r="E663" s="85">
        <v>42</v>
      </c>
      <c r="F663" s="85"/>
      <c r="G663" s="86"/>
      <c r="H663" s="86"/>
      <c r="I663" s="86"/>
      <c r="J663" s="86"/>
      <c r="K663" s="86"/>
      <c r="L663" s="86"/>
      <c r="M663" s="86"/>
      <c r="N663" s="86"/>
      <c r="O663" s="86"/>
      <c r="P663" s="87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  <c r="AE663" s="81"/>
      <c r="AF663" s="81"/>
      <c r="AG663" s="81"/>
      <c r="AH663" s="81"/>
      <c r="AI663" s="81"/>
      <c r="AJ663" s="81"/>
      <c r="AK663" s="81"/>
      <c r="AL663" s="81"/>
      <c r="AM663" s="81"/>
      <c r="AN663" s="81"/>
      <c r="AO663" s="81"/>
      <c r="AP663" s="81"/>
      <c r="AQ663" s="81"/>
      <c r="AR663" s="81"/>
    </row>
    <row r="664" spans="1:44" x14ac:dyDescent="0.4">
      <c r="A664" s="5" t="str">
        <f t="shared" si="49"/>
        <v>SU-MARIÑO (ANDRES ELOY</v>
      </c>
      <c r="B664" s="5" t="str">
        <f t="shared" si="50"/>
        <v>SU</v>
      </c>
      <c r="C664" s="83" t="s">
        <v>780</v>
      </c>
      <c r="D664" s="82" t="s">
        <v>1383</v>
      </c>
      <c r="E664" s="85">
        <v>49</v>
      </c>
      <c r="F664" s="85"/>
      <c r="G664" s="86"/>
      <c r="H664" s="86"/>
      <c r="I664" s="86"/>
      <c r="J664" s="86"/>
      <c r="K664" s="86"/>
      <c r="L664" s="86"/>
      <c r="M664" s="86"/>
      <c r="N664" s="86"/>
      <c r="O664" s="86"/>
      <c r="P664" s="87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  <c r="AE664" s="81"/>
      <c r="AF664" s="81"/>
      <c r="AG664" s="81"/>
      <c r="AH664" s="81"/>
      <c r="AI664" s="81"/>
      <c r="AJ664" s="81"/>
      <c r="AK664" s="81"/>
      <c r="AL664" s="81"/>
      <c r="AM664" s="81"/>
      <c r="AN664" s="81"/>
      <c r="AO664" s="81"/>
      <c r="AP664" s="81"/>
      <c r="AQ664" s="81"/>
      <c r="AR664" s="81"/>
    </row>
    <row r="665" spans="1:44" x14ac:dyDescent="0.4">
      <c r="A665" s="5" t="str">
        <f t="shared" si="49"/>
        <v>SU-PUERTO SANTO</v>
      </c>
      <c r="B665" s="5" t="str">
        <f t="shared" si="50"/>
        <v>SU</v>
      </c>
      <c r="C665" s="83" t="s">
        <v>780</v>
      </c>
      <c r="D665" s="82" t="s">
        <v>1384</v>
      </c>
      <c r="E665" s="85">
        <v>17</v>
      </c>
      <c r="F665" s="85"/>
      <c r="G665" s="86"/>
      <c r="H665" s="86"/>
      <c r="I665" s="86"/>
      <c r="J665" s="86"/>
      <c r="K665" s="86"/>
      <c r="L665" s="86"/>
      <c r="M665" s="86"/>
      <c r="N665" s="86"/>
      <c r="O665" s="86"/>
      <c r="P665" s="87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  <c r="AF665" s="81"/>
      <c r="AG665" s="81"/>
      <c r="AH665" s="81"/>
      <c r="AI665" s="81"/>
      <c r="AJ665" s="81"/>
      <c r="AK665" s="81"/>
      <c r="AL665" s="81"/>
      <c r="AM665" s="81"/>
      <c r="AN665" s="81"/>
      <c r="AO665" s="81"/>
      <c r="AP665" s="81"/>
      <c r="AQ665" s="81"/>
      <c r="AR665" s="81"/>
    </row>
    <row r="666" spans="1:44" x14ac:dyDescent="0.4">
      <c r="A666" s="5" t="str">
        <f t="shared" si="49"/>
        <v>SU-PUNTA DE PIEDRA</v>
      </c>
      <c r="B666" s="5" t="str">
        <f t="shared" si="50"/>
        <v>SU</v>
      </c>
      <c r="C666" s="83" t="s">
        <v>780</v>
      </c>
      <c r="D666" s="82" t="s">
        <v>1385</v>
      </c>
      <c r="E666" s="85">
        <v>18</v>
      </c>
      <c r="F666" s="85"/>
      <c r="G666" s="86"/>
      <c r="H666" s="86"/>
      <c r="I666" s="86"/>
      <c r="J666" s="86"/>
      <c r="K666" s="86"/>
      <c r="L666" s="86"/>
      <c r="M666" s="86"/>
      <c r="N666" s="86"/>
      <c r="O666" s="86"/>
      <c r="P666" s="87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  <c r="AF666" s="81"/>
      <c r="AG666" s="81"/>
      <c r="AH666" s="81"/>
      <c r="AI666" s="81"/>
      <c r="AJ666" s="81"/>
      <c r="AK666" s="81"/>
      <c r="AL666" s="81"/>
      <c r="AM666" s="81"/>
      <c r="AN666" s="81"/>
      <c r="AO666" s="81"/>
      <c r="AP666" s="81"/>
      <c r="AQ666" s="81"/>
      <c r="AR666" s="81"/>
    </row>
    <row r="667" spans="1:44" x14ac:dyDescent="0.4">
      <c r="A667" s="5" t="str">
        <f t="shared" si="49"/>
        <v>SU-RAUL LEONI</v>
      </c>
      <c r="B667" s="5" t="str">
        <f t="shared" si="50"/>
        <v>SU</v>
      </c>
      <c r="C667" s="83" t="s">
        <v>780</v>
      </c>
      <c r="D667" s="82" t="s">
        <v>945</v>
      </c>
      <c r="E667" s="85">
        <v>30</v>
      </c>
      <c r="F667" s="85"/>
      <c r="G667" s="86"/>
      <c r="H667" s="86"/>
      <c r="I667" s="86"/>
      <c r="J667" s="86"/>
      <c r="K667" s="86"/>
      <c r="L667" s="86"/>
      <c r="M667" s="86"/>
      <c r="N667" s="86"/>
      <c r="O667" s="86"/>
      <c r="P667" s="87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  <c r="AF667" s="81"/>
      <c r="AG667" s="81"/>
      <c r="AH667" s="81"/>
      <c r="AI667" s="81"/>
      <c r="AJ667" s="81"/>
      <c r="AK667" s="81"/>
      <c r="AL667" s="81"/>
      <c r="AM667" s="81"/>
      <c r="AN667" s="81"/>
      <c r="AO667" s="81"/>
      <c r="AP667" s="81"/>
      <c r="AQ667" s="81"/>
      <c r="AR667" s="81"/>
    </row>
    <row r="668" spans="1:44" x14ac:dyDescent="0.4">
      <c r="A668" s="5" t="str">
        <f t="shared" si="49"/>
        <v>SU-RIO CARIBE (ARISMENDI)</v>
      </c>
      <c r="B668" s="5" t="str">
        <f t="shared" si="50"/>
        <v>SU</v>
      </c>
      <c r="C668" s="83" t="s">
        <v>780</v>
      </c>
      <c r="D668" s="82" t="s">
        <v>1386</v>
      </c>
      <c r="E668" s="85">
        <v>97</v>
      </c>
      <c r="F668" s="85"/>
      <c r="G668" s="86"/>
      <c r="H668" s="86"/>
      <c r="I668" s="86"/>
      <c r="J668" s="86"/>
      <c r="K668" s="86"/>
      <c r="L668" s="86"/>
      <c r="M668" s="86"/>
      <c r="N668" s="86"/>
      <c r="O668" s="86"/>
      <c r="P668" s="87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  <c r="AF668" s="81"/>
      <c r="AG668" s="81"/>
      <c r="AH668" s="81"/>
      <c r="AI668" s="81"/>
      <c r="AJ668" s="81"/>
      <c r="AK668" s="81"/>
      <c r="AL668" s="81"/>
      <c r="AM668" s="81"/>
      <c r="AN668" s="81"/>
      <c r="AO668" s="81"/>
      <c r="AP668" s="81"/>
      <c r="AQ668" s="81"/>
      <c r="AR668" s="81"/>
    </row>
    <row r="669" spans="1:44" x14ac:dyDescent="0.4">
      <c r="A669" s="5" t="str">
        <f t="shared" si="49"/>
        <v>SU-ROMULO GALLEGOS</v>
      </c>
      <c r="B669" s="5" t="str">
        <f t="shared" si="50"/>
        <v>SU</v>
      </c>
      <c r="C669" s="83" t="s">
        <v>780</v>
      </c>
      <c r="D669" s="82" t="s">
        <v>995</v>
      </c>
      <c r="E669" s="85">
        <v>22</v>
      </c>
      <c r="F669" s="85"/>
      <c r="G669" s="86"/>
      <c r="H669" s="86"/>
      <c r="I669" s="86"/>
      <c r="J669" s="86"/>
      <c r="K669" s="86"/>
      <c r="L669" s="86"/>
      <c r="M669" s="86"/>
      <c r="N669" s="86"/>
      <c r="O669" s="86"/>
      <c r="P669" s="87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  <c r="AF669" s="81"/>
      <c r="AG669" s="81"/>
      <c r="AH669" s="81"/>
      <c r="AI669" s="81"/>
      <c r="AJ669" s="81"/>
      <c r="AK669" s="81"/>
      <c r="AL669" s="81"/>
      <c r="AM669" s="81"/>
      <c r="AN669" s="81"/>
      <c r="AO669" s="81"/>
      <c r="AP669" s="81"/>
      <c r="AQ669" s="81"/>
      <c r="AR669" s="81"/>
    </row>
    <row r="670" spans="1:44" x14ac:dyDescent="0.4">
      <c r="A670" s="5" t="str">
        <f t="shared" si="49"/>
        <v>SU-SAN  JUAN DE LAS GOLDONAS</v>
      </c>
      <c r="B670" s="5" t="str">
        <f t="shared" si="50"/>
        <v>SU</v>
      </c>
      <c r="C670" s="83" t="s">
        <v>780</v>
      </c>
      <c r="D670" s="82" t="s">
        <v>1387</v>
      </c>
      <c r="E670" s="85">
        <v>6</v>
      </c>
      <c r="F670" s="85"/>
      <c r="G670" s="86"/>
      <c r="H670" s="86"/>
      <c r="I670" s="86"/>
      <c r="J670" s="86"/>
      <c r="K670" s="86"/>
      <c r="L670" s="86"/>
      <c r="M670" s="86"/>
      <c r="N670" s="86"/>
      <c r="O670" s="86"/>
      <c r="P670" s="87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  <c r="AF670" s="81"/>
      <c r="AG670" s="81"/>
      <c r="AH670" s="81"/>
      <c r="AI670" s="81"/>
      <c r="AJ670" s="81"/>
      <c r="AK670" s="81"/>
      <c r="AL670" s="81"/>
      <c r="AM670" s="81"/>
      <c r="AN670" s="81"/>
      <c r="AO670" s="81"/>
      <c r="AP670" s="81"/>
      <c r="AQ670" s="81"/>
      <c r="AR670" s="81"/>
    </row>
    <row r="671" spans="1:44" x14ac:dyDescent="0.4">
      <c r="A671" s="5" t="str">
        <f t="shared" si="49"/>
        <v>SU-SAN ANTONIO DE IRAPA</v>
      </c>
      <c r="B671" s="5" t="str">
        <f t="shared" si="50"/>
        <v>SU</v>
      </c>
      <c r="C671" s="83" t="s">
        <v>780</v>
      </c>
      <c r="D671" s="82" t="s">
        <v>1388</v>
      </c>
      <c r="E671" s="85">
        <v>11</v>
      </c>
      <c r="F671" s="85"/>
      <c r="G671" s="86"/>
      <c r="H671" s="86"/>
      <c r="I671" s="86"/>
      <c r="J671" s="86"/>
      <c r="K671" s="86"/>
      <c r="L671" s="86"/>
      <c r="M671" s="86"/>
      <c r="N671" s="86"/>
      <c r="O671" s="86"/>
      <c r="P671" s="87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  <c r="AF671" s="81"/>
      <c r="AG671" s="81"/>
      <c r="AH671" s="81"/>
      <c r="AI671" s="81"/>
      <c r="AJ671" s="81"/>
      <c r="AK671" s="81"/>
      <c r="AL671" s="81"/>
      <c r="AM671" s="81"/>
      <c r="AN671" s="81"/>
      <c r="AO671" s="81"/>
      <c r="AP671" s="81"/>
      <c r="AQ671" s="81"/>
      <c r="AR671" s="81"/>
    </row>
    <row r="672" spans="1:44" x14ac:dyDescent="0.4">
      <c r="A672" s="5" t="str">
        <f t="shared" si="49"/>
        <v>SU-SAN ANTONIO DEL GOLFO</v>
      </c>
      <c r="B672" s="5" t="str">
        <f t="shared" si="50"/>
        <v>SU</v>
      </c>
      <c r="C672" s="83" t="s">
        <v>780</v>
      </c>
      <c r="D672" s="82" t="s">
        <v>1389</v>
      </c>
      <c r="E672" s="85">
        <v>34</v>
      </c>
      <c r="F672" s="85"/>
      <c r="G672" s="86"/>
      <c r="H672" s="86"/>
      <c r="I672" s="86"/>
      <c r="J672" s="86"/>
      <c r="K672" s="86"/>
      <c r="L672" s="86"/>
      <c r="M672" s="86"/>
      <c r="N672" s="86"/>
      <c r="O672" s="86"/>
      <c r="P672" s="87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  <c r="AF672" s="81"/>
      <c r="AG672" s="81"/>
      <c r="AH672" s="81"/>
      <c r="AI672" s="81"/>
      <c r="AJ672" s="81"/>
      <c r="AK672" s="81"/>
      <c r="AL672" s="81"/>
      <c r="AM672" s="81"/>
      <c r="AN672" s="81"/>
      <c r="AO672" s="81"/>
      <c r="AP672" s="81"/>
      <c r="AQ672" s="81"/>
      <c r="AR672" s="81"/>
    </row>
    <row r="673" spans="1:44" x14ac:dyDescent="0.4">
      <c r="A673" s="5" t="str">
        <f t="shared" si="49"/>
        <v>SU-SAN FERNANDO</v>
      </c>
      <c r="B673" s="5" t="str">
        <f t="shared" si="50"/>
        <v>SU</v>
      </c>
      <c r="C673" s="83" t="s">
        <v>780</v>
      </c>
      <c r="D673" s="82" t="s">
        <v>856</v>
      </c>
      <c r="E673" s="85">
        <v>13</v>
      </c>
      <c r="F673" s="85"/>
      <c r="G673" s="86"/>
      <c r="H673" s="86"/>
      <c r="I673" s="86"/>
      <c r="J673" s="86"/>
      <c r="K673" s="86"/>
      <c r="L673" s="86"/>
      <c r="M673" s="86"/>
      <c r="N673" s="86"/>
      <c r="O673" s="86"/>
      <c r="P673" s="87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  <c r="AF673" s="81"/>
      <c r="AG673" s="81"/>
      <c r="AH673" s="81"/>
      <c r="AI673" s="81"/>
      <c r="AJ673" s="81"/>
      <c r="AK673" s="81"/>
      <c r="AL673" s="81"/>
      <c r="AM673" s="81"/>
      <c r="AN673" s="81"/>
      <c r="AO673" s="81"/>
      <c r="AP673" s="81"/>
      <c r="AQ673" s="81"/>
      <c r="AR673" s="81"/>
    </row>
    <row r="674" spans="1:44" x14ac:dyDescent="0.4">
      <c r="A674" s="5" t="str">
        <f t="shared" si="49"/>
        <v>SU-SAN JOSE DE AREOCUAR</v>
      </c>
      <c r="B674" s="5" t="str">
        <f t="shared" si="50"/>
        <v>SU</v>
      </c>
      <c r="C674" s="83" t="s">
        <v>780</v>
      </c>
      <c r="D674" s="82" t="s">
        <v>1390</v>
      </c>
      <c r="E674" s="85">
        <v>1</v>
      </c>
      <c r="F674" s="85"/>
      <c r="G674" s="86"/>
      <c r="H674" s="86"/>
      <c r="I674" s="86"/>
      <c r="J674" s="86"/>
      <c r="K674" s="86"/>
      <c r="L674" s="86"/>
      <c r="M674" s="86"/>
      <c r="N674" s="86"/>
      <c r="O674" s="86"/>
      <c r="P674" s="87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  <c r="AF674" s="81"/>
      <c r="AG674" s="81"/>
      <c r="AH674" s="81"/>
      <c r="AI674" s="81"/>
      <c r="AJ674" s="81"/>
      <c r="AK674" s="81"/>
      <c r="AL674" s="81"/>
      <c r="AM674" s="81"/>
      <c r="AN674" s="81"/>
      <c r="AO674" s="81"/>
      <c r="AP674" s="81"/>
      <c r="AQ674" s="81"/>
      <c r="AR674" s="81"/>
    </row>
    <row r="675" spans="1:44" x14ac:dyDescent="0.4">
      <c r="A675" s="5" t="str">
        <f t="shared" si="49"/>
        <v>SU-SAN JUAN DE MACARAPANA</v>
      </c>
      <c r="B675" s="5" t="str">
        <f t="shared" si="50"/>
        <v>SU</v>
      </c>
      <c r="C675" s="83" t="s">
        <v>780</v>
      </c>
      <c r="D675" s="82" t="s">
        <v>1391</v>
      </c>
      <c r="E675" s="85">
        <v>14</v>
      </c>
      <c r="F675" s="85"/>
      <c r="G675" s="86"/>
      <c r="H675" s="86"/>
      <c r="I675" s="86"/>
      <c r="J675" s="86"/>
      <c r="K675" s="86"/>
      <c r="L675" s="86"/>
      <c r="M675" s="86"/>
      <c r="N675" s="86"/>
      <c r="O675" s="86"/>
      <c r="P675" s="87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  <c r="AF675" s="81"/>
      <c r="AG675" s="81"/>
      <c r="AH675" s="81"/>
      <c r="AI675" s="81"/>
      <c r="AJ675" s="81"/>
      <c r="AK675" s="81"/>
      <c r="AL675" s="81"/>
      <c r="AM675" s="81"/>
      <c r="AN675" s="81"/>
      <c r="AO675" s="81"/>
      <c r="AP675" s="81"/>
      <c r="AQ675" s="81"/>
      <c r="AR675" s="81"/>
    </row>
    <row r="676" spans="1:44" x14ac:dyDescent="0.4">
      <c r="A676" s="5" t="str">
        <f t="shared" si="49"/>
        <v>SU-SAN LORENZO</v>
      </c>
      <c r="B676" s="5" t="str">
        <f t="shared" si="50"/>
        <v>SU</v>
      </c>
      <c r="C676" s="83" t="s">
        <v>780</v>
      </c>
      <c r="D676" s="82" t="s">
        <v>1392</v>
      </c>
      <c r="E676" s="85">
        <v>13</v>
      </c>
      <c r="F676" s="85"/>
      <c r="G676" s="86"/>
      <c r="H676" s="86"/>
      <c r="I676" s="86"/>
      <c r="J676" s="86"/>
      <c r="K676" s="86"/>
      <c r="L676" s="86"/>
      <c r="M676" s="86"/>
      <c r="N676" s="86"/>
      <c r="O676" s="86"/>
      <c r="P676" s="87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  <c r="AF676" s="81"/>
      <c r="AG676" s="81"/>
      <c r="AH676" s="81"/>
      <c r="AI676" s="81"/>
      <c r="AJ676" s="81"/>
      <c r="AK676" s="81"/>
      <c r="AL676" s="81"/>
      <c r="AM676" s="81"/>
      <c r="AN676" s="81"/>
      <c r="AO676" s="81"/>
      <c r="AP676" s="81"/>
      <c r="AQ676" s="81"/>
      <c r="AR676" s="81"/>
    </row>
    <row r="677" spans="1:44" x14ac:dyDescent="0.4">
      <c r="A677" s="5" t="str">
        <f t="shared" si="49"/>
        <v>SU-SANTA CATALINA</v>
      </c>
      <c r="B677" s="5" t="str">
        <f t="shared" si="50"/>
        <v>SU</v>
      </c>
      <c r="C677" s="83" t="s">
        <v>780</v>
      </c>
      <c r="D677" s="82" t="s">
        <v>928</v>
      </c>
      <c r="E677" s="85">
        <v>484</v>
      </c>
      <c r="F677" s="85"/>
      <c r="G677" s="86"/>
      <c r="H677" s="86"/>
      <c r="I677" s="86"/>
      <c r="J677" s="86"/>
      <c r="K677" s="86"/>
      <c r="L677" s="86"/>
      <c r="M677" s="86"/>
      <c r="N677" s="86"/>
      <c r="O677" s="86"/>
      <c r="P677" s="87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  <c r="AF677" s="81"/>
      <c r="AG677" s="81"/>
      <c r="AH677" s="81"/>
      <c r="AI677" s="81"/>
      <c r="AJ677" s="81"/>
      <c r="AK677" s="81"/>
      <c r="AL677" s="81"/>
      <c r="AM677" s="81"/>
      <c r="AN677" s="81"/>
      <c r="AO677" s="81"/>
      <c r="AP677" s="81"/>
      <c r="AQ677" s="81"/>
      <c r="AR677" s="81"/>
    </row>
    <row r="678" spans="1:44" x14ac:dyDescent="0.4">
      <c r="A678" s="5" t="str">
        <f t="shared" si="49"/>
        <v>SU-SANTA FE</v>
      </c>
      <c r="B678" s="5" t="str">
        <f t="shared" si="50"/>
        <v>SU</v>
      </c>
      <c r="C678" s="83" t="s">
        <v>780</v>
      </c>
      <c r="D678" s="82" t="s">
        <v>1393</v>
      </c>
      <c r="E678" s="85">
        <v>7</v>
      </c>
      <c r="F678" s="85"/>
      <c r="G678" s="86"/>
      <c r="H678" s="86"/>
      <c r="I678" s="86"/>
      <c r="J678" s="86"/>
      <c r="K678" s="86"/>
      <c r="L678" s="86"/>
      <c r="M678" s="86"/>
      <c r="N678" s="86"/>
      <c r="O678" s="86"/>
      <c r="P678" s="87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  <c r="AF678" s="81"/>
      <c r="AG678" s="81"/>
      <c r="AH678" s="81"/>
      <c r="AI678" s="81"/>
      <c r="AJ678" s="81"/>
      <c r="AK678" s="81"/>
      <c r="AL678" s="81"/>
      <c r="AM678" s="81"/>
      <c r="AN678" s="81"/>
      <c r="AO678" s="81"/>
      <c r="AP678" s="81"/>
      <c r="AQ678" s="81"/>
      <c r="AR678" s="81"/>
    </row>
    <row r="679" spans="1:44" x14ac:dyDescent="0.4">
      <c r="A679" s="5" t="str">
        <f t="shared" si="49"/>
        <v>SU-SANTA INES</v>
      </c>
      <c r="B679" s="5" t="str">
        <f t="shared" si="50"/>
        <v>SU</v>
      </c>
      <c r="C679" s="83" t="s">
        <v>780</v>
      </c>
      <c r="D679" s="82" t="s">
        <v>826</v>
      </c>
      <c r="E679" s="85">
        <v>134</v>
      </c>
      <c r="F679" s="85"/>
      <c r="G679" s="86"/>
      <c r="H679" s="86"/>
      <c r="I679" s="86"/>
      <c r="J679" s="86"/>
      <c r="K679" s="86"/>
      <c r="L679" s="86"/>
      <c r="M679" s="86"/>
      <c r="N679" s="86"/>
      <c r="O679" s="86"/>
      <c r="P679" s="87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  <c r="AE679" s="81"/>
      <c r="AF679" s="81"/>
      <c r="AG679" s="81"/>
      <c r="AH679" s="81"/>
      <c r="AI679" s="81"/>
      <c r="AJ679" s="81"/>
      <c r="AK679" s="81"/>
      <c r="AL679" s="81"/>
      <c r="AM679" s="81"/>
      <c r="AN679" s="81"/>
      <c r="AO679" s="81"/>
      <c r="AP679" s="81"/>
      <c r="AQ679" s="81"/>
      <c r="AR679" s="81"/>
    </row>
    <row r="680" spans="1:44" x14ac:dyDescent="0.4">
      <c r="A680" s="5" t="str">
        <f t="shared" si="49"/>
        <v>SU-SANTA ROSA</v>
      </c>
      <c r="B680" s="5" t="str">
        <f t="shared" si="50"/>
        <v>SU</v>
      </c>
      <c r="C680" s="83" t="s">
        <v>780</v>
      </c>
      <c r="D680" s="82" t="s">
        <v>827</v>
      </c>
      <c r="E680" s="85">
        <v>115</v>
      </c>
      <c r="F680" s="85"/>
      <c r="G680" s="86"/>
      <c r="H680" s="86"/>
      <c r="I680" s="86"/>
      <c r="J680" s="86"/>
      <c r="K680" s="86"/>
      <c r="L680" s="86"/>
      <c r="M680" s="86"/>
      <c r="N680" s="86"/>
      <c r="O680" s="86"/>
      <c r="P680" s="87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  <c r="AE680" s="81"/>
      <c r="AF680" s="81"/>
      <c r="AG680" s="81"/>
      <c r="AH680" s="81"/>
      <c r="AI680" s="81"/>
      <c r="AJ680" s="81"/>
      <c r="AK680" s="81"/>
      <c r="AL680" s="81"/>
      <c r="AM680" s="81"/>
      <c r="AN680" s="81"/>
      <c r="AO680" s="81"/>
      <c r="AP680" s="81"/>
      <c r="AQ680" s="81"/>
      <c r="AR680" s="81"/>
    </row>
    <row r="681" spans="1:44" x14ac:dyDescent="0.4">
      <c r="A681" s="5" t="str">
        <f t="shared" si="49"/>
        <v>SU-SANTA TERESA</v>
      </c>
      <c r="B681" s="5" t="str">
        <f t="shared" si="50"/>
        <v>SU</v>
      </c>
      <c r="C681" s="83" t="s">
        <v>780</v>
      </c>
      <c r="D681" s="82" t="s">
        <v>1023</v>
      </c>
      <c r="E681" s="85">
        <v>16</v>
      </c>
      <c r="F681" s="85"/>
      <c r="G681" s="86"/>
      <c r="H681" s="86"/>
      <c r="I681" s="86"/>
      <c r="J681" s="86"/>
      <c r="K681" s="86"/>
      <c r="L681" s="86"/>
      <c r="M681" s="86"/>
      <c r="N681" s="86"/>
      <c r="O681" s="86"/>
      <c r="P681" s="87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  <c r="AE681" s="81"/>
      <c r="AF681" s="81"/>
      <c r="AG681" s="81"/>
      <c r="AH681" s="81"/>
      <c r="AI681" s="81"/>
      <c r="AJ681" s="81"/>
      <c r="AK681" s="81"/>
      <c r="AL681" s="81"/>
      <c r="AM681" s="81"/>
      <c r="AN681" s="81"/>
      <c r="AO681" s="81"/>
      <c r="AP681" s="81"/>
      <c r="AQ681" s="81"/>
      <c r="AR681" s="81"/>
    </row>
    <row r="682" spans="1:44" x14ac:dyDescent="0.4">
      <c r="A682" s="5" t="str">
        <f t="shared" si="49"/>
        <v>SU-SORO</v>
      </c>
      <c r="B682" s="5" t="str">
        <f t="shared" si="50"/>
        <v>SU</v>
      </c>
      <c r="C682" s="83" t="s">
        <v>780</v>
      </c>
      <c r="D682" s="82" t="s">
        <v>1394</v>
      </c>
      <c r="E682" s="85">
        <v>7</v>
      </c>
      <c r="F682" s="85"/>
      <c r="G682" s="86"/>
      <c r="H682" s="86"/>
      <c r="I682" s="86"/>
      <c r="J682" s="86"/>
      <c r="K682" s="86"/>
      <c r="L682" s="86"/>
      <c r="M682" s="86"/>
      <c r="N682" s="86"/>
      <c r="O682" s="86"/>
      <c r="P682" s="87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  <c r="AF682" s="81"/>
      <c r="AG682" s="81"/>
      <c r="AH682" s="81"/>
      <c r="AI682" s="81"/>
      <c r="AJ682" s="81"/>
      <c r="AK682" s="81"/>
      <c r="AL682" s="81"/>
      <c r="AM682" s="81"/>
      <c r="AN682" s="81"/>
      <c r="AO682" s="81"/>
      <c r="AP682" s="81"/>
      <c r="AQ682" s="81"/>
      <c r="AR682" s="81"/>
    </row>
    <row r="683" spans="1:44" x14ac:dyDescent="0.4">
      <c r="A683" s="5" t="str">
        <f t="shared" si="49"/>
        <v>SU-STA. CRUZ DE CARIACO</v>
      </c>
      <c r="B683" s="5" t="str">
        <f t="shared" si="50"/>
        <v>SU</v>
      </c>
      <c r="C683" s="83" t="s">
        <v>780</v>
      </c>
      <c r="D683" s="82" t="s">
        <v>1395</v>
      </c>
      <c r="E683" s="85">
        <v>5</v>
      </c>
      <c r="F683" s="85"/>
      <c r="G683" s="86"/>
      <c r="H683" s="86"/>
      <c r="I683" s="86"/>
      <c r="J683" s="86"/>
      <c r="K683" s="86"/>
      <c r="L683" s="86"/>
      <c r="M683" s="86"/>
      <c r="N683" s="86"/>
      <c r="O683" s="86"/>
      <c r="P683" s="87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  <c r="AE683" s="81"/>
      <c r="AF683" s="81"/>
      <c r="AG683" s="81"/>
      <c r="AH683" s="81"/>
      <c r="AI683" s="81"/>
      <c r="AJ683" s="81"/>
      <c r="AK683" s="81"/>
      <c r="AL683" s="81"/>
      <c r="AM683" s="81"/>
      <c r="AN683" s="81"/>
      <c r="AO683" s="81"/>
      <c r="AP683" s="81"/>
      <c r="AQ683" s="81"/>
      <c r="AR683" s="81"/>
    </row>
    <row r="684" spans="1:44" x14ac:dyDescent="0.4">
      <c r="A684" s="5" t="str">
        <f t="shared" si="49"/>
        <v>SU-STA. MARIA DE CARIACO</v>
      </c>
      <c r="B684" s="5" t="str">
        <f t="shared" si="50"/>
        <v>SU</v>
      </c>
      <c r="C684" s="83" t="s">
        <v>780</v>
      </c>
      <c r="D684" s="82" t="s">
        <v>1396</v>
      </c>
      <c r="E684" s="85">
        <v>15</v>
      </c>
      <c r="F684" s="85"/>
      <c r="G684" s="86"/>
      <c r="H684" s="86"/>
      <c r="I684" s="86"/>
      <c r="J684" s="86"/>
      <c r="K684" s="86"/>
      <c r="L684" s="86"/>
      <c r="M684" s="86"/>
      <c r="N684" s="86"/>
      <c r="O684" s="86"/>
      <c r="P684" s="87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  <c r="AE684" s="81"/>
      <c r="AF684" s="81"/>
      <c r="AG684" s="81"/>
      <c r="AH684" s="81"/>
      <c r="AI684" s="81"/>
      <c r="AJ684" s="81"/>
      <c r="AK684" s="81"/>
      <c r="AL684" s="81"/>
      <c r="AM684" s="81"/>
      <c r="AN684" s="81"/>
      <c r="AO684" s="81"/>
      <c r="AP684" s="81"/>
      <c r="AQ684" s="81"/>
      <c r="AR684" s="81"/>
    </row>
    <row r="685" spans="1:44" x14ac:dyDescent="0.4">
      <c r="A685" s="5" t="str">
        <f t="shared" si="49"/>
        <v>SU-SUCRE (SAN JUAN DE UNARE)</v>
      </c>
      <c r="B685" s="5" t="str">
        <f t="shared" si="50"/>
        <v>SU</v>
      </c>
      <c r="C685" s="83" t="s">
        <v>780</v>
      </c>
      <c r="D685" s="82" t="s">
        <v>1397</v>
      </c>
      <c r="E685" s="85">
        <v>1</v>
      </c>
      <c r="F685" s="85"/>
      <c r="G685" s="86"/>
      <c r="H685" s="86"/>
      <c r="I685" s="86"/>
      <c r="J685" s="86"/>
      <c r="K685" s="86"/>
      <c r="L685" s="86"/>
      <c r="M685" s="86"/>
      <c r="N685" s="86"/>
      <c r="O685" s="86"/>
      <c r="P685" s="87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  <c r="AE685" s="81"/>
      <c r="AF685" s="81"/>
      <c r="AG685" s="81"/>
      <c r="AH685" s="81"/>
      <c r="AI685" s="81"/>
      <c r="AJ685" s="81"/>
      <c r="AK685" s="81"/>
      <c r="AL685" s="81"/>
      <c r="AM685" s="81"/>
      <c r="AN685" s="81"/>
      <c r="AO685" s="81"/>
      <c r="AP685" s="81"/>
      <c r="AQ685" s="81"/>
      <c r="AR685" s="81"/>
    </row>
    <row r="686" spans="1:44" x14ac:dyDescent="0.4">
      <c r="A686" s="5" t="str">
        <f t="shared" si="49"/>
        <v>SU-TAVERA ACOSTA</v>
      </c>
      <c r="B686" s="5" t="str">
        <f t="shared" si="50"/>
        <v>SU</v>
      </c>
      <c r="C686" s="83" t="s">
        <v>780</v>
      </c>
      <c r="D686" s="82" t="s">
        <v>1398</v>
      </c>
      <c r="E686" s="85">
        <v>25</v>
      </c>
      <c r="F686" s="85"/>
      <c r="G686" s="86"/>
      <c r="H686" s="86"/>
      <c r="I686" s="86"/>
      <c r="J686" s="86"/>
      <c r="K686" s="86"/>
      <c r="L686" s="86"/>
      <c r="M686" s="86"/>
      <c r="N686" s="86"/>
      <c r="O686" s="86"/>
      <c r="P686" s="87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  <c r="AE686" s="81"/>
      <c r="AF686" s="81"/>
      <c r="AG686" s="81"/>
      <c r="AH686" s="81"/>
      <c r="AI686" s="81"/>
      <c r="AJ686" s="81"/>
      <c r="AK686" s="81"/>
      <c r="AL686" s="81"/>
      <c r="AM686" s="81"/>
      <c r="AN686" s="81"/>
      <c r="AO686" s="81"/>
      <c r="AP686" s="81"/>
      <c r="AQ686" s="81"/>
      <c r="AR686" s="81"/>
    </row>
    <row r="687" spans="1:44" x14ac:dyDescent="0.4">
      <c r="A687" s="5" t="str">
        <f t="shared" si="49"/>
        <v>SU-TUNAPUICITO</v>
      </c>
      <c r="B687" s="5" t="str">
        <f t="shared" si="50"/>
        <v>SU</v>
      </c>
      <c r="C687" s="83" t="s">
        <v>780</v>
      </c>
      <c r="D687" s="82" t="s">
        <v>1399</v>
      </c>
      <c r="E687" s="85">
        <v>12</v>
      </c>
      <c r="F687" s="85"/>
      <c r="G687" s="86"/>
      <c r="H687" s="86"/>
      <c r="I687" s="86"/>
      <c r="J687" s="86"/>
      <c r="K687" s="86"/>
      <c r="L687" s="86"/>
      <c r="M687" s="86"/>
      <c r="N687" s="86"/>
      <c r="O687" s="86"/>
      <c r="P687" s="87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  <c r="AF687" s="81"/>
      <c r="AG687" s="81"/>
      <c r="AH687" s="81"/>
      <c r="AI687" s="81"/>
      <c r="AJ687" s="81"/>
      <c r="AK687" s="81"/>
      <c r="AL687" s="81"/>
      <c r="AM687" s="81"/>
      <c r="AN687" s="81"/>
      <c r="AO687" s="81"/>
      <c r="AP687" s="81"/>
      <c r="AQ687" s="81"/>
      <c r="AR687" s="81"/>
    </row>
    <row r="688" spans="1:44" x14ac:dyDescent="0.4">
      <c r="A688" s="5" t="str">
        <f t="shared" si="49"/>
        <v>SU-TUNAPUY</v>
      </c>
      <c r="B688" s="5" t="str">
        <f t="shared" si="50"/>
        <v>SU</v>
      </c>
      <c r="C688" s="83" t="s">
        <v>780</v>
      </c>
      <c r="D688" s="82" t="s">
        <v>1400</v>
      </c>
      <c r="E688" s="85">
        <v>18</v>
      </c>
      <c r="F688" s="85"/>
      <c r="G688" s="86"/>
      <c r="H688" s="86"/>
      <c r="I688" s="86"/>
      <c r="J688" s="86"/>
      <c r="K688" s="86"/>
      <c r="L688" s="86"/>
      <c r="M688" s="86"/>
      <c r="N688" s="86"/>
      <c r="O688" s="86"/>
      <c r="P688" s="87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  <c r="AE688" s="81"/>
      <c r="AF688" s="81"/>
      <c r="AG688" s="81"/>
      <c r="AH688" s="81"/>
      <c r="AI688" s="81"/>
      <c r="AJ688" s="81"/>
      <c r="AK688" s="81"/>
      <c r="AL688" s="81"/>
      <c r="AM688" s="81"/>
      <c r="AN688" s="81"/>
      <c r="AO688" s="81"/>
      <c r="AP688" s="81"/>
      <c r="AQ688" s="81"/>
      <c r="AR688" s="81"/>
    </row>
    <row r="689" spans="1:44" x14ac:dyDescent="0.4">
      <c r="A689" s="5" t="str">
        <f t="shared" si="49"/>
        <v>SU-UNION</v>
      </c>
      <c r="B689" s="5" t="str">
        <f t="shared" si="50"/>
        <v>SU</v>
      </c>
      <c r="C689" s="83" t="s">
        <v>780</v>
      </c>
      <c r="D689" s="82" t="s">
        <v>984</v>
      </c>
      <c r="E689" s="85">
        <v>8</v>
      </c>
      <c r="F689" s="85"/>
      <c r="G689" s="86"/>
      <c r="H689" s="86"/>
      <c r="I689" s="86"/>
      <c r="J689" s="86"/>
      <c r="K689" s="86"/>
      <c r="L689" s="86"/>
      <c r="M689" s="86"/>
      <c r="N689" s="86"/>
      <c r="O689" s="86"/>
      <c r="P689" s="87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  <c r="AE689" s="81"/>
      <c r="AF689" s="81"/>
      <c r="AG689" s="81"/>
      <c r="AH689" s="81"/>
      <c r="AI689" s="81"/>
      <c r="AJ689" s="81"/>
      <c r="AK689" s="81"/>
      <c r="AL689" s="81"/>
      <c r="AM689" s="81"/>
      <c r="AN689" s="81"/>
      <c r="AO689" s="81"/>
      <c r="AP689" s="81"/>
      <c r="AQ689" s="81"/>
      <c r="AR689" s="81"/>
    </row>
    <row r="690" spans="1:44" x14ac:dyDescent="0.4">
      <c r="A690" s="5" t="str">
        <f t="shared" si="49"/>
        <v>SU-VALENTIN VALIENTE</v>
      </c>
      <c r="B690" s="5" t="str">
        <f t="shared" si="50"/>
        <v>SU</v>
      </c>
      <c r="C690" s="83" t="s">
        <v>780</v>
      </c>
      <c r="D690" s="82" t="s">
        <v>1401</v>
      </c>
      <c r="E690" s="85">
        <v>561</v>
      </c>
      <c r="F690" s="85"/>
      <c r="G690" s="86"/>
      <c r="H690" s="86"/>
      <c r="I690" s="86"/>
      <c r="J690" s="86"/>
      <c r="K690" s="86"/>
      <c r="L690" s="86"/>
      <c r="M690" s="86"/>
      <c r="N690" s="86"/>
      <c r="O690" s="86"/>
      <c r="P690" s="87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  <c r="AE690" s="81"/>
      <c r="AF690" s="81"/>
      <c r="AG690" s="81"/>
      <c r="AH690" s="81"/>
      <c r="AI690" s="81"/>
      <c r="AJ690" s="81"/>
      <c r="AK690" s="81"/>
      <c r="AL690" s="81"/>
      <c r="AM690" s="81"/>
      <c r="AN690" s="81"/>
      <c r="AO690" s="81"/>
      <c r="AP690" s="81"/>
      <c r="AQ690" s="81"/>
      <c r="AR690" s="81"/>
    </row>
    <row r="691" spans="1:44" x14ac:dyDescent="0.4">
      <c r="A691" s="5" t="str">
        <f t="shared" si="49"/>
        <v>SU-YAGUARAPARO (CAJIGAL)</v>
      </c>
      <c r="B691" s="5" t="str">
        <f t="shared" si="50"/>
        <v>SU</v>
      </c>
      <c r="C691" s="83" t="s">
        <v>780</v>
      </c>
      <c r="D691" s="82" t="s">
        <v>1402</v>
      </c>
      <c r="E691" s="85">
        <v>33</v>
      </c>
      <c r="F691" s="85"/>
      <c r="G691" s="86"/>
      <c r="H691" s="86"/>
      <c r="I691" s="86"/>
      <c r="J691" s="86"/>
      <c r="K691" s="86"/>
      <c r="L691" s="86"/>
      <c r="M691" s="86"/>
      <c r="N691" s="86"/>
      <c r="O691" s="86"/>
      <c r="P691" s="87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  <c r="AF691" s="81"/>
      <c r="AG691" s="81"/>
      <c r="AH691" s="81"/>
      <c r="AI691" s="81"/>
      <c r="AJ691" s="81"/>
      <c r="AK691" s="81"/>
      <c r="AL691" s="81"/>
      <c r="AM691" s="81"/>
      <c r="AN691" s="81"/>
      <c r="AO691" s="81"/>
      <c r="AP691" s="81"/>
      <c r="AQ691" s="81"/>
      <c r="AR691" s="81"/>
    </row>
    <row r="692" spans="1:44" x14ac:dyDescent="0.4">
      <c r="A692" s="5" t="str">
        <f t="shared" si="49"/>
        <v>TA-ANDRES BELLO</v>
      </c>
      <c r="B692" s="5" t="str">
        <f t="shared" si="50"/>
        <v>TA</v>
      </c>
      <c r="C692" s="83" t="s">
        <v>1403</v>
      </c>
      <c r="D692" s="82" t="s">
        <v>894</v>
      </c>
      <c r="E692" s="85">
        <v>42</v>
      </c>
      <c r="F692" s="85"/>
      <c r="G692" s="86"/>
      <c r="H692" s="86"/>
      <c r="I692" s="86"/>
      <c r="J692" s="86"/>
      <c r="K692" s="86"/>
      <c r="L692" s="86"/>
      <c r="M692" s="86"/>
      <c r="N692" s="86"/>
      <c r="O692" s="86"/>
      <c r="P692" s="87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  <c r="AE692" s="81"/>
      <c r="AF692" s="81"/>
      <c r="AG692" s="81"/>
      <c r="AH692" s="81"/>
      <c r="AI692" s="81"/>
      <c r="AJ692" s="81"/>
      <c r="AK692" s="81"/>
      <c r="AL692" s="81"/>
      <c r="AM692" s="81"/>
      <c r="AN692" s="81"/>
      <c r="AO692" s="81"/>
      <c r="AP692" s="81"/>
      <c r="AQ692" s="81"/>
      <c r="AR692" s="81"/>
    </row>
    <row r="693" spans="1:44" x14ac:dyDescent="0.4">
      <c r="A693" s="5" t="str">
        <f t="shared" si="49"/>
        <v>TA-ANTONIO ROMULO ACOSTA</v>
      </c>
      <c r="B693" s="5" t="str">
        <f t="shared" si="50"/>
        <v>TA</v>
      </c>
      <c r="C693" s="83" t="s">
        <v>1403</v>
      </c>
      <c r="D693" s="82" t="s">
        <v>1404</v>
      </c>
      <c r="E693" s="85">
        <v>9</v>
      </c>
      <c r="F693" s="85"/>
      <c r="G693" s="86"/>
      <c r="H693" s="86"/>
      <c r="I693" s="86"/>
      <c r="J693" s="86"/>
      <c r="K693" s="86"/>
      <c r="L693" s="86"/>
      <c r="M693" s="86"/>
      <c r="N693" s="86"/>
      <c r="O693" s="86"/>
      <c r="P693" s="87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  <c r="AE693" s="81"/>
      <c r="AF693" s="81"/>
      <c r="AG693" s="81"/>
      <c r="AH693" s="81"/>
      <c r="AI693" s="81"/>
      <c r="AJ693" s="81"/>
      <c r="AK693" s="81"/>
      <c r="AL693" s="81"/>
      <c r="AM693" s="81"/>
      <c r="AN693" s="81"/>
      <c r="AO693" s="81"/>
      <c r="AP693" s="81"/>
      <c r="AQ693" s="81"/>
      <c r="AR693" s="81"/>
    </row>
    <row r="694" spans="1:44" x14ac:dyDescent="0.4">
      <c r="A694" s="5" t="str">
        <f t="shared" si="49"/>
        <v>TA-AYACUCHO (SAN JUAN DE</v>
      </c>
      <c r="B694" s="5" t="str">
        <f t="shared" si="50"/>
        <v>TA</v>
      </c>
      <c r="C694" s="83" t="s">
        <v>1403</v>
      </c>
      <c r="D694" s="82" t="s">
        <v>1405</v>
      </c>
      <c r="E694" s="85">
        <v>231</v>
      </c>
      <c r="F694" s="85"/>
      <c r="G694" s="86"/>
      <c r="H694" s="86"/>
      <c r="I694" s="86"/>
      <c r="J694" s="86"/>
      <c r="K694" s="86"/>
      <c r="L694" s="86"/>
      <c r="M694" s="86"/>
      <c r="N694" s="86"/>
      <c r="O694" s="86"/>
      <c r="P694" s="87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  <c r="AE694" s="81"/>
      <c r="AF694" s="81"/>
      <c r="AG694" s="81"/>
      <c r="AH694" s="81"/>
      <c r="AI694" s="81"/>
      <c r="AJ694" s="81"/>
      <c r="AK694" s="81"/>
      <c r="AL694" s="81"/>
      <c r="AM694" s="81"/>
      <c r="AN694" s="81"/>
      <c r="AO694" s="81"/>
      <c r="AP694" s="81"/>
      <c r="AQ694" s="81"/>
      <c r="AR694" s="81"/>
    </row>
    <row r="695" spans="1:44" x14ac:dyDescent="0.4">
      <c r="A695" s="5" t="str">
        <f t="shared" si="49"/>
        <v>TA-BOCA DE GRITA</v>
      </c>
      <c r="B695" s="5" t="str">
        <f t="shared" si="50"/>
        <v>TA</v>
      </c>
      <c r="C695" s="83" t="s">
        <v>1403</v>
      </c>
      <c r="D695" s="82" t="s">
        <v>1406</v>
      </c>
      <c r="E695" s="85">
        <v>3</v>
      </c>
      <c r="F695" s="85"/>
      <c r="G695" s="86"/>
      <c r="H695" s="86"/>
      <c r="I695" s="86"/>
      <c r="J695" s="86"/>
      <c r="K695" s="86"/>
      <c r="L695" s="86"/>
      <c r="M695" s="86"/>
      <c r="N695" s="86"/>
      <c r="O695" s="86"/>
      <c r="P695" s="87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  <c r="AE695" s="81"/>
      <c r="AF695" s="81"/>
      <c r="AG695" s="81"/>
      <c r="AH695" s="81"/>
      <c r="AI695" s="81"/>
      <c r="AJ695" s="81"/>
      <c r="AK695" s="81"/>
      <c r="AL695" s="81"/>
      <c r="AM695" s="81"/>
      <c r="AN695" s="81"/>
      <c r="AO695" s="81"/>
      <c r="AP695" s="81"/>
      <c r="AQ695" s="81"/>
      <c r="AR695" s="81"/>
    </row>
    <row r="696" spans="1:44" x14ac:dyDescent="0.4">
      <c r="A696" s="5" t="str">
        <f t="shared" si="49"/>
        <v>TA-BOCONO</v>
      </c>
      <c r="B696" s="5" t="str">
        <f t="shared" si="50"/>
        <v>TA</v>
      </c>
      <c r="C696" s="83" t="s">
        <v>1403</v>
      </c>
      <c r="D696" s="82" t="s">
        <v>1407</v>
      </c>
      <c r="E696" s="85">
        <v>6</v>
      </c>
      <c r="F696" s="85"/>
      <c r="G696" s="86"/>
      <c r="H696" s="86"/>
      <c r="I696" s="86"/>
      <c r="J696" s="86"/>
      <c r="K696" s="86"/>
      <c r="L696" s="86"/>
      <c r="M696" s="86"/>
      <c r="N696" s="86"/>
      <c r="O696" s="86"/>
      <c r="P696" s="87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  <c r="AF696" s="81"/>
      <c r="AG696" s="81"/>
      <c r="AH696" s="81"/>
      <c r="AI696" s="81"/>
      <c r="AJ696" s="81"/>
      <c r="AK696" s="81"/>
      <c r="AL696" s="81"/>
      <c r="AM696" s="81"/>
      <c r="AN696" s="81"/>
      <c r="AO696" s="81"/>
      <c r="AP696" s="81"/>
      <c r="AQ696" s="81"/>
      <c r="AR696" s="81"/>
    </row>
    <row r="697" spans="1:44" ht="14.6" customHeight="1" x14ac:dyDescent="0.4">
      <c r="A697" s="5" t="str">
        <f t="shared" si="49"/>
        <v>TA-BOLIVAR (SAN ANTONIO DEL
TACHIRA)</v>
      </c>
      <c r="B697" s="5" t="str">
        <f t="shared" si="50"/>
        <v>TA</v>
      </c>
      <c r="C697" s="83" t="s">
        <v>1403</v>
      </c>
      <c r="D697" s="84" t="s">
        <v>1408</v>
      </c>
      <c r="E697" s="85">
        <v>196</v>
      </c>
      <c r="F697" s="85"/>
      <c r="G697" s="86"/>
      <c r="H697" s="86"/>
      <c r="I697" s="86"/>
      <c r="J697" s="86"/>
      <c r="K697" s="86"/>
      <c r="L697" s="86"/>
      <c r="M697" s="86"/>
      <c r="N697" s="86"/>
      <c r="O697" s="86"/>
      <c r="P697" s="87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  <c r="AE697" s="81"/>
      <c r="AF697" s="81"/>
      <c r="AG697" s="81"/>
      <c r="AH697" s="81"/>
      <c r="AI697" s="81"/>
      <c r="AJ697" s="81"/>
      <c r="AK697" s="81"/>
      <c r="AL697" s="81"/>
      <c r="AM697" s="81"/>
      <c r="AN697" s="81"/>
      <c r="AO697" s="81"/>
      <c r="AP697" s="81"/>
      <c r="AQ697" s="81"/>
      <c r="AR697" s="81"/>
    </row>
    <row r="698" spans="1:44" x14ac:dyDescent="0.4">
      <c r="A698" s="5" t="str">
        <f t="shared" ref="A698:A761" si="51">+B698&amp;"-"&amp;D698</f>
        <v>TA-BRAMON</v>
      </c>
      <c r="B698" s="5" t="str">
        <f t="shared" ref="B698:B761" si="52">+MID(C698,1,2)</f>
        <v>TA</v>
      </c>
      <c r="C698" s="83" t="s">
        <v>1403</v>
      </c>
      <c r="D698" s="82" t="s">
        <v>1409</v>
      </c>
      <c r="E698" s="85">
        <v>10</v>
      </c>
      <c r="F698" s="85"/>
      <c r="G698" s="86"/>
      <c r="H698" s="86"/>
      <c r="I698" s="86"/>
      <c r="J698" s="86"/>
      <c r="K698" s="86"/>
      <c r="L698" s="86"/>
      <c r="M698" s="86"/>
      <c r="N698" s="86"/>
      <c r="O698" s="86"/>
      <c r="P698" s="87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  <c r="AE698" s="81"/>
      <c r="AF698" s="81"/>
      <c r="AG698" s="81"/>
      <c r="AH698" s="81"/>
      <c r="AI698" s="81"/>
      <c r="AJ698" s="81"/>
      <c r="AK698" s="81"/>
      <c r="AL698" s="81"/>
      <c r="AM698" s="81"/>
      <c r="AN698" s="81"/>
      <c r="AO698" s="81"/>
      <c r="AP698" s="81"/>
      <c r="AQ698" s="81"/>
      <c r="AR698" s="81"/>
    </row>
    <row r="699" spans="1:44" x14ac:dyDescent="0.4">
      <c r="A699" s="5" t="str">
        <f t="shared" si="51"/>
        <v>TA-CARDENAS</v>
      </c>
      <c r="B699" s="5" t="str">
        <f t="shared" si="52"/>
        <v>TA</v>
      </c>
      <c r="C699" s="83" t="s">
        <v>1403</v>
      </c>
      <c r="D699" s="82" t="s">
        <v>1410</v>
      </c>
      <c r="E699" s="85">
        <v>17</v>
      </c>
      <c r="F699" s="85"/>
      <c r="G699" s="86"/>
      <c r="H699" s="86"/>
      <c r="I699" s="86"/>
      <c r="J699" s="86"/>
      <c r="K699" s="86"/>
      <c r="L699" s="86"/>
      <c r="M699" s="86"/>
      <c r="N699" s="86"/>
      <c r="O699" s="86"/>
      <c r="P699" s="87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  <c r="AE699" s="81"/>
      <c r="AF699" s="81"/>
      <c r="AG699" s="81"/>
      <c r="AH699" s="81"/>
      <c r="AI699" s="81"/>
      <c r="AJ699" s="81"/>
      <c r="AK699" s="81"/>
      <c r="AL699" s="81"/>
      <c r="AM699" s="81"/>
      <c r="AN699" s="81"/>
      <c r="AO699" s="81"/>
      <c r="AP699" s="81"/>
      <c r="AQ699" s="81"/>
      <c r="AR699" s="81"/>
    </row>
    <row r="700" spans="1:44" x14ac:dyDescent="0.4">
      <c r="A700" s="5" t="str">
        <f t="shared" si="51"/>
        <v>TA-CARDENAS (TARIBA)</v>
      </c>
      <c r="B700" s="5" t="str">
        <f t="shared" si="52"/>
        <v>TA</v>
      </c>
      <c r="C700" s="83" t="s">
        <v>1403</v>
      </c>
      <c r="D700" s="82" t="s">
        <v>1411</v>
      </c>
      <c r="E700" s="85">
        <v>175</v>
      </c>
      <c r="F700" s="85"/>
      <c r="G700" s="86"/>
      <c r="H700" s="86"/>
      <c r="I700" s="86"/>
      <c r="J700" s="86"/>
      <c r="K700" s="86"/>
      <c r="L700" s="86"/>
      <c r="M700" s="86"/>
      <c r="N700" s="86"/>
      <c r="O700" s="86"/>
      <c r="P700" s="87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  <c r="AE700" s="81"/>
      <c r="AF700" s="81"/>
      <c r="AG700" s="81"/>
      <c r="AH700" s="81"/>
      <c r="AI700" s="81"/>
      <c r="AJ700" s="81"/>
      <c r="AK700" s="81"/>
      <c r="AL700" s="81"/>
      <c r="AM700" s="81"/>
      <c r="AN700" s="81"/>
      <c r="AO700" s="81"/>
      <c r="AP700" s="81"/>
      <c r="AQ700" s="81"/>
      <c r="AR700" s="81"/>
    </row>
    <row r="701" spans="1:44" x14ac:dyDescent="0.4">
      <c r="A701" s="5" t="str">
        <f t="shared" si="51"/>
        <v>TA-CONSTITUCION</v>
      </c>
      <c r="B701" s="5" t="str">
        <f t="shared" si="52"/>
        <v>TA</v>
      </c>
      <c r="C701" s="83" t="s">
        <v>1403</v>
      </c>
      <c r="D701" s="82" t="s">
        <v>1412</v>
      </c>
      <c r="E701" s="85">
        <v>17</v>
      </c>
      <c r="F701" s="85"/>
      <c r="G701" s="86"/>
      <c r="H701" s="86"/>
      <c r="I701" s="86"/>
      <c r="J701" s="86"/>
      <c r="K701" s="86"/>
      <c r="L701" s="86"/>
      <c r="M701" s="86"/>
      <c r="N701" s="86"/>
      <c r="O701" s="86"/>
      <c r="P701" s="87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  <c r="AE701" s="81"/>
      <c r="AF701" s="81"/>
      <c r="AG701" s="81"/>
      <c r="AH701" s="81"/>
      <c r="AI701" s="81"/>
      <c r="AJ701" s="81"/>
      <c r="AK701" s="81"/>
      <c r="AL701" s="81"/>
      <c r="AM701" s="81"/>
      <c r="AN701" s="81"/>
      <c r="AO701" s="81"/>
      <c r="AP701" s="81"/>
      <c r="AQ701" s="81"/>
      <c r="AR701" s="81"/>
    </row>
    <row r="702" spans="1:44" x14ac:dyDescent="0.4">
      <c r="A702" s="5" t="str">
        <f t="shared" si="51"/>
        <v>TA-CORDOBA (MOSEÑOR BERNABE</v>
      </c>
      <c r="B702" s="5" t="str">
        <f t="shared" si="52"/>
        <v>TA</v>
      </c>
      <c r="C702" s="83" t="s">
        <v>1403</v>
      </c>
      <c r="D702" s="82" t="s">
        <v>1413</v>
      </c>
      <c r="E702" s="85">
        <v>77</v>
      </c>
      <c r="F702" s="85"/>
      <c r="G702" s="86"/>
      <c r="H702" s="86"/>
      <c r="I702" s="86"/>
      <c r="J702" s="86"/>
      <c r="K702" s="86"/>
      <c r="L702" s="86"/>
      <c r="M702" s="86"/>
      <c r="N702" s="86"/>
      <c r="O702" s="86"/>
      <c r="P702" s="87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  <c r="AF702" s="81"/>
      <c r="AG702" s="81"/>
      <c r="AH702" s="81"/>
      <c r="AI702" s="81"/>
      <c r="AJ702" s="81"/>
      <c r="AK702" s="81"/>
      <c r="AL702" s="81"/>
      <c r="AM702" s="81"/>
      <c r="AN702" s="81"/>
      <c r="AO702" s="81"/>
      <c r="AP702" s="81"/>
      <c r="AQ702" s="81"/>
      <c r="AR702" s="81"/>
    </row>
    <row r="703" spans="1:44" x14ac:dyDescent="0.4">
      <c r="A703" s="5" t="str">
        <f t="shared" si="51"/>
        <v>TA-DELICIAS</v>
      </c>
      <c r="B703" s="5" t="str">
        <f t="shared" si="52"/>
        <v>TA</v>
      </c>
      <c r="C703" s="83" t="s">
        <v>1403</v>
      </c>
      <c r="D703" s="82" t="s">
        <v>1414</v>
      </c>
      <c r="E703" s="85">
        <v>23</v>
      </c>
      <c r="F703" s="85"/>
      <c r="G703" s="86"/>
      <c r="H703" s="86"/>
      <c r="I703" s="86"/>
      <c r="J703" s="86"/>
      <c r="K703" s="86"/>
      <c r="L703" s="86"/>
      <c r="M703" s="86"/>
      <c r="N703" s="86"/>
      <c r="O703" s="86"/>
      <c r="P703" s="87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  <c r="AF703" s="81"/>
      <c r="AG703" s="81"/>
      <c r="AH703" s="81"/>
      <c r="AI703" s="81"/>
      <c r="AJ703" s="81"/>
      <c r="AK703" s="81"/>
      <c r="AL703" s="81"/>
      <c r="AM703" s="81"/>
      <c r="AN703" s="81"/>
      <c r="AO703" s="81"/>
      <c r="AP703" s="81"/>
      <c r="AQ703" s="81"/>
      <c r="AR703" s="81"/>
    </row>
    <row r="704" spans="1:44" x14ac:dyDescent="0.4">
      <c r="A704" s="5" t="str">
        <f t="shared" si="51"/>
        <v>TA-DORADAS</v>
      </c>
      <c r="B704" s="5" t="str">
        <f t="shared" si="52"/>
        <v>TA</v>
      </c>
      <c r="C704" s="83" t="s">
        <v>1403</v>
      </c>
      <c r="D704" s="82" t="s">
        <v>1415</v>
      </c>
      <c r="E704" s="85">
        <v>13</v>
      </c>
      <c r="F704" s="85"/>
      <c r="G704" s="86"/>
      <c r="H704" s="86"/>
      <c r="I704" s="86"/>
      <c r="J704" s="86"/>
      <c r="K704" s="86"/>
      <c r="L704" s="86"/>
      <c r="M704" s="86"/>
      <c r="N704" s="86"/>
      <c r="O704" s="86"/>
      <c r="P704" s="87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  <c r="AE704" s="81"/>
      <c r="AF704" s="81"/>
      <c r="AG704" s="81"/>
      <c r="AH704" s="81"/>
      <c r="AI704" s="81"/>
      <c r="AJ704" s="81"/>
      <c r="AK704" s="81"/>
      <c r="AL704" s="81"/>
      <c r="AM704" s="81"/>
      <c r="AN704" s="81"/>
      <c r="AO704" s="81"/>
      <c r="AP704" s="81"/>
      <c r="AQ704" s="81"/>
      <c r="AR704" s="81"/>
    </row>
    <row r="705" spans="1:44" x14ac:dyDescent="0.4">
      <c r="A705" s="5" t="str">
        <f t="shared" si="51"/>
        <v>TA-EL PALOTAL</v>
      </c>
      <c r="B705" s="5" t="str">
        <f t="shared" si="52"/>
        <v>TA</v>
      </c>
      <c r="C705" s="83" t="s">
        <v>1403</v>
      </c>
      <c r="D705" s="82" t="s">
        <v>1416</v>
      </c>
      <c r="E705" s="85">
        <v>5</v>
      </c>
      <c r="F705" s="85"/>
      <c r="G705" s="86"/>
      <c r="H705" s="86"/>
      <c r="I705" s="86"/>
      <c r="J705" s="86"/>
      <c r="K705" s="86"/>
      <c r="L705" s="86"/>
      <c r="M705" s="86"/>
      <c r="N705" s="86"/>
      <c r="O705" s="86"/>
      <c r="P705" s="87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  <c r="AE705" s="81"/>
      <c r="AF705" s="81"/>
      <c r="AG705" s="81"/>
      <c r="AH705" s="81"/>
      <c r="AI705" s="81"/>
      <c r="AJ705" s="81"/>
      <c r="AK705" s="81"/>
      <c r="AL705" s="81"/>
      <c r="AM705" s="81"/>
      <c r="AN705" s="81"/>
      <c r="AO705" s="81"/>
      <c r="AP705" s="81"/>
      <c r="AQ705" s="81"/>
      <c r="AR705" s="81"/>
    </row>
    <row r="706" spans="1:44" x14ac:dyDescent="0.4">
      <c r="A706" s="5" t="str">
        <f t="shared" si="51"/>
        <v>TA-EMILIO CONSTANTINO</v>
      </c>
      <c r="B706" s="5" t="str">
        <f t="shared" si="52"/>
        <v>TA</v>
      </c>
      <c r="C706" s="83" t="s">
        <v>1403</v>
      </c>
      <c r="D706" s="82" t="s">
        <v>1417</v>
      </c>
      <c r="E706" s="85">
        <v>11</v>
      </c>
      <c r="F706" s="85"/>
      <c r="G706" s="86"/>
      <c r="H706" s="86"/>
      <c r="I706" s="86"/>
      <c r="J706" s="86"/>
      <c r="K706" s="86"/>
      <c r="L706" s="86"/>
      <c r="M706" s="86"/>
      <c r="N706" s="86"/>
      <c r="O706" s="86"/>
      <c r="P706" s="87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  <c r="AE706" s="81"/>
      <c r="AF706" s="81"/>
      <c r="AG706" s="81"/>
      <c r="AH706" s="81"/>
      <c r="AI706" s="81"/>
      <c r="AJ706" s="81"/>
      <c r="AK706" s="81"/>
      <c r="AL706" s="81"/>
      <c r="AM706" s="81"/>
      <c r="AN706" s="81"/>
      <c r="AO706" s="81"/>
      <c r="AP706" s="81"/>
      <c r="AQ706" s="81"/>
      <c r="AR706" s="81"/>
    </row>
    <row r="707" spans="1:44" x14ac:dyDescent="0.4">
      <c r="A707" s="5" t="str">
        <f t="shared" si="51"/>
        <v>TA-GARCIA DE HEVIA</v>
      </c>
      <c r="B707" s="5" t="str">
        <f t="shared" si="52"/>
        <v>TA</v>
      </c>
      <c r="C707" s="83" t="s">
        <v>1403</v>
      </c>
      <c r="D707" s="82" t="s">
        <v>1418</v>
      </c>
      <c r="E707" s="85">
        <v>122</v>
      </c>
      <c r="F707" s="85"/>
      <c r="G707" s="86"/>
      <c r="H707" s="86"/>
      <c r="I707" s="86"/>
      <c r="J707" s="86"/>
      <c r="K707" s="86"/>
      <c r="L707" s="86"/>
      <c r="M707" s="86"/>
      <c r="N707" s="86"/>
      <c r="O707" s="86"/>
      <c r="P707" s="87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  <c r="AE707" s="81"/>
      <c r="AF707" s="81"/>
      <c r="AG707" s="81"/>
      <c r="AH707" s="81"/>
      <c r="AI707" s="81"/>
      <c r="AJ707" s="81"/>
      <c r="AK707" s="81"/>
      <c r="AL707" s="81"/>
      <c r="AM707" s="81"/>
      <c r="AN707" s="81"/>
      <c r="AO707" s="81"/>
      <c r="AP707" s="81"/>
      <c r="AQ707" s="81"/>
      <c r="AR707" s="81"/>
    </row>
    <row r="708" spans="1:44" x14ac:dyDescent="0.4">
      <c r="A708" s="5" t="str">
        <f t="shared" si="51"/>
        <v>TA-GUASIMOS (PALMIRA)</v>
      </c>
      <c r="B708" s="5" t="str">
        <f t="shared" si="52"/>
        <v>TA</v>
      </c>
      <c r="C708" s="83" t="s">
        <v>1403</v>
      </c>
      <c r="D708" s="82" t="s">
        <v>1419</v>
      </c>
      <c r="E708" s="85">
        <v>65</v>
      </c>
      <c r="F708" s="85"/>
      <c r="G708" s="86"/>
      <c r="H708" s="86"/>
      <c r="I708" s="86"/>
      <c r="J708" s="86"/>
      <c r="K708" s="86"/>
      <c r="L708" s="86"/>
      <c r="M708" s="86"/>
      <c r="N708" s="86"/>
      <c r="O708" s="86"/>
      <c r="P708" s="87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  <c r="AE708" s="81"/>
      <c r="AF708" s="81"/>
      <c r="AG708" s="81"/>
      <c r="AH708" s="81"/>
      <c r="AI708" s="81"/>
      <c r="AJ708" s="81"/>
      <c r="AK708" s="81"/>
      <c r="AL708" s="81"/>
      <c r="AM708" s="81"/>
      <c r="AN708" s="81"/>
      <c r="AO708" s="81"/>
      <c r="AP708" s="81"/>
      <c r="AQ708" s="81"/>
      <c r="AR708" s="81"/>
    </row>
    <row r="709" spans="1:44" x14ac:dyDescent="0.4">
      <c r="A709" s="5" t="str">
        <f t="shared" si="51"/>
        <v>TA-HERNANDEZ</v>
      </c>
      <c r="B709" s="5" t="str">
        <f t="shared" si="52"/>
        <v>TA</v>
      </c>
      <c r="C709" s="83" t="s">
        <v>1403</v>
      </c>
      <c r="D709" s="82" t="s">
        <v>1420</v>
      </c>
      <c r="E709" s="85">
        <v>3</v>
      </c>
      <c r="F709" s="85"/>
      <c r="G709" s="86"/>
      <c r="H709" s="86"/>
      <c r="I709" s="86"/>
      <c r="J709" s="86"/>
      <c r="K709" s="86"/>
      <c r="L709" s="86"/>
      <c r="M709" s="86"/>
      <c r="N709" s="86"/>
      <c r="O709" s="86"/>
      <c r="P709" s="87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  <c r="AE709" s="81"/>
      <c r="AF709" s="81"/>
      <c r="AG709" s="81"/>
      <c r="AH709" s="81"/>
      <c r="AI709" s="81"/>
      <c r="AJ709" s="81"/>
      <c r="AK709" s="81"/>
      <c r="AL709" s="81"/>
      <c r="AM709" s="81"/>
      <c r="AN709" s="81"/>
      <c r="AO709" s="81"/>
      <c r="AP709" s="81"/>
      <c r="AQ709" s="81"/>
      <c r="AR709" s="81"/>
    </row>
    <row r="710" spans="1:44" x14ac:dyDescent="0.4">
      <c r="A710" s="5" t="str">
        <f t="shared" si="51"/>
        <v>TA-INDEPENDENCIA (CAPACHO)</v>
      </c>
      <c r="B710" s="5" t="str">
        <f t="shared" si="52"/>
        <v>TA</v>
      </c>
      <c r="C710" s="83" t="s">
        <v>1403</v>
      </c>
      <c r="D710" s="82" t="s">
        <v>1421</v>
      </c>
      <c r="E710" s="85">
        <v>79</v>
      </c>
      <c r="F710" s="85"/>
      <c r="G710" s="86"/>
      <c r="H710" s="86"/>
      <c r="I710" s="86"/>
      <c r="J710" s="86"/>
      <c r="K710" s="86"/>
      <c r="L710" s="86"/>
      <c r="M710" s="86"/>
      <c r="N710" s="86"/>
      <c r="O710" s="86"/>
      <c r="P710" s="87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  <c r="AE710" s="81"/>
      <c r="AF710" s="81"/>
      <c r="AG710" s="81"/>
      <c r="AH710" s="81"/>
      <c r="AI710" s="81"/>
      <c r="AJ710" s="81"/>
      <c r="AK710" s="81"/>
      <c r="AL710" s="81"/>
      <c r="AM710" s="81"/>
      <c r="AN710" s="81"/>
      <c r="AO710" s="81"/>
      <c r="AP710" s="81"/>
      <c r="AQ710" s="81"/>
      <c r="AR710" s="81"/>
    </row>
    <row r="711" spans="1:44" x14ac:dyDescent="0.4">
      <c r="A711" s="5" t="str">
        <f t="shared" si="51"/>
        <v>TA-JAUREGUI (LA GRITA)</v>
      </c>
      <c r="B711" s="5" t="str">
        <f t="shared" si="52"/>
        <v>TA</v>
      </c>
      <c r="C711" s="83" t="s">
        <v>1403</v>
      </c>
      <c r="D711" s="82" t="s">
        <v>1422</v>
      </c>
      <c r="E711" s="85">
        <v>210</v>
      </c>
      <c r="F711" s="85"/>
      <c r="G711" s="86"/>
      <c r="H711" s="86"/>
      <c r="I711" s="86"/>
      <c r="J711" s="86"/>
      <c r="K711" s="86"/>
      <c r="L711" s="86"/>
      <c r="M711" s="86"/>
      <c r="N711" s="86"/>
      <c r="O711" s="86"/>
      <c r="P711" s="87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  <c r="AE711" s="81"/>
      <c r="AF711" s="81"/>
      <c r="AG711" s="81"/>
      <c r="AH711" s="81"/>
      <c r="AI711" s="81"/>
      <c r="AJ711" s="81"/>
      <c r="AK711" s="81"/>
      <c r="AL711" s="81"/>
      <c r="AM711" s="81"/>
      <c r="AN711" s="81"/>
      <c r="AO711" s="81"/>
      <c r="AP711" s="81"/>
      <c r="AQ711" s="81"/>
      <c r="AR711" s="81"/>
    </row>
    <row r="712" spans="1:44" x14ac:dyDescent="0.4">
      <c r="A712" s="5" t="str">
        <f t="shared" si="51"/>
        <v>TA-JOSE ANTONIO PAEZ</v>
      </c>
      <c r="B712" s="5" t="str">
        <f t="shared" si="52"/>
        <v>TA</v>
      </c>
      <c r="C712" s="83" t="s">
        <v>1403</v>
      </c>
      <c r="D712" s="82" t="s">
        <v>1423</v>
      </c>
      <c r="E712" s="85">
        <v>10</v>
      </c>
      <c r="F712" s="85"/>
      <c r="G712" s="86"/>
      <c r="H712" s="86"/>
      <c r="I712" s="86"/>
      <c r="J712" s="86"/>
      <c r="K712" s="86"/>
      <c r="L712" s="86"/>
      <c r="M712" s="86"/>
      <c r="N712" s="86"/>
      <c r="O712" s="86"/>
      <c r="P712" s="87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  <c r="AE712" s="81"/>
      <c r="AF712" s="81"/>
      <c r="AG712" s="81"/>
      <c r="AH712" s="81"/>
      <c r="AI712" s="81"/>
      <c r="AJ712" s="81"/>
      <c r="AK712" s="81"/>
      <c r="AL712" s="81"/>
      <c r="AM712" s="81"/>
      <c r="AN712" s="81"/>
      <c r="AO712" s="81"/>
      <c r="AP712" s="81"/>
      <c r="AQ712" s="81"/>
      <c r="AR712" s="81"/>
    </row>
    <row r="713" spans="1:44" x14ac:dyDescent="0.4">
      <c r="A713" s="5" t="str">
        <f t="shared" si="51"/>
        <v>TA-JOSE LUCIO BERERRA</v>
      </c>
      <c r="B713" s="5" t="str">
        <f t="shared" si="52"/>
        <v>TA</v>
      </c>
      <c r="C713" s="83" t="s">
        <v>1403</v>
      </c>
      <c r="D713" s="82" t="s">
        <v>1424</v>
      </c>
      <c r="E713" s="85">
        <v>1</v>
      </c>
      <c r="F713" s="85"/>
      <c r="G713" s="86"/>
      <c r="H713" s="86"/>
      <c r="I713" s="86"/>
      <c r="J713" s="86"/>
      <c r="K713" s="86"/>
      <c r="L713" s="86"/>
      <c r="M713" s="86"/>
      <c r="N713" s="86"/>
      <c r="O713" s="86"/>
      <c r="P713" s="87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  <c r="AE713" s="81"/>
      <c r="AF713" s="81"/>
      <c r="AG713" s="81"/>
      <c r="AH713" s="81"/>
      <c r="AI713" s="81"/>
      <c r="AJ713" s="81"/>
      <c r="AK713" s="81"/>
      <c r="AL713" s="81"/>
      <c r="AM713" s="81"/>
      <c r="AN713" s="81"/>
      <c r="AO713" s="81"/>
      <c r="AP713" s="81"/>
      <c r="AQ713" s="81"/>
      <c r="AR713" s="81"/>
    </row>
    <row r="714" spans="1:44" x14ac:dyDescent="0.4">
      <c r="A714" s="5" t="str">
        <f t="shared" si="51"/>
        <v>TA-JUNIN (RUBIO)</v>
      </c>
      <c r="B714" s="5" t="str">
        <f t="shared" si="52"/>
        <v>TA</v>
      </c>
      <c r="C714" s="83" t="s">
        <v>1403</v>
      </c>
      <c r="D714" s="82" t="s">
        <v>1425</v>
      </c>
      <c r="E714" s="85">
        <v>256</v>
      </c>
      <c r="F714" s="85"/>
      <c r="G714" s="86"/>
      <c r="H714" s="86"/>
      <c r="I714" s="86"/>
      <c r="J714" s="86"/>
      <c r="K714" s="86"/>
      <c r="L714" s="86"/>
      <c r="M714" s="86"/>
      <c r="N714" s="86"/>
      <c r="O714" s="86"/>
      <c r="P714" s="87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  <c r="AE714" s="81"/>
      <c r="AF714" s="81"/>
      <c r="AG714" s="81"/>
      <c r="AH714" s="81"/>
      <c r="AI714" s="81"/>
      <c r="AJ714" s="81"/>
      <c r="AK714" s="81"/>
      <c r="AL714" s="81"/>
      <c r="AM714" s="81"/>
      <c r="AN714" s="81"/>
      <c r="AO714" s="81"/>
      <c r="AP714" s="81"/>
      <c r="AQ714" s="81"/>
      <c r="AR714" s="81"/>
    </row>
    <row r="715" spans="1:44" x14ac:dyDescent="0.4">
      <c r="A715" s="5" t="str">
        <f t="shared" si="51"/>
        <v>TA-LA CONCORDIA</v>
      </c>
      <c r="B715" s="5" t="str">
        <f t="shared" si="52"/>
        <v>TA</v>
      </c>
      <c r="C715" s="83" t="s">
        <v>1403</v>
      </c>
      <c r="D715" s="82" t="s">
        <v>1426</v>
      </c>
      <c r="E715" s="85">
        <v>1560</v>
      </c>
      <c r="F715" s="85"/>
      <c r="G715" s="86"/>
      <c r="H715" s="86"/>
      <c r="I715" s="86"/>
      <c r="J715" s="86"/>
      <c r="K715" s="86"/>
      <c r="L715" s="86"/>
      <c r="M715" s="86"/>
      <c r="N715" s="86"/>
      <c r="O715" s="86"/>
      <c r="P715" s="87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  <c r="AE715" s="81"/>
      <c r="AF715" s="81"/>
      <c r="AG715" s="81"/>
      <c r="AH715" s="81"/>
      <c r="AI715" s="81"/>
      <c r="AJ715" s="81"/>
      <c r="AK715" s="81"/>
      <c r="AL715" s="81"/>
      <c r="AM715" s="81"/>
      <c r="AN715" s="81"/>
      <c r="AO715" s="81"/>
      <c r="AP715" s="81"/>
      <c r="AQ715" s="81"/>
      <c r="AR715" s="81"/>
    </row>
    <row r="716" spans="1:44" x14ac:dyDescent="0.4">
      <c r="A716" s="5" t="str">
        <f t="shared" si="51"/>
        <v>TA-LA FLORIDA</v>
      </c>
      <c r="B716" s="5" t="str">
        <f t="shared" si="52"/>
        <v>TA</v>
      </c>
      <c r="C716" s="83" t="s">
        <v>1403</v>
      </c>
      <c r="D716" s="82" t="s">
        <v>1427</v>
      </c>
      <c r="E716" s="85">
        <v>11</v>
      </c>
      <c r="F716" s="85"/>
      <c r="G716" s="86"/>
      <c r="H716" s="86"/>
      <c r="I716" s="86"/>
      <c r="J716" s="86"/>
      <c r="K716" s="86"/>
      <c r="L716" s="86"/>
      <c r="M716" s="86"/>
      <c r="N716" s="86"/>
      <c r="O716" s="86"/>
      <c r="P716" s="87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  <c r="AF716" s="81"/>
      <c r="AG716" s="81"/>
      <c r="AH716" s="81"/>
      <c r="AI716" s="81"/>
      <c r="AJ716" s="81"/>
      <c r="AK716" s="81"/>
      <c r="AL716" s="81"/>
      <c r="AM716" s="81"/>
      <c r="AN716" s="81"/>
      <c r="AO716" s="81"/>
      <c r="AP716" s="81"/>
      <c r="AQ716" s="81"/>
      <c r="AR716" s="81"/>
    </row>
    <row r="717" spans="1:44" x14ac:dyDescent="0.4">
      <c r="A717" s="5" t="str">
        <f t="shared" si="51"/>
        <v>TA-LA PALMITA</v>
      </c>
      <c r="B717" s="5" t="str">
        <f t="shared" si="52"/>
        <v>TA</v>
      </c>
      <c r="C717" s="83" t="s">
        <v>1403</v>
      </c>
      <c r="D717" s="82" t="s">
        <v>1428</v>
      </c>
      <c r="E717" s="85">
        <v>4</v>
      </c>
      <c r="F717" s="85"/>
      <c r="G717" s="86"/>
      <c r="H717" s="86"/>
      <c r="I717" s="86"/>
      <c r="J717" s="86"/>
      <c r="K717" s="86"/>
      <c r="L717" s="86"/>
      <c r="M717" s="86"/>
      <c r="N717" s="86"/>
      <c r="O717" s="86"/>
      <c r="P717" s="87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  <c r="AE717" s="81"/>
      <c r="AF717" s="81"/>
      <c r="AG717" s="81"/>
      <c r="AH717" s="81"/>
      <c r="AI717" s="81"/>
      <c r="AJ717" s="81"/>
      <c r="AK717" s="81"/>
      <c r="AL717" s="81"/>
      <c r="AM717" s="81"/>
      <c r="AN717" s="81"/>
      <c r="AO717" s="81"/>
      <c r="AP717" s="81"/>
      <c r="AQ717" s="81"/>
      <c r="AR717" s="81"/>
    </row>
    <row r="718" spans="1:44" x14ac:dyDescent="0.4">
      <c r="A718" s="5" t="str">
        <f t="shared" si="51"/>
        <v>TA-LIBERTAD</v>
      </c>
      <c r="B718" s="5" t="str">
        <f t="shared" si="52"/>
        <v>TA</v>
      </c>
      <c r="C718" s="83" t="s">
        <v>1403</v>
      </c>
      <c r="D718" s="82" t="s">
        <v>914</v>
      </c>
      <c r="E718" s="85">
        <v>70</v>
      </c>
      <c r="F718" s="85"/>
      <c r="G718" s="86"/>
      <c r="H718" s="86"/>
      <c r="I718" s="86"/>
      <c r="J718" s="86"/>
      <c r="K718" s="86"/>
      <c r="L718" s="86"/>
      <c r="M718" s="86"/>
      <c r="N718" s="86"/>
      <c r="O718" s="86"/>
      <c r="P718" s="87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  <c r="AE718" s="81"/>
      <c r="AF718" s="81"/>
      <c r="AG718" s="81"/>
      <c r="AH718" s="81"/>
      <c r="AI718" s="81"/>
      <c r="AJ718" s="81"/>
      <c r="AK718" s="81"/>
      <c r="AL718" s="81"/>
      <c r="AM718" s="81"/>
      <c r="AN718" s="81"/>
      <c r="AO718" s="81"/>
      <c r="AP718" s="81"/>
      <c r="AQ718" s="81"/>
      <c r="AR718" s="81"/>
    </row>
    <row r="719" spans="1:44" ht="14.6" customHeight="1" x14ac:dyDescent="0.4">
      <c r="A719" s="5" t="str">
        <f t="shared" si="51"/>
        <v>TA-LIBERTADOR (SAN ANTONIO DE
CAPARO)</v>
      </c>
      <c r="B719" s="5" t="str">
        <f t="shared" si="52"/>
        <v>TA</v>
      </c>
      <c r="C719" s="83" t="s">
        <v>1403</v>
      </c>
      <c r="D719" s="84" t="s">
        <v>1429</v>
      </c>
      <c r="E719" s="85">
        <v>41</v>
      </c>
      <c r="F719" s="85"/>
      <c r="G719" s="86"/>
      <c r="H719" s="86"/>
      <c r="I719" s="86"/>
      <c r="J719" s="86"/>
      <c r="K719" s="86"/>
      <c r="L719" s="86"/>
      <c r="M719" s="86"/>
      <c r="N719" s="86"/>
      <c r="O719" s="86"/>
      <c r="P719" s="87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  <c r="AE719" s="81"/>
      <c r="AF719" s="81"/>
      <c r="AG719" s="81"/>
      <c r="AH719" s="81"/>
      <c r="AI719" s="81"/>
      <c r="AJ719" s="81"/>
      <c r="AK719" s="81"/>
      <c r="AL719" s="81"/>
      <c r="AM719" s="81"/>
      <c r="AN719" s="81"/>
      <c r="AO719" s="81"/>
      <c r="AP719" s="81"/>
      <c r="AQ719" s="81"/>
      <c r="AR719" s="81"/>
    </row>
    <row r="720" spans="1:44" x14ac:dyDescent="0.4">
      <c r="A720" s="5" t="str">
        <f t="shared" si="51"/>
        <v>TA-LOBATERA</v>
      </c>
      <c r="B720" s="5" t="str">
        <f t="shared" si="52"/>
        <v>TA</v>
      </c>
      <c r="C720" s="83" t="s">
        <v>1403</v>
      </c>
      <c r="D720" s="82" t="s">
        <v>1430</v>
      </c>
      <c r="E720" s="85">
        <v>35</v>
      </c>
      <c r="F720" s="85"/>
      <c r="G720" s="86"/>
      <c r="H720" s="86"/>
      <c r="I720" s="86"/>
      <c r="J720" s="86"/>
      <c r="K720" s="86"/>
      <c r="L720" s="86"/>
      <c r="M720" s="86"/>
      <c r="N720" s="86"/>
      <c r="O720" s="86"/>
      <c r="P720" s="87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  <c r="AE720" s="81"/>
      <c r="AF720" s="81"/>
      <c r="AG720" s="81"/>
      <c r="AH720" s="81"/>
      <c r="AI720" s="81"/>
      <c r="AJ720" s="81"/>
      <c r="AK720" s="81"/>
      <c r="AL720" s="81"/>
      <c r="AM720" s="81"/>
      <c r="AN720" s="81"/>
      <c r="AO720" s="81"/>
      <c r="AP720" s="81"/>
      <c r="AQ720" s="81"/>
      <c r="AR720" s="81"/>
    </row>
    <row r="721" spans="1:44" ht="14.6" customHeight="1" x14ac:dyDescent="0.4">
      <c r="A721" s="5" t="str">
        <f t="shared" si="51"/>
        <v>TA-MICHELENA (JOSE ARMANDO
PEREZ)</v>
      </c>
      <c r="B721" s="5" t="str">
        <f t="shared" si="52"/>
        <v>TA</v>
      </c>
      <c r="C721" s="83" t="s">
        <v>1403</v>
      </c>
      <c r="D721" s="84" t="s">
        <v>1431</v>
      </c>
      <c r="E721" s="85">
        <v>61</v>
      </c>
      <c r="F721" s="85"/>
      <c r="G721" s="86"/>
      <c r="H721" s="86"/>
      <c r="I721" s="86"/>
      <c r="J721" s="86"/>
      <c r="K721" s="86"/>
      <c r="L721" s="86"/>
      <c r="M721" s="86"/>
      <c r="N721" s="86"/>
      <c r="O721" s="86"/>
      <c r="P721" s="87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  <c r="AE721" s="81"/>
      <c r="AF721" s="81"/>
      <c r="AG721" s="81"/>
      <c r="AH721" s="81"/>
      <c r="AI721" s="81"/>
      <c r="AJ721" s="81"/>
      <c r="AK721" s="81"/>
      <c r="AL721" s="81"/>
      <c r="AM721" s="81"/>
      <c r="AN721" s="81"/>
      <c r="AO721" s="81"/>
      <c r="AP721" s="81"/>
      <c r="AQ721" s="81"/>
      <c r="AR721" s="81"/>
    </row>
    <row r="722" spans="1:44" x14ac:dyDescent="0.4">
      <c r="A722" s="5" t="str">
        <f t="shared" si="51"/>
        <v>TA-MONSEÑOR FERNANDEZ FEO</v>
      </c>
      <c r="B722" s="5" t="str">
        <f t="shared" si="52"/>
        <v>TA</v>
      </c>
      <c r="C722" s="83" t="s">
        <v>1403</v>
      </c>
      <c r="D722" s="82" t="s">
        <v>1432</v>
      </c>
      <c r="E722" s="85">
        <v>127</v>
      </c>
      <c r="F722" s="85"/>
      <c r="G722" s="86"/>
      <c r="H722" s="86"/>
      <c r="I722" s="86"/>
      <c r="J722" s="86"/>
      <c r="K722" s="86"/>
      <c r="L722" s="86"/>
      <c r="M722" s="86"/>
      <c r="N722" s="86"/>
      <c r="O722" s="86"/>
      <c r="P722" s="87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  <c r="AE722" s="81"/>
      <c r="AF722" s="81"/>
      <c r="AG722" s="81"/>
      <c r="AH722" s="81"/>
      <c r="AI722" s="81"/>
      <c r="AJ722" s="81"/>
      <c r="AK722" s="81"/>
      <c r="AL722" s="81"/>
      <c r="AM722" s="81"/>
      <c r="AN722" s="81"/>
      <c r="AO722" s="81"/>
      <c r="AP722" s="81"/>
      <c r="AQ722" s="81"/>
      <c r="AR722" s="81"/>
    </row>
    <row r="723" spans="1:44" x14ac:dyDescent="0.4">
      <c r="A723" s="5" t="str">
        <f t="shared" si="51"/>
        <v>TA-NUEVA ARCADIA</v>
      </c>
      <c r="B723" s="5" t="str">
        <f t="shared" si="52"/>
        <v>TA</v>
      </c>
      <c r="C723" s="83" t="s">
        <v>1403</v>
      </c>
      <c r="D723" s="82" t="s">
        <v>1433</v>
      </c>
      <c r="E723" s="85">
        <v>30</v>
      </c>
      <c r="F723" s="85"/>
      <c r="G723" s="86"/>
      <c r="H723" s="86"/>
      <c r="I723" s="86"/>
      <c r="J723" s="86"/>
      <c r="K723" s="86"/>
      <c r="L723" s="86"/>
      <c r="M723" s="86"/>
      <c r="N723" s="86"/>
      <c r="O723" s="86"/>
      <c r="P723" s="87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  <c r="AE723" s="81"/>
      <c r="AF723" s="81"/>
      <c r="AG723" s="81"/>
      <c r="AH723" s="81"/>
      <c r="AI723" s="81"/>
      <c r="AJ723" s="81"/>
      <c r="AK723" s="81"/>
      <c r="AL723" s="81"/>
      <c r="AM723" s="81"/>
      <c r="AN723" s="81"/>
      <c r="AO723" s="81"/>
      <c r="AP723" s="81"/>
      <c r="AQ723" s="81"/>
      <c r="AR723" s="81"/>
    </row>
    <row r="724" spans="1:44" ht="14.6" customHeight="1" x14ac:dyDescent="0.4">
      <c r="A724" s="5" t="str">
        <f t="shared" si="51"/>
        <v>TA-PANAMERICANO (JOSE
TRINIDAD COLMENARES)</v>
      </c>
      <c r="B724" s="5" t="str">
        <f t="shared" si="52"/>
        <v>TA</v>
      </c>
      <c r="C724" s="83" t="s">
        <v>1403</v>
      </c>
      <c r="D724" s="84" t="s">
        <v>1434</v>
      </c>
      <c r="E724" s="85">
        <v>131</v>
      </c>
      <c r="F724" s="85"/>
      <c r="G724" s="86"/>
      <c r="H724" s="86"/>
      <c r="I724" s="86"/>
      <c r="J724" s="86"/>
      <c r="K724" s="86"/>
      <c r="L724" s="86"/>
      <c r="M724" s="86"/>
      <c r="N724" s="86"/>
      <c r="O724" s="86"/>
      <c r="P724" s="87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  <c r="AE724" s="81"/>
      <c r="AF724" s="81"/>
      <c r="AG724" s="81"/>
      <c r="AH724" s="81"/>
      <c r="AI724" s="81"/>
      <c r="AJ724" s="81"/>
      <c r="AK724" s="81"/>
      <c r="AL724" s="81"/>
      <c r="AM724" s="81"/>
      <c r="AN724" s="81"/>
      <c r="AO724" s="81"/>
      <c r="AP724" s="81"/>
      <c r="AQ724" s="81"/>
      <c r="AR724" s="81"/>
    </row>
    <row r="725" spans="1:44" x14ac:dyDescent="0.4">
      <c r="A725" s="5" t="str">
        <f t="shared" si="51"/>
        <v>TA-PEDRO M. MORANTES</v>
      </c>
      <c r="B725" s="5" t="str">
        <f t="shared" si="52"/>
        <v>TA</v>
      </c>
      <c r="C725" s="83" t="s">
        <v>1403</v>
      </c>
      <c r="D725" s="82" t="s">
        <v>1435</v>
      </c>
      <c r="E725" s="85">
        <v>138</v>
      </c>
      <c r="F725" s="85"/>
      <c r="G725" s="86"/>
      <c r="H725" s="86"/>
      <c r="I725" s="86"/>
      <c r="J725" s="86"/>
      <c r="K725" s="86"/>
      <c r="L725" s="86"/>
      <c r="M725" s="86"/>
      <c r="N725" s="86"/>
      <c r="O725" s="86"/>
      <c r="P725" s="87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  <c r="AF725" s="81"/>
      <c r="AG725" s="81"/>
      <c r="AH725" s="81"/>
      <c r="AI725" s="81"/>
      <c r="AJ725" s="81"/>
      <c r="AK725" s="81"/>
      <c r="AL725" s="81"/>
      <c r="AM725" s="81"/>
      <c r="AN725" s="81"/>
      <c r="AO725" s="81"/>
      <c r="AP725" s="81"/>
      <c r="AQ725" s="81"/>
      <c r="AR725" s="81"/>
    </row>
    <row r="726" spans="1:44" ht="14.6" customHeight="1" x14ac:dyDescent="0.4">
      <c r="A726" s="5" t="str">
        <f t="shared" si="51"/>
        <v>TA-PEDRO MARIA UREÑA (SAN
JUAN DE UREÑA)</v>
      </c>
      <c r="B726" s="5" t="str">
        <f t="shared" si="52"/>
        <v>TA</v>
      </c>
      <c r="C726" s="83" t="s">
        <v>1403</v>
      </c>
      <c r="D726" s="84" t="s">
        <v>1436</v>
      </c>
      <c r="E726" s="85">
        <v>56</v>
      </c>
      <c r="F726" s="85"/>
      <c r="G726" s="86"/>
      <c r="H726" s="86"/>
      <c r="I726" s="86"/>
      <c r="J726" s="86"/>
      <c r="K726" s="86"/>
      <c r="L726" s="86"/>
      <c r="M726" s="86"/>
      <c r="N726" s="86"/>
      <c r="O726" s="86"/>
      <c r="P726" s="87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  <c r="AF726" s="81"/>
      <c r="AG726" s="81"/>
      <c r="AH726" s="81"/>
      <c r="AI726" s="81"/>
      <c r="AJ726" s="81"/>
      <c r="AK726" s="81"/>
      <c r="AL726" s="81"/>
      <c r="AM726" s="81"/>
      <c r="AN726" s="81"/>
      <c r="AO726" s="81"/>
      <c r="AP726" s="81"/>
      <c r="AQ726" s="81"/>
      <c r="AR726" s="81"/>
    </row>
    <row r="727" spans="1:44" x14ac:dyDescent="0.4">
      <c r="A727" s="5" t="str">
        <f t="shared" si="51"/>
        <v>TA-POTOSI</v>
      </c>
      <c r="B727" s="5" t="str">
        <f t="shared" si="52"/>
        <v>TA</v>
      </c>
      <c r="C727" s="83" t="s">
        <v>1403</v>
      </c>
      <c r="D727" s="82" t="s">
        <v>1437</v>
      </c>
      <c r="E727" s="85">
        <v>13</v>
      </c>
      <c r="F727" s="85"/>
      <c r="G727" s="86"/>
      <c r="H727" s="86"/>
      <c r="I727" s="86"/>
      <c r="J727" s="86"/>
      <c r="K727" s="86"/>
      <c r="L727" s="86"/>
      <c r="M727" s="86"/>
      <c r="N727" s="86"/>
      <c r="O727" s="86"/>
      <c r="P727" s="87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  <c r="AE727" s="81"/>
      <c r="AF727" s="81"/>
      <c r="AG727" s="81"/>
      <c r="AH727" s="81"/>
      <c r="AI727" s="81"/>
      <c r="AJ727" s="81"/>
      <c r="AK727" s="81"/>
      <c r="AL727" s="81"/>
      <c r="AM727" s="81"/>
      <c r="AN727" s="81"/>
      <c r="AO727" s="81"/>
      <c r="AP727" s="81"/>
      <c r="AQ727" s="81"/>
      <c r="AR727" s="81"/>
    </row>
    <row r="728" spans="1:44" x14ac:dyDescent="0.4">
      <c r="A728" s="5" t="str">
        <f t="shared" si="51"/>
        <v>TA-QUINIQUEA (SUCRE)</v>
      </c>
      <c r="B728" s="5" t="str">
        <f t="shared" si="52"/>
        <v>TA</v>
      </c>
      <c r="C728" s="83" t="s">
        <v>1403</v>
      </c>
      <c r="D728" s="82" t="s">
        <v>1438</v>
      </c>
      <c r="E728" s="85">
        <v>35</v>
      </c>
      <c r="F728" s="85"/>
      <c r="G728" s="86"/>
      <c r="H728" s="86"/>
      <c r="I728" s="86"/>
      <c r="J728" s="86"/>
      <c r="K728" s="86"/>
      <c r="L728" s="86"/>
      <c r="M728" s="86"/>
      <c r="N728" s="86"/>
      <c r="O728" s="86"/>
      <c r="P728" s="87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  <c r="AE728" s="81"/>
      <c r="AF728" s="81"/>
      <c r="AG728" s="81"/>
      <c r="AH728" s="81"/>
      <c r="AI728" s="81"/>
      <c r="AJ728" s="81"/>
      <c r="AK728" s="81"/>
      <c r="AL728" s="81"/>
      <c r="AM728" s="81"/>
      <c r="AN728" s="81"/>
      <c r="AO728" s="81"/>
      <c r="AP728" s="81"/>
      <c r="AQ728" s="81"/>
      <c r="AR728" s="81"/>
    </row>
    <row r="729" spans="1:44" x14ac:dyDescent="0.4">
      <c r="A729" s="5" t="str">
        <f t="shared" si="51"/>
        <v>TA-RIVAS VERTI</v>
      </c>
      <c r="B729" s="5" t="str">
        <f t="shared" si="52"/>
        <v>TA</v>
      </c>
      <c r="C729" s="83" t="s">
        <v>1403</v>
      </c>
      <c r="D729" s="82" t="s">
        <v>1439</v>
      </c>
      <c r="E729" s="85">
        <v>10</v>
      </c>
      <c r="F729" s="85"/>
      <c r="G729" s="86"/>
      <c r="H729" s="86"/>
      <c r="I729" s="86"/>
      <c r="J729" s="86"/>
      <c r="K729" s="86"/>
      <c r="L729" s="86"/>
      <c r="M729" s="86"/>
      <c r="N729" s="86"/>
      <c r="O729" s="86"/>
      <c r="P729" s="87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  <c r="AE729" s="81"/>
      <c r="AF729" s="81"/>
      <c r="AG729" s="81"/>
      <c r="AH729" s="81"/>
      <c r="AI729" s="81"/>
      <c r="AJ729" s="81"/>
      <c r="AK729" s="81"/>
      <c r="AL729" s="81"/>
      <c r="AM729" s="81"/>
      <c r="AN729" s="81"/>
      <c r="AO729" s="81"/>
      <c r="AP729" s="81"/>
      <c r="AQ729" s="81"/>
      <c r="AR729" s="81"/>
    </row>
    <row r="730" spans="1:44" x14ac:dyDescent="0.4">
      <c r="A730" s="5" t="str">
        <f t="shared" si="51"/>
        <v>TA-SAMUEL DE MALDONADO</v>
      </c>
      <c r="B730" s="5" t="str">
        <f t="shared" si="52"/>
        <v>TA</v>
      </c>
      <c r="C730" s="83" t="s">
        <v>1403</v>
      </c>
      <c r="D730" s="82" t="s">
        <v>1440</v>
      </c>
      <c r="E730" s="85">
        <v>31</v>
      </c>
      <c r="F730" s="85"/>
      <c r="G730" s="86"/>
      <c r="H730" s="86"/>
      <c r="I730" s="86"/>
      <c r="J730" s="86"/>
      <c r="K730" s="86"/>
      <c r="L730" s="86"/>
      <c r="M730" s="86"/>
      <c r="N730" s="86"/>
      <c r="O730" s="86"/>
      <c r="P730" s="87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  <c r="AE730" s="81"/>
      <c r="AF730" s="81"/>
      <c r="AG730" s="81"/>
      <c r="AH730" s="81"/>
      <c r="AI730" s="81"/>
      <c r="AJ730" s="81"/>
      <c r="AK730" s="81"/>
      <c r="AL730" s="81"/>
      <c r="AM730" s="81"/>
      <c r="AN730" s="81"/>
      <c r="AO730" s="81"/>
      <c r="AP730" s="81"/>
      <c r="AQ730" s="81"/>
      <c r="AR730" s="81"/>
    </row>
    <row r="731" spans="1:44" x14ac:dyDescent="0.4">
      <c r="A731" s="5" t="str">
        <f t="shared" si="51"/>
        <v>TA-SAN JOAQUIN DE NAVAY</v>
      </c>
      <c r="B731" s="5" t="str">
        <f t="shared" si="52"/>
        <v>TA</v>
      </c>
      <c r="C731" s="83" t="s">
        <v>1403</v>
      </c>
      <c r="D731" s="82" t="s">
        <v>1441</v>
      </c>
      <c r="E731" s="85">
        <v>5</v>
      </c>
      <c r="F731" s="85"/>
      <c r="G731" s="86"/>
      <c r="H731" s="86"/>
      <c r="I731" s="86"/>
      <c r="J731" s="86"/>
      <c r="K731" s="86"/>
      <c r="L731" s="86"/>
      <c r="M731" s="86"/>
      <c r="N731" s="86"/>
      <c r="O731" s="86"/>
      <c r="P731" s="87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  <c r="AF731" s="81"/>
      <c r="AG731" s="81"/>
      <c r="AH731" s="81"/>
      <c r="AI731" s="81"/>
      <c r="AJ731" s="81"/>
      <c r="AK731" s="81"/>
      <c r="AL731" s="81"/>
      <c r="AM731" s="81"/>
      <c r="AN731" s="81"/>
      <c r="AO731" s="81"/>
      <c r="AP731" s="81"/>
      <c r="AQ731" s="81"/>
      <c r="AR731" s="81"/>
    </row>
    <row r="732" spans="1:44" x14ac:dyDescent="0.4">
      <c r="A732" s="5" t="str">
        <f t="shared" si="51"/>
        <v>TA-SAN JOSE DE BOLIVAR</v>
      </c>
      <c r="B732" s="5" t="str">
        <f t="shared" si="52"/>
        <v>TA</v>
      </c>
      <c r="C732" s="83" t="s">
        <v>1403</v>
      </c>
      <c r="D732" s="82" t="s">
        <v>1442</v>
      </c>
      <c r="E732" s="85">
        <v>12</v>
      </c>
      <c r="F732" s="85"/>
      <c r="G732" s="86"/>
      <c r="H732" s="86"/>
      <c r="I732" s="86"/>
      <c r="J732" s="86"/>
      <c r="K732" s="86"/>
      <c r="L732" s="86"/>
      <c r="M732" s="86"/>
      <c r="N732" s="86"/>
      <c r="O732" s="86"/>
      <c r="P732" s="87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  <c r="AE732" s="81"/>
      <c r="AF732" s="81"/>
      <c r="AG732" s="81"/>
      <c r="AH732" s="81"/>
      <c r="AI732" s="81"/>
      <c r="AJ732" s="81"/>
      <c r="AK732" s="81"/>
      <c r="AL732" s="81"/>
      <c r="AM732" s="81"/>
      <c r="AN732" s="81"/>
      <c r="AO732" s="81"/>
      <c r="AP732" s="81"/>
      <c r="AQ732" s="81"/>
      <c r="AR732" s="81"/>
    </row>
    <row r="733" spans="1:44" x14ac:dyDescent="0.4">
      <c r="A733" s="5" t="str">
        <f t="shared" si="51"/>
        <v>TA-SAN JUAN BAUTISTA</v>
      </c>
      <c r="B733" s="5" t="str">
        <f t="shared" si="52"/>
        <v>TA</v>
      </c>
      <c r="C733" s="83" t="s">
        <v>1403</v>
      </c>
      <c r="D733" s="82" t="s">
        <v>1443</v>
      </c>
      <c r="E733" s="85">
        <v>571</v>
      </c>
      <c r="F733" s="85"/>
      <c r="G733" s="86"/>
      <c r="H733" s="86"/>
      <c r="I733" s="86"/>
      <c r="J733" s="86"/>
      <c r="K733" s="86"/>
      <c r="L733" s="86"/>
      <c r="M733" s="86"/>
      <c r="N733" s="86"/>
      <c r="O733" s="86"/>
      <c r="P733" s="87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  <c r="AF733" s="81"/>
      <c r="AG733" s="81"/>
      <c r="AH733" s="81"/>
      <c r="AI733" s="81"/>
      <c r="AJ733" s="81"/>
      <c r="AK733" s="81"/>
      <c r="AL733" s="81"/>
      <c r="AM733" s="81"/>
      <c r="AN733" s="81"/>
      <c r="AO733" s="81"/>
      <c r="AP733" s="81"/>
      <c r="AQ733" s="81"/>
      <c r="AR733" s="81"/>
    </row>
    <row r="734" spans="1:44" x14ac:dyDescent="0.4">
      <c r="A734" s="5" t="str">
        <f t="shared" si="51"/>
        <v>TA-SAN PABLO</v>
      </c>
      <c r="B734" s="5" t="str">
        <f t="shared" si="52"/>
        <v>TA</v>
      </c>
      <c r="C734" s="83" t="s">
        <v>1403</v>
      </c>
      <c r="D734" s="82" t="s">
        <v>824</v>
      </c>
      <c r="E734" s="85">
        <v>12</v>
      </c>
      <c r="F734" s="85"/>
      <c r="G734" s="86"/>
      <c r="H734" s="86"/>
      <c r="I734" s="86"/>
      <c r="J734" s="86"/>
      <c r="K734" s="86"/>
      <c r="L734" s="86"/>
      <c r="M734" s="86"/>
      <c r="N734" s="86"/>
      <c r="O734" s="86"/>
      <c r="P734" s="87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  <c r="AE734" s="81"/>
      <c r="AF734" s="81"/>
      <c r="AG734" s="81"/>
      <c r="AH734" s="81"/>
      <c r="AI734" s="81"/>
      <c r="AJ734" s="81"/>
      <c r="AK734" s="81"/>
      <c r="AL734" s="81"/>
      <c r="AM734" s="81"/>
      <c r="AN734" s="81"/>
      <c r="AO734" s="81"/>
      <c r="AP734" s="81"/>
      <c r="AQ734" s="81"/>
      <c r="AR734" s="81"/>
    </row>
    <row r="735" spans="1:44" x14ac:dyDescent="0.4">
      <c r="A735" s="5" t="str">
        <f t="shared" si="51"/>
        <v>TA-SAN PEDRO DE RIO</v>
      </c>
      <c r="B735" s="5" t="str">
        <f t="shared" si="52"/>
        <v>TA</v>
      </c>
      <c r="C735" s="83" t="s">
        <v>1403</v>
      </c>
      <c r="D735" s="82" t="s">
        <v>1444</v>
      </c>
      <c r="E735" s="85">
        <v>9</v>
      </c>
      <c r="F735" s="85"/>
      <c r="G735" s="86"/>
      <c r="H735" s="86"/>
      <c r="I735" s="86"/>
      <c r="J735" s="86"/>
      <c r="K735" s="86"/>
      <c r="L735" s="86"/>
      <c r="M735" s="86"/>
      <c r="N735" s="86"/>
      <c r="O735" s="86"/>
      <c r="P735" s="87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  <c r="AE735" s="81"/>
      <c r="AF735" s="81"/>
      <c r="AG735" s="81"/>
      <c r="AH735" s="81"/>
      <c r="AI735" s="81"/>
      <c r="AJ735" s="81"/>
      <c r="AK735" s="81"/>
      <c r="AL735" s="81"/>
      <c r="AM735" s="81"/>
      <c r="AN735" s="81"/>
      <c r="AO735" s="81"/>
      <c r="AP735" s="81"/>
      <c r="AQ735" s="81"/>
      <c r="AR735" s="81"/>
    </row>
    <row r="736" spans="1:44" x14ac:dyDescent="0.4">
      <c r="A736" s="5" t="str">
        <f t="shared" si="51"/>
        <v>TA-SAN SEBASTIAN</v>
      </c>
      <c r="B736" s="5" t="str">
        <f t="shared" si="52"/>
        <v>TA</v>
      </c>
      <c r="C736" s="83" t="s">
        <v>1403</v>
      </c>
      <c r="D736" s="82" t="s">
        <v>885</v>
      </c>
      <c r="E736" s="85">
        <v>42</v>
      </c>
      <c r="F736" s="85"/>
      <c r="G736" s="86"/>
      <c r="H736" s="86"/>
      <c r="I736" s="86"/>
      <c r="J736" s="86"/>
      <c r="K736" s="86"/>
      <c r="L736" s="86"/>
      <c r="M736" s="86"/>
      <c r="N736" s="86"/>
      <c r="O736" s="86"/>
      <c r="P736" s="87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  <c r="AE736" s="81"/>
      <c r="AF736" s="81"/>
      <c r="AG736" s="81"/>
      <c r="AH736" s="81"/>
      <c r="AI736" s="81"/>
      <c r="AJ736" s="81"/>
      <c r="AK736" s="81"/>
      <c r="AL736" s="81"/>
      <c r="AM736" s="81"/>
      <c r="AN736" s="81"/>
      <c r="AO736" s="81"/>
      <c r="AP736" s="81"/>
      <c r="AQ736" s="81"/>
      <c r="AR736" s="81"/>
    </row>
    <row r="737" spans="1:44" x14ac:dyDescent="0.4">
      <c r="A737" s="5" t="str">
        <f t="shared" si="51"/>
        <v>TA-SAN SIMON</v>
      </c>
      <c r="B737" s="5" t="str">
        <f t="shared" si="52"/>
        <v>TA</v>
      </c>
      <c r="C737" s="83" t="s">
        <v>1403</v>
      </c>
      <c r="D737" s="82" t="s">
        <v>1445</v>
      </c>
      <c r="E737" s="85">
        <v>30</v>
      </c>
      <c r="F737" s="85"/>
      <c r="G737" s="86"/>
      <c r="H737" s="86"/>
      <c r="I737" s="86"/>
      <c r="J737" s="86"/>
      <c r="K737" s="86"/>
      <c r="L737" s="86"/>
      <c r="M737" s="86"/>
      <c r="N737" s="86"/>
      <c r="O737" s="86"/>
      <c r="P737" s="87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  <c r="AE737" s="81"/>
      <c r="AF737" s="81"/>
      <c r="AG737" s="81"/>
      <c r="AH737" s="81"/>
      <c r="AI737" s="81"/>
      <c r="AJ737" s="81"/>
      <c r="AK737" s="81"/>
      <c r="AL737" s="81"/>
      <c r="AM737" s="81"/>
      <c r="AN737" s="81"/>
      <c r="AO737" s="81"/>
      <c r="AP737" s="81"/>
      <c r="AQ737" s="81"/>
      <c r="AR737" s="81"/>
    </row>
    <row r="738" spans="1:44" x14ac:dyDescent="0.4">
      <c r="A738" s="5" t="str">
        <f t="shared" si="51"/>
        <v>TA-SANTO DOMINGO</v>
      </c>
      <c r="B738" s="5" t="str">
        <f t="shared" si="52"/>
        <v>TA</v>
      </c>
      <c r="C738" s="83" t="s">
        <v>1403</v>
      </c>
      <c r="D738" s="82" t="s">
        <v>1446</v>
      </c>
      <c r="E738" s="85">
        <v>4</v>
      </c>
      <c r="F738" s="85"/>
      <c r="G738" s="86"/>
      <c r="H738" s="86"/>
      <c r="I738" s="86"/>
      <c r="J738" s="86"/>
      <c r="K738" s="86"/>
      <c r="L738" s="86"/>
      <c r="M738" s="86"/>
      <c r="N738" s="86"/>
      <c r="O738" s="86"/>
      <c r="P738" s="87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  <c r="AE738" s="81"/>
      <c r="AF738" s="81"/>
      <c r="AG738" s="81"/>
      <c r="AH738" s="81"/>
      <c r="AI738" s="81"/>
      <c r="AJ738" s="81"/>
      <c r="AK738" s="81"/>
      <c r="AL738" s="81"/>
      <c r="AM738" s="81"/>
      <c r="AN738" s="81"/>
      <c r="AO738" s="81"/>
      <c r="AP738" s="81"/>
      <c r="AQ738" s="81"/>
      <c r="AR738" s="81"/>
    </row>
    <row r="739" spans="1:44" x14ac:dyDescent="0.4">
      <c r="A739" s="5" t="str">
        <f t="shared" si="51"/>
        <v>TA-SEBORUCO</v>
      </c>
      <c r="B739" s="5" t="str">
        <f t="shared" si="52"/>
        <v>TA</v>
      </c>
      <c r="C739" s="83" t="s">
        <v>1403</v>
      </c>
      <c r="D739" s="82" t="s">
        <v>1447</v>
      </c>
      <c r="E739" s="85">
        <v>32</v>
      </c>
      <c r="F739" s="85"/>
      <c r="G739" s="86"/>
      <c r="H739" s="86"/>
      <c r="I739" s="86"/>
      <c r="J739" s="86"/>
      <c r="K739" s="86"/>
      <c r="L739" s="86"/>
      <c r="M739" s="86"/>
      <c r="N739" s="86"/>
      <c r="O739" s="86"/>
      <c r="P739" s="87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  <c r="AE739" s="81"/>
      <c r="AF739" s="81"/>
      <c r="AG739" s="81"/>
      <c r="AH739" s="81"/>
      <c r="AI739" s="81"/>
      <c r="AJ739" s="81"/>
      <c r="AK739" s="81"/>
      <c r="AL739" s="81"/>
      <c r="AM739" s="81"/>
      <c r="AN739" s="81"/>
      <c r="AO739" s="81"/>
      <c r="AP739" s="81"/>
      <c r="AQ739" s="81"/>
      <c r="AR739" s="81"/>
    </row>
    <row r="740" spans="1:44" x14ac:dyDescent="0.4">
      <c r="A740" s="5" t="str">
        <f t="shared" si="51"/>
        <v>TA-TORBES</v>
      </c>
      <c r="B740" s="5" t="str">
        <f t="shared" si="52"/>
        <v>TA</v>
      </c>
      <c r="C740" s="83" t="s">
        <v>1403</v>
      </c>
      <c r="D740" s="82" t="s">
        <v>1448</v>
      </c>
      <c r="E740" s="85">
        <v>40</v>
      </c>
      <c r="F740" s="85"/>
      <c r="G740" s="86"/>
      <c r="H740" s="86"/>
      <c r="I740" s="86"/>
      <c r="J740" s="86"/>
      <c r="K740" s="86"/>
      <c r="L740" s="86"/>
      <c r="M740" s="86"/>
      <c r="N740" s="86"/>
      <c r="O740" s="86"/>
      <c r="P740" s="87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  <c r="AD740" s="81"/>
      <c r="AE740" s="81"/>
      <c r="AF740" s="81"/>
      <c r="AG740" s="81"/>
      <c r="AH740" s="81"/>
      <c r="AI740" s="81"/>
      <c r="AJ740" s="81"/>
      <c r="AK740" s="81"/>
      <c r="AL740" s="81"/>
      <c r="AM740" s="81"/>
      <c r="AN740" s="81"/>
      <c r="AO740" s="81"/>
      <c r="AP740" s="81"/>
      <c r="AQ740" s="81"/>
      <c r="AR740" s="81"/>
    </row>
    <row r="741" spans="1:44" x14ac:dyDescent="0.4">
      <c r="A741" s="5" t="str">
        <f t="shared" si="51"/>
        <v>TA-UMUQUENA (SAN JUDAS</v>
      </c>
      <c r="B741" s="5" t="str">
        <f t="shared" si="52"/>
        <v>TA</v>
      </c>
      <c r="C741" s="83" t="s">
        <v>1403</v>
      </c>
      <c r="D741" s="82" t="s">
        <v>1449</v>
      </c>
      <c r="E741" s="85">
        <v>21</v>
      </c>
      <c r="F741" s="85"/>
      <c r="G741" s="86"/>
      <c r="H741" s="86"/>
      <c r="I741" s="86"/>
      <c r="J741" s="86"/>
      <c r="K741" s="86"/>
      <c r="L741" s="86"/>
      <c r="M741" s="86"/>
      <c r="N741" s="86"/>
      <c r="O741" s="86"/>
      <c r="P741" s="87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  <c r="AD741" s="81"/>
      <c r="AE741" s="81"/>
      <c r="AF741" s="81"/>
      <c r="AG741" s="81"/>
      <c r="AH741" s="81"/>
      <c r="AI741" s="81"/>
      <c r="AJ741" s="81"/>
      <c r="AK741" s="81"/>
      <c r="AL741" s="81"/>
      <c r="AM741" s="81"/>
      <c r="AN741" s="81"/>
      <c r="AO741" s="81"/>
      <c r="AP741" s="81"/>
      <c r="AQ741" s="81"/>
      <c r="AR741" s="81"/>
    </row>
    <row r="742" spans="1:44" x14ac:dyDescent="0.4">
      <c r="A742" s="5" t="str">
        <f t="shared" si="51"/>
        <v>TA-URIBANTE (PREGONERO)</v>
      </c>
      <c r="B742" s="5" t="str">
        <f t="shared" si="52"/>
        <v>TA</v>
      </c>
      <c r="C742" s="83" t="s">
        <v>1403</v>
      </c>
      <c r="D742" s="82" t="s">
        <v>1450</v>
      </c>
      <c r="E742" s="85">
        <v>79</v>
      </c>
      <c r="F742" s="85"/>
      <c r="G742" s="86"/>
      <c r="H742" s="86"/>
      <c r="I742" s="86"/>
      <c r="J742" s="86"/>
      <c r="K742" s="86"/>
      <c r="L742" s="86"/>
      <c r="M742" s="86"/>
      <c r="N742" s="86"/>
      <c r="O742" s="86"/>
      <c r="P742" s="87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  <c r="AD742" s="81"/>
      <c r="AE742" s="81"/>
      <c r="AF742" s="81"/>
      <c r="AG742" s="81"/>
      <c r="AH742" s="81"/>
      <c r="AI742" s="81"/>
      <c r="AJ742" s="81"/>
      <c r="AK742" s="81"/>
      <c r="AL742" s="81"/>
      <c r="AM742" s="81"/>
      <c r="AN742" s="81"/>
      <c r="AO742" s="81"/>
      <c r="AP742" s="81"/>
      <c r="AQ742" s="81"/>
      <c r="AR742" s="81"/>
    </row>
    <row r="743" spans="1:44" x14ac:dyDescent="0.4">
      <c r="A743" s="5" t="str">
        <f t="shared" si="51"/>
        <v>TA-VARGAS</v>
      </c>
      <c r="B743" s="5" t="str">
        <f t="shared" si="52"/>
        <v>TA</v>
      </c>
      <c r="C743" s="83" t="s">
        <v>1403</v>
      </c>
      <c r="D743" s="82" t="s">
        <v>1451</v>
      </c>
      <c r="E743" s="85">
        <v>43</v>
      </c>
      <c r="F743" s="85"/>
      <c r="G743" s="86"/>
      <c r="H743" s="86"/>
      <c r="I743" s="86"/>
      <c r="J743" s="86"/>
      <c r="K743" s="86"/>
      <c r="L743" s="86"/>
      <c r="M743" s="86"/>
      <c r="N743" s="86"/>
      <c r="O743" s="86"/>
      <c r="P743" s="87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  <c r="AD743" s="81"/>
      <c r="AE743" s="81"/>
      <c r="AF743" s="81"/>
      <c r="AG743" s="81"/>
      <c r="AH743" s="81"/>
      <c r="AI743" s="81"/>
      <c r="AJ743" s="81"/>
      <c r="AK743" s="81"/>
      <c r="AL743" s="81"/>
      <c r="AM743" s="81"/>
      <c r="AN743" s="81"/>
      <c r="AO743" s="81"/>
      <c r="AP743" s="81"/>
      <c r="AQ743" s="81"/>
      <c r="AR743" s="81"/>
    </row>
    <row r="744" spans="1:44" x14ac:dyDescent="0.4">
      <c r="A744" s="5" t="str">
        <f t="shared" si="51"/>
        <v>DE-ANTONIO DIAZ</v>
      </c>
      <c r="B744" s="5" t="str">
        <f t="shared" si="52"/>
        <v>DE</v>
      </c>
      <c r="C744" s="83" t="s">
        <v>774</v>
      </c>
      <c r="D744" s="82" t="s">
        <v>1119</v>
      </c>
      <c r="E744" s="85">
        <v>38</v>
      </c>
      <c r="F744" s="85"/>
      <c r="G744" s="86"/>
      <c r="H744" s="86"/>
      <c r="I744" s="86"/>
      <c r="J744" s="86"/>
      <c r="K744" s="86"/>
      <c r="L744" s="86"/>
      <c r="M744" s="86"/>
      <c r="N744" s="86"/>
      <c r="O744" s="86"/>
      <c r="P744" s="87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  <c r="AD744" s="81"/>
      <c r="AE744" s="81"/>
      <c r="AF744" s="81"/>
      <c r="AG744" s="81"/>
      <c r="AH744" s="81"/>
      <c r="AI744" s="81"/>
      <c r="AJ744" s="81"/>
      <c r="AK744" s="81"/>
      <c r="AL744" s="81"/>
      <c r="AM744" s="81"/>
      <c r="AN744" s="81"/>
      <c r="AO744" s="81"/>
      <c r="AP744" s="81"/>
      <c r="AQ744" s="81"/>
      <c r="AR744" s="81"/>
    </row>
    <row r="745" spans="1:44" x14ac:dyDescent="0.4">
      <c r="A745" s="5" t="str">
        <f t="shared" si="51"/>
        <v>DE-CASACOIMA</v>
      </c>
      <c r="B745" s="5" t="str">
        <f t="shared" si="52"/>
        <v>DE</v>
      </c>
      <c r="C745" s="83" t="s">
        <v>774</v>
      </c>
      <c r="D745" s="82" t="s">
        <v>1452</v>
      </c>
      <c r="E745" s="85">
        <v>24</v>
      </c>
      <c r="F745" s="85"/>
      <c r="G745" s="86"/>
      <c r="H745" s="86"/>
      <c r="I745" s="86"/>
      <c r="J745" s="86"/>
      <c r="K745" s="86"/>
      <c r="L745" s="86"/>
      <c r="M745" s="86"/>
      <c r="N745" s="86"/>
      <c r="O745" s="86"/>
      <c r="P745" s="87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  <c r="AD745" s="81"/>
      <c r="AE745" s="81"/>
      <c r="AF745" s="81"/>
      <c r="AG745" s="81"/>
      <c r="AH745" s="81"/>
      <c r="AI745" s="81"/>
      <c r="AJ745" s="81"/>
      <c r="AK745" s="81"/>
      <c r="AL745" s="81"/>
      <c r="AM745" s="81"/>
      <c r="AN745" s="81"/>
      <c r="AO745" s="81"/>
      <c r="AP745" s="81"/>
      <c r="AQ745" s="81"/>
      <c r="AR745" s="81"/>
    </row>
    <row r="746" spans="1:44" x14ac:dyDescent="0.4">
      <c r="A746" s="5" t="str">
        <f t="shared" si="51"/>
        <v>DE-PEDERNALES</v>
      </c>
      <c r="B746" s="5" t="str">
        <f t="shared" si="52"/>
        <v>DE</v>
      </c>
      <c r="C746" s="83" t="s">
        <v>774</v>
      </c>
      <c r="D746" s="82" t="s">
        <v>1453</v>
      </c>
      <c r="E746" s="85">
        <v>5</v>
      </c>
      <c r="F746" s="85"/>
      <c r="G746" s="86"/>
      <c r="H746" s="86"/>
      <c r="I746" s="86"/>
      <c r="J746" s="86"/>
      <c r="K746" s="86"/>
      <c r="L746" s="86"/>
      <c r="M746" s="86"/>
      <c r="N746" s="86"/>
      <c r="O746" s="86"/>
      <c r="P746" s="87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  <c r="AD746" s="81"/>
      <c r="AE746" s="81"/>
      <c r="AF746" s="81"/>
      <c r="AG746" s="81"/>
      <c r="AH746" s="81"/>
      <c r="AI746" s="81"/>
      <c r="AJ746" s="81"/>
      <c r="AK746" s="81"/>
      <c r="AL746" s="81"/>
      <c r="AM746" s="81"/>
      <c r="AN746" s="81"/>
      <c r="AO746" s="81"/>
      <c r="AP746" s="81"/>
      <c r="AQ746" s="81"/>
      <c r="AR746" s="81"/>
    </row>
    <row r="747" spans="1:44" x14ac:dyDescent="0.4">
      <c r="A747" s="5" t="str">
        <f t="shared" si="51"/>
        <v>DE-TUCUPITA</v>
      </c>
      <c r="B747" s="5" t="str">
        <f t="shared" si="52"/>
        <v>DE</v>
      </c>
      <c r="C747" s="83" t="s">
        <v>774</v>
      </c>
      <c r="D747" s="82" t="s">
        <v>1454</v>
      </c>
      <c r="E747" s="85">
        <v>333</v>
      </c>
      <c r="F747" s="85"/>
      <c r="G747" s="86"/>
      <c r="H747" s="86"/>
      <c r="I747" s="86"/>
      <c r="J747" s="86"/>
      <c r="K747" s="86"/>
      <c r="L747" s="86"/>
      <c r="M747" s="86"/>
      <c r="N747" s="86"/>
      <c r="O747" s="86"/>
      <c r="P747" s="87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  <c r="AD747" s="81"/>
      <c r="AE747" s="81"/>
      <c r="AF747" s="81"/>
      <c r="AG747" s="81"/>
      <c r="AH747" s="81"/>
      <c r="AI747" s="81"/>
      <c r="AJ747" s="81"/>
      <c r="AK747" s="81"/>
      <c r="AL747" s="81"/>
      <c r="AM747" s="81"/>
      <c r="AN747" s="81"/>
      <c r="AO747" s="81"/>
      <c r="AP747" s="81"/>
      <c r="AQ747" s="81"/>
      <c r="AR747" s="81"/>
    </row>
    <row r="748" spans="1:44" x14ac:dyDescent="0.4">
      <c r="A748" s="5" t="str">
        <f t="shared" si="51"/>
        <v>AM-ALTO ORINOCO</v>
      </c>
      <c r="B748" s="5" t="str">
        <f t="shared" si="52"/>
        <v>AM</v>
      </c>
      <c r="C748" s="83" t="s">
        <v>766</v>
      </c>
      <c r="D748" s="82" t="s">
        <v>1455</v>
      </c>
      <c r="E748" s="85">
        <v>9</v>
      </c>
      <c r="F748" s="85"/>
      <c r="G748" s="86"/>
      <c r="H748" s="86"/>
      <c r="I748" s="86"/>
      <c r="J748" s="86"/>
      <c r="K748" s="86"/>
      <c r="L748" s="86"/>
      <c r="M748" s="86"/>
      <c r="N748" s="86"/>
      <c r="O748" s="86"/>
      <c r="P748" s="87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  <c r="AD748" s="81"/>
      <c r="AE748" s="81"/>
      <c r="AF748" s="81"/>
      <c r="AG748" s="81"/>
      <c r="AH748" s="81"/>
      <c r="AI748" s="81"/>
      <c r="AJ748" s="81"/>
      <c r="AK748" s="81"/>
      <c r="AL748" s="81"/>
      <c r="AM748" s="81"/>
      <c r="AN748" s="81"/>
      <c r="AO748" s="81"/>
      <c r="AP748" s="81"/>
      <c r="AQ748" s="81"/>
      <c r="AR748" s="81"/>
    </row>
    <row r="749" spans="1:44" x14ac:dyDescent="0.4">
      <c r="A749" s="5" t="str">
        <f t="shared" si="51"/>
        <v>AM-ATABAPO</v>
      </c>
      <c r="B749" s="5" t="str">
        <f t="shared" si="52"/>
        <v>AM</v>
      </c>
      <c r="C749" s="83" t="s">
        <v>766</v>
      </c>
      <c r="D749" s="82" t="s">
        <v>1456</v>
      </c>
      <c r="E749" s="85">
        <v>11</v>
      </c>
      <c r="F749" s="85"/>
      <c r="G749" s="86"/>
      <c r="H749" s="86"/>
      <c r="I749" s="86"/>
      <c r="J749" s="86"/>
      <c r="K749" s="86"/>
      <c r="L749" s="86"/>
      <c r="M749" s="86"/>
      <c r="N749" s="86"/>
      <c r="O749" s="86"/>
      <c r="P749" s="87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  <c r="AD749" s="81"/>
      <c r="AE749" s="81"/>
      <c r="AF749" s="81"/>
      <c r="AG749" s="81"/>
      <c r="AH749" s="81"/>
      <c r="AI749" s="81"/>
      <c r="AJ749" s="81"/>
      <c r="AK749" s="81"/>
      <c r="AL749" s="81"/>
      <c r="AM749" s="81"/>
      <c r="AN749" s="81"/>
      <c r="AO749" s="81"/>
      <c r="AP749" s="81"/>
      <c r="AQ749" s="81"/>
      <c r="AR749" s="81"/>
    </row>
    <row r="750" spans="1:44" x14ac:dyDescent="0.4">
      <c r="A750" s="5" t="str">
        <f t="shared" si="51"/>
        <v>AM-ATURES</v>
      </c>
      <c r="B750" s="5" t="str">
        <f t="shared" si="52"/>
        <v>AM</v>
      </c>
      <c r="C750" s="83" t="s">
        <v>766</v>
      </c>
      <c r="D750" s="82" t="s">
        <v>1457</v>
      </c>
      <c r="E750" s="85">
        <v>308</v>
      </c>
      <c r="F750" s="85"/>
      <c r="G750" s="86"/>
      <c r="H750" s="86"/>
      <c r="I750" s="86"/>
      <c r="J750" s="86"/>
      <c r="K750" s="86"/>
      <c r="L750" s="86"/>
      <c r="M750" s="86"/>
      <c r="N750" s="86"/>
      <c r="O750" s="86"/>
      <c r="P750" s="87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  <c r="AD750" s="81"/>
      <c r="AE750" s="81"/>
      <c r="AF750" s="81"/>
      <c r="AG750" s="81"/>
      <c r="AH750" s="81"/>
      <c r="AI750" s="81"/>
      <c r="AJ750" s="81"/>
      <c r="AK750" s="81"/>
      <c r="AL750" s="81"/>
      <c r="AM750" s="81"/>
      <c r="AN750" s="81"/>
      <c r="AO750" s="81"/>
      <c r="AP750" s="81"/>
      <c r="AQ750" s="81"/>
      <c r="AR750" s="81"/>
    </row>
    <row r="751" spans="1:44" x14ac:dyDescent="0.4">
      <c r="A751" s="5" t="str">
        <f t="shared" si="51"/>
        <v>AM-CASIQUIARE</v>
      </c>
      <c r="B751" s="5" t="str">
        <f t="shared" si="52"/>
        <v>AM</v>
      </c>
      <c r="C751" s="83" t="s">
        <v>766</v>
      </c>
      <c r="D751" s="82" t="s">
        <v>1458</v>
      </c>
      <c r="E751" s="85">
        <v>3</v>
      </c>
      <c r="F751" s="85"/>
      <c r="G751" s="86"/>
      <c r="H751" s="86"/>
      <c r="I751" s="86"/>
      <c r="J751" s="86"/>
      <c r="K751" s="86"/>
      <c r="L751" s="86"/>
      <c r="M751" s="86"/>
      <c r="N751" s="86"/>
      <c r="O751" s="86"/>
      <c r="P751" s="87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  <c r="AD751" s="81"/>
      <c r="AE751" s="81"/>
      <c r="AF751" s="81"/>
      <c r="AG751" s="81"/>
      <c r="AH751" s="81"/>
      <c r="AI751" s="81"/>
      <c r="AJ751" s="81"/>
      <c r="AK751" s="81"/>
      <c r="AL751" s="81"/>
      <c r="AM751" s="81"/>
      <c r="AN751" s="81"/>
      <c r="AO751" s="81"/>
      <c r="AP751" s="81"/>
      <c r="AQ751" s="81"/>
      <c r="AR751" s="81"/>
    </row>
    <row r="752" spans="1:44" x14ac:dyDescent="0.4">
      <c r="A752" s="5" t="str">
        <f t="shared" si="51"/>
        <v>AM-GUAINIA</v>
      </c>
      <c r="B752" s="5" t="str">
        <f t="shared" si="52"/>
        <v>AM</v>
      </c>
      <c r="C752" s="83" t="s">
        <v>766</v>
      </c>
      <c r="D752" s="82" t="s">
        <v>1459</v>
      </c>
      <c r="E752" s="85">
        <v>5</v>
      </c>
      <c r="F752" s="85"/>
      <c r="G752" s="86"/>
      <c r="H752" s="86"/>
      <c r="I752" s="86"/>
      <c r="J752" s="86"/>
      <c r="K752" s="86"/>
      <c r="L752" s="86"/>
      <c r="M752" s="86"/>
      <c r="N752" s="86"/>
      <c r="O752" s="86"/>
      <c r="P752" s="87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  <c r="AD752" s="81"/>
      <c r="AE752" s="81"/>
      <c r="AF752" s="81"/>
      <c r="AG752" s="81"/>
      <c r="AH752" s="81"/>
      <c r="AI752" s="81"/>
      <c r="AJ752" s="81"/>
      <c r="AK752" s="81"/>
      <c r="AL752" s="81"/>
      <c r="AM752" s="81"/>
      <c r="AN752" s="81"/>
      <c r="AO752" s="81"/>
      <c r="AP752" s="81"/>
      <c r="AQ752" s="81"/>
      <c r="AR752" s="81"/>
    </row>
    <row r="753" spans="1:44" x14ac:dyDescent="0.4">
      <c r="A753" s="5" t="str">
        <f t="shared" si="51"/>
        <v>AM-RIO NEGRO</v>
      </c>
      <c r="B753" s="5" t="str">
        <f t="shared" si="52"/>
        <v>AM</v>
      </c>
      <c r="C753" s="83" t="s">
        <v>766</v>
      </c>
      <c r="D753" s="82" t="s">
        <v>1222</v>
      </c>
      <c r="E753" s="85">
        <v>1</v>
      </c>
      <c r="F753" s="85"/>
      <c r="G753" s="86"/>
      <c r="H753" s="86"/>
      <c r="I753" s="86"/>
      <c r="J753" s="86"/>
      <c r="K753" s="86"/>
      <c r="L753" s="86"/>
      <c r="M753" s="86"/>
      <c r="N753" s="86"/>
      <c r="O753" s="86"/>
      <c r="P753" s="87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  <c r="AD753" s="81"/>
      <c r="AE753" s="81"/>
      <c r="AF753" s="81"/>
      <c r="AG753" s="81"/>
      <c r="AH753" s="81"/>
      <c r="AI753" s="81"/>
      <c r="AJ753" s="81"/>
      <c r="AK753" s="81"/>
      <c r="AL753" s="81"/>
      <c r="AM753" s="81"/>
      <c r="AN753" s="81"/>
      <c r="AO753" s="81"/>
      <c r="AP753" s="81"/>
      <c r="AQ753" s="81"/>
      <c r="AR753" s="81"/>
    </row>
    <row r="754" spans="1:44" x14ac:dyDescent="0.4">
      <c r="A754" s="5" t="str">
        <f t="shared" si="51"/>
        <v>TR-AGUA CALIENTE</v>
      </c>
      <c r="B754" s="5" t="str">
        <f t="shared" si="52"/>
        <v>TR</v>
      </c>
      <c r="C754" s="83" t="s">
        <v>781</v>
      </c>
      <c r="D754" s="82" t="s">
        <v>952</v>
      </c>
      <c r="E754" s="85">
        <v>4</v>
      </c>
      <c r="F754" s="85"/>
      <c r="G754" s="86"/>
      <c r="H754" s="86"/>
      <c r="I754" s="86"/>
      <c r="J754" s="86"/>
      <c r="K754" s="86"/>
      <c r="L754" s="86"/>
      <c r="M754" s="86"/>
      <c r="N754" s="86"/>
      <c r="O754" s="86"/>
      <c r="P754" s="87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  <c r="AD754" s="81"/>
      <c r="AE754" s="81"/>
      <c r="AF754" s="81"/>
      <c r="AG754" s="81"/>
      <c r="AH754" s="81"/>
      <c r="AI754" s="81"/>
      <c r="AJ754" s="81"/>
      <c r="AK754" s="81"/>
      <c r="AL754" s="81"/>
      <c r="AM754" s="81"/>
      <c r="AN754" s="81"/>
      <c r="AO754" s="81"/>
      <c r="AP754" s="81"/>
      <c r="AQ754" s="81"/>
      <c r="AR754" s="81"/>
    </row>
    <row r="755" spans="1:44" x14ac:dyDescent="0.4">
      <c r="A755" s="5" t="str">
        <f t="shared" si="51"/>
        <v>TR-AGUA SANTA</v>
      </c>
      <c r="B755" s="5" t="str">
        <f t="shared" si="52"/>
        <v>TR</v>
      </c>
      <c r="C755" s="83" t="s">
        <v>781</v>
      </c>
      <c r="D755" s="82" t="s">
        <v>1460</v>
      </c>
      <c r="E755" s="85">
        <v>4</v>
      </c>
      <c r="F755" s="85"/>
      <c r="G755" s="86"/>
      <c r="H755" s="86"/>
      <c r="I755" s="86"/>
      <c r="J755" s="86"/>
      <c r="K755" s="86"/>
      <c r="L755" s="86"/>
      <c r="M755" s="86"/>
      <c r="N755" s="86"/>
      <c r="O755" s="86"/>
      <c r="P755" s="87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  <c r="AD755" s="81"/>
      <c r="AE755" s="81"/>
      <c r="AF755" s="81"/>
      <c r="AG755" s="81"/>
      <c r="AH755" s="81"/>
      <c r="AI755" s="81"/>
      <c r="AJ755" s="81"/>
      <c r="AK755" s="81"/>
      <c r="AL755" s="81"/>
      <c r="AM755" s="81"/>
      <c r="AN755" s="81"/>
      <c r="AO755" s="81"/>
      <c r="AP755" s="81"/>
      <c r="AQ755" s="81"/>
      <c r="AR755" s="81"/>
    </row>
    <row r="756" spans="1:44" x14ac:dyDescent="0.4">
      <c r="A756" s="5" t="str">
        <f t="shared" si="51"/>
        <v>TR-ANDRES LINARES</v>
      </c>
      <c r="B756" s="5" t="str">
        <f t="shared" si="52"/>
        <v>TR</v>
      </c>
      <c r="C756" s="83" t="s">
        <v>781</v>
      </c>
      <c r="D756" s="82" t="s">
        <v>1461</v>
      </c>
      <c r="E756" s="85">
        <v>38</v>
      </c>
      <c r="F756" s="85"/>
      <c r="G756" s="86"/>
      <c r="H756" s="86"/>
      <c r="I756" s="86"/>
      <c r="J756" s="86"/>
      <c r="K756" s="86"/>
      <c r="L756" s="86"/>
      <c r="M756" s="86"/>
      <c r="N756" s="86"/>
      <c r="O756" s="86"/>
      <c r="P756" s="87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  <c r="AD756" s="81"/>
      <c r="AE756" s="81"/>
      <c r="AF756" s="81"/>
      <c r="AG756" s="81"/>
      <c r="AH756" s="81"/>
      <c r="AI756" s="81"/>
      <c r="AJ756" s="81"/>
      <c r="AK756" s="81"/>
      <c r="AL756" s="81"/>
      <c r="AM756" s="81"/>
      <c r="AN756" s="81"/>
      <c r="AO756" s="81"/>
      <c r="AP756" s="81"/>
      <c r="AQ756" s="81"/>
      <c r="AR756" s="81"/>
    </row>
    <row r="757" spans="1:44" x14ac:dyDescent="0.4">
      <c r="A757" s="5" t="str">
        <f t="shared" si="51"/>
        <v>TR-ANTONIO NICOLAS BRICEÑO</v>
      </c>
      <c r="B757" s="5" t="str">
        <f t="shared" si="52"/>
        <v>TR</v>
      </c>
      <c r="C757" s="83" t="s">
        <v>781</v>
      </c>
      <c r="D757" s="82" t="s">
        <v>1462</v>
      </c>
      <c r="E757" s="85">
        <v>30</v>
      </c>
      <c r="F757" s="85"/>
      <c r="G757" s="86"/>
      <c r="H757" s="86"/>
      <c r="I757" s="86"/>
      <c r="J757" s="86"/>
      <c r="K757" s="86"/>
      <c r="L757" s="86"/>
      <c r="M757" s="86"/>
      <c r="N757" s="86"/>
      <c r="O757" s="86"/>
      <c r="P757" s="87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  <c r="AD757" s="81"/>
      <c r="AE757" s="81"/>
      <c r="AF757" s="81"/>
      <c r="AG757" s="81"/>
      <c r="AH757" s="81"/>
      <c r="AI757" s="81"/>
      <c r="AJ757" s="81"/>
      <c r="AK757" s="81"/>
      <c r="AL757" s="81"/>
      <c r="AM757" s="81"/>
      <c r="AN757" s="81"/>
      <c r="AO757" s="81"/>
      <c r="AP757" s="81"/>
      <c r="AQ757" s="81"/>
      <c r="AR757" s="81"/>
    </row>
    <row r="758" spans="1:44" x14ac:dyDescent="0.4">
      <c r="A758" s="5" t="str">
        <f t="shared" si="51"/>
        <v>TR-AYACUCHO</v>
      </c>
      <c r="B758" s="5" t="str">
        <f t="shared" si="52"/>
        <v>TR</v>
      </c>
      <c r="C758" s="83" t="s">
        <v>781</v>
      </c>
      <c r="D758" s="82" t="s">
        <v>1362</v>
      </c>
      <c r="E758" s="85">
        <v>18</v>
      </c>
      <c r="F758" s="85"/>
      <c r="G758" s="86"/>
      <c r="H758" s="86"/>
      <c r="I758" s="86"/>
      <c r="J758" s="86"/>
      <c r="K758" s="86"/>
      <c r="L758" s="86"/>
      <c r="M758" s="86"/>
      <c r="N758" s="86"/>
      <c r="O758" s="86"/>
      <c r="P758" s="87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  <c r="AD758" s="81"/>
      <c r="AE758" s="81"/>
      <c r="AF758" s="81"/>
      <c r="AG758" s="81"/>
      <c r="AH758" s="81"/>
      <c r="AI758" s="81"/>
      <c r="AJ758" s="81"/>
      <c r="AK758" s="81"/>
      <c r="AL758" s="81"/>
      <c r="AM758" s="81"/>
      <c r="AN758" s="81"/>
      <c r="AO758" s="81"/>
      <c r="AP758" s="81"/>
      <c r="AQ758" s="81"/>
      <c r="AR758" s="81"/>
    </row>
    <row r="759" spans="1:44" x14ac:dyDescent="0.4">
      <c r="A759" s="5" t="str">
        <f t="shared" si="51"/>
        <v>TR-BETIJOQUE</v>
      </c>
      <c r="B759" s="5" t="str">
        <f t="shared" si="52"/>
        <v>TR</v>
      </c>
      <c r="C759" s="83" t="s">
        <v>781</v>
      </c>
      <c r="D759" s="82" t="s">
        <v>1463</v>
      </c>
      <c r="E759" s="85">
        <v>47</v>
      </c>
      <c r="F759" s="85"/>
      <c r="G759" s="86"/>
      <c r="H759" s="86"/>
      <c r="I759" s="86"/>
      <c r="J759" s="86"/>
      <c r="K759" s="86"/>
      <c r="L759" s="86"/>
      <c r="M759" s="86"/>
      <c r="N759" s="86"/>
      <c r="O759" s="86"/>
      <c r="P759" s="87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  <c r="AD759" s="81"/>
      <c r="AE759" s="81"/>
      <c r="AF759" s="81"/>
      <c r="AG759" s="81"/>
      <c r="AH759" s="81"/>
      <c r="AI759" s="81"/>
      <c r="AJ759" s="81"/>
      <c r="AK759" s="81"/>
      <c r="AL759" s="81"/>
      <c r="AM759" s="81"/>
      <c r="AN759" s="81"/>
      <c r="AO759" s="81"/>
      <c r="AP759" s="81"/>
      <c r="AQ759" s="81"/>
      <c r="AR759" s="81"/>
    </row>
    <row r="760" spans="1:44" x14ac:dyDescent="0.4">
      <c r="A760" s="5" t="str">
        <f t="shared" si="51"/>
        <v>TR-BOCONO</v>
      </c>
      <c r="B760" s="5" t="str">
        <f t="shared" si="52"/>
        <v>TR</v>
      </c>
      <c r="C760" s="83" t="s">
        <v>781</v>
      </c>
      <c r="D760" s="82" t="s">
        <v>1407</v>
      </c>
      <c r="E760" s="85">
        <v>292</v>
      </c>
      <c r="F760" s="85"/>
      <c r="G760" s="86"/>
      <c r="H760" s="86"/>
      <c r="I760" s="86"/>
      <c r="J760" s="86"/>
      <c r="K760" s="86"/>
      <c r="L760" s="86"/>
      <c r="M760" s="86"/>
      <c r="N760" s="86"/>
      <c r="O760" s="86"/>
      <c r="P760" s="87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  <c r="AD760" s="81"/>
      <c r="AE760" s="81"/>
      <c r="AF760" s="81"/>
      <c r="AG760" s="81"/>
      <c r="AH760" s="81"/>
      <c r="AI760" s="81"/>
      <c r="AJ760" s="81"/>
      <c r="AK760" s="81"/>
      <c r="AL760" s="81"/>
      <c r="AM760" s="81"/>
      <c r="AN760" s="81"/>
      <c r="AO760" s="81"/>
      <c r="AP760" s="81"/>
      <c r="AQ760" s="81"/>
      <c r="AR760" s="81"/>
    </row>
    <row r="761" spans="1:44" x14ac:dyDescent="0.4">
      <c r="A761" s="5" t="str">
        <f t="shared" si="51"/>
        <v>TR-BOLIVAR</v>
      </c>
      <c r="B761" s="5" t="str">
        <f t="shared" si="52"/>
        <v>TR</v>
      </c>
      <c r="C761" s="83" t="s">
        <v>781</v>
      </c>
      <c r="D761" s="82" t="s">
        <v>1034</v>
      </c>
      <c r="E761" s="85">
        <v>16</v>
      </c>
      <c r="F761" s="85"/>
      <c r="G761" s="86"/>
      <c r="H761" s="86"/>
      <c r="I761" s="86"/>
      <c r="J761" s="86"/>
      <c r="K761" s="86"/>
      <c r="L761" s="86"/>
      <c r="M761" s="86"/>
      <c r="N761" s="86"/>
      <c r="O761" s="86"/>
      <c r="P761" s="87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  <c r="AD761" s="81"/>
      <c r="AE761" s="81"/>
      <c r="AF761" s="81"/>
      <c r="AG761" s="81"/>
      <c r="AH761" s="81"/>
      <c r="AI761" s="81"/>
      <c r="AJ761" s="81"/>
      <c r="AK761" s="81"/>
      <c r="AL761" s="81"/>
      <c r="AM761" s="81"/>
      <c r="AN761" s="81"/>
      <c r="AO761" s="81"/>
      <c r="AP761" s="81"/>
      <c r="AQ761" s="81"/>
      <c r="AR761" s="81"/>
    </row>
    <row r="762" spans="1:44" x14ac:dyDescent="0.4">
      <c r="A762" s="5" t="str">
        <f t="shared" ref="A762:A825" si="53">+B762&amp;"-"&amp;D762</f>
        <v>TR-BOLIVIA</v>
      </c>
      <c r="B762" s="5" t="str">
        <f t="shared" ref="B762:B825" si="54">+MID(C762,1,2)</f>
        <v>TR</v>
      </c>
      <c r="C762" s="83" t="s">
        <v>781</v>
      </c>
      <c r="D762" s="82" t="s">
        <v>1464</v>
      </c>
      <c r="E762" s="85">
        <v>6</v>
      </c>
      <c r="F762" s="85"/>
      <c r="G762" s="86"/>
      <c r="H762" s="86"/>
      <c r="I762" s="86"/>
      <c r="J762" s="86"/>
      <c r="K762" s="86"/>
      <c r="L762" s="86"/>
      <c r="M762" s="86"/>
      <c r="N762" s="86"/>
      <c r="O762" s="86"/>
      <c r="P762" s="87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  <c r="AD762" s="81"/>
      <c r="AE762" s="81"/>
      <c r="AF762" s="81"/>
      <c r="AG762" s="81"/>
      <c r="AH762" s="81"/>
      <c r="AI762" s="81"/>
      <c r="AJ762" s="81"/>
      <c r="AK762" s="81"/>
      <c r="AL762" s="81"/>
      <c r="AM762" s="81"/>
      <c r="AN762" s="81"/>
      <c r="AO762" s="81"/>
      <c r="AP762" s="81"/>
      <c r="AQ762" s="81"/>
      <c r="AR762" s="81"/>
    </row>
    <row r="763" spans="1:44" x14ac:dyDescent="0.4">
      <c r="A763" s="5" t="str">
        <f t="shared" si="53"/>
        <v>TR-BUENA VISTA</v>
      </c>
      <c r="B763" s="5" t="str">
        <f t="shared" si="54"/>
        <v>TR</v>
      </c>
      <c r="C763" s="83" t="s">
        <v>781</v>
      </c>
      <c r="D763" s="82" t="s">
        <v>1036</v>
      </c>
      <c r="E763" s="85">
        <v>19</v>
      </c>
      <c r="F763" s="85"/>
      <c r="G763" s="86"/>
      <c r="H763" s="86"/>
      <c r="I763" s="86"/>
      <c r="J763" s="86"/>
      <c r="K763" s="86"/>
      <c r="L763" s="86"/>
      <c r="M763" s="86"/>
      <c r="N763" s="86"/>
      <c r="O763" s="86"/>
      <c r="P763" s="87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  <c r="AE763" s="81"/>
      <c r="AF763" s="81"/>
      <c r="AG763" s="81"/>
      <c r="AH763" s="81"/>
      <c r="AI763" s="81"/>
      <c r="AJ763" s="81"/>
      <c r="AK763" s="81"/>
      <c r="AL763" s="81"/>
      <c r="AM763" s="81"/>
      <c r="AN763" s="81"/>
      <c r="AO763" s="81"/>
      <c r="AP763" s="81"/>
      <c r="AQ763" s="81"/>
      <c r="AR763" s="81"/>
    </row>
    <row r="764" spans="1:44" x14ac:dyDescent="0.4">
      <c r="A764" s="5" t="str">
        <f t="shared" si="53"/>
        <v>TR-BURBUSAY</v>
      </c>
      <c r="B764" s="5" t="str">
        <f t="shared" si="54"/>
        <v>TR</v>
      </c>
      <c r="C764" s="83" t="s">
        <v>781</v>
      </c>
      <c r="D764" s="82" t="s">
        <v>1465</v>
      </c>
      <c r="E764" s="85">
        <v>19</v>
      </c>
      <c r="F764" s="85"/>
      <c r="G764" s="86"/>
      <c r="H764" s="86"/>
      <c r="I764" s="86"/>
      <c r="J764" s="86"/>
      <c r="K764" s="86"/>
      <c r="L764" s="86"/>
      <c r="M764" s="86"/>
      <c r="N764" s="86"/>
      <c r="O764" s="86"/>
      <c r="P764" s="87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  <c r="AD764" s="81"/>
      <c r="AE764" s="81"/>
      <c r="AF764" s="81"/>
      <c r="AG764" s="81"/>
      <c r="AH764" s="81"/>
      <c r="AI764" s="81"/>
      <c r="AJ764" s="81"/>
      <c r="AK764" s="81"/>
      <c r="AL764" s="81"/>
      <c r="AM764" s="81"/>
      <c r="AN764" s="81"/>
      <c r="AO764" s="81"/>
      <c r="AP764" s="81"/>
      <c r="AQ764" s="81"/>
      <c r="AR764" s="81"/>
    </row>
    <row r="765" spans="1:44" x14ac:dyDescent="0.4">
      <c r="A765" s="5" t="str">
        <f t="shared" si="53"/>
        <v>TR-CABIMBU</v>
      </c>
      <c r="B765" s="5" t="str">
        <f t="shared" si="54"/>
        <v>TR</v>
      </c>
      <c r="C765" s="83" t="s">
        <v>781</v>
      </c>
      <c r="D765" s="82" t="s">
        <v>1466</v>
      </c>
      <c r="E765" s="85">
        <v>10</v>
      </c>
      <c r="F765" s="85"/>
      <c r="G765" s="86"/>
      <c r="H765" s="86"/>
      <c r="I765" s="86"/>
      <c r="J765" s="86"/>
      <c r="K765" s="86"/>
      <c r="L765" s="86"/>
      <c r="M765" s="86"/>
      <c r="N765" s="86"/>
      <c r="O765" s="86"/>
      <c r="P765" s="87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  <c r="AD765" s="81"/>
      <c r="AE765" s="81"/>
      <c r="AF765" s="81"/>
      <c r="AG765" s="81"/>
      <c r="AH765" s="81"/>
      <c r="AI765" s="81"/>
      <c r="AJ765" s="81"/>
      <c r="AK765" s="81"/>
      <c r="AL765" s="81"/>
      <c r="AM765" s="81"/>
      <c r="AN765" s="81"/>
      <c r="AO765" s="81"/>
      <c r="AP765" s="81"/>
      <c r="AQ765" s="81"/>
      <c r="AR765" s="81"/>
    </row>
    <row r="766" spans="1:44" x14ac:dyDescent="0.4">
      <c r="A766" s="5" t="str">
        <f t="shared" si="53"/>
        <v>TR-CAMPO ELIAS</v>
      </c>
      <c r="B766" s="5" t="str">
        <f t="shared" si="54"/>
        <v>TR</v>
      </c>
      <c r="C766" s="83" t="s">
        <v>781</v>
      </c>
      <c r="D766" s="82" t="s">
        <v>1365</v>
      </c>
      <c r="E766" s="85">
        <v>19</v>
      </c>
      <c r="F766" s="85"/>
      <c r="G766" s="86"/>
      <c r="H766" s="86"/>
      <c r="I766" s="86"/>
      <c r="J766" s="86"/>
      <c r="K766" s="86"/>
      <c r="L766" s="86"/>
      <c r="M766" s="86"/>
      <c r="N766" s="86"/>
      <c r="O766" s="86"/>
      <c r="P766" s="87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  <c r="AD766" s="81"/>
      <c r="AE766" s="81"/>
      <c r="AF766" s="81"/>
      <c r="AG766" s="81"/>
      <c r="AH766" s="81"/>
      <c r="AI766" s="81"/>
      <c r="AJ766" s="81"/>
      <c r="AK766" s="81"/>
      <c r="AL766" s="81"/>
      <c r="AM766" s="81"/>
      <c r="AN766" s="81"/>
      <c r="AO766" s="81"/>
      <c r="AP766" s="81"/>
      <c r="AQ766" s="81"/>
      <c r="AR766" s="81"/>
    </row>
    <row r="767" spans="1:44" x14ac:dyDescent="0.4">
      <c r="A767" s="5" t="str">
        <f t="shared" si="53"/>
        <v>TR-CARACHE</v>
      </c>
      <c r="B767" s="5" t="str">
        <f t="shared" si="54"/>
        <v>TR</v>
      </c>
      <c r="C767" s="83" t="s">
        <v>781</v>
      </c>
      <c r="D767" s="82" t="s">
        <v>1467</v>
      </c>
      <c r="E767" s="85">
        <v>99</v>
      </c>
      <c r="F767" s="85"/>
      <c r="G767" s="86"/>
      <c r="H767" s="86"/>
      <c r="I767" s="86"/>
      <c r="J767" s="86"/>
      <c r="K767" s="86"/>
      <c r="L767" s="86"/>
      <c r="M767" s="86"/>
      <c r="N767" s="86"/>
      <c r="O767" s="86"/>
      <c r="P767" s="87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  <c r="AD767" s="81"/>
      <c r="AE767" s="81"/>
      <c r="AF767" s="81"/>
      <c r="AG767" s="81"/>
      <c r="AH767" s="81"/>
      <c r="AI767" s="81"/>
      <c r="AJ767" s="81"/>
      <c r="AK767" s="81"/>
      <c r="AL767" s="81"/>
      <c r="AM767" s="81"/>
      <c r="AN767" s="81"/>
      <c r="AO767" s="81"/>
      <c r="AP767" s="81"/>
      <c r="AQ767" s="81"/>
      <c r="AR767" s="81"/>
    </row>
    <row r="768" spans="1:44" x14ac:dyDescent="0.4">
      <c r="A768" s="5" t="str">
        <f t="shared" si="53"/>
        <v>TR-CARRILLO</v>
      </c>
      <c r="B768" s="5" t="str">
        <f t="shared" si="54"/>
        <v>TR</v>
      </c>
      <c r="C768" s="83" t="s">
        <v>781</v>
      </c>
      <c r="D768" s="82" t="s">
        <v>1468</v>
      </c>
      <c r="E768" s="85">
        <v>8</v>
      </c>
      <c r="F768" s="85"/>
      <c r="G768" s="86"/>
      <c r="H768" s="86"/>
      <c r="I768" s="86"/>
      <c r="J768" s="86"/>
      <c r="K768" s="86"/>
      <c r="L768" s="86"/>
      <c r="M768" s="86"/>
      <c r="N768" s="86"/>
      <c r="O768" s="86"/>
      <c r="P768" s="87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  <c r="AD768" s="81"/>
      <c r="AE768" s="81"/>
      <c r="AF768" s="81"/>
      <c r="AG768" s="81"/>
      <c r="AH768" s="81"/>
      <c r="AI768" s="81"/>
      <c r="AJ768" s="81"/>
      <c r="AK768" s="81"/>
      <c r="AL768" s="81"/>
      <c r="AM768" s="81"/>
      <c r="AN768" s="81"/>
      <c r="AO768" s="81"/>
      <c r="AP768" s="81"/>
      <c r="AQ768" s="81"/>
      <c r="AR768" s="81"/>
    </row>
    <row r="769" spans="1:44" x14ac:dyDescent="0.4">
      <c r="A769" s="5" t="str">
        <f t="shared" si="53"/>
        <v>TR-CEGARRA</v>
      </c>
      <c r="B769" s="5" t="str">
        <f t="shared" si="54"/>
        <v>TR</v>
      </c>
      <c r="C769" s="83" t="s">
        <v>781</v>
      </c>
      <c r="D769" s="82" t="s">
        <v>1469</v>
      </c>
      <c r="E769" s="85">
        <v>9</v>
      </c>
      <c r="F769" s="85"/>
      <c r="G769" s="86"/>
      <c r="H769" s="86"/>
      <c r="I769" s="86"/>
      <c r="J769" s="86"/>
      <c r="K769" s="86"/>
      <c r="L769" s="86"/>
      <c r="M769" s="86"/>
      <c r="N769" s="86"/>
      <c r="O769" s="86"/>
      <c r="P769" s="87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  <c r="AD769" s="81"/>
      <c r="AE769" s="81"/>
      <c r="AF769" s="81"/>
      <c r="AG769" s="81"/>
      <c r="AH769" s="81"/>
      <c r="AI769" s="81"/>
      <c r="AJ769" s="81"/>
      <c r="AK769" s="81"/>
      <c r="AL769" s="81"/>
      <c r="AM769" s="81"/>
      <c r="AN769" s="81"/>
      <c r="AO769" s="81"/>
      <c r="AP769" s="81"/>
      <c r="AQ769" s="81"/>
      <c r="AR769" s="81"/>
    </row>
    <row r="770" spans="1:44" x14ac:dyDescent="0.4">
      <c r="A770" s="5" t="str">
        <f t="shared" si="53"/>
        <v>TR-CHEJENDE (CANDELARIA)</v>
      </c>
      <c r="B770" s="5" t="str">
        <f t="shared" si="54"/>
        <v>TR</v>
      </c>
      <c r="C770" s="83" t="s">
        <v>781</v>
      </c>
      <c r="D770" s="82" t="s">
        <v>1470</v>
      </c>
      <c r="E770" s="85">
        <v>62</v>
      </c>
      <c r="F770" s="85"/>
      <c r="G770" s="86"/>
      <c r="H770" s="86"/>
      <c r="I770" s="86"/>
      <c r="J770" s="86"/>
      <c r="K770" s="86"/>
      <c r="L770" s="86"/>
      <c r="M770" s="86"/>
      <c r="N770" s="86"/>
      <c r="O770" s="86"/>
      <c r="P770" s="87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  <c r="AD770" s="81"/>
      <c r="AE770" s="81"/>
      <c r="AF770" s="81"/>
      <c r="AG770" s="81"/>
      <c r="AH770" s="81"/>
      <c r="AI770" s="81"/>
      <c r="AJ770" s="81"/>
      <c r="AK770" s="81"/>
      <c r="AL770" s="81"/>
      <c r="AM770" s="81"/>
      <c r="AN770" s="81"/>
      <c r="AO770" s="81"/>
      <c r="AP770" s="81"/>
      <c r="AQ770" s="81"/>
      <c r="AR770" s="81"/>
    </row>
    <row r="771" spans="1:44" x14ac:dyDescent="0.4">
      <c r="A771" s="5" t="str">
        <f t="shared" si="53"/>
        <v>TR-CHIQUINQUIRA</v>
      </c>
      <c r="B771" s="5" t="str">
        <f t="shared" si="54"/>
        <v>TR</v>
      </c>
      <c r="C771" s="83" t="s">
        <v>781</v>
      </c>
      <c r="D771" s="82" t="s">
        <v>1126</v>
      </c>
      <c r="E771" s="85">
        <v>23</v>
      </c>
      <c r="F771" s="85"/>
      <c r="G771" s="86"/>
      <c r="H771" s="86"/>
      <c r="I771" s="86"/>
      <c r="J771" s="86"/>
      <c r="K771" s="86"/>
      <c r="L771" s="86"/>
      <c r="M771" s="86"/>
      <c r="N771" s="86"/>
      <c r="O771" s="86"/>
      <c r="P771" s="87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  <c r="AD771" s="81"/>
      <c r="AE771" s="81"/>
      <c r="AF771" s="81"/>
      <c r="AG771" s="81"/>
      <c r="AH771" s="81"/>
      <c r="AI771" s="81"/>
      <c r="AJ771" s="81"/>
      <c r="AK771" s="81"/>
      <c r="AL771" s="81"/>
      <c r="AM771" s="81"/>
      <c r="AN771" s="81"/>
      <c r="AO771" s="81"/>
      <c r="AP771" s="81"/>
      <c r="AQ771" s="81"/>
      <c r="AR771" s="81"/>
    </row>
    <row r="772" spans="1:44" x14ac:dyDescent="0.4">
      <c r="A772" s="5" t="str">
        <f t="shared" si="53"/>
        <v>TR-CRISTOBAL DE MENDOZA</v>
      </c>
      <c r="B772" s="5" t="str">
        <f t="shared" si="54"/>
        <v>TR</v>
      </c>
      <c r="C772" s="83" t="s">
        <v>781</v>
      </c>
      <c r="D772" s="82" t="s">
        <v>1471</v>
      </c>
      <c r="E772" s="85">
        <v>300</v>
      </c>
      <c r="F772" s="85"/>
      <c r="G772" s="86"/>
      <c r="H772" s="86"/>
      <c r="I772" s="86"/>
      <c r="J772" s="86"/>
      <c r="K772" s="86"/>
      <c r="L772" s="86"/>
      <c r="M772" s="86"/>
      <c r="N772" s="86"/>
      <c r="O772" s="86"/>
      <c r="P772" s="87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  <c r="AD772" s="81"/>
      <c r="AE772" s="81"/>
      <c r="AF772" s="81"/>
      <c r="AG772" s="81"/>
      <c r="AH772" s="81"/>
      <c r="AI772" s="81"/>
      <c r="AJ772" s="81"/>
      <c r="AK772" s="81"/>
      <c r="AL772" s="81"/>
      <c r="AM772" s="81"/>
      <c r="AN772" s="81"/>
      <c r="AO772" s="81"/>
      <c r="AP772" s="81"/>
      <c r="AQ772" s="81"/>
      <c r="AR772" s="81"/>
    </row>
    <row r="773" spans="1:44" x14ac:dyDescent="0.4">
      <c r="A773" s="5" t="str">
        <f t="shared" si="53"/>
        <v>TR-CRUZ CARRILLO</v>
      </c>
      <c r="B773" s="5" t="str">
        <f t="shared" si="54"/>
        <v>TR</v>
      </c>
      <c r="C773" s="83" t="s">
        <v>781</v>
      </c>
      <c r="D773" s="82" t="s">
        <v>1472</v>
      </c>
      <c r="E773" s="85">
        <v>22</v>
      </c>
      <c r="F773" s="85"/>
      <c r="G773" s="86"/>
      <c r="H773" s="86"/>
      <c r="I773" s="86"/>
      <c r="J773" s="86"/>
      <c r="K773" s="86"/>
      <c r="L773" s="86"/>
      <c r="M773" s="86"/>
      <c r="N773" s="86"/>
      <c r="O773" s="86"/>
      <c r="P773" s="87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  <c r="AD773" s="81"/>
      <c r="AE773" s="81"/>
      <c r="AF773" s="81"/>
      <c r="AG773" s="81"/>
      <c r="AH773" s="81"/>
      <c r="AI773" s="81"/>
      <c r="AJ773" s="81"/>
      <c r="AK773" s="81"/>
      <c r="AL773" s="81"/>
      <c r="AM773" s="81"/>
      <c r="AN773" s="81"/>
      <c r="AO773" s="81"/>
      <c r="AP773" s="81"/>
      <c r="AQ773" s="81"/>
      <c r="AR773" s="81"/>
    </row>
    <row r="774" spans="1:44" x14ac:dyDescent="0.4">
      <c r="A774" s="5" t="str">
        <f t="shared" si="53"/>
        <v>TR-CUICAS</v>
      </c>
      <c r="B774" s="5" t="str">
        <f t="shared" si="54"/>
        <v>TR</v>
      </c>
      <c r="C774" s="83" t="s">
        <v>781</v>
      </c>
      <c r="D774" s="82" t="s">
        <v>1473</v>
      </c>
      <c r="E774" s="85">
        <v>37</v>
      </c>
      <c r="F774" s="85"/>
      <c r="G774" s="86"/>
      <c r="H774" s="86"/>
      <c r="I774" s="86"/>
      <c r="J774" s="86"/>
      <c r="K774" s="86"/>
      <c r="L774" s="86"/>
      <c r="M774" s="86"/>
      <c r="N774" s="86"/>
      <c r="O774" s="86"/>
      <c r="P774" s="87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  <c r="AD774" s="81"/>
      <c r="AE774" s="81"/>
      <c r="AF774" s="81"/>
      <c r="AG774" s="81"/>
      <c r="AH774" s="81"/>
      <c r="AI774" s="81"/>
      <c r="AJ774" s="81"/>
      <c r="AK774" s="81"/>
      <c r="AL774" s="81"/>
      <c r="AM774" s="81"/>
      <c r="AN774" s="81"/>
      <c r="AO774" s="81"/>
      <c r="AP774" s="81"/>
      <c r="AQ774" s="81"/>
      <c r="AR774" s="81"/>
    </row>
    <row r="775" spans="1:44" x14ac:dyDescent="0.4">
      <c r="A775" s="5" t="str">
        <f t="shared" si="53"/>
        <v>TR-DIVIDIVE (MIRANDA)</v>
      </c>
      <c r="B775" s="5" t="str">
        <f t="shared" si="54"/>
        <v>TR</v>
      </c>
      <c r="C775" s="83" t="s">
        <v>781</v>
      </c>
      <c r="D775" s="82" t="s">
        <v>1474</v>
      </c>
      <c r="E775" s="85">
        <v>18</v>
      </c>
      <c r="F775" s="85"/>
      <c r="G775" s="86"/>
      <c r="H775" s="86"/>
      <c r="I775" s="86"/>
      <c r="J775" s="86"/>
      <c r="K775" s="86"/>
      <c r="L775" s="86"/>
      <c r="M775" s="86"/>
      <c r="N775" s="86"/>
      <c r="O775" s="86"/>
      <c r="P775" s="87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  <c r="AD775" s="81"/>
      <c r="AE775" s="81"/>
      <c r="AF775" s="81"/>
      <c r="AG775" s="81"/>
      <c r="AH775" s="81"/>
      <c r="AI775" s="81"/>
      <c r="AJ775" s="81"/>
      <c r="AK775" s="81"/>
      <c r="AL775" s="81"/>
      <c r="AM775" s="81"/>
      <c r="AN775" s="81"/>
      <c r="AO775" s="81"/>
      <c r="AP775" s="81"/>
      <c r="AQ775" s="81"/>
      <c r="AR775" s="81"/>
    </row>
    <row r="776" spans="1:44" x14ac:dyDescent="0.4">
      <c r="A776" s="5" t="str">
        <f t="shared" si="53"/>
        <v>TR-EL BAÑO</v>
      </c>
      <c r="B776" s="5" t="str">
        <f t="shared" si="54"/>
        <v>TR</v>
      </c>
      <c r="C776" s="83" t="s">
        <v>781</v>
      </c>
      <c r="D776" s="82" t="s">
        <v>1475</v>
      </c>
      <c r="E776" s="85">
        <v>1</v>
      </c>
      <c r="F776" s="85"/>
      <c r="G776" s="86"/>
      <c r="H776" s="86"/>
      <c r="I776" s="86"/>
      <c r="J776" s="86"/>
      <c r="K776" s="86"/>
      <c r="L776" s="86"/>
      <c r="M776" s="86"/>
      <c r="N776" s="86"/>
      <c r="O776" s="86"/>
      <c r="P776" s="87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  <c r="AD776" s="81"/>
      <c r="AE776" s="81"/>
      <c r="AF776" s="81"/>
      <c r="AG776" s="81"/>
      <c r="AH776" s="81"/>
      <c r="AI776" s="81"/>
      <c r="AJ776" s="81"/>
      <c r="AK776" s="81"/>
      <c r="AL776" s="81"/>
      <c r="AM776" s="81"/>
      <c r="AN776" s="81"/>
      <c r="AO776" s="81"/>
      <c r="AP776" s="81"/>
      <c r="AQ776" s="81"/>
      <c r="AR776" s="81"/>
    </row>
    <row r="777" spans="1:44" x14ac:dyDescent="0.4">
      <c r="A777" s="5" t="str">
        <f t="shared" si="53"/>
        <v>TR-EL CARMEN</v>
      </c>
      <c r="B777" s="5" t="str">
        <f t="shared" si="54"/>
        <v>TR</v>
      </c>
      <c r="C777" s="83" t="s">
        <v>781</v>
      </c>
      <c r="D777" s="82" t="s">
        <v>797</v>
      </c>
      <c r="E777" s="85">
        <v>69</v>
      </c>
      <c r="F777" s="85"/>
      <c r="G777" s="86"/>
      <c r="H777" s="86"/>
      <c r="I777" s="86"/>
      <c r="J777" s="86"/>
      <c r="K777" s="86"/>
      <c r="L777" s="86"/>
      <c r="M777" s="86"/>
      <c r="N777" s="86"/>
      <c r="O777" s="86"/>
      <c r="P777" s="87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  <c r="AD777" s="81"/>
      <c r="AE777" s="81"/>
      <c r="AF777" s="81"/>
      <c r="AG777" s="81"/>
      <c r="AH777" s="81"/>
      <c r="AI777" s="81"/>
      <c r="AJ777" s="81"/>
      <c r="AK777" s="81"/>
      <c r="AL777" s="81"/>
      <c r="AM777" s="81"/>
      <c r="AN777" s="81"/>
      <c r="AO777" s="81"/>
      <c r="AP777" s="81"/>
      <c r="AQ777" s="81"/>
      <c r="AR777" s="81"/>
    </row>
    <row r="778" spans="1:44" x14ac:dyDescent="0.4">
      <c r="A778" s="5" t="str">
        <f t="shared" si="53"/>
        <v>TR-EL CENIZO</v>
      </c>
      <c r="B778" s="5" t="str">
        <f t="shared" si="54"/>
        <v>TR</v>
      </c>
      <c r="C778" s="83" t="s">
        <v>781</v>
      </c>
      <c r="D778" s="82" t="s">
        <v>1476</v>
      </c>
      <c r="E778" s="85">
        <v>1</v>
      </c>
      <c r="F778" s="85"/>
      <c r="G778" s="86"/>
      <c r="H778" s="86"/>
      <c r="I778" s="86"/>
      <c r="J778" s="86"/>
      <c r="K778" s="86"/>
      <c r="L778" s="86"/>
      <c r="M778" s="86"/>
      <c r="N778" s="86"/>
      <c r="O778" s="86"/>
      <c r="P778" s="87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  <c r="AE778" s="81"/>
      <c r="AF778" s="81"/>
      <c r="AG778" s="81"/>
      <c r="AH778" s="81"/>
      <c r="AI778" s="81"/>
      <c r="AJ778" s="81"/>
      <c r="AK778" s="81"/>
      <c r="AL778" s="81"/>
      <c r="AM778" s="81"/>
      <c r="AN778" s="81"/>
      <c r="AO778" s="81"/>
      <c r="AP778" s="81"/>
      <c r="AQ778" s="81"/>
      <c r="AR778" s="81"/>
    </row>
    <row r="779" spans="1:44" x14ac:dyDescent="0.4">
      <c r="A779" s="5" t="str">
        <f t="shared" si="53"/>
        <v>TR-ESCUQUE</v>
      </c>
      <c r="B779" s="5" t="str">
        <f t="shared" si="54"/>
        <v>TR</v>
      </c>
      <c r="C779" s="83" t="s">
        <v>781</v>
      </c>
      <c r="D779" s="82" t="s">
        <v>1477</v>
      </c>
      <c r="E779" s="85">
        <v>40</v>
      </c>
      <c r="F779" s="85"/>
      <c r="G779" s="86"/>
      <c r="H779" s="86"/>
      <c r="I779" s="86"/>
      <c r="J779" s="86"/>
      <c r="K779" s="86"/>
      <c r="L779" s="86"/>
      <c r="M779" s="86"/>
      <c r="N779" s="86"/>
      <c r="O779" s="86"/>
      <c r="P779" s="87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  <c r="AE779" s="81"/>
      <c r="AF779" s="81"/>
      <c r="AG779" s="81"/>
      <c r="AH779" s="81"/>
      <c r="AI779" s="81"/>
      <c r="AJ779" s="81"/>
      <c r="AK779" s="81"/>
      <c r="AL779" s="81"/>
      <c r="AM779" s="81"/>
      <c r="AN779" s="81"/>
      <c r="AO779" s="81"/>
      <c r="AP779" s="81"/>
      <c r="AQ779" s="81"/>
      <c r="AR779" s="81"/>
    </row>
    <row r="780" spans="1:44" x14ac:dyDescent="0.4">
      <c r="A780" s="5" t="str">
        <f t="shared" si="53"/>
        <v>TR-FLOR DE PATRIA</v>
      </c>
      <c r="B780" s="5" t="str">
        <f t="shared" si="54"/>
        <v>TR</v>
      </c>
      <c r="C780" s="83" t="s">
        <v>781</v>
      </c>
      <c r="D780" s="82" t="s">
        <v>1478</v>
      </c>
      <c r="E780" s="85">
        <v>23</v>
      </c>
      <c r="F780" s="85"/>
      <c r="G780" s="86"/>
      <c r="H780" s="86"/>
      <c r="I780" s="86"/>
      <c r="J780" s="86"/>
      <c r="K780" s="86"/>
      <c r="L780" s="86"/>
      <c r="M780" s="86"/>
      <c r="N780" s="86"/>
      <c r="O780" s="86"/>
      <c r="P780" s="87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  <c r="AD780" s="81"/>
      <c r="AE780" s="81"/>
      <c r="AF780" s="81"/>
      <c r="AG780" s="81"/>
      <c r="AH780" s="81"/>
      <c r="AI780" s="81"/>
      <c r="AJ780" s="81"/>
      <c r="AK780" s="81"/>
      <c r="AL780" s="81"/>
      <c r="AM780" s="81"/>
      <c r="AN780" s="81"/>
      <c r="AO780" s="81"/>
      <c r="AP780" s="81"/>
      <c r="AQ780" s="81"/>
      <c r="AR780" s="81"/>
    </row>
    <row r="781" spans="1:44" x14ac:dyDescent="0.4">
      <c r="A781" s="5" t="str">
        <f t="shared" si="53"/>
        <v>TR-GENERAL RIVAS</v>
      </c>
      <c r="B781" s="5" t="str">
        <f t="shared" si="54"/>
        <v>TR</v>
      </c>
      <c r="C781" s="83" t="s">
        <v>781</v>
      </c>
      <c r="D781" s="82" t="s">
        <v>1479</v>
      </c>
      <c r="E781" s="85">
        <v>18</v>
      </c>
      <c r="F781" s="85"/>
      <c r="G781" s="86"/>
      <c r="H781" s="86"/>
      <c r="I781" s="86"/>
      <c r="J781" s="86"/>
      <c r="K781" s="86"/>
      <c r="L781" s="86"/>
      <c r="M781" s="86"/>
      <c r="N781" s="86"/>
      <c r="O781" s="86"/>
      <c r="P781" s="87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  <c r="AD781" s="81"/>
      <c r="AE781" s="81"/>
      <c r="AF781" s="81"/>
      <c r="AG781" s="81"/>
      <c r="AH781" s="81"/>
      <c r="AI781" s="81"/>
      <c r="AJ781" s="81"/>
      <c r="AK781" s="81"/>
      <c r="AL781" s="81"/>
      <c r="AM781" s="81"/>
      <c r="AN781" s="81"/>
      <c r="AO781" s="81"/>
      <c r="AP781" s="81"/>
      <c r="AQ781" s="81"/>
      <c r="AR781" s="81"/>
    </row>
    <row r="782" spans="1:44" x14ac:dyDescent="0.4">
      <c r="A782" s="5" t="str">
        <f t="shared" si="53"/>
        <v>TR-GUARAMACAL</v>
      </c>
      <c r="B782" s="5" t="str">
        <f t="shared" si="54"/>
        <v>TR</v>
      </c>
      <c r="C782" s="83" t="s">
        <v>781</v>
      </c>
      <c r="D782" s="82" t="s">
        <v>1480</v>
      </c>
      <c r="E782" s="85">
        <v>8</v>
      </c>
      <c r="F782" s="85"/>
      <c r="G782" s="86"/>
      <c r="H782" s="86"/>
      <c r="I782" s="86"/>
      <c r="J782" s="86"/>
      <c r="K782" s="86"/>
      <c r="L782" s="86"/>
      <c r="M782" s="86"/>
      <c r="N782" s="86"/>
      <c r="O782" s="86"/>
      <c r="P782" s="87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  <c r="AD782" s="81"/>
      <c r="AE782" s="81"/>
      <c r="AF782" s="81"/>
      <c r="AG782" s="81"/>
      <c r="AH782" s="81"/>
      <c r="AI782" s="81"/>
      <c r="AJ782" s="81"/>
      <c r="AK782" s="81"/>
      <c r="AL782" s="81"/>
      <c r="AM782" s="81"/>
      <c r="AN782" s="81"/>
      <c r="AO782" s="81"/>
      <c r="AP782" s="81"/>
      <c r="AQ782" s="81"/>
      <c r="AR782" s="81"/>
    </row>
    <row r="783" spans="1:44" x14ac:dyDescent="0.4">
      <c r="A783" s="5" t="str">
        <f t="shared" si="53"/>
        <v>TR-JAJO</v>
      </c>
      <c r="B783" s="5" t="str">
        <f t="shared" si="54"/>
        <v>TR</v>
      </c>
      <c r="C783" s="83" t="s">
        <v>781</v>
      </c>
      <c r="D783" s="82" t="s">
        <v>1481</v>
      </c>
      <c r="E783" s="85">
        <v>30</v>
      </c>
      <c r="F783" s="85"/>
      <c r="G783" s="86"/>
      <c r="H783" s="86"/>
      <c r="I783" s="86"/>
      <c r="J783" s="86"/>
      <c r="K783" s="86"/>
      <c r="L783" s="86"/>
      <c r="M783" s="86"/>
      <c r="N783" s="86"/>
      <c r="O783" s="86"/>
      <c r="P783" s="87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  <c r="AD783" s="81"/>
      <c r="AE783" s="81"/>
      <c r="AF783" s="81"/>
      <c r="AG783" s="81"/>
      <c r="AH783" s="81"/>
      <c r="AI783" s="81"/>
      <c r="AJ783" s="81"/>
      <c r="AK783" s="81"/>
      <c r="AL783" s="81"/>
      <c r="AM783" s="81"/>
      <c r="AN783" s="81"/>
      <c r="AO783" s="81"/>
      <c r="AP783" s="81"/>
      <c r="AQ783" s="81"/>
      <c r="AR783" s="81"/>
    </row>
    <row r="784" spans="1:44" x14ac:dyDescent="0.4">
      <c r="A784" s="5" t="str">
        <f t="shared" si="53"/>
        <v>TR-JALISCO</v>
      </c>
      <c r="B784" s="5" t="str">
        <f t="shared" si="54"/>
        <v>TR</v>
      </c>
      <c r="C784" s="83" t="s">
        <v>781</v>
      </c>
      <c r="D784" s="82" t="s">
        <v>1482</v>
      </c>
      <c r="E784" s="85">
        <v>7</v>
      </c>
      <c r="F784" s="85"/>
      <c r="G784" s="86"/>
      <c r="H784" s="86"/>
      <c r="I784" s="86"/>
      <c r="J784" s="86"/>
      <c r="K784" s="86"/>
      <c r="L784" s="86"/>
      <c r="M784" s="86"/>
      <c r="N784" s="86"/>
      <c r="O784" s="86"/>
      <c r="P784" s="87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  <c r="AD784" s="81"/>
      <c r="AE784" s="81"/>
      <c r="AF784" s="81"/>
      <c r="AG784" s="81"/>
      <c r="AH784" s="81"/>
      <c r="AI784" s="81"/>
      <c r="AJ784" s="81"/>
      <c r="AK784" s="81"/>
      <c r="AL784" s="81"/>
      <c r="AM784" s="81"/>
      <c r="AN784" s="81"/>
      <c r="AO784" s="81"/>
      <c r="AP784" s="81"/>
      <c r="AQ784" s="81"/>
      <c r="AR784" s="81"/>
    </row>
    <row r="785" spans="1:44" x14ac:dyDescent="0.4">
      <c r="A785" s="5" t="str">
        <f t="shared" si="53"/>
        <v>TR-JOSE F. MARQUES C.</v>
      </c>
      <c r="B785" s="5" t="str">
        <f t="shared" si="54"/>
        <v>TR</v>
      </c>
      <c r="C785" s="83" t="s">
        <v>781</v>
      </c>
      <c r="D785" s="82" t="s">
        <v>1483</v>
      </c>
      <c r="E785" s="85">
        <v>6</v>
      </c>
      <c r="F785" s="85"/>
      <c r="G785" s="86"/>
      <c r="H785" s="86"/>
      <c r="I785" s="86"/>
      <c r="J785" s="86"/>
      <c r="K785" s="86"/>
      <c r="L785" s="86"/>
      <c r="M785" s="86"/>
      <c r="N785" s="86"/>
      <c r="O785" s="86"/>
      <c r="P785" s="87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  <c r="AD785" s="81"/>
      <c r="AE785" s="81"/>
      <c r="AF785" s="81"/>
      <c r="AG785" s="81"/>
      <c r="AH785" s="81"/>
      <c r="AI785" s="81"/>
      <c r="AJ785" s="81"/>
      <c r="AK785" s="81"/>
      <c r="AL785" s="81"/>
      <c r="AM785" s="81"/>
      <c r="AN785" s="81"/>
      <c r="AO785" s="81"/>
      <c r="AP785" s="81"/>
      <c r="AQ785" s="81"/>
      <c r="AR785" s="81"/>
    </row>
    <row r="786" spans="1:44" x14ac:dyDescent="0.4">
      <c r="A786" s="5" t="str">
        <f t="shared" si="53"/>
        <v>TR-JOSE GREGORIO HERNANDEZ</v>
      </c>
      <c r="B786" s="5" t="str">
        <f t="shared" si="54"/>
        <v>TR</v>
      </c>
      <c r="C786" s="83" t="s">
        <v>781</v>
      </c>
      <c r="D786" s="82" t="s">
        <v>1484</v>
      </c>
      <c r="E786" s="85">
        <v>8</v>
      </c>
      <c r="F786" s="85"/>
      <c r="G786" s="86"/>
      <c r="H786" s="86"/>
      <c r="I786" s="86"/>
      <c r="J786" s="86"/>
      <c r="K786" s="86"/>
      <c r="L786" s="86"/>
      <c r="M786" s="86"/>
      <c r="N786" s="86"/>
      <c r="O786" s="86"/>
      <c r="P786" s="87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  <c r="AD786" s="81"/>
      <c r="AE786" s="81"/>
      <c r="AF786" s="81"/>
      <c r="AG786" s="81"/>
      <c r="AH786" s="81"/>
      <c r="AI786" s="81"/>
      <c r="AJ786" s="81"/>
      <c r="AK786" s="81"/>
      <c r="AL786" s="81"/>
      <c r="AM786" s="81"/>
      <c r="AN786" s="81"/>
      <c r="AO786" s="81"/>
      <c r="AP786" s="81"/>
      <c r="AQ786" s="81"/>
      <c r="AR786" s="81"/>
    </row>
    <row r="787" spans="1:44" x14ac:dyDescent="0.4">
      <c r="A787" s="5" t="str">
        <f t="shared" si="53"/>
        <v>TR-JUAN IGNACIO MONTILLA</v>
      </c>
      <c r="B787" s="5" t="str">
        <f t="shared" si="54"/>
        <v>TR</v>
      </c>
      <c r="C787" s="83" t="s">
        <v>781</v>
      </c>
      <c r="D787" s="82" t="s">
        <v>1485</v>
      </c>
      <c r="E787" s="85">
        <v>91</v>
      </c>
      <c r="F787" s="85"/>
      <c r="G787" s="86"/>
      <c r="H787" s="86"/>
      <c r="I787" s="86"/>
      <c r="J787" s="86"/>
      <c r="K787" s="86"/>
      <c r="L787" s="86"/>
      <c r="M787" s="86"/>
      <c r="N787" s="86"/>
      <c r="O787" s="86"/>
      <c r="P787" s="87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  <c r="AD787" s="81"/>
      <c r="AE787" s="81"/>
      <c r="AF787" s="81"/>
      <c r="AG787" s="81"/>
      <c r="AH787" s="81"/>
      <c r="AI787" s="81"/>
      <c r="AJ787" s="81"/>
      <c r="AK787" s="81"/>
      <c r="AL787" s="81"/>
      <c r="AM787" s="81"/>
      <c r="AN787" s="81"/>
      <c r="AO787" s="81"/>
      <c r="AP787" s="81"/>
      <c r="AQ787" s="81"/>
      <c r="AR787" s="81"/>
    </row>
    <row r="788" spans="1:44" x14ac:dyDescent="0.4">
      <c r="A788" s="5" t="str">
        <f t="shared" si="53"/>
        <v>TR-JUNIN (KM. 23)</v>
      </c>
      <c r="B788" s="5" t="str">
        <f t="shared" si="54"/>
        <v>TR</v>
      </c>
      <c r="C788" s="83" t="s">
        <v>781</v>
      </c>
      <c r="D788" s="82" t="s">
        <v>1486</v>
      </c>
      <c r="E788" s="85">
        <v>9</v>
      </c>
      <c r="F788" s="85"/>
      <c r="G788" s="86"/>
      <c r="H788" s="86"/>
      <c r="I788" s="86"/>
      <c r="J788" s="86"/>
      <c r="K788" s="86"/>
      <c r="L788" s="86"/>
      <c r="M788" s="86"/>
      <c r="N788" s="86"/>
      <c r="O788" s="86"/>
      <c r="P788" s="87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  <c r="AD788" s="81"/>
      <c r="AE788" s="81"/>
      <c r="AF788" s="81"/>
      <c r="AG788" s="81"/>
      <c r="AH788" s="81"/>
      <c r="AI788" s="81"/>
      <c r="AJ788" s="81"/>
      <c r="AK788" s="81"/>
      <c r="AL788" s="81"/>
      <c r="AM788" s="81"/>
      <c r="AN788" s="81"/>
      <c r="AO788" s="81"/>
      <c r="AP788" s="81"/>
      <c r="AQ788" s="81"/>
      <c r="AR788" s="81"/>
    </row>
    <row r="789" spans="1:44" x14ac:dyDescent="0.4">
      <c r="A789" s="5" t="str">
        <f t="shared" si="53"/>
        <v>TR-LA CEIBA</v>
      </c>
      <c r="B789" s="5" t="str">
        <f t="shared" si="54"/>
        <v>TR</v>
      </c>
      <c r="C789" s="83" t="s">
        <v>781</v>
      </c>
      <c r="D789" s="82" t="s">
        <v>1487</v>
      </c>
      <c r="E789" s="85">
        <v>27</v>
      </c>
      <c r="F789" s="85"/>
      <c r="G789" s="86"/>
      <c r="H789" s="86"/>
      <c r="I789" s="86"/>
      <c r="J789" s="86"/>
      <c r="K789" s="86"/>
      <c r="L789" s="86"/>
      <c r="M789" s="86"/>
      <c r="N789" s="86"/>
      <c r="O789" s="86"/>
      <c r="P789" s="87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  <c r="AD789" s="81"/>
      <c r="AE789" s="81"/>
      <c r="AF789" s="81"/>
      <c r="AG789" s="81"/>
      <c r="AH789" s="81"/>
      <c r="AI789" s="81"/>
      <c r="AJ789" s="81"/>
      <c r="AK789" s="81"/>
      <c r="AL789" s="81"/>
      <c r="AM789" s="81"/>
      <c r="AN789" s="81"/>
      <c r="AO789" s="81"/>
      <c r="AP789" s="81"/>
      <c r="AQ789" s="81"/>
      <c r="AR789" s="81"/>
    </row>
    <row r="790" spans="1:44" x14ac:dyDescent="0.4">
      <c r="A790" s="5" t="str">
        <f t="shared" si="53"/>
        <v>TR-LA CONCEPCION</v>
      </c>
      <c r="B790" s="5" t="str">
        <f t="shared" si="54"/>
        <v>TR</v>
      </c>
      <c r="C790" s="83" t="s">
        <v>781</v>
      </c>
      <c r="D790" s="82" t="s">
        <v>1488</v>
      </c>
      <c r="E790" s="85">
        <v>22</v>
      </c>
      <c r="F790" s="85"/>
      <c r="G790" s="86"/>
      <c r="H790" s="86"/>
      <c r="I790" s="86"/>
      <c r="J790" s="86"/>
      <c r="K790" s="86"/>
      <c r="L790" s="86"/>
      <c r="M790" s="86"/>
      <c r="N790" s="86"/>
      <c r="O790" s="86"/>
      <c r="P790" s="87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  <c r="AD790" s="81"/>
      <c r="AE790" s="81"/>
      <c r="AF790" s="81"/>
      <c r="AG790" s="81"/>
      <c r="AH790" s="81"/>
      <c r="AI790" s="81"/>
      <c r="AJ790" s="81"/>
      <c r="AK790" s="81"/>
      <c r="AL790" s="81"/>
      <c r="AM790" s="81"/>
      <c r="AN790" s="81"/>
      <c r="AO790" s="81"/>
      <c r="AP790" s="81"/>
      <c r="AQ790" s="81"/>
      <c r="AR790" s="81"/>
    </row>
    <row r="791" spans="1:44" x14ac:dyDescent="0.4">
      <c r="A791" s="5" t="str">
        <f t="shared" si="53"/>
        <v>TR-LA MESA</v>
      </c>
      <c r="B791" s="5" t="str">
        <f t="shared" si="54"/>
        <v>TR</v>
      </c>
      <c r="C791" s="83" t="s">
        <v>781</v>
      </c>
      <c r="D791" s="82" t="s">
        <v>1191</v>
      </c>
      <c r="E791" s="85">
        <v>26</v>
      </c>
      <c r="F791" s="85"/>
      <c r="G791" s="86"/>
      <c r="H791" s="86"/>
      <c r="I791" s="86"/>
      <c r="J791" s="86"/>
      <c r="K791" s="86"/>
      <c r="L791" s="86"/>
      <c r="M791" s="86"/>
      <c r="N791" s="86"/>
      <c r="O791" s="86"/>
      <c r="P791" s="87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  <c r="AD791" s="81"/>
      <c r="AE791" s="81"/>
      <c r="AF791" s="81"/>
      <c r="AG791" s="81"/>
      <c r="AH791" s="81"/>
      <c r="AI791" s="81"/>
      <c r="AJ791" s="81"/>
      <c r="AK791" s="81"/>
      <c r="AL791" s="81"/>
      <c r="AM791" s="81"/>
      <c r="AN791" s="81"/>
      <c r="AO791" s="81"/>
      <c r="AP791" s="81"/>
      <c r="AQ791" s="81"/>
      <c r="AR791" s="81"/>
    </row>
    <row r="792" spans="1:44" x14ac:dyDescent="0.4">
      <c r="A792" s="5" t="str">
        <f t="shared" si="53"/>
        <v>TR-LA PAZ</v>
      </c>
      <c r="B792" s="5" t="str">
        <f t="shared" si="54"/>
        <v>TR</v>
      </c>
      <c r="C792" s="83" t="s">
        <v>781</v>
      </c>
      <c r="D792" s="82" t="s">
        <v>1489</v>
      </c>
      <c r="E792" s="85">
        <v>49</v>
      </c>
      <c r="F792" s="85"/>
      <c r="G792" s="86"/>
      <c r="H792" s="86"/>
      <c r="I792" s="86"/>
      <c r="J792" s="86"/>
      <c r="K792" s="86"/>
      <c r="L792" s="86"/>
      <c r="M792" s="86"/>
      <c r="N792" s="86"/>
      <c r="O792" s="86"/>
      <c r="P792" s="87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  <c r="AD792" s="81"/>
      <c r="AE792" s="81"/>
      <c r="AF792" s="81"/>
      <c r="AG792" s="81"/>
      <c r="AH792" s="81"/>
      <c r="AI792" s="81"/>
      <c r="AJ792" s="81"/>
      <c r="AK792" s="81"/>
      <c r="AL792" s="81"/>
      <c r="AM792" s="81"/>
      <c r="AN792" s="81"/>
      <c r="AO792" s="81"/>
      <c r="AP792" s="81"/>
      <c r="AQ792" s="81"/>
      <c r="AR792" s="81"/>
    </row>
    <row r="793" spans="1:44" x14ac:dyDescent="0.4">
      <c r="A793" s="5" t="str">
        <f t="shared" si="53"/>
        <v>TR-LA PUERTA</v>
      </c>
      <c r="B793" s="5" t="str">
        <f t="shared" si="54"/>
        <v>TR</v>
      </c>
      <c r="C793" s="83" t="s">
        <v>781</v>
      </c>
      <c r="D793" s="82" t="s">
        <v>1490</v>
      </c>
      <c r="E793" s="85">
        <v>21</v>
      </c>
      <c r="F793" s="85"/>
      <c r="G793" s="86"/>
      <c r="H793" s="86"/>
      <c r="I793" s="86"/>
      <c r="J793" s="86"/>
      <c r="K793" s="86"/>
      <c r="L793" s="86"/>
      <c r="M793" s="86"/>
      <c r="N793" s="86"/>
      <c r="O793" s="86"/>
      <c r="P793" s="87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  <c r="AD793" s="81"/>
      <c r="AE793" s="81"/>
      <c r="AF793" s="81"/>
      <c r="AG793" s="81"/>
      <c r="AH793" s="81"/>
      <c r="AI793" s="81"/>
      <c r="AJ793" s="81"/>
      <c r="AK793" s="81"/>
      <c r="AL793" s="81"/>
      <c r="AM793" s="81"/>
      <c r="AN793" s="81"/>
      <c r="AO793" s="81"/>
      <c r="AP793" s="81"/>
      <c r="AQ793" s="81"/>
      <c r="AR793" s="81"/>
    </row>
    <row r="794" spans="1:44" x14ac:dyDescent="0.4">
      <c r="A794" s="5" t="str">
        <f t="shared" si="53"/>
        <v>TR-LA QUEBRADA</v>
      </c>
      <c r="B794" s="5" t="str">
        <f t="shared" si="54"/>
        <v>TR</v>
      </c>
      <c r="C794" s="83" t="s">
        <v>781</v>
      </c>
      <c r="D794" s="82" t="s">
        <v>1491</v>
      </c>
      <c r="E794" s="85">
        <v>37</v>
      </c>
      <c r="F794" s="85"/>
      <c r="G794" s="86"/>
      <c r="H794" s="86"/>
      <c r="I794" s="86"/>
      <c r="J794" s="86"/>
      <c r="K794" s="86"/>
      <c r="L794" s="86"/>
      <c r="M794" s="86"/>
      <c r="N794" s="86"/>
      <c r="O794" s="86"/>
      <c r="P794" s="87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  <c r="AD794" s="81"/>
      <c r="AE794" s="81"/>
      <c r="AF794" s="81"/>
      <c r="AG794" s="81"/>
      <c r="AH794" s="81"/>
      <c r="AI794" s="81"/>
      <c r="AJ794" s="81"/>
      <c r="AK794" s="81"/>
      <c r="AL794" s="81"/>
      <c r="AM794" s="81"/>
      <c r="AN794" s="81"/>
      <c r="AO794" s="81"/>
      <c r="AP794" s="81"/>
      <c r="AQ794" s="81"/>
      <c r="AR794" s="81"/>
    </row>
    <row r="795" spans="1:44" x14ac:dyDescent="0.4">
      <c r="A795" s="5" t="str">
        <f t="shared" si="53"/>
        <v>TR-LA UNION</v>
      </c>
      <c r="B795" s="5" t="str">
        <f t="shared" si="54"/>
        <v>TR</v>
      </c>
      <c r="C795" s="83" t="s">
        <v>781</v>
      </c>
      <c r="D795" s="82" t="s">
        <v>913</v>
      </c>
      <c r="E795" s="85">
        <v>3</v>
      </c>
      <c r="F795" s="85"/>
      <c r="G795" s="86"/>
      <c r="H795" s="86"/>
      <c r="I795" s="86"/>
      <c r="J795" s="86"/>
      <c r="K795" s="86"/>
      <c r="L795" s="86"/>
      <c r="M795" s="86"/>
      <c r="N795" s="86"/>
      <c r="O795" s="86"/>
      <c r="P795" s="87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  <c r="AD795" s="81"/>
      <c r="AE795" s="81"/>
      <c r="AF795" s="81"/>
      <c r="AG795" s="81"/>
      <c r="AH795" s="81"/>
      <c r="AI795" s="81"/>
      <c r="AJ795" s="81"/>
      <c r="AK795" s="81"/>
      <c r="AL795" s="81"/>
      <c r="AM795" s="81"/>
      <c r="AN795" s="81"/>
      <c r="AO795" s="81"/>
      <c r="AP795" s="81"/>
      <c r="AQ795" s="81"/>
      <c r="AR795" s="81"/>
    </row>
    <row r="796" spans="1:44" x14ac:dyDescent="0.4">
      <c r="A796" s="5" t="str">
        <f t="shared" si="53"/>
        <v>TR-LAS BEATRICES</v>
      </c>
      <c r="B796" s="5" t="str">
        <f t="shared" si="54"/>
        <v>TR</v>
      </c>
      <c r="C796" s="83" t="s">
        <v>781</v>
      </c>
      <c r="D796" s="82" t="s">
        <v>1492</v>
      </c>
      <c r="E796" s="85">
        <v>254</v>
      </c>
      <c r="F796" s="85"/>
      <c r="G796" s="86"/>
      <c r="H796" s="86"/>
      <c r="I796" s="86"/>
      <c r="J796" s="86"/>
      <c r="K796" s="86"/>
      <c r="L796" s="86"/>
      <c r="M796" s="86"/>
      <c r="N796" s="86"/>
      <c r="O796" s="86"/>
      <c r="P796" s="87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  <c r="AD796" s="81"/>
      <c r="AE796" s="81"/>
      <c r="AF796" s="81"/>
      <c r="AG796" s="81"/>
      <c r="AH796" s="81"/>
      <c r="AI796" s="81"/>
      <c r="AJ796" s="81"/>
      <c r="AK796" s="81"/>
      <c r="AL796" s="81"/>
      <c r="AM796" s="81"/>
      <c r="AN796" s="81"/>
      <c r="AO796" s="81"/>
      <c r="AP796" s="81"/>
      <c r="AQ796" s="81"/>
      <c r="AR796" s="81"/>
    </row>
    <row r="797" spans="1:44" x14ac:dyDescent="0.4">
      <c r="A797" s="5" t="str">
        <f t="shared" si="53"/>
        <v>TR-MATRIZ</v>
      </c>
      <c r="B797" s="5" t="str">
        <f t="shared" si="54"/>
        <v>TR</v>
      </c>
      <c r="C797" s="83" t="s">
        <v>781</v>
      </c>
      <c r="D797" s="82" t="s">
        <v>1200</v>
      </c>
      <c r="E797" s="85">
        <v>60</v>
      </c>
      <c r="F797" s="85"/>
      <c r="G797" s="86"/>
      <c r="H797" s="86"/>
      <c r="I797" s="86"/>
      <c r="J797" s="86"/>
      <c r="K797" s="86"/>
      <c r="L797" s="86"/>
      <c r="M797" s="86"/>
      <c r="N797" s="86"/>
      <c r="O797" s="86"/>
      <c r="P797" s="87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  <c r="AD797" s="81"/>
      <c r="AE797" s="81"/>
      <c r="AF797" s="81"/>
      <c r="AG797" s="81"/>
      <c r="AH797" s="81"/>
      <c r="AI797" s="81"/>
      <c r="AJ797" s="81"/>
      <c r="AK797" s="81"/>
      <c r="AL797" s="81"/>
      <c r="AM797" s="81"/>
      <c r="AN797" s="81"/>
      <c r="AO797" s="81"/>
      <c r="AP797" s="81"/>
      <c r="AQ797" s="81"/>
      <c r="AR797" s="81"/>
    </row>
    <row r="798" spans="1:44" x14ac:dyDescent="0.4">
      <c r="A798" s="5" t="str">
        <f t="shared" si="53"/>
        <v>TR-MENDOZA</v>
      </c>
      <c r="B798" s="5" t="str">
        <f t="shared" si="54"/>
        <v>TR</v>
      </c>
      <c r="C798" s="83" t="s">
        <v>781</v>
      </c>
      <c r="D798" s="82" t="s">
        <v>1493</v>
      </c>
      <c r="E798" s="85">
        <v>23</v>
      </c>
      <c r="F798" s="85"/>
      <c r="G798" s="86"/>
      <c r="H798" s="86"/>
      <c r="I798" s="86"/>
      <c r="J798" s="86"/>
      <c r="K798" s="86"/>
      <c r="L798" s="86"/>
      <c r="M798" s="86"/>
      <c r="N798" s="86"/>
      <c r="O798" s="86"/>
      <c r="P798" s="87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  <c r="AD798" s="81"/>
      <c r="AE798" s="81"/>
      <c r="AF798" s="81"/>
      <c r="AG798" s="81"/>
      <c r="AH798" s="81"/>
      <c r="AI798" s="81"/>
      <c r="AJ798" s="81"/>
      <c r="AK798" s="81"/>
      <c r="AL798" s="81"/>
      <c r="AM798" s="81"/>
      <c r="AN798" s="81"/>
      <c r="AO798" s="81"/>
      <c r="AP798" s="81"/>
      <c r="AQ798" s="81"/>
      <c r="AR798" s="81"/>
    </row>
    <row r="799" spans="1:44" x14ac:dyDescent="0.4">
      <c r="A799" s="5" t="str">
        <f t="shared" si="53"/>
        <v>TR-MERCEDES DIAZ</v>
      </c>
      <c r="B799" s="5" t="str">
        <f t="shared" si="54"/>
        <v>TR</v>
      </c>
      <c r="C799" s="83" t="s">
        <v>781</v>
      </c>
      <c r="D799" s="82" t="s">
        <v>1494</v>
      </c>
      <c r="E799" s="85">
        <v>872</v>
      </c>
      <c r="F799" s="85"/>
      <c r="G799" s="86"/>
      <c r="H799" s="86"/>
      <c r="I799" s="86"/>
      <c r="J799" s="86"/>
      <c r="K799" s="86"/>
      <c r="L799" s="86"/>
      <c r="M799" s="86"/>
      <c r="N799" s="86"/>
      <c r="O799" s="86"/>
      <c r="P799" s="87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  <c r="AD799" s="81"/>
      <c r="AE799" s="81"/>
      <c r="AF799" s="81"/>
      <c r="AG799" s="81"/>
      <c r="AH799" s="81"/>
      <c r="AI799" s="81"/>
      <c r="AJ799" s="81"/>
      <c r="AK799" s="81"/>
      <c r="AL799" s="81"/>
      <c r="AM799" s="81"/>
      <c r="AN799" s="81"/>
      <c r="AO799" s="81"/>
      <c r="AP799" s="81"/>
      <c r="AQ799" s="81"/>
      <c r="AR799" s="81"/>
    </row>
    <row r="800" spans="1:44" x14ac:dyDescent="0.4">
      <c r="A800" s="5" t="str">
        <f t="shared" si="53"/>
        <v>TR-MONSEÑOR CARRILLO</v>
      </c>
      <c r="B800" s="5" t="str">
        <f t="shared" si="54"/>
        <v>TR</v>
      </c>
      <c r="C800" s="83" t="s">
        <v>781</v>
      </c>
      <c r="D800" s="82" t="s">
        <v>1495</v>
      </c>
      <c r="E800" s="85">
        <v>21</v>
      </c>
      <c r="F800" s="85"/>
      <c r="G800" s="86"/>
      <c r="H800" s="86"/>
      <c r="I800" s="86"/>
      <c r="J800" s="86"/>
      <c r="K800" s="86"/>
      <c r="L800" s="86"/>
      <c r="M800" s="86"/>
      <c r="N800" s="86"/>
      <c r="O800" s="86"/>
      <c r="P800" s="87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  <c r="AD800" s="81"/>
      <c r="AE800" s="81"/>
      <c r="AF800" s="81"/>
      <c r="AG800" s="81"/>
      <c r="AH800" s="81"/>
      <c r="AI800" s="81"/>
      <c r="AJ800" s="81"/>
      <c r="AK800" s="81"/>
      <c r="AL800" s="81"/>
      <c r="AM800" s="81"/>
      <c r="AN800" s="81"/>
      <c r="AO800" s="81"/>
      <c r="AP800" s="81"/>
      <c r="AQ800" s="81"/>
      <c r="AR800" s="81"/>
    </row>
    <row r="801" spans="1:44" x14ac:dyDescent="0.4">
      <c r="A801" s="5" t="str">
        <f t="shared" si="53"/>
        <v>TR-MONTE CARMELOS</v>
      </c>
      <c r="B801" s="5" t="str">
        <f t="shared" si="54"/>
        <v>TR</v>
      </c>
      <c r="C801" s="83" t="s">
        <v>781</v>
      </c>
      <c r="D801" s="82" t="s">
        <v>1496</v>
      </c>
      <c r="E801" s="85">
        <v>33</v>
      </c>
      <c r="F801" s="85"/>
      <c r="G801" s="86"/>
      <c r="H801" s="86"/>
      <c r="I801" s="86"/>
      <c r="J801" s="86"/>
      <c r="K801" s="86"/>
      <c r="L801" s="86"/>
      <c r="M801" s="86"/>
      <c r="N801" s="86"/>
      <c r="O801" s="86"/>
      <c r="P801" s="87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  <c r="AE801" s="81"/>
      <c r="AF801" s="81"/>
      <c r="AG801" s="81"/>
      <c r="AH801" s="81"/>
      <c r="AI801" s="81"/>
      <c r="AJ801" s="81"/>
      <c r="AK801" s="81"/>
      <c r="AL801" s="81"/>
      <c r="AM801" s="81"/>
      <c r="AN801" s="81"/>
      <c r="AO801" s="81"/>
      <c r="AP801" s="81"/>
      <c r="AQ801" s="81"/>
      <c r="AR801" s="81"/>
    </row>
    <row r="802" spans="1:44" x14ac:dyDescent="0.4">
      <c r="A802" s="5" t="str">
        <f t="shared" si="53"/>
        <v>TR-MOSEÑOR JAUREGUI</v>
      </c>
      <c r="B802" s="5" t="str">
        <f t="shared" si="54"/>
        <v>TR</v>
      </c>
      <c r="C802" s="83" t="s">
        <v>781</v>
      </c>
      <c r="D802" s="82" t="s">
        <v>1497</v>
      </c>
      <c r="E802" s="85">
        <v>39</v>
      </c>
      <c r="F802" s="85"/>
      <c r="G802" s="86"/>
      <c r="H802" s="86"/>
      <c r="I802" s="86"/>
      <c r="J802" s="86"/>
      <c r="K802" s="86"/>
      <c r="L802" s="86"/>
      <c r="M802" s="86"/>
      <c r="N802" s="86"/>
      <c r="O802" s="86"/>
      <c r="P802" s="87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  <c r="AD802" s="81"/>
      <c r="AE802" s="81"/>
      <c r="AF802" s="81"/>
      <c r="AG802" s="81"/>
      <c r="AH802" s="81"/>
      <c r="AI802" s="81"/>
      <c r="AJ802" s="81"/>
      <c r="AK802" s="81"/>
      <c r="AL802" s="81"/>
      <c r="AM802" s="81"/>
      <c r="AN802" s="81"/>
      <c r="AO802" s="81"/>
      <c r="AP802" s="81"/>
      <c r="AQ802" s="81"/>
      <c r="AR802" s="81"/>
    </row>
    <row r="803" spans="1:44" x14ac:dyDescent="0.4">
      <c r="A803" s="5" t="str">
        <f t="shared" si="53"/>
        <v>TR-MOSQUEY</v>
      </c>
      <c r="B803" s="5" t="str">
        <f t="shared" si="54"/>
        <v>TR</v>
      </c>
      <c r="C803" s="83" t="s">
        <v>781</v>
      </c>
      <c r="D803" s="82" t="s">
        <v>1498</v>
      </c>
      <c r="E803" s="85">
        <v>24</v>
      </c>
      <c r="F803" s="85"/>
      <c r="G803" s="86"/>
      <c r="H803" s="86"/>
      <c r="I803" s="86"/>
      <c r="J803" s="86"/>
      <c r="K803" s="86"/>
      <c r="L803" s="86"/>
      <c r="M803" s="86"/>
      <c r="N803" s="86"/>
      <c r="O803" s="86"/>
      <c r="P803" s="87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  <c r="AD803" s="81"/>
      <c r="AE803" s="81"/>
      <c r="AF803" s="81"/>
      <c r="AG803" s="81"/>
      <c r="AH803" s="81"/>
      <c r="AI803" s="81"/>
      <c r="AJ803" s="81"/>
      <c r="AK803" s="81"/>
      <c r="AL803" s="81"/>
      <c r="AM803" s="81"/>
      <c r="AN803" s="81"/>
      <c r="AO803" s="81"/>
      <c r="AP803" s="81"/>
      <c r="AQ803" s="81"/>
      <c r="AR803" s="81"/>
    </row>
    <row r="804" spans="1:44" x14ac:dyDescent="0.4">
      <c r="A804" s="5" t="str">
        <f t="shared" si="53"/>
        <v>TR-MOTATAN</v>
      </c>
      <c r="B804" s="5" t="str">
        <f t="shared" si="54"/>
        <v>TR</v>
      </c>
      <c r="C804" s="83" t="s">
        <v>781</v>
      </c>
      <c r="D804" s="82" t="s">
        <v>1499</v>
      </c>
      <c r="E804" s="85">
        <v>21</v>
      </c>
      <c r="F804" s="85"/>
      <c r="G804" s="86"/>
      <c r="H804" s="86"/>
      <c r="I804" s="86"/>
      <c r="J804" s="86"/>
      <c r="K804" s="86"/>
      <c r="L804" s="86"/>
      <c r="M804" s="86"/>
      <c r="N804" s="86"/>
      <c r="O804" s="86"/>
      <c r="P804" s="87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  <c r="AD804" s="81"/>
      <c r="AE804" s="81"/>
      <c r="AF804" s="81"/>
      <c r="AG804" s="81"/>
      <c r="AH804" s="81"/>
      <c r="AI804" s="81"/>
      <c r="AJ804" s="81"/>
      <c r="AK804" s="81"/>
      <c r="AL804" s="81"/>
      <c r="AM804" s="81"/>
      <c r="AN804" s="81"/>
      <c r="AO804" s="81"/>
      <c r="AP804" s="81"/>
      <c r="AQ804" s="81"/>
      <c r="AR804" s="81"/>
    </row>
    <row r="805" spans="1:44" x14ac:dyDescent="0.4">
      <c r="A805" s="5" t="str">
        <f t="shared" si="53"/>
        <v>TR-PAMPAN</v>
      </c>
      <c r="B805" s="5" t="str">
        <f t="shared" si="54"/>
        <v>TR</v>
      </c>
      <c r="C805" s="83" t="s">
        <v>781</v>
      </c>
      <c r="D805" s="82" t="s">
        <v>1500</v>
      </c>
      <c r="E805" s="85">
        <v>28</v>
      </c>
      <c r="F805" s="85"/>
      <c r="G805" s="86"/>
      <c r="H805" s="86"/>
      <c r="I805" s="86"/>
      <c r="J805" s="86"/>
      <c r="K805" s="86"/>
      <c r="L805" s="86"/>
      <c r="M805" s="86"/>
      <c r="N805" s="86"/>
      <c r="O805" s="86"/>
      <c r="P805" s="87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  <c r="AD805" s="81"/>
      <c r="AE805" s="81"/>
      <c r="AF805" s="81"/>
      <c r="AG805" s="81"/>
      <c r="AH805" s="81"/>
      <c r="AI805" s="81"/>
      <c r="AJ805" s="81"/>
      <c r="AK805" s="81"/>
      <c r="AL805" s="81"/>
      <c r="AM805" s="81"/>
      <c r="AN805" s="81"/>
      <c r="AO805" s="81"/>
      <c r="AP805" s="81"/>
      <c r="AQ805" s="81"/>
      <c r="AR805" s="81"/>
    </row>
    <row r="806" spans="1:44" x14ac:dyDescent="0.4">
      <c r="A806" s="5" t="str">
        <f t="shared" si="53"/>
        <v>TR-PAMPANITO</v>
      </c>
      <c r="B806" s="5" t="str">
        <f t="shared" si="54"/>
        <v>TR</v>
      </c>
      <c r="C806" s="83" t="s">
        <v>781</v>
      </c>
      <c r="D806" s="82" t="s">
        <v>1501</v>
      </c>
      <c r="E806" s="85">
        <v>29</v>
      </c>
      <c r="F806" s="85"/>
      <c r="G806" s="86"/>
      <c r="H806" s="86"/>
      <c r="I806" s="86"/>
      <c r="J806" s="86"/>
      <c r="K806" s="86"/>
      <c r="L806" s="86"/>
      <c r="M806" s="86"/>
      <c r="N806" s="86"/>
      <c r="O806" s="86"/>
      <c r="P806" s="87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  <c r="AD806" s="81"/>
      <c r="AE806" s="81"/>
      <c r="AF806" s="81"/>
      <c r="AG806" s="81"/>
      <c r="AH806" s="81"/>
      <c r="AI806" s="81"/>
      <c r="AJ806" s="81"/>
      <c r="AK806" s="81"/>
      <c r="AL806" s="81"/>
      <c r="AM806" s="81"/>
      <c r="AN806" s="81"/>
      <c r="AO806" s="81"/>
      <c r="AP806" s="81"/>
      <c r="AQ806" s="81"/>
      <c r="AR806" s="81"/>
    </row>
    <row r="807" spans="1:44" x14ac:dyDescent="0.4">
      <c r="A807" s="5" t="str">
        <f t="shared" si="53"/>
        <v>TR-RAFAEL RANGEL</v>
      </c>
      <c r="B807" s="5" t="str">
        <f t="shared" si="54"/>
        <v>TR</v>
      </c>
      <c r="C807" s="83" t="s">
        <v>781</v>
      </c>
      <c r="D807" s="82" t="s">
        <v>1502</v>
      </c>
      <c r="E807" s="85">
        <v>14</v>
      </c>
      <c r="F807" s="85"/>
      <c r="G807" s="86"/>
      <c r="H807" s="86"/>
      <c r="I807" s="86"/>
      <c r="J807" s="86"/>
      <c r="K807" s="86"/>
      <c r="L807" s="86"/>
      <c r="M807" s="86"/>
      <c r="N807" s="86"/>
      <c r="O807" s="86"/>
      <c r="P807" s="87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  <c r="AD807" s="81"/>
      <c r="AE807" s="81"/>
      <c r="AF807" s="81"/>
      <c r="AG807" s="81"/>
      <c r="AH807" s="81"/>
      <c r="AI807" s="81"/>
      <c r="AJ807" s="81"/>
      <c r="AK807" s="81"/>
      <c r="AL807" s="81"/>
      <c r="AM807" s="81"/>
      <c r="AN807" s="81"/>
      <c r="AO807" s="81"/>
      <c r="AP807" s="81"/>
      <c r="AQ807" s="81"/>
      <c r="AR807" s="81"/>
    </row>
    <row r="808" spans="1:44" x14ac:dyDescent="0.4">
      <c r="A808" s="5" t="str">
        <f t="shared" si="53"/>
        <v>TR-SABANA DE MENDOZA (SUCRE)</v>
      </c>
      <c r="B808" s="5" t="str">
        <f t="shared" si="54"/>
        <v>TR</v>
      </c>
      <c r="C808" s="83" t="s">
        <v>781</v>
      </c>
      <c r="D808" s="82" t="s">
        <v>1503</v>
      </c>
      <c r="E808" s="85">
        <v>82</v>
      </c>
      <c r="F808" s="85"/>
      <c r="G808" s="86"/>
      <c r="H808" s="86"/>
      <c r="I808" s="86"/>
      <c r="J808" s="86"/>
      <c r="K808" s="86"/>
      <c r="L808" s="86"/>
      <c r="M808" s="86"/>
      <c r="N808" s="86"/>
      <c r="O808" s="86"/>
      <c r="P808" s="87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  <c r="AD808" s="81"/>
      <c r="AE808" s="81"/>
      <c r="AF808" s="81"/>
      <c r="AG808" s="81"/>
      <c r="AH808" s="81"/>
      <c r="AI808" s="81"/>
      <c r="AJ808" s="81"/>
      <c r="AK808" s="81"/>
      <c r="AL808" s="81"/>
      <c r="AM808" s="81"/>
      <c r="AN808" s="81"/>
      <c r="AO808" s="81"/>
      <c r="AP808" s="81"/>
      <c r="AQ808" s="81"/>
      <c r="AR808" s="81"/>
    </row>
    <row r="809" spans="1:44" x14ac:dyDescent="0.4">
      <c r="A809" s="5" t="str">
        <f t="shared" si="53"/>
        <v>TR-SABANA LIBRE</v>
      </c>
      <c r="B809" s="5" t="str">
        <f t="shared" si="54"/>
        <v>TR</v>
      </c>
      <c r="C809" s="83" t="s">
        <v>781</v>
      </c>
      <c r="D809" s="82" t="s">
        <v>1504</v>
      </c>
      <c r="E809" s="85">
        <v>12</v>
      </c>
      <c r="F809" s="85"/>
      <c r="G809" s="86"/>
      <c r="H809" s="86"/>
      <c r="I809" s="86"/>
      <c r="J809" s="86"/>
      <c r="K809" s="86"/>
      <c r="L809" s="86"/>
      <c r="M809" s="86"/>
      <c r="N809" s="86"/>
      <c r="O809" s="86"/>
      <c r="P809" s="87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  <c r="AD809" s="81"/>
      <c r="AE809" s="81"/>
      <c r="AF809" s="81"/>
      <c r="AG809" s="81"/>
      <c r="AH809" s="81"/>
      <c r="AI809" s="81"/>
      <c r="AJ809" s="81"/>
      <c r="AK809" s="81"/>
      <c r="AL809" s="81"/>
      <c r="AM809" s="81"/>
      <c r="AN809" s="81"/>
      <c r="AO809" s="81"/>
      <c r="AP809" s="81"/>
      <c r="AQ809" s="81"/>
      <c r="AR809" s="81"/>
    </row>
    <row r="810" spans="1:44" x14ac:dyDescent="0.4">
      <c r="A810" s="5" t="str">
        <f t="shared" si="53"/>
        <v>TR-SAN JOSE</v>
      </c>
      <c r="B810" s="5" t="str">
        <f t="shared" si="54"/>
        <v>TR</v>
      </c>
      <c r="C810" s="83" t="s">
        <v>781</v>
      </c>
      <c r="D810" s="82" t="s">
        <v>981</v>
      </c>
      <c r="E810" s="85">
        <v>33</v>
      </c>
      <c r="F810" s="85"/>
      <c r="G810" s="86"/>
      <c r="H810" s="86"/>
      <c r="I810" s="86"/>
      <c r="J810" s="86"/>
      <c r="K810" s="86"/>
      <c r="L810" s="86"/>
      <c r="M810" s="86"/>
      <c r="N810" s="86"/>
      <c r="O810" s="86"/>
      <c r="P810" s="87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  <c r="AD810" s="81"/>
      <c r="AE810" s="81"/>
      <c r="AF810" s="81"/>
      <c r="AG810" s="81"/>
      <c r="AH810" s="81"/>
      <c r="AI810" s="81"/>
      <c r="AJ810" s="81"/>
      <c r="AK810" s="81"/>
      <c r="AL810" s="81"/>
      <c r="AM810" s="81"/>
      <c r="AN810" s="81"/>
      <c r="AO810" s="81"/>
      <c r="AP810" s="81"/>
      <c r="AQ810" s="81"/>
      <c r="AR810" s="81"/>
    </row>
    <row r="811" spans="1:44" x14ac:dyDescent="0.4">
      <c r="A811" s="5" t="str">
        <f t="shared" si="53"/>
        <v>TR-SAN MIGUEL</v>
      </c>
      <c r="B811" s="5" t="str">
        <f t="shared" si="54"/>
        <v>TR</v>
      </c>
      <c r="C811" s="83" t="s">
        <v>781</v>
      </c>
      <c r="D811" s="82" t="s">
        <v>823</v>
      </c>
      <c r="E811" s="85">
        <v>18</v>
      </c>
      <c r="F811" s="85"/>
      <c r="G811" s="86"/>
      <c r="H811" s="86"/>
      <c r="I811" s="86"/>
      <c r="J811" s="86"/>
      <c r="K811" s="86"/>
      <c r="L811" s="86"/>
      <c r="M811" s="86"/>
      <c r="N811" s="86"/>
      <c r="O811" s="86"/>
      <c r="P811" s="87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  <c r="AD811" s="81"/>
      <c r="AE811" s="81"/>
      <c r="AF811" s="81"/>
      <c r="AG811" s="81"/>
      <c r="AH811" s="81"/>
      <c r="AI811" s="81"/>
      <c r="AJ811" s="81"/>
      <c r="AK811" s="81"/>
      <c r="AL811" s="81"/>
      <c r="AM811" s="81"/>
      <c r="AN811" s="81"/>
      <c r="AO811" s="81"/>
      <c r="AP811" s="81"/>
      <c r="AQ811" s="81"/>
      <c r="AR811" s="81"/>
    </row>
    <row r="812" spans="1:44" x14ac:dyDescent="0.4">
      <c r="A812" s="5" t="str">
        <f t="shared" si="53"/>
        <v>TR-SAN RAFAEL DE CARVAJAL</v>
      </c>
      <c r="B812" s="5" t="str">
        <f t="shared" si="54"/>
        <v>TR</v>
      </c>
      <c r="C812" s="83" t="s">
        <v>781</v>
      </c>
      <c r="D812" s="82" t="s">
        <v>1505</v>
      </c>
      <c r="E812" s="85">
        <v>73</v>
      </c>
      <c r="F812" s="85"/>
      <c r="G812" s="86"/>
      <c r="H812" s="86"/>
      <c r="I812" s="86"/>
      <c r="J812" s="86"/>
      <c r="K812" s="86"/>
      <c r="L812" s="86"/>
      <c r="M812" s="86"/>
      <c r="N812" s="86"/>
      <c r="O812" s="86"/>
      <c r="P812" s="87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  <c r="AD812" s="81"/>
      <c r="AE812" s="81"/>
      <c r="AF812" s="81"/>
      <c r="AG812" s="81"/>
      <c r="AH812" s="81"/>
      <c r="AI812" s="81"/>
      <c r="AJ812" s="81"/>
      <c r="AK812" s="81"/>
      <c r="AL812" s="81"/>
      <c r="AM812" s="81"/>
      <c r="AN812" s="81"/>
      <c r="AO812" s="81"/>
      <c r="AP812" s="81"/>
      <c r="AQ812" s="81"/>
      <c r="AR812" s="81"/>
    </row>
    <row r="813" spans="1:44" x14ac:dyDescent="0.4">
      <c r="A813" s="5" t="str">
        <f t="shared" si="53"/>
        <v>TR-SANTA ANA</v>
      </c>
      <c r="B813" s="5" t="str">
        <f t="shared" si="54"/>
        <v>TR</v>
      </c>
      <c r="C813" s="83" t="s">
        <v>781</v>
      </c>
      <c r="D813" s="82" t="s">
        <v>768</v>
      </c>
      <c r="E813" s="85">
        <v>38</v>
      </c>
      <c r="F813" s="85"/>
      <c r="G813" s="86"/>
      <c r="H813" s="86"/>
      <c r="I813" s="86"/>
      <c r="J813" s="86"/>
      <c r="K813" s="86"/>
      <c r="L813" s="86"/>
      <c r="M813" s="86"/>
      <c r="N813" s="86"/>
      <c r="O813" s="86"/>
      <c r="P813" s="87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  <c r="AD813" s="81"/>
      <c r="AE813" s="81"/>
      <c r="AF813" s="81"/>
      <c r="AG813" s="81"/>
      <c r="AH813" s="81"/>
      <c r="AI813" s="81"/>
      <c r="AJ813" s="81"/>
      <c r="AK813" s="81"/>
      <c r="AL813" s="81"/>
      <c r="AM813" s="81"/>
      <c r="AN813" s="81"/>
      <c r="AO813" s="81"/>
      <c r="AP813" s="81"/>
      <c r="AQ813" s="81"/>
      <c r="AR813" s="81"/>
    </row>
    <row r="814" spans="1:44" x14ac:dyDescent="0.4">
      <c r="A814" s="5" t="str">
        <f t="shared" si="53"/>
        <v>TR-SANTA ISABEL</v>
      </c>
      <c r="B814" s="5" t="str">
        <f t="shared" si="54"/>
        <v>TR</v>
      </c>
      <c r="C814" s="83" t="s">
        <v>781</v>
      </c>
      <c r="D814" s="82" t="s">
        <v>1506</v>
      </c>
      <c r="E814" s="85">
        <v>35</v>
      </c>
      <c r="F814" s="85"/>
      <c r="G814" s="86"/>
      <c r="H814" s="86"/>
      <c r="I814" s="86"/>
      <c r="J814" s="86"/>
      <c r="K814" s="86"/>
      <c r="L814" s="86"/>
      <c r="M814" s="86"/>
      <c r="N814" s="86"/>
      <c r="O814" s="86"/>
      <c r="P814" s="87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  <c r="AD814" s="81"/>
      <c r="AE814" s="81"/>
      <c r="AF814" s="81"/>
      <c r="AG814" s="81"/>
      <c r="AH814" s="81"/>
      <c r="AI814" s="81"/>
      <c r="AJ814" s="81"/>
      <c r="AK814" s="81"/>
      <c r="AL814" s="81"/>
      <c r="AM814" s="81"/>
      <c r="AN814" s="81"/>
      <c r="AO814" s="81"/>
      <c r="AP814" s="81"/>
      <c r="AQ814" s="81"/>
      <c r="AR814" s="81"/>
    </row>
    <row r="815" spans="1:44" x14ac:dyDescent="0.4">
      <c r="A815" s="5" t="str">
        <f t="shared" si="53"/>
        <v>TR-SANTIAGO DE TRUJILLO</v>
      </c>
      <c r="B815" s="5" t="str">
        <f t="shared" si="54"/>
        <v>TR</v>
      </c>
      <c r="C815" s="83" t="s">
        <v>781</v>
      </c>
      <c r="D815" s="82" t="s">
        <v>1507</v>
      </c>
      <c r="E815" s="85">
        <v>26</v>
      </c>
      <c r="F815" s="85"/>
      <c r="G815" s="86"/>
      <c r="H815" s="86"/>
      <c r="I815" s="86"/>
      <c r="J815" s="86"/>
      <c r="K815" s="86"/>
      <c r="L815" s="86"/>
      <c r="M815" s="86"/>
      <c r="N815" s="86"/>
      <c r="O815" s="86"/>
      <c r="P815" s="87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  <c r="AD815" s="81"/>
      <c r="AE815" s="81"/>
      <c r="AF815" s="81"/>
      <c r="AG815" s="81"/>
      <c r="AH815" s="81"/>
      <c r="AI815" s="81"/>
      <c r="AJ815" s="81"/>
      <c r="AK815" s="81"/>
      <c r="AL815" s="81"/>
      <c r="AM815" s="81"/>
      <c r="AN815" s="81"/>
      <c r="AO815" s="81"/>
      <c r="AP815" s="81"/>
      <c r="AQ815" s="81"/>
      <c r="AR815" s="81"/>
    </row>
    <row r="816" spans="1:44" x14ac:dyDescent="0.4">
      <c r="A816" s="5" t="str">
        <f t="shared" si="53"/>
        <v>TR-TUÑAME</v>
      </c>
      <c r="B816" s="5" t="str">
        <f t="shared" si="54"/>
        <v>TR</v>
      </c>
      <c r="C816" s="83" t="s">
        <v>781</v>
      </c>
      <c r="D816" s="82" t="s">
        <v>1508</v>
      </c>
      <c r="E816" s="85">
        <v>10</v>
      </c>
      <c r="F816" s="85"/>
      <c r="G816" s="86"/>
      <c r="H816" s="86"/>
      <c r="I816" s="86"/>
      <c r="J816" s="86"/>
      <c r="K816" s="86"/>
      <c r="L816" s="86"/>
      <c r="M816" s="86"/>
      <c r="N816" s="86"/>
      <c r="O816" s="86"/>
      <c r="P816" s="87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  <c r="AD816" s="81"/>
      <c r="AE816" s="81"/>
      <c r="AF816" s="81"/>
      <c r="AG816" s="81"/>
      <c r="AH816" s="81"/>
      <c r="AI816" s="81"/>
      <c r="AJ816" s="81"/>
      <c r="AK816" s="81"/>
      <c r="AL816" s="81"/>
      <c r="AM816" s="81"/>
      <c r="AN816" s="81"/>
      <c r="AO816" s="81"/>
      <c r="AP816" s="81"/>
      <c r="AQ816" s="81"/>
      <c r="AR816" s="81"/>
    </row>
    <row r="817" spans="1:44" x14ac:dyDescent="0.4">
      <c r="A817" s="5" t="str">
        <f t="shared" si="53"/>
        <v>YA-ALBARICO</v>
      </c>
      <c r="B817" s="5" t="str">
        <f t="shared" si="54"/>
        <v>YA</v>
      </c>
      <c r="C817" s="83" t="s">
        <v>782</v>
      </c>
      <c r="D817" s="82" t="s">
        <v>1509</v>
      </c>
      <c r="E817" s="85">
        <v>35</v>
      </c>
      <c r="F817" s="85"/>
      <c r="G817" s="86"/>
      <c r="H817" s="86"/>
      <c r="I817" s="86"/>
      <c r="J817" s="86"/>
      <c r="K817" s="86"/>
      <c r="L817" s="86"/>
      <c r="M817" s="86"/>
      <c r="N817" s="86"/>
      <c r="O817" s="86"/>
      <c r="P817" s="87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  <c r="AD817" s="81"/>
      <c r="AE817" s="81"/>
      <c r="AF817" s="81"/>
      <c r="AG817" s="81"/>
      <c r="AH817" s="81"/>
      <c r="AI817" s="81"/>
      <c r="AJ817" s="81"/>
      <c r="AK817" s="81"/>
      <c r="AL817" s="81"/>
      <c r="AM817" s="81"/>
      <c r="AN817" s="81"/>
      <c r="AO817" s="81"/>
      <c r="AP817" s="81"/>
      <c r="AQ817" s="81"/>
      <c r="AR817" s="81"/>
    </row>
    <row r="818" spans="1:44" x14ac:dyDescent="0.4">
      <c r="A818" s="5" t="str">
        <f t="shared" si="53"/>
        <v>YA-AROA (BOLIVAR)</v>
      </c>
      <c r="B818" s="5" t="str">
        <f t="shared" si="54"/>
        <v>YA</v>
      </c>
      <c r="C818" s="83" t="s">
        <v>782</v>
      </c>
      <c r="D818" s="82" t="s">
        <v>1510</v>
      </c>
      <c r="E818" s="85">
        <v>82</v>
      </c>
      <c r="F818" s="85"/>
      <c r="G818" s="86"/>
      <c r="H818" s="86"/>
      <c r="I818" s="86"/>
      <c r="J818" s="86"/>
      <c r="K818" s="86"/>
      <c r="L818" s="86"/>
      <c r="M818" s="86"/>
      <c r="N818" s="86"/>
      <c r="O818" s="86"/>
      <c r="P818" s="87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  <c r="AD818" s="81"/>
      <c r="AE818" s="81"/>
      <c r="AF818" s="81"/>
      <c r="AG818" s="81"/>
      <c r="AH818" s="81"/>
      <c r="AI818" s="81"/>
      <c r="AJ818" s="81"/>
      <c r="AK818" s="81"/>
      <c r="AL818" s="81"/>
      <c r="AM818" s="81"/>
      <c r="AN818" s="81"/>
      <c r="AO818" s="81"/>
      <c r="AP818" s="81"/>
      <c r="AQ818" s="81"/>
      <c r="AR818" s="81"/>
    </row>
    <row r="819" spans="1:44" x14ac:dyDescent="0.4">
      <c r="A819" s="5" t="str">
        <f t="shared" si="53"/>
        <v>YA-CAMPO ELIAS</v>
      </c>
      <c r="B819" s="5" t="str">
        <f t="shared" si="54"/>
        <v>YA</v>
      </c>
      <c r="C819" s="83" t="s">
        <v>782</v>
      </c>
      <c r="D819" s="82" t="s">
        <v>1365</v>
      </c>
      <c r="E819" s="85">
        <v>15</v>
      </c>
      <c r="F819" s="85"/>
      <c r="G819" s="86"/>
      <c r="H819" s="86"/>
      <c r="I819" s="86"/>
      <c r="J819" s="86"/>
      <c r="K819" s="86"/>
      <c r="L819" s="86"/>
      <c r="M819" s="86"/>
      <c r="N819" s="86"/>
      <c r="O819" s="86"/>
      <c r="P819" s="87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  <c r="AD819" s="81"/>
      <c r="AE819" s="81"/>
      <c r="AF819" s="81"/>
      <c r="AG819" s="81"/>
      <c r="AH819" s="81"/>
      <c r="AI819" s="81"/>
      <c r="AJ819" s="81"/>
      <c r="AK819" s="81"/>
      <c r="AL819" s="81"/>
      <c r="AM819" s="81"/>
      <c r="AN819" s="81"/>
      <c r="AO819" s="81"/>
      <c r="AP819" s="81"/>
      <c r="AQ819" s="81"/>
      <c r="AR819" s="81"/>
    </row>
    <row r="820" spans="1:44" x14ac:dyDescent="0.4">
      <c r="A820" s="5" t="str">
        <f t="shared" si="53"/>
        <v>YA-CHIVACOA (BRUZUAL)</v>
      </c>
      <c r="B820" s="5" t="str">
        <f t="shared" si="54"/>
        <v>YA</v>
      </c>
      <c r="C820" s="83" t="s">
        <v>782</v>
      </c>
      <c r="D820" s="82" t="s">
        <v>1511</v>
      </c>
      <c r="E820" s="85">
        <v>182</v>
      </c>
      <c r="F820" s="85"/>
      <c r="G820" s="86"/>
      <c r="H820" s="86"/>
      <c r="I820" s="86"/>
      <c r="J820" s="86"/>
      <c r="K820" s="86"/>
      <c r="L820" s="86"/>
      <c r="M820" s="86"/>
      <c r="N820" s="86"/>
      <c r="O820" s="86"/>
      <c r="P820" s="87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  <c r="AD820" s="81"/>
      <c r="AE820" s="81"/>
      <c r="AF820" s="81"/>
      <c r="AG820" s="81"/>
      <c r="AH820" s="81"/>
      <c r="AI820" s="81"/>
      <c r="AJ820" s="81"/>
      <c r="AK820" s="81"/>
      <c r="AL820" s="81"/>
      <c r="AM820" s="81"/>
      <c r="AN820" s="81"/>
      <c r="AO820" s="81"/>
      <c r="AP820" s="81"/>
      <c r="AQ820" s="81"/>
      <c r="AR820" s="81"/>
    </row>
    <row r="821" spans="1:44" x14ac:dyDescent="0.4">
      <c r="A821" s="5" t="str">
        <f t="shared" si="53"/>
        <v>YA-COCOROTE</v>
      </c>
      <c r="B821" s="5" t="str">
        <f t="shared" si="54"/>
        <v>YA</v>
      </c>
      <c r="C821" s="83" t="s">
        <v>782</v>
      </c>
      <c r="D821" s="82" t="s">
        <v>1512</v>
      </c>
      <c r="E821" s="85">
        <v>71</v>
      </c>
      <c r="F821" s="85"/>
      <c r="G821" s="86"/>
      <c r="H821" s="86"/>
      <c r="I821" s="86"/>
      <c r="J821" s="86"/>
      <c r="K821" s="86"/>
      <c r="L821" s="86"/>
      <c r="M821" s="86"/>
      <c r="N821" s="86"/>
      <c r="O821" s="86"/>
      <c r="P821" s="87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  <c r="AD821" s="81"/>
      <c r="AE821" s="81"/>
      <c r="AF821" s="81"/>
      <c r="AG821" s="81"/>
      <c r="AH821" s="81"/>
      <c r="AI821" s="81"/>
      <c r="AJ821" s="81"/>
      <c r="AK821" s="81"/>
      <c r="AL821" s="81"/>
      <c r="AM821" s="81"/>
      <c r="AN821" s="81"/>
      <c r="AO821" s="81"/>
      <c r="AP821" s="81"/>
      <c r="AQ821" s="81"/>
      <c r="AR821" s="81"/>
    </row>
    <row r="822" spans="1:44" x14ac:dyDescent="0.4">
      <c r="A822" s="5" t="str">
        <f t="shared" si="53"/>
        <v>YA-GUAMA (SUCRE)</v>
      </c>
      <c r="B822" s="5" t="str">
        <f t="shared" si="54"/>
        <v>YA</v>
      </c>
      <c r="C822" s="83" t="s">
        <v>782</v>
      </c>
      <c r="D822" s="82" t="s">
        <v>1513</v>
      </c>
      <c r="E822" s="85">
        <v>41</v>
      </c>
      <c r="F822" s="85"/>
      <c r="G822" s="86"/>
      <c r="H822" s="86"/>
      <c r="I822" s="86"/>
      <c r="J822" s="86"/>
      <c r="K822" s="86"/>
      <c r="L822" s="86"/>
      <c r="M822" s="86"/>
      <c r="N822" s="86"/>
      <c r="O822" s="86"/>
      <c r="P822" s="87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  <c r="AD822" s="81"/>
      <c r="AE822" s="81"/>
      <c r="AF822" s="81"/>
      <c r="AG822" s="81"/>
      <c r="AH822" s="81"/>
      <c r="AI822" s="81"/>
      <c r="AJ822" s="81"/>
      <c r="AK822" s="81"/>
      <c r="AL822" s="81"/>
      <c r="AM822" s="81"/>
      <c r="AN822" s="81"/>
      <c r="AO822" s="81"/>
      <c r="AP822" s="81"/>
      <c r="AQ822" s="81"/>
      <c r="AR822" s="81"/>
    </row>
    <row r="823" spans="1:44" x14ac:dyDescent="0.4">
      <c r="A823" s="5" t="str">
        <f t="shared" si="53"/>
        <v>YA-INDEPENDENCIA</v>
      </c>
      <c r="B823" s="5" t="str">
        <f t="shared" si="54"/>
        <v>YA</v>
      </c>
      <c r="C823" s="83" t="s">
        <v>782</v>
      </c>
      <c r="D823" s="82" t="s">
        <v>968</v>
      </c>
      <c r="E823" s="85">
        <v>71</v>
      </c>
      <c r="F823" s="85"/>
      <c r="G823" s="86"/>
      <c r="H823" s="86"/>
      <c r="I823" s="86"/>
      <c r="J823" s="86"/>
      <c r="K823" s="86"/>
      <c r="L823" s="86"/>
      <c r="M823" s="86"/>
      <c r="N823" s="86"/>
      <c r="O823" s="86"/>
      <c r="P823" s="87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  <c r="AD823" s="81"/>
      <c r="AE823" s="81"/>
      <c r="AF823" s="81"/>
      <c r="AG823" s="81"/>
      <c r="AH823" s="81"/>
      <c r="AI823" s="81"/>
      <c r="AJ823" s="81"/>
      <c r="AK823" s="81"/>
      <c r="AL823" s="81"/>
      <c r="AM823" s="81"/>
      <c r="AN823" s="81"/>
      <c r="AO823" s="81"/>
      <c r="AP823" s="81"/>
      <c r="AQ823" s="81"/>
      <c r="AR823" s="81"/>
    </row>
    <row r="824" spans="1:44" x14ac:dyDescent="0.4">
      <c r="A824" s="5" t="str">
        <f t="shared" si="53"/>
        <v>YA-NIRGUA</v>
      </c>
      <c r="B824" s="5" t="str">
        <f t="shared" si="54"/>
        <v>YA</v>
      </c>
      <c r="C824" s="83" t="s">
        <v>782</v>
      </c>
      <c r="D824" s="82" t="s">
        <v>1514</v>
      </c>
      <c r="E824" s="85">
        <v>158</v>
      </c>
      <c r="F824" s="85"/>
      <c r="G824" s="86"/>
      <c r="H824" s="86"/>
      <c r="I824" s="86"/>
      <c r="J824" s="86"/>
      <c r="K824" s="86"/>
      <c r="L824" s="86"/>
      <c r="M824" s="86"/>
      <c r="N824" s="86"/>
      <c r="O824" s="86"/>
      <c r="P824" s="87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  <c r="AD824" s="81"/>
      <c r="AE824" s="81"/>
      <c r="AF824" s="81"/>
      <c r="AG824" s="81"/>
      <c r="AH824" s="81"/>
      <c r="AI824" s="81"/>
      <c r="AJ824" s="81"/>
      <c r="AK824" s="81"/>
      <c r="AL824" s="81"/>
      <c r="AM824" s="81"/>
      <c r="AN824" s="81"/>
      <c r="AO824" s="81"/>
      <c r="AP824" s="81"/>
      <c r="AQ824" s="81"/>
      <c r="AR824" s="81"/>
    </row>
    <row r="825" spans="1:44" x14ac:dyDescent="0.4">
      <c r="A825" s="5" t="str">
        <f t="shared" si="53"/>
        <v>YA-PAEZ</v>
      </c>
      <c r="B825" s="5" t="str">
        <f t="shared" si="54"/>
        <v>YA</v>
      </c>
      <c r="C825" s="83" t="s">
        <v>782</v>
      </c>
      <c r="D825" s="82" t="s">
        <v>877</v>
      </c>
      <c r="E825" s="85">
        <v>17</v>
      </c>
      <c r="F825" s="85"/>
      <c r="G825" s="86"/>
      <c r="H825" s="86"/>
      <c r="I825" s="86"/>
      <c r="J825" s="86"/>
      <c r="K825" s="86"/>
      <c r="L825" s="86"/>
      <c r="M825" s="86"/>
      <c r="N825" s="86"/>
      <c r="O825" s="86"/>
      <c r="P825" s="87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  <c r="AD825" s="81"/>
      <c r="AE825" s="81"/>
      <c r="AF825" s="81"/>
      <c r="AG825" s="81"/>
      <c r="AH825" s="81"/>
      <c r="AI825" s="81"/>
      <c r="AJ825" s="81"/>
      <c r="AK825" s="81"/>
      <c r="AL825" s="81"/>
      <c r="AM825" s="81"/>
      <c r="AN825" s="81"/>
      <c r="AO825" s="81"/>
      <c r="AP825" s="81"/>
      <c r="AQ825" s="81"/>
      <c r="AR825" s="81"/>
    </row>
    <row r="826" spans="1:44" x14ac:dyDescent="0.4">
      <c r="A826" s="5" t="str">
        <f t="shared" ref="A826:A889" si="55">+B826&amp;"-"&amp;D826</f>
        <v>YA-PAEZ (SABANA DE PARRA)</v>
      </c>
      <c r="B826" s="5" t="str">
        <f t="shared" ref="B826:B889" si="56">+MID(C826,1,2)</f>
        <v>YA</v>
      </c>
      <c r="C826" s="83" t="s">
        <v>782</v>
      </c>
      <c r="D826" s="82" t="s">
        <v>1515</v>
      </c>
      <c r="E826" s="85">
        <v>28</v>
      </c>
      <c r="F826" s="85"/>
      <c r="G826" s="86"/>
      <c r="H826" s="86"/>
      <c r="I826" s="86"/>
      <c r="J826" s="86"/>
      <c r="K826" s="86"/>
      <c r="L826" s="86"/>
      <c r="M826" s="86"/>
      <c r="N826" s="86"/>
      <c r="O826" s="86"/>
      <c r="P826" s="87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  <c r="AD826" s="81"/>
      <c r="AE826" s="81"/>
      <c r="AF826" s="81"/>
      <c r="AG826" s="81"/>
      <c r="AH826" s="81"/>
      <c r="AI826" s="81"/>
      <c r="AJ826" s="81"/>
      <c r="AK826" s="81"/>
      <c r="AL826" s="81"/>
      <c r="AM826" s="81"/>
      <c r="AN826" s="81"/>
      <c r="AO826" s="81"/>
      <c r="AP826" s="81"/>
      <c r="AQ826" s="81"/>
      <c r="AR826" s="81"/>
    </row>
    <row r="827" spans="1:44" x14ac:dyDescent="0.4">
      <c r="A827" s="5" t="str">
        <f t="shared" si="55"/>
        <v>YA-PEÑA</v>
      </c>
      <c r="B827" s="5" t="str">
        <f t="shared" si="56"/>
        <v>YA</v>
      </c>
      <c r="C827" s="83" t="s">
        <v>782</v>
      </c>
      <c r="D827" s="82" t="s">
        <v>1516</v>
      </c>
      <c r="E827" s="85">
        <v>210</v>
      </c>
      <c r="F827" s="85"/>
      <c r="G827" s="86"/>
      <c r="H827" s="86"/>
      <c r="I827" s="86"/>
      <c r="J827" s="86"/>
      <c r="K827" s="86"/>
      <c r="L827" s="86"/>
      <c r="M827" s="86"/>
      <c r="N827" s="86"/>
      <c r="O827" s="86"/>
      <c r="P827" s="87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  <c r="AD827" s="81"/>
      <c r="AE827" s="81"/>
      <c r="AF827" s="81"/>
      <c r="AG827" s="81"/>
      <c r="AH827" s="81"/>
      <c r="AI827" s="81"/>
      <c r="AJ827" s="81"/>
      <c r="AK827" s="81"/>
      <c r="AL827" s="81"/>
      <c r="AM827" s="81"/>
      <c r="AN827" s="81"/>
      <c r="AO827" s="81"/>
      <c r="AP827" s="81"/>
      <c r="AQ827" s="81"/>
      <c r="AR827" s="81"/>
    </row>
    <row r="828" spans="1:44" x14ac:dyDescent="0.4">
      <c r="A828" s="5" t="str">
        <f t="shared" si="55"/>
        <v>YA-SALOM</v>
      </c>
      <c r="B828" s="5" t="str">
        <f t="shared" si="56"/>
        <v>YA</v>
      </c>
      <c r="C828" s="83" t="s">
        <v>782</v>
      </c>
      <c r="D828" s="82" t="s">
        <v>946</v>
      </c>
      <c r="E828" s="85">
        <v>19</v>
      </c>
      <c r="F828" s="85"/>
      <c r="G828" s="86"/>
      <c r="H828" s="86"/>
      <c r="I828" s="86"/>
      <c r="J828" s="86"/>
      <c r="K828" s="86"/>
      <c r="L828" s="86"/>
      <c r="M828" s="86"/>
      <c r="N828" s="86"/>
      <c r="O828" s="86"/>
      <c r="P828" s="87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  <c r="AD828" s="81"/>
      <c r="AE828" s="81"/>
      <c r="AF828" s="81"/>
      <c r="AG828" s="81"/>
      <c r="AH828" s="81"/>
      <c r="AI828" s="81"/>
      <c r="AJ828" s="81"/>
      <c r="AK828" s="81"/>
      <c r="AL828" s="81"/>
      <c r="AM828" s="81"/>
      <c r="AN828" s="81"/>
      <c r="AO828" s="81"/>
      <c r="AP828" s="81"/>
      <c r="AQ828" s="81"/>
      <c r="AR828" s="81"/>
    </row>
    <row r="829" spans="1:44" x14ac:dyDescent="0.4">
      <c r="A829" s="5" t="str">
        <f t="shared" si="55"/>
        <v>YA-SAN ANDRES</v>
      </c>
      <c r="B829" s="5" t="str">
        <f t="shared" si="56"/>
        <v>YA</v>
      </c>
      <c r="C829" s="83" t="s">
        <v>782</v>
      </c>
      <c r="D829" s="82" t="s">
        <v>1517</v>
      </c>
      <c r="E829" s="85">
        <v>1</v>
      </c>
      <c r="F829" s="85"/>
      <c r="G829" s="86"/>
      <c r="H829" s="86"/>
      <c r="I829" s="86"/>
      <c r="J829" s="86"/>
      <c r="K829" s="86"/>
      <c r="L829" s="86"/>
      <c r="M829" s="86"/>
      <c r="N829" s="86"/>
      <c r="O829" s="86"/>
      <c r="P829" s="87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  <c r="AD829" s="81"/>
      <c r="AE829" s="81"/>
      <c r="AF829" s="81"/>
      <c r="AG829" s="81"/>
      <c r="AH829" s="81"/>
      <c r="AI829" s="81"/>
      <c r="AJ829" s="81"/>
      <c r="AK829" s="81"/>
      <c r="AL829" s="81"/>
      <c r="AM829" s="81"/>
      <c r="AN829" s="81"/>
      <c r="AO829" s="81"/>
      <c r="AP829" s="81"/>
      <c r="AQ829" s="81"/>
      <c r="AR829" s="81"/>
    </row>
    <row r="830" spans="1:44" x14ac:dyDescent="0.4">
      <c r="A830" s="5" t="str">
        <f t="shared" si="55"/>
        <v>YA-SAN FELIPE</v>
      </c>
      <c r="B830" s="5" t="str">
        <f t="shared" si="56"/>
        <v>YA</v>
      </c>
      <c r="C830" s="83" t="s">
        <v>782</v>
      </c>
      <c r="D830" s="82" t="s">
        <v>1518</v>
      </c>
      <c r="E830" s="85">
        <v>818</v>
      </c>
      <c r="F830" s="85"/>
      <c r="G830" s="86"/>
      <c r="H830" s="86"/>
      <c r="I830" s="86"/>
      <c r="J830" s="86"/>
      <c r="K830" s="86"/>
      <c r="L830" s="86"/>
      <c r="M830" s="86"/>
      <c r="N830" s="86"/>
      <c r="O830" s="86"/>
      <c r="P830" s="87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  <c r="AD830" s="81"/>
      <c r="AE830" s="81"/>
      <c r="AF830" s="81"/>
      <c r="AG830" s="81"/>
      <c r="AH830" s="81"/>
      <c r="AI830" s="81"/>
      <c r="AJ830" s="81"/>
      <c r="AK830" s="81"/>
      <c r="AL830" s="81"/>
      <c r="AM830" s="81"/>
      <c r="AN830" s="81"/>
      <c r="AO830" s="81"/>
      <c r="AP830" s="81"/>
      <c r="AQ830" s="81"/>
      <c r="AR830" s="81"/>
    </row>
    <row r="831" spans="1:44" x14ac:dyDescent="0.4">
      <c r="A831" s="5" t="str">
        <f t="shared" si="55"/>
        <v>YA-SAN JAVIER</v>
      </c>
      <c r="B831" s="5" t="str">
        <f t="shared" si="56"/>
        <v>YA</v>
      </c>
      <c r="C831" s="83" t="s">
        <v>782</v>
      </c>
      <c r="D831" s="82" t="s">
        <v>1519</v>
      </c>
      <c r="E831" s="85">
        <v>51</v>
      </c>
      <c r="F831" s="85"/>
      <c r="G831" s="86"/>
      <c r="H831" s="86"/>
      <c r="I831" s="86"/>
      <c r="J831" s="86"/>
      <c r="K831" s="86"/>
      <c r="L831" s="86"/>
      <c r="M831" s="86"/>
      <c r="N831" s="86"/>
      <c r="O831" s="86"/>
      <c r="P831" s="87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  <c r="AD831" s="81"/>
      <c r="AE831" s="81"/>
      <c r="AF831" s="81"/>
      <c r="AG831" s="81"/>
      <c r="AH831" s="81"/>
      <c r="AI831" s="81"/>
      <c r="AJ831" s="81"/>
      <c r="AK831" s="81"/>
      <c r="AL831" s="81"/>
      <c r="AM831" s="81"/>
      <c r="AN831" s="81"/>
      <c r="AO831" s="81"/>
      <c r="AP831" s="81"/>
      <c r="AQ831" s="81"/>
      <c r="AR831" s="81"/>
    </row>
    <row r="832" spans="1:44" x14ac:dyDescent="0.4">
      <c r="A832" s="5" t="str">
        <f t="shared" si="55"/>
        <v>YA-SAN PABLO</v>
      </c>
      <c r="B832" s="5" t="str">
        <f t="shared" si="56"/>
        <v>YA</v>
      </c>
      <c r="C832" s="83" t="s">
        <v>782</v>
      </c>
      <c r="D832" s="82" t="s">
        <v>824</v>
      </c>
      <c r="E832" s="85">
        <v>34</v>
      </c>
      <c r="F832" s="85"/>
      <c r="G832" s="86"/>
      <c r="H832" s="86"/>
      <c r="I832" s="86"/>
      <c r="J832" s="86"/>
      <c r="K832" s="86"/>
      <c r="L832" s="86"/>
      <c r="M832" s="86"/>
      <c r="N832" s="86"/>
      <c r="O832" s="86"/>
      <c r="P832" s="87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  <c r="AD832" s="81"/>
      <c r="AE832" s="81"/>
      <c r="AF832" s="81"/>
      <c r="AG832" s="81"/>
      <c r="AH832" s="81"/>
      <c r="AI832" s="81"/>
      <c r="AJ832" s="81"/>
      <c r="AK832" s="81"/>
      <c r="AL832" s="81"/>
      <c r="AM832" s="81"/>
      <c r="AN832" s="81"/>
      <c r="AO832" s="81"/>
      <c r="AP832" s="81"/>
      <c r="AQ832" s="81"/>
      <c r="AR832" s="81"/>
    </row>
    <row r="833" spans="1:44" x14ac:dyDescent="0.4">
      <c r="A833" s="5" t="str">
        <f t="shared" si="55"/>
        <v>YA-TEMERLA</v>
      </c>
      <c r="B833" s="5" t="str">
        <f t="shared" si="56"/>
        <v>YA</v>
      </c>
      <c r="C833" s="83" t="s">
        <v>782</v>
      </c>
      <c r="D833" s="82" t="s">
        <v>1520</v>
      </c>
      <c r="E833" s="85">
        <v>6</v>
      </c>
      <c r="F833" s="85"/>
      <c r="G833" s="86"/>
      <c r="H833" s="86"/>
      <c r="I833" s="86"/>
      <c r="J833" s="86"/>
      <c r="K833" s="86"/>
      <c r="L833" s="86"/>
      <c r="M833" s="86"/>
      <c r="N833" s="86"/>
      <c r="O833" s="86"/>
      <c r="P833" s="87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  <c r="AD833" s="81"/>
      <c r="AE833" s="81"/>
      <c r="AF833" s="81"/>
      <c r="AG833" s="81"/>
      <c r="AH833" s="81"/>
      <c r="AI833" s="81"/>
      <c r="AJ833" s="81"/>
      <c r="AK833" s="81"/>
      <c r="AL833" s="81"/>
      <c r="AM833" s="81"/>
      <c r="AN833" s="81"/>
      <c r="AO833" s="81"/>
      <c r="AP833" s="81"/>
      <c r="AQ833" s="81"/>
      <c r="AR833" s="81"/>
    </row>
    <row r="834" spans="1:44" x14ac:dyDescent="0.4">
      <c r="A834" s="5" t="str">
        <f t="shared" si="55"/>
        <v>YA-URACHICHE</v>
      </c>
      <c r="B834" s="5" t="str">
        <f t="shared" si="56"/>
        <v>YA</v>
      </c>
      <c r="C834" s="83" t="s">
        <v>782</v>
      </c>
      <c r="D834" s="82" t="s">
        <v>1521</v>
      </c>
      <c r="E834" s="85">
        <v>56</v>
      </c>
      <c r="F834" s="85"/>
      <c r="G834" s="86"/>
      <c r="H834" s="86"/>
      <c r="I834" s="86"/>
      <c r="J834" s="86"/>
      <c r="K834" s="86"/>
      <c r="L834" s="86"/>
      <c r="M834" s="86"/>
      <c r="N834" s="86"/>
      <c r="O834" s="86"/>
      <c r="P834" s="87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  <c r="AD834" s="81"/>
      <c r="AE834" s="81"/>
      <c r="AF834" s="81"/>
      <c r="AG834" s="81"/>
      <c r="AH834" s="81"/>
      <c r="AI834" s="81"/>
      <c r="AJ834" s="81"/>
      <c r="AK834" s="81"/>
      <c r="AL834" s="81"/>
      <c r="AM834" s="81"/>
      <c r="AN834" s="81"/>
      <c r="AO834" s="81"/>
      <c r="AP834" s="81"/>
      <c r="AQ834" s="81"/>
      <c r="AR834" s="81"/>
    </row>
    <row r="835" spans="1:44" x14ac:dyDescent="0.4">
      <c r="A835" s="5" t="str">
        <f t="shared" si="55"/>
        <v>YA-VEROES</v>
      </c>
      <c r="B835" s="5" t="str">
        <f t="shared" si="56"/>
        <v>YA</v>
      </c>
      <c r="C835" s="83" t="s">
        <v>782</v>
      </c>
      <c r="D835" s="82" t="s">
        <v>1522</v>
      </c>
      <c r="E835" s="85">
        <v>46</v>
      </c>
      <c r="F835" s="85"/>
      <c r="G835" s="86"/>
      <c r="H835" s="86"/>
      <c r="I835" s="86"/>
      <c r="J835" s="86"/>
      <c r="K835" s="86"/>
      <c r="L835" s="86"/>
      <c r="M835" s="86"/>
      <c r="N835" s="86"/>
      <c r="O835" s="86"/>
      <c r="P835" s="87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  <c r="AD835" s="81"/>
      <c r="AE835" s="81"/>
      <c r="AF835" s="81"/>
      <c r="AG835" s="81"/>
      <c r="AH835" s="81"/>
      <c r="AI835" s="81"/>
      <c r="AJ835" s="81"/>
      <c r="AK835" s="81"/>
      <c r="AL835" s="81"/>
      <c r="AM835" s="81"/>
      <c r="AN835" s="81"/>
      <c r="AO835" s="81"/>
      <c r="AP835" s="81"/>
      <c r="AQ835" s="81"/>
      <c r="AR835" s="81"/>
    </row>
    <row r="836" spans="1:44" x14ac:dyDescent="0.4">
      <c r="A836" s="5" t="str">
        <f t="shared" si="55"/>
        <v>YA-YUMARE</v>
      </c>
      <c r="B836" s="5" t="str">
        <f t="shared" si="56"/>
        <v>YA</v>
      </c>
      <c r="C836" s="83" t="s">
        <v>782</v>
      </c>
      <c r="D836" s="82" t="s">
        <v>1523</v>
      </c>
      <c r="E836" s="85">
        <v>17</v>
      </c>
      <c r="F836" s="85"/>
      <c r="G836" s="86"/>
      <c r="H836" s="86"/>
      <c r="I836" s="86"/>
      <c r="J836" s="86"/>
      <c r="K836" s="86"/>
      <c r="L836" s="86"/>
      <c r="M836" s="86"/>
      <c r="N836" s="86"/>
      <c r="O836" s="86"/>
      <c r="P836" s="87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  <c r="AD836" s="81"/>
      <c r="AE836" s="81"/>
      <c r="AF836" s="81"/>
      <c r="AG836" s="81"/>
      <c r="AH836" s="81"/>
      <c r="AI836" s="81"/>
      <c r="AJ836" s="81"/>
      <c r="AK836" s="81"/>
      <c r="AL836" s="81"/>
      <c r="AM836" s="81"/>
      <c r="AN836" s="81"/>
      <c r="AO836" s="81"/>
      <c r="AP836" s="81"/>
      <c r="AQ836" s="81"/>
      <c r="AR836" s="81"/>
    </row>
    <row r="837" spans="1:44" x14ac:dyDescent="0.4">
      <c r="A837" s="5" t="str">
        <f t="shared" si="55"/>
        <v>ZU-ALONZO DE OJEDA</v>
      </c>
      <c r="B837" s="5" t="str">
        <f t="shared" si="56"/>
        <v>ZU</v>
      </c>
      <c r="C837" s="83" t="s">
        <v>783</v>
      </c>
      <c r="D837" s="82" t="s">
        <v>1524</v>
      </c>
      <c r="E837" s="85">
        <v>592</v>
      </c>
      <c r="F837" s="85"/>
      <c r="G837" s="86"/>
      <c r="H837" s="86"/>
      <c r="I837" s="86"/>
      <c r="J837" s="86"/>
      <c r="K837" s="86"/>
      <c r="L837" s="86"/>
      <c r="M837" s="86"/>
      <c r="N837" s="86"/>
      <c r="O837" s="86"/>
      <c r="P837" s="87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  <c r="AD837" s="81"/>
      <c r="AE837" s="81"/>
      <c r="AF837" s="81"/>
      <c r="AG837" s="81"/>
      <c r="AH837" s="81"/>
      <c r="AI837" s="81"/>
      <c r="AJ837" s="81"/>
      <c r="AK837" s="81"/>
      <c r="AL837" s="81"/>
      <c r="AM837" s="81"/>
      <c r="AN837" s="81"/>
      <c r="AO837" s="81"/>
      <c r="AP837" s="81"/>
      <c r="AQ837" s="81"/>
      <c r="AR837" s="81"/>
    </row>
    <row r="838" spans="1:44" x14ac:dyDescent="0.4">
      <c r="A838" s="5" t="str">
        <f t="shared" si="55"/>
        <v>ZU-ALTAGRACIA</v>
      </c>
      <c r="B838" s="5" t="str">
        <f t="shared" si="56"/>
        <v>ZU</v>
      </c>
      <c r="C838" s="83" t="s">
        <v>783</v>
      </c>
      <c r="D838" s="82" t="s">
        <v>1001</v>
      </c>
      <c r="E838" s="85">
        <v>128</v>
      </c>
      <c r="F838" s="85"/>
      <c r="G838" s="86"/>
      <c r="H838" s="86"/>
      <c r="I838" s="86"/>
      <c r="J838" s="86"/>
      <c r="K838" s="86"/>
      <c r="L838" s="86"/>
      <c r="M838" s="86"/>
      <c r="N838" s="86"/>
      <c r="O838" s="86"/>
      <c r="P838" s="87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  <c r="AD838" s="81"/>
      <c r="AE838" s="81"/>
      <c r="AF838" s="81"/>
      <c r="AG838" s="81"/>
      <c r="AH838" s="81"/>
      <c r="AI838" s="81"/>
      <c r="AJ838" s="81"/>
      <c r="AK838" s="81"/>
      <c r="AL838" s="81"/>
      <c r="AM838" s="81"/>
      <c r="AN838" s="81"/>
      <c r="AO838" s="81"/>
      <c r="AP838" s="81"/>
      <c r="AQ838" s="81"/>
      <c r="AR838" s="81"/>
    </row>
    <row r="839" spans="1:44" x14ac:dyDescent="0.4">
      <c r="A839" s="5" t="str">
        <f t="shared" si="55"/>
        <v>ZU-AMBROSIO</v>
      </c>
      <c r="B839" s="5" t="str">
        <f t="shared" si="56"/>
        <v>ZU</v>
      </c>
      <c r="C839" s="83" t="s">
        <v>783</v>
      </c>
      <c r="D839" s="82" t="s">
        <v>1525</v>
      </c>
      <c r="E839" s="85">
        <v>620</v>
      </c>
      <c r="F839" s="85"/>
      <c r="G839" s="86"/>
      <c r="H839" s="86"/>
      <c r="I839" s="86"/>
      <c r="J839" s="86"/>
      <c r="K839" s="86"/>
      <c r="L839" s="86"/>
      <c r="M839" s="86"/>
      <c r="N839" s="86"/>
      <c r="O839" s="86"/>
      <c r="P839" s="87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  <c r="AF839" s="81"/>
      <c r="AG839" s="81"/>
      <c r="AH839" s="81"/>
      <c r="AI839" s="81"/>
      <c r="AJ839" s="81"/>
      <c r="AK839" s="81"/>
      <c r="AL839" s="81"/>
      <c r="AM839" s="81"/>
      <c r="AN839" s="81"/>
      <c r="AO839" s="81"/>
      <c r="AP839" s="81"/>
      <c r="AQ839" s="81"/>
      <c r="AR839" s="81"/>
    </row>
    <row r="840" spans="1:44" x14ac:dyDescent="0.4">
      <c r="A840" s="5" t="str">
        <f t="shared" si="55"/>
        <v>ZU-ANA MARIA CAMPOS</v>
      </c>
      <c r="B840" s="5" t="str">
        <f t="shared" si="56"/>
        <v>ZU</v>
      </c>
      <c r="C840" s="83" t="s">
        <v>783</v>
      </c>
      <c r="D840" s="82" t="s">
        <v>1526</v>
      </c>
      <c r="E840" s="85">
        <v>12</v>
      </c>
      <c r="F840" s="85"/>
      <c r="G840" s="86"/>
      <c r="H840" s="86"/>
      <c r="I840" s="86"/>
      <c r="J840" s="86"/>
      <c r="K840" s="86"/>
      <c r="L840" s="86"/>
      <c r="M840" s="86"/>
      <c r="N840" s="86"/>
      <c r="O840" s="86"/>
      <c r="P840" s="87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  <c r="AD840" s="81"/>
      <c r="AE840" s="81"/>
      <c r="AF840" s="81"/>
      <c r="AG840" s="81"/>
      <c r="AH840" s="81"/>
      <c r="AI840" s="81"/>
      <c r="AJ840" s="81"/>
      <c r="AK840" s="81"/>
      <c r="AL840" s="81"/>
      <c r="AM840" s="81"/>
      <c r="AN840" s="81"/>
      <c r="AO840" s="81"/>
      <c r="AP840" s="81"/>
      <c r="AQ840" s="81"/>
      <c r="AR840" s="81"/>
    </row>
    <row r="841" spans="1:44" x14ac:dyDescent="0.4">
      <c r="A841" s="5" t="str">
        <f t="shared" si="55"/>
        <v>ZU-ANDRES BELLO</v>
      </c>
      <c r="B841" s="5" t="str">
        <f t="shared" si="56"/>
        <v>ZU</v>
      </c>
      <c r="C841" s="83" t="s">
        <v>783</v>
      </c>
      <c r="D841" s="82" t="s">
        <v>894</v>
      </c>
      <c r="E841" s="85">
        <v>17</v>
      </c>
      <c r="F841" s="85"/>
      <c r="G841" s="86"/>
      <c r="H841" s="86"/>
      <c r="I841" s="86"/>
      <c r="J841" s="86"/>
      <c r="K841" s="86"/>
      <c r="L841" s="86"/>
      <c r="M841" s="86"/>
      <c r="N841" s="86"/>
      <c r="O841" s="86"/>
      <c r="P841" s="87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  <c r="AD841" s="81"/>
      <c r="AE841" s="81"/>
      <c r="AF841" s="81"/>
      <c r="AG841" s="81"/>
      <c r="AH841" s="81"/>
      <c r="AI841" s="81"/>
      <c r="AJ841" s="81"/>
      <c r="AK841" s="81"/>
      <c r="AL841" s="81"/>
      <c r="AM841" s="81"/>
      <c r="AN841" s="81"/>
      <c r="AO841" s="81"/>
      <c r="AP841" s="81"/>
      <c r="AQ841" s="81"/>
      <c r="AR841" s="81"/>
    </row>
    <row r="842" spans="1:44" x14ac:dyDescent="0.4">
      <c r="A842" s="5" t="str">
        <f t="shared" si="55"/>
        <v>ZU-BARTOLOME DE LAS CASAS</v>
      </c>
      <c r="B842" s="5" t="str">
        <f t="shared" si="56"/>
        <v>ZU</v>
      </c>
      <c r="C842" s="83" t="s">
        <v>783</v>
      </c>
      <c r="D842" s="82" t="s">
        <v>1527</v>
      </c>
      <c r="E842" s="85">
        <v>40</v>
      </c>
      <c r="F842" s="85"/>
      <c r="G842" s="86"/>
      <c r="H842" s="86"/>
      <c r="I842" s="86"/>
      <c r="J842" s="86"/>
      <c r="K842" s="86"/>
      <c r="L842" s="86"/>
      <c r="M842" s="86"/>
      <c r="N842" s="86"/>
      <c r="O842" s="86"/>
      <c r="P842" s="87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  <c r="AD842" s="81"/>
      <c r="AE842" s="81"/>
      <c r="AF842" s="81"/>
      <c r="AG842" s="81"/>
      <c r="AH842" s="81"/>
      <c r="AI842" s="81"/>
      <c r="AJ842" s="81"/>
      <c r="AK842" s="81"/>
      <c r="AL842" s="81"/>
      <c r="AM842" s="81"/>
      <c r="AN842" s="81"/>
      <c r="AO842" s="81"/>
      <c r="AP842" s="81"/>
      <c r="AQ842" s="81"/>
      <c r="AR842" s="81"/>
    </row>
    <row r="843" spans="1:44" x14ac:dyDescent="0.4">
      <c r="A843" s="5" t="str">
        <f t="shared" si="55"/>
        <v>ZU-BOBURES</v>
      </c>
      <c r="B843" s="5" t="str">
        <f t="shared" si="56"/>
        <v>ZU</v>
      </c>
      <c r="C843" s="83" t="s">
        <v>783</v>
      </c>
      <c r="D843" s="82" t="s">
        <v>1528</v>
      </c>
      <c r="E843" s="85">
        <v>37</v>
      </c>
      <c r="F843" s="85"/>
      <c r="G843" s="86"/>
      <c r="H843" s="86"/>
      <c r="I843" s="86"/>
      <c r="J843" s="86"/>
      <c r="K843" s="86"/>
      <c r="L843" s="86"/>
      <c r="M843" s="86"/>
      <c r="N843" s="86"/>
      <c r="O843" s="86"/>
      <c r="P843" s="87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  <c r="AD843" s="81"/>
      <c r="AE843" s="81"/>
      <c r="AF843" s="81"/>
      <c r="AG843" s="81"/>
      <c r="AH843" s="81"/>
      <c r="AI843" s="81"/>
      <c r="AJ843" s="81"/>
      <c r="AK843" s="81"/>
      <c r="AL843" s="81"/>
      <c r="AM843" s="81"/>
      <c r="AN843" s="81"/>
      <c r="AO843" s="81"/>
      <c r="AP843" s="81"/>
      <c r="AQ843" s="81"/>
      <c r="AR843" s="81"/>
    </row>
    <row r="844" spans="1:44" x14ac:dyDescent="0.4">
      <c r="A844" s="5" t="str">
        <f t="shared" si="55"/>
        <v>ZU-BOLIVAR</v>
      </c>
      <c r="B844" s="5" t="str">
        <f t="shared" si="56"/>
        <v>ZU</v>
      </c>
      <c r="C844" s="83" t="s">
        <v>783</v>
      </c>
      <c r="D844" s="82" t="s">
        <v>1034</v>
      </c>
      <c r="E844" s="85">
        <v>486</v>
      </c>
      <c r="F844" s="85"/>
      <c r="G844" s="86"/>
      <c r="H844" s="86"/>
      <c r="I844" s="86"/>
      <c r="J844" s="86"/>
      <c r="K844" s="86"/>
      <c r="L844" s="86"/>
      <c r="M844" s="86"/>
      <c r="N844" s="86"/>
      <c r="O844" s="86"/>
      <c r="P844" s="87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  <c r="AD844" s="81"/>
      <c r="AE844" s="81"/>
      <c r="AF844" s="81"/>
      <c r="AG844" s="81"/>
      <c r="AH844" s="81"/>
      <c r="AI844" s="81"/>
      <c r="AJ844" s="81"/>
      <c r="AK844" s="81"/>
      <c r="AL844" s="81"/>
      <c r="AM844" s="81"/>
      <c r="AN844" s="81"/>
      <c r="AO844" s="81"/>
      <c r="AP844" s="81"/>
      <c r="AQ844" s="81"/>
      <c r="AR844" s="81"/>
    </row>
    <row r="845" spans="1:44" x14ac:dyDescent="0.4">
      <c r="A845" s="5" t="str">
        <f t="shared" si="55"/>
        <v>ZU-CACIQUE MARA</v>
      </c>
      <c r="B845" s="5" t="str">
        <f t="shared" si="56"/>
        <v>ZU</v>
      </c>
      <c r="C845" s="83" t="s">
        <v>783</v>
      </c>
      <c r="D845" s="82" t="s">
        <v>1529</v>
      </c>
      <c r="E845" s="85">
        <v>110</v>
      </c>
      <c r="F845" s="85"/>
      <c r="G845" s="86"/>
      <c r="H845" s="86"/>
      <c r="I845" s="86"/>
      <c r="J845" s="86"/>
      <c r="K845" s="86"/>
      <c r="L845" s="86"/>
      <c r="M845" s="86"/>
      <c r="N845" s="86"/>
      <c r="O845" s="86"/>
      <c r="P845" s="87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  <c r="AD845" s="81"/>
      <c r="AE845" s="81"/>
      <c r="AF845" s="81"/>
      <c r="AG845" s="81"/>
      <c r="AH845" s="81"/>
      <c r="AI845" s="81"/>
      <c r="AJ845" s="81"/>
      <c r="AK845" s="81"/>
      <c r="AL845" s="81"/>
      <c r="AM845" s="81"/>
      <c r="AN845" s="81"/>
      <c r="AO845" s="81"/>
      <c r="AP845" s="81"/>
      <c r="AQ845" s="81"/>
      <c r="AR845" s="81"/>
    </row>
    <row r="846" spans="1:44" x14ac:dyDescent="0.4">
      <c r="A846" s="5" t="str">
        <f t="shared" si="55"/>
        <v>ZU-CAMPO LARA (CIUDAD OJEDA)</v>
      </c>
      <c r="B846" s="5" t="str">
        <f t="shared" si="56"/>
        <v>ZU</v>
      </c>
      <c r="C846" s="83" t="s">
        <v>783</v>
      </c>
      <c r="D846" s="82" t="s">
        <v>1530</v>
      </c>
      <c r="E846" s="85">
        <v>10</v>
      </c>
      <c r="F846" s="85"/>
      <c r="G846" s="86"/>
      <c r="H846" s="86"/>
      <c r="I846" s="86"/>
      <c r="J846" s="86"/>
      <c r="K846" s="86"/>
      <c r="L846" s="86"/>
      <c r="M846" s="86"/>
      <c r="N846" s="86"/>
      <c r="O846" s="86"/>
      <c r="P846" s="87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  <c r="AD846" s="81"/>
      <c r="AE846" s="81"/>
      <c r="AF846" s="81"/>
      <c r="AG846" s="81"/>
      <c r="AH846" s="81"/>
      <c r="AI846" s="81"/>
      <c r="AJ846" s="81"/>
      <c r="AK846" s="81"/>
      <c r="AL846" s="81"/>
      <c r="AM846" s="81"/>
      <c r="AN846" s="81"/>
      <c r="AO846" s="81"/>
      <c r="AP846" s="81"/>
      <c r="AQ846" s="81"/>
      <c r="AR846" s="81"/>
    </row>
    <row r="847" spans="1:44" x14ac:dyDescent="0.4">
      <c r="A847" s="5" t="str">
        <f t="shared" si="55"/>
        <v>ZU-CARACCIOLO PARRA</v>
      </c>
      <c r="B847" s="5" t="str">
        <f t="shared" si="56"/>
        <v>ZU</v>
      </c>
      <c r="C847" s="83" t="s">
        <v>783</v>
      </c>
      <c r="D847" s="82" t="s">
        <v>1531</v>
      </c>
      <c r="E847" s="85">
        <v>447</v>
      </c>
      <c r="F847" s="85"/>
      <c r="G847" s="86"/>
      <c r="H847" s="86"/>
      <c r="I847" s="86"/>
      <c r="J847" s="86"/>
      <c r="K847" s="86"/>
      <c r="L847" s="86"/>
      <c r="M847" s="86"/>
      <c r="N847" s="86"/>
      <c r="O847" s="86"/>
      <c r="P847" s="87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  <c r="AD847" s="81"/>
      <c r="AE847" s="81"/>
      <c r="AF847" s="81"/>
      <c r="AG847" s="81"/>
      <c r="AH847" s="81"/>
      <c r="AI847" s="81"/>
      <c r="AJ847" s="81"/>
      <c r="AK847" s="81"/>
      <c r="AL847" s="81"/>
      <c r="AM847" s="81"/>
      <c r="AN847" s="81"/>
      <c r="AO847" s="81"/>
      <c r="AP847" s="81"/>
      <c r="AQ847" s="81"/>
      <c r="AR847" s="81"/>
    </row>
    <row r="848" spans="1:44" x14ac:dyDescent="0.4">
      <c r="A848" s="5" t="str">
        <f t="shared" si="55"/>
        <v>ZU-CARLOS QUEVEDO</v>
      </c>
      <c r="B848" s="5" t="str">
        <f t="shared" si="56"/>
        <v>ZU</v>
      </c>
      <c r="C848" s="83" t="s">
        <v>783</v>
      </c>
      <c r="D848" s="82" t="s">
        <v>1532</v>
      </c>
      <c r="E848" s="85">
        <v>12</v>
      </c>
      <c r="F848" s="85"/>
      <c r="G848" s="86"/>
      <c r="H848" s="86"/>
      <c r="I848" s="86"/>
      <c r="J848" s="86"/>
      <c r="K848" s="86"/>
      <c r="L848" s="86"/>
      <c r="M848" s="86"/>
      <c r="N848" s="86"/>
      <c r="O848" s="86"/>
      <c r="P848" s="87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  <c r="AE848" s="81"/>
      <c r="AF848" s="81"/>
      <c r="AG848" s="81"/>
      <c r="AH848" s="81"/>
      <c r="AI848" s="81"/>
      <c r="AJ848" s="81"/>
      <c r="AK848" s="81"/>
      <c r="AL848" s="81"/>
      <c r="AM848" s="81"/>
      <c r="AN848" s="81"/>
      <c r="AO848" s="81"/>
      <c r="AP848" s="81"/>
      <c r="AQ848" s="81"/>
      <c r="AR848" s="81"/>
    </row>
    <row r="849" spans="1:44" x14ac:dyDescent="0.4">
      <c r="A849" s="5" t="str">
        <f t="shared" si="55"/>
        <v>ZU-CARMELO</v>
      </c>
      <c r="B849" s="5" t="str">
        <f t="shared" si="56"/>
        <v>ZU</v>
      </c>
      <c r="C849" s="83" t="s">
        <v>783</v>
      </c>
      <c r="D849" s="82" t="s">
        <v>1533</v>
      </c>
      <c r="E849" s="85">
        <v>15</v>
      </c>
      <c r="F849" s="85"/>
      <c r="G849" s="86"/>
      <c r="H849" s="86"/>
      <c r="I849" s="86"/>
      <c r="J849" s="86"/>
      <c r="K849" s="86"/>
      <c r="L849" s="86"/>
      <c r="M849" s="86"/>
      <c r="N849" s="86"/>
      <c r="O849" s="86"/>
      <c r="P849" s="87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  <c r="AD849" s="81"/>
      <c r="AE849" s="81"/>
      <c r="AF849" s="81"/>
      <c r="AG849" s="81"/>
      <c r="AH849" s="81"/>
      <c r="AI849" s="81"/>
      <c r="AJ849" s="81"/>
      <c r="AK849" s="81"/>
      <c r="AL849" s="81"/>
      <c r="AM849" s="81"/>
      <c r="AN849" s="81"/>
      <c r="AO849" s="81"/>
      <c r="AP849" s="81"/>
      <c r="AQ849" s="81"/>
      <c r="AR849" s="81"/>
    </row>
    <row r="850" spans="1:44" x14ac:dyDescent="0.4">
      <c r="A850" s="5" t="str">
        <f t="shared" si="55"/>
        <v>ZU-CECILIO ACOSTA</v>
      </c>
      <c r="B850" s="5" t="str">
        <f t="shared" si="56"/>
        <v>ZU</v>
      </c>
      <c r="C850" s="83" t="s">
        <v>783</v>
      </c>
      <c r="D850" s="82" t="s">
        <v>1244</v>
      </c>
      <c r="E850" s="85">
        <v>160</v>
      </c>
      <c r="F850" s="85"/>
      <c r="G850" s="86"/>
      <c r="H850" s="86"/>
      <c r="I850" s="86"/>
      <c r="J850" s="86"/>
      <c r="K850" s="86"/>
      <c r="L850" s="86"/>
      <c r="M850" s="86"/>
      <c r="N850" s="86"/>
      <c r="O850" s="86"/>
      <c r="P850" s="87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  <c r="AD850" s="81"/>
      <c r="AE850" s="81"/>
      <c r="AF850" s="81"/>
      <c r="AG850" s="81"/>
      <c r="AH850" s="81"/>
      <c r="AI850" s="81"/>
      <c r="AJ850" s="81"/>
      <c r="AK850" s="81"/>
      <c r="AL850" s="81"/>
      <c r="AM850" s="81"/>
      <c r="AN850" s="81"/>
      <c r="AO850" s="81"/>
      <c r="AP850" s="81"/>
      <c r="AQ850" s="81"/>
      <c r="AR850" s="81"/>
    </row>
    <row r="851" spans="1:44" x14ac:dyDescent="0.4">
      <c r="A851" s="5" t="str">
        <f t="shared" si="55"/>
        <v>ZU-CHIQUINQUIRA</v>
      </c>
      <c r="B851" s="5" t="str">
        <f t="shared" si="56"/>
        <v>ZU</v>
      </c>
      <c r="C851" s="83" t="s">
        <v>783</v>
      </c>
      <c r="D851" s="82" t="s">
        <v>1126</v>
      </c>
      <c r="E851" s="85">
        <v>2252</v>
      </c>
      <c r="F851" s="85"/>
      <c r="G851" s="86"/>
      <c r="H851" s="86"/>
      <c r="I851" s="86"/>
      <c r="J851" s="86"/>
      <c r="K851" s="86"/>
      <c r="L851" s="86"/>
      <c r="M851" s="86"/>
      <c r="N851" s="86"/>
      <c r="O851" s="86"/>
      <c r="P851" s="87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  <c r="AD851" s="81"/>
      <c r="AE851" s="81"/>
      <c r="AF851" s="81"/>
      <c r="AG851" s="81"/>
      <c r="AH851" s="81"/>
      <c r="AI851" s="81"/>
      <c r="AJ851" s="81"/>
      <c r="AK851" s="81"/>
      <c r="AL851" s="81"/>
      <c r="AM851" s="81"/>
      <c r="AN851" s="81"/>
      <c r="AO851" s="81"/>
      <c r="AP851" s="81"/>
      <c r="AQ851" s="81"/>
      <c r="AR851" s="81"/>
    </row>
    <row r="852" spans="1:44" x14ac:dyDescent="0.4">
      <c r="A852" s="5" t="str">
        <f t="shared" si="55"/>
        <v>ZU-CHIQUINQUIRA</v>
      </c>
      <c r="B852" s="5" t="str">
        <f t="shared" si="56"/>
        <v>ZU</v>
      </c>
      <c r="C852" s="83" t="s">
        <v>783</v>
      </c>
      <c r="D852" s="82" t="s">
        <v>1126</v>
      </c>
      <c r="E852" s="85">
        <v>20</v>
      </c>
      <c r="F852" s="85"/>
      <c r="G852" s="86"/>
      <c r="H852" s="86"/>
      <c r="I852" s="86"/>
      <c r="J852" s="86"/>
      <c r="K852" s="86"/>
      <c r="L852" s="86"/>
      <c r="M852" s="86"/>
      <c r="N852" s="86"/>
      <c r="O852" s="86"/>
      <c r="P852" s="87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  <c r="AD852" s="81"/>
      <c r="AE852" s="81"/>
      <c r="AF852" s="81"/>
      <c r="AG852" s="81"/>
      <c r="AH852" s="81"/>
      <c r="AI852" s="81"/>
      <c r="AJ852" s="81"/>
      <c r="AK852" s="81"/>
      <c r="AL852" s="81"/>
      <c r="AM852" s="81"/>
      <c r="AN852" s="81"/>
      <c r="AO852" s="81"/>
      <c r="AP852" s="81"/>
      <c r="AQ852" s="81"/>
      <c r="AR852" s="81"/>
    </row>
    <row r="853" spans="1:44" x14ac:dyDescent="0.4">
      <c r="A853" s="5" t="str">
        <f t="shared" si="55"/>
        <v>ZU-CONCEPCION</v>
      </c>
      <c r="B853" s="5" t="str">
        <f t="shared" si="56"/>
        <v>ZU</v>
      </c>
      <c r="C853" s="83" t="s">
        <v>783</v>
      </c>
      <c r="D853" s="82" t="s">
        <v>1127</v>
      </c>
      <c r="E853" s="85">
        <v>75</v>
      </c>
      <c r="F853" s="85"/>
      <c r="G853" s="86"/>
      <c r="H853" s="86"/>
      <c r="I853" s="86"/>
      <c r="J853" s="86"/>
      <c r="K853" s="86"/>
      <c r="L853" s="86"/>
      <c r="M853" s="86"/>
      <c r="N853" s="86"/>
      <c r="O853" s="86"/>
      <c r="P853" s="87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  <c r="AD853" s="81"/>
      <c r="AE853" s="81"/>
      <c r="AF853" s="81"/>
      <c r="AG853" s="81"/>
      <c r="AH853" s="81"/>
      <c r="AI853" s="81"/>
      <c r="AJ853" s="81"/>
      <c r="AK853" s="81"/>
      <c r="AL853" s="81"/>
      <c r="AM853" s="81"/>
      <c r="AN853" s="81"/>
      <c r="AO853" s="81"/>
      <c r="AP853" s="81"/>
      <c r="AQ853" s="81"/>
      <c r="AR853" s="81"/>
    </row>
    <row r="854" spans="1:44" x14ac:dyDescent="0.4">
      <c r="A854" s="5" t="str">
        <f t="shared" si="55"/>
        <v>ZU-COQUIVACOA</v>
      </c>
      <c r="B854" s="5" t="str">
        <f t="shared" si="56"/>
        <v>ZU</v>
      </c>
      <c r="C854" s="83" t="s">
        <v>783</v>
      </c>
      <c r="D854" s="82" t="s">
        <v>1534</v>
      </c>
      <c r="E854" s="85">
        <v>476</v>
      </c>
      <c r="F854" s="85"/>
      <c r="G854" s="86"/>
      <c r="H854" s="86"/>
      <c r="I854" s="86"/>
      <c r="J854" s="86"/>
      <c r="K854" s="86"/>
      <c r="L854" s="86"/>
      <c r="M854" s="86"/>
      <c r="N854" s="86"/>
      <c r="O854" s="86"/>
      <c r="P854" s="87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  <c r="AD854" s="81"/>
      <c r="AE854" s="81"/>
      <c r="AF854" s="81"/>
      <c r="AG854" s="81"/>
      <c r="AH854" s="81"/>
      <c r="AI854" s="81"/>
      <c r="AJ854" s="81"/>
      <c r="AK854" s="81"/>
      <c r="AL854" s="81"/>
      <c r="AM854" s="81"/>
      <c r="AN854" s="81"/>
      <c r="AO854" s="81"/>
      <c r="AP854" s="81"/>
      <c r="AQ854" s="81"/>
      <c r="AR854" s="81"/>
    </row>
    <row r="855" spans="1:44" x14ac:dyDescent="0.4">
      <c r="A855" s="5" t="str">
        <f t="shared" si="55"/>
        <v>ZU-CRISTO DE ARANZA</v>
      </c>
      <c r="B855" s="5" t="str">
        <f t="shared" si="56"/>
        <v>ZU</v>
      </c>
      <c r="C855" s="83" t="s">
        <v>783</v>
      </c>
      <c r="D855" s="82" t="s">
        <v>1535</v>
      </c>
      <c r="E855" s="85">
        <v>1301</v>
      </c>
      <c r="F855" s="85"/>
      <c r="G855" s="86"/>
      <c r="H855" s="86"/>
      <c r="I855" s="86"/>
      <c r="J855" s="86"/>
      <c r="K855" s="86"/>
      <c r="L855" s="86"/>
      <c r="M855" s="86"/>
      <c r="N855" s="86"/>
      <c r="O855" s="86"/>
      <c r="P855" s="87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  <c r="AD855" s="81"/>
      <c r="AE855" s="81"/>
      <c r="AF855" s="81"/>
      <c r="AG855" s="81"/>
      <c r="AH855" s="81"/>
      <c r="AI855" s="81"/>
      <c r="AJ855" s="81"/>
      <c r="AK855" s="81"/>
      <c r="AL855" s="81"/>
      <c r="AM855" s="81"/>
      <c r="AN855" s="81"/>
      <c r="AO855" s="81"/>
      <c r="AP855" s="81"/>
      <c r="AQ855" s="81"/>
      <c r="AR855" s="81"/>
    </row>
    <row r="856" spans="1:44" x14ac:dyDescent="0.4">
      <c r="A856" s="5" t="str">
        <f t="shared" si="55"/>
        <v>ZU-DOMITILA FLORES</v>
      </c>
      <c r="B856" s="5" t="str">
        <f t="shared" si="56"/>
        <v>ZU</v>
      </c>
      <c r="C856" s="83" t="s">
        <v>783</v>
      </c>
      <c r="D856" s="82" t="s">
        <v>1536</v>
      </c>
      <c r="E856" s="85">
        <v>160</v>
      </c>
      <c r="F856" s="85"/>
      <c r="G856" s="86"/>
      <c r="H856" s="86"/>
      <c r="I856" s="86"/>
      <c r="J856" s="86"/>
      <c r="K856" s="86"/>
      <c r="L856" s="86"/>
      <c r="M856" s="86"/>
      <c r="N856" s="86"/>
      <c r="O856" s="86"/>
      <c r="P856" s="87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  <c r="AD856" s="81"/>
      <c r="AE856" s="81"/>
      <c r="AF856" s="81"/>
      <c r="AG856" s="81"/>
      <c r="AH856" s="81"/>
      <c r="AI856" s="81"/>
      <c r="AJ856" s="81"/>
      <c r="AK856" s="81"/>
      <c r="AL856" s="81"/>
      <c r="AM856" s="81"/>
      <c r="AN856" s="81"/>
      <c r="AO856" s="81"/>
      <c r="AP856" s="81"/>
      <c r="AQ856" s="81"/>
      <c r="AR856" s="81"/>
    </row>
    <row r="857" spans="1:44" x14ac:dyDescent="0.4">
      <c r="A857" s="5" t="str">
        <f t="shared" si="55"/>
        <v>ZU-DONALDO GARCIA</v>
      </c>
      <c r="B857" s="5" t="str">
        <f t="shared" si="56"/>
        <v>ZU</v>
      </c>
      <c r="C857" s="83" t="s">
        <v>783</v>
      </c>
      <c r="D857" s="82" t="s">
        <v>1537</v>
      </c>
      <c r="E857" s="85">
        <v>5</v>
      </c>
      <c r="F857" s="85"/>
      <c r="G857" s="86"/>
      <c r="H857" s="86"/>
      <c r="I857" s="86"/>
      <c r="J857" s="86"/>
      <c r="K857" s="86"/>
      <c r="L857" s="86"/>
      <c r="M857" s="86"/>
      <c r="N857" s="86"/>
      <c r="O857" s="86"/>
      <c r="P857" s="87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  <c r="AD857" s="81"/>
      <c r="AE857" s="81"/>
      <c r="AF857" s="81"/>
      <c r="AG857" s="81"/>
      <c r="AH857" s="81"/>
      <c r="AI857" s="81"/>
      <c r="AJ857" s="81"/>
      <c r="AK857" s="81"/>
      <c r="AL857" s="81"/>
      <c r="AM857" s="81"/>
      <c r="AN857" s="81"/>
      <c r="AO857" s="81"/>
      <c r="AP857" s="81"/>
      <c r="AQ857" s="81"/>
      <c r="AR857" s="81"/>
    </row>
    <row r="858" spans="1:44" x14ac:dyDescent="0.4">
      <c r="A858" s="5" t="str">
        <f t="shared" si="55"/>
        <v>ZU-ELEAZAR LOPEZ CONTRERAS</v>
      </c>
      <c r="B858" s="5" t="str">
        <f t="shared" si="56"/>
        <v>ZU</v>
      </c>
      <c r="C858" s="83" t="s">
        <v>783</v>
      </c>
      <c r="D858" s="82" t="s">
        <v>1538</v>
      </c>
      <c r="E858" s="85">
        <v>1</v>
      </c>
      <c r="F858" s="85"/>
      <c r="G858" s="86"/>
      <c r="H858" s="86"/>
      <c r="I858" s="86"/>
      <c r="J858" s="86"/>
      <c r="K858" s="86"/>
      <c r="L858" s="86"/>
      <c r="M858" s="86"/>
      <c r="N858" s="86"/>
      <c r="O858" s="86"/>
      <c r="P858" s="87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  <c r="AE858" s="81"/>
      <c r="AF858" s="81"/>
      <c r="AG858" s="81"/>
      <c r="AH858" s="81"/>
      <c r="AI858" s="81"/>
      <c r="AJ858" s="81"/>
      <c r="AK858" s="81"/>
      <c r="AL858" s="81"/>
      <c r="AM858" s="81"/>
      <c r="AN858" s="81"/>
      <c r="AO858" s="81"/>
      <c r="AP858" s="81"/>
      <c r="AQ858" s="81"/>
      <c r="AR858" s="81"/>
    </row>
    <row r="859" spans="1:44" x14ac:dyDescent="0.4">
      <c r="A859" s="5" t="str">
        <f t="shared" si="55"/>
        <v>ZU-ELIAS SANCHEZ RUBIO</v>
      </c>
      <c r="B859" s="5" t="str">
        <f t="shared" si="56"/>
        <v>ZU</v>
      </c>
      <c r="C859" s="83" t="s">
        <v>783</v>
      </c>
      <c r="D859" s="82" t="s">
        <v>1539</v>
      </c>
      <c r="E859" s="85">
        <v>13</v>
      </c>
      <c r="F859" s="85"/>
      <c r="G859" s="86"/>
      <c r="H859" s="86"/>
      <c r="I859" s="86"/>
      <c r="J859" s="86"/>
      <c r="K859" s="86"/>
      <c r="L859" s="86"/>
      <c r="M859" s="86"/>
      <c r="N859" s="86"/>
      <c r="O859" s="86"/>
      <c r="P859" s="87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  <c r="AD859" s="81"/>
      <c r="AE859" s="81"/>
      <c r="AF859" s="81"/>
      <c r="AG859" s="81"/>
      <c r="AH859" s="81"/>
      <c r="AI859" s="81"/>
      <c r="AJ859" s="81"/>
      <c r="AK859" s="81"/>
      <c r="AL859" s="81"/>
      <c r="AM859" s="81"/>
      <c r="AN859" s="81"/>
      <c r="AO859" s="81"/>
      <c r="AP859" s="81"/>
      <c r="AQ859" s="81"/>
      <c r="AR859" s="81"/>
    </row>
    <row r="860" spans="1:44" x14ac:dyDescent="0.4">
      <c r="A860" s="5" t="str">
        <f t="shared" si="55"/>
        <v>ZU-ENCONTRADOS</v>
      </c>
      <c r="B860" s="5" t="str">
        <f t="shared" si="56"/>
        <v>ZU</v>
      </c>
      <c r="C860" s="83" t="s">
        <v>783</v>
      </c>
      <c r="D860" s="82" t="s">
        <v>1540</v>
      </c>
      <c r="E860" s="85">
        <v>49</v>
      </c>
      <c r="F860" s="85"/>
      <c r="G860" s="86"/>
      <c r="H860" s="86"/>
      <c r="I860" s="86"/>
      <c r="J860" s="86"/>
      <c r="K860" s="86"/>
      <c r="L860" s="86"/>
      <c r="M860" s="86"/>
      <c r="N860" s="86"/>
      <c r="O860" s="86"/>
      <c r="P860" s="87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  <c r="AE860" s="81"/>
      <c r="AF860" s="81"/>
      <c r="AG860" s="81"/>
      <c r="AH860" s="81"/>
      <c r="AI860" s="81"/>
      <c r="AJ860" s="81"/>
      <c r="AK860" s="81"/>
      <c r="AL860" s="81"/>
      <c r="AM860" s="81"/>
      <c r="AN860" s="81"/>
      <c r="AO860" s="81"/>
      <c r="AP860" s="81"/>
      <c r="AQ860" s="81"/>
      <c r="AR860" s="81"/>
    </row>
    <row r="861" spans="1:44" x14ac:dyDescent="0.4">
      <c r="A861" s="5" t="str">
        <f t="shared" si="55"/>
        <v>ZU-FARIA</v>
      </c>
      <c r="B861" s="5" t="str">
        <f t="shared" si="56"/>
        <v>ZU</v>
      </c>
      <c r="C861" s="83" t="s">
        <v>783</v>
      </c>
      <c r="D861" s="82" t="s">
        <v>1541</v>
      </c>
      <c r="E861" s="85">
        <v>8</v>
      </c>
      <c r="F861" s="85"/>
      <c r="G861" s="86"/>
      <c r="H861" s="86"/>
      <c r="I861" s="86"/>
      <c r="J861" s="86"/>
      <c r="K861" s="86"/>
      <c r="L861" s="86"/>
      <c r="M861" s="86"/>
      <c r="N861" s="86"/>
      <c r="O861" s="86"/>
      <c r="P861" s="87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  <c r="AE861" s="81"/>
      <c r="AF861" s="81"/>
      <c r="AG861" s="81"/>
      <c r="AH861" s="81"/>
      <c r="AI861" s="81"/>
      <c r="AJ861" s="81"/>
      <c r="AK861" s="81"/>
      <c r="AL861" s="81"/>
      <c r="AM861" s="81"/>
      <c r="AN861" s="81"/>
      <c r="AO861" s="81"/>
      <c r="AP861" s="81"/>
      <c r="AQ861" s="81"/>
      <c r="AR861" s="81"/>
    </row>
    <row r="862" spans="1:44" x14ac:dyDescent="0.4">
      <c r="A862" s="5" t="str">
        <f t="shared" si="55"/>
        <v>ZU-FRANCISCO BUSTAMANTE</v>
      </c>
      <c r="B862" s="5" t="str">
        <f t="shared" si="56"/>
        <v>ZU</v>
      </c>
      <c r="C862" s="83" t="s">
        <v>783</v>
      </c>
      <c r="D862" s="82" t="s">
        <v>1542</v>
      </c>
      <c r="E862" s="85">
        <v>334</v>
      </c>
      <c r="F862" s="85"/>
      <c r="G862" s="86"/>
      <c r="H862" s="86"/>
      <c r="I862" s="86"/>
      <c r="J862" s="86"/>
      <c r="K862" s="86"/>
      <c r="L862" s="86"/>
      <c r="M862" s="86"/>
      <c r="N862" s="86"/>
      <c r="O862" s="86"/>
      <c r="P862" s="87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  <c r="AD862" s="81"/>
      <c r="AE862" s="81"/>
      <c r="AF862" s="81"/>
      <c r="AG862" s="81"/>
      <c r="AH862" s="81"/>
      <c r="AI862" s="81"/>
      <c r="AJ862" s="81"/>
      <c r="AK862" s="81"/>
      <c r="AL862" s="81"/>
      <c r="AM862" s="81"/>
      <c r="AN862" s="81"/>
      <c r="AO862" s="81"/>
      <c r="AP862" s="81"/>
      <c r="AQ862" s="81"/>
      <c r="AR862" s="81"/>
    </row>
    <row r="863" spans="1:44" x14ac:dyDescent="0.4">
      <c r="A863" s="5" t="str">
        <f t="shared" si="55"/>
        <v>ZU-FRANCISCO J. PULGAR</v>
      </c>
      <c r="B863" s="5" t="str">
        <f t="shared" si="56"/>
        <v>ZU</v>
      </c>
      <c r="C863" s="83" t="s">
        <v>783</v>
      </c>
      <c r="D863" s="82" t="s">
        <v>1543</v>
      </c>
      <c r="E863" s="85">
        <v>2</v>
      </c>
      <c r="F863" s="85"/>
      <c r="G863" s="86"/>
      <c r="H863" s="86"/>
      <c r="I863" s="86"/>
      <c r="J863" s="86"/>
      <c r="K863" s="86"/>
      <c r="L863" s="86"/>
      <c r="M863" s="86"/>
      <c r="N863" s="86"/>
      <c r="O863" s="86"/>
      <c r="P863" s="87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  <c r="AE863" s="81"/>
      <c r="AF863" s="81"/>
      <c r="AG863" s="81"/>
      <c r="AH863" s="81"/>
      <c r="AI863" s="81"/>
      <c r="AJ863" s="81"/>
      <c r="AK863" s="81"/>
      <c r="AL863" s="81"/>
      <c r="AM863" s="81"/>
      <c r="AN863" s="81"/>
      <c r="AO863" s="81"/>
      <c r="AP863" s="81"/>
      <c r="AQ863" s="81"/>
      <c r="AR863" s="81"/>
    </row>
    <row r="864" spans="1:44" x14ac:dyDescent="0.4">
      <c r="A864" s="5" t="str">
        <f t="shared" si="55"/>
        <v>ZU-FRANCISCO OCHOA</v>
      </c>
      <c r="B864" s="5" t="str">
        <f t="shared" si="56"/>
        <v>ZU</v>
      </c>
      <c r="C864" s="83" t="s">
        <v>783</v>
      </c>
      <c r="D864" s="82" t="s">
        <v>1544</v>
      </c>
      <c r="E864" s="85">
        <v>105</v>
      </c>
      <c r="F864" s="85"/>
      <c r="G864" s="86"/>
      <c r="H864" s="86"/>
      <c r="I864" s="86"/>
      <c r="J864" s="86"/>
      <c r="K864" s="86"/>
      <c r="L864" s="86"/>
      <c r="M864" s="86"/>
      <c r="N864" s="86"/>
      <c r="O864" s="86"/>
      <c r="P864" s="87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  <c r="AD864" s="81"/>
      <c r="AE864" s="81"/>
      <c r="AF864" s="81"/>
      <c r="AG864" s="81"/>
      <c r="AH864" s="81"/>
      <c r="AI864" s="81"/>
      <c r="AJ864" s="81"/>
      <c r="AK864" s="81"/>
      <c r="AL864" s="81"/>
      <c r="AM864" s="81"/>
      <c r="AN864" s="81"/>
      <c r="AO864" s="81"/>
      <c r="AP864" s="81"/>
      <c r="AQ864" s="81"/>
      <c r="AR864" s="81"/>
    </row>
    <row r="865" spans="1:44" x14ac:dyDescent="0.4">
      <c r="A865" s="5" t="str">
        <f t="shared" si="55"/>
        <v>ZU-GENERAL URDANETA</v>
      </c>
      <c r="B865" s="5" t="str">
        <f t="shared" si="56"/>
        <v>ZU</v>
      </c>
      <c r="C865" s="83" t="s">
        <v>783</v>
      </c>
      <c r="D865" s="82" t="s">
        <v>1545</v>
      </c>
      <c r="E865" s="85">
        <v>14</v>
      </c>
      <c r="F865" s="85"/>
      <c r="G865" s="86"/>
      <c r="H865" s="86"/>
      <c r="I865" s="86"/>
      <c r="J865" s="86"/>
      <c r="K865" s="86"/>
      <c r="L865" s="86"/>
      <c r="M865" s="86"/>
      <c r="N865" s="86"/>
      <c r="O865" s="86"/>
      <c r="P865" s="87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  <c r="AD865" s="81"/>
      <c r="AE865" s="81"/>
      <c r="AF865" s="81"/>
      <c r="AG865" s="81"/>
      <c r="AH865" s="81"/>
      <c r="AI865" s="81"/>
      <c r="AJ865" s="81"/>
      <c r="AK865" s="81"/>
      <c r="AL865" s="81"/>
      <c r="AM865" s="81"/>
      <c r="AN865" s="81"/>
      <c r="AO865" s="81"/>
      <c r="AP865" s="81"/>
      <c r="AQ865" s="81"/>
      <c r="AR865" s="81"/>
    </row>
    <row r="866" spans="1:44" x14ac:dyDescent="0.4">
      <c r="A866" s="5" t="str">
        <f t="shared" si="55"/>
        <v>ZU-GERMAN RIOS LINARES</v>
      </c>
      <c r="B866" s="5" t="str">
        <f t="shared" si="56"/>
        <v>ZU</v>
      </c>
      <c r="C866" s="83" t="s">
        <v>783</v>
      </c>
      <c r="D866" s="82" t="s">
        <v>1546</v>
      </c>
      <c r="E866" s="85">
        <v>75</v>
      </c>
      <c r="F866" s="85"/>
      <c r="G866" s="86"/>
      <c r="H866" s="86"/>
      <c r="I866" s="86"/>
      <c r="J866" s="86"/>
      <c r="K866" s="86"/>
      <c r="L866" s="86"/>
      <c r="M866" s="86"/>
      <c r="N866" s="86"/>
      <c r="O866" s="86"/>
      <c r="P866" s="87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  <c r="AD866" s="81"/>
      <c r="AE866" s="81"/>
      <c r="AF866" s="81"/>
      <c r="AG866" s="81"/>
      <c r="AH866" s="81"/>
      <c r="AI866" s="81"/>
      <c r="AJ866" s="81"/>
      <c r="AK866" s="81"/>
      <c r="AL866" s="81"/>
      <c r="AM866" s="81"/>
      <c r="AN866" s="81"/>
      <c r="AO866" s="81"/>
      <c r="AP866" s="81"/>
      <c r="AQ866" s="81"/>
      <c r="AR866" s="81"/>
    </row>
    <row r="867" spans="1:44" x14ac:dyDescent="0.4">
      <c r="A867" s="5" t="str">
        <f t="shared" si="55"/>
        <v>ZU-GIBRALTAR</v>
      </c>
      <c r="B867" s="5" t="str">
        <f t="shared" si="56"/>
        <v>ZU</v>
      </c>
      <c r="C867" s="83" t="s">
        <v>783</v>
      </c>
      <c r="D867" s="82" t="s">
        <v>1547</v>
      </c>
      <c r="E867" s="85">
        <v>25</v>
      </c>
      <c r="F867" s="85"/>
      <c r="G867" s="86"/>
      <c r="H867" s="86"/>
      <c r="I867" s="86"/>
      <c r="J867" s="86"/>
      <c r="K867" s="86"/>
      <c r="L867" s="86"/>
      <c r="M867" s="86"/>
      <c r="N867" s="86"/>
      <c r="O867" s="86"/>
      <c r="P867" s="87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  <c r="AD867" s="81"/>
      <c r="AE867" s="81"/>
      <c r="AF867" s="81"/>
      <c r="AG867" s="81"/>
      <c r="AH867" s="81"/>
      <c r="AI867" s="81"/>
      <c r="AJ867" s="81"/>
      <c r="AK867" s="81"/>
      <c r="AL867" s="81"/>
      <c r="AM867" s="81"/>
      <c r="AN867" s="81"/>
      <c r="AO867" s="81"/>
      <c r="AP867" s="81"/>
      <c r="AQ867" s="81"/>
      <c r="AR867" s="81"/>
    </row>
    <row r="868" spans="1:44" x14ac:dyDescent="0.4">
      <c r="A868" s="5" t="str">
        <f t="shared" si="55"/>
        <v>ZU-GOAJIRA</v>
      </c>
      <c r="B868" s="5" t="str">
        <f t="shared" si="56"/>
        <v>ZU</v>
      </c>
      <c r="C868" s="83" t="s">
        <v>783</v>
      </c>
      <c r="D868" s="82" t="s">
        <v>1548</v>
      </c>
      <c r="E868" s="85">
        <v>48</v>
      </c>
      <c r="F868" s="85"/>
      <c r="G868" s="86"/>
      <c r="H868" s="86"/>
      <c r="I868" s="86"/>
      <c r="J868" s="86"/>
      <c r="K868" s="86"/>
      <c r="L868" s="86"/>
      <c r="M868" s="86"/>
      <c r="N868" s="86"/>
      <c r="O868" s="86"/>
      <c r="P868" s="87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  <c r="AD868" s="81"/>
      <c r="AE868" s="81"/>
      <c r="AF868" s="81"/>
      <c r="AG868" s="81"/>
      <c r="AH868" s="81"/>
      <c r="AI868" s="81"/>
      <c r="AJ868" s="81"/>
      <c r="AK868" s="81"/>
      <c r="AL868" s="81"/>
      <c r="AM868" s="81"/>
      <c r="AN868" s="81"/>
      <c r="AO868" s="81"/>
      <c r="AP868" s="81"/>
      <c r="AQ868" s="81"/>
      <c r="AR868" s="81"/>
    </row>
    <row r="869" spans="1:44" x14ac:dyDescent="0.4">
      <c r="A869" s="5" t="str">
        <f t="shared" si="55"/>
        <v>ZU-GUANIPA MATOS</v>
      </c>
      <c r="B869" s="5" t="str">
        <f t="shared" si="56"/>
        <v>ZU</v>
      </c>
      <c r="C869" s="83" t="s">
        <v>783</v>
      </c>
      <c r="D869" s="82" t="s">
        <v>1549</v>
      </c>
      <c r="E869" s="85">
        <v>13</v>
      </c>
      <c r="F869" s="85"/>
      <c r="G869" s="86"/>
      <c r="H869" s="86"/>
      <c r="I869" s="86"/>
      <c r="J869" s="86"/>
      <c r="K869" s="86"/>
      <c r="L869" s="86"/>
      <c r="M869" s="86"/>
      <c r="N869" s="86"/>
      <c r="O869" s="86"/>
      <c r="P869" s="87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  <c r="AD869" s="81"/>
      <c r="AE869" s="81"/>
      <c r="AF869" s="81"/>
      <c r="AG869" s="81"/>
      <c r="AH869" s="81"/>
      <c r="AI869" s="81"/>
      <c r="AJ869" s="81"/>
      <c r="AK869" s="81"/>
      <c r="AL869" s="81"/>
      <c r="AM869" s="81"/>
      <c r="AN869" s="81"/>
      <c r="AO869" s="81"/>
      <c r="AP869" s="81"/>
      <c r="AQ869" s="81"/>
      <c r="AR869" s="81"/>
    </row>
    <row r="870" spans="1:44" x14ac:dyDescent="0.4">
      <c r="A870" s="5" t="str">
        <f t="shared" si="55"/>
        <v>ZU-HERAS</v>
      </c>
      <c r="B870" s="5" t="str">
        <f t="shared" si="56"/>
        <v>ZU</v>
      </c>
      <c r="C870" s="83" t="s">
        <v>783</v>
      </c>
      <c r="D870" s="82" t="s">
        <v>1550</v>
      </c>
      <c r="E870" s="85">
        <v>20</v>
      </c>
      <c r="F870" s="85"/>
      <c r="G870" s="86"/>
      <c r="H870" s="86"/>
      <c r="I870" s="86"/>
      <c r="J870" s="86"/>
      <c r="K870" s="86"/>
      <c r="L870" s="86"/>
      <c r="M870" s="86"/>
      <c r="N870" s="86"/>
      <c r="O870" s="86"/>
      <c r="P870" s="87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  <c r="AD870" s="81"/>
      <c r="AE870" s="81"/>
      <c r="AF870" s="81"/>
      <c r="AG870" s="81"/>
      <c r="AH870" s="81"/>
      <c r="AI870" s="81"/>
      <c r="AJ870" s="81"/>
      <c r="AK870" s="81"/>
      <c r="AL870" s="81"/>
      <c r="AM870" s="81"/>
      <c r="AN870" s="81"/>
      <c r="AO870" s="81"/>
      <c r="AP870" s="81"/>
      <c r="AQ870" s="81"/>
      <c r="AR870" s="81"/>
    </row>
    <row r="871" spans="1:44" x14ac:dyDescent="0.4">
      <c r="A871" s="5" t="str">
        <f t="shared" si="55"/>
        <v>ZU-IDELFONZO VASQUEZ</v>
      </c>
      <c r="B871" s="5" t="str">
        <f t="shared" si="56"/>
        <v>ZU</v>
      </c>
      <c r="C871" s="83" t="s">
        <v>783</v>
      </c>
      <c r="D871" s="82" t="s">
        <v>1551</v>
      </c>
      <c r="E871" s="85">
        <v>253</v>
      </c>
      <c r="F871" s="85"/>
      <c r="G871" s="86"/>
      <c r="H871" s="86"/>
      <c r="I871" s="86"/>
      <c r="J871" s="86"/>
      <c r="K871" s="86"/>
      <c r="L871" s="86"/>
      <c r="M871" s="86"/>
      <c r="N871" s="86"/>
      <c r="O871" s="86"/>
      <c r="P871" s="87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  <c r="AD871" s="81"/>
      <c r="AE871" s="81"/>
      <c r="AF871" s="81"/>
      <c r="AG871" s="81"/>
      <c r="AH871" s="81"/>
      <c r="AI871" s="81"/>
      <c r="AJ871" s="81"/>
      <c r="AK871" s="81"/>
      <c r="AL871" s="81"/>
      <c r="AM871" s="81"/>
      <c r="AN871" s="81"/>
      <c r="AO871" s="81"/>
      <c r="AP871" s="81"/>
      <c r="AQ871" s="81"/>
      <c r="AR871" s="81"/>
    </row>
    <row r="872" spans="1:44" x14ac:dyDescent="0.4">
      <c r="A872" s="5" t="str">
        <f t="shared" si="55"/>
        <v>ZU-JESUS ENRIQUE LOZADA</v>
      </c>
      <c r="B872" s="5" t="str">
        <f t="shared" si="56"/>
        <v>ZU</v>
      </c>
      <c r="C872" s="83" t="s">
        <v>783</v>
      </c>
      <c r="D872" s="82" t="s">
        <v>1552</v>
      </c>
      <c r="E872" s="85">
        <v>1</v>
      </c>
      <c r="F872" s="85"/>
      <c r="G872" s="86"/>
      <c r="H872" s="86"/>
      <c r="I872" s="86"/>
      <c r="J872" s="86"/>
      <c r="K872" s="86"/>
      <c r="L872" s="86"/>
      <c r="M872" s="86"/>
      <c r="N872" s="86"/>
      <c r="O872" s="86"/>
      <c r="P872" s="87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  <c r="AD872" s="81"/>
      <c r="AE872" s="81"/>
      <c r="AF872" s="81"/>
      <c r="AG872" s="81"/>
      <c r="AH872" s="81"/>
      <c r="AI872" s="81"/>
      <c r="AJ872" s="81"/>
      <c r="AK872" s="81"/>
      <c r="AL872" s="81"/>
      <c r="AM872" s="81"/>
      <c r="AN872" s="81"/>
      <c r="AO872" s="81"/>
      <c r="AP872" s="81"/>
      <c r="AQ872" s="81"/>
      <c r="AR872" s="81"/>
    </row>
    <row r="873" spans="1:44" x14ac:dyDescent="0.4">
      <c r="A873" s="5" t="str">
        <f t="shared" si="55"/>
        <v>ZU-JESUS MARIA SEMPRUM</v>
      </c>
      <c r="B873" s="5" t="str">
        <f t="shared" si="56"/>
        <v>ZU</v>
      </c>
      <c r="C873" s="83" t="s">
        <v>783</v>
      </c>
      <c r="D873" s="82" t="s">
        <v>1553</v>
      </c>
      <c r="E873" s="85">
        <v>36</v>
      </c>
      <c r="F873" s="85"/>
      <c r="G873" s="86"/>
      <c r="H873" s="86"/>
      <c r="I873" s="86"/>
      <c r="J873" s="86"/>
      <c r="K873" s="86"/>
      <c r="L873" s="86"/>
      <c r="M873" s="86"/>
      <c r="N873" s="86"/>
      <c r="O873" s="86"/>
      <c r="P873" s="87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  <c r="AD873" s="81"/>
      <c r="AE873" s="81"/>
      <c r="AF873" s="81"/>
      <c r="AG873" s="81"/>
      <c r="AH873" s="81"/>
      <c r="AI873" s="81"/>
      <c r="AJ873" s="81"/>
      <c r="AK873" s="81"/>
      <c r="AL873" s="81"/>
      <c r="AM873" s="81"/>
      <c r="AN873" s="81"/>
      <c r="AO873" s="81"/>
      <c r="AP873" s="81"/>
      <c r="AQ873" s="81"/>
      <c r="AR873" s="81"/>
    </row>
    <row r="874" spans="1:44" x14ac:dyDescent="0.4">
      <c r="A874" s="5" t="str">
        <f t="shared" si="55"/>
        <v>ZU-JORGE HERNANDEZ</v>
      </c>
      <c r="B874" s="5" t="str">
        <f t="shared" si="56"/>
        <v>ZU</v>
      </c>
      <c r="C874" s="83" t="s">
        <v>783</v>
      </c>
      <c r="D874" s="82" t="s">
        <v>1554</v>
      </c>
      <c r="E874" s="85">
        <v>106</v>
      </c>
      <c r="F874" s="85"/>
      <c r="G874" s="86"/>
      <c r="H874" s="86"/>
      <c r="I874" s="86"/>
      <c r="J874" s="86"/>
      <c r="K874" s="86"/>
      <c r="L874" s="86"/>
      <c r="M874" s="86"/>
      <c r="N874" s="86"/>
      <c r="O874" s="86"/>
      <c r="P874" s="87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  <c r="AD874" s="81"/>
      <c r="AE874" s="81"/>
      <c r="AF874" s="81"/>
      <c r="AG874" s="81"/>
      <c r="AH874" s="81"/>
      <c r="AI874" s="81"/>
      <c r="AJ874" s="81"/>
      <c r="AK874" s="81"/>
      <c r="AL874" s="81"/>
      <c r="AM874" s="81"/>
      <c r="AN874" s="81"/>
      <c r="AO874" s="81"/>
      <c r="AP874" s="81"/>
      <c r="AQ874" s="81"/>
      <c r="AR874" s="81"/>
    </row>
    <row r="875" spans="1:44" x14ac:dyDescent="0.4">
      <c r="A875" s="5" t="str">
        <f t="shared" si="55"/>
        <v>ZU-JOSE RAMON YEPEZ</v>
      </c>
      <c r="B875" s="5" t="str">
        <f t="shared" si="56"/>
        <v>ZU</v>
      </c>
      <c r="C875" s="83" t="s">
        <v>783</v>
      </c>
      <c r="D875" s="82" t="s">
        <v>1555</v>
      </c>
      <c r="E875" s="85">
        <v>27</v>
      </c>
      <c r="F875" s="85"/>
      <c r="G875" s="86"/>
      <c r="H875" s="86"/>
      <c r="I875" s="86"/>
      <c r="J875" s="86"/>
      <c r="K875" s="86"/>
      <c r="L875" s="86"/>
      <c r="M875" s="86"/>
      <c r="N875" s="86"/>
      <c r="O875" s="86"/>
      <c r="P875" s="87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  <c r="AD875" s="81"/>
      <c r="AE875" s="81"/>
      <c r="AF875" s="81"/>
      <c r="AG875" s="81"/>
      <c r="AH875" s="81"/>
      <c r="AI875" s="81"/>
      <c r="AJ875" s="81"/>
      <c r="AK875" s="81"/>
      <c r="AL875" s="81"/>
      <c r="AM875" s="81"/>
      <c r="AN875" s="81"/>
      <c r="AO875" s="81"/>
      <c r="AP875" s="81"/>
      <c r="AQ875" s="81"/>
      <c r="AR875" s="81"/>
    </row>
    <row r="876" spans="1:44" x14ac:dyDescent="0.4">
      <c r="A876" s="5" t="str">
        <f t="shared" si="55"/>
        <v>ZU-JUANA DE AVILA</v>
      </c>
      <c r="B876" s="5" t="str">
        <f t="shared" si="56"/>
        <v>ZU</v>
      </c>
      <c r="C876" s="83" t="s">
        <v>783</v>
      </c>
      <c r="D876" s="82" t="s">
        <v>1556</v>
      </c>
      <c r="E876" s="85">
        <v>255</v>
      </c>
      <c r="F876" s="85"/>
      <c r="G876" s="86"/>
      <c r="H876" s="86"/>
      <c r="I876" s="86"/>
      <c r="J876" s="86"/>
      <c r="K876" s="86"/>
      <c r="L876" s="86"/>
      <c r="M876" s="86"/>
      <c r="N876" s="86"/>
      <c r="O876" s="86"/>
      <c r="P876" s="87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  <c r="AD876" s="81"/>
      <c r="AE876" s="81"/>
      <c r="AF876" s="81"/>
      <c r="AG876" s="81"/>
      <c r="AH876" s="81"/>
      <c r="AI876" s="81"/>
      <c r="AJ876" s="81"/>
      <c r="AK876" s="81"/>
      <c r="AL876" s="81"/>
      <c r="AM876" s="81"/>
      <c r="AN876" s="81"/>
      <c r="AO876" s="81"/>
      <c r="AP876" s="81"/>
      <c r="AQ876" s="81"/>
      <c r="AR876" s="81"/>
    </row>
    <row r="877" spans="1:44" x14ac:dyDescent="0.4">
      <c r="A877" s="5" t="str">
        <f t="shared" si="55"/>
        <v>ZU-LA CONCEPCION</v>
      </c>
      <c r="B877" s="5" t="str">
        <f t="shared" si="56"/>
        <v>ZU</v>
      </c>
      <c r="C877" s="83" t="s">
        <v>783</v>
      </c>
      <c r="D877" s="82" t="s">
        <v>1488</v>
      </c>
      <c r="E877" s="85">
        <v>255</v>
      </c>
      <c r="F877" s="85"/>
      <c r="G877" s="86"/>
      <c r="H877" s="86"/>
      <c r="I877" s="86"/>
      <c r="J877" s="86"/>
      <c r="K877" s="86"/>
      <c r="L877" s="86"/>
      <c r="M877" s="86"/>
      <c r="N877" s="86"/>
      <c r="O877" s="86"/>
      <c r="P877" s="87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  <c r="AE877" s="81"/>
      <c r="AF877" s="81"/>
      <c r="AG877" s="81"/>
      <c r="AH877" s="81"/>
      <c r="AI877" s="81"/>
      <c r="AJ877" s="81"/>
      <c r="AK877" s="81"/>
      <c r="AL877" s="81"/>
      <c r="AM877" s="81"/>
      <c r="AN877" s="81"/>
      <c r="AO877" s="81"/>
      <c r="AP877" s="81"/>
      <c r="AQ877" s="81"/>
      <c r="AR877" s="81"/>
    </row>
    <row r="878" spans="1:44" x14ac:dyDescent="0.4">
      <c r="A878" s="5" t="str">
        <f t="shared" si="55"/>
        <v>ZU-LA ROSA</v>
      </c>
      <c r="B878" s="5" t="str">
        <f t="shared" si="56"/>
        <v>ZU</v>
      </c>
      <c r="C878" s="83" t="s">
        <v>783</v>
      </c>
      <c r="D878" s="82" t="s">
        <v>1557</v>
      </c>
      <c r="E878" s="85">
        <v>70</v>
      </c>
      <c r="F878" s="85"/>
      <c r="G878" s="86"/>
      <c r="H878" s="86"/>
      <c r="I878" s="86"/>
      <c r="J878" s="86"/>
      <c r="K878" s="86"/>
      <c r="L878" s="86"/>
      <c r="M878" s="86"/>
      <c r="N878" s="86"/>
      <c r="O878" s="86"/>
      <c r="P878" s="87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  <c r="AD878" s="81"/>
      <c r="AE878" s="81"/>
      <c r="AF878" s="81"/>
      <c r="AG878" s="81"/>
      <c r="AH878" s="81"/>
      <c r="AI878" s="81"/>
      <c r="AJ878" s="81"/>
      <c r="AK878" s="81"/>
      <c r="AL878" s="81"/>
      <c r="AM878" s="81"/>
      <c r="AN878" s="81"/>
      <c r="AO878" s="81"/>
      <c r="AP878" s="81"/>
      <c r="AQ878" s="81"/>
      <c r="AR878" s="81"/>
    </row>
    <row r="879" spans="1:44" x14ac:dyDescent="0.4">
      <c r="A879" s="5" t="str">
        <f t="shared" si="55"/>
        <v>ZU-LA VICTORIA</v>
      </c>
      <c r="B879" s="5" t="str">
        <f t="shared" si="56"/>
        <v>ZU</v>
      </c>
      <c r="C879" s="83" t="s">
        <v>783</v>
      </c>
      <c r="D879" s="82" t="s">
        <v>870</v>
      </c>
      <c r="E879" s="85">
        <v>86</v>
      </c>
      <c r="F879" s="85"/>
      <c r="G879" s="86"/>
      <c r="H879" s="86"/>
      <c r="I879" s="86"/>
      <c r="J879" s="86"/>
      <c r="K879" s="86"/>
      <c r="L879" s="86"/>
      <c r="M879" s="86"/>
      <c r="N879" s="86"/>
      <c r="O879" s="86"/>
      <c r="P879" s="87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  <c r="AD879" s="81"/>
      <c r="AE879" s="81"/>
      <c r="AF879" s="81"/>
      <c r="AG879" s="81"/>
      <c r="AH879" s="81"/>
      <c r="AI879" s="81"/>
      <c r="AJ879" s="81"/>
      <c r="AK879" s="81"/>
      <c r="AL879" s="81"/>
      <c r="AM879" s="81"/>
      <c r="AN879" s="81"/>
      <c r="AO879" s="81"/>
      <c r="AP879" s="81"/>
      <c r="AQ879" s="81"/>
      <c r="AR879" s="81"/>
    </row>
    <row r="880" spans="1:44" x14ac:dyDescent="0.4">
      <c r="A880" s="5" t="str">
        <f t="shared" si="55"/>
        <v>ZU-LIBERTAD</v>
      </c>
      <c r="B880" s="5" t="str">
        <f t="shared" si="56"/>
        <v>ZU</v>
      </c>
      <c r="C880" s="83" t="s">
        <v>783</v>
      </c>
      <c r="D880" s="82" t="s">
        <v>914</v>
      </c>
      <c r="E880" s="85">
        <v>202</v>
      </c>
      <c r="F880" s="85"/>
      <c r="G880" s="86"/>
      <c r="H880" s="86"/>
      <c r="I880" s="86"/>
      <c r="J880" s="86"/>
      <c r="K880" s="86"/>
      <c r="L880" s="86"/>
      <c r="M880" s="86"/>
      <c r="N880" s="86"/>
      <c r="O880" s="86"/>
      <c r="P880" s="87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  <c r="AE880" s="81"/>
      <c r="AF880" s="81"/>
      <c r="AG880" s="81"/>
      <c r="AH880" s="81"/>
      <c r="AI880" s="81"/>
      <c r="AJ880" s="81"/>
      <c r="AK880" s="81"/>
      <c r="AL880" s="81"/>
      <c r="AM880" s="81"/>
      <c r="AN880" s="81"/>
      <c r="AO880" s="81"/>
      <c r="AP880" s="81"/>
      <c r="AQ880" s="81"/>
      <c r="AR880" s="81"/>
    </row>
    <row r="881" spans="1:44" x14ac:dyDescent="0.4">
      <c r="A881" s="5" t="str">
        <f t="shared" si="55"/>
        <v>ZU-LIBERTADOR</v>
      </c>
      <c r="B881" s="5" t="str">
        <f t="shared" si="56"/>
        <v>ZU</v>
      </c>
      <c r="C881" s="83" t="s">
        <v>783</v>
      </c>
      <c r="D881" s="82" t="s">
        <v>806</v>
      </c>
      <c r="E881" s="85">
        <v>133</v>
      </c>
      <c r="F881" s="85"/>
      <c r="G881" s="86"/>
      <c r="H881" s="86"/>
      <c r="I881" s="86"/>
      <c r="J881" s="86"/>
      <c r="K881" s="86"/>
      <c r="L881" s="86"/>
      <c r="M881" s="86"/>
      <c r="N881" s="86"/>
      <c r="O881" s="86"/>
      <c r="P881" s="87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  <c r="AD881" s="81"/>
      <c r="AE881" s="81"/>
      <c r="AF881" s="81"/>
      <c r="AG881" s="81"/>
      <c r="AH881" s="81"/>
      <c r="AI881" s="81"/>
      <c r="AJ881" s="81"/>
      <c r="AK881" s="81"/>
      <c r="AL881" s="81"/>
      <c r="AM881" s="81"/>
      <c r="AN881" s="81"/>
      <c r="AO881" s="81"/>
      <c r="AP881" s="81"/>
      <c r="AQ881" s="81"/>
      <c r="AR881" s="81"/>
    </row>
    <row r="882" spans="1:44" x14ac:dyDescent="0.4">
      <c r="A882" s="5" t="str">
        <f t="shared" si="55"/>
        <v>ZU-LUIS DE VICENTE</v>
      </c>
      <c r="B882" s="5" t="str">
        <f t="shared" si="56"/>
        <v>ZU</v>
      </c>
      <c r="C882" s="83" t="s">
        <v>783</v>
      </c>
      <c r="D882" s="82" t="s">
        <v>1558</v>
      </c>
      <c r="E882" s="85">
        <v>55</v>
      </c>
      <c r="F882" s="85"/>
      <c r="G882" s="86"/>
      <c r="H882" s="86"/>
      <c r="I882" s="86"/>
      <c r="J882" s="86"/>
      <c r="K882" s="86"/>
      <c r="L882" s="86"/>
      <c r="M882" s="86"/>
      <c r="N882" s="86"/>
      <c r="O882" s="86"/>
      <c r="P882" s="87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  <c r="AE882" s="81"/>
      <c r="AF882" s="81"/>
      <c r="AG882" s="81"/>
      <c r="AH882" s="81"/>
      <c r="AI882" s="81"/>
      <c r="AJ882" s="81"/>
      <c r="AK882" s="81"/>
      <c r="AL882" s="81"/>
      <c r="AM882" s="81"/>
      <c r="AN882" s="81"/>
      <c r="AO882" s="81"/>
      <c r="AP882" s="81"/>
      <c r="AQ882" s="81"/>
      <c r="AR882" s="81"/>
    </row>
    <row r="883" spans="1:44" x14ac:dyDescent="0.4">
      <c r="A883" s="5" t="str">
        <f t="shared" si="55"/>
        <v>ZU-LUIS HURTADO HIGUERA</v>
      </c>
      <c r="B883" s="5" t="str">
        <f t="shared" si="56"/>
        <v>ZU</v>
      </c>
      <c r="C883" s="83" t="s">
        <v>783</v>
      </c>
      <c r="D883" s="82" t="s">
        <v>1559</v>
      </c>
      <c r="E883" s="85">
        <v>68</v>
      </c>
      <c r="F883" s="85"/>
      <c r="G883" s="86"/>
      <c r="H883" s="86"/>
      <c r="I883" s="86"/>
      <c r="J883" s="86"/>
      <c r="K883" s="86"/>
      <c r="L883" s="86"/>
      <c r="M883" s="86"/>
      <c r="N883" s="86"/>
      <c r="O883" s="86"/>
      <c r="P883" s="87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  <c r="AE883" s="81"/>
      <c r="AF883" s="81"/>
      <c r="AG883" s="81"/>
      <c r="AH883" s="81"/>
      <c r="AI883" s="81"/>
      <c r="AJ883" s="81"/>
      <c r="AK883" s="81"/>
      <c r="AL883" s="81"/>
      <c r="AM883" s="81"/>
      <c r="AN883" s="81"/>
      <c r="AO883" s="81"/>
      <c r="AP883" s="81"/>
      <c r="AQ883" s="81"/>
      <c r="AR883" s="81"/>
    </row>
    <row r="884" spans="1:44" x14ac:dyDescent="0.4">
      <c r="A884" s="5" t="str">
        <f t="shared" si="55"/>
        <v>ZU-MANUEL DAGNINO</v>
      </c>
      <c r="B884" s="5" t="str">
        <f t="shared" si="56"/>
        <v>ZU</v>
      </c>
      <c r="C884" s="83" t="s">
        <v>783</v>
      </c>
      <c r="D884" s="82" t="s">
        <v>1560</v>
      </c>
      <c r="E884" s="85">
        <v>121</v>
      </c>
      <c r="F884" s="85"/>
      <c r="G884" s="86"/>
      <c r="H884" s="86"/>
      <c r="I884" s="86"/>
      <c r="J884" s="86"/>
      <c r="K884" s="86"/>
      <c r="L884" s="86"/>
      <c r="M884" s="86"/>
      <c r="N884" s="86"/>
      <c r="O884" s="86"/>
      <c r="P884" s="87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  <c r="AD884" s="81"/>
      <c r="AE884" s="81"/>
      <c r="AF884" s="81"/>
      <c r="AG884" s="81"/>
      <c r="AH884" s="81"/>
      <c r="AI884" s="81"/>
      <c r="AJ884" s="81"/>
      <c r="AK884" s="81"/>
      <c r="AL884" s="81"/>
      <c r="AM884" s="81"/>
      <c r="AN884" s="81"/>
      <c r="AO884" s="81"/>
      <c r="AP884" s="81"/>
      <c r="AQ884" s="81"/>
      <c r="AR884" s="81"/>
    </row>
    <row r="885" spans="1:44" x14ac:dyDescent="0.4">
      <c r="A885" s="5" t="str">
        <f t="shared" si="55"/>
        <v>ZU-MANUEL MANRIQUE</v>
      </c>
      <c r="B885" s="5" t="str">
        <f t="shared" si="56"/>
        <v>ZU</v>
      </c>
      <c r="C885" s="83" t="s">
        <v>783</v>
      </c>
      <c r="D885" s="82" t="s">
        <v>1561</v>
      </c>
      <c r="E885" s="85">
        <v>46</v>
      </c>
      <c r="F885" s="85"/>
      <c r="G885" s="86"/>
      <c r="H885" s="86"/>
      <c r="I885" s="86"/>
      <c r="J885" s="86"/>
      <c r="K885" s="86"/>
      <c r="L885" s="86"/>
      <c r="M885" s="86"/>
      <c r="N885" s="86"/>
      <c r="O885" s="86"/>
      <c r="P885" s="87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  <c r="AD885" s="81"/>
      <c r="AE885" s="81"/>
      <c r="AF885" s="81"/>
      <c r="AG885" s="81"/>
      <c r="AH885" s="81"/>
      <c r="AI885" s="81"/>
      <c r="AJ885" s="81"/>
      <c r="AK885" s="81"/>
      <c r="AL885" s="81"/>
      <c r="AM885" s="81"/>
      <c r="AN885" s="81"/>
      <c r="AO885" s="81"/>
      <c r="AP885" s="81"/>
      <c r="AQ885" s="81"/>
      <c r="AR885" s="81"/>
    </row>
    <row r="886" spans="1:44" x14ac:dyDescent="0.4">
      <c r="A886" s="5" t="str">
        <f t="shared" si="55"/>
        <v>ZU-MARCELINA BRICEÑO</v>
      </c>
      <c r="B886" s="5" t="str">
        <f t="shared" si="56"/>
        <v>ZU</v>
      </c>
      <c r="C886" s="83" t="s">
        <v>783</v>
      </c>
      <c r="D886" s="82" t="s">
        <v>1562</v>
      </c>
      <c r="E886" s="85">
        <v>27</v>
      </c>
      <c r="F886" s="85"/>
      <c r="G886" s="86"/>
      <c r="H886" s="86"/>
      <c r="I886" s="86"/>
      <c r="J886" s="86"/>
      <c r="K886" s="86"/>
      <c r="L886" s="86"/>
      <c r="M886" s="86"/>
      <c r="N886" s="86"/>
      <c r="O886" s="86"/>
      <c r="P886" s="87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  <c r="AD886" s="81"/>
      <c r="AE886" s="81"/>
      <c r="AF886" s="81"/>
      <c r="AG886" s="81"/>
      <c r="AH886" s="81"/>
      <c r="AI886" s="81"/>
      <c r="AJ886" s="81"/>
      <c r="AK886" s="81"/>
      <c r="AL886" s="81"/>
      <c r="AM886" s="81"/>
      <c r="AN886" s="81"/>
      <c r="AO886" s="81"/>
      <c r="AP886" s="81"/>
      <c r="AQ886" s="81"/>
      <c r="AR886" s="81"/>
    </row>
    <row r="887" spans="1:44" x14ac:dyDescent="0.4">
      <c r="A887" s="5" t="str">
        <f t="shared" si="55"/>
        <v>ZU-MARCIAL HERNANDEZ</v>
      </c>
      <c r="B887" s="5" t="str">
        <f t="shared" si="56"/>
        <v>ZU</v>
      </c>
      <c r="C887" s="83" t="s">
        <v>783</v>
      </c>
      <c r="D887" s="82" t="s">
        <v>1563</v>
      </c>
      <c r="E887" s="85">
        <v>26</v>
      </c>
      <c r="F887" s="85"/>
      <c r="G887" s="86"/>
      <c r="H887" s="86"/>
      <c r="I887" s="86"/>
      <c r="J887" s="86"/>
      <c r="K887" s="86"/>
      <c r="L887" s="86"/>
      <c r="M887" s="86"/>
      <c r="N887" s="86"/>
      <c r="O887" s="86"/>
      <c r="P887" s="87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  <c r="AD887" s="81"/>
      <c r="AE887" s="81"/>
      <c r="AF887" s="81"/>
      <c r="AG887" s="81"/>
      <c r="AH887" s="81"/>
      <c r="AI887" s="81"/>
      <c r="AJ887" s="81"/>
      <c r="AK887" s="81"/>
      <c r="AL887" s="81"/>
      <c r="AM887" s="81"/>
      <c r="AN887" s="81"/>
      <c r="AO887" s="81"/>
      <c r="AP887" s="81"/>
      <c r="AQ887" s="81"/>
      <c r="AR887" s="81"/>
    </row>
    <row r="888" spans="1:44" x14ac:dyDescent="0.4">
      <c r="A888" s="5" t="str">
        <f t="shared" si="55"/>
        <v>ZU-MONAGAS</v>
      </c>
      <c r="B888" s="5" t="str">
        <f t="shared" si="56"/>
        <v>ZU</v>
      </c>
      <c r="C888" s="83" t="s">
        <v>783</v>
      </c>
      <c r="D888" s="82" t="s">
        <v>1564</v>
      </c>
      <c r="E888" s="85">
        <v>3</v>
      </c>
      <c r="F888" s="85"/>
      <c r="G888" s="86"/>
      <c r="H888" s="86"/>
      <c r="I888" s="86"/>
      <c r="J888" s="86"/>
      <c r="K888" s="86"/>
      <c r="L888" s="86"/>
      <c r="M888" s="86"/>
      <c r="N888" s="86"/>
      <c r="O888" s="86"/>
      <c r="P888" s="87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  <c r="AD888" s="81"/>
      <c r="AE888" s="81"/>
      <c r="AF888" s="81"/>
      <c r="AG888" s="81"/>
      <c r="AH888" s="81"/>
      <c r="AI888" s="81"/>
      <c r="AJ888" s="81"/>
      <c r="AK888" s="81"/>
      <c r="AL888" s="81"/>
      <c r="AM888" s="81"/>
      <c r="AN888" s="81"/>
      <c r="AO888" s="81"/>
      <c r="AP888" s="81"/>
      <c r="AQ888" s="81"/>
      <c r="AR888" s="81"/>
    </row>
    <row r="889" spans="1:44" x14ac:dyDescent="0.4">
      <c r="A889" s="5" t="str">
        <f t="shared" si="55"/>
        <v>ZU-MONSEÑOR ALVAREZ</v>
      </c>
      <c r="B889" s="5" t="str">
        <f t="shared" si="56"/>
        <v>ZU</v>
      </c>
      <c r="C889" s="83" t="s">
        <v>783</v>
      </c>
      <c r="D889" s="82" t="s">
        <v>1565</v>
      </c>
      <c r="E889" s="85">
        <v>6</v>
      </c>
      <c r="F889" s="85"/>
      <c r="G889" s="86"/>
      <c r="H889" s="86"/>
      <c r="I889" s="86"/>
      <c r="J889" s="86"/>
      <c r="K889" s="86"/>
      <c r="L889" s="86"/>
      <c r="M889" s="86"/>
      <c r="N889" s="86"/>
      <c r="O889" s="86"/>
      <c r="P889" s="87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  <c r="AD889" s="81"/>
      <c r="AE889" s="81"/>
      <c r="AF889" s="81"/>
      <c r="AG889" s="81"/>
      <c r="AH889" s="81"/>
      <c r="AI889" s="81"/>
      <c r="AJ889" s="81"/>
      <c r="AK889" s="81"/>
      <c r="AL889" s="81"/>
      <c r="AM889" s="81"/>
      <c r="AN889" s="81"/>
      <c r="AO889" s="81"/>
      <c r="AP889" s="81"/>
      <c r="AQ889" s="81"/>
      <c r="AR889" s="81"/>
    </row>
    <row r="890" spans="1:44" x14ac:dyDescent="0.4">
      <c r="A890" s="5" t="str">
        <f t="shared" ref="A890:A919" si="57">+B890&amp;"-"&amp;D890</f>
        <v>ZU-MONSEÑOR MARCOS GODOY</v>
      </c>
      <c r="B890" s="5" t="str">
        <f t="shared" ref="B890:B919" si="58">+MID(C890,1,2)</f>
        <v>ZU</v>
      </c>
      <c r="C890" s="83" t="s">
        <v>783</v>
      </c>
      <c r="D890" s="82" t="s">
        <v>1566</v>
      </c>
      <c r="E890" s="85">
        <v>8</v>
      </c>
      <c r="F890" s="85"/>
      <c r="G890" s="86"/>
      <c r="H890" s="86"/>
      <c r="I890" s="86"/>
      <c r="J890" s="86"/>
      <c r="K890" s="86"/>
      <c r="L890" s="86"/>
      <c r="M890" s="86"/>
      <c r="N890" s="86"/>
      <c r="O890" s="86"/>
      <c r="P890" s="87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  <c r="AD890" s="81"/>
      <c r="AE890" s="81"/>
      <c r="AF890" s="81"/>
      <c r="AG890" s="81"/>
      <c r="AH890" s="81"/>
      <c r="AI890" s="81"/>
      <c r="AJ890" s="81"/>
      <c r="AK890" s="81"/>
      <c r="AL890" s="81"/>
      <c r="AM890" s="81"/>
      <c r="AN890" s="81"/>
      <c r="AO890" s="81"/>
      <c r="AP890" s="81"/>
      <c r="AQ890" s="81"/>
      <c r="AR890" s="81"/>
    </row>
    <row r="891" spans="1:44" x14ac:dyDescent="0.4">
      <c r="A891" s="5" t="str">
        <f t="shared" si="57"/>
        <v>ZU-MORALITO</v>
      </c>
      <c r="B891" s="5" t="str">
        <f t="shared" si="58"/>
        <v>ZU</v>
      </c>
      <c r="C891" s="83" t="s">
        <v>783</v>
      </c>
      <c r="D891" s="82" t="s">
        <v>1567</v>
      </c>
      <c r="E891" s="85">
        <v>50</v>
      </c>
      <c r="F891" s="85"/>
      <c r="G891" s="86"/>
      <c r="H891" s="86"/>
      <c r="I891" s="86"/>
      <c r="J891" s="86"/>
      <c r="K891" s="86"/>
      <c r="L891" s="86"/>
      <c r="M891" s="86"/>
      <c r="N891" s="86"/>
      <c r="O891" s="86"/>
      <c r="P891" s="87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  <c r="AD891" s="81"/>
      <c r="AE891" s="81"/>
      <c r="AF891" s="81"/>
      <c r="AG891" s="81"/>
      <c r="AH891" s="81"/>
      <c r="AI891" s="81"/>
      <c r="AJ891" s="81"/>
      <c r="AK891" s="81"/>
      <c r="AL891" s="81"/>
      <c r="AM891" s="81"/>
      <c r="AN891" s="81"/>
      <c r="AO891" s="81"/>
      <c r="AP891" s="81"/>
      <c r="AQ891" s="81"/>
      <c r="AR891" s="81"/>
    </row>
    <row r="892" spans="1:44" x14ac:dyDescent="0.4">
      <c r="A892" s="5" t="str">
        <f t="shared" si="57"/>
        <v>ZU-OLEGARIO VILLALOBOS</v>
      </c>
      <c r="B892" s="5" t="str">
        <f t="shared" si="58"/>
        <v>ZU</v>
      </c>
      <c r="C892" s="83" t="s">
        <v>783</v>
      </c>
      <c r="D892" s="82" t="s">
        <v>1568</v>
      </c>
      <c r="E892" s="85">
        <v>561</v>
      </c>
      <c r="F892" s="85"/>
      <c r="G892" s="86"/>
      <c r="H892" s="86"/>
      <c r="I892" s="86"/>
      <c r="J892" s="86"/>
      <c r="K892" s="86"/>
      <c r="L892" s="86"/>
      <c r="M892" s="86"/>
      <c r="N892" s="86"/>
      <c r="O892" s="86"/>
      <c r="P892" s="87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  <c r="AD892" s="81"/>
      <c r="AE892" s="81"/>
      <c r="AF892" s="81"/>
      <c r="AG892" s="81"/>
      <c r="AH892" s="81"/>
      <c r="AI892" s="81"/>
      <c r="AJ892" s="81"/>
      <c r="AK892" s="81"/>
      <c r="AL892" s="81"/>
      <c r="AM892" s="81"/>
      <c r="AN892" s="81"/>
      <c r="AO892" s="81"/>
      <c r="AP892" s="81"/>
      <c r="AQ892" s="81"/>
      <c r="AR892" s="81"/>
    </row>
    <row r="893" spans="1:44" x14ac:dyDescent="0.4">
      <c r="A893" s="5" t="str">
        <f t="shared" si="57"/>
        <v>ZU-PADILLA (ISLA DE TOAS)</v>
      </c>
      <c r="B893" s="5" t="str">
        <f t="shared" si="58"/>
        <v>ZU</v>
      </c>
      <c r="C893" s="83" t="s">
        <v>783</v>
      </c>
      <c r="D893" s="82" t="s">
        <v>1569</v>
      </c>
      <c r="E893" s="85">
        <v>25</v>
      </c>
      <c r="F893" s="85"/>
      <c r="G893" s="86"/>
      <c r="H893" s="86"/>
      <c r="I893" s="86"/>
      <c r="J893" s="86"/>
      <c r="K893" s="86"/>
      <c r="L893" s="86"/>
      <c r="M893" s="86"/>
      <c r="N893" s="86"/>
      <c r="O893" s="86"/>
      <c r="P893" s="87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  <c r="AD893" s="81"/>
      <c r="AE893" s="81"/>
      <c r="AF893" s="81"/>
      <c r="AG893" s="81"/>
      <c r="AH893" s="81"/>
      <c r="AI893" s="81"/>
      <c r="AJ893" s="81"/>
      <c r="AK893" s="81"/>
      <c r="AL893" s="81"/>
      <c r="AM893" s="81"/>
      <c r="AN893" s="81"/>
      <c r="AO893" s="81"/>
      <c r="AP893" s="81"/>
      <c r="AQ893" s="81"/>
      <c r="AR893" s="81"/>
    </row>
    <row r="894" spans="1:44" x14ac:dyDescent="0.4">
      <c r="A894" s="5" t="str">
        <f t="shared" si="57"/>
        <v>ZU-PEDRO LUCAS URRIBARRI</v>
      </c>
      <c r="B894" s="5" t="str">
        <f t="shared" si="58"/>
        <v>ZU</v>
      </c>
      <c r="C894" s="83" t="s">
        <v>783</v>
      </c>
      <c r="D894" s="82" t="s">
        <v>1570</v>
      </c>
      <c r="E894" s="85">
        <v>2</v>
      </c>
      <c r="F894" s="85"/>
      <c r="G894" s="86"/>
      <c r="H894" s="86"/>
      <c r="I894" s="86"/>
      <c r="J894" s="86"/>
      <c r="K894" s="86"/>
      <c r="L894" s="86"/>
      <c r="M894" s="86"/>
      <c r="N894" s="86"/>
      <c r="O894" s="86"/>
      <c r="P894" s="87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  <c r="AD894" s="81"/>
      <c r="AE894" s="81"/>
      <c r="AF894" s="81"/>
      <c r="AG894" s="81"/>
      <c r="AH894" s="81"/>
      <c r="AI894" s="81"/>
      <c r="AJ894" s="81"/>
      <c r="AK894" s="81"/>
      <c r="AL894" s="81"/>
      <c r="AM894" s="81"/>
      <c r="AN894" s="81"/>
      <c r="AO894" s="81"/>
      <c r="AP894" s="81"/>
      <c r="AQ894" s="81"/>
      <c r="AR894" s="81"/>
    </row>
    <row r="895" spans="1:44" x14ac:dyDescent="0.4">
      <c r="A895" s="5" t="str">
        <f t="shared" si="57"/>
        <v>ZU-POTRERITOS</v>
      </c>
      <c r="B895" s="5" t="str">
        <f t="shared" si="58"/>
        <v>ZU</v>
      </c>
      <c r="C895" s="83" t="s">
        <v>783</v>
      </c>
      <c r="D895" s="82" t="s">
        <v>1571</v>
      </c>
      <c r="E895" s="85">
        <v>12</v>
      </c>
      <c r="F895" s="85"/>
      <c r="G895" s="86"/>
      <c r="H895" s="86"/>
      <c r="I895" s="86"/>
      <c r="J895" s="86"/>
      <c r="K895" s="86"/>
      <c r="L895" s="86"/>
      <c r="M895" s="86"/>
      <c r="N895" s="86"/>
      <c r="O895" s="86"/>
      <c r="P895" s="87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  <c r="AD895" s="81"/>
      <c r="AE895" s="81"/>
      <c r="AF895" s="81"/>
      <c r="AG895" s="81"/>
      <c r="AH895" s="81"/>
      <c r="AI895" s="81"/>
      <c r="AJ895" s="81"/>
      <c r="AK895" s="81"/>
      <c r="AL895" s="81"/>
      <c r="AM895" s="81"/>
      <c r="AN895" s="81"/>
      <c r="AO895" s="81"/>
      <c r="AP895" s="81"/>
      <c r="AQ895" s="81"/>
      <c r="AR895" s="81"/>
    </row>
    <row r="896" spans="1:44" x14ac:dyDescent="0.4">
      <c r="A896" s="5" t="str">
        <f t="shared" si="57"/>
        <v>ZU-PUNTA GORDA</v>
      </c>
      <c r="B896" s="5" t="str">
        <f t="shared" si="58"/>
        <v>ZU</v>
      </c>
      <c r="C896" s="83" t="s">
        <v>783</v>
      </c>
      <c r="D896" s="82" t="s">
        <v>1572</v>
      </c>
      <c r="E896" s="85">
        <v>18</v>
      </c>
      <c r="F896" s="85"/>
      <c r="G896" s="86"/>
      <c r="H896" s="86"/>
      <c r="I896" s="86"/>
      <c r="J896" s="86"/>
      <c r="K896" s="86"/>
      <c r="L896" s="86"/>
      <c r="M896" s="86"/>
      <c r="N896" s="86"/>
      <c r="O896" s="86"/>
      <c r="P896" s="87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  <c r="AD896" s="81"/>
      <c r="AE896" s="81"/>
      <c r="AF896" s="81"/>
      <c r="AG896" s="81"/>
      <c r="AH896" s="81"/>
      <c r="AI896" s="81"/>
      <c r="AJ896" s="81"/>
      <c r="AK896" s="81"/>
      <c r="AL896" s="81"/>
      <c r="AM896" s="81"/>
      <c r="AN896" s="81"/>
      <c r="AO896" s="81"/>
      <c r="AP896" s="81"/>
      <c r="AQ896" s="81"/>
      <c r="AR896" s="81"/>
    </row>
    <row r="897" spans="1:44" x14ac:dyDescent="0.4">
      <c r="A897" s="5" t="str">
        <f t="shared" si="57"/>
        <v>ZU-RAFAEL URDANETA</v>
      </c>
      <c r="B897" s="5" t="str">
        <f t="shared" si="58"/>
        <v>ZU</v>
      </c>
      <c r="C897" s="83" t="s">
        <v>783</v>
      </c>
      <c r="D897" s="82" t="s">
        <v>978</v>
      </c>
      <c r="E897" s="85">
        <v>15</v>
      </c>
      <c r="F897" s="85"/>
      <c r="G897" s="86"/>
      <c r="H897" s="86"/>
      <c r="I897" s="86"/>
      <c r="J897" s="86"/>
      <c r="K897" s="86"/>
      <c r="L897" s="86"/>
      <c r="M897" s="86"/>
      <c r="N897" s="86"/>
      <c r="O897" s="86"/>
      <c r="P897" s="87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  <c r="AD897" s="81"/>
      <c r="AE897" s="81"/>
      <c r="AF897" s="81"/>
      <c r="AG897" s="81"/>
      <c r="AH897" s="81"/>
      <c r="AI897" s="81"/>
      <c r="AJ897" s="81"/>
      <c r="AK897" s="81"/>
      <c r="AL897" s="81"/>
      <c r="AM897" s="81"/>
      <c r="AN897" s="81"/>
      <c r="AO897" s="81"/>
      <c r="AP897" s="81"/>
      <c r="AQ897" s="81"/>
      <c r="AR897" s="81"/>
    </row>
    <row r="898" spans="1:44" x14ac:dyDescent="0.4">
      <c r="A898" s="5" t="str">
        <f t="shared" si="57"/>
        <v>ZU-RAUL CUENCA</v>
      </c>
      <c r="B898" s="5" t="str">
        <f t="shared" si="58"/>
        <v>ZU</v>
      </c>
      <c r="C898" s="83" t="s">
        <v>783</v>
      </c>
      <c r="D898" s="82" t="s">
        <v>1573</v>
      </c>
      <c r="E898" s="85">
        <v>27</v>
      </c>
      <c r="F898" s="85"/>
      <c r="G898" s="86"/>
      <c r="H898" s="86"/>
      <c r="I898" s="86"/>
      <c r="J898" s="86"/>
      <c r="K898" s="86"/>
      <c r="L898" s="86"/>
      <c r="M898" s="86"/>
      <c r="N898" s="86"/>
      <c r="O898" s="86"/>
      <c r="P898" s="87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  <c r="AD898" s="81"/>
      <c r="AE898" s="81"/>
      <c r="AF898" s="81"/>
      <c r="AG898" s="81"/>
      <c r="AH898" s="81"/>
      <c r="AI898" s="81"/>
      <c r="AJ898" s="81"/>
      <c r="AK898" s="81"/>
      <c r="AL898" s="81"/>
      <c r="AM898" s="81"/>
      <c r="AN898" s="81"/>
      <c r="AO898" s="81"/>
      <c r="AP898" s="81"/>
      <c r="AQ898" s="81"/>
      <c r="AR898" s="81"/>
    </row>
    <row r="899" spans="1:44" x14ac:dyDescent="0.4">
      <c r="A899" s="5" t="str">
        <f t="shared" si="57"/>
        <v>ZU-RAUL LEONI</v>
      </c>
      <c r="B899" s="5" t="str">
        <f t="shared" si="58"/>
        <v>ZU</v>
      </c>
      <c r="C899" s="83" t="s">
        <v>783</v>
      </c>
      <c r="D899" s="82" t="s">
        <v>945</v>
      </c>
      <c r="E899" s="85">
        <v>343</v>
      </c>
      <c r="F899" s="85"/>
      <c r="G899" s="86"/>
      <c r="H899" s="86"/>
      <c r="I899" s="86"/>
      <c r="J899" s="86"/>
      <c r="K899" s="86"/>
      <c r="L899" s="86"/>
      <c r="M899" s="86"/>
      <c r="N899" s="86"/>
      <c r="O899" s="86"/>
      <c r="P899" s="87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  <c r="AD899" s="81"/>
      <c r="AE899" s="81"/>
      <c r="AF899" s="81"/>
      <c r="AG899" s="81"/>
      <c r="AH899" s="81"/>
      <c r="AI899" s="81"/>
      <c r="AJ899" s="81"/>
      <c r="AK899" s="81"/>
      <c r="AL899" s="81"/>
      <c r="AM899" s="81"/>
      <c r="AN899" s="81"/>
      <c r="AO899" s="81"/>
      <c r="AP899" s="81"/>
      <c r="AQ899" s="81"/>
      <c r="AR899" s="81"/>
    </row>
    <row r="900" spans="1:44" x14ac:dyDescent="0.4">
      <c r="A900" s="5" t="str">
        <f t="shared" si="57"/>
        <v>ZU-RICAURTE</v>
      </c>
      <c r="B900" s="5" t="str">
        <f t="shared" si="58"/>
        <v>ZU</v>
      </c>
      <c r="C900" s="83" t="s">
        <v>783</v>
      </c>
      <c r="D900" s="82" t="s">
        <v>1574</v>
      </c>
      <c r="E900" s="85">
        <v>381</v>
      </c>
      <c r="F900" s="85"/>
      <c r="G900" s="86"/>
      <c r="H900" s="86"/>
      <c r="I900" s="86"/>
      <c r="J900" s="86"/>
      <c r="K900" s="86"/>
      <c r="L900" s="86"/>
      <c r="M900" s="86"/>
      <c r="N900" s="86"/>
      <c r="O900" s="86"/>
      <c r="P900" s="87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  <c r="AD900" s="81"/>
      <c r="AE900" s="81"/>
      <c r="AF900" s="81"/>
      <c r="AG900" s="81"/>
      <c r="AH900" s="81"/>
      <c r="AI900" s="81"/>
      <c r="AJ900" s="81"/>
      <c r="AK900" s="81"/>
      <c r="AL900" s="81"/>
      <c r="AM900" s="81"/>
      <c r="AN900" s="81"/>
      <c r="AO900" s="81"/>
      <c r="AP900" s="81"/>
      <c r="AQ900" s="81"/>
      <c r="AR900" s="81"/>
    </row>
    <row r="901" spans="1:44" x14ac:dyDescent="0.4">
      <c r="A901" s="5" t="str">
        <f t="shared" si="57"/>
        <v>ZU-ROMULO GALLEGOS</v>
      </c>
      <c r="B901" s="5" t="str">
        <f t="shared" si="58"/>
        <v>ZU</v>
      </c>
      <c r="C901" s="83" t="s">
        <v>783</v>
      </c>
      <c r="D901" s="82" t="s">
        <v>995</v>
      </c>
      <c r="E901" s="85">
        <v>154</v>
      </c>
      <c r="F901" s="85"/>
      <c r="G901" s="86"/>
      <c r="H901" s="86"/>
      <c r="I901" s="86"/>
      <c r="J901" s="86"/>
      <c r="K901" s="86"/>
      <c r="L901" s="86"/>
      <c r="M901" s="86"/>
      <c r="N901" s="86"/>
      <c r="O901" s="86"/>
      <c r="P901" s="87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  <c r="AD901" s="81"/>
      <c r="AE901" s="81"/>
      <c r="AF901" s="81"/>
      <c r="AG901" s="81"/>
      <c r="AH901" s="81"/>
      <c r="AI901" s="81"/>
      <c r="AJ901" s="81"/>
      <c r="AK901" s="81"/>
      <c r="AL901" s="81"/>
      <c r="AM901" s="81"/>
      <c r="AN901" s="81"/>
      <c r="AO901" s="81"/>
      <c r="AP901" s="81"/>
      <c r="AQ901" s="81"/>
      <c r="AR901" s="81"/>
    </row>
    <row r="902" spans="1:44" x14ac:dyDescent="0.4">
      <c r="A902" s="5" t="str">
        <f t="shared" si="57"/>
        <v>ZU-ROSARIO</v>
      </c>
      <c r="B902" s="5" t="str">
        <f t="shared" si="58"/>
        <v>ZU</v>
      </c>
      <c r="C902" s="83" t="s">
        <v>783</v>
      </c>
      <c r="D902" s="82" t="s">
        <v>1575</v>
      </c>
      <c r="E902" s="85">
        <v>190</v>
      </c>
      <c r="F902" s="85"/>
      <c r="G902" s="86"/>
      <c r="H902" s="86"/>
      <c r="I902" s="86"/>
      <c r="J902" s="86"/>
      <c r="K902" s="86"/>
      <c r="L902" s="86"/>
      <c r="M902" s="86"/>
      <c r="N902" s="86"/>
      <c r="O902" s="86"/>
      <c r="P902" s="87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  <c r="AD902" s="81"/>
      <c r="AE902" s="81"/>
      <c r="AF902" s="81"/>
      <c r="AG902" s="81"/>
      <c r="AH902" s="81"/>
      <c r="AI902" s="81"/>
      <c r="AJ902" s="81"/>
      <c r="AK902" s="81"/>
      <c r="AL902" s="81"/>
      <c r="AM902" s="81"/>
      <c r="AN902" s="81"/>
      <c r="AO902" s="81"/>
      <c r="AP902" s="81"/>
      <c r="AQ902" s="81"/>
      <c r="AR902" s="81"/>
    </row>
    <row r="903" spans="1:44" x14ac:dyDescent="0.4">
      <c r="A903" s="5" t="str">
        <f t="shared" si="57"/>
        <v>ZU-SAN ANTONIO</v>
      </c>
      <c r="B903" s="5" t="str">
        <f t="shared" si="58"/>
        <v>ZU</v>
      </c>
      <c r="C903" s="83" t="s">
        <v>783</v>
      </c>
      <c r="D903" s="82" t="s">
        <v>925</v>
      </c>
      <c r="E903" s="85">
        <v>21</v>
      </c>
      <c r="F903" s="85"/>
      <c r="G903" s="86"/>
      <c r="H903" s="86"/>
      <c r="I903" s="86"/>
      <c r="J903" s="86"/>
      <c r="K903" s="86"/>
      <c r="L903" s="86"/>
      <c r="M903" s="86"/>
      <c r="N903" s="86"/>
      <c r="O903" s="86"/>
      <c r="P903" s="87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  <c r="AD903" s="81"/>
      <c r="AE903" s="81"/>
      <c r="AF903" s="81"/>
      <c r="AG903" s="81"/>
      <c r="AH903" s="81"/>
      <c r="AI903" s="81"/>
      <c r="AJ903" s="81"/>
      <c r="AK903" s="81"/>
      <c r="AL903" s="81"/>
      <c r="AM903" s="81"/>
      <c r="AN903" s="81"/>
      <c r="AO903" s="81"/>
      <c r="AP903" s="81"/>
      <c r="AQ903" s="81"/>
      <c r="AR903" s="81"/>
    </row>
    <row r="904" spans="1:44" x14ac:dyDescent="0.4">
      <c r="A904" s="5" t="str">
        <f t="shared" si="57"/>
        <v>ZU-SAN CARLOS DE ZULIA</v>
      </c>
      <c r="B904" s="5" t="str">
        <f t="shared" si="58"/>
        <v>ZU</v>
      </c>
      <c r="C904" s="83" t="s">
        <v>783</v>
      </c>
      <c r="D904" s="82" t="s">
        <v>1576</v>
      </c>
      <c r="E904" s="85">
        <v>304</v>
      </c>
      <c r="F904" s="85"/>
      <c r="G904" s="86"/>
      <c r="H904" s="86"/>
      <c r="I904" s="86"/>
      <c r="J904" s="86"/>
      <c r="K904" s="86"/>
      <c r="L904" s="86"/>
      <c r="M904" s="86"/>
      <c r="N904" s="86"/>
      <c r="O904" s="86"/>
      <c r="P904" s="87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  <c r="AD904" s="81"/>
      <c r="AE904" s="81"/>
      <c r="AF904" s="81"/>
      <c r="AG904" s="81"/>
      <c r="AH904" s="81"/>
      <c r="AI904" s="81"/>
      <c r="AJ904" s="81"/>
      <c r="AK904" s="81"/>
      <c r="AL904" s="81"/>
      <c r="AM904" s="81"/>
      <c r="AN904" s="81"/>
      <c r="AO904" s="81"/>
      <c r="AP904" s="81"/>
      <c r="AQ904" s="81"/>
      <c r="AR904" s="81"/>
    </row>
    <row r="905" spans="1:44" x14ac:dyDescent="0.4">
      <c r="A905" s="5" t="str">
        <f t="shared" si="57"/>
        <v>ZU-SAN FRANCISCO</v>
      </c>
      <c r="B905" s="5" t="str">
        <f t="shared" si="58"/>
        <v>ZU</v>
      </c>
      <c r="C905" s="83" t="s">
        <v>783</v>
      </c>
      <c r="D905" s="82" t="s">
        <v>1073</v>
      </c>
      <c r="E905" s="85">
        <v>561</v>
      </c>
      <c r="F905" s="85"/>
      <c r="G905" s="86"/>
      <c r="H905" s="86"/>
      <c r="I905" s="86"/>
      <c r="J905" s="86"/>
      <c r="K905" s="86"/>
      <c r="L905" s="86"/>
      <c r="M905" s="86"/>
      <c r="N905" s="86"/>
      <c r="O905" s="86"/>
      <c r="P905" s="87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  <c r="AD905" s="81"/>
      <c r="AE905" s="81"/>
      <c r="AF905" s="81"/>
      <c r="AG905" s="81"/>
      <c r="AH905" s="81"/>
      <c r="AI905" s="81"/>
      <c r="AJ905" s="81"/>
      <c r="AK905" s="81"/>
      <c r="AL905" s="81"/>
      <c r="AM905" s="81"/>
      <c r="AN905" s="81"/>
      <c r="AO905" s="81"/>
      <c r="AP905" s="81"/>
      <c r="AQ905" s="81"/>
      <c r="AR905" s="81"/>
    </row>
    <row r="906" spans="1:44" x14ac:dyDescent="0.4">
      <c r="A906" s="5" t="str">
        <f t="shared" si="57"/>
        <v>ZU-SAN JOSE</v>
      </c>
      <c r="B906" s="5" t="str">
        <f t="shared" si="58"/>
        <v>ZU</v>
      </c>
      <c r="C906" s="83" t="s">
        <v>783</v>
      </c>
      <c r="D906" s="82" t="s">
        <v>981</v>
      </c>
      <c r="E906" s="85">
        <v>62</v>
      </c>
      <c r="F906" s="85"/>
      <c r="G906" s="86"/>
      <c r="H906" s="86"/>
      <c r="I906" s="86"/>
      <c r="J906" s="86"/>
      <c r="K906" s="86"/>
      <c r="L906" s="86"/>
      <c r="M906" s="86"/>
      <c r="N906" s="86"/>
      <c r="O906" s="86"/>
      <c r="P906" s="87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  <c r="AE906" s="81"/>
      <c r="AF906" s="81"/>
      <c r="AG906" s="81"/>
      <c r="AH906" s="81"/>
      <c r="AI906" s="81"/>
      <c r="AJ906" s="81"/>
      <c r="AK906" s="81"/>
      <c r="AL906" s="81"/>
      <c r="AM906" s="81"/>
      <c r="AN906" s="81"/>
      <c r="AO906" s="81"/>
      <c r="AP906" s="81"/>
      <c r="AQ906" s="81"/>
      <c r="AR906" s="81"/>
    </row>
    <row r="907" spans="1:44" x14ac:dyDescent="0.4">
      <c r="A907" s="5" t="str">
        <f t="shared" si="57"/>
        <v>ZU-SAN JOSE</v>
      </c>
      <c r="B907" s="5" t="str">
        <f t="shared" si="58"/>
        <v>ZU</v>
      </c>
      <c r="C907" s="83" t="s">
        <v>783</v>
      </c>
      <c r="D907" s="82" t="s">
        <v>981</v>
      </c>
      <c r="E907" s="85">
        <v>27</v>
      </c>
      <c r="F907" s="85"/>
      <c r="G907" s="86"/>
      <c r="H907" s="86"/>
      <c r="I907" s="86"/>
      <c r="J907" s="86"/>
      <c r="K907" s="86"/>
      <c r="L907" s="86"/>
      <c r="M907" s="86"/>
      <c r="N907" s="86"/>
      <c r="O907" s="86"/>
      <c r="P907" s="87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  <c r="AE907" s="81"/>
      <c r="AF907" s="81"/>
      <c r="AG907" s="81"/>
      <c r="AH907" s="81"/>
      <c r="AI907" s="81"/>
      <c r="AJ907" s="81"/>
      <c r="AK907" s="81"/>
      <c r="AL907" s="81"/>
      <c r="AM907" s="81"/>
      <c r="AN907" s="81"/>
      <c r="AO907" s="81"/>
      <c r="AP907" s="81"/>
      <c r="AQ907" s="81"/>
      <c r="AR907" s="81"/>
    </row>
    <row r="908" spans="1:44" x14ac:dyDescent="0.4">
      <c r="A908" s="5" t="str">
        <f t="shared" si="57"/>
        <v>ZU-SAN RAFAEL</v>
      </c>
      <c r="B908" s="5" t="str">
        <f t="shared" si="58"/>
        <v>ZU</v>
      </c>
      <c r="C908" s="83" t="s">
        <v>783</v>
      </c>
      <c r="D908" s="82" t="s">
        <v>1226</v>
      </c>
      <c r="E908" s="85">
        <v>135</v>
      </c>
      <c r="F908" s="85"/>
      <c r="G908" s="86"/>
      <c r="H908" s="86"/>
      <c r="I908" s="86"/>
      <c r="J908" s="86"/>
      <c r="K908" s="86"/>
      <c r="L908" s="86"/>
      <c r="M908" s="86"/>
      <c r="N908" s="86"/>
      <c r="O908" s="86"/>
      <c r="P908" s="87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  <c r="AD908" s="81"/>
      <c r="AE908" s="81"/>
      <c r="AF908" s="81"/>
      <c r="AG908" s="81"/>
      <c r="AH908" s="81"/>
      <c r="AI908" s="81"/>
      <c r="AJ908" s="81"/>
      <c r="AK908" s="81"/>
      <c r="AL908" s="81"/>
      <c r="AM908" s="81"/>
      <c r="AN908" s="81"/>
      <c r="AO908" s="81"/>
      <c r="AP908" s="81"/>
      <c r="AQ908" s="81"/>
      <c r="AR908" s="81"/>
    </row>
    <row r="909" spans="1:44" x14ac:dyDescent="0.4">
      <c r="A909" s="5" t="str">
        <f t="shared" si="57"/>
        <v>ZU-SAN TIMOTEO</v>
      </c>
      <c r="B909" s="5" t="str">
        <f t="shared" si="58"/>
        <v>ZU</v>
      </c>
      <c r="C909" s="83" t="s">
        <v>783</v>
      </c>
      <c r="D909" s="82" t="s">
        <v>1577</v>
      </c>
      <c r="E909" s="85">
        <v>10</v>
      </c>
      <c r="F909" s="85"/>
      <c r="G909" s="86"/>
      <c r="H909" s="86"/>
      <c r="I909" s="86"/>
      <c r="J909" s="86"/>
      <c r="K909" s="86"/>
      <c r="L909" s="86"/>
      <c r="M909" s="86"/>
      <c r="N909" s="86"/>
      <c r="O909" s="86"/>
      <c r="P909" s="87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  <c r="AE909" s="81"/>
      <c r="AF909" s="81"/>
      <c r="AG909" s="81"/>
      <c r="AH909" s="81"/>
      <c r="AI909" s="81"/>
      <c r="AJ909" s="81"/>
      <c r="AK909" s="81"/>
      <c r="AL909" s="81"/>
      <c r="AM909" s="81"/>
      <c r="AN909" s="81"/>
      <c r="AO909" s="81"/>
      <c r="AP909" s="81"/>
      <c r="AQ909" s="81"/>
      <c r="AR909" s="81"/>
    </row>
    <row r="910" spans="1:44" x14ac:dyDescent="0.4">
      <c r="A910" s="5" t="str">
        <f t="shared" si="57"/>
        <v>ZU-SANTA CRUZ DEL ZULIA</v>
      </c>
      <c r="B910" s="5" t="str">
        <f t="shared" si="58"/>
        <v>ZU</v>
      </c>
      <c r="C910" s="83" t="s">
        <v>783</v>
      </c>
      <c r="D910" s="82" t="s">
        <v>1578</v>
      </c>
      <c r="E910" s="85">
        <v>23</v>
      </c>
      <c r="F910" s="85"/>
      <c r="G910" s="86"/>
      <c r="H910" s="86"/>
      <c r="I910" s="86"/>
      <c r="J910" s="86"/>
      <c r="K910" s="86"/>
      <c r="L910" s="86"/>
      <c r="M910" s="86"/>
      <c r="N910" s="86"/>
      <c r="O910" s="86"/>
      <c r="P910" s="87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  <c r="AE910" s="81"/>
      <c r="AF910" s="81"/>
      <c r="AG910" s="81"/>
      <c r="AH910" s="81"/>
      <c r="AI910" s="81"/>
      <c r="AJ910" s="81"/>
      <c r="AK910" s="81"/>
      <c r="AL910" s="81"/>
      <c r="AM910" s="81"/>
      <c r="AN910" s="81"/>
      <c r="AO910" s="81"/>
      <c r="AP910" s="81"/>
      <c r="AQ910" s="81"/>
      <c r="AR910" s="81"/>
    </row>
    <row r="911" spans="1:44" x14ac:dyDescent="0.4">
      <c r="A911" s="5" t="str">
        <f t="shared" si="57"/>
        <v>ZU-SANTA LUCIA</v>
      </c>
      <c r="B911" s="5" t="str">
        <f t="shared" si="58"/>
        <v>ZU</v>
      </c>
      <c r="C911" s="83" t="s">
        <v>783</v>
      </c>
      <c r="D911" s="82" t="s">
        <v>929</v>
      </c>
      <c r="E911" s="85">
        <v>203</v>
      </c>
      <c r="F911" s="85"/>
      <c r="G911" s="86"/>
      <c r="H911" s="86"/>
      <c r="I911" s="86"/>
      <c r="J911" s="86"/>
      <c r="K911" s="86"/>
      <c r="L911" s="86"/>
      <c r="M911" s="86"/>
      <c r="N911" s="86"/>
      <c r="O911" s="86"/>
      <c r="P911" s="87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  <c r="AD911" s="81"/>
      <c r="AE911" s="81"/>
      <c r="AF911" s="81"/>
      <c r="AG911" s="81"/>
      <c r="AH911" s="81"/>
      <c r="AI911" s="81"/>
      <c r="AJ911" s="81"/>
      <c r="AK911" s="81"/>
      <c r="AL911" s="81"/>
      <c r="AM911" s="81"/>
      <c r="AN911" s="81"/>
      <c r="AO911" s="81"/>
      <c r="AP911" s="81"/>
      <c r="AQ911" s="81"/>
      <c r="AR911" s="81"/>
    </row>
    <row r="912" spans="1:44" x14ac:dyDescent="0.4">
      <c r="A912" s="5" t="str">
        <f t="shared" si="57"/>
        <v>ZU-SANTA RITA</v>
      </c>
      <c r="B912" s="5" t="str">
        <f t="shared" si="58"/>
        <v>ZU</v>
      </c>
      <c r="C912" s="83" t="s">
        <v>783</v>
      </c>
      <c r="D912" s="82" t="s">
        <v>887</v>
      </c>
      <c r="E912" s="85">
        <v>106</v>
      </c>
      <c r="F912" s="85"/>
      <c r="G912" s="86"/>
      <c r="H912" s="86"/>
      <c r="I912" s="86"/>
      <c r="J912" s="86"/>
      <c r="K912" s="86"/>
      <c r="L912" s="86"/>
      <c r="M912" s="86"/>
      <c r="N912" s="86"/>
      <c r="O912" s="86"/>
      <c r="P912" s="87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  <c r="AD912" s="81"/>
      <c r="AE912" s="81"/>
      <c r="AF912" s="81"/>
      <c r="AG912" s="81"/>
      <c r="AH912" s="81"/>
      <c r="AI912" s="81"/>
      <c r="AJ912" s="81"/>
      <c r="AK912" s="81"/>
      <c r="AL912" s="81"/>
      <c r="AM912" s="81"/>
      <c r="AN912" s="81"/>
      <c r="AO912" s="81"/>
      <c r="AP912" s="81"/>
      <c r="AQ912" s="81"/>
      <c r="AR912" s="81"/>
    </row>
    <row r="913" spans="1:44" x14ac:dyDescent="0.4">
      <c r="A913" s="5" t="str">
        <f t="shared" si="57"/>
        <v>ZU-SIMON RODRIGUEZ</v>
      </c>
      <c r="B913" s="5" t="str">
        <f t="shared" si="58"/>
        <v>ZU</v>
      </c>
      <c r="C913" s="83" t="s">
        <v>783</v>
      </c>
      <c r="D913" s="82" t="s">
        <v>1579</v>
      </c>
      <c r="E913" s="85">
        <v>35</v>
      </c>
      <c r="F913" s="85"/>
      <c r="G913" s="86"/>
      <c r="H913" s="86"/>
      <c r="I913" s="86"/>
      <c r="J913" s="86"/>
      <c r="K913" s="86"/>
      <c r="L913" s="86"/>
      <c r="M913" s="86"/>
      <c r="N913" s="86"/>
      <c r="O913" s="86"/>
      <c r="P913" s="87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  <c r="AE913" s="81"/>
      <c r="AF913" s="81"/>
      <c r="AG913" s="81"/>
      <c r="AH913" s="81"/>
      <c r="AI913" s="81"/>
      <c r="AJ913" s="81"/>
      <c r="AK913" s="81"/>
      <c r="AL913" s="81"/>
      <c r="AM913" s="81"/>
      <c r="AN913" s="81"/>
      <c r="AO913" s="81"/>
      <c r="AP913" s="81"/>
      <c r="AQ913" s="81"/>
      <c r="AR913" s="81"/>
    </row>
    <row r="914" spans="1:44" x14ac:dyDescent="0.4">
      <c r="A914" s="5" t="str">
        <f t="shared" si="57"/>
        <v>ZU-SINAMAICA</v>
      </c>
      <c r="B914" s="5" t="str">
        <f t="shared" si="58"/>
        <v>ZU</v>
      </c>
      <c r="C914" s="83" t="s">
        <v>783</v>
      </c>
      <c r="D914" s="82" t="s">
        <v>1580</v>
      </c>
      <c r="E914" s="85">
        <v>54</v>
      </c>
      <c r="F914" s="85"/>
      <c r="G914" s="86"/>
      <c r="H914" s="86"/>
      <c r="I914" s="86"/>
      <c r="J914" s="86"/>
      <c r="K914" s="86"/>
      <c r="L914" s="86"/>
      <c r="M914" s="86"/>
      <c r="N914" s="86"/>
      <c r="O914" s="86"/>
      <c r="P914" s="87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  <c r="AE914" s="81"/>
      <c r="AF914" s="81"/>
      <c r="AG914" s="81"/>
      <c r="AH914" s="81"/>
      <c r="AI914" s="81"/>
      <c r="AJ914" s="81"/>
      <c r="AK914" s="81"/>
      <c r="AL914" s="81"/>
      <c r="AM914" s="81"/>
      <c r="AN914" s="81"/>
      <c r="AO914" s="81"/>
      <c r="AP914" s="81"/>
      <c r="AQ914" s="81"/>
      <c r="AR914" s="81"/>
    </row>
    <row r="915" spans="1:44" x14ac:dyDescent="0.4">
      <c r="A915" s="5" t="str">
        <f t="shared" si="57"/>
        <v>ZU-SIXTO ZAMBRANO</v>
      </c>
      <c r="B915" s="5" t="str">
        <f t="shared" si="58"/>
        <v>ZU</v>
      </c>
      <c r="C915" s="83" t="s">
        <v>783</v>
      </c>
      <c r="D915" s="82" t="s">
        <v>1581</v>
      </c>
      <c r="E915" s="85">
        <v>17</v>
      </c>
      <c r="F915" s="85"/>
      <c r="G915" s="86"/>
      <c r="H915" s="86"/>
      <c r="I915" s="86"/>
      <c r="J915" s="86"/>
      <c r="K915" s="86"/>
      <c r="L915" s="86"/>
      <c r="M915" s="86"/>
      <c r="N915" s="86"/>
      <c r="O915" s="86"/>
      <c r="P915" s="87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  <c r="AE915" s="81"/>
      <c r="AF915" s="81"/>
      <c r="AG915" s="81"/>
      <c r="AH915" s="81"/>
      <c r="AI915" s="81"/>
      <c r="AJ915" s="81"/>
      <c r="AK915" s="81"/>
      <c r="AL915" s="81"/>
      <c r="AM915" s="81"/>
      <c r="AN915" s="81"/>
      <c r="AO915" s="81"/>
      <c r="AP915" s="81"/>
      <c r="AQ915" s="81"/>
      <c r="AR915" s="81"/>
    </row>
    <row r="916" spans="1:44" x14ac:dyDescent="0.4">
      <c r="A916" s="5" t="str">
        <f t="shared" si="57"/>
        <v>ZU-UDON PEREZ</v>
      </c>
      <c r="B916" s="5" t="str">
        <f t="shared" si="58"/>
        <v>ZU</v>
      </c>
      <c r="C916" s="83" t="s">
        <v>783</v>
      </c>
      <c r="D916" s="82" t="s">
        <v>1582</v>
      </c>
      <c r="E916" s="85">
        <v>35</v>
      </c>
      <c r="F916" s="85"/>
      <c r="G916" s="86"/>
      <c r="H916" s="86"/>
      <c r="I916" s="86"/>
      <c r="J916" s="86"/>
      <c r="K916" s="86"/>
      <c r="L916" s="86"/>
      <c r="M916" s="86"/>
      <c r="N916" s="86"/>
      <c r="O916" s="86"/>
      <c r="P916" s="87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  <c r="AE916" s="81"/>
      <c r="AF916" s="81"/>
      <c r="AG916" s="81"/>
      <c r="AH916" s="81"/>
      <c r="AI916" s="81"/>
      <c r="AJ916" s="81"/>
      <c r="AK916" s="81"/>
      <c r="AL916" s="81"/>
      <c r="AM916" s="81"/>
      <c r="AN916" s="81"/>
      <c r="AO916" s="81"/>
      <c r="AP916" s="81"/>
      <c r="AQ916" s="81"/>
      <c r="AR916" s="81"/>
    </row>
    <row r="917" spans="1:44" x14ac:dyDescent="0.4">
      <c r="A917" s="5" t="str">
        <f t="shared" si="57"/>
        <v>ZU-URRIBARRI</v>
      </c>
      <c r="B917" s="5" t="str">
        <f t="shared" si="58"/>
        <v>ZU</v>
      </c>
      <c r="C917" s="83" t="s">
        <v>783</v>
      </c>
      <c r="D917" s="82" t="s">
        <v>1583</v>
      </c>
      <c r="E917" s="85">
        <v>26</v>
      </c>
      <c r="F917" s="85"/>
      <c r="G917" s="86"/>
      <c r="H917" s="86"/>
      <c r="I917" s="86"/>
      <c r="J917" s="86"/>
      <c r="K917" s="86"/>
      <c r="L917" s="86"/>
      <c r="M917" s="86"/>
      <c r="N917" s="86"/>
      <c r="O917" s="86"/>
      <c r="P917" s="87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  <c r="AE917" s="81"/>
      <c r="AF917" s="81"/>
      <c r="AG917" s="81"/>
      <c r="AH917" s="81"/>
      <c r="AI917" s="81"/>
      <c r="AJ917" s="81"/>
      <c r="AK917" s="81"/>
      <c r="AL917" s="81"/>
      <c r="AM917" s="81"/>
      <c r="AN917" s="81"/>
      <c r="AO917" s="81"/>
      <c r="AP917" s="81"/>
      <c r="AQ917" s="81"/>
      <c r="AR917" s="81"/>
    </row>
    <row r="918" spans="1:44" x14ac:dyDescent="0.4">
      <c r="A918" s="5" t="str">
        <f t="shared" si="57"/>
        <v>ZU-VALMORE RODRIGUEZ</v>
      </c>
      <c r="B918" s="5" t="str">
        <f t="shared" si="58"/>
        <v>ZU</v>
      </c>
      <c r="C918" s="83" t="s">
        <v>783</v>
      </c>
      <c r="D918" s="82" t="s">
        <v>1584</v>
      </c>
      <c r="E918" s="85">
        <v>1</v>
      </c>
      <c r="F918" s="85"/>
      <c r="G918" s="86"/>
      <c r="H918" s="86"/>
      <c r="I918" s="86"/>
      <c r="J918" s="86"/>
      <c r="K918" s="86"/>
      <c r="L918" s="86"/>
      <c r="M918" s="86"/>
      <c r="N918" s="86"/>
      <c r="O918" s="86"/>
      <c r="P918" s="87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  <c r="AD918" s="81"/>
      <c r="AE918" s="81"/>
      <c r="AF918" s="81"/>
      <c r="AG918" s="81"/>
      <c r="AH918" s="81"/>
      <c r="AI918" s="81"/>
      <c r="AJ918" s="81"/>
      <c r="AK918" s="81"/>
      <c r="AL918" s="81"/>
      <c r="AM918" s="81"/>
      <c r="AN918" s="81"/>
      <c r="AO918" s="81"/>
      <c r="AP918" s="81"/>
      <c r="AQ918" s="81"/>
      <c r="AR918" s="81"/>
    </row>
    <row r="919" spans="1:44" x14ac:dyDescent="0.4">
      <c r="A919" s="5" t="str">
        <f t="shared" si="57"/>
        <v>ZU-VENEZUELA</v>
      </c>
      <c r="B919" s="5" t="str">
        <f t="shared" si="58"/>
        <v>ZU</v>
      </c>
      <c r="C919" s="83" t="s">
        <v>783</v>
      </c>
      <c r="D919" s="82" t="s">
        <v>1585</v>
      </c>
      <c r="E919" s="85">
        <v>94</v>
      </c>
      <c r="F919" s="85"/>
      <c r="G919" s="86"/>
      <c r="H919" s="86"/>
      <c r="I919" s="86"/>
      <c r="J919" s="86"/>
      <c r="K919" s="86"/>
      <c r="L919" s="86"/>
      <c r="M919" s="86"/>
      <c r="N919" s="86"/>
      <c r="O919" s="86"/>
      <c r="P919" s="87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  <c r="AD919" s="81"/>
      <c r="AE919" s="81"/>
      <c r="AF919" s="81"/>
      <c r="AG919" s="81"/>
      <c r="AH919" s="81"/>
      <c r="AI919" s="81"/>
      <c r="AJ919" s="81"/>
      <c r="AK919" s="81"/>
      <c r="AL919" s="81"/>
      <c r="AM919" s="81"/>
      <c r="AN919" s="81"/>
      <c r="AO919" s="81"/>
      <c r="AP919" s="81"/>
      <c r="AQ919" s="81"/>
      <c r="AR919" s="8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Hoja5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Colmenares</dc:creator>
  <cp:lastModifiedBy>Angel Colmenares</cp:lastModifiedBy>
  <dcterms:created xsi:type="dcterms:W3CDTF">2025-11-25T22:16:42Z</dcterms:created>
  <dcterms:modified xsi:type="dcterms:W3CDTF">2026-01-13T19:52:27Z</dcterms:modified>
</cp:coreProperties>
</file>